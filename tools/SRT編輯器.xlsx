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tools\"/>
    </mc:Choice>
  </mc:AlternateContent>
  <xr:revisionPtr revIDLastSave="0" documentId="13_ncr:1_{88798AF6-6C43-4838-9C06-CA2B16CF358F}" xr6:coauthVersionLast="47" xr6:coauthVersionMax="47" xr10:uidLastSave="{00000000-0000-0000-0000-000000000000}"/>
  <bookViews>
    <workbookView xWindow="28680" yWindow="-120" windowWidth="38640" windowHeight="15720" activeTab="5" xr2:uid="{871517D1-D3AE-4060-BE56-3FFC33E309BB}"/>
  </bookViews>
  <sheets>
    <sheet name="env" sheetId="7" r:id="rId1"/>
    <sheet name="01_漢字標音" sheetId="6" r:id="rId2"/>
    <sheet name="02_計算時長" sheetId="1" r:id="rId3"/>
    <sheet name="腳本" sheetId="2" r:id="rId4"/>
    <sheet name="TL" sheetId="8" r:id="rId5"/>
    <sheet name="BPM2" sheetId="9" r:id="rId6"/>
  </sheets>
  <definedNames>
    <definedName name="FILE_NAME">env!$C$2</definedName>
    <definedName name="IMAGE_URL">env!$C$4</definedName>
    <definedName name="OUTPUT_PATH">env!$C$5</definedName>
    <definedName name="TITLE">env!$C$3</definedName>
    <definedName name="漢字庫">env!$C$7</definedName>
    <definedName name="漢字標音">env!$C$8</definedName>
    <definedName name="語音類型">env!$C$6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F4" i="9" l="1"/>
  <c r="L4" i="9" s="1"/>
  <c r="E62" i="8"/>
  <c r="C62" i="8"/>
  <c r="I62" i="8" s="1"/>
  <c r="E61" i="8"/>
  <c r="C61" i="8"/>
  <c r="I61" i="8" s="1"/>
  <c r="I60" i="8"/>
  <c r="F60" i="8"/>
  <c r="D60" i="8" s="1"/>
  <c r="E60" i="8"/>
  <c r="C60" i="8"/>
  <c r="E59" i="8"/>
  <c r="C59" i="8"/>
  <c r="I59" i="8" s="1"/>
  <c r="E58" i="8"/>
  <c r="C58" i="8"/>
  <c r="I58" i="8" s="1"/>
  <c r="E57" i="8"/>
  <c r="C57" i="8"/>
  <c r="I57" i="8" s="1"/>
  <c r="I56" i="8"/>
  <c r="F56" i="8"/>
  <c r="D56" i="8" s="1"/>
  <c r="E56" i="8"/>
  <c r="C56" i="8"/>
  <c r="I55" i="8"/>
  <c r="E55" i="8"/>
  <c r="C55" i="8"/>
  <c r="F55" i="8" s="1"/>
  <c r="D55" i="8" s="1"/>
  <c r="E54" i="8"/>
  <c r="C54" i="8"/>
  <c r="F54" i="8" s="1"/>
  <c r="D54" i="8" s="1"/>
  <c r="I53" i="8"/>
  <c r="F53" i="8"/>
  <c r="D53" i="8" s="1"/>
  <c r="E53" i="8"/>
  <c r="C53" i="8"/>
  <c r="E52" i="8"/>
  <c r="C52" i="8"/>
  <c r="I52" i="8" s="1"/>
  <c r="I51" i="8"/>
  <c r="F51" i="8"/>
  <c r="D51" i="8" s="1"/>
  <c r="E51" i="8"/>
  <c r="C51" i="8"/>
  <c r="E50" i="8"/>
  <c r="C50" i="8"/>
  <c r="F50" i="8" s="1"/>
  <c r="D50" i="8" s="1"/>
  <c r="I49" i="8"/>
  <c r="F49" i="8"/>
  <c r="D49" i="8" s="1"/>
  <c r="E49" i="8"/>
  <c r="C49" i="8"/>
  <c r="I48" i="8"/>
  <c r="E48" i="8"/>
  <c r="C48" i="8"/>
  <c r="F48" i="8" s="1"/>
  <c r="D48" i="8" s="1"/>
  <c r="F47" i="8"/>
  <c r="E47" i="8"/>
  <c r="D47" i="8"/>
  <c r="C47" i="8"/>
  <c r="I47" i="8" s="1"/>
  <c r="I46" i="8"/>
  <c r="E46" i="8"/>
  <c r="C46" i="8"/>
  <c r="F46" i="8" s="1"/>
  <c r="D46" i="8" s="1"/>
  <c r="E45" i="8"/>
  <c r="C45" i="8"/>
  <c r="I45" i="8" s="1"/>
  <c r="I44" i="8"/>
  <c r="F44" i="8"/>
  <c r="D44" i="8" s="1"/>
  <c r="E44" i="8"/>
  <c r="C44" i="8"/>
  <c r="E43" i="8"/>
  <c r="C43" i="8"/>
  <c r="I43" i="8" s="1"/>
  <c r="I42" i="8"/>
  <c r="F42" i="8"/>
  <c r="D42" i="8" s="1"/>
  <c r="E42" i="8"/>
  <c r="C42" i="8"/>
  <c r="E41" i="8"/>
  <c r="C41" i="8"/>
  <c r="I41" i="8" s="1"/>
  <c r="I40" i="8"/>
  <c r="F40" i="8"/>
  <c r="D40" i="8" s="1"/>
  <c r="E40" i="8"/>
  <c r="C40" i="8"/>
  <c r="I39" i="8"/>
  <c r="E39" i="8"/>
  <c r="C39" i="8"/>
  <c r="F39" i="8" s="1"/>
  <c r="D39" i="8" s="1"/>
  <c r="E38" i="8"/>
  <c r="C38" i="8"/>
  <c r="F38" i="8" s="1"/>
  <c r="D38" i="8" s="1"/>
  <c r="I37" i="8"/>
  <c r="F37" i="8"/>
  <c r="D37" i="8" s="1"/>
  <c r="E37" i="8"/>
  <c r="C37" i="8"/>
  <c r="E36" i="8"/>
  <c r="C36" i="8"/>
  <c r="I36" i="8" s="1"/>
  <c r="I35" i="8"/>
  <c r="F35" i="8"/>
  <c r="E35" i="8"/>
  <c r="D35" i="8" s="1"/>
  <c r="C35" i="8"/>
  <c r="I34" i="8"/>
  <c r="F34" i="8"/>
  <c r="E34" i="8"/>
  <c r="D34" i="8"/>
  <c r="I33" i="8"/>
  <c r="F33" i="8"/>
  <c r="D33" i="8" s="1"/>
  <c r="E33" i="8"/>
  <c r="C33" i="8"/>
  <c r="I32" i="8"/>
  <c r="E32" i="8"/>
  <c r="C32" i="8"/>
  <c r="F32" i="8" s="1"/>
  <c r="D32" i="8" s="1"/>
  <c r="E31" i="8"/>
  <c r="C31" i="8"/>
  <c r="F31" i="8" s="1"/>
  <c r="D31" i="8" s="1"/>
  <c r="I30" i="8"/>
  <c r="F30" i="8"/>
  <c r="D30" i="8" s="1"/>
  <c r="E30" i="8"/>
  <c r="C30" i="8"/>
  <c r="E29" i="8"/>
  <c r="C29" i="8"/>
  <c r="I29" i="8" s="1"/>
  <c r="H28" i="8"/>
  <c r="I28" i="8" s="1"/>
  <c r="G28" i="8"/>
  <c r="F28" i="8"/>
  <c r="E28" i="8"/>
  <c r="D28" i="8" s="1"/>
  <c r="C28" i="8"/>
  <c r="H27" i="8"/>
  <c r="G27" i="8"/>
  <c r="E27" i="8"/>
  <c r="C27" i="8"/>
  <c r="F27" i="8" s="1"/>
  <c r="D27" i="8" s="1"/>
  <c r="H26" i="8"/>
  <c r="G26" i="8"/>
  <c r="F26" i="8"/>
  <c r="D26" i="8" s="1"/>
  <c r="E26" i="8"/>
  <c r="C26" i="8"/>
  <c r="H25" i="8"/>
  <c r="I25" i="8" s="1"/>
  <c r="G25" i="8"/>
  <c r="E25" i="8"/>
  <c r="C25" i="8"/>
  <c r="F25" i="8" s="1"/>
  <c r="D25" i="8" s="1"/>
  <c r="H24" i="8"/>
  <c r="G24" i="8"/>
  <c r="F24" i="8"/>
  <c r="E24" i="8"/>
  <c r="D24" i="8"/>
  <c r="C24" i="8"/>
  <c r="I24" i="8" s="1"/>
  <c r="H23" i="8"/>
  <c r="G23" i="8"/>
  <c r="E23" i="8"/>
  <c r="C23" i="8"/>
  <c r="F23" i="8" s="1"/>
  <c r="D23" i="8" s="1"/>
  <c r="H22" i="8"/>
  <c r="G22" i="8"/>
  <c r="E22" i="8"/>
  <c r="C22" i="8"/>
  <c r="F22" i="8" s="1"/>
  <c r="D22" i="8" s="1"/>
  <c r="H21" i="8"/>
  <c r="I21" i="8" s="1"/>
  <c r="G21" i="8"/>
  <c r="F21" i="8"/>
  <c r="D21" i="8" s="1"/>
  <c r="E21" i="8"/>
  <c r="C21" i="8"/>
  <c r="H20" i="8"/>
  <c r="G20" i="8"/>
  <c r="E20" i="8"/>
  <c r="C20" i="8"/>
  <c r="H19" i="8"/>
  <c r="G19" i="8"/>
  <c r="I19" i="8" s="1"/>
  <c r="F19" i="8"/>
  <c r="D19" i="8" s="1"/>
  <c r="E19" i="8"/>
  <c r="C19" i="8"/>
  <c r="H18" i="8"/>
  <c r="G18" i="8"/>
  <c r="E18" i="8"/>
  <c r="C18" i="8"/>
  <c r="I18" i="8" s="1"/>
  <c r="H17" i="8"/>
  <c r="G17" i="8"/>
  <c r="I17" i="8" s="1"/>
  <c r="F17" i="8"/>
  <c r="D17" i="8" s="1"/>
  <c r="E17" i="8"/>
  <c r="C17" i="8"/>
  <c r="H16" i="8"/>
  <c r="I16" i="8" s="1"/>
  <c r="G16" i="8"/>
  <c r="E16" i="8"/>
  <c r="C16" i="8"/>
  <c r="F16" i="8" s="1"/>
  <c r="D16" i="8" s="1"/>
  <c r="H15" i="8"/>
  <c r="G15" i="8"/>
  <c r="E15" i="8"/>
  <c r="C15" i="8"/>
  <c r="I15" i="8" s="1"/>
  <c r="I14" i="8"/>
  <c r="H14" i="8"/>
  <c r="G14" i="8"/>
  <c r="F14" i="8"/>
  <c r="D14" i="8" s="1"/>
  <c r="E14" i="8"/>
  <c r="C14" i="8"/>
  <c r="H13" i="8"/>
  <c r="G13" i="8"/>
  <c r="E13" i="8"/>
  <c r="C13" i="8"/>
  <c r="H12" i="8"/>
  <c r="I12" i="8" s="1"/>
  <c r="G12" i="8"/>
  <c r="F12" i="8"/>
  <c r="E12" i="8"/>
  <c r="D12" i="8" s="1"/>
  <c r="C12" i="8"/>
  <c r="H11" i="8"/>
  <c r="G11" i="8"/>
  <c r="E11" i="8"/>
  <c r="C11" i="8"/>
  <c r="F11" i="8" s="1"/>
  <c r="D11" i="8" s="1"/>
  <c r="H10" i="8"/>
  <c r="G10" i="8"/>
  <c r="F10" i="8"/>
  <c r="D10" i="8" s="1"/>
  <c r="E10" i="8"/>
  <c r="C10" i="8"/>
  <c r="I9" i="8"/>
  <c r="H9" i="8"/>
  <c r="G9" i="8"/>
  <c r="E9" i="8"/>
  <c r="C9" i="8"/>
  <c r="F9" i="8" s="1"/>
  <c r="D9" i="8" s="1"/>
  <c r="H8" i="8"/>
  <c r="G8" i="8"/>
  <c r="F8" i="8"/>
  <c r="E8" i="8"/>
  <c r="D8" i="8"/>
  <c r="C8" i="8"/>
  <c r="I8" i="8" s="1"/>
  <c r="H7" i="8"/>
  <c r="G7" i="8"/>
  <c r="I7" i="8" s="1"/>
  <c r="E7" i="8"/>
  <c r="C7" i="8"/>
  <c r="F7" i="8" s="1"/>
  <c r="D7" i="8" s="1"/>
  <c r="H6" i="8"/>
  <c r="G6" i="8"/>
  <c r="E6" i="8"/>
  <c r="C6" i="8"/>
  <c r="F6" i="8" s="1"/>
  <c r="D6" i="8" s="1"/>
  <c r="I5" i="8"/>
  <c r="H5" i="8"/>
  <c r="G5" i="8"/>
  <c r="F5" i="8"/>
  <c r="D5" i="8" s="1"/>
  <c r="E5" i="8"/>
  <c r="C5" i="8"/>
  <c r="H4" i="8"/>
  <c r="G4" i="8"/>
  <c r="E4" i="8"/>
  <c r="C4" i="8"/>
  <c r="I4" i="8" s="1"/>
  <c r="H3" i="8"/>
  <c r="G3" i="8"/>
  <c r="I3" i="8" s="1"/>
  <c r="F3" i="8"/>
  <c r="D3" i="8" s="1"/>
  <c r="E3" i="8"/>
  <c r="C3" i="8"/>
  <c r="H2" i="8"/>
  <c r="G2" i="8"/>
  <c r="E2" i="8"/>
  <c r="C2" i="8"/>
  <c r="I2" i="8" s="1"/>
  <c r="G3" i="1"/>
  <c r="H3" i="1"/>
  <c r="G4" i="1"/>
  <c r="H4" i="1"/>
  <c r="G5" i="1"/>
  <c r="H5" i="1"/>
  <c r="G6" i="1"/>
  <c r="H6" i="1"/>
  <c r="I6" i="1" s="1"/>
  <c r="G7" i="1"/>
  <c r="H7" i="1"/>
  <c r="G8" i="1"/>
  <c r="H8" i="1"/>
  <c r="G9" i="1"/>
  <c r="H9" i="1"/>
  <c r="G10" i="1"/>
  <c r="H10" i="1"/>
  <c r="G11" i="1"/>
  <c r="H11" i="1"/>
  <c r="I11" i="1" s="1"/>
  <c r="G12" i="1"/>
  <c r="H12" i="1"/>
  <c r="G13" i="1"/>
  <c r="H13" i="1"/>
  <c r="I13" i="1" s="1"/>
  <c r="G14" i="1"/>
  <c r="H14" i="1"/>
  <c r="G15" i="1"/>
  <c r="H15" i="1"/>
  <c r="G16" i="1"/>
  <c r="H16" i="1"/>
  <c r="I16" i="1" s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I28" i="1" s="1"/>
  <c r="G29" i="1"/>
  <c r="H29" i="1"/>
  <c r="I29" i="1" s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I45" i="1" s="1"/>
  <c r="G46" i="1"/>
  <c r="H46" i="1"/>
  <c r="I46" i="1" s="1"/>
  <c r="G47" i="1"/>
  <c r="H47" i="1"/>
  <c r="I47" i="1" s="1"/>
  <c r="G48" i="1"/>
  <c r="H48" i="1"/>
  <c r="I48" i="1" s="1"/>
  <c r="G49" i="1"/>
  <c r="H49" i="1"/>
  <c r="I49" i="1" s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I58" i="1" s="1"/>
  <c r="G59" i="1"/>
  <c r="H59" i="1"/>
  <c r="I59" i="1" s="1"/>
  <c r="G60" i="1"/>
  <c r="H60" i="1"/>
  <c r="G61" i="1"/>
  <c r="H61" i="1"/>
  <c r="G62" i="1"/>
  <c r="H62" i="1"/>
  <c r="H2" i="1"/>
  <c r="G2" i="1"/>
  <c r="I12" i="1"/>
  <c r="C3" i="1"/>
  <c r="E3" i="1"/>
  <c r="F3" i="1"/>
  <c r="D3" i="1" s="1"/>
  <c r="C4" i="1"/>
  <c r="F4" i="1" s="1"/>
  <c r="D4" i="1" s="1"/>
  <c r="E4" i="1"/>
  <c r="C5" i="1"/>
  <c r="E5" i="1"/>
  <c r="C6" i="1"/>
  <c r="E6" i="1"/>
  <c r="F6" i="1"/>
  <c r="D6" i="1" s="1"/>
  <c r="C7" i="1"/>
  <c r="E7" i="1"/>
  <c r="F7" i="1"/>
  <c r="D7" i="1" s="1"/>
  <c r="C8" i="1"/>
  <c r="F8" i="1" s="1"/>
  <c r="E8" i="1"/>
  <c r="C9" i="1"/>
  <c r="I9" i="1" s="1"/>
  <c r="E9" i="1"/>
  <c r="F9" i="1"/>
  <c r="D9" i="1" s="1"/>
  <c r="C10" i="1"/>
  <c r="F10" i="1" s="1"/>
  <c r="D10" i="1" s="1"/>
  <c r="E10" i="1"/>
  <c r="C11" i="1"/>
  <c r="F11" i="1" s="1"/>
  <c r="D11" i="1" s="1"/>
  <c r="E11" i="1"/>
  <c r="C12" i="1"/>
  <c r="F12" i="1" s="1"/>
  <c r="E12" i="1"/>
  <c r="C13" i="1"/>
  <c r="E13" i="1"/>
  <c r="F13" i="1"/>
  <c r="D13" i="1" s="1"/>
  <c r="C14" i="1"/>
  <c r="E14" i="1"/>
  <c r="F14" i="1"/>
  <c r="D14" i="1" s="1"/>
  <c r="C15" i="1"/>
  <c r="F15" i="1" s="1"/>
  <c r="D15" i="1" s="1"/>
  <c r="E15" i="1"/>
  <c r="C16" i="1"/>
  <c r="F16" i="1" s="1"/>
  <c r="D16" i="1" s="1"/>
  <c r="E16" i="1"/>
  <c r="C17" i="1"/>
  <c r="F17" i="1" s="1"/>
  <c r="D17" i="1" s="1"/>
  <c r="E17" i="1"/>
  <c r="C18" i="1"/>
  <c r="E18" i="1"/>
  <c r="F18" i="1"/>
  <c r="D18" i="1" s="1"/>
  <c r="C19" i="1"/>
  <c r="E19" i="1"/>
  <c r="F19" i="1"/>
  <c r="D19" i="1" s="1"/>
  <c r="C20" i="1"/>
  <c r="F20" i="1" s="1"/>
  <c r="E20" i="1"/>
  <c r="C21" i="1"/>
  <c r="F21" i="1" s="1"/>
  <c r="D21" i="1" s="1"/>
  <c r="E21" i="1"/>
  <c r="C22" i="1"/>
  <c r="E22" i="1"/>
  <c r="F22" i="1"/>
  <c r="D22" i="1" s="1"/>
  <c r="C23" i="1"/>
  <c r="E23" i="1"/>
  <c r="F23" i="1"/>
  <c r="D23" i="1" s="1"/>
  <c r="C24" i="1"/>
  <c r="F24" i="1" s="1"/>
  <c r="E24" i="1"/>
  <c r="C25" i="1"/>
  <c r="E25" i="1"/>
  <c r="F25" i="1"/>
  <c r="D25" i="1" s="1"/>
  <c r="C26" i="1"/>
  <c r="E26" i="1"/>
  <c r="F26" i="1"/>
  <c r="D26" i="1" s="1"/>
  <c r="C27" i="1"/>
  <c r="F27" i="1" s="1"/>
  <c r="D27" i="1" s="1"/>
  <c r="E27" i="1"/>
  <c r="C28" i="1"/>
  <c r="F28" i="1" s="1"/>
  <c r="E28" i="1"/>
  <c r="C29" i="1"/>
  <c r="E29" i="1"/>
  <c r="F29" i="1"/>
  <c r="D29" i="1" s="1"/>
  <c r="C30" i="1"/>
  <c r="E30" i="1"/>
  <c r="F30" i="1"/>
  <c r="D30" i="1" s="1"/>
  <c r="C31" i="1"/>
  <c r="E31" i="1"/>
  <c r="F31" i="1"/>
  <c r="D31" i="1" s="1"/>
  <c r="C32" i="1"/>
  <c r="F32" i="1" s="1"/>
  <c r="E32" i="1"/>
  <c r="C33" i="1"/>
  <c r="F33" i="1" s="1"/>
  <c r="D33" i="1" s="1"/>
  <c r="E33" i="1"/>
  <c r="F34" i="1"/>
  <c r="D34" i="1" s="1"/>
  <c r="E34" i="1"/>
  <c r="C35" i="1"/>
  <c r="I35" i="1" s="1"/>
  <c r="E35" i="1"/>
  <c r="F35" i="1"/>
  <c r="D35" i="1" s="1"/>
  <c r="C36" i="1"/>
  <c r="F36" i="1" s="1"/>
  <c r="E36" i="1"/>
  <c r="C37" i="1"/>
  <c r="E37" i="1"/>
  <c r="F37" i="1"/>
  <c r="D37" i="1" s="1"/>
  <c r="C38" i="1"/>
  <c r="E38" i="1"/>
  <c r="F38" i="1"/>
  <c r="D38" i="1" s="1"/>
  <c r="C39" i="1"/>
  <c r="F39" i="1" s="1"/>
  <c r="D39" i="1" s="1"/>
  <c r="E39" i="1"/>
  <c r="C40" i="1"/>
  <c r="F40" i="1" s="1"/>
  <c r="D40" i="1" s="1"/>
  <c r="E40" i="1"/>
  <c r="C41" i="1"/>
  <c r="E41" i="1"/>
  <c r="F41" i="1"/>
  <c r="D41" i="1" s="1"/>
  <c r="C42" i="1"/>
  <c r="E42" i="1"/>
  <c r="F42" i="1"/>
  <c r="D42" i="1" s="1"/>
  <c r="C43" i="1"/>
  <c r="E43" i="1"/>
  <c r="F43" i="1"/>
  <c r="D43" i="1" s="1"/>
  <c r="C44" i="1"/>
  <c r="F44" i="1" s="1"/>
  <c r="E44" i="1"/>
  <c r="C45" i="1"/>
  <c r="F45" i="1" s="1"/>
  <c r="D45" i="1" s="1"/>
  <c r="E45" i="1"/>
  <c r="C46" i="1"/>
  <c r="F46" i="1" s="1"/>
  <c r="D46" i="1" s="1"/>
  <c r="E46" i="1"/>
  <c r="C47" i="1"/>
  <c r="E47" i="1"/>
  <c r="F47" i="1"/>
  <c r="D47" i="1" s="1"/>
  <c r="C48" i="1"/>
  <c r="F48" i="1" s="1"/>
  <c r="E48" i="1"/>
  <c r="C49" i="1"/>
  <c r="E49" i="1"/>
  <c r="F49" i="1"/>
  <c r="D49" i="1" s="1"/>
  <c r="C50" i="1"/>
  <c r="F50" i="1" s="1"/>
  <c r="D50" i="1" s="1"/>
  <c r="E50" i="1"/>
  <c r="C51" i="1"/>
  <c r="I51" i="1" s="1"/>
  <c r="E51" i="1"/>
  <c r="F51" i="1"/>
  <c r="D51" i="1" s="1"/>
  <c r="C52" i="1"/>
  <c r="F52" i="1" s="1"/>
  <c r="D52" i="1" s="1"/>
  <c r="E52" i="1"/>
  <c r="C53" i="1"/>
  <c r="I53" i="1" s="1"/>
  <c r="E53" i="1"/>
  <c r="F53" i="1"/>
  <c r="D53" i="1" s="1"/>
  <c r="C54" i="1"/>
  <c r="E54" i="1"/>
  <c r="F54" i="1"/>
  <c r="D54" i="1" s="1"/>
  <c r="C55" i="1"/>
  <c r="E55" i="1"/>
  <c r="F55" i="1"/>
  <c r="D55" i="1" s="1"/>
  <c r="C56" i="1"/>
  <c r="F56" i="1" s="1"/>
  <c r="D56" i="1" s="1"/>
  <c r="E56" i="1"/>
  <c r="C57" i="1"/>
  <c r="E57" i="1"/>
  <c r="F57" i="1"/>
  <c r="D57" i="1" s="1"/>
  <c r="C58" i="1"/>
  <c r="E58" i="1"/>
  <c r="F58" i="1"/>
  <c r="D58" i="1" s="1"/>
  <c r="C59" i="1"/>
  <c r="E59" i="1"/>
  <c r="F59" i="1"/>
  <c r="D59" i="1" s="1"/>
  <c r="C60" i="1"/>
  <c r="F60" i="1" s="1"/>
  <c r="E60" i="1"/>
  <c r="C61" i="1"/>
  <c r="E61" i="1"/>
  <c r="F61" i="1"/>
  <c r="D61" i="1" s="1"/>
  <c r="C62" i="1"/>
  <c r="E62" i="1"/>
  <c r="E2" i="1"/>
  <c r="F4" i="6"/>
  <c r="G4" i="6" s="1"/>
  <c r="I26" i="8" l="1"/>
  <c r="I23" i="8"/>
  <c r="I20" i="8"/>
  <c r="O4" i="9"/>
  <c r="M4" i="9"/>
  <c r="P4" i="9"/>
  <c r="N4" i="9"/>
  <c r="G4" i="9"/>
  <c r="I19" i="1"/>
  <c r="I5" i="1"/>
  <c r="I54" i="1"/>
  <c r="I50" i="1"/>
  <c r="I41" i="1"/>
  <c r="I38" i="1"/>
  <c r="I34" i="1"/>
  <c r="I31" i="1"/>
  <c r="I30" i="1"/>
  <c r="I22" i="1"/>
  <c r="I18" i="1"/>
  <c r="I17" i="1"/>
  <c r="I14" i="1"/>
  <c r="I13" i="8"/>
  <c r="I10" i="8"/>
  <c r="I10" i="1"/>
  <c r="I7" i="1"/>
  <c r="F58" i="8"/>
  <c r="D58" i="8" s="1"/>
  <c r="F15" i="8"/>
  <c r="D15" i="8" s="1"/>
  <c r="F13" i="8"/>
  <c r="D13" i="8" s="1"/>
  <c r="F52" i="8"/>
  <c r="D52" i="8" s="1"/>
  <c r="I11" i="8"/>
  <c r="I27" i="8"/>
  <c r="I50" i="8"/>
  <c r="F45" i="8"/>
  <c r="D45" i="8" s="1"/>
  <c r="F61" i="8"/>
  <c r="D61" i="8" s="1"/>
  <c r="F29" i="8"/>
  <c r="D29" i="8" s="1"/>
  <c r="F36" i="8"/>
  <c r="D36" i="8" s="1"/>
  <c r="F4" i="8"/>
  <c r="D4" i="8" s="1"/>
  <c r="F20" i="8"/>
  <c r="D20" i="8" s="1"/>
  <c r="I31" i="8"/>
  <c r="I38" i="8"/>
  <c r="F43" i="8"/>
  <c r="D43" i="8" s="1"/>
  <c r="I54" i="8"/>
  <c r="F59" i="8"/>
  <c r="D59" i="8" s="1"/>
  <c r="I6" i="8"/>
  <c r="I22" i="8"/>
  <c r="F2" i="8"/>
  <c r="D2" i="8" s="1"/>
  <c r="F18" i="8"/>
  <c r="D18" i="8" s="1"/>
  <c r="F41" i="8"/>
  <c r="D41" i="8" s="1"/>
  <c r="F57" i="8"/>
  <c r="D57" i="8" s="1"/>
  <c r="F62" i="8"/>
  <c r="D62" i="8" s="1"/>
  <c r="I25" i="1"/>
  <c r="I37" i="1"/>
  <c r="I26" i="1"/>
  <c r="I57" i="1"/>
  <c r="I62" i="1"/>
  <c r="I43" i="1"/>
  <c r="I61" i="1"/>
  <c r="I55" i="1"/>
  <c r="I42" i="1"/>
  <c r="I23" i="1"/>
  <c r="I3" i="1"/>
  <c r="I33" i="1"/>
  <c r="D32" i="1"/>
  <c r="D8" i="1"/>
  <c r="I27" i="1"/>
  <c r="D12" i="1"/>
  <c r="D44" i="1"/>
  <c r="I15" i="1"/>
  <c r="D60" i="1"/>
  <c r="I60" i="1"/>
  <c r="D24" i="1"/>
  <c r="I56" i="1"/>
  <c r="I40" i="1"/>
  <c r="I24" i="1"/>
  <c r="I8" i="1"/>
  <c r="D48" i="1"/>
  <c r="F5" i="1"/>
  <c r="D5" i="1" s="1"/>
  <c r="I39" i="1"/>
  <c r="D28" i="1"/>
  <c r="I21" i="1"/>
  <c r="I32" i="1"/>
  <c r="D20" i="1"/>
  <c r="I44" i="1"/>
  <c r="D36" i="1"/>
  <c r="F62" i="1"/>
  <c r="D62" i="1" s="1"/>
  <c r="I52" i="1"/>
  <c r="I36" i="1"/>
  <c r="I20" i="1"/>
  <c r="I4" i="1"/>
  <c r="L4" i="6"/>
  <c r="I4" i="6"/>
  <c r="J4" i="6"/>
  <c r="K4" i="6"/>
  <c r="H4" i="6"/>
  <c r="C2" i="1"/>
  <c r="I4" i="9" l="1"/>
  <c r="K4" i="9"/>
  <c r="J4" i="9"/>
  <c r="H4" i="9"/>
  <c r="C4" i="9"/>
  <c r="F2" i="1"/>
  <c r="D2" i="1" s="1"/>
  <c r="I2" i="1"/>
  <c r="B5" i="6"/>
  <c r="F5" i="6" s="1"/>
  <c r="G5" i="6" s="1"/>
  <c r="P4" i="6"/>
  <c r="O4" i="6"/>
  <c r="N4" i="6"/>
  <c r="M4" i="6"/>
  <c r="B5" i="9" l="1"/>
  <c r="F5" i="9" s="1"/>
  <c r="L5" i="6"/>
  <c r="C4" i="6"/>
  <c r="L5" i="9" l="1"/>
  <c r="G5" i="9"/>
  <c r="N5" i="6"/>
  <c r="M5" i="6"/>
  <c r="O5" i="6"/>
  <c r="P5" i="6"/>
  <c r="I5" i="6"/>
  <c r="H5" i="6"/>
  <c r="J5" i="6"/>
  <c r="K5" i="6"/>
  <c r="K5" i="9" l="1"/>
  <c r="J5" i="9"/>
  <c r="I5" i="9"/>
  <c r="H5" i="9"/>
  <c r="P5" i="9"/>
  <c r="O5" i="9"/>
  <c r="M5" i="9"/>
  <c r="N5" i="9"/>
  <c r="B6" i="6"/>
  <c r="F6" i="6" s="1"/>
  <c r="C5" i="6"/>
  <c r="C5" i="9" l="1"/>
  <c r="B6" i="9"/>
  <c r="F6" i="9" s="1"/>
  <c r="L6" i="6"/>
  <c r="G6" i="6"/>
  <c r="G6" i="9" l="1"/>
  <c r="L6" i="9"/>
  <c r="M6" i="6"/>
  <c r="N6" i="6"/>
  <c r="O6" i="6"/>
  <c r="P6" i="6"/>
  <c r="I6" i="6"/>
  <c r="K6" i="6"/>
  <c r="J6" i="6"/>
  <c r="H6" i="6"/>
  <c r="O6" i="9" l="1"/>
  <c r="N6" i="9"/>
  <c r="M6" i="9"/>
  <c r="P6" i="9"/>
  <c r="H6" i="9"/>
  <c r="K6" i="9"/>
  <c r="J6" i="9"/>
  <c r="I6" i="9"/>
  <c r="C6" i="6"/>
  <c r="B7" i="6"/>
  <c r="F7" i="6" s="1"/>
  <c r="B7" i="9" l="1"/>
  <c r="F7" i="9" s="1"/>
  <c r="C6" i="9"/>
  <c r="L7" i="6"/>
  <c r="G7" i="6"/>
  <c r="H7" i="6" s="1"/>
  <c r="L7" i="9" l="1"/>
  <c r="G7" i="9"/>
  <c r="M7" i="6"/>
  <c r="N7" i="6"/>
  <c r="O7" i="6"/>
  <c r="P7" i="6"/>
  <c r="J7" i="6"/>
  <c r="K7" i="6"/>
  <c r="I7" i="6"/>
  <c r="P7" i="9" l="1"/>
  <c r="O7" i="9"/>
  <c r="N7" i="9"/>
  <c r="M7" i="9"/>
  <c r="C7" i="9" s="1"/>
  <c r="K7" i="9"/>
  <c r="H7" i="9"/>
  <c r="J7" i="9"/>
  <c r="I7" i="9"/>
  <c r="B8" i="6"/>
  <c r="F8" i="6" s="1"/>
  <c r="C7" i="6"/>
  <c r="B8" i="9" l="1"/>
  <c r="F8" i="9" s="1"/>
  <c r="L8" i="6"/>
  <c r="G8" i="6"/>
  <c r="G8" i="9" l="1"/>
  <c r="L8" i="9"/>
  <c r="M8" i="6"/>
  <c r="P8" i="6"/>
  <c r="N8" i="6"/>
  <c r="O8" i="6"/>
  <c r="N8" i="9" l="1"/>
  <c r="M8" i="9"/>
  <c r="O8" i="9"/>
  <c r="P8" i="9"/>
  <c r="K8" i="9"/>
  <c r="I8" i="9"/>
  <c r="J8" i="9"/>
  <c r="H8" i="9"/>
  <c r="B9" i="9" s="1"/>
  <c r="F9" i="9" s="1"/>
  <c r="C8" i="6"/>
  <c r="L9" i="9" l="1"/>
  <c r="G9" i="9"/>
  <c r="C8" i="9"/>
  <c r="H8" i="6"/>
  <c r="I8" i="6"/>
  <c r="J8" i="6"/>
  <c r="K8" i="6"/>
  <c r="H9" i="9" l="1"/>
  <c r="K9" i="9"/>
  <c r="J9" i="9"/>
  <c r="I9" i="9"/>
  <c r="N9" i="9"/>
  <c r="O9" i="9"/>
  <c r="M9" i="9"/>
  <c r="P9" i="9"/>
  <c r="B9" i="6"/>
  <c r="F9" i="6" s="1"/>
  <c r="C9" i="9" l="1"/>
  <c r="B10" i="9"/>
  <c r="F10" i="9" s="1"/>
  <c r="L9" i="6"/>
  <c r="G9" i="6"/>
  <c r="K9" i="6" s="1"/>
  <c r="L10" i="9" l="1"/>
  <c r="G10" i="9"/>
  <c r="M9" i="6"/>
  <c r="N9" i="6"/>
  <c r="O9" i="6"/>
  <c r="P9" i="6"/>
  <c r="J9" i="6"/>
  <c r="H9" i="6"/>
  <c r="I9" i="6"/>
  <c r="K10" i="9" l="1"/>
  <c r="H10" i="9"/>
  <c r="J10" i="9"/>
  <c r="I10" i="9"/>
  <c r="O10" i="9"/>
  <c r="M10" i="9"/>
  <c r="N10" i="9"/>
  <c r="P10" i="9"/>
  <c r="B10" i="6"/>
  <c r="F10" i="6" s="1"/>
  <c r="C9" i="6"/>
  <c r="C10" i="9" l="1"/>
  <c r="B11" i="9"/>
  <c r="F11" i="9" s="1"/>
  <c r="L10" i="6"/>
  <c r="G10" i="6"/>
  <c r="M10" i="6"/>
  <c r="N10" i="6"/>
  <c r="O10" i="6"/>
  <c r="P10" i="6"/>
  <c r="H10" i="6"/>
  <c r="I10" i="6"/>
  <c r="J10" i="6"/>
  <c r="K10" i="6"/>
  <c r="G11" i="9" l="1"/>
  <c r="L11" i="9"/>
  <c r="C10" i="6"/>
  <c r="B11" i="6"/>
  <c r="F11" i="6" s="1"/>
  <c r="N11" i="9" l="1"/>
  <c r="P11" i="9"/>
  <c r="M11" i="9"/>
  <c r="O11" i="9"/>
  <c r="J11" i="9"/>
  <c r="I11" i="9"/>
  <c r="H11" i="9"/>
  <c r="K11" i="9"/>
  <c r="L11" i="6"/>
  <c r="N11" i="6" s="1"/>
  <c r="G11" i="6"/>
  <c r="I11" i="6" s="1"/>
  <c r="H11" i="6"/>
  <c r="K11" i="6"/>
  <c r="J11" i="6"/>
  <c r="B12" i="9" l="1"/>
  <c r="F12" i="9" s="1"/>
  <c r="C11" i="9"/>
  <c r="M11" i="6"/>
  <c r="O11" i="6"/>
  <c r="P11" i="6"/>
  <c r="B12" i="6"/>
  <c r="F12" i="6" s="1"/>
  <c r="G12" i="9" l="1"/>
  <c r="L12" i="9"/>
  <c r="C11" i="6"/>
  <c r="L12" i="6"/>
  <c r="G12" i="6"/>
  <c r="I12" i="6"/>
  <c r="P12" i="9" l="1"/>
  <c r="O12" i="9"/>
  <c r="N12" i="9"/>
  <c r="M12" i="9"/>
  <c r="J12" i="9"/>
  <c r="K12" i="9"/>
  <c r="I12" i="9"/>
  <c r="H12" i="9"/>
  <c r="K12" i="6"/>
  <c r="J12" i="6"/>
  <c r="H12" i="6"/>
  <c r="M12" i="6"/>
  <c r="O12" i="6"/>
  <c r="P12" i="6"/>
  <c r="N12" i="6"/>
  <c r="B13" i="9" l="1"/>
  <c r="F13" i="9" s="1"/>
  <c r="C12" i="9"/>
  <c r="B13" i="6"/>
  <c r="F13" i="6" s="1"/>
  <c r="C12" i="6"/>
  <c r="L13" i="9" l="1"/>
  <c r="G13" i="9"/>
  <c r="L13" i="6"/>
  <c r="G13" i="6"/>
  <c r="M13" i="6"/>
  <c r="N13" i="6"/>
  <c r="O13" i="6"/>
  <c r="P13" i="6"/>
  <c r="J13" i="9" l="1"/>
  <c r="H13" i="9"/>
  <c r="I13" i="9"/>
  <c r="K13" i="9"/>
  <c r="M13" i="9"/>
  <c r="C13" i="9" s="1"/>
  <c r="P13" i="9"/>
  <c r="O13" i="9"/>
  <c r="N13" i="9"/>
  <c r="K13" i="6"/>
  <c r="J13" i="6"/>
  <c r="H13" i="6"/>
  <c r="I13" i="6"/>
  <c r="C13" i="6"/>
  <c r="B14" i="9" l="1"/>
  <c r="F14" i="9" s="1"/>
  <c r="B14" i="6"/>
  <c r="F14" i="6" s="1"/>
  <c r="L14" i="6" s="1"/>
  <c r="G14" i="9" l="1"/>
  <c r="L14" i="9"/>
  <c r="P14" i="6"/>
  <c r="M14" i="6"/>
  <c r="O14" i="6"/>
  <c r="N14" i="6"/>
  <c r="C14" i="6" s="1"/>
  <c r="G14" i="6"/>
  <c r="P14" i="9" l="1"/>
  <c r="M14" i="9"/>
  <c r="N14" i="9"/>
  <c r="O14" i="9"/>
  <c r="K14" i="9"/>
  <c r="J14" i="9"/>
  <c r="I14" i="9"/>
  <c r="H14" i="9"/>
  <c r="I14" i="6"/>
  <c r="H14" i="6"/>
  <c r="K14" i="6"/>
  <c r="J14" i="6"/>
  <c r="B15" i="9" l="1"/>
  <c r="F15" i="9" s="1"/>
  <c r="C14" i="9"/>
  <c r="B15" i="6"/>
  <c r="F15" i="6" s="1"/>
  <c r="L15" i="9" l="1"/>
  <c r="G15" i="9"/>
  <c r="L15" i="6"/>
  <c r="G15" i="6"/>
  <c r="J15" i="9" l="1"/>
  <c r="I15" i="9"/>
  <c r="H15" i="9"/>
  <c r="K15" i="9"/>
  <c r="P15" i="9"/>
  <c r="N15" i="9"/>
  <c r="M15" i="9"/>
  <c r="O15" i="9"/>
  <c r="I15" i="6"/>
  <c r="H15" i="6"/>
  <c r="K15" i="6"/>
  <c r="J15" i="6"/>
  <c r="N15" i="6"/>
  <c r="M15" i="6"/>
  <c r="O15" i="6"/>
  <c r="P15" i="6"/>
  <c r="C15" i="9" l="1"/>
  <c r="B16" i="9"/>
  <c r="F16" i="9" s="1"/>
  <c r="C15" i="6"/>
  <c r="B16" i="6"/>
  <c r="F16" i="6" s="1"/>
  <c r="G16" i="9" l="1"/>
  <c r="L16" i="9"/>
  <c r="L16" i="6"/>
  <c r="G16" i="6"/>
  <c r="M16" i="9" l="1"/>
  <c r="P16" i="9"/>
  <c r="O16" i="9"/>
  <c r="N16" i="9"/>
  <c r="I16" i="9"/>
  <c r="H16" i="9"/>
  <c r="J16" i="9"/>
  <c r="K16" i="9"/>
  <c r="I16" i="6"/>
  <c r="H16" i="6"/>
  <c r="K16" i="6"/>
  <c r="J16" i="6"/>
  <c r="N16" i="6"/>
  <c r="M16" i="6"/>
  <c r="C16" i="6" s="1"/>
  <c r="O16" i="6"/>
  <c r="P16" i="6"/>
  <c r="B17" i="9" l="1"/>
  <c r="F17" i="9" s="1"/>
  <c r="C16" i="9"/>
  <c r="B17" i="6"/>
  <c r="F17" i="6" s="1"/>
  <c r="G17" i="9" l="1"/>
  <c r="L17" i="9"/>
  <c r="G17" i="6"/>
  <c r="L17" i="6"/>
  <c r="P17" i="9" l="1"/>
  <c r="O17" i="9"/>
  <c r="N17" i="9"/>
  <c r="M17" i="9"/>
  <c r="I17" i="9"/>
  <c r="H17" i="9"/>
  <c r="B18" i="9" s="1"/>
  <c r="F18" i="9" s="1"/>
  <c r="J17" i="9"/>
  <c r="K17" i="9"/>
  <c r="N17" i="6"/>
  <c r="O17" i="6"/>
  <c r="P17" i="6"/>
  <c r="M17" i="6"/>
  <c r="J17" i="6"/>
  <c r="K17" i="6"/>
  <c r="I17" i="6"/>
  <c r="H17" i="6"/>
  <c r="B18" i="6" s="1"/>
  <c r="F18" i="6" s="1"/>
  <c r="L18" i="9" l="1"/>
  <c r="G18" i="9"/>
  <c r="C17" i="9"/>
  <c r="L18" i="6"/>
  <c r="G18" i="6"/>
  <c r="C17" i="6"/>
  <c r="I18" i="9" l="1"/>
  <c r="J18" i="9"/>
  <c r="H18" i="9"/>
  <c r="K18" i="9"/>
  <c r="M18" i="9"/>
  <c r="N18" i="9"/>
  <c r="P18" i="9"/>
  <c r="O18" i="9"/>
  <c r="H18" i="6"/>
  <c r="K18" i="6"/>
  <c r="J18" i="6"/>
  <c r="I18" i="6"/>
  <c r="M18" i="6"/>
  <c r="C18" i="6" s="1"/>
  <c r="N18" i="6"/>
  <c r="O18" i="6"/>
  <c r="P18" i="6"/>
  <c r="C18" i="9" l="1"/>
  <c r="B19" i="9"/>
  <c r="F19" i="9" s="1"/>
  <c r="B19" i="6"/>
  <c r="F19" i="6" s="1"/>
  <c r="L19" i="9" l="1"/>
  <c r="G19" i="9"/>
  <c r="L19" i="6"/>
  <c r="G19" i="6"/>
  <c r="J19" i="9" l="1"/>
  <c r="K19" i="9"/>
  <c r="I19" i="9"/>
  <c r="H19" i="9"/>
  <c r="B20" i="9" s="1"/>
  <c r="F20" i="9" s="1"/>
  <c r="O19" i="9"/>
  <c r="P19" i="9"/>
  <c r="N19" i="9"/>
  <c r="M19" i="9"/>
  <c r="C19" i="9" s="1"/>
  <c r="H19" i="6"/>
  <c r="K19" i="6"/>
  <c r="J19" i="6"/>
  <c r="I19" i="6"/>
  <c r="M19" i="6"/>
  <c r="N19" i="6"/>
  <c r="O19" i="6"/>
  <c r="P19" i="6"/>
  <c r="L20" i="9" l="1"/>
  <c r="G20" i="9"/>
  <c r="C19" i="6"/>
  <c r="B20" i="6"/>
  <c r="F20" i="6" s="1"/>
  <c r="I20" i="9" l="1"/>
  <c r="H20" i="9"/>
  <c r="K20" i="9"/>
  <c r="J20" i="9"/>
  <c r="O20" i="9"/>
  <c r="M20" i="9"/>
  <c r="P20" i="9"/>
  <c r="N20" i="9"/>
  <c r="L20" i="6"/>
  <c r="G20" i="6"/>
  <c r="C20" i="9" l="1"/>
  <c r="B21" i="9"/>
  <c r="F21" i="9" s="1"/>
  <c r="I20" i="6"/>
  <c r="J20" i="6"/>
  <c r="H20" i="6"/>
  <c r="K20" i="6"/>
  <c r="M20" i="6"/>
  <c r="C20" i="6" s="1"/>
  <c r="N20" i="6"/>
  <c r="O20" i="6"/>
  <c r="P20" i="6"/>
  <c r="L21" i="9" l="1"/>
  <c r="G21" i="9"/>
  <c r="B21" i="6"/>
  <c r="F21" i="6" s="1"/>
  <c r="K21" i="9" l="1"/>
  <c r="J21" i="9"/>
  <c r="I21" i="9"/>
  <c r="H21" i="9"/>
  <c r="P21" i="9"/>
  <c r="M21" i="9"/>
  <c r="C21" i="9" s="1"/>
  <c r="N21" i="9"/>
  <c r="O21" i="9"/>
  <c r="G21" i="6"/>
  <c r="L21" i="6"/>
  <c r="B22" i="9" l="1"/>
  <c r="F22" i="9" s="1"/>
  <c r="N21" i="6"/>
  <c r="M21" i="6"/>
  <c r="O21" i="6"/>
  <c r="P21" i="6"/>
  <c r="I21" i="6"/>
  <c r="J21" i="6"/>
  <c r="H21" i="6"/>
  <c r="K21" i="6"/>
  <c r="L22" i="9" l="1"/>
  <c r="G22" i="9"/>
  <c r="C21" i="6"/>
  <c r="B22" i="6"/>
  <c r="F22" i="6" s="1"/>
  <c r="H22" i="9" l="1"/>
  <c r="K22" i="9"/>
  <c r="J22" i="9"/>
  <c r="I22" i="9"/>
  <c r="O22" i="9"/>
  <c r="N22" i="9"/>
  <c r="M22" i="9"/>
  <c r="P22" i="9"/>
  <c r="G22" i="6"/>
  <c r="L22" i="6"/>
  <c r="C22" i="9" l="1"/>
  <c r="B23" i="9"/>
  <c r="F23" i="9" s="1"/>
  <c r="P22" i="6"/>
  <c r="N22" i="6"/>
  <c r="O22" i="6"/>
  <c r="M22" i="6"/>
  <c r="C22" i="6" s="1"/>
  <c r="I22" i="6"/>
  <c r="K22" i="6"/>
  <c r="J22" i="6"/>
  <c r="H22" i="6"/>
  <c r="B23" i="6" s="1"/>
  <c r="F23" i="6" s="1"/>
  <c r="G23" i="9" l="1"/>
  <c r="L23" i="9"/>
  <c r="G23" i="6"/>
  <c r="L23" i="6"/>
  <c r="P23" i="9" l="1"/>
  <c r="N23" i="9"/>
  <c r="M23" i="9"/>
  <c r="C23" i="9" s="1"/>
  <c r="O23" i="9"/>
  <c r="K23" i="9"/>
  <c r="H23" i="9"/>
  <c r="J23" i="9"/>
  <c r="I23" i="9"/>
  <c r="O23" i="6"/>
  <c r="N23" i="6"/>
  <c r="M23" i="6"/>
  <c r="C23" i="6" s="1"/>
  <c r="P23" i="6"/>
  <c r="J23" i="6"/>
  <c r="K23" i="6"/>
  <c r="H23" i="6"/>
  <c r="I23" i="6"/>
  <c r="B24" i="9" l="1"/>
  <c r="F24" i="9" s="1"/>
  <c r="B24" i="6"/>
  <c r="F24" i="6" s="1"/>
  <c r="L24" i="9" l="1"/>
  <c r="G24" i="9"/>
  <c r="L24" i="6"/>
  <c r="G24" i="6"/>
  <c r="K24" i="9" l="1"/>
  <c r="I24" i="9"/>
  <c r="J24" i="9"/>
  <c r="H24" i="9"/>
  <c r="B25" i="9" s="1"/>
  <c r="F25" i="9" s="1"/>
  <c r="N24" i="9"/>
  <c r="P24" i="9"/>
  <c r="O24" i="9"/>
  <c r="M24" i="9"/>
  <c r="I24" i="6"/>
  <c r="H24" i="6"/>
  <c r="J24" i="6"/>
  <c r="K24" i="6"/>
  <c r="M24" i="6"/>
  <c r="N24" i="6"/>
  <c r="O24" i="6"/>
  <c r="P24" i="6"/>
  <c r="G25" i="9" l="1"/>
  <c r="L25" i="9"/>
  <c r="C24" i="9"/>
  <c r="B25" i="6"/>
  <c r="F25" i="6" s="1"/>
  <c r="C24" i="6"/>
  <c r="N25" i="9" l="1"/>
  <c r="P25" i="9"/>
  <c r="O25" i="9"/>
  <c r="M25" i="9"/>
  <c r="C25" i="9" s="1"/>
  <c r="H25" i="9"/>
  <c r="K25" i="9"/>
  <c r="I25" i="9"/>
  <c r="J25" i="9"/>
  <c r="G25" i="6"/>
  <c r="L25" i="6"/>
  <c r="B26" i="9" l="1"/>
  <c r="F26" i="9" s="1"/>
  <c r="N25" i="6"/>
  <c r="M25" i="6"/>
  <c r="O25" i="6"/>
  <c r="P25" i="6"/>
  <c r="K25" i="6"/>
  <c r="H25" i="6"/>
  <c r="I25" i="6"/>
  <c r="J25" i="6"/>
  <c r="G26" i="9" l="1"/>
  <c r="L26" i="9"/>
  <c r="B26" i="6"/>
  <c r="F26" i="6" s="1"/>
  <c r="C25" i="6"/>
  <c r="O26" i="9" l="1"/>
  <c r="P26" i="9"/>
  <c r="N26" i="9"/>
  <c r="M26" i="9"/>
  <c r="K26" i="9"/>
  <c r="J26" i="9"/>
  <c r="H26" i="9"/>
  <c r="I26" i="9"/>
  <c r="L26" i="6"/>
  <c r="G26" i="6"/>
  <c r="C26" i="9" l="1"/>
  <c r="B27" i="9"/>
  <c r="F27" i="9" s="1"/>
  <c r="I26" i="6"/>
  <c r="H26" i="6"/>
  <c r="J26" i="6"/>
  <c r="K26" i="6"/>
  <c r="M26" i="6"/>
  <c r="O26" i="6"/>
  <c r="P26" i="6"/>
  <c r="N26" i="6"/>
  <c r="G27" i="9" l="1"/>
  <c r="L27" i="9"/>
  <c r="C26" i="6"/>
  <c r="B27" i="6"/>
  <c r="F27" i="6" s="1"/>
  <c r="N27" i="9" l="1"/>
  <c r="M27" i="9"/>
  <c r="P27" i="9"/>
  <c r="O27" i="9"/>
  <c r="K27" i="9"/>
  <c r="I27" i="9"/>
  <c r="H27" i="9"/>
  <c r="B28" i="9" s="1"/>
  <c r="F28" i="9" s="1"/>
  <c r="J27" i="9"/>
  <c r="L27" i="6"/>
  <c r="G27" i="6"/>
  <c r="G28" i="9" l="1"/>
  <c r="L28" i="9"/>
  <c r="C27" i="9"/>
  <c r="K27" i="6"/>
  <c r="I27" i="6"/>
  <c r="J27" i="6"/>
  <c r="H27" i="6"/>
  <c r="B28" i="6" s="1"/>
  <c r="F28" i="6" s="1"/>
  <c r="N27" i="6"/>
  <c r="M27" i="6"/>
  <c r="P27" i="6"/>
  <c r="O27" i="6"/>
  <c r="P28" i="9" l="1"/>
  <c r="N28" i="9"/>
  <c r="M28" i="9"/>
  <c r="O28" i="9"/>
  <c r="J28" i="9"/>
  <c r="K28" i="9"/>
  <c r="I28" i="9"/>
  <c r="H28" i="9"/>
  <c r="B29" i="9" s="1"/>
  <c r="F29" i="9" s="1"/>
  <c r="G28" i="6"/>
  <c r="L28" i="6"/>
  <c r="C27" i="6"/>
  <c r="L29" i="9" l="1"/>
  <c r="G29" i="9"/>
  <c r="C28" i="9"/>
  <c r="M28" i="6"/>
  <c r="C28" i="6" s="1"/>
  <c r="O28" i="6"/>
  <c r="N28" i="6"/>
  <c r="P28" i="6"/>
  <c r="H28" i="6"/>
  <c r="J28" i="6"/>
  <c r="K28" i="6"/>
  <c r="I28" i="6"/>
  <c r="J29" i="9" l="1"/>
  <c r="H29" i="9"/>
  <c r="K29" i="9"/>
  <c r="I29" i="9"/>
  <c r="M29" i="9"/>
  <c r="O29" i="9"/>
  <c r="P29" i="9"/>
  <c r="N29" i="9"/>
  <c r="B29" i="6"/>
  <c r="F29" i="6" s="1"/>
  <c r="B30" i="9" l="1"/>
  <c r="F30" i="9" s="1"/>
  <c r="C29" i="9"/>
  <c r="L29" i="6"/>
  <c r="G29" i="6"/>
  <c r="G30" i="9" l="1"/>
  <c r="L30" i="9"/>
  <c r="O29" i="6"/>
  <c r="N29" i="6"/>
  <c r="M29" i="6"/>
  <c r="P29" i="6"/>
  <c r="I29" i="6"/>
  <c r="J29" i="6"/>
  <c r="H29" i="6"/>
  <c r="K29" i="6"/>
  <c r="P30" i="9" l="1"/>
  <c r="M30" i="9"/>
  <c r="N30" i="9"/>
  <c r="O30" i="9"/>
  <c r="K30" i="9"/>
  <c r="J30" i="9"/>
  <c r="I30" i="9"/>
  <c r="H30" i="9"/>
  <c r="C29" i="6"/>
  <c r="B30" i="6"/>
  <c r="F30" i="6" s="1"/>
  <c r="C30" i="9" l="1"/>
  <c r="B31" i="9"/>
  <c r="F31" i="9" s="1"/>
  <c r="L30" i="6"/>
  <c r="G30" i="6"/>
  <c r="L31" i="9" l="1"/>
  <c r="G31" i="9"/>
  <c r="K30" i="6"/>
  <c r="I30" i="6"/>
  <c r="J30" i="6"/>
  <c r="H30" i="6"/>
  <c r="O30" i="6"/>
  <c r="M30" i="6"/>
  <c r="N30" i="6"/>
  <c r="P30" i="6"/>
  <c r="J31" i="9" l="1"/>
  <c r="I31" i="9"/>
  <c r="K31" i="9"/>
  <c r="H31" i="9"/>
  <c r="B32" i="9" s="1"/>
  <c r="F32" i="9" s="1"/>
  <c r="P31" i="9"/>
  <c r="N31" i="9"/>
  <c r="M31" i="9"/>
  <c r="O31" i="9"/>
  <c r="C30" i="6"/>
  <c r="B31" i="6"/>
  <c r="F31" i="6" s="1"/>
  <c r="C31" i="9" l="1"/>
  <c r="L32" i="9"/>
  <c r="G32" i="9"/>
  <c r="G31" i="6"/>
  <c r="L31" i="6"/>
  <c r="I32" i="9" l="1"/>
  <c r="H32" i="9"/>
  <c r="J32" i="9"/>
  <c r="K32" i="9"/>
  <c r="M32" i="9"/>
  <c r="C32" i="9" s="1"/>
  <c r="O32" i="9"/>
  <c r="P32" i="9"/>
  <c r="N32" i="9"/>
  <c r="O31" i="6"/>
  <c r="N31" i="6"/>
  <c r="M31" i="6"/>
  <c r="P31" i="6"/>
  <c r="H31" i="6"/>
  <c r="B32" i="6" s="1"/>
  <c r="F32" i="6" s="1"/>
  <c r="J31" i="6"/>
  <c r="I31" i="6"/>
  <c r="K31" i="6"/>
  <c r="B33" i="9" l="1"/>
  <c r="F33" i="9" s="1"/>
  <c r="L32" i="6"/>
  <c r="G32" i="6"/>
  <c r="C31" i="6"/>
  <c r="L33" i="9" l="1"/>
  <c r="G33" i="9"/>
  <c r="H32" i="6"/>
  <c r="J32" i="6"/>
  <c r="I32" i="6"/>
  <c r="K32" i="6"/>
  <c r="O32" i="6"/>
  <c r="N32" i="6"/>
  <c r="M32" i="6"/>
  <c r="P32" i="6"/>
  <c r="I33" i="9" l="1"/>
  <c r="J33" i="9"/>
  <c r="K33" i="9"/>
  <c r="H33" i="9"/>
  <c r="P33" i="9"/>
  <c r="O33" i="9"/>
  <c r="N33" i="9"/>
  <c r="M33" i="9"/>
  <c r="C32" i="6"/>
  <c r="B33" i="6"/>
  <c r="F33" i="6" s="1"/>
  <c r="B34" i="9" l="1"/>
  <c r="F34" i="9" s="1"/>
  <c r="C33" i="9"/>
  <c r="L33" i="6"/>
  <c r="G33" i="6"/>
  <c r="L34" i="9" l="1"/>
  <c r="G34" i="9"/>
  <c r="O33" i="6"/>
  <c r="M33" i="6"/>
  <c r="P33" i="6"/>
  <c r="N33" i="6"/>
  <c r="I33" i="6"/>
  <c r="J33" i="6"/>
  <c r="H33" i="6"/>
  <c r="B34" i="6" s="1"/>
  <c r="F34" i="6" s="1"/>
  <c r="K33" i="6"/>
  <c r="I34" i="9" l="1"/>
  <c r="K34" i="9"/>
  <c r="H34" i="9"/>
  <c r="B35" i="9" s="1"/>
  <c r="F35" i="9" s="1"/>
  <c r="J34" i="9"/>
  <c r="P34" i="9"/>
  <c r="O34" i="9"/>
  <c r="N34" i="9"/>
  <c r="M34" i="9"/>
  <c r="L34" i="6"/>
  <c r="G34" i="6"/>
  <c r="C33" i="6"/>
  <c r="L35" i="9" l="1"/>
  <c r="G35" i="9"/>
  <c r="C34" i="9"/>
  <c r="I34" i="6"/>
  <c r="J34" i="6"/>
  <c r="H34" i="6"/>
  <c r="K34" i="6"/>
  <c r="M34" i="6"/>
  <c r="O34" i="6"/>
  <c r="P34" i="6"/>
  <c r="N34" i="6"/>
  <c r="J35" i="9" l="1"/>
  <c r="H35" i="9"/>
  <c r="K35" i="9"/>
  <c r="I35" i="9"/>
  <c r="O35" i="9"/>
  <c r="P35" i="9"/>
  <c r="N35" i="9"/>
  <c r="M35" i="9"/>
  <c r="C34" i="6"/>
  <c r="B35" i="6"/>
  <c r="F35" i="6" s="1"/>
  <c r="C35" i="9" l="1"/>
  <c r="B36" i="9"/>
  <c r="F36" i="9" s="1"/>
  <c r="L35" i="6"/>
  <c r="G35" i="6"/>
  <c r="L36" i="9" l="1"/>
  <c r="G36" i="9"/>
  <c r="K35" i="6"/>
  <c r="H35" i="6"/>
  <c r="J35" i="6"/>
  <c r="I35" i="6"/>
  <c r="O35" i="6"/>
  <c r="N35" i="6"/>
  <c r="P35" i="6"/>
  <c r="M35" i="6"/>
  <c r="I36" i="9" l="1"/>
  <c r="H36" i="9"/>
  <c r="K36" i="9"/>
  <c r="J36" i="9"/>
  <c r="O36" i="9"/>
  <c r="M36" i="9"/>
  <c r="P36" i="9"/>
  <c r="N36" i="9"/>
  <c r="C35" i="6"/>
  <c r="B36" i="6"/>
  <c r="F36" i="6" s="1"/>
  <c r="C36" i="9" l="1"/>
  <c r="B37" i="9"/>
  <c r="F37" i="9" s="1"/>
  <c r="G36" i="6"/>
  <c r="L36" i="6"/>
  <c r="L37" i="9" l="1"/>
  <c r="G37" i="9"/>
  <c r="M36" i="6"/>
  <c r="O36" i="6"/>
  <c r="N36" i="6"/>
  <c r="P36" i="6"/>
  <c r="I36" i="6"/>
  <c r="H36" i="6"/>
  <c r="B37" i="6" s="1"/>
  <c r="F37" i="6" s="1"/>
  <c r="J36" i="6"/>
  <c r="K36" i="6"/>
  <c r="K37" i="9" l="1"/>
  <c r="J37" i="9"/>
  <c r="I37" i="9"/>
  <c r="H37" i="9"/>
  <c r="P37" i="9"/>
  <c r="N37" i="9"/>
  <c r="M37" i="9"/>
  <c r="O37" i="9"/>
  <c r="L37" i="6"/>
  <c r="G37" i="6"/>
  <c r="C36" i="6"/>
  <c r="C37" i="9" l="1"/>
  <c r="B38" i="9"/>
  <c r="F38" i="9" s="1"/>
  <c r="I37" i="6"/>
  <c r="J37" i="6"/>
  <c r="H37" i="6"/>
  <c r="B38" i="6" s="1"/>
  <c r="F38" i="6" s="1"/>
  <c r="K37" i="6"/>
  <c r="P37" i="6"/>
  <c r="M37" i="6"/>
  <c r="C37" i="6" s="1"/>
  <c r="O37" i="6"/>
  <c r="N37" i="6"/>
  <c r="L38" i="9" l="1"/>
  <c r="G38" i="9"/>
  <c r="G38" i="6"/>
  <c r="L38" i="6"/>
  <c r="H38" i="9" l="1"/>
  <c r="J38" i="9"/>
  <c r="K38" i="9"/>
  <c r="I38" i="9"/>
  <c r="O38" i="9"/>
  <c r="N38" i="9"/>
  <c r="P38" i="9"/>
  <c r="M38" i="9"/>
  <c r="C38" i="9" s="1"/>
  <c r="N38" i="6"/>
  <c r="O38" i="6"/>
  <c r="M38" i="6"/>
  <c r="P38" i="6"/>
  <c r="I38" i="6"/>
  <c r="K38" i="6"/>
  <c r="J38" i="6"/>
  <c r="H38" i="6"/>
  <c r="B39" i="9" l="1"/>
  <c r="F39" i="9" s="1"/>
  <c r="B39" i="6"/>
  <c r="F39" i="6" s="1"/>
  <c r="C38" i="6"/>
  <c r="L39" i="9" l="1"/>
  <c r="G39" i="9"/>
  <c r="G39" i="6"/>
  <c r="L39" i="6"/>
  <c r="K39" i="9" l="1"/>
  <c r="H39" i="9"/>
  <c r="J39" i="9"/>
  <c r="I39" i="9"/>
  <c r="P39" i="9"/>
  <c r="O39" i="9"/>
  <c r="M39" i="9"/>
  <c r="N39" i="9"/>
  <c r="O39" i="6"/>
  <c r="M39" i="6"/>
  <c r="P39" i="6"/>
  <c r="N39" i="6"/>
  <c r="K39" i="6"/>
  <c r="I39" i="6"/>
  <c r="H39" i="6"/>
  <c r="J39" i="6"/>
  <c r="C39" i="9" l="1"/>
  <c r="B40" i="9"/>
  <c r="F40" i="9" s="1"/>
  <c r="B40" i="6"/>
  <c r="F40" i="6" s="1"/>
  <c r="C39" i="6"/>
  <c r="L40" i="9" l="1"/>
  <c r="G40" i="9"/>
  <c r="L40" i="6"/>
  <c r="G40" i="6"/>
  <c r="K40" i="9" l="1"/>
  <c r="I40" i="9"/>
  <c r="J40" i="9"/>
  <c r="H40" i="9"/>
  <c r="B41" i="9" s="1"/>
  <c r="F41" i="9" s="1"/>
  <c r="N40" i="9"/>
  <c r="M40" i="9"/>
  <c r="P40" i="9"/>
  <c r="O40" i="9"/>
  <c r="J40" i="6"/>
  <c r="H40" i="6"/>
  <c r="K40" i="6"/>
  <c r="I40" i="6"/>
  <c r="M40" i="6"/>
  <c r="N40" i="6"/>
  <c r="O40" i="6"/>
  <c r="P40" i="6"/>
  <c r="G41" i="9" l="1"/>
  <c r="L41" i="9"/>
  <c r="C40" i="9"/>
  <c r="C40" i="6"/>
  <c r="B41" i="6"/>
  <c r="F41" i="6" s="1"/>
  <c r="N41" i="9" l="1"/>
  <c r="O41" i="9"/>
  <c r="P41" i="9"/>
  <c r="M41" i="9"/>
  <c r="C41" i="9" s="1"/>
  <c r="H41" i="9"/>
  <c r="I41" i="9"/>
  <c r="J41" i="9"/>
  <c r="K41" i="9"/>
  <c r="L41" i="6"/>
  <c r="G41" i="6"/>
  <c r="B42" i="9" l="1"/>
  <c r="F42" i="9" s="1"/>
  <c r="J41" i="6"/>
  <c r="H41" i="6"/>
  <c r="K41" i="6"/>
  <c r="I41" i="6"/>
  <c r="P41" i="6"/>
  <c r="N41" i="6"/>
  <c r="O41" i="6"/>
  <c r="M41" i="6"/>
  <c r="C41" i="6" s="1"/>
  <c r="L42" i="9" l="1"/>
  <c r="G42" i="9"/>
  <c r="B42" i="6"/>
  <c r="F42" i="6" s="1"/>
  <c r="K42" i="9" l="1"/>
  <c r="J42" i="9"/>
  <c r="H42" i="9"/>
  <c r="I42" i="9"/>
  <c r="O42" i="9"/>
  <c r="P42" i="9"/>
  <c r="N42" i="9"/>
  <c r="M42" i="9"/>
  <c r="C42" i="9" s="1"/>
  <c r="L42" i="6"/>
  <c r="G42" i="6"/>
  <c r="B43" i="9" l="1"/>
  <c r="F43" i="9" s="1"/>
  <c r="K42" i="6"/>
  <c r="I42" i="6"/>
  <c r="H42" i="6"/>
  <c r="J42" i="6"/>
  <c r="O42" i="6"/>
  <c r="M42" i="6"/>
  <c r="N42" i="6"/>
  <c r="P42" i="6"/>
  <c r="G43" i="9" l="1"/>
  <c r="L43" i="9"/>
  <c r="C42" i="6"/>
  <c r="B43" i="6"/>
  <c r="F43" i="6" s="1"/>
  <c r="N43" i="9" l="1"/>
  <c r="M43" i="9"/>
  <c r="O43" i="9"/>
  <c r="P43" i="9"/>
  <c r="K43" i="9"/>
  <c r="J43" i="9"/>
  <c r="H43" i="9"/>
  <c r="I43" i="9"/>
  <c r="G43" i="6"/>
  <c r="L43" i="6"/>
  <c r="B44" i="9" l="1"/>
  <c r="F44" i="9" s="1"/>
  <c r="C43" i="9"/>
  <c r="P43" i="6"/>
  <c r="M43" i="6"/>
  <c r="N43" i="6"/>
  <c r="O43" i="6"/>
  <c r="K43" i="6"/>
  <c r="I43" i="6"/>
  <c r="H43" i="6"/>
  <c r="B44" i="6" s="1"/>
  <c r="F44" i="6" s="1"/>
  <c r="J43" i="6"/>
  <c r="G44" i="9" l="1"/>
  <c r="L44" i="9"/>
  <c r="L44" i="6"/>
  <c r="G44" i="6"/>
  <c r="C43" i="6"/>
  <c r="P44" i="9" l="1"/>
  <c r="O44" i="9"/>
  <c r="N44" i="9"/>
  <c r="M44" i="9"/>
  <c r="C44" i="9" s="1"/>
  <c r="J44" i="9"/>
  <c r="K44" i="9"/>
  <c r="H44" i="9"/>
  <c r="I44" i="9"/>
  <c r="K44" i="6"/>
  <c r="H44" i="6"/>
  <c r="J44" i="6"/>
  <c r="I44" i="6"/>
  <c r="O44" i="6"/>
  <c r="M44" i="6"/>
  <c r="N44" i="6"/>
  <c r="P44" i="6"/>
  <c r="B45" i="9" l="1"/>
  <c r="F45" i="9" s="1"/>
  <c r="B45" i="6"/>
  <c r="F45" i="6" s="1"/>
  <c r="C44" i="6"/>
  <c r="L45" i="9" l="1"/>
  <c r="G45" i="9"/>
  <c r="L45" i="6"/>
  <c r="G45" i="6"/>
  <c r="J45" i="9" l="1"/>
  <c r="H45" i="9"/>
  <c r="B46" i="9" s="1"/>
  <c r="F46" i="9" s="1"/>
  <c r="K45" i="9"/>
  <c r="I45" i="9"/>
  <c r="M45" i="9"/>
  <c r="O45" i="9"/>
  <c r="P45" i="9"/>
  <c r="N45" i="9"/>
  <c r="H45" i="6"/>
  <c r="K45" i="6"/>
  <c r="I45" i="6"/>
  <c r="J45" i="6"/>
  <c r="N45" i="6"/>
  <c r="O45" i="6"/>
  <c r="M45" i="6"/>
  <c r="C45" i="6" s="1"/>
  <c r="P45" i="6"/>
  <c r="C45" i="9" l="1"/>
  <c r="G46" i="9"/>
  <c r="L46" i="9"/>
  <c r="B46" i="6"/>
  <c r="F46" i="6" s="1"/>
  <c r="P46" i="9" l="1"/>
  <c r="M46" i="9"/>
  <c r="N46" i="9"/>
  <c r="O46" i="9"/>
  <c r="K46" i="9"/>
  <c r="J46" i="9"/>
  <c r="I46" i="9"/>
  <c r="H46" i="9"/>
  <c r="L46" i="6"/>
  <c r="G46" i="6"/>
  <c r="B47" i="9" l="1"/>
  <c r="F47" i="9" s="1"/>
  <c r="C46" i="9"/>
  <c r="I46" i="6"/>
  <c r="H46" i="6"/>
  <c r="J46" i="6"/>
  <c r="K46" i="6"/>
  <c r="P46" i="6"/>
  <c r="M46" i="6"/>
  <c r="N46" i="6"/>
  <c r="O46" i="6"/>
  <c r="L47" i="9" l="1"/>
  <c r="G47" i="9"/>
  <c r="C46" i="6"/>
  <c r="B47" i="6"/>
  <c r="F47" i="6" s="1"/>
  <c r="J47" i="9" l="1"/>
  <c r="I47" i="9"/>
  <c r="K47" i="9"/>
  <c r="H47" i="9"/>
  <c r="B48" i="9" s="1"/>
  <c r="F48" i="9" s="1"/>
  <c r="P47" i="9"/>
  <c r="N47" i="9"/>
  <c r="O47" i="9"/>
  <c r="M47" i="9"/>
  <c r="L47" i="6"/>
  <c r="G47" i="6"/>
  <c r="C47" i="9" l="1"/>
  <c r="L48" i="9"/>
  <c r="G48" i="9"/>
  <c r="J47" i="6"/>
  <c r="H47" i="6"/>
  <c r="B48" i="6" s="1"/>
  <c r="F48" i="6" s="1"/>
  <c r="K47" i="6"/>
  <c r="I47" i="6"/>
  <c r="N47" i="6"/>
  <c r="P47" i="6"/>
  <c r="M47" i="6"/>
  <c r="O47" i="6"/>
  <c r="J48" i="9" l="1"/>
  <c r="I48" i="9"/>
  <c r="H48" i="9"/>
  <c r="B49" i="9" s="1"/>
  <c r="F49" i="9" s="1"/>
  <c r="K48" i="9"/>
  <c r="M48" i="9"/>
  <c r="O48" i="9"/>
  <c r="N48" i="9"/>
  <c r="P48" i="9"/>
  <c r="C47" i="6"/>
  <c r="L48" i="6"/>
  <c r="G48" i="6"/>
  <c r="G49" i="9" l="1"/>
  <c r="L49" i="9"/>
  <c r="C48" i="9"/>
  <c r="J48" i="6"/>
  <c r="H48" i="6"/>
  <c r="K48" i="6"/>
  <c r="I48" i="6"/>
  <c r="M48" i="6"/>
  <c r="P48" i="6"/>
  <c r="N48" i="6"/>
  <c r="O48" i="6"/>
  <c r="P49" i="9" l="1"/>
  <c r="O49" i="9"/>
  <c r="N49" i="9"/>
  <c r="M49" i="9"/>
  <c r="I49" i="9"/>
  <c r="J49" i="9"/>
  <c r="K49" i="9"/>
  <c r="H49" i="9"/>
  <c r="B49" i="6"/>
  <c r="F49" i="6" s="1"/>
  <c r="C48" i="6"/>
  <c r="B50" i="9" l="1"/>
  <c r="F50" i="9" s="1"/>
  <c r="C49" i="9"/>
  <c r="L49" i="6"/>
  <c r="G49" i="6"/>
  <c r="L50" i="9" l="1"/>
  <c r="G50" i="9"/>
  <c r="I49" i="6"/>
  <c r="J49" i="6"/>
  <c r="H49" i="6"/>
  <c r="B50" i="6" s="1"/>
  <c r="F50" i="6" s="1"/>
  <c r="K49" i="6"/>
  <c r="P49" i="6"/>
  <c r="M49" i="6"/>
  <c r="O49" i="6"/>
  <c r="N49" i="6"/>
  <c r="I50" i="9" l="1"/>
  <c r="H50" i="9"/>
  <c r="J50" i="9"/>
  <c r="K50" i="9"/>
  <c r="O50" i="9"/>
  <c r="N50" i="9"/>
  <c r="M50" i="9"/>
  <c r="C50" i="9" s="1"/>
  <c r="P50" i="9"/>
  <c r="L50" i="6"/>
  <c r="G50" i="6"/>
  <c r="C49" i="6"/>
  <c r="B51" i="9" l="1"/>
  <c r="F51" i="9" s="1"/>
  <c r="K50" i="6"/>
  <c r="H50" i="6"/>
  <c r="I50" i="6"/>
  <c r="J50" i="6"/>
  <c r="P50" i="6"/>
  <c r="N50" i="6"/>
  <c r="O50" i="6"/>
  <c r="M50" i="6"/>
  <c r="C50" i="6" s="1"/>
  <c r="L51" i="9" l="1"/>
  <c r="G51" i="9"/>
  <c r="B51" i="6"/>
  <c r="F51" i="6" s="1"/>
  <c r="J51" i="9" l="1"/>
  <c r="H51" i="9"/>
  <c r="B52" i="9" s="1"/>
  <c r="F52" i="9" s="1"/>
  <c r="I51" i="9"/>
  <c r="K51" i="9"/>
  <c r="O51" i="9"/>
  <c r="P51" i="9"/>
  <c r="N51" i="9"/>
  <c r="M51" i="9"/>
  <c r="C51" i="9" s="1"/>
  <c r="L51" i="6"/>
  <c r="G51" i="6"/>
  <c r="L52" i="9" l="1"/>
  <c r="G52" i="9"/>
  <c r="J51" i="6"/>
  <c r="K51" i="6"/>
  <c r="I51" i="6"/>
  <c r="H51" i="6"/>
  <c r="B52" i="6" s="1"/>
  <c r="F52" i="6" s="1"/>
  <c r="N51" i="6"/>
  <c r="P51" i="6"/>
  <c r="O51" i="6"/>
  <c r="M51" i="6"/>
  <c r="C51" i="6" s="1"/>
  <c r="I52" i="9" l="1"/>
  <c r="H52" i="9"/>
  <c r="K52" i="9"/>
  <c r="J52" i="9"/>
  <c r="O52" i="9"/>
  <c r="M52" i="9"/>
  <c r="C52" i="9" s="1"/>
  <c r="P52" i="9"/>
  <c r="N52" i="9"/>
  <c r="G52" i="6"/>
  <c r="L52" i="6"/>
  <c r="B53" i="9" l="1"/>
  <c r="F53" i="9" s="1"/>
  <c r="N52" i="6"/>
  <c r="M52" i="6"/>
  <c r="O52" i="6"/>
  <c r="P52" i="6"/>
  <c r="H52" i="6"/>
  <c r="K52" i="6"/>
  <c r="I52" i="6"/>
  <c r="J52" i="6"/>
  <c r="L53" i="9" l="1"/>
  <c r="G53" i="9"/>
  <c r="B53" i="6"/>
  <c r="F53" i="6" s="1"/>
  <c r="C52" i="6"/>
  <c r="K53" i="9" l="1"/>
  <c r="J53" i="9"/>
  <c r="I53" i="9"/>
  <c r="H53" i="9"/>
  <c r="P53" i="9"/>
  <c r="O53" i="9"/>
  <c r="N53" i="9"/>
  <c r="M53" i="9"/>
  <c r="L53" i="6"/>
  <c r="G53" i="6"/>
  <c r="B54" i="9" l="1"/>
  <c r="F54" i="9" s="1"/>
  <c r="C53" i="9"/>
  <c r="H53" i="6"/>
  <c r="I53" i="6"/>
  <c r="J53" i="6"/>
  <c r="K53" i="6"/>
  <c r="P53" i="6"/>
  <c r="M53" i="6"/>
  <c r="N53" i="6"/>
  <c r="O53" i="6"/>
  <c r="L54" i="9" l="1"/>
  <c r="G54" i="9"/>
  <c r="C53" i="6"/>
  <c r="B54" i="6"/>
  <c r="F54" i="6" s="1"/>
  <c r="H54" i="9" l="1"/>
  <c r="B55" i="9" s="1"/>
  <c r="F55" i="9" s="1"/>
  <c r="K54" i="9"/>
  <c r="J54" i="9"/>
  <c r="I54" i="9"/>
  <c r="O54" i="9"/>
  <c r="N54" i="9"/>
  <c r="P54" i="9"/>
  <c r="M54" i="9"/>
  <c r="L54" i="6"/>
  <c r="G54" i="6"/>
  <c r="C54" i="9" l="1"/>
  <c r="L55" i="9"/>
  <c r="G55" i="9"/>
  <c r="H54" i="6"/>
  <c r="K54" i="6"/>
  <c r="I54" i="6"/>
  <c r="J54" i="6"/>
  <c r="M54" i="6"/>
  <c r="O54" i="6"/>
  <c r="N54" i="6"/>
  <c r="P54" i="6"/>
  <c r="M55" i="9" l="1"/>
  <c r="P55" i="9"/>
  <c r="N55" i="9"/>
  <c r="O55" i="9"/>
  <c r="K55" i="9"/>
  <c r="H55" i="9"/>
  <c r="J55" i="9"/>
  <c r="I55" i="9"/>
  <c r="C54" i="6"/>
  <c r="B55" i="6"/>
  <c r="F55" i="6" s="1"/>
  <c r="B56" i="9" l="1"/>
  <c r="F56" i="9" s="1"/>
  <c r="C55" i="9"/>
  <c r="L55" i="6"/>
  <c r="G55" i="6"/>
  <c r="L56" i="9" l="1"/>
  <c r="G56" i="9"/>
  <c r="I55" i="6"/>
  <c r="J55" i="6"/>
  <c r="K55" i="6"/>
  <c r="H55" i="6"/>
  <c r="M55" i="6"/>
  <c r="O55" i="6"/>
  <c r="N55" i="6"/>
  <c r="P55" i="6"/>
  <c r="K56" i="9" l="1"/>
  <c r="I56" i="9"/>
  <c r="J56" i="9"/>
  <c r="H56" i="9"/>
  <c r="N56" i="9"/>
  <c r="M56" i="9"/>
  <c r="O56" i="9"/>
  <c r="P56" i="9"/>
  <c r="C55" i="6"/>
  <c r="B56" i="6"/>
  <c r="F56" i="6" s="1"/>
  <c r="B57" i="9" l="1"/>
  <c r="F57" i="9" s="1"/>
  <c r="C56" i="9"/>
  <c r="G56" i="6"/>
  <c r="L56" i="6"/>
  <c r="G57" i="9" l="1"/>
  <c r="L57" i="9"/>
  <c r="M56" i="6"/>
  <c r="N56" i="6"/>
  <c r="O56" i="6"/>
  <c r="P56" i="6"/>
  <c r="I56" i="6"/>
  <c r="H56" i="6"/>
  <c r="K56" i="6"/>
  <c r="J56" i="6"/>
  <c r="N57" i="9" l="1"/>
  <c r="M57" i="9"/>
  <c r="P57" i="9"/>
  <c r="O57" i="9"/>
  <c r="H57" i="9"/>
  <c r="J57" i="9"/>
  <c r="I57" i="9"/>
  <c r="K57" i="9"/>
  <c r="B57" i="6"/>
  <c r="F57" i="6" s="1"/>
  <c r="C56" i="6"/>
  <c r="B58" i="9" l="1"/>
  <c r="F58" i="9" s="1"/>
  <c r="C57" i="9"/>
  <c r="L57" i="6"/>
  <c r="G57" i="6"/>
  <c r="G58" i="9" l="1"/>
  <c r="L58" i="9"/>
  <c r="I57" i="6"/>
  <c r="H57" i="6"/>
  <c r="K57" i="6"/>
  <c r="J57" i="6"/>
  <c r="M57" i="6"/>
  <c r="P57" i="6"/>
  <c r="O57" i="6"/>
  <c r="N57" i="6"/>
  <c r="P58" i="9" l="1"/>
  <c r="O58" i="9"/>
  <c r="M58" i="9"/>
  <c r="N58" i="9"/>
  <c r="K58" i="9"/>
  <c r="J58" i="9"/>
  <c r="H58" i="9"/>
  <c r="I58" i="9"/>
  <c r="C57" i="6"/>
  <c r="B58" i="6"/>
  <c r="F58" i="6" s="1"/>
  <c r="B59" i="9" l="1"/>
  <c r="F59" i="9" s="1"/>
  <c r="C58" i="9"/>
  <c r="L58" i="6"/>
  <c r="G58" i="6"/>
  <c r="G59" i="9" l="1"/>
  <c r="L59" i="9"/>
  <c r="J58" i="6"/>
  <c r="H58" i="6"/>
  <c r="I58" i="6"/>
  <c r="K58" i="6"/>
  <c r="N58" i="6"/>
  <c r="O58" i="6"/>
  <c r="P58" i="6"/>
  <c r="M58" i="6"/>
  <c r="N59" i="9" l="1"/>
  <c r="M59" i="9"/>
  <c r="P59" i="9"/>
  <c r="O59" i="9"/>
  <c r="H59" i="9"/>
  <c r="K59" i="9"/>
  <c r="J59" i="9"/>
  <c r="I59" i="9"/>
  <c r="C58" i="6"/>
  <c r="B59" i="6"/>
  <c r="F59" i="6" s="1"/>
  <c r="B60" i="9" l="1"/>
  <c r="F60" i="9" s="1"/>
  <c r="C59" i="9"/>
  <c r="L59" i="6"/>
  <c r="G59" i="6"/>
  <c r="G60" i="9" l="1"/>
  <c r="L60" i="9"/>
  <c r="J59" i="6"/>
  <c r="H59" i="6"/>
  <c r="K59" i="6"/>
  <c r="I59" i="6"/>
  <c r="N59" i="6"/>
  <c r="P59" i="6"/>
  <c r="O59" i="6"/>
  <c r="M59" i="6"/>
  <c r="C59" i="6" s="1"/>
  <c r="P60" i="9" l="1"/>
  <c r="M60" i="9"/>
  <c r="O60" i="9"/>
  <c r="N60" i="9"/>
  <c r="K60" i="9"/>
  <c r="J60" i="9"/>
  <c r="H60" i="9"/>
  <c r="I60" i="9"/>
  <c r="B60" i="6"/>
  <c r="F60" i="6" s="1"/>
  <c r="B61" i="9" l="1"/>
  <c r="F61" i="9" s="1"/>
  <c r="C60" i="9"/>
  <c r="L60" i="6"/>
  <c r="G60" i="6"/>
  <c r="G61" i="9" l="1"/>
  <c r="L61" i="9"/>
  <c r="K60" i="6"/>
  <c r="I60" i="6"/>
  <c r="H60" i="6"/>
  <c r="B61" i="6" s="1"/>
  <c r="F61" i="6" s="1"/>
  <c r="J60" i="6"/>
  <c r="M60" i="6"/>
  <c r="C60" i="6" s="1"/>
  <c r="N60" i="6"/>
  <c r="P60" i="6"/>
  <c r="O60" i="6"/>
  <c r="K61" i="9" l="1"/>
  <c r="J61" i="9"/>
  <c r="I61" i="9"/>
  <c r="H61" i="9"/>
  <c r="B62" i="9" s="1"/>
  <c r="F62" i="9" s="1"/>
  <c r="P61" i="9"/>
  <c r="N61" i="9"/>
  <c r="M61" i="9"/>
  <c r="O61" i="9"/>
  <c r="L61" i="6"/>
  <c r="G61" i="6"/>
  <c r="C61" i="9" l="1"/>
  <c r="G62" i="9"/>
  <c r="L62" i="9"/>
  <c r="K61" i="6"/>
  <c r="J61" i="6"/>
  <c r="H61" i="6"/>
  <c r="I61" i="6"/>
  <c r="P61" i="6"/>
  <c r="N61" i="6"/>
  <c r="O61" i="6"/>
  <c r="M61" i="6"/>
  <c r="C61" i="6" s="1"/>
  <c r="P62" i="9" l="1"/>
  <c r="O62" i="9"/>
  <c r="N62" i="9"/>
  <c r="M62" i="9"/>
  <c r="C62" i="9" s="1"/>
  <c r="K62" i="9"/>
  <c r="I62" i="9"/>
  <c r="H62" i="9"/>
  <c r="B63" i="9" s="1"/>
  <c r="F63" i="9" s="1"/>
  <c r="J62" i="9"/>
  <c r="B62" i="6"/>
  <c r="F62" i="6" s="1"/>
  <c r="L63" i="9" l="1"/>
  <c r="G63" i="9"/>
  <c r="L62" i="6"/>
  <c r="G62" i="6"/>
  <c r="J63" i="9" l="1"/>
  <c r="I63" i="9"/>
  <c r="H63" i="9"/>
  <c r="K63" i="9"/>
  <c r="P63" i="9"/>
  <c r="O63" i="9"/>
  <c r="N63" i="9"/>
  <c r="M63" i="9"/>
  <c r="I62" i="6"/>
  <c r="K62" i="6"/>
  <c r="H62" i="6"/>
  <c r="J62" i="6"/>
  <c r="M62" i="6"/>
  <c r="P62" i="6"/>
  <c r="O62" i="6"/>
  <c r="N62" i="6"/>
  <c r="B64" i="9" l="1"/>
  <c r="F64" i="9" s="1"/>
  <c r="C63" i="9"/>
  <c r="B63" i="6"/>
  <c r="F63" i="6" s="1"/>
  <c r="C62" i="6"/>
  <c r="L64" i="9" l="1"/>
  <c r="G64" i="9"/>
  <c r="G63" i="6"/>
  <c r="L63" i="6"/>
  <c r="K64" i="9" l="1"/>
  <c r="I64" i="9"/>
  <c r="H64" i="9"/>
  <c r="J64" i="9"/>
  <c r="M64" i="9"/>
  <c r="P64" i="9"/>
  <c r="O64" i="9"/>
  <c r="N64" i="9"/>
  <c r="N63" i="6"/>
  <c r="P63" i="6"/>
  <c r="M63" i="6"/>
  <c r="O63" i="6"/>
  <c r="I63" i="6"/>
  <c r="H63" i="6"/>
  <c r="B64" i="6" s="1"/>
  <c r="F64" i="6" s="1"/>
  <c r="J63" i="6"/>
  <c r="K63" i="6"/>
  <c r="C64" i="9" l="1"/>
  <c r="B65" i="9"/>
  <c r="F65" i="9" s="1"/>
  <c r="L64" i="6"/>
  <c r="G64" i="6"/>
  <c r="C63" i="6"/>
  <c r="L65" i="9" l="1"/>
  <c r="G65" i="9"/>
  <c r="J64" i="6"/>
  <c r="H64" i="6"/>
  <c r="I64" i="6"/>
  <c r="K64" i="6"/>
  <c r="N64" i="6"/>
  <c r="M64" i="6"/>
  <c r="O64" i="6"/>
  <c r="P64" i="6"/>
  <c r="K65" i="9" l="1"/>
  <c r="J65" i="9"/>
  <c r="I65" i="9"/>
  <c r="H65" i="9"/>
  <c r="P65" i="9"/>
  <c r="O65" i="9"/>
  <c r="N65" i="9"/>
  <c r="M65" i="9"/>
  <c r="C64" i="6"/>
  <c r="B65" i="6"/>
  <c r="F65" i="6" s="1"/>
  <c r="C65" i="9" l="1"/>
  <c r="L65" i="6"/>
  <c r="G65" i="6"/>
  <c r="I65" i="6" l="1"/>
  <c r="J65" i="6"/>
  <c r="K65" i="6"/>
  <c r="H65" i="6"/>
  <c r="O65" i="6"/>
  <c r="N65" i="6"/>
  <c r="P65" i="6"/>
  <c r="M65" i="6"/>
  <c r="C65" i="6" s="1"/>
</calcChain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<sst xmlns="http://schemas.openxmlformats.org/spreadsheetml/2006/main" count="531" uniqueCount="210">
  <si>
    <t>編號</t>
  </si>
  <si>
    <t>Text</t>
  </si>
  <si>
    <t>Translation</t>
  </si>
  <si>
    <t>可匯出SRT</t>
  </si>
  <si>
    <t>00:00:00,000</t>
  </si>
  <si>
    <t>《海海人生》</t>
  </si>
  <si>
    <t>想著會驚</t>
  </si>
  <si>
    <t>有人真古意</t>
  </si>
  <si>
    <t>常常嘛是有人變卦</t>
  </si>
  <si>
    <t>這人情怎樣</t>
  </si>
  <si>
    <t>才看會破</t>
  </si>
  <si>
    <t>人說這人生</t>
  </si>
  <si>
    <t>海海海海路好行</t>
  </si>
  <si>
    <t>Hái-hái hái-hái lōo hó-kiânn</t>
  </si>
  <si>
    <t>00:00:48,000</t>
  </si>
  <si>
    <t>毋通越頭望</t>
  </si>
  <si>
    <t>望著會茫</t>
  </si>
  <si>
    <t>Bāng-tio̍h ē bâng</t>
  </si>
  <si>
    <t>有人愛著阮</t>
  </si>
  <si>
    <t>Ū lâng ài-tio̍h gún</t>
  </si>
  <si>
    <t>偏偏阮愛的是別人</t>
  </si>
  <si>
    <t>Phian-phian gún ài--ê sī pa̍t-lâng</t>
  </si>
  <si>
    <t>這情債</t>
  </si>
  <si>
    <t>怎樣計較輸贏</t>
  </si>
  <si>
    <t>Tsuánn-iūnn kè-kàu su-iânn</t>
  </si>
  <si>
    <t>輕輕鬆鬆</t>
  </si>
  <si>
    <t>Khin-khin sang-sang</t>
  </si>
  <si>
    <t>人生路途阮來行</t>
  </si>
  <si>
    <t>Jîn-sing lōo-tôo gún lâi kiânn</t>
  </si>
  <si>
    <t>無人是應該</t>
  </si>
  <si>
    <t>Bô lâng sī ing-kai</t>
  </si>
  <si>
    <t>永遠孤單</t>
  </si>
  <si>
    <t>Íng-uán koo-tuann</t>
  </si>
  <si>
    <t>阮會歡喜</t>
  </si>
  <si>
    <t>Gún ē huann-hí</t>
  </si>
  <si>
    <t>有緣你做伴</t>
  </si>
  <si>
    <t>欲離開</t>
  </si>
  <si>
    <t>Beh lī-khui</t>
  </si>
  <si>
    <t>笑笑阮無牽掛</t>
  </si>
  <si>
    <t>00:02:48,000</t>
  </si>
  <si>
    <t>00:02:56,000</t>
  </si>
  <si>
    <t>00:03:04,000</t>
  </si>
  <si>
    <t>00:03:16,000</t>
  </si>
  <si>
    <t>00:03:36,000</t>
  </si>
  <si>
    <t>00:03:56,000</t>
  </si>
  <si>
    <t>複製這裡的 Python，貼進 Excel 的 PY 編輯器</t>
  </si>
  <si>
    <t>步驟：選 D5 或 K2 → 輸入 =PY → Tab → 貼上右欄腳本 → Ctrl+Enter → 改為 Excel 值。D5:E9 與 K2 右側／下方必須全空。</t>
  </si>
  <si>
    <t>貼到哪裡</t>
  </si>
  <si>
    <t>Python 腳本（整格複製）</t>
  </si>
  <si>
    <t>SRT!D2:D62</t>
    <phoneticPr fontId="2" type="noConversion"/>
  </si>
  <si>
    <t>def to_ms(v):
    if v is None or v == "":
        return 0
    if hasattr(v, "hour"):
        return (
            (v.hour * 3600 + v.minute * 60 + v.second) * 1000
            + int(getattr(v, "microsecond", 0) / 1000)
        )
    if isinstance(v, (int, float)) and not isinstance(v, bool):
        return float(v)
    text = str(v).strip()
    if ":" in text:
        h, m, rest = text.split(":")
        sec, ms = rest.replace(".", ",").split(",")
        return (int(h) * 3600 + int(m) * 60 + int(sec)) * 1000 + int(ms)
    return float(text.replace(",", ""))
def ms_to_srt(ms):
    ms = int(round(float(ms)))
    sign = "-" if ms &lt; 0 else ""
    ms = abs(ms)
    h, rem = divmod(ms, 3600000)
    mi, rem = divmod(rem, 60000)
    sec, milli = divmod(rem, 1000)
    return f"{sign}{h:02d}:{mi:02d}:{sec:02d},{milli:03d}"
ms_to_srt(to_ms(xl("C2")) - to_ms(xl("B2")))</t>
    <phoneticPr fontId="2" type="noConversion"/>
  </si>
  <si>
    <t>End</t>
    <phoneticPr fontId="2" type="noConversion"/>
  </si>
  <si>
    <t>人說這心情</t>
    <phoneticPr fontId="2" type="noConversion"/>
  </si>
  <si>
    <t>罕罕罕罕卡快活</t>
    <phoneticPr fontId="2" type="noConversion"/>
  </si>
  <si>
    <t>Nvim 代換</t>
    <phoneticPr fontId="2" type="noConversion"/>
  </si>
  <si>
    <t>:%s/\v^"(\d\+)/\1/g
:%s/"$//g</t>
    <phoneticPr fontId="2" type="noConversion"/>
  </si>
  <si>
    <t>:%s/^"\(\d\+\)/\1/g
:%s/"$//g</t>
    <phoneticPr fontId="2" type="noConversion"/>
  </si>
  <si>
    <t>def to_ms(v):
    if v is None or v == "":
        return 0
    if hasattr(v, "hour"):
        return (
            (v.hour * 3600 + v.minute * 60 + v.second) * 1000
            + int(getattr(v, "microsecond", 0) / 1000)
        )
    if isinstance(v, (int, float)) and not isinstance(v, bool):
        return float(v)
    text = str(v).strip()
    if ":" in text:
        h, m, rest = text.split(":")
        sec, ms = rest.replace(".", ",").split(",")
        return (int(h) * 3600 + int(m) * 60 + int(sec)) * 1000 + int(ms)
    return float(text.replace(",", ""))
def ms_to_srt(ms):
    ms = int(round(float(ms)))
    sign = "-" if ms &lt; 0 else ""
    ms = abs(ms)
    h, rem = divmod(ms, 3600000)
    mi, rem = divmod(rem, 60000)
    sec, milli = divmod(rem, 1000)
    return f"{sign}{h:02d}:{mi:02d}:{sec:02d},{milli:03d}"
ms_to_srt(to_ms(xl("B2")) + to_ms(xl("D2")))</t>
    <phoneticPr fontId="11" type="noConversion"/>
  </si>
  <si>
    <t>計算 Hide 時刻 = Show + Duration</t>
    <phoneticPr fontId="2" type="noConversion"/>
  </si>
  <si>
    <t>計算 Duration 時間長度： Duration = Hide - Show</t>
    <phoneticPr fontId="2" type="noConversion"/>
  </si>
  <si>
    <t>00:00:50,324</t>
  </si>
  <si>
    <t>00:00:53,920</t>
  </si>
  <si>
    <t>00:00:55,000</t>
  </si>
  <si>
    <t>00:00:59,000</t>
  </si>
  <si>
    <t>00:01:01,917</t>
  </si>
  <si>
    <t>00:01:04,001</t>
  </si>
  <si>
    <t>00:01:07,003</t>
  </si>
  <si>
    <t>00:01:11,006</t>
  </si>
  <si>
    <t>00:01:13,010</t>
  </si>
  <si>
    <t>00:01:16,015</t>
  </si>
  <si>
    <t>00:01:18,021</t>
  </si>
  <si>
    <t>00:01:22,028</t>
  </si>
  <si>
    <t>00:01:24,036</t>
  </si>
  <si>
    <t>00:01:28,045</t>
  </si>
  <si>
    <t>00:01:29,055</t>
  </si>
  <si>
    <t>00:01:34,066</t>
  </si>
  <si>
    <t>00:01:36,078</t>
  </si>
  <si>
    <t>00:01:39,069</t>
  </si>
  <si>
    <t>00:01:41,712</t>
  </si>
  <si>
    <t>00:01:45,120</t>
  </si>
  <si>
    <t>00:01:48,136</t>
  </si>
  <si>
    <t>00:01:50,153</t>
  </si>
  <si>
    <t>00:01:52,171</t>
  </si>
  <si>
    <t>00:01:56,190</t>
  </si>
  <si>
    <t>00:01:58,210</t>
  </si>
  <si>
    <t>00:02:02,231</t>
  </si>
  <si>
    <t>00:02:04,253</t>
  </si>
  <si>
    <t>00:02:08,276</t>
  </si>
  <si>
    <t>00:02:10,300</t>
  </si>
  <si>
    <t>00:02:13,325</t>
  </si>
  <si>
    <t>00:02:14,351</t>
  </si>
  <si>
    <t>00:02:50,406</t>
  </si>
  <si>
    <t>00:02:53,435</t>
  </si>
  <si>
    <t>00:02:59,000</t>
  </si>
  <si>
    <t>00:03:01,000</t>
  </si>
  <si>
    <t>00:03:06,000</t>
  </si>
  <si>
    <t>00:03:10,000</t>
  </si>
  <si>
    <t>00:03:13,000</t>
  </si>
  <si>
    <t>00:03:18,000</t>
  </si>
  <si>
    <t>00:03:22,000</t>
  </si>
  <si>
    <t>00:03:25,000</t>
  </si>
  <si>
    <t>00:03:27,000</t>
  </si>
  <si>
    <t>00:03:29,000</t>
  </si>
  <si>
    <t>00:03:33,000</t>
  </si>
  <si>
    <t>00:03:39,000</t>
  </si>
  <si>
    <t>00:03:41,000</t>
  </si>
  <si>
    <t>00:03:45,000</t>
  </si>
  <si>
    <t>00:03:47,000</t>
  </si>
  <si>
    <t>00:03:50,000</t>
  </si>
  <si>
    <t>00:04:03,000</t>
  </si>
  <si>
    <t>00:03:51,000</t>
  </si>
  <si>
    <t>00:03:57,000</t>
  </si>
  <si>
    <t>00:04:01,000</t>
  </si>
  <si>
    <t>00:04:14,000</t>
  </si>
  <si>
    <t>下一個編號的 Show 時刻</t>
    <phoneticPr fontId="2" type="noConversion"/>
  </si>
  <si>
    <t xml:space="preserve">計算此編號的 Hide 時刻 ==》 Hide Value = Show Value + Duration </t>
    <phoneticPr fontId="2" type="noConversion"/>
  </si>
  <si>
    <t>顯示時刻</t>
    <phoneticPr fontId="2" type="noConversion"/>
  </si>
  <si>
    <t>00:00:00,000</t>
    <phoneticPr fontId="2" type="noConversion"/>
  </si>
  <si>
    <t>時</t>
  </si>
  <si>
    <t>時</t>
    <phoneticPr fontId="2" type="noConversion"/>
  </si>
  <si>
    <t>分</t>
  </si>
  <si>
    <t>分</t>
    <phoneticPr fontId="2" type="noConversion"/>
  </si>
  <si>
    <t>秒</t>
  </si>
  <si>
    <t>秒</t>
    <phoneticPr fontId="2" type="noConversion"/>
  </si>
  <si>
    <t>毫秒</t>
  </si>
  <si>
    <t>毫秒</t>
    <phoneticPr fontId="2" type="noConversion"/>
  </si>
  <si>
    <t>顯示時刻值（毫秒）</t>
    <phoneticPr fontId="2" type="noConversion"/>
  </si>
  <si>
    <t>次顯示時刻值 （毫秒）</t>
    <phoneticPr fontId="2" type="noConversion"/>
  </si>
  <si>
    <t>到下個顯示時刻時長  （秒）</t>
    <phoneticPr fontId="2" type="noConversion"/>
  </si>
  <si>
    <t>隱藏時刻</t>
    <phoneticPr fontId="2" type="noConversion"/>
  </si>
  <si>
    <t>隱藏時刻值  （毫秒）</t>
    <phoneticPr fontId="2" type="noConversion"/>
  </si>
  <si>
    <t>持續時間
（秒）</t>
    <phoneticPr fontId="2" type="noConversion"/>
  </si>
  <si>
    <t>顯示</t>
    <phoneticPr fontId="2" type="noConversion"/>
  </si>
  <si>
    <t>隱藏</t>
    <phoneticPr fontId="2" type="noConversion"/>
  </si>
  <si>
    <t>顯示值
（毫秒）</t>
    <phoneticPr fontId="2" type="noConversion"/>
  </si>
  <si>
    <t>隱藏值
（毫秒）</t>
    <phoneticPr fontId="2" type="noConversion"/>
  </si>
  <si>
    <t>持續時間
（毫秒）</t>
    <phoneticPr fontId="2" type="noConversion"/>
  </si>
  <si>
    <r>
      <t>毋通太</t>
    </r>
    <r>
      <rPr>
        <sz val="18"/>
        <color rgb="FFFF0000"/>
        <rFont val="Microsoft JhengHei"/>
        <family val="2"/>
      </rPr>
      <t>陰鴆</t>
    </r>
    <phoneticPr fontId="2" type="noConversion"/>
  </si>
  <si>
    <t>Lâng kóng tsé jîn-sing</t>
  </si>
  <si>
    <t>00:02:22,000</t>
    <phoneticPr fontId="2" type="noConversion"/>
  </si>
  <si>
    <t>Key</t>
    <phoneticPr fontId="26" type="noConversion"/>
  </si>
  <si>
    <t>Value</t>
    <phoneticPr fontId="26" type="noConversion"/>
  </si>
  <si>
    <t>FILE_NAME</t>
  </si>
  <si>
    <r>
      <rPr>
        <sz val="18"/>
        <color theme="1"/>
        <rFont val="Noto Sans TC"/>
        <family val="2"/>
        <charset val="136"/>
      </rPr>
      <t>【字幕】《帛書版道德經。第十一章》</t>
    </r>
    <r>
      <rPr>
        <sz val="18"/>
        <color theme="1"/>
        <rFont val="Arial"/>
        <family val="2"/>
      </rPr>
      <t>.xlsx</t>
    </r>
    <phoneticPr fontId="2" type="noConversion"/>
  </si>
  <si>
    <t>TITLE</t>
  </si>
  <si>
    <t>IMAGE_URL</t>
  </si>
  <si>
    <t>Liok-Kok-Lun.png</t>
    <phoneticPr fontId="2" type="noConversion"/>
  </si>
  <si>
    <t>OUTPUT_PATH</t>
  </si>
  <si>
    <t>output9</t>
    <phoneticPr fontId="2" type="noConversion"/>
  </si>
  <si>
    <t>語音類型</t>
    <phoneticPr fontId="36" type="noConversion"/>
  </si>
  <si>
    <t>漢字庫</t>
    <phoneticPr fontId="36" type="noConversion"/>
  </si>
  <si>
    <t>河洛話</t>
    <phoneticPr fontId="2" type="noConversion"/>
  </si>
  <si>
    <t>漢字標音</t>
    <phoneticPr fontId="36" type="noConversion"/>
  </si>
  <si>
    <t>海海人生</t>
    <phoneticPr fontId="2" type="noConversion"/>
  </si>
  <si>
    <t>M̄-thang ua̍t-thâu bāng</t>
  </si>
  <si>
    <t>Tsé tsîng-tsè</t>
  </si>
  <si>
    <t>Ū-iân lí tsuè-phuānn</t>
  </si>
  <si>
    <t>Tshiò-tshiò gún bô khian-kuà</t>
  </si>
  <si>
    <t>注音二式</t>
  </si>
  <si>
    <t>白話音</t>
  </si>
  <si>
    <t>Hai2 hai2 chin1 shinn1</t>
  </si>
  <si>
    <t>Hai2 hai2 chin1 shinn1</t>
    <phoneticPr fontId="2" type="noConversion"/>
  </si>
  <si>
    <t>Chin1 seh4 ji2 shim1 jing5</t>
  </si>
  <si>
    <t>Chin1 seh4 ji2 shim1 jing5</t>
    <phoneticPr fontId="2" type="noConversion"/>
  </si>
  <si>
    <t>Han2 han2 han2 han2 zah8 kuainn3 uah8</t>
  </si>
  <si>
    <t>Han2 han2 han2 han2 zah8 kuainn3 uah8</t>
    <phoneticPr fontId="2" type="noConversion"/>
  </si>
  <si>
    <t>M7 tang3 tai3 im1 dim1</t>
  </si>
  <si>
    <t>M7 tang3 tai3 im1 dim1</t>
    <phoneticPr fontId="2" type="noConversion"/>
  </si>
  <si>
    <t>Shiunn7 diorh8 he7 giann1</t>
  </si>
  <si>
    <t>Shiunn7 diorh8 he7 giann1</t>
    <phoneticPr fontId="2" type="noConversion"/>
  </si>
  <si>
    <t>U7 chin1 jin1 goo2 i3</t>
  </si>
  <si>
    <t>U7 chin1 jin1 goo2 i3</t>
    <phoneticPr fontId="2" type="noConversion"/>
  </si>
  <si>
    <t>Shiunn5 shiunn5 ma01 shi2 u7 chin1 bian3 gua3</t>
  </si>
  <si>
    <t>Shiunn5 shiunn5 ma01 shi2 u7 chin1 bian3 gua3</t>
    <phoneticPr fontId="2" type="noConversion"/>
  </si>
  <si>
    <t>Ji2 chin1 jing5 zainn2 inn2</t>
  </si>
  <si>
    <t>Ji2 chin1 jing5 zainn2 inn2</t>
    <phoneticPr fontId="2" type="noConversion"/>
  </si>
  <si>
    <t>Zai5 kuann3 he7 por3</t>
  </si>
  <si>
    <t>Zai5 kuann3 he7 por3</t>
    <phoneticPr fontId="2" type="noConversion"/>
  </si>
  <si>
    <t>Chin1 seh4 ji2 chin1 shinn1</t>
  </si>
  <si>
    <t>Chin1 seh4 ji2 chin1 shinn1</t>
    <phoneticPr fontId="2" type="noConversion"/>
  </si>
  <si>
    <t>Hai2 hai2 hai2 hai2 loo7 haunn3 hang5</t>
  </si>
  <si>
    <t>Hai2 hai2 hai2 hai2 loo7 haunn3 hang5</t>
    <phoneticPr fontId="2" type="noConversion"/>
  </si>
  <si>
    <t>M7 tang3 uat8 tau5 bbang7</t>
  </si>
  <si>
    <t>M7 tang3 uat8 tau5 bbang7</t>
    <phoneticPr fontId="2" type="noConversion"/>
  </si>
  <si>
    <t>Bbang7 diorh8 he7 bbong5</t>
  </si>
  <si>
    <t>Bbang7 diorh8 he7 bbong5</t>
    <phoneticPr fontId="2" type="noConversion"/>
  </si>
  <si>
    <t>U7 chin1 ai3 diorh8 ng2</t>
  </si>
  <si>
    <t>U7 chin1 ai3 diorh8 ng2</t>
    <phoneticPr fontId="2" type="noConversion"/>
  </si>
  <si>
    <t>Tian1 tian1 ng2 ai3 e5 shi2 bat8 chin1</t>
  </si>
  <si>
    <t>Tian1 tian1 ng2 ai3 e5 shi2 bat8 chin1</t>
    <phoneticPr fontId="2" type="noConversion"/>
  </si>
  <si>
    <t>Ji2 jing5 ze3</t>
  </si>
  <si>
    <t>Ji2 jing5 ze3</t>
    <phoneticPr fontId="2" type="noConversion"/>
  </si>
  <si>
    <t>Zainn2 inn2 ge3 gau3 su1 iann5</t>
  </si>
  <si>
    <t>Zainn2 inn2 ge3 gau3 su1 iann5</t>
    <phoneticPr fontId="2" type="noConversion"/>
  </si>
  <si>
    <t>Kin1 kin1 sang1 sang1</t>
  </si>
  <si>
    <t>Kin1 kin1 sang1 sang1</t>
    <phoneticPr fontId="2" type="noConversion"/>
  </si>
  <si>
    <t>Chin1 shinn1 loo7 doo5 ng2 lai5 hang5</t>
  </si>
  <si>
    <t>Chin1 shinn1 loo7 doo5 ng2 lai5 hang5</t>
    <phoneticPr fontId="2" type="noConversion"/>
  </si>
  <si>
    <t>Bbu5 chin1 shi2 in3 gai1</t>
  </si>
  <si>
    <t>Bbu5 chin1 shi2 in3 gai1</t>
    <phoneticPr fontId="2" type="noConversion"/>
  </si>
  <si>
    <t>Ing2 uan7 goo1 kia1</t>
  </si>
  <si>
    <t>Ing2 uan7 goo1 kia1</t>
    <phoneticPr fontId="2" type="noConversion"/>
  </si>
  <si>
    <t>Ng2 he7 huan1 hi2</t>
  </si>
  <si>
    <t>Ng2 he7 huan1 hi2</t>
    <phoneticPr fontId="2" type="noConversion"/>
  </si>
  <si>
    <t>U7 ian5 ni2 zue3 puann7</t>
  </si>
  <si>
    <t>U7 ian5 ni2 zue3 puann7</t>
    <phoneticPr fontId="2" type="noConversion"/>
  </si>
  <si>
    <t>Bbeh1 li7 kui1</t>
  </si>
  <si>
    <t>Bbeh1 li7 kui1</t>
    <phoneticPr fontId="2" type="noConversion"/>
  </si>
  <si>
    <t>Chior3 chior3 ng2 bbu5 kian1 kua3</t>
  </si>
  <si>
    <t>Chior3 chior3 ng2 bbu5 kian1 kua3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</si>
</sst>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_-* #,##0_-;\-* #,##0_-;_-* &quot;-&quot;??_-;_-@_-"/>
    <numFmt numFmtId="177" formatCode="#,##0.000_);[Red]\(#,##0.000\)"/>
    <numFmt numFmtId="178" formatCode="#,##0_);[Red]\(#,##0\)"/>
  </numFmts>
  <fonts count="39">
    <font>
      <sz val="12"/>
      <color theme="1"/>
      <name val="新細明體"/>
      <family val="2"/>
      <charset val="136"/>
      <scheme val="minor"/>
    </font>
    <font>
      <b/>
      <sz val="11"/>
      <color rgb="FFFFFFFF"/>
      <name val="Microsoft JhengHei"/>
    </font>
    <font>
      <sz val="9"/>
      <name val="新細明體"/>
      <family val="2"/>
      <charset val="136"/>
      <scheme val="minor"/>
    </font>
    <font>
      <sz val="11"/>
      <name val="Microsoft JhengHei"/>
    </font>
    <font>
      <sz val="11"/>
      <color theme="1"/>
      <name val="新細明體"/>
      <family val="2"/>
      <scheme val="minor"/>
    </font>
    <font>
      <b/>
      <sz val="14"/>
      <color rgb="FFFFFFFF"/>
      <name val="Microsoft JhengHei"/>
    </font>
    <font>
      <sz val="10"/>
      <color rgb="FF595959"/>
      <name val="Microsoft JhengHei"/>
    </font>
    <font>
      <b/>
      <sz val="11"/>
      <name val="Microsoft JhengHei"/>
    </font>
    <font>
      <sz val="10"/>
      <name val="Consolas"/>
      <family val="3"/>
    </font>
    <font>
      <sz val="11"/>
      <color rgb="FFFF0000"/>
      <name val="Microsoft JhengHei"/>
    </font>
    <font>
      <b/>
      <sz val="11"/>
      <color rgb="FFFF0000"/>
      <name val="Microsoft JhengHei"/>
    </font>
    <font>
      <sz val="9"/>
      <name val="新細明體"/>
      <family val="3"/>
      <charset val="136"/>
      <scheme val="minor"/>
    </font>
    <font>
      <sz val="20"/>
      <name val="Consolas"/>
      <family val="3"/>
    </font>
    <font>
      <sz val="11"/>
      <color rgb="FFFF0000"/>
      <name val="Microsoft JhengHei"/>
      <family val="2"/>
    </font>
    <font>
      <sz val="12"/>
      <color theme="1"/>
      <name val="新細明體"/>
      <family val="2"/>
      <charset val="136"/>
      <scheme val="minor"/>
    </font>
    <font>
      <b/>
      <sz val="11"/>
      <color rgb="FFFFFF00"/>
      <name val="Microsoft JhengHei"/>
      <family val="2"/>
    </font>
    <font>
      <b/>
      <sz val="11"/>
      <color rgb="FF0070C0"/>
      <name val="Microsoft JhengHei"/>
    </font>
    <font>
      <b/>
      <sz val="18"/>
      <color rgb="FFFFFF00"/>
      <name val="Microsoft JhengHei"/>
    </font>
    <font>
      <sz val="18"/>
      <color theme="1"/>
      <name val="新細明體"/>
      <family val="2"/>
      <charset val="136"/>
      <scheme val="minor"/>
    </font>
    <font>
      <b/>
      <sz val="18"/>
      <color rgb="FFFFFFFF"/>
      <name val="Microsoft JhengHei"/>
    </font>
    <font>
      <sz val="18"/>
      <name val="Microsoft JhengHei"/>
    </font>
    <font>
      <b/>
      <sz val="18"/>
      <color rgb="FFFF0000"/>
      <name val="Microsoft JhengHei"/>
    </font>
    <font>
      <sz val="18"/>
      <color rgb="FFFF0000"/>
      <name val="Microsoft JhengHei"/>
      <family val="2"/>
    </font>
    <font>
      <sz val="18"/>
      <name val="Charis SIL"/>
    </font>
    <font>
      <sz val="18"/>
      <color theme="1"/>
      <name val="黒体-繁"/>
      <family val="2"/>
      <charset val="136"/>
    </font>
    <font>
      <b/>
      <sz val="18"/>
      <color theme="4"/>
      <name val="Malgun Gothic Semilight"/>
      <family val="2"/>
      <charset val="136"/>
    </font>
    <font>
      <sz val="9"/>
      <name val="黒体-繁"/>
      <family val="2"/>
      <charset val="136"/>
    </font>
    <font>
      <sz val="18"/>
      <color theme="1"/>
      <name val="微軟正黑體"/>
      <family val="2"/>
      <charset val="136"/>
    </font>
    <font>
      <sz val="18"/>
      <color theme="1"/>
      <name val="Arial"/>
      <family val="2"/>
      <charset val="136"/>
    </font>
    <font>
      <sz val="18"/>
      <color theme="1"/>
      <name val="Noto Sans TC"/>
      <family val="2"/>
      <charset val="136"/>
    </font>
    <font>
      <sz val="18"/>
      <color theme="1"/>
      <name val="Arial"/>
      <family val="2"/>
    </font>
    <font>
      <sz val="18"/>
      <color theme="1"/>
      <name val="新細明體"/>
      <family val="1"/>
      <charset val="136"/>
    </font>
    <font>
      <u/>
      <sz val="12"/>
      <color theme="10"/>
      <name val="新細明體"/>
      <family val="2"/>
      <charset val="136"/>
      <scheme val="minor"/>
    </font>
    <font>
      <u/>
      <sz val="18"/>
      <color theme="10"/>
      <name val="新細明體"/>
      <family val="2"/>
      <charset val="136"/>
      <scheme val="minor"/>
    </font>
    <font>
      <sz val="18"/>
      <color rgb="FFFF0000"/>
      <name val="微軟正黑體"/>
      <family val="2"/>
      <charset val="136"/>
    </font>
    <font>
      <sz val="18"/>
      <color theme="1"/>
      <name val="Noto Sans TC Medium"/>
      <family val="2"/>
      <charset val="136"/>
    </font>
    <font>
      <sz val="9"/>
      <name val="新細明體"/>
      <family val="1"/>
      <charset val="136"/>
      <scheme val="minor"/>
    </font>
    <font>
      <sz val="18"/>
      <color theme="1"/>
      <name val="Noto Serif TC Black"/>
      <family val="1"/>
      <charset val="136"/>
    </font>
    <font>
      <sz val="18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rgb="FFD0D5DD"/>
      </left>
      <right style="thin">
        <color rgb="FFD0D5DD"/>
      </right>
      <top/>
      <bottom style="thin">
        <color rgb="FFD0D5DD"/>
      </bottom>
      <diagonal/>
    </border>
  </borders>
  <cellStyleXfs count="5">
    <xf numFmtId="0" fontId="0" fillId="0" borderId="0">
      <alignment vertical="center"/>
    </xf>
    <xf numFmtId="0" fontId="4" fillId="0" borderId="0"/>
    <xf numFmtId="43" fontId="1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32" fillId="0" borderId="0" applyNumberFormat="0" applyFill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/>
    <xf numFmtId="0" fontId="4" fillId="0" borderId="0" xfId="1"/>
    <xf numFmtId="0" fontId="1" fillId="5" borderId="1" xfId="1" applyFont="1" applyFill="1" applyBorder="1" applyAlignment="1">
      <alignment vertical="center" wrapText="1"/>
    </xf>
    <xf numFmtId="0" fontId="8" fillId="2" borderId="0" xfId="1" applyFont="1" applyFill="1" applyAlignment="1">
      <alignment vertical="top" wrapText="1"/>
    </xf>
    <xf numFmtId="0" fontId="0" fillId="0" borderId="0" xfId="0" applyAlignment="1">
      <alignment horizontal="left"/>
    </xf>
    <xf numFmtId="0" fontId="7" fillId="0" borderId="1" xfId="1" applyFont="1" applyBorder="1" applyAlignment="1">
      <alignment vertical="top" wrapText="1"/>
    </xf>
    <xf numFmtId="0" fontId="12" fillId="2" borderId="0" xfId="1" applyFont="1" applyFill="1" applyAlignment="1">
      <alignment vertical="top" wrapText="1"/>
    </xf>
    <xf numFmtId="0" fontId="8" fillId="2" borderId="0" xfId="0" applyFont="1" applyFill="1" applyAlignment="1">
      <alignment vertical="top" wrapText="1"/>
    </xf>
    <xf numFmtId="0" fontId="4" fillId="0" borderId="0" xfId="1" applyAlignment="1">
      <alignment vertical="top"/>
    </xf>
    <xf numFmtId="0" fontId="0" fillId="0" borderId="0" xfId="0" applyAlignment="1">
      <alignment horizontal="center"/>
    </xf>
    <xf numFmtId="0" fontId="15" fillId="10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178" fontId="3" fillId="7" borderId="1" xfId="2" applyNumberFormat="1" applyFont="1" applyFill="1" applyBorder="1" applyAlignment="1" applyProtection="1">
      <alignment horizontal="right" vertical="center"/>
    </xf>
    <xf numFmtId="178" fontId="3" fillId="9" borderId="1" xfId="2" applyNumberFormat="1" applyFont="1" applyFill="1" applyBorder="1" applyAlignment="1" applyProtection="1">
      <alignment horizontal="right" vertical="center"/>
    </xf>
    <xf numFmtId="0" fontId="16" fillId="11" borderId="1" xfId="0" applyFont="1" applyFill="1" applyBorder="1" applyAlignment="1">
      <alignment horizontal="centerContinuous" vertical="center"/>
    </xf>
    <xf numFmtId="0" fontId="9" fillId="0" borderId="1" xfId="0" applyFont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 applyProtection="1">
      <alignment horizontal="center" vertical="center"/>
      <protection locked="0"/>
    </xf>
    <xf numFmtId="0" fontId="3" fillId="12" borderId="1" xfId="0" applyFont="1" applyFill="1" applyBorder="1" applyAlignment="1">
      <alignment horizontal="center" vertical="center"/>
    </xf>
    <xf numFmtId="177" fontId="3" fillId="12" borderId="1" xfId="2" applyNumberFormat="1" applyFont="1" applyFill="1" applyBorder="1" applyAlignment="1" applyProtection="1">
      <alignment horizontal="right" vertical="center"/>
    </xf>
    <xf numFmtId="178" fontId="3" fillId="7" borderId="1" xfId="2" applyNumberFormat="1" applyFont="1" applyFill="1" applyBorder="1" applyAlignment="1" applyProtection="1">
      <alignment horizontal="right" vertical="center" wrapText="1"/>
    </xf>
    <xf numFmtId="178" fontId="3" fillId="13" borderId="1" xfId="2" applyNumberFormat="1" applyFont="1" applyFill="1" applyBorder="1" applyAlignment="1" applyProtection="1">
      <alignment horizontal="right" vertical="center"/>
    </xf>
    <xf numFmtId="176" fontId="3" fillId="13" borderId="1" xfId="2" applyNumberFormat="1" applyFont="1" applyFill="1" applyBorder="1" applyAlignment="1" applyProtection="1">
      <alignment horizontal="right" vertical="center"/>
    </xf>
    <xf numFmtId="0" fontId="3" fillId="13" borderId="1" xfId="0" applyFont="1" applyFill="1" applyBorder="1" applyAlignment="1">
      <alignment horizontal="center" vertical="center"/>
    </xf>
    <xf numFmtId="178" fontId="13" fillId="13" borderId="1" xfId="2" applyNumberFormat="1" applyFont="1" applyFill="1" applyBorder="1" applyAlignment="1" applyProtection="1">
      <alignment horizontal="right" vertical="center"/>
    </xf>
    <xf numFmtId="0" fontId="13" fillId="13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7" borderId="3" xfId="0" applyNumberFormat="1" applyFont="1" applyFill="1" applyBorder="1" applyAlignment="1" applyProtection="1">
      <alignment horizontal="center" vertical="center"/>
      <protection locked="0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49" fontId="3" fillId="7" borderId="2" xfId="0" applyNumberFormat="1" applyFont="1" applyFill="1" applyBorder="1" applyAlignment="1" applyProtection="1">
      <alignment horizontal="center" vertical="center"/>
      <protection locked="0"/>
    </xf>
    <xf numFmtId="176" fontId="9" fillId="8" borderId="2" xfId="0" applyNumberFormat="1" applyFont="1" applyFill="1" applyBorder="1" applyAlignment="1">
      <alignment horizontal="center" vertical="center"/>
    </xf>
    <xf numFmtId="176" fontId="9" fillId="8" borderId="2" xfId="2" applyNumberFormat="1" applyFont="1" applyFill="1" applyBorder="1" applyAlignment="1" applyProtection="1">
      <alignment horizontal="right" vertical="center"/>
    </xf>
    <xf numFmtId="0" fontId="17" fillId="0" borderId="1" xfId="0" applyFont="1" applyBorder="1" applyAlignment="1">
      <alignment horizontal="centerContinuous" vertical="center"/>
    </xf>
    <xf numFmtId="0" fontId="18" fillId="0" borderId="0" xfId="0" applyFont="1" applyAlignment="1">
      <alignment horizontal="left"/>
    </xf>
    <xf numFmtId="0" fontId="19" fillId="4" borderId="1" xfId="0" applyFont="1" applyFill="1" applyBorder="1" applyAlignment="1">
      <alignment horizontal="center" vertical="center"/>
    </xf>
    <xf numFmtId="49" fontId="20" fillId="7" borderId="1" xfId="0" applyNumberFormat="1" applyFont="1" applyFill="1" applyBorder="1" applyAlignment="1">
      <alignment horizontal="left" vertical="center"/>
    </xf>
    <xf numFmtId="49" fontId="21" fillId="6" borderId="1" xfId="0" applyNumberFormat="1" applyFont="1" applyFill="1" applyBorder="1" applyAlignment="1">
      <alignment horizontal="left" vertical="center"/>
    </xf>
    <xf numFmtId="49" fontId="23" fillId="7" borderId="1" xfId="0" applyNumberFormat="1" applyFont="1" applyFill="1" applyBorder="1" applyAlignment="1">
      <alignment horizontal="left" vertical="center"/>
    </xf>
    <xf numFmtId="49" fontId="20" fillId="13" borderId="1" xfId="0" applyNumberFormat="1" applyFont="1" applyFill="1" applyBorder="1" applyAlignment="1">
      <alignment horizontal="left" vertical="center"/>
    </xf>
    <xf numFmtId="49" fontId="23" fillId="13" borderId="1" xfId="0" applyNumberFormat="1" applyFont="1" applyFill="1" applyBorder="1" applyAlignment="1">
      <alignment horizontal="left" vertical="center"/>
    </xf>
    <xf numFmtId="0" fontId="3" fillId="11" borderId="2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5" fillId="4" borderId="0" xfId="1" applyFont="1" applyFill="1" applyAlignment="1">
      <alignment vertical="center" wrapText="1"/>
    </xf>
    <xf numFmtId="0" fontId="4" fillId="0" borderId="0" xfId="1"/>
    <xf numFmtId="0" fontId="6" fillId="3" borderId="0" xfId="1" applyFont="1" applyFill="1" applyAlignment="1">
      <alignment vertical="center" wrapText="1"/>
    </xf>
    <xf numFmtId="0" fontId="25" fillId="14" borderId="0" xfId="3" applyFont="1" applyFill="1">
      <alignment vertical="center"/>
    </xf>
    <xf numFmtId="0" fontId="24" fillId="0" borderId="0" xfId="3">
      <alignment vertical="center"/>
    </xf>
    <xf numFmtId="0" fontId="27" fillId="0" borderId="0" xfId="3" applyFont="1">
      <alignment vertical="center"/>
    </xf>
    <xf numFmtId="0" fontId="28" fillId="0" borderId="0" xfId="3" applyFont="1">
      <alignment vertical="center"/>
    </xf>
    <xf numFmtId="0" fontId="31" fillId="0" borderId="0" xfId="3" applyFont="1">
      <alignment vertical="center"/>
    </xf>
    <xf numFmtId="0" fontId="33" fillId="6" borderId="0" xfId="4" applyFont="1" applyFill="1" applyAlignment="1">
      <alignment vertical="center" readingOrder="1"/>
    </xf>
    <xf numFmtId="0" fontId="34" fillId="0" borderId="0" xfId="3" applyFont="1" applyAlignment="1">
      <alignment horizontal="left" vertical="center"/>
    </xf>
    <xf numFmtId="0" fontId="35" fillId="0" borderId="0" xfId="3" applyFont="1">
      <alignment vertical="center"/>
    </xf>
    <xf numFmtId="0" fontId="37" fillId="0" borderId="0" xfId="3" applyFont="1">
      <alignment vertical="center"/>
    </xf>
    <xf numFmtId="0" fontId="38" fillId="0" borderId="0" xfId="3" applyFont="1">
      <alignment vertical="center"/>
    </xf>
  </cellXfs>
  <cellStyles count="5">
    <cellStyle name="一般" xfId="0" builtinId="0"/>
    <cellStyle name="一般 2" xfId="1" xr:uid="{4AA2BD6C-B027-4EED-BEDC-14D5CFA9D8E3}"/>
    <cellStyle name="一般 2 2" xfId="3" xr:uid="{D2E9771F-207B-4E89-91B2-83004F2F4A49}"/>
    <cellStyle name="千分位" xfId="2" builtinId="3"/>
    <cellStyle name="超連結" xfId="4" builtinId="8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3/09/relationships/Python" Target="pyth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89AF7-9C9C-4704-9F3F-A62D8F56DCC3}">
  <sheetPr>
    <tabColor rgb="FFFF0000"/>
  </sheetPr>
  <dimension ref="B1:C14"/>
  <sheetViews>
    <sheetView zoomScale="80" zoomScaleNormal="80" workbookViewId="0">
      <selection activeCell="C8" sqref="C8"/>
    </sheetView>
  </sheetViews>
  <sheetFormatPr defaultColWidth="15" defaultRowHeight="25.5"/>
  <cols>
    <col min="1" max="1" width="4.625" style="54" customWidth="1"/>
    <col min="2" max="2" width="26.5" style="54" customWidth="1"/>
    <col min="3" max="3" width="71.75" style="54" customWidth="1"/>
    <col min="4" max="16384" width="15" style="54"/>
  </cols>
  <sheetData>
    <row r="1" spans="2:3" ht="26.25">
      <c r="B1" s="53" t="s">
        <v>140</v>
      </c>
      <c r="C1" s="53" t="s">
        <v>141</v>
      </c>
    </row>
    <row r="2" spans="2:3" ht="30">
      <c r="B2" s="55" t="s">
        <v>142</v>
      </c>
      <c r="C2" s="56" t="s">
        <v>143</v>
      </c>
    </row>
    <row r="3" spans="2:3">
      <c r="B3" s="55" t="s">
        <v>144</v>
      </c>
      <c r="C3" s="57" t="s">
        <v>153</v>
      </c>
    </row>
    <row r="4" spans="2:3">
      <c r="B4" s="55" t="s">
        <v>145</v>
      </c>
      <c r="C4" s="58" t="s">
        <v>146</v>
      </c>
    </row>
    <row r="5" spans="2:3">
      <c r="B5" s="55" t="s">
        <v>147</v>
      </c>
      <c r="C5" s="59" t="s">
        <v>148</v>
      </c>
    </row>
    <row r="6" spans="2:3" ht="30">
      <c r="B6" s="60" t="s">
        <v>149</v>
      </c>
      <c r="C6" s="61" t="s">
        <v>159</v>
      </c>
    </row>
    <row r="7" spans="2:3" ht="30">
      <c r="B7" s="60" t="s">
        <v>150</v>
      </c>
      <c r="C7" s="61" t="s">
        <v>151</v>
      </c>
    </row>
    <row r="8" spans="2:3" ht="30">
      <c r="B8" s="60" t="s">
        <v>152</v>
      </c>
      <c r="C8" s="61" t="s">
        <v>158</v>
      </c>
    </row>
    <row r="14" spans="2:3">
      <c r="C14" s="62"/>
    </row>
  </sheetData>
  <phoneticPr fontId="2" type="noConversion"/>
  <dataValidations count="3">
    <dataValidation type="list" allowBlank="1" showInputMessage="1" showErrorMessage="1" sqref="C7" xr:uid="{944E65E3-E8F6-466D-A9C8-EB5960E9B372}">
      <formula1>"河洛話, 廣韻"</formula1>
    </dataValidation>
    <dataValidation type="list" allowBlank="1" showInputMessage="1" showErrorMessage="1" sqref="C6" xr:uid="{900CB47A-F497-40B0-87D0-1E41ABBBA919}">
      <formula1>"白話音, 文讀音"</formula1>
    </dataValidation>
    <dataValidation type="list" showInputMessage="1" showErrorMessage="1" sqref="C8" xr:uid="{3AD511CF-EC8D-4785-BE66-6B36D594B9AC}">
      <formula1>" ,十五音, 雅俗通,方音符號,注音二式,台語音標,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BF4C5-A06E-489A-B695-10B595D12E59}">
  <dimension ref="A1:R65"/>
  <sheetViews>
    <sheetView workbookViewId="0">
      <selection activeCell="R4" sqref="R4:R64"/>
    </sheetView>
  </sheetViews>
  <sheetFormatPr defaultRowHeight="25.5" outlineLevelCol="1"/>
  <cols>
    <col min="1" max="1" width="7" style="3" customWidth="1"/>
    <col min="2" max="2" width="14" style="12" customWidth="1"/>
    <col min="3" max="3" width="14" style="3" customWidth="1"/>
    <col min="4" max="4" width="11.375" style="3" customWidth="1"/>
    <col min="5" max="5" width="10.625" style="3" customWidth="1"/>
    <col min="6" max="6" width="10.875" style="3" hidden="1" customWidth="1" outlineLevel="1"/>
    <col min="7" max="7" width="12.125" style="3" hidden="1" customWidth="1" outlineLevel="1"/>
    <col min="8" max="11" width="14" style="3" hidden="1" customWidth="1" outlineLevel="1"/>
    <col min="12" max="12" width="12.875" style="3" hidden="1" customWidth="1" outlineLevel="1"/>
    <col min="13" max="16" width="14" style="3" hidden="1" customWidth="1" outlineLevel="1"/>
    <col min="17" max="17" width="49.625" style="40" customWidth="1" collapsed="1"/>
    <col min="18" max="18" width="71.625" style="40" customWidth="1"/>
  </cols>
  <sheetData>
    <row r="1" spans="1:18" ht="24">
      <c r="B1" s="3"/>
      <c r="F1" s="19" t="s">
        <v>114</v>
      </c>
      <c r="G1" s="19"/>
      <c r="H1" s="19"/>
      <c r="I1" s="19"/>
      <c r="J1" s="19"/>
      <c r="K1" s="19"/>
      <c r="L1" s="13"/>
      <c r="M1" s="13"/>
      <c r="N1" s="13" t="s">
        <v>115</v>
      </c>
      <c r="O1" s="13"/>
      <c r="P1" s="13"/>
      <c r="Q1" s="39"/>
      <c r="R1" s="39"/>
    </row>
    <row r="2" spans="1:18" ht="9" customHeight="1"/>
    <row r="3" spans="1:18" ht="45">
      <c r="A3" s="1" t="s">
        <v>0</v>
      </c>
      <c r="B3" s="1" t="s">
        <v>116</v>
      </c>
      <c r="C3" s="1" t="s">
        <v>129</v>
      </c>
      <c r="D3" s="15" t="s">
        <v>131</v>
      </c>
      <c r="E3" s="15" t="s">
        <v>128</v>
      </c>
      <c r="F3" s="14" t="s">
        <v>126</v>
      </c>
      <c r="G3" s="14" t="s">
        <v>127</v>
      </c>
      <c r="H3" s="14" t="s">
        <v>119</v>
      </c>
      <c r="I3" s="14" t="s">
        <v>121</v>
      </c>
      <c r="J3" s="14" t="s">
        <v>123</v>
      </c>
      <c r="K3" s="14" t="s">
        <v>125</v>
      </c>
      <c r="L3" s="16" t="s">
        <v>130</v>
      </c>
      <c r="M3" s="13" t="s">
        <v>118</v>
      </c>
      <c r="N3" s="13" t="s">
        <v>120</v>
      </c>
      <c r="O3" s="13" t="s">
        <v>122</v>
      </c>
      <c r="P3" s="13" t="s">
        <v>124</v>
      </c>
      <c r="Q3" s="41" t="s">
        <v>1</v>
      </c>
      <c r="R3" s="41" t="s">
        <v>2</v>
      </c>
    </row>
    <row r="4" spans="1:18" ht="34.5">
      <c r="A4" s="2">
        <v>1</v>
      </c>
      <c r="B4" s="22" t="s">
        <v>117</v>
      </c>
      <c r="C4" s="24" t="str">
        <f xml:space="preserve"> M4 &amp; ":" &amp; N4 &amp; ":" &amp; O4 &amp; "," &amp; P4</f>
        <v>00:00:20,000</v>
      </c>
      <c r="D4" s="25">
        <v>20</v>
      </c>
      <c r="E4" s="25">
        <v>25</v>
      </c>
      <c r="F4" s="26">
        <f xml:space="preserve"> (LEFT($B4,2)*3600 + MID($B4,4,2)*60 + MID($B4,7,2))*1000 + RIGHT($B4,3)</f>
        <v>0</v>
      </c>
      <c r="G4" s="27">
        <f t="shared" ref="G4:G35" si="0">F4+(E4*1000)</f>
        <v>25000</v>
      </c>
      <c r="H4" s="28" t="str">
        <f>TEXT(QUOTIENT(G4,3600000),"00")</f>
        <v>00</v>
      </c>
      <c r="I4" s="28" t="str">
        <f>TEXT(QUOTIENT(MOD(G4,3600000),60000),"00")</f>
        <v>00</v>
      </c>
      <c r="J4" s="28" t="str">
        <f>TEXT(QUOTIENT(MOD(G4,60000),1000),"00")</f>
        <v>25</v>
      </c>
      <c r="K4" s="28" t="str">
        <f>TEXT(MOD(G4,1000),"000")</f>
        <v>000</v>
      </c>
      <c r="L4" s="18">
        <f>F4+(D4*1000)</f>
        <v>20000</v>
      </c>
      <c r="M4" s="18" t="str">
        <f>TEXT(QUOTIENT(L4,3600000),"00")</f>
        <v>00</v>
      </c>
      <c r="N4" s="18" t="str">
        <f>TEXT(QUOTIENT(MOD(L4,3600000),60000),"00")</f>
        <v>00</v>
      </c>
      <c r="O4" s="18" t="str">
        <f>TEXT(QUOTIENT(MOD(L4,60000),1000),"00")</f>
        <v>20</v>
      </c>
      <c r="P4" s="18" t="str">
        <f>TEXT(MOD(L4,1000),"000")</f>
        <v>000</v>
      </c>
      <c r="Q4" s="42" t="s">
        <v>5</v>
      </c>
      <c r="R4" s="44" t="s">
        <v>161</v>
      </c>
    </row>
    <row r="5" spans="1:18" ht="34.5">
      <c r="A5" s="2">
        <v>2</v>
      </c>
      <c r="B5" s="23" t="str">
        <f xml:space="preserve"> H4 &amp; ":" &amp; I4 &amp; ":" &amp; J4 &amp; "," &amp; K4</f>
        <v>00:00:25,000</v>
      </c>
      <c r="C5" s="24" t="str">
        <f t="shared" ref="C5:C65" si="1" xml:space="preserve"> M5 &amp; ":" &amp; N5 &amp; ":" &amp; O5 &amp; "," &amp; P5</f>
        <v>00:00:27,000</v>
      </c>
      <c r="D5" s="17">
        <v>2</v>
      </c>
      <c r="E5" s="17">
        <v>5</v>
      </c>
      <c r="F5" s="26">
        <f t="shared" ref="F5:F65" si="2" xml:space="preserve"> (LEFT($B5,2)*3600 + MID($B5,4,2)*60 + MID($B5,7,2))*1000 + RIGHT($B5,3)</f>
        <v>25000</v>
      </c>
      <c r="G5" s="27">
        <f t="shared" si="0"/>
        <v>30000</v>
      </c>
      <c r="H5" s="28" t="str">
        <f t="shared" ref="H5:H65" si="3">TEXT(QUOTIENT(G5,3600000),"00")</f>
        <v>00</v>
      </c>
      <c r="I5" s="28" t="str">
        <f t="shared" ref="I5:I65" si="4">TEXT(QUOTIENT(MOD(G5,3600000),60000),"00")</f>
        <v>00</v>
      </c>
      <c r="J5" s="28" t="str">
        <f t="shared" ref="J5:J65" si="5">TEXT(QUOTIENT(MOD(G5,60000),1000),"00")</f>
        <v>30</v>
      </c>
      <c r="K5" s="28" t="str">
        <f t="shared" ref="K5:K65" si="6">TEXT(MOD(G5,1000),"000")</f>
        <v>000</v>
      </c>
      <c r="L5" s="18">
        <f t="shared" ref="L5:L65" si="7">F5+(D5*1000)</f>
        <v>27000</v>
      </c>
      <c r="M5" s="18" t="str">
        <f t="shared" ref="M5:M65" si="8">TEXT(QUOTIENT(L5,3600000),"00")</f>
        <v>00</v>
      </c>
      <c r="N5" s="18" t="str">
        <f t="shared" ref="N5:N65" si="9">TEXT(QUOTIENT(MOD(L5,3600000),60000),"00")</f>
        <v>00</v>
      </c>
      <c r="O5" s="18" t="str">
        <f t="shared" ref="O5:O65" si="10">TEXT(QUOTIENT(MOD(L5,60000),1000),"00")</f>
        <v>27</v>
      </c>
      <c r="P5" s="18" t="str">
        <f t="shared" ref="P5:P65" si="11">TEXT(MOD(L5,1000),"000")</f>
        <v>000</v>
      </c>
      <c r="Q5" s="42" t="s">
        <v>52</v>
      </c>
      <c r="R5" s="44" t="s">
        <v>163</v>
      </c>
    </row>
    <row r="6" spans="1:18" ht="34.5">
      <c r="A6" s="2">
        <v>3</v>
      </c>
      <c r="B6" s="23" t="str">
        <f t="shared" ref="B6:B65" si="12" xml:space="preserve"> H5 &amp; ":" &amp; I5 &amp; ":" &amp; J5 &amp; "," &amp; K5</f>
        <v>00:00:30,000</v>
      </c>
      <c r="C6" s="24" t="str">
        <f t="shared" si="1"/>
        <v>00:00:32,000</v>
      </c>
      <c r="D6" s="17">
        <v>2</v>
      </c>
      <c r="E6" s="17">
        <v>5</v>
      </c>
      <c r="F6" s="26">
        <f t="shared" si="2"/>
        <v>30000</v>
      </c>
      <c r="G6" s="27">
        <f t="shared" si="0"/>
        <v>35000</v>
      </c>
      <c r="H6" s="28" t="str">
        <f t="shared" si="3"/>
        <v>00</v>
      </c>
      <c r="I6" s="28" t="str">
        <f t="shared" si="4"/>
        <v>00</v>
      </c>
      <c r="J6" s="28" t="str">
        <f t="shared" si="5"/>
        <v>35</v>
      </c>
      <c r="K6" s="28" t="str">
        <f t="shared" si="6"/>
        <v>000</v>
      </c>
      <c r="L6" s="18">
        <f t="shared" si="7"/>
        <v>32000</v>
      </c>
      <c r="M6" s="18" t="str">
        <f t="shared" si="8"/>
        <v>00</v>
      </c>
      <c r="N6" s="18" t="str">
        <f t="shared" si="9"/>
        <v>00</v>
      </c>
      <c r="O6" s="18" t="str">
        <f t="shared" si="10"/>
        <v>32</v>
      </c>
      <c r="P6" s="18" t="str">
        <f t="shared" si="11"/>
        <v>000</v>
      </c>
      <c r="Q6" s="42" t="s">
        <v>53</v>
      </c>
      <c r="R6" s="44" t="s">
        <v>165</v>
      </c>
    </row>
    <row r="7" spans="1:18" ht="34.5">
      <c r="A7" s="2">
        <v>4</v>
      </c>
      <c r="B7" s="23" t="str">
        <f t="shared" si="12"/>
        <v>00:00:35,000</v>
      </c>
      <c r="C7" s="24" t="str">
        <f t="shared" si="1"/>
        <v>00:00:37,000</v>
      </c>
      <c r="D7" s="17">
        <v>2</v>
      </c>
      <c r="E7" s="17">
        <v>5</v>
      </c>
      <c r="F7" s="26">
        <f t="shared" si="2"/>
        <v>35000</v>
      </c>
      <c r="G7" s="27">
        <f t="shared" si="0"/>
        <v>40000</v>
      </c>
      <c r="H7" s="28" t="str">
        <f t="shared" si="3"/>
        <v>00</v>
      </c>
      <c r="I7" s="28" t="str">
        <f t="shared" si="4"/>
        <v>00</v>
      </c>
      <c r="J7" s="28" t="str">
        <f t="shared" si="5"/>
        <v>40</v>
      </c>
      <c r="K7" s="28" t="str">
        <f t="shared" si="6"/>
        <v>000</v>
      </c>
      <c r="L7" s="18">
        <f t="shared" si="7"/>
        <v>37000</v>
      </c>
      <c r="M7" s="18" t="str">
        <f t="shared" si="8"/>
        <v>00</v>
      </c>
      <c r="N7" s="18" t="str">
        <f t="shared" si="9"/>
        <v>00</v>
      </c>
      <c r="O7" s="18" t="str">
        <f t="shared" si="10"/>
        <v>37</v>
      </c>
      <c r="P7" s="18" t="str">
        <f t="shared" si="11"/>
        <v>000</v>
      </c>
      <c r="Q7" s="42" t="s">
        <v>137</v>
      </c>
      <c r="R7" s="44" t="s">
        <v>167</v>
      </c>
    </row>
    <row r="8" spans="1:18" ht="34.5">
      <c r="A8" s="2">
        <v>5</v>
      </c>
      <c r="B8" s="23" t="str">
        <f t="shared" si="12"/>
        <v>00:00:40,000</v>
      </c>
      <c r="C8" s="24" t="str">
        <f t="shared" si="1"/>
        <v>00:00:42,000</v>
      </c>
      <c r="D8" s="17">
        <v>2</v>
      </c>
      <c r="E8" s="17">
        <v>5</v>
      </c>
      <c r="F8" s="26">
        <f t="shared" si="2"/>
        <v>40000</v>
      </c>
      <c r="G8" s="27">
        <f t="shared" si="0"/>
        <v>45000</v>
      </c>
      <c r="H8" s="28" t="str">
        <f t="shared" si="3"/>
        <v>00</v>
      </c>
      <c r="I8" s="28" t="str">
        <f t="shared" si="4"/>
        <v>00</v>
      </c>
      <c r="J8" s="28" t="str">
        <f t="shared" si="5"/>
        <v>45</v>
      </c>
      <c r="K8" s="28" t="str">
        <f t="shared" si="6"/>
        <v>000</v>
      </c>
      <c r="L8" s="18">
        <f t="shared" si="7"/>
        <v>42000</v>
      </c>
      <c r="M8" s="18" t="str">
        <f t="shared" si="8"/>
        <v>00</v>
      </c>
      <c r="N8" s="18" t="str">
        <f t="shared" si="9"/>
        <v>00</v>
      </c>
      <c r="O8" s="18" t="str">
        <f t="shared" si="10"/>
        <v>42</v>
      </c>
      <c r="P8" s="18" t="str">
        <f t="shared" si="11"/>
        <v>000</v>
      </c>
      <c r="Q8" s="42" t="s">
        <v>6</v>
      </c>
      <c r="R8" s="44" t="s">
        <v>169</v>
      </c>
    </row>
    <row r="9" spans="1:18" ht="34.5">
      <c r="A9" s="2">
        <v>6</v>
      </c>
      <c r="B9" s="23" t="str">
        <f t="shared" si="12"/>
        <v>00:00:45,000</v>
      </c>
      <c r="C9" s="24" t="str">
        <f t="shared" si="1"/>
        <v>00:00:47,000</v>
      </c>
      <c r="D9" s="17">
        <v>2</v>
      </c>
      <c r="E9" s="17">
        <v>5</v>
      </c>
      <c r="F9" s="26">
        <f t="shared" si="2"/>
        <v>45000</v>
      </c>
      <c r="G9" s="27">
        <f t="shared" si="0"/>
        <v>50000</v>
      </c>
      <c r="H9" s="28" t="str">
        <f t="shared" si="3"/>
        <v>00</v>
      </c>
      <c r="I9" s="28" t="str">
        <f t="shared" si="4"/>
        <v>00</v>
      </c>
      <c r="J9" s="28" t="str">
        <f t="shared" si="5"/>
        <v>50</v>
      </c>
      <c r="K9" s="28" t="str">
        <f t="shared" si="6"/>
        <v>000</v>
      </c>
      <c r="L9" s="18">
        <f t="shared" si="7"/>
        <v>47000</v>
      </c>
      <c r="M9" s="18" t="str">
        <f t="shared" si="8"/>
        <v>00</v>
      </c>
      <c r="N9" s="18" t="str">
        <f t="shared" si="9"/>
        <v>00</v>
      </c>
      <c r="O9" s="18" t="str">
        <f t="shared" si="10"/>
        <v>47</v>
      </c>
      <c r="P9" s="18" t="str">
        <f t="shared" si="11"/>
        <v>000</v>
      </c>
      <c r="Q9" s="42" t="s">
        <v>7</v>
      </c>
      <c r="R9" s="44" t="s">
        <v>171</v>
      </c>
    </row>
    <row r="10" spans="1:18" ht="34.5">
      <c r="A10" s="2">
        <v>7</v>
      </c>
      <c r="B10" s="23" t="str">
        <f t="shared" si="12"/>
        <v>00:00:50,000</v>
      </c>
      <c r="C10" s="24" t="str">
        <f t="shared" si="1"/>
        <v>00:00:52,000</v>
      </c>
      <c r="D10" s="17">
        <v>2</v>
      </c>
      <c r="E10" s="17">
        <v>5</v>
      </c>
      <c r="F10" s="26">
        <f t="shared" si="2"/>
        <v>50000</v>
      </c>
      <c r="G10" s="27">
        <f t="shared" si="0"/>
        <v>55000</v>
      </c>
      <c r="H10" s="28" t="str">
        <f t="shared" si="3"/>
        <v>00</v>
      </c>
      <c r="I10" s="28" t="str">
        <f t="shared" si="4"/>
        <v>00</v>
      </c>
      <c r="J10" s="28" t="str">
        <f t="shared" si="5"/>
        <v>55</v>
      </c>
      <c r="K10" s="28" t="str">
        <f t="shared" si="6"/>
        <v>000</v>
      </c>
      <c r="L10" s="18">
        <f t="shared" si="7"/>
        <v>52000</v>
      </c>
      <c r="M10" s="18" t="str">
        <f t="shared" si="8"/>
        <v>00</v>
      </c>
      <c r="N10" s="18" t="str">
        <f t="shared" si="9"/>
        <v>00</v>
      </c>
      <c r="O10" s="18" t="str">
        <f t="shared" si="10"/>
        <v>52</v>
      </c>
      <c r="P10" s="18" t="str">
        <f t="shared" si="11"/>
        <v>000</v>
      </c>
      <c r="Q10" s="42" t="s">
        <v>8</v>
      </c>
      <c r="R10" s="44" t="s">
        <v>173</v>
      </c>
    </row>
    <row r="11" spans="1:18" ht="34.5">
      <c r="A11" s="2">
        <v>8</v>
      </c>
      <c r="B11" s="23" t="str">
        <f t="shared" si="12"/>
        <v>00:00:55,000</v>
      </c>
      <c r="C11" s="24" t="str">
        <f t="shared" si="1"/>
        <v>00:00:57,000</v>
      </c>
      <c r="D11" s="17">
        <v>2</v>
      </c>
      <c r="E11" s="17">
        <v>5</v>
      </c>
      <c r="F11" s="26">
        <f t="shared" si="2"/>
        <v>55000</v>
      </c>
      <c r="G11" s="27">
        <f t="shared" si="0"/>
        <v>60000</v>
      </c>
      <c r="H11" s="28" t="str">
        <f t="shared" si="3"/>
        <v>00</v>
      </c>
      <c r="I11" s="28" t="str">
        <f t="shared" si="4"/>
        <v>01</v>
      </c>
      <c r="J11" s="28" t="str">
        <f t="shared" si="5"/>
        <v>00</v>
      </c>
      <c r="K11" s="28" t="str">
        <f t="shared" si="6"/>
        <v>000</v>
      </c>
      <c r="L11" s="18">
        <f t="shared" si="7"/>
        <v>57000</v>
      </c>
      <c r="M11" s="18" t="str">
        <f t="shared" si="8"/>
        <v>00</v>
      </c>
      <c r="N11" s="18" t="str">
        <f t="shared" si="9"/>
        <v>00</v>
      </c>
      <c r="O11" s="18" t="str">
        <f t="shared" si="10"/>
        <v>57</v>
      </c>
      <c r="P11" s="18" t="str">
        <f t="shared" si="11"/>
        <v>000</v>
      </c>
      <c r="Q11" s="42" t="s">
        <v>9</v>
      </c>
      <c r="R11" s="44" t="s">
        <v>175</v>
      </c>
    </row>
    <row r="12" spans="1:18" ht="34.5">
      <c r="A12" s="2">
        <v>9</v>
      </c>
      <c r="B12" s="23" t="str">
        <f t="shared" si="12"/>
        <v>00:01:00,000</v>
      </c>
      <c r="C12" s="24" t="str">
        <f t="shared" si="1"/>
        <v>00:01:02,000</v>
      </c>
      <c r="D12" s="17">
        <v>2</v>
      </c>
      <c r="E12" s="17">
        <v>5</v>
      </c>
      <c r="F12" s="26">
        <f t="shared" si="2"/>
        <v>60000</v>
      </c>
      <c r="G12" s="27">
        <f t="shared" si="0"/>
        <v>65000</v>
      </c>
      <c r="H12" s="28" t="str">
        <f t="shared" si="3"/>
        <v>00</v>
      </c>
      <c r="I12" s="28" t="str">
        <f t="shared" si="4"/>
        <v>01</v>
      </c>
      <c r="J12" s="28" t="str">
        <f t="shared" si="5"/>
        <v>05</v>
      </c>
      <c r="K12" s="28" t="str">
        <f t="shared" si="6"/>
        <v>000</v>
      </c>
      <c r="L12" s="18">
        <f t="shared" si="7"/>
        <v>62000</v>
      </c>
      <c r="M12" s="18" t="str">
        <f t="shared" si="8"/>
        <v>00</v>
      </c>
      <c r="N12" s="18" t="str">
        <f t="shared" si="9"/>
        <v>01</v>
      </c>
      <c r="O12" s="18" t="str">
        <f t="shared" si="10"/>
        <v>02</v>
      </c>
      <c r="P12" s="18" t="str">
        <f t="shared" si="11"/>
        <v>000</v>
      </c>
      <c r="Q12" s="42" t="s">
        <v>10</v>
      </c>
      <c r="R12" s="44" t="s">
        <v>177</v>
      </c>
    </row>
    <row r="13" spans="1:18" ht="34.5">
      <c r="A13" s="2">
        <v>10</v>
      </c>
      <c r="B13" s="23" t="str">
        <f t="shared" si="12"/>
        <v>00:01:05,000</v>
      </c>
      <c r="C13" s="24" t="str">
        <f t="shared" si="1"/>
        <v>00:01:07,000</v>
      </c>
      <c r="D13" s="17">
        <v>2</v>
      </c>
      <c r="E13" s="17">
        <v>5</v>
      </c>
      <c r="F13" s="26">
        <f t="shared" si="2"/>
        <v>65000</v>
      </c>
      <c r="G13" s="27">
        <f t="shared" si="0"/>
        <v>70000</v>
      </c>
      <c r="H13" s="28" t="str">
        <f t="shared" si="3"/>
        <v>00</v>
      </c>
      <c r="I13" s="28" t="str">
        <f t="shared" si="4"/>
        <v>01</v>
      </c>
      <c r="J13" s="28" t="str">
        <f t="shared" si="5"/>
        <v>10</v>
      </c>
      <c r="K13" s="28" t="str">
        <f t="shared" si="6"/>
        <v>000</v>
      </c>
      <c r="L13" s="18">
        <f t="shared" si="7"/>
        <v>67000</v>
      </c>
      <c r="M13" s="18" t="str">
        <f t="shared" si="8"/>
        <v>00</v>
      </c>
      <c r="N13" s="18" t="str">
        <f t="shared" si="9"/>
        <v>01</v>
      </c>
      <c r="O13" s="18" t="str">
        <f t="shared" si="10"/>
        <v>07</v>
      </c>
      <c r="P13" s="18" t="str">
        <f t="shared" si="11"/>
        <v>000</v>
      </c>
      <c r="Q13" s="42" t="s">
        <v>11</v>
      </c>
      <c r="R13" s="44" t="s">
        <v>179</v>
      </c>
    </row>
    <row r="14" spans="1:18" ht="34.5">
      <c r="A14" s="2">
        <v>11</v>
      </c>
      <c r="B14" s="23" t="str">
        <f t="shared" si="12"/>
        <v>00:01:10,000</v>
      </c>
      <c r="C14" s="24" t="str">
        <f t="shared" si="1"/>
        <v>00:01:12,000</v>
      </c>
      <c r="D14" s="17">
        <v>2</v>
      </c>
      <c r="E14" s="17">
        <v>5</v>
      </c>
      <c r="F14" s="26">
        <f t="shared" si="2"/>
        <v>70000</v>
      </c>
      <c r="G14" s="27">
        <f t="shared" si="0"/>
        <v>75000</v>
      </c>
      <c r="H14" s="28" t="str">
        <f t="shared" si="3"/>
        <v>00</v>
      </c>
      <c r="I14" s="28" t="str">
        <f t="shared" si="4"/>
        <v>01</v>
      </c>
      <c r="J14" s="28" t="str">
        <f t="shared" si="5"/>
        <v>15</v>
      </c>
      <c r="K14" s="28" t="str">
        <f t="shared" si="6"/>
        <v>000</v>
      </c>
      <c r="L14" s="18">
        <f t="shared" si="7"/>
        <v>72000</v>
      </c>
      <c r="M14" s="18" t="str">
        <f t="shared" si="8"/>
        <v>00</v>
      </c>
      <c r="N14" s="18" t="str">
        <f t="shared" si="9"/>
        <v>01</v>
      </c>
      <c r="O14" s="18" t="str">
        <f t="shared" si="10"/>
        <v>12</v>
      </c>
      <c r="P14" s="18" t="str">
        <f t="shared" si="11"/>
        <v>000</v>
      </c>
      <c r="Q14" s="42" t="s">
        <v>12</v>
      </c>
      <c r="R14" s="44" t="s">
        <v>181</v>
      </c>
    </row>
    <row r="15" spans="1:18" ht="34.5">
      <c r="A15" s="2">
        <v>12</v>
      </c>
      <c r="B15" s="23" t="str">
        <f t="shared" si="12"/>
        <v>00:01:15,000</v>
      </c>
      <c r="C15" s="24" t="str">
        <f t="shared" si="1"/>
        <v>00:01:17,000</v>
      </c>
      <c r="D15" s="17">
        <v>2</v>
      </c>
      <c r="E15" s="17">
        <v>5</v>
      </c>
      <c r="F15" s="26">
        <f t="shared" si="2"/>
        <v>75000</v>
      </c>
      <c r="G15" s="27">
        <f t="shared" si="0"/>
        <v>80000</v>
      </c>
      <c r="H15" s="28" t="str">
        <f t="shared" si="3"/>
        <v>00</v>
      </c>
      <c r="I15" s="28" t="str">
        <f t="shared" si="4"/>
        <v>01</v>
      </c>
      <c r="J15" s="28" t="str">
        <f t="shared" si="5"/>
        <v>20</v>
      </c>
      <c r="K15" s="28" t="str">
        <f t="shared" si="6"/>
        <v>000</v>
      </c>
      <c r="L15" s="18">
        <f t="shared" si="7"/>
        <v>77000</v>
      </c>
      <c r="M15" s="18" t="str">
        <f t="shared" si="8"/>
        <v>00</v>
      </c>
      <c r="N15" s="18" t="str">
        <f t="shared" si="9"/>
        <v>01</v>
      </c>
      <c r="O15" s="18" t="str">
        <f t="shared" si="10"/>
        <v>17</v>
      </c>
      <c r="P15" s="18" t="str">
        <f t="shared" si="11"/>
        <v>000</v>
      </c>
      <c r="Q15" s="42" t="s">
        <v>15</v>
      </c>
      <c r="R15" s="44" t="s">
        <v>183</v>
      </c>
    </row>
    <row r="16" spans="1:18" ht="34.5">
      <c r="A16" s="2">
        <v>13</v>
      </c>
      <c r="B16" s="23" t="str">
        <f t="shared" si="12"/>
        <v>00:01:20,000</v>
      </c>
      <c r="C16" s="24" t="str">
        <f t="shared" si="1"/>
        <v>00:01:22,000</v>
      </c>
      <c r="D16" s="17">
        <v>2</v>
      </c>
      <c r="E16" s="17">
        <v>5</v>
      </c>
      <c r="F16" s="26">
        <f t="shared" si="2"/>
        <v>80000</v>
      </c>
      <c r="G16" s="27">
        <f t="shared" si="0"/>
        <v>85000</v>
      </c>
      <c r="H16" s="28" t="str">
        <f t="shared" si="3"/>
        <v>00</v>
      </c>
      <c r="I16" s="28" t="str">
        <f t="shared" si="4"/>
        <v>01</v>
      </c>
      <c r="J16" s="28" t="str">
        <f t="shared" si="5"/>
        <v>25</v>
      </c>
      <c r="K16" s="28" t="str">
        <f t="shared" si="6"/>
        <v>000</v>
      </c>
      <c r="L16" s="18">
        <f t="shared" si="7"/>
        <v>82000</v>
      </c>
      <c r="M16" s="18" t="str">
        <f t="shared" si="8"/>
        <v>00</v>
      </c>
      <c r="N16" s="18" t="str">
        <f t="shared" si="9"/>
        <v>01</v>
      </c>
      <c r="O16" s="18" t="str">
        <f t="shared" si="10"/>
        <v>22</v>
      </c>
      <c r="P16" s="18" t="str">
        <f t="shared" si="11"/>
        <v>000</v>
      </c>
      <c r="Q16" s="42" t="s">
        <v>16</v>
      </c>
      <c r="R16" s="44" t="s">
        <v>185</v>
      </c>
    </row>
    <row r="17" spans="1:18" ht="34.5">
      <c r="A17" s="2">
        <v>14</v>
      </c>
      <c r="B17" s="23" t="str">
        <f t="shared" si="12"/>
        <v>00:01:25,000</v>
      </c>
      <c r="C17" s="24" t="str">
        <f t="shared" si="1"/>
        <v>00:01:27,000</v>
      </c>
      <c r="D17" s="17">
        <v>2</v>
      </c>
      <c r="E17" s="17">
        <v>5</v>
      </c>
      <c r="F17" s="26">
        <f t="shared" si="2"/>
        <v>85000</v>
      </c>
      <c r="G17" s="27">
        <f t="shared" si="0"/>
        <v>90000</v>
      </c>
      <c r="H17" s="28" t="str">
        <f t="shared" si="3"/>
        <v>00</v>
      </c>
      <c r="I17" s="28" t="str">
        <f t="shared" si="4"/>
        <v>01</v>
      </c>
      <c r="J17" s="28" t="str">
        <f t="shared" si="5"/>
        <v>30</v>
      </c>
      <c r="K17" s="28" t="str">
        <f t="shared" si="6"/>
        <v>000</v>
      </c>
      <c r="L17" s="18">
        <f t="shared" si="7"/>
        <v>87000</v>
      </c>
      <c r="M17" s="18" t="str">
        <f t="shared" si="8"/>
        <v>00</v>
      </c>
      <c r="N17" s="18" t="str">
        <f t="shared" si="9"/>
        <v>01</v>
      </c>
      <c r="O17" s="18" t="str">
        <f t="shared" si="10"/>
        <v>27</v>
      </c>
      <c r="P17" s="18" t="str">
        <f t="shared" si="11"/>
        <v>000</v>
      </c>
      <c r="Q17" s="42" t="s">
        <v>18</v>
      </c>
      <c r="R17" s="44" t="s">
        <v>187</v>
      </c>
    </row>
    <row r="18" spans="1:18" ht="34.5">
      <c r="A18" s="2">
        <v>15</v>
      </c>
      <c r="B18" s="23" t="str">
        <f t="shared" si="12"/>
        <v>00:01:30,000</v>
      </c>
      <c r="C18" s="24" t="str">
        <f t="shared" si="1"/>
        <v>00:01:32,000</v>
      </c>
      <c r="D18" s="17">
        <v>2</v>
      </c>
      <c r="E18" s="17">
        <v>5</v>
      </c>
      <c r="F18" s="26">
        <f t="shared" si="2"/>
        <v>90000</v>
      </c>
      <c r="G18" s="27">
        <f t="shared" si="0"/>
        <v>95000</v>
      </c>
      <c r="H18" s="28" t="str">
        <f t="shared" si="3"/>
        <v>00</v>
      </c>
      <c r="I18" s="28" t="str">
        <f t="shared" si="4"/>
        <v>01</v>
      </c>
      <c r="J18" s="28" t="str">
        <f t="shared" si="5"/>
        <v>35</v>
      </c>
      <c r="K18" s="28" t="str">
        <f t="shared" si="6"/>
        <v>000</v>
      </c>
      <c r="L18" s="18">
        <f t="shared" si="7"/>
        <v>92000</v>
      </c>
      <c r="M18" s="18" t="str">
        <f t="shared" si="8"/>
        <v>00</v>
      </c>
      <c r="N18" s="18" t="str">
        <f t="shared" si="9"/>
        <v>01</v>
      </c>
      <c r="O18" s="18" t="str">
        <f t="shared" si="10"/>
        <v>32</v>
      </c>
      <c r="P18" s="18" t="str">
        <f t="shared" si="11"/>
        <v>000</v>
      </c>
      <c r="Q18" s="42" t="s">
        <v>20</v>
      </c>
      <c r="R18" s="44" t="s">
        <v>189</v>
      </c>
    </row>
    <row r="19" spans="1:18" ht="34.5">
      <c r="A19" s="2">
        <v>16</v>
      </c>
      <c r="B19" s="23" t="str">
        <f t="shared" si="12"/>
        <v>00:01:35,000</v>
      </c>
      <c r="C19" s="24" t="str">
        <f t="shared" si="1"/>
        <v>00:01:37,000</v>
      </c>
      <c r="D19" s="17">
        <v>2</v>
      </c>
      <c r="E19" s="17">
        <v>5</v>
      </c>
      <c r="F19" s="26">
        <f t="shared" si="2"/>
        <v>95000</v>
      </c>
      <c r="G19" s="27">
        <f t="shared" si="0"/>
        <v>100000</v>
      </c>
      <c r="H19" s="28" t="str">
        <f t="shared" si="3"/>
        <v>00</v>
      </c>
      <c r="I19" s="28" t="str">
        <f t="shared" si="4"/>
        <v>01</v>
      </c>
      <c r="J19" s="28" t="str">
        <f t="shared" si="5"/>
        <v>40</v>
      </c>
      <c r="K19" s="28" t="str">
        <f t="shared" si="6"/>
        <v>000</v>
      </c>
      <c r="L19" s="18">
        <f t="shared" si="7"/>
        <v>97000</v>
      </c>
      <c r="M19" s="18" t="str">
        <f t="shared" si="8"/>
        <v>00</v>
      </c>
      <c r="N19" s="18" t="str">
        <f t="shared" si="9"/>
        <v>01</v>
      </c>
      <c r="O19" s="18" t="str">
        <f t="shared" si="10"/>
        <v>37</v>
      </c>
      <c r="P19" s="18" t="str">
        <f t="shared" si="11"/>
        <v>000</v>
      </c>
      <c r="Q19" s="42" t="s">
        <v>22</v>
      </c>
      <c r="R19" s="44" t="s">
        <v>191</v>
      </c>
    </row>
    <row r="20" spans="1:18" ht="34.5">
      <c r="A20" s="2">
        <v>17</v>
      </c>
      <c r="B20" s="23" t="str">
        <f t="shared" si="12"/>
        <v>00:01:40,000</v>
      </c>
      <c r="C20" s="24" t="str">
        <f t="shared" si="1"/>
        <v>00:01:42,000</v>
      </c>
      <c r="D20" s="17">
        <v>2</v>
      </c>
      <c r="E20" s="17">
        <v>5</v>
      </c>
      <c r="F20" s="26">
        <f t="shared" si="2"/>
        <v>100000</v>
      </c>
      <c r="G20" s="27">
        <f t="shared" si="0"/>
        <v>105000</v>
      </c>
      <c r="H20" s="28" t="str">
        <f t="shared" si="3"/>
        <v>00</v>
      </c>
      <c r="I20" s="28" t="str">
        <f t="shared" si="4"/>
        <v>01</v>
      </c>
      <c r="J20" s="28" t="str">
        <f t="shared" si="5"/>
        <v>45</v>
      </c>
      <c r="K20" s="28" t="str">
        <f t="shared" si="6"/>
        <v>000</v>
      </c>
      <c r="L20" s="18">
        <f t="shared" si="7"/>
        <v>102000</v>
      </c>
      <c r="M20" s="18" t="str">
        <f t="shared" si="8"/>
        <v>00</v>
      </c>
      <c r="N20" s="18" t="str">
        <f t="shared" si="9"/>
        <v>01</v>
      </c>
      <c r="O20" s="18" t="str">
        <f t="shared" si="10"/>
        <v>42</v>
      </c>
      <c r="P20" s="18" t="str">
        <f t="shared" si="11"/>
        <v>000</v>
      </c>
      <c r="Q20" s="42" t="s">
        <v>23</v>
      </c>
      <c r="R20" s="44" t="s">
        <v>193</v>
      </c>
    </row>
    <row r="21" spans="1:18" ht="34.5">
      <c r="A21" s="2">
        <v>18</v>
      </c>
      <c r="B21" s="23" t="str">
        <f t="shared" si="12"/>
        <v>00:01:45,000</v>
      </c>
      <c r="C21" s="24" t="str">
        <f t="shared" si="1"/>
        <v>00:01:47,000</v>
      </c>
      <c r="D21" s="17">
        <v>2</v>
      </c>
      <c r="E21" s="17">
        <v>5</v>
      </c>
      <c r="F21" s="26">
        <f t="shared" si="2"/>
        <v>105000</v>
      </c>
      <c r="G21" s="27">
        <f t="shared" si="0"/>
        <v>110000</v>
      </c>
      <c r="H21" s="28" t="str">
        <f t="shared" si="3"/>
        <v>00</v>
      </c>
      <c r="I21" s="28" t="str">
        <f t="shared" si="4"/>
        <v>01</v>
      </c>
      <c r="J21" s="28" t="str">
        <f t="shared" si="5"/>
        <v>50</v>
      </c>
      <c r="K21" s="28" t="str">
        <f t="shared" si="6"/>
        <v>000</v>
      </c>
      <c r="L21" s="18">
        <f t="shared" si="7"/>
        <v>107000</v>
      </c>
      <c r="M21" s="18" t="str">
        <f t="shared" si="8"/>
        <v>00</v>
      </c>
      <c r="N21" s="18" t="str">
        <f t="shared" si="9"/>
        <v>01</v>
      </c>
      <c r="O21" s="18" t="str">
        <f t="shared" si="10"/>
        <v>47</v>
      </c>
      <c r="P21" s="18" t="str">
        <f t="shared" si="11"/>
        <v>000</v>
      </c>
      <c r="Q21" s="42" t="s">
        <v>25</v>
      </c>
      <c r="R21" s="44" t="s">
        <v>195</v>
      </c>
    </row>
    <row r="22" spans="1:18" ht="34.5">
      <c r="A22" s="2">
        <v>19</v>
      </c>
      <c r="B22" s="23" t="str">
        <f t="shared" si="12"/>
        <v>00:01:50,000</v>
      </c>
      <c r="C22" s="24" t="str">
        <f t="shared" si="1"/>
        <v>00:01:52,000</v>
      </c>
      <c r="D22" s="17">
        <v>2</v>
      </c>
      <c r="E22" s="17">
        <v>5</v>
      </c>
      <c r="F22" s="26">
        <f t="shared" si="2"/>
        <v>110000</v>
      </c>
      <c r="G22" s="27">
        <f t="shared" si="0"/>
        <v>115000</v>
      </c>
      <c r="H22" s="28" t="str">
        <f t="shared" si="3"/>
        <v>00</v>
      </c>
      <c r="I22" s="28" t="str">
        <f t="shared" si="4"/>
        <v>01</v>
      </c>
      <c r="J22" s="28" t="str">
        <f t="shared" si="5"/>
        <v>55</v>
      </c>
      <c r="K22" s="28" t="str">
        <f t="shared" si="6"/>
        <v>000</v>
      </c>
      <c r="L22" s="18">
        <f t="shared" si="7"/>
        <v>112000</v>
      </c>
      <c r="M22" s="18" t="str">
        <f t="shared" si="8"/>
        <v>00</v>
      </c>
      <c r="N22" s="18" t="str">
        <f t="shared" si="9"/>
        <v>01</v>
      </c>
      <c r="O22" s="18" t="str">
        <f t="shared" si="10"/>
        <v>52</v>
      </c>
      <c r="P22" s="18" t="str">
        <f t="shared" si="11"/>
        <v>000</v>
      </c>
      <c r="Q22" s="42" t="s">
        <v>27</v>
      </c>
      <c r="R22" s="44" t="s">
        <v>197</v>
      </c>
    </row>
    <row r="23" spans="1:18" ht="34.5">
      <c r="A23" s="2">
        <v>20</v>
      </c>
      <c r="B23" s="23" t="str">
        <f t="shared" si="12"/>
        <v>00:01:55,000</v>
      </c>
      <c r="C23" s="24" t="str">
        <f t="shared" si="1"/>
        <v>00:01:57,000</v>
      </c>
      <c r="D23" s="17">
        <v>2</v>
      </c>
      <c r="E23" s="17">
        <v>5</v>
      </c>
      <c r="F23" s="26">
        <f t="shared" si="2"/>
        <v>115000</v>
      </c>
      <c r="G23" s="27">
        <f t="shared" si="0"/>
        <v>120000</v>
      </c>
      <c r="H23" s="28" t="str">
        <f t="shared" si="3"/>
        <v>00</v>
      </c>
      <c r="I23" s="28" t="str">
        <f t="shared" si="4"/>
        <v>02</v>
      </c>
      <c r="J23" s="28" t="str">
        <f t="shared" si="5"/>
        <v>00</v>
      </c>
      <c r="K23" s="28" t="str">
        <f t="shared" si="6"/>
        <v>000</v>
      </c>
      <c r="L23" s="18">
        <f t="shared" si="7"/>
        <v>117000</v>
      </c>
      <c r="M23" s="18" t="str">
        <f t="shared" si="8"/>
        <v>00</v>
      </c>
      <c r="N23" s="18" t="str">
        <f t="shared" si="9"/>
        <v>01</v>
      </c>
      <c r="O23" s="18" t="str">
        <f t="shared" si="10"/>
        <v>57</v>
      </c>
      <c r="P23" s="18" t="str">
        <f t="shared" si="11"/>
        <v>000</v>
      </c>
      <c r="Q23" s="42" t="s">
        <v>29</v>
      </c>
      <c r="R23" s="44" t="s">
        <v>199</v>
      </c>
    </row>
    <row r="24" spans="1:18" ht="34.5">
      <c r="A24" s="2">
        <v>21</v>
      </c>
      <c r="B24" s="23" t="str">
        <f t="shared" si="12"/>
        <v>00:02:00,000</v>
      </c>
      <c r="C24" s="24" t="str">
        <f t="shared" si="1"/>
        <v>00:02:02,000</v>
      </c>
      <c r="D24" s="17">
        <v>2</v>
      </c>
      <c r="E24" s="17">
        <v>5</v>
      </c>
      <c r="F24" s="26">
        <f t="shared" si="2"/>
        <v>120000</v>
      </c>
      <c r="G24" s="27">
        <f t="shared" si="0"/>
        <v>125000</v>
      </c>
      <c r="H24" s="28" t="str">
        <f t="shared" si="3"/>
        <v>00</v>
      </c>
      <c r="I24" s="28" t="str">
        <f t="shared" si="4"/>
        <v>02</v>
      </c>
      <c r="J24" s="28" t="str">
        <f t="shared" si="5"/>
        <v>05</v>
      </c>
      <c r="K24" s="28" t="str">
        <f t="shared" si="6"/>
        <v>000</v>
      </c>
      <c r="L24" s="18">
        <f t="shared" si="7"/>
        <v>122000</v>
      </c>
      <c r="M24" s="18" t="str">
        <f t="shared" si="8"/>
        <v>00</v>
      </c>
      <c r="N24" s="18" t="str">
        <f t="shared" si="9"/>
        <v>02</v>
      </c>
      <c r="O24" s="18" t="str">
        <f t="shared" si="10"/>
        <v>02</v>
      </c>
      <c r="P24" s="18" t="str">
        <f t="shared" si="11"/>
        <v>000</v>
      </c>
      <c r="Q24" s="42" t="s">
        <v>31</v>
      </c>
      <c r="R24" s="44" t="s">
        <v>201</v>
      </c>
    </row>
    <row r="25" spans="1:18" ht="34.5">
      <c r="A25" s="2">
        <v>22</v>
      </c>
      <c r="B25" s="23" t="str">
        <f t="shared" si="12"/>
        <v>00:02:05,000</v>
      </c>
      <c r="C25" s="24" t="str">
        <f t="shared" si="1"/>
        <v>00:02:07,000</v>
      </c>
      <c r="D25" s="17">
        <v>2</v>
      </c>
      <c r="E25" s="17">
        <v>5</v>
      </c>
      <c r="F25" s="26">
        <f t="shared" si="2"/>
        <v>125000</v>
      </c>
      <c r="G25" s="27">
        <f t="shared" si="0"/>
        <v>130000</v>
      </c>
      <c r="H25" s="28" t="str">
        <f t="shared" si="3"/>
        <v>00</v>
      </c>
      <c r="I25" s="28" t="str">
        <f t="shared" si="4"/>
        <v>02</v>
      </c>
      <c r="J25" s="28" t="str">
        <f t="shared" si="5"/>
        <v>10</v>
      </c>
      <c r="K25" s="28" t="str">
        <f t="shared" si="6"/>
        <v>000</v>
      </c>
      <c r="L25" s="18">
        <f t="shared" si="7"/>
        <v>127000</v>
      </c>
      <c r="M25" s="18" t="str">
        <f t="shared" si="8"/>
        <v>00</v>
      </c>
      <c r="N25" s="18" t="str">
        <f t="shared" si="9"/>
        <v>02</v>
      </c>
      <c r="O25" s="18" t="str">
        <f t="shared" si="10"/>
        <v>07</v>
      </c>
      <c r="P25" s="18" t="str">
        <f t="shared" si="11"/>
        <v>000</v>
      </c>
      <c r="Q25" s="42" t="s">
        <v>33</v>
      </c>
      <c r="R25" s="44" t="s">
        <v>203</v>
      </c>
    </row>
    <row r="26" spans="1:18" ht="34.5">
      <c r="A26" s="2">
        <v>23</v>
      </c>
      <c r="B26" s="23" t="str">
        <f t="shared" si="12"/>
        <v>00:02:10,000</v>
      </c>
      <c r="C26" s="24" t="str">
        <f t="shared" si="1"/>
        <v>00:02:12,000</v>
      </c>
      <c r="D26" s="17">
        <v>2</v>
      </c>
      <c r="E26" s="17">
        <v>5</v>
      </c>
      <c r="F26" s="26">
        <f t="shared" si="2"/>
        <v>130000</v>
      </c>
      <c r="G26" s="27">
        <f t="shared" si="0"/>
        <v>135000</v>
      </c>
      <c r="H26" s="28" t="str">
        <f t="shared" si="3"/>
        <v>00</v>
      </c>
      <c r="I26" s="28" t="str">
        <f t="shared" si="4"/>
        <v>02</v>
      </c>
      <c r="J26" s="28" t="str">
        <f t="shared" si="5"/>
        <v>15</v>
      </c>
      <c r="K26" s="28" t="str">
        <f t="shared" si="6"/>
        <v>000</v>
      </c>
      <c r="L26" s="18">
        <f t="shared" si="7"/>
        <v>132000</v>
      </c>
      <c r="M26" s="18" t="str">
        <f t="shared" si="8"/>
        <v>00</v>
      </c>
      <c r="N26" s="18" t="str">
        <f t="shared" si="9"/>
        <v>02</v>
      </c>
      <c r="O26" s="18" t="str">
        <f t="shared" si="10"/>
        <v>12</v>
      </c>
      <c r="P26" s="18" t="str">
        <f t="shared" si="11"/>
        <v>000</v>
      </c>
      <c r="Q26" s="42" t="s">
        <v>35</v>
      </c>
      <c r="R26" s="44" t="s">
        <v>205</v>
      </c>
    </row>
    <row r="27" spans="1:18" ht="34.5">
      <c r="A27" s="2">
        <v>24</v>
      </c>
      <c r="B27" s="23" t="str">
        <f t="shared" si="12"/>
        <v>00:02:15,000</v>
      </c>
      <c r="C27" s="24" t="str">
        <f t="shared" si="1"/>
        <v>00:02:17,000</v>
      </c>
      <c r="D27" s="17">
        <v>2</v>
      </c>
      <c r="E27" s="17">
        <v>5</v>
      </c>
      <c r="F27" s="26">
        <f t="shared" si="2"/>
        <v>135000</v>
      </c>
      <c r="G27" s="27">
        <f t="shared" si="0"/>
        <v>140000</v>
      </c>
      <c r="H27" s="28" t="str">
        <f t="shared" si="3"/>
        <v>00</v>
      </c>
      <c r="I27" s="28" t="str">
        <f t="shared" si="4"/>
        <v>02</v>
      </c>
      <c r="J27" s="28" t="str">
        <f t="shared" si="5"/>
        <v>20</v>
      </c>
      <c r="K27" s="28" t="str">
        <f t="shared" si="6"/>
        <v>000</v>
      </c>
      <c r="L27" s="18">
        <f t="shared" si="7"/>
        <v>137000</v>
      </c>
      <c r="M27" s="18" t="str">
        <f t="shared" si="8"/>
        <v>00</v>
      </c>
      <c r="N27" s="18" t="str">
        <f t="shared" si="9"/>
        <v>02</v>
      </c>
      <c r="O27" s="18" t="str">
        <f t="shared" si="10"/>
        <v>17</v>
      </c>
      <c r="P27" s="18" t="str">
        <f t="shared" si="11"/>
        <v>000</v>
      </c>
      <c r="Q27" s="42" t="s">
        <v>36</v>
      </c>
      <c r="R27" s="44" t="s">
        <v>207</v>
      </c>
    </row>
    <row r="28" spans="1:18" ht="34.5">
      <c r="A28" s="2">
        <v>25</v>
      </c>
      <c r="B28" s="23" t="str">
        <f t="shared" si="12"/>
        <v>00:02:20,000</v>
      </c>
      <c r="C28" s="24" t="str">
        <f t="shared" si="1"/>
        <v>00:02:22,000</v>
      </c>
      <c r="D28" s="17">
        <v>2</v>
      </c>
      <c r="E28" s="17">
        <v>5</v>
      </c>
      <c r="F28" s="26">
        <f t="shared" si="2"/>
        <v>140000</v>
      </c>
      <c r="G28" s="27">
        <f t="shared" si="0"/>
        <v>145000</v>
      </c>
      <c r="H28" s="28" t="str">
        <f t="shared" si="3"/>
        <v>00</v>
      </c>
      <c r="I28" s="28" t="str">
        <f t="shared" si="4"/>
        <v>02</v>
      </c>
      <c r="J28" s="28" t="str">
        <f t="shared" si="5"/>
        <v>25</v>
      </c>
      <c r="K28" s="28" t="str">
        <f t="shared" si="6"/>
        <v>000</v>
      </c>
      <c r="L28" s="18">
        <f t="shared" si="7"/>
        <v>142000</v>
      </c>
      <c r="M28" s="18" t="str">
        <f t="shared" si="8"/>
        <v>00</v>
      </c>
      <c r="N28" s="18" t="str">
        <f t="shared" si="9"/>
        <v>02</v>
      </c>
      <c r="O28" s="18" t="str">
        <f t="shared" si="10"/>
        <v>22</v>
      </c>
      <c r="P28" s="18" t="str">
        <f t="shared" si="11"/>
        <v>000</v>
      </c>
      <c r="Q28" s="42" t="s">
        <v>38</v>
      </c>
      <c r="R28" s="44" t="s">
        <v>209</v>
      </c>
    </row>
    <row r="29" spans="1:18" ht="34.5">
      <c r="A29" s="2">
        <v>26</v>
      </c>
      <c r="B29" s="23" t="str">
        <f t="shared" si="12"/>
        <v>00:02:25,000</v>
      </c>
      <c r="C29" s="24" t="str">
        <f t="shared" si="1"/>
        <v>00:02:27,000</v>
      </c>
      <c r="D29" s="17">
        <v>2</v>
      </c>
      <c r="E29" s="17">
        <v>5</v>
      </c>
      <c r="F29" s="26">
        <f t="shared" si="2"/>
        <v>145000</v>
      </c>
      <c r="G29" s="27">
        <f t="shared" si="0"/>
        <v>150000</v>
      </c>
      <c r="H29" s="28" t="str">
        <f t="shared" si="3"/>
        <v>00</v>
      </c>
      <c r="I29" s="28" t="str">
        <f t="shared" si="4"/>
        <v>02</v>
      </c>
      <c r="J29" s="28" t="str">
        <f t="shared" si="5"/>
        <v>30</v>
      </c>
      <c r="K29" s="28" t="str">
        <f t="shared" si="6"/>
        <v>000</v>
      </c>
      <c r="L29" s="18">
        <f t="shared" si="7"/>
        <v>147000</v>
      </c>
      <c r="M29" s="18" t="str">
        <f t="shared" si="8"/>
        <v>00</v>
      </c>
      <c r="N29" s="18" t="str">
        <f t="shared" si="9"/>
        <v>02</v>
      </c>
      <c r="O29" s="18" t="str">
        <f t="shared" si="10"/>
        <v>27</v>
      </c>
      <c r="P29" s="18" t="str">
        <f t="shared" si="11"/>
        <v>000</v>
      </c>
      <c r="Q29" s="42" t="s">
        <v>11</v>
      </c>
      <c r="R29" s="44" t="s">
        <v>179</v>
      </c>
    </row>
    <row r="30" spans="1:18" ht="34.5">
      <c r="A30" s="2">
        <v>27</v>
      </c>
      <c r="B30" s="23" t="str">
        <f t="shared" si="12"/>
        <v>00:02:30,000</v>
      </c>
      <c r="C30" s="24" t="str">
        <f t="shared" si="1"/>
        <v>00:02:32,000</v>
      </c>
      <c r="D30" s="17">
        <v>2</v>
      </c>
      <c r="E30" s="17">
        <v>5</v>
      </c>
      <c r="F30" s="26">
        <f t="shared" si="2"/>
        <v>150000</v>
      </c>
      <c r="G30" s="27">
        <f t="shared" si="0"/>
        <v>155000</v>
      </c>
      <c r="H30" s="28" t="str">
        <f t="shared" si="3"/>
        <v>00</v>
      </c>
      <c r="I30" s="28" t="str">
        <f t="shared" si="4"/>
        <v>02</v>
      </c>
      <c r="J30" s="28" t="str">
        <f t="shared" si="5"/>
        <v>35</v>
      </c>
      <c r="K30" s="28" t="str">
        <f t="shared" si="6"/>
        <v>000</v>
      </c>
      <c r="L30" s="18">
        <f t="shared" si="7"/>
        <v>152000</v>
      </c>
      <c r="M30" s="18" t="str">
        <f t="shared" si="8"/>
        <v>00</v>
      </c>
      <c r="N30" s="18" t="str">
        <f t="shared" si="9"/>
        <v>02</v>
      </c>
      <c r="O30" s="18" t="str">
        <f t="shared" si="10"/>
        <v>32</v>
      </c>
      <c r="P30" s="18" t="str">
        <f t="shared" si="11"/>
        <v>000</v>
      </c>
      <c r="Q30" s="42" t="s">
        <v>12</v>
      </c>
      <c r="R30" s="44" t="s">
        <v>181</v>
      </c>
    </row>
    <row r="31" spans="1:18" ht="34.5">
      <c r="A31" s="2">
        <v>28</v>
      </c>
      <c r="B31" s="23" t="str">
        <f t="shared" si="12"/>
        <v>00:02:35,000</v>
      </c>
      <c r="C31" s="24" t="str">
        <f t="shared" si="1"/>
        <v>00:02:37,000</v>
      </c>
      <c r="D31" s="17">
        <v>2</v>
      </c>
      <c r="E31" s="17">
        <v>5</v>
      </c>
      <c r="F31" s="26">
        <f t="shared" si="2"/>
        <v>155000</v>
      </c>
      <c r="G31" s="27">
        <f t="shared" si="0"/>
        <v>160000</v>
      </c>
      <c r="H31" s="28" t="str">
        <f t="shared" si="3"/>
        <v>00</v>
      </c>
      <c r="I31" s="28" t="str">
        <f t="shared" si="4"/>
        <v>02</v>
      </c>
      <c r="J31" s="28" t="str">
        <f t="shared" si="5"/>
        <v>40</v>
      </c>
      <c r="K31" s="28" t="str">
        <f t="shared" si="6"/>
        <v>000</v>
      </c>
      <c r="L31" s="18">
        <f t="shared" si="7"/>
        <v>157000</v>
      </c>
      <c r="M31" s="18" t="str">
        <f t="shared" si="8"/>
        <v>00</v>
      </c>
      <c r="N31" s="18" t="str">
        <f t="shared" si="9"/>
        <v>02</v>
      </c>
      <c r="O31" s="18" t="str">
        <f t="shared" si="10"/>
        <v>37</v>
      </c>
      <c r="P31" s="18" t="str">
        <f t="shared" si="11"/>
        <v>000</v>
      </c>
      <c r="Q31" s="42" t="s">
        <v>15</v>
      </c>
      <c r="R31" s="44" t="s">
        <v>183</v>
      </c>
    </row>
    <row r="32" spans="1:18" ht="34.5">
      <c r="A32" s="2">
        <v>29</v>
      </c>
      <c r="B32" s="23" t="str">
        <f t="shared" si="12"/>
        <v>00:02:40,000</v>
      </c>
      <c r="C32" s="24" t="str">
        <f t="shared" si="1"/>
        <v>00:02:42,000</v>
      </c>
      <c r="D32" s="17">
        <v>2</v>
      </c>
      <c r="E32" s="17">
        <v>5</v>
      </c>
      <c r="F32" s="26">
        <f t="shared" si="2"/>
        <v>160000</v>
      </c>
      <c r="G32" s="27">
        <f t="shared" si="0"/>
        <v>165000</v>
      </c>
      <c r="H32" s="28" t="str">
        <f t="shared" si="3"/>
        <v>00</v>
      </c>
      <c r="I32" s="28" t="str">
        <f t="shared" si="4"/>
        <v>02</v>
      </c>
      <c r="J32" s="28" t="str">
        <f t="shared" si="5"/>
        <v>45</v>
      </c>
      <c r="K32" s="28" t="str">
        <f t="shared" si="6"/>
        <v>000</v>
      </c>
      <c r="L32" s="18">
        <f t="shared" si="7"/>
        <v>162000</v>
      </c>
      <c r="M32" s="18" t="str">
        <f t="shared" si="8"/>
        <v>00</v>
      </c>
      <c r="N32" s="18" t="str">
        <f t="shared" si="9"/>
        <v>02</v>
      </c>
      <c r="O32" s="18" t="str">
        <f t="shared" si="10"/>
        <v>42</v>
      </c>
      <c r="P32" s="18" t="str">
        <f t="shared" si="11"/>
        <v>000</v>
      </c>
      <c r="Q32" s="42" t="s">
        <v>16</v>
      </c>
      <c r="R32" s="44" t="s">
        <v>185</v>
      </c>
    </row>
    <row r="33" spans="1:18" ht="34.5">
      <c r="A33" s="2">
        <v>30</v>
      </c>
      <c r="B33" s="23" t="str">
        <f t="shared" si="12"/>
        <v>00:02:45,000</v>
      </c>
      <c r="C33" s="24" t="str">
        <f t="shared" si="1"/>
        <v>00:02:47,000</v>
      </c>
      <c r="D33" s="17">
        <v>2</v>
      </c>
      <c r="E33" s="17">
        <v>5</v>
      </c>
      <c r="F33" s="26">
        <f t="shared" si="2"/>
        <v>165000</v>
      </c>
      <c r="G33" s="27">
        <f t="shared" si="0"/>
        <v>170000</v>
      </c>
      <c r="H33" s="28" t="str">
        <f t="shared" si="3"/>
        <v>00</v>
      </c>
      <c r="I33" s="28" t="str">
        <f t="shared" si="4"/>
        <v>02</v>
      </c>
      <c r="J33" s="28" t="str">
        <f t="shared" si="5"/>
        <v>50</v>
      </c>
      <c r="K33" s="28" t="str">
        <f t="shared" si="6"/>
        <v>000</v>
      </c>
      <c r="L33" s="18">
        <f t="shared" si="7"/>
        <v>167000</v>
      </c>
      <c r="M33" s="18" t="str">
        <f t="shared" si="8"/>
        <v>00</v>
      </c>
      <c r="N33" s="18" t="str">
        <f t="shared" si="9"/>
        <v>02</v>
      </c>
      <c r="O33" s="18" t="str">
        <f t="shared" si="10"/>
        <v>47</v>
      </c>
      <c r="P33" s="18" t="str">
        <f t="shared" si="11"/>
        <v>000</v>
      </c>
      <c r="Q33" s="42" t="s">
        <v>18</v>
      </c>
      <c r="R33" s="44" t="s">
        <v>187</v>
      </c>
    </row>
    <row r="34" spans="1:18" ht="34.5">
      <c r="A34" s="2">
        <v>31</v>
      </c>
      <c r="B34" s="23" t="str">
        <f t="shared" si="12"/>
        <v>00:02:50,000</v>
      </c>
      <c r="C34" s="24" t="str">
        <f t="shared" si="1"/>
        <v>00:02:52,000</v>
      </c>
      <c r="D34" s="17">
        <v>2</v>
      </c>
      <c r="E34" s="17">
        <v>5</v>
      </c>
      <c r="F34" s="26">
        <f t="shared" si="2"/>
        <v>170000</v>
      </c>
      <c r="G34" s="27">
        <f t="shared" si="0"/>
        <v>175000</v>
      </c>
      <c r="H34" s="28" t="str">
        <f t="shared" si="3"/>
        <v>00</v>
      </c>
      <c r="I34" s="28" t="str">
        <f t="shared" si="4"/>
        <v>02</v>
      </c>
      <c r="J34" s="28" t="str">
        <f t="shared" si="5"/>
        <v>55</v>
      </c>
      <c r="K34" s="28" t="str">
        <f t="shared" si="6"/>
        <v>000</v>
      </c>
      <c r="L34" s="18">
        <f t="shared" si="7"/>
        <v>172000</v>
      </c>
      <c r="M34" s="18" t="str">
        <f t="shared" si="8"/>
        <v>00</v>
      </c>
      <c r="N34" s="18" t="str">
        <f t="shared" si="9"/>
        <v>02</v>
      </c>
      <c r="O34" s="18" t="str">
        <f t="shared" si="10"/>
        <v>52</v>
      </c>
      <c r="P34" s="18" t="str">
        <f t="shared" si="11"/>
        <v>000</v>
      </c>
      <c r="Q34" s="42" t="s">
        <v>20</v>
      </c>
      <c r="R34" s="44" t="s">
        <v>189</v>
      </c>
    </row>
    <row r="35" spans="1:18" ht="34.5">
      <c r="A35" s="2">
        <v>32</v>
      </c>
      <c r="B35" s="23" t="str">
        <f t="shared" si="12"/>
        <v>00:02:55,000</v>
      </c>
      <c r="C35" s="24" t="str">
        <f t="shared" si="1"/>
        <v>00:02:57,000</v>
      </c>
      <c r="D35" s="17">
        <v>2</v>
      </c>
      <c r="E35" s="17">
        <v>5</v>
      </c>
      <c r="F35" s="26">
        <f t="shared" si="2"/>
        <v>175000</v>
      </c>
      <c r="G35" s="27">
        <f t="shared" si="0"/>
        <v>180000</v>
      </c>
      <c r="H35" s="28" t="str">
        <f t="shared" si="3"/>
        <v>00</v>
      </c>
      <c r="I35" s="28" t="str">
        <f t="shared" si="4"/>
        <v>03</v>
      </c>
      <c r="J35" s="28" t="str">
        <f t="shared" si="5"/>
        <v>00</v>
      </c>
      <c r="K35" s="28" t="str">
        <f t="shared" si="6"/>
        <v>000</v>
      </c>
      <c r="L35" s="18">
        <f t="shared" si="7"/>
        <v>177000</v>
      </c>
      <c r="M35" s="18" t="str">
        <f t="shared" si="8"/>
        <v>00</v>
      </c>
      <c r="N35" s="18" t="str">
        <f t="shared" si="9"/>
        <v>02</v>
      </c>
      <c r="O35" s="18" t="str">
        <f t="shared" si="10"/>
        <v>57</v>
      </c>
      <c r="P35" s="18" t="str">
        <f t="shared" si="11"/>
        <v>000</v>
      </c>
      <c r="Q35" s="42" t="s">
        <v>22</v>
      </c>
      <c r="R35" s="44" t="s">
        <v>191</v>
      </c>
    </row>
    <row r="36" spans="1:18" ht="34.5">
      <c r="A36" s="2">
        <v>33</v>
      </c>
      <c r="B36" s="23" t="str">
        <f t="shared" si="12"/>
        <v>00:03:00,000</v>
      </c>
      <c r="C36" s="24" t="str">
        <f t="shared" si="1"/>
        <v>00:03:02,000</v>
      </c>
      <c r="D36" s="17">
        <v>2</v>
      </c>
      <c r="E36" s="17">
        <v>5</v>
      </c>
      <c r="F36" s="26">
        <f t="shared" si="2"/>
        <v>180000</v>
      </c>
      <c r="G36" s="27">
        <f t="shared" ref="G36:G65" si="13">F36+(E36*1000)</f>
        <v>185000</v>
      </c>
      <c r="H36" s="28" t="str">
        <f t="shared" si="3"/>
        <v>00</v>
      </c>
      <c r="I36" s="28" t="str">
        <f t="shared" si="4"/>
        <v>03</v>
      </c>
      <c r="J36" s="28" t="str">
        <f t="shared" si="5"/>
        <v>05</v>
      </c>
      <c r="K36" s="28" t="str">
        <f t="shared" si="6"/>
        <v>000</v>
      </c>
      <c r="L36" s="18">
        <f t="shared" si="7"/>
        <v>182000</v>
      </c>
      <c r="M36" s="18" t="str">
        <f t="shared" si="8"/>
        <v>00</v>
      </c>
      <c r="N36" s="18" t="str">
        <f t="shared" si="9"/>
        <v>03</v>
      </c>
      <c r="O36" s="18" t="str">
        <f t="shared" si="10"/>
        <v>02</v>
      </c>
      <c r="P36" s="18" t="str">
        <f t="shared" si="11"/>
        <v>000</v>
      </c>
      <c r="Q36" s="42" t="s">
        <v>23</v>
      </c>
      <c r="R36" s="44" t="s">
        <v>193</v>
      </c>
    </row>
    <row r="37" spans="1:18" ht="34.5">
      <c r="A37" s="2">
        <v>34</v>
      </c>
      <c r="B37" s="23" t="str">
        <f t="shared" si="12"/>
        <v>00:03:05,000</v>
      </c>
      <c r="C37" s="24" t="str">
        <f t="shared" si="1"/>
        <v>00:03:07,000</v>
      </c>
      <c r="D37" s="17">
        <v>2</v>
      </c>
      <c r="E37" s="17">
        <v>5</v>
      </c>
      <c r="F37" s="26">
        <f t="shared" si="2"/>
        <v>185000</v>
      </c>
      <c r="G37" s="27">
        <f t="shared" si="13"/>
        <v>190000</v>
      </c>
      <c r="H37" s="28" t="str">
        <f t="shared" si="3"/>
        <v>00</v>
      </c>
      <c r="I37" s="28" t="str">
        <f t="shared" si="4"/>
        <v>03</v>
      </c>
      <c r="J37" s="28" t="str">
        <f t="shared" si="5"/>
        <v>10</v>
      </c>
      <c r="K37" s="28" t="str">
        <f t="shared" si="6"/>
        <v>000</v>
      </c>
      <c r="L37" s="18">
        <f t="shared" si="7"/>
        <v>187000</v>
      </c>
      <c r="M37" s="18" t="str">
        <f t="shared" si="8"/>
        <v>00</v>
      </c>
      <c r="N37" s="18" t="str">
        <f t="shared" si="9"/>
        <v>03</v>
      </c>
      <c r="O37" s="18" t="str">
        <f t="shared" si="10"/>
        <v>07</v>
      </c>
      <c r="P37" s="18" t="str">
        <f t="shared" si="11"/>
        <v>000</v>
      </c>
      <c r="Q37" s="42" t="s">
        <v>11</v>
      </c>
      <c r="R37" s="44" t="s">
        <v>179</v>
      </c>
    </row>
    <row r="38" spans="1:18" ht="34.5">
      <c r="A38" s="2">
        <v>35</v>
      </c>
      <c r="B38" s="23" t="str">
        <f t="shared" si="12"/>
        <v>00:03:10,000</v>
      </c>
      <c r="C38" s="24" t="str">
        <f t="shared" si="1"/>
        <v>00:03:12,000</v>
      </c>
      <c r="D38" s="17">
        <v>2</v>
      </c>
      <c r="E38" s="17">
        <v>5</v>
      </c>
      <c r="F38" s="26">
        <f t="shared" si="2"/>
        <v>190000</v>
      </c>
      <c r="G38" s="27">
        <f t="shared" si="13"/>
        <v>195000</v>
      </c>
      <c r="H38" s="28" t="str">
        <f t="shared" si="3"/>
        <v>00</v>
      </c>
      <c r="I38" s="28" t="str">
        <f t="shared" si="4"/>
        <v>03</v>
      </c>
      <c r="J38" s="28" t="str">
        <f t="shared" si="5"/>
        <v>15</v>
      </c>
      <c r="K38" s="28" t="str">
        <f t="shared" si="6"/>
        <v>000</v>
      </c>
      <c r="L38" s="18">
        <f t="shared" si="7"/>
        <v>192000</v>
      </c>
      <c r="M38" s="18" t="str">
        <f t="shared" si="8"/>
        <v>00</v>
      </c>
      <c r="N38" s="18" t="str">
        <f t="shared" si="9"/>
        <v>03</v>
      </c>
      <c r="O38" s="18" t="str">
        <f t="shared" si="10"/>
        <v>12</v>
      </c>
      <c r="P38" s="18" t="str">
        <f t="shared" si="11"/>
        <v>000</v>
      </c>
      <c r="Q38" s="42" t="s">
        <v>12</v>
      </c>
      <c r="R38" s="44" t="s">
        <v>181</v>
      </c>
    </row>
    <row r="39" spans="1:18" ht="34.5">
      <c r="A39" s="2">
        <v>36</v>
      </c>
      <c r="B39" s="23" t="str">
        <f t="shared" si="12"/>
        <v>00:03:15,000</v>
      </c>
      <c r="C39" s="24" t="str">
        <f t="shared" si="1"/>
        <v>00:03:17,000</v>
      </c>
      <c r="D39" s="17">
        <v>2</v>
      </c>
      <c r="E39" s="17">
        <v>5</v>
      </c>
      <c r="F39" s="26">
        <f t="shared" si="2"/>
        <v>195000</v>
      </c>
      <c r="G39" s="27">
        <f t="shared" si="13"/>
        <v>200000</v>
      </c>
      <c r="H39" s="28" t="str">
        <f t="shared" si="3"/>
        <v>00</v>
      </c>
      <c r="I39" s="28" t="str">
        <f t="shared" si="4"/>
        <v>03</v>
      </c>
      <c r="J39" s="28" t="str">
        <f t="shared" si="5"/>
        <v>20</v>
      </c>
      <c r="K39" s="28" t="str">
        <f t="shared" si="6"/>
        <v>000</v>
      </c>
      <c r="L39" s="18">
        <f t="shared" si="7"/>
        <v>197000</v>
      </c>
      <c r="M39" s="18" t="str">
        <f t="shared" si="8"/>
        <v>00</v>
      </c>
      <c r="N39" s="18" t="str">
        <f t="shared" si="9"/>
        <v>03</v>
      </c>
      <c r="O39" s="18" t="str">
        <f t="shared" si="10"/>
        <v>17</v>
      </c>
      <c r="P39" s="18" t="str">
        <f t="shared" si="11"/>
        <v>000</v>
      </c>
      <c r="Q39" s="42" t="s">
        <v>15</v>
      </c>
      <c r="R39" s="44" t="s">
        <v>183</v>
      </c>
    </row>
    <row r="40" spans="1:18" ht="34.5">
      <c r="A40" s="2">
        <v>37</v>
      </c>
      <c r="B40" s="23" t="str">
        <f t="shared" si="12"/>
        <v>00:03:20,000</v>
      </c>
      <c r="C40" s="24" t="str">
        <f t="shared" si="1"/>
        <v>00:03:22,000</v>
      </c>
      <c r="D40" s="17">
        <v>2</v>
      </c>
      <c r="E40" s="17">
        <v>5</v>
      </c>
      <c r="F40" s="26">
        <f t="shared" si="2"/>
        <v>200000</v>
      </c>
      <c r="G40" s="27">
        <f t="shared" si="13"/>
        <v>205000</v>
      </c>
      <c r="H40" s="28" t="str">
        <f t="shared" si="3"/>
        <v>00</v>
      </c>
      <c r="I40" s="28" t="str">
        <f t="shared" si="4"/>
        <v>03</v>
      </c>
      <c r="J40" s="28" t="str">
        <f t="shared" si="5"/>
        <v>25</v>
      </c>
      <c r="K40" s="28" t="str">
        <f t="shared" si="6"/>
        <v>000</v>
      </c>
      <c r="L40" s="18">
        <f t="shared" si="7"/>
        <v>202000</v>
      </c>
      <c r="M40" s="18" t="str">
        <f t="shared" si="8"/>
        <v>00</v>
      </c>
      <c r="N40" s="18" t="str">
        <f t="shared" si="9"/>
        <v>03</v>
      </c>
      <c r="O40" s="18" t="str">
        <f t="shared" si="10"/>
        <v>22</v>
      </c>
      <c r="P40" s="18" t="str">
        <f t="shared" si="11"/>
        <v>000</v>
      </c>
      <c r="Q40" s="42" t="s">
        <v>16</v>
      </c>
      <c r="R40" s="44" t="s">
        <v>185</v>
      </c>
    </row>
    <row r="41" spans="1:18" ht="34.5">
      <c r="A41" s="2">
        <v>38</v>
      </c>
      <c r="B41" s="23" t="str">
        <f t="shared" si="12"/>
        <v>00:03:25,000</v>
      </c>
      <c r="C41" s="24" t="str">
        <f t="shared" si="1"/>
        <v>00:03:27,000</v>
      </c>
      <c r="D41" s="17">
        <v>2</v>
      </c>
      <c r="E41" s="17">
        <v>5</v>
      </c>
      <c r="F41" s="26">
        <f t="shared" si="2"/>
        <v>205000</v>
      </c>
      <c r="G41" s="27">
        <f t="shared" si="13"/>
        <v>210000</v>
      </c>
      <c r="H41" s="28" t="str">
        <f t="shared" si="3"/>
        <v>00</v>
      </c>
      <c r="I41" s="28" t="str">
        <f t="shared" si="4"/>
        <v>03</v>
      </c>
      <c r="J41" s="28" t="str">
        <f t="shared" si="5"/>
        <v>30</v>
      </c>
      <c r="K41" s="28" t="str">
        <f t="shared" si="6"/>
        <v>000</v>
      </c>
      <c r="L41" s="18">
        <f t="shared" si="7"/>
        <v>207000</v>
      </c>
      <c r="M41" s="18" t="str">
        <f t="shared" si="8"/>
        <v>00</v>
      </c>
      <c r="N41" s="18" t="str">
        <f t="shared" si="9"/>
        <v>03</v>
      </c>
      <c r="O41" s="18" t="str">
        <f t="shared" si="10"/>
        <v>27</v>
      </c>
      <c r="P41" s="18" t="str">
        <f t="shared" si="11"/>
        <v>000</v>
      </c>
      <c r="Q41" s="42" t="s">
        <v>18</v>
      </c>
      <c r="R41" s="44" t="s">
        <v>187</v>
      </c>
    </row>
    <row r="42" spans="1:18" ht="34.5">
      <c r="A42" s="2">
        <v>39</v>
      </c>
      <c r="B42" s="23" t="str">
        <f t="shared" si="12"/>
        <v>00:03:30,000</v>
      </c>
      <c r="C42" s="24" t="str">
        <f t="shared" si="1"/>
        <v>00:03:32,000</v>
      </c>
      <c r="D42" s="17">
        <v>2</v>
      </c>
      <c r="E42" s="17">
        <v>5</v>
      </c>
      <c r="F42" s="26">
        <f t="shared" si="2"/>
        <v>210000</v>
      </c>
      <c r="G42" s="27">
        <f t="shared" si="13"/>
        <v>215000</v>
      </c>
      <c r="H42" s="28" t="str">
        <f t="shared" si="3"/>
        <v>00</v>
      </c>
      <c r="I42" s="28" t="str">
        <f t="shared" si="4"/>
        <v>03</v>
      </c>
      <c r="J42" s="28" t="str">
        <f t="shared" si="5"/>
        <v>35</v>
      </c>
      <c r="K42" s="28" t="str">
        <f t="shared" si="6"/>
        <v>000</v>
      </c>
      <c r="L42" s="18">
        <f t="shared" si="7"/>
        <v>212000</v>
      </c>
      <c r="M42" s="18" t="str">
        <f t="shared" si="8"/>
        <v>00</v>
      </c>
      <c r="N42" s="18" t="str">
        <f t="shared" si="9"/>
        <v>03</v>
      </c>
      <c r="O42" s="18" t="str">
        <f t="shared" si="10"/>
        <v>32</v>
      </c>
      <c r="P42" s="18" t="str">
        <f t="shared" si="11"/>
        <v>000</v>
      </c>
      <c r="Q42" s="42" t="s">
        <v>20</v>
      </c>
      <c r="R42" s="44" t="s">
        <v>189</v>
      </c>
    </row>
    <row r="43" spans="1:18" ht="34.5">
      <c r="A43" s="2">
        <v>40</v>
      </c>
      <c r="B43" s="23" t="str">
        <f t="shared" si="12"/>
        <v>00:03:35,000</v>
      </c>
      <c r="C43" s="24" t="str">
        <f t="shared" si="1"/>
        <v>00:03:37,000</v>
      </c>
      <c r="D43" s="17">
        <v>2</v>
      </c>
      <c r="E43" s="17">
        <v>5</v>
      </c>
      <c r="F43" s="26">
        <f t="shared" si="2"/>
        <v>215000</v>
      </c>
      <c r="G43" s="27">
        <f t="shared" si="13"/>
        <v>220000</v>
      </c>
      <c r="H43" s="28" t="str">
        <f t="shared" si="3"/>
        <v>00</v>
      </c>
      <c r="I43" s="28" t="str">
        <f t="shared" si="4"/>
        <v>03</v>
      </c>
      <c r="J43" s="28" t="str">
        <f t="shared" si="5"/>
        <v>40</v>
      </c>
      <c r="K43" s="28" t="str">
        <f t="shared" si="6"/>
        <v>000</v>
      </c>
      <c r="L43" s="18">
        <f t="shared" si="7"/>
        <v>217000</v>
      </c>
      <c r="M43" s="18" t="str">
        <f t="shared" si="8"/>
        <v>00</v>
      </c>
      <c r="N43" s="18" t="str">
        <f t="shared" si="9"/>
        <v>03</v>
      </c>
      <c r="O43" s="18" t="str">
        <f t="shared" si="10"/>
        <v>37</v>
      </c>
      <c r="P43" s="18" t="str">
        <f t="shared" si="11"/>
        <v>000</v>
      </c>
      <c r="Q43" s="42" t="s">
        <v>22</v>
      </c>
      <c r="R43" s="44" t="s">
        <v>191</v>
      </c>
    </row>
    <row r="44" spans="1:18" ht="34.5">
      <c r="A44" s="2">
        <v>41</v>
      </c>
      <c r="B44" s="23" t="str">
        <f t="shared" si="12"/>
        <v>00:03:40,000</v>
      </c>
      <c r="C44" s="24" t="str">
        <f t="shared" si="1"/>
        <v>00:03:42,000</v>
      </c>
      <c r="D44" s="17">
        <v>2</v>
      </c>
      <c r="E44" s="17">
        <v>5</v>
      </c>
      <c r="F44" s="26">
        <f t="shared" si="2"/>
        <v>220000</v>
      </c>
      <c r="G44" s="27">
        <f t="shared" si="13"/>
        <v>225000</v>
      </c>
      <c r="H44" s="28" t="str">
        <f t="shared" si="3"/>
        <v>00</v>
      </c>
      <c r="I44" s="28" t="str">
        <f t="shared" si="4"/>
        <v>03</v>
      </c>
      <c r="J44" s="28" t="str">
        <f t="shared" si="5"/>
        <v>45</v>
      </c>
      <c r="K44" s="28" t="str">
        <f t="shared" si="6"/>
        <v>000</v>
      </c>
      <c r="L44" s="18">
        <f t="shared" si="7"/>
        <v>222000</v>
      </c>
      <c r="M44" s="18" t="str">
        <f t="shared" si="8"/>
        <v>00</v>
      </c>
      <c r="N44" s="18" t="str">
        <f t="shared" si="9"/>
        <v>03</v>
      </c>
      <c r="O44" s="18" t="str">
        <f t="shared" si="10"/>
        <v>42</v>
      </c>
      <c r="P44" s="18" t="str">
        <f t="shared" si="11"/>
        <v>000</v>
      </c>
      <c r="Q44" s="42" t="s">
        <v>23</v>
      </c>
      <c r="R44" s="44" t="s">
        <v>193</v>
      </c>
    </row>
    <row r="45" spans="1:18" ht="34.5">
      <c r="A45" s="2">
        <v>42</v>
      </c>
      <c r="B45" s="23" t="str">
        <f t="shared" si="12"/>
        <v>00:03:45,000</v>
      </c>
      <c r="C45" s="24" t="str">
        <f t="shared" si="1"/>
        <v>00:03:47,000</v>
      </c>
      <c r="D45" s="17">
        <v>2</v>
      </c>
      <c r="E45" s="17">
        <v>5</v>
      </c>
      <c r="F45" s="26">
        <f t="shared" si="2"/>
        <v>225000</v>
      </c>
      <c r="G45" s="27">
        <f t="shared" si="13"/>
        <v>230000</v>
      </c>
      <c r="H45" s="28" t="str">
        <f t="shared" si="3"/>
        <v>00</v>
      </c>
      <c r="I45" s="28" t="str">
        <f t="shared" si="4"/>
        <v>03</v>
      </c>
      <c r="J45" s="28" t="str">
        <f t="shared" si="5"/>
        <v>50</v>
      </c>
      <c r="K45" s="28" t="str">
        <f t="shared" si="6"/>
        <v>000</v>
      </c>
      <c r="L45" s="18">
        <f t="shared" si="7"/>
        <v>227000</v>
      </c>
      <c r="M45" s="18" t="str">
        <f t="shared" si="8"/>
        <v>00</v>
      </c>
      <c r="N45" s="18" t="str">
        <f t="shared" si="9"/>
        <v>03</v>
      </c>
      <c r="O45" s="18" t="str">
        <f t="shared" si="10"/>
        <v>47</v>
      </c>
      <c r="P45" s="18" t="str">
        <f t="shared" si="11"/>
        <v>000</v>
      </c>
      <c r="Q45" s="42" t="s">
        <v>25</v>
      </c>
      <c r="R45" s="44" t="s">
        <v>195</v>
      </c>
    </row>
    <row r="46" spans="1:18" ht="34.5">
      <c r="A46" s="2">
        <v>43</v>
      </c>
      <c r="B46" s="23" t="str">
        <f t="shared" si="12"/>
        <v>00:03:50,000</v>
      </c>
      <c r="C46" s="24" t="str">
        <f t="shared" si="1"/>
        <v>00:03:52,000</v>
      </c>
      <c r="D46" s="17">
        <v>2</v>
      </c>
      <c r="E46" s="17">
        <v>5</v>
      </c>
      <c r="F46" s="26">
        <f t="shared" si="2"/>
        <v>230000</v>
      </c>
      <c r="G46" s="27">
        <f t="shared" si="13"/>
        <v>235000</v>
      </c>
      <c r="H46" s="28" t="str">
        <f t="shared" si="3"/>
        <v>00</v>
      </c>
      <c r="I46" s="28" t="str">
        <f t="shared" si="4"/>
        <v>03</v>
      </c>
      <c r="J46" s="28" t="str">
        <f t="shared" si="5"/>
        <v>55</v>
      </c>
      <c r="K46" s="28" t="str">
        <f t="shared" si="6"/>
        <v>000</v>
      </c>
      <c r="L46" s="18">
        <f t="shared" si="7"/>
        <v>232000</v>
      </c>
      <c r="M46" s="18" t="str">
        <f t="shared" si="8"/>
        <v>00</v>
      </c>
      <c r="N46" s="18" t="str">
        <f t="shared" si="9"/>
        <v>03</v>
      </c>
      <c r="O46" s="18" t="str">
        <f t="shared" si="10"/>
        <v>52</v>
      </c>
      <c r="P46" s="18" t="str">
        <f t="shared" si="11"/>
        <v>000</v>
      </c>
      <c r="Q46" s="42" t="s">
        <v>27</v>
      </c>
      <c r="R46" s="44" t="s">
        <v>197</v>
      </c>
    </row>
    <row r="47" spans="1:18" ht="34.5">
      <c r="A47" s="2">
        <v>44</v>
      </c>
      <c r="B47" s="23" t="str">
        <f t="shared" si="12"/>
        <v>00:03:55,000</v>
      </c>
      <c r="C47" s="24" t="str">
        <f t="shared" si="1"/>
        <v>00:03:57,000</v>
      </c>
      <c r="D47" s="17">
        <v>2</v>
      </c>
      <c r="E47" s="17">
        <v>5</v>
      </c>
      <c r="F47" s="26">
        <f t="shared" si="2"/>
        <v>235000</v>
      </c>
      <c r="G47" s="27">
        <f t="shared" si="13"/>
        <v>240000</v>
      </c>
      <c r="H47" s="28" t="str">
        <f t="shared" si="3"/>
        <v>00</v>
      </c>
      <c r="I47" s="28" t="str">
        <f t="shared" si="4"/>
        <v>04</v>
      </c>
      <c r="J47" s="28" t="str">
        <f t="shared" si="5"/>
        <v>00</v>
      </c>
      <c r="K47" s="28" t="str">
        <f t="shared" si="6"/>
        <v>000</v>
      </c>
      <c r="L47" s="18">
        <f t="shared" si="7"/>
        <v>237000</v>
      </c>
      <c r="M47" s="18" t="str">
        <f t="shared" si="8"/>
        <v>00</v>
      </c>
      <c r="N47" s="18" t="str">
        <f t="shared" si="9"/>
        <v>03</v>
      </c>
      <c r="O47" s="18" t="str">
        <f t="shared" si="10"/>
        <v>57</v>
      </c>
      <c r="P47" s="18" t="str">
        <f t="shared" si="11"/>
        <v>000</v>
      </c>
      <c r="Q47" s="42" t="s">
        <v>29</v>
      </c>
      <c r="R47" s="44" t="s">
        <v>199</v>
      </c>
    </row>
    <row r="48" spans="1:18" ht="34.5">
      <c r="A48" s="2">
        <v>45</v>
      </c>
      <c r="B48" s="23" t="str">
        <f t="shared" si="12"/>
        <v>00:04:00,000</v>
      </c>
      <c r="C48" s="24" t="str">
        <f t="shared" si="1"/>
        <v>00:04:02,000</v>
      </c>
      <c r="D48" s="17">
        <v>2</v>
      </c>
      <c r="E48" s="17">
        <v>5</v>
      </c>
      <c r="F48" s="26">
        <f t="shared" si="2"/>
        <v>240000</v>
      </c>
      <c r="G48" s="27">
        <f t="shared" si="13"/>
        <v>245000</v>
      </c>
      <c r="H48" s="28" t="str">
        <f t="shared" si="3"/>
        <v>00</v>
      </c>
      <c r="I48" s="28" t="str">
        <f t="shared" si="4"/>
        <v>04</v>
      </c>
      <c r="J48" s="28" t="str">
        <f t="shared" si="5"/>
        <v>05</v>
      </c>
      <c r="K48" s="28" t="str">
        <f t="shared" si="6"/>
        <v>000</v>
      </c>
      <c r="L48" s="18">
        <f t="shared" si="7"/>
        <v>242000</v>
      </c>
      <c r="M48" s="18" t="str">
        <f t="shared" si="8"/>
        <v>00</v>
      </c>
      <c r="N48" s="18" t="str">
        <f t="shared" si="9"/>
        <v>04</v>
      </c>
      <c r="O48" s="18" t="str">
        <f t="shared" si="10"/>
        <v>02</v>
      </c>
      <c r="P48" s="18" t="str">
        <f t="shared" si="11"/>
        <v>000</v>
      </c>
      <c r="Q48" s="42" t="s">
        <v>31</v>
      </c>
      <c r="R48" s="44" t="s">
        <v>201</v>
      </c>
    </row>
    <row r="49" spans="1:18" ht="34.5">
      <c r="A49" s="2">
        <v>46</v>
      </c>
      <c r="B49" s="23" t="str">
        <f t="shared" si="12"/>
        <v>00:04:05,000</v>
      </c>
      <c r="C49" s="24" t="str">
        <f t="shared" si="1"/>
        <v>00:04:07,000</v>
      </c>
      <c r="D49" s="17">
        <v>2</v>
      </c>
      <c r="E49" s="17">
        <v>5</v>
      </c>
      <c r="F49" s="26">
        <f t="shared" si="2"/>
        <v>245000</v>
      </c>
      <c r="G49" s="27">
        <f t="shared" si="13"/>
        <v>250000</v>
      </c>
      <c r="H49" s="28" t="str">
        <f t="shared" si="3"/>
        <v>00</v>
      </c>
      <c r="I49" s="28" t="str">
        <f t="shared" si="4"/>
        <v>04</v>
      </c>
      <c r="J49" s="28" t="str">
        <f t="shared" si="5"/>
        <v>10</v>
      </c>
      <c r="K49" s="28" t="str">
        <f t="shared" si="6"/>
        <v>000</v>
      </c>
      <c r="L49" s="18">
        <f t="shared" si="7"/>
        <v>247000</v>
      </c>
      <c r="M49" s="18" t="str">
        <f t="shared" si="8"/>
        <v>00</v>
      </c>
      <c r="N49" s="18" t="str">
        <f t="shared" si="9"/>
        <v>04</v>
      </c>
      <c r="O49" s="18" t="str">
        <f t="shared" si="10"/>
        <v>07</v>
      </c>
      <c r="P49" s="18" t="str">
        <f t="shared" si="11"/>
        <v>000</v>
      </c>
      <c r="Q49" s="42" t="s">
        <v>33</v>
      </c>
      <c r="R49" s="44" t="s">
        <v>203</v>
      </c>
    </row>
    <row r="50" spans="1:18" ht="34.5">
      <c r="A50" s="2">
        <v>47</v>
      </c>
      <c r="B50" s="23" t="str">
        <f t="shared" si="12"/>
        <v>00:04:10,000</v>
      </c>
      <c r="C50" s="24" t="str">
        <f t="shared" si="1"/>
        <v>00:04:12,000</v>
      </c>
      <c r="D50" s="17">
        <v>2</v>
      </c>
      <c r="E50" s="17">
        <v>5</v>
      </c>
      <c r="F50" s="26">
        <f t="shared" si="2"/>
        <v>250000</v>
      </c>
      <c r="G50" s="27">
        <f t="shared" si="13"/>
        <v>255000</v>
      </c>
      <c r="H50" s="28" t="str">
        <f t="shared" si="3"/>
        <v>00</v>
      </c>
      <c r="I50" s="28" t="str">
        <f t="shared" si="4"/>
        <v>04</v>
      </c>
      <c r="J50" s="28" t="str">
        <f t="shared" si="5"/>
        <v>15</v>
      </c>
      <c r="K50" s="28" t="str">
        <f t="shared" si="6"/>
        <v>000</v>
      </c>
      <c r="L50" s="18">
        <f t="shared" si="7"/>
        <v>252000</v>
      </c>
      <c r="M50" s="18" t="str">
        <f t="shared" si="8"/>
        <v>00</v>
      </c>
      <c r="N50" s="18" t="str">
        <f t="shared" si="9"/>
        <v>04</v>
      </c>
      <c r="O50" s="18" t="str">
        <f t="shared" si="10"/>
        <v>12</v>
      </c>
      <c r="P50" s="18" t="str">
        <f t="shared" si="11"/>
        <v>000</v>
      </c>
      <c r="Q50" s="42" t="s">
        <v>35</v>
      </c>
      <c r="R50" s="44" t="s">
        <v>205</v>
      </c>
    </row>
    <row r="51" spans="1:18" ht="34.5">
      <c r="A51" s="2">
        <v>48</v>
      </c>
      <c r="B51" s="23" t="str">
        <f t="shared" si="12"/>
        <v>00:04:15,000</v>
      </c>
      <c r="C51" s="24" t="str">
        <f t="shared" si="1"/>
        <v>00:04:17,000</v>
      </c>
      <c r="D51" s="17">
        <v>2</v>
      </c>
      <c r="E51" s="17">
        <v>5</v>
      </c>
      <c r="F51" s="26">
        <f t="shared" si="2"/>
        <v>255000</v>
      </c>
      <c r="G51" s="27">
        <f t="shared" si="13"/>
        <v>260000</v>
      </c>
      <c r="H51" s="28" t="str">
        <f t="shared" si="3"/>
        <v>00</v>
      </c>
      <c r="I51" s="28" t="str">
        <f t="shared" si="4"/>
        <v>04</v>
      </c>
      <c r="J51" s="28" t="str">
        <f t="shared" si="5"/>
        <v>20</v>
      </c>
      <c r="K51" s="28" t="str">
        <f t="shared" si="6"/>
        <v>000</v>
      </c>
      <c r="L51" s="18">
        <f t="shared" si="7"/>
        <v>257000</v>
      </c>
      <c r="M51" s="18" t="str">
        <f t="shared" si="8"/>
        <v>00</v>
      </c>
      <c r="N51" s="18" t="str">
        <f t="shared" si="9"/>
        <v>04</v>
      </c>
      <c r="O51" s="18" t="str">
        <f t="shared" si="10"/>
        <v>17</v>
      </c>
      <c r="P51" s="18" t="str">
        <f t="shared" si="11"/>
        <v>000</v>
      </c>
      <c r="Q51" s="42" t="s">
        <v>36</v>
      </c>
      <c r="R51" s="44" t="s">
        <v>207</v>
      </c>
    </row>
    <row r="52" spans="1:18" ht="34.5">
      <c r="A52" s="2">
        <v>49</v>
      </c>
      <c r="B52" s="23" t="str">
        <f t="shared" si="12"/>
        <v>00:04:20,000</v>
      </c>
      <c r="C52" s="24" t="str">
        <f t="shared" si="1"/>
        <v>00:04:22,000</v>
      </c>
      <c r="D52" s="17">
        <v>2</v>
      </c>
      <c r="E52" s="17">
        <v>5</v>
      </c>
      <c r="F52" s="26">
        <f t="shared" si="2"/>
        <v>260000</v>
      </c>
      <c r="G52" s="27">
        <f t="shared" si="13"/>
        <v>265000</v>
      </c>
      <c r="H52" s="28" t="str">
        <f t="shared" si="3"/>
        <v>00</v>
      </c>
      <c r="I52" s="28" t="str">
        <f t="shared" si="4"/>
        <v>04</v>
      </c>
      <c r="J52" s="28" t="str">
        <f t="shared" si="5"/>
        <v>25</v>
      </c>
      <c r="K52" s="28" t="str">
        <f t="shared" si="6"/>
        <v>000</v>
      </c>
      <c r="L52" s="18">
        <f t="shared" si="7"/>
        <v>262000</v>
      </c>
      <c r="M52" s="18" t="str">
        <f t="shared" si="8"/>
        <v>00</v>
      </c>
      <c r="N52" s="18" t="str">
        <f t="shared" si="9"/>
        <v>04</v>
      </c>
      <c r="O52" s="18" t="str">
        <f t="shared" si="10"/>
        <v>22</v>
      </c>
      <c r="P52" s="18" t="str">
        <f t="shared" si="11"/>
        <v>000</v>
      </c>
      <c r="Q52" s="42" t="s">
        <v>38</v>
      </c>
      <c r="R52" s="44" t="s">
        <v>209</v>
      </c>
    </row>
    <row r="53" spans="1:18" ht="34.5">
      <c r="A53" s="2">
        <v>50</v>
      </c>
      <c r="B53" s="23" t="str">
        <f t="shared" si="12"/>
        <v>00:04:25,000</v>
      </c>
      <c r="C53" s="24" t="str">
        <f t="shared" si="1"/>
        <v>00:04:27,000</v>
      </c>
      <c r="D53" s="17">
        <v>2</v>
      </c>
      <c r="E53" s="17">
        <v>5</v>
      </c>
      <c r="F53" s="26">
        <f t="shared" si="2"/>
        <v>265000</v>
      </c>
      <c r="G53" s="27">
        <f t="shared" si="13"/>
        <v>270000</v>
      </c>
      <c r="H53" s="28" t="str">
        <f t="shared" si="3"/>
        <v>00</v>
      </c>
      <c r="I53" s="28" t="str">
        <f t="shared" si="4"/>
        <v>04</v>
      </c>
      <c r="J53" s="28" t="str">
        <f t="shared" si="5"/>
        <v>30</v>
      </c>
      <c r="K53" s="28" t="str">
        <f t="shared" si="6"/>
        <v>000</v>
      </c>
      <c r="L53" s="18">
        <f t="shared" si="7"/>
        <v>267000</v>
      </c>
      <c r="M53" s="18" t="str">
        <f t="shared" si="8"/>
        <v>00</v>
      </c>
      <c r="N53" s="18" t="str">
        <f t="shared" si="9"/>
        <v>04</v>
      </c>
      <c r="O53" s="18" t="str">
        <f t="shared" si="10"/>
        <v>27</v>
      </c>
      <c r="P53" s="18" t="str">
        <f t="shared" si="11"/>
        <v>000</v>
      </c>
      <c r="Q53" s="42" t="s">
        <v>11</v>
      </c>
      <c r="R53" s="44" t="s">
        <v>179</v>
      </c>
    </row>
    <row r="54" spans="1:18" ht="34.5">
      <c r="A54" s="2">
        <v>51</v>
      </c>
      <c r="B54" s="23" t="str">
        <f t="shared" si="12"/>
        <v>00:04:30,000</v>
      </c>
      <c r="C54" s="24" t="str">
        <f t="shared" si="1"/>
        <v>00:04:32,000</v>
      </c>
      <c r="D54" s="17">
        <v>2</v>
      </c>
      <c r="E54" s="17">
        <v>5</v>
      </c>
      <c r="F54" s="26">
        <f t="shared" si="2"/>
        <v>270000</v>
      </c>
      <c r="G54" s="27">
        <f t="shared" si="13"/>
        <v>275000</v>
      </c>
      <c r="H54" s="28" t="str">
        <f t="shared" si="3"/>
        <v>00</v>
      </c>
      <c r="I54" s="28" t="str">
        <f t="shared" si="4"/>
        <v>04</v>
      </c>
      <c r="J54" s="28" t="str">
        <f t="shared" si="5"/>
        <v>35</v>
      </c>
      <c r="K54" s="28" t="str">
        <f t="shared" si="6"/>
        <v>000</v>
      </c>
      <c r="L54" s="18">
        <f t="shared" si="7"/>
        <v>272000</v>
      </c>
      <c r="M54" s="18" t="str">
        <f t="shared" si="8"/>
        <v>00</v>
      </c>
      <c r="N54" s="18" t="str">
        <f t="shared" si="9"/>
        <v>04</v>
      </c>
      <c r="O54" s="18" t="str">
        <f t="shared" si="10"/>
        <v>32</v>
      </c>
      <c r="P54" s="18" t="str">
        <f t="shared" si="11"/>
        <v>000</v>
      </c>
      <c r="Q54" s="42" t="s">
        <v>12</v>
      </c>
      <c r="R54" s="44" t="s">
        <v>181</v>
      </c>
    </row>
    <row r="55" spans="1:18" ht="34.5">
      <c r="A55" s="2">
        <v>52</v>
      </c>
      <c r="B55" s="23" t="str">
        <f t="shared" si="12"/>
        <v>00:04:35,000</v>
      </c>
      <c r="C55" s="24" t="str">
        <f t="shared" si="1"/>
        <v>00:04:37,000</v>
      </c>
      <c r="D55" s="17">
        <v>2</v>
      </c>
      <c r="E55" s="17">
        <v>5</v>
      </c>
      <c r="F55" s="26">
        <f t="shared" si="2"/>
        <v>275000</v>
      </c>
      <c r="G55" s="27">
        <f t="shared" si="13"/>
        <v>280000</v>
      </c>
      <c r="H55" s="28" t="str">
        <f t="shared" si="3"/>
        <v>00</v>
      </c>
      <c r="I55" s="28" t="str">
        <f t="shared" si="4"/>
        <v>04</v>
      </c>
      <c r="J55" s="28" t="str">
        <f t="shared" si="5"/>
        <v>40</v>
      </c>
      <c r="K55" s="28" t="str">
        <f t="shared" si="6"/>
        <v>000</v>
      </c>
      <c r="L55" s="18">
        <f t="shared" si="7"/>
        <v>277000</v>
      </c>
      <c r="M55" s="18" t="str">
        <f t="shared" si="8"/>
        <v>00</v>
      </c>
      <c r="N55" s="18" t="str">
        <f t="shared" si="9"/>
        <v>04</v>
      </c>
      <c r="O55" s="18" t="str">
        <f t="shared" si="10"/>
        <v>37</v>
      </c>
      <c r="P55" s="18" t="str">
        <f t="shared" si="11"/>
        <v>000</v>
      </c>
      <c r="Q55" s="42" t="s">
        <v>15</v>
      </c>
      <c r="R55" s="44" t="s">
        <v>183</v>
      </c>
    </row>
    <row r="56" spans="1:18" ht="34.5">
      <c r="A56" s="2">
        <v>53</v>
      </c>
      <c r="B56" s="23" t="str">
        <f t="shared" si="12"/>
        <v>00:04:40,000</v>
      </c>
      <c r="C56" s="24" t="str">
        <f t="shared" si="1"/>
        <v>00:04:42,000</v>
      </c>
      <c r="D56" s="17">
        <v>2</v>
      </c>
      <c r="E56" s="17">
        <v>5</v>
      </c>
      <c r="F56" s="26">
        <f t="shared" si="2"/>
        <v>280000</v>
      </c>
      <c r="G56" s="27">
        <f t="shared" si="13"/>
        <v>285000</v>
      </c>
      <c r="H56" s="28" t="str">
        <f t="shared" si="3"/>
        <v>00</v>
      </c>
      <c r="I56" s="28" t="str">
        <f t="shared" si="4"/>
        <v>04</v>
      </c>
      <c r="J56" s="28" t="str">
        <f t="shared" si="5"/>
        <v>45</v>
      </c>
      <c r="K56" s="28" t="str">
        <f t="shared" si="6"/>
        <v>000</v>
      </c>
      <c r="L56" s="18">
        <f t="shared" si="7"/>
        <v>282000</v>
      </c>
      <c r="M56" s="18" t="str">
        <f t="shared" si="8"/>
        <v>00</v>
      </c>
      <c r="N56" s="18" t="str">
        <f t="shared" si="9"/>
        <v>04</v>
      </c>
      <c r="O56" s="18" t="str">
        <f t="shared" si="10"/>
        <v>42</v>
      </c>
      <c r="P56" s="18" t="str">
        <f t="shared" si="11"/>
        <v>000</v>
      </c>
      <c r="Q56" s="42" t="s">
        <v>16</v>
      </c>
      <c r="R56" s="44" t="s">
        <v>185</v>
      </c>
    </row>
    <row r="57" spans="1:18" ht="34.5">
      <c r="A57" s="2">
        <v>54</v>
      </c>
      <c r="B57" s="23" t="str">
        <f t="shared" si="12"/>
        <v>00:04:45,000</v>
      </c>
      <c r="C57" s="24" t="str">
        <f t="shared" si="1"/>
        <v>00:04:47,000</v>
      </c>
      <c r="D57" s="17">
        <v>2</v>
      </c>
      <c r="E57" s="17">
        <v>5</v>
      </c>
      <c r="F57" s="26">
        <f t="shared" si="2"/>
        <v>285000</v>
      </c>
      <c r="G57" s="27">
        <f t="shared" si="13"/>
        <v>290000</v>
      </c>
      <c r="H57" s="28" t="str">
        <f t="shared" si="3"/>
        <v>00</v>
      </c>
      <c r="I57" s="28" t="str">
        <f t="shared" si="4"/>
        <v>04</v>
      </c>
      <c r="J57" s="28" t="str">
        <f t="shared" si="5"/>
        <v>50</v>
      </c>
      <c r="K57" s="28" t="str">
        <f t="shared" si="6"/>
        <v>000</v>
      </c>
      <c r="L57" s="18">
        <f t="shared" si="7"/>
        <v>287000</v>
      </c>
      <c r="M57" s="18" t="str">
        <f t="shared" si="8"/>
        <v>00</v>
      </c>
      <c r="N57" s="18" t="str">
        <f t="shared" si="9"/>
        <v>04</v>
      </c>
      <c r="O57" s="18" t="str">
        <f t="shared" si="10"/>
        <v>47</v>
      </c>
      <c r="P57" s="18" t="str">
        <f t="shared" si="11"/>
        <v>000</v>
      </c>
      <c r="Q57" s="42" t="s">
        <v>18</v>
      </c>
      <c r="R57" s="44" t="s">
        <v>187</v>
      </c>
    </row>
    <row r="58" spans="1:18" ht="34.5">
      <c r="A58" s="2">
        <v>55</v>
      </c>
      <c r="B58" s="23" t="str">
        <f t="shared" si="12"/>
        <v>00:04:50,000</v>
      </c>
      <c r="C58" s="24" t="str">
        <f t="shared" si="1"/>
        <v>00:04:52,000</v>
      </c>
      <c r="D58" s="17">
        <v>2</v>
      </c>
      <c r="E58" s="17">
        <v>5</v>
      </c>
      <c r="F58" s="26">
        <f t="shared" si="2"/>
        <v>290000</v>
      </c>
      <c r="G58" s="27">
        <f t="shared" si="13"/>
        <v>295000</v>
      </c>
      <c r="H58" s="28" t="str">
        <f t="shared" si="3"/>
        <v>00</v>
      </c>
      <c r="I58" s="28" t="str">
        <f t="shared" si="4"/>
        <v>04</v>
      </c>
      <c r="J58" s="28" t="str">
        <f t="shared" si="5"/>
        <v>55</v>
      </c>
      <c r="K58" s="28" t="str">
        <f t="shared" si="6"/>
        <v>000</v>
      </c>
      <c r="L58" s="18">
        <f t="shared" si="7"/>
        <v>292000</v>
      </c>
      <c r="M58" s="18" t="str">
        <f t="shared" si="8"/>
        <v>00</v>
      </c>
      <c r="N58" s="18" t="str">
        <f t="shared" si="9"/>
        <v>04</v>
      </c>
      <c r="O58" s="18" t="str">
        <f t="shared" si="10"/>
        <v>52</v>
      </c>
      <c r="P58" s="18" t="str">
        <f t="shared" si="11"/>
        <v>000</v>
      </c>
      <c r="Q58" s="42" t="s">
        <v>20</v>
      </c>
      <c r="R58" s="44" t="s">
        <v>189</v>
      </c>
    </row>
    <row r="59" spans="1:18" ht="34.5">
      <c r="A59" s="2">
        <v>56</v>
      </c>
      <c r="B59" s="23" t="str">
        <f t="shared" si="12"/>
        <v>00:04:55,000</v>
      </c>
      <c r="C59" s="24" t="str">
        <f t="shared" si="1"/>
        <v>00:04:57,000</v>
      </c>
      <c r="D59" s="17">
        <v>2</v>
      </c>
      <c r="E59" s="17">
        <v>5</v>
      </c>
      <c r="F59" s="26">
        <f t="shared" si="2"/>
        <v>295000</v>
      </c>
      <c r="G59" s="27">
        <f t="shared" si="13"/>
        <v>300000</v>
      </c>
      <c r="H59" s="28" t="str">
        <f t="shared" si="3"/>
        <v>00</v>
      </c>
      <c r="I59" s="28" t="str">
        <f t="shared" si="4"/>
        <v>05</v>
      </c>
      <c r="J59" s="28" t="str">
        <f t="shared" si="5"/>
        <v>00</v>
      </c>
      <c r="K59" s="28" t="str">
        <f t="shared" si="6"/>
        <v>000</v>
      </c>
      <c r="L59" s="18">
        <f t="shared" si="7"/>
        <v>297000</v>
      </c>
      <c r="M59" s="18" t="str">
        <f t="shared" si="8"/>
        <v>00</v>
      </c>
      <c r="N59" s="18" t="str">
        <f t="shared" si="9"/>
        <v>04</v>
      </c>
      <c r="O59" s="18" t="str">
        <f t="shared" si="10"/>
        <v>57</v>
      </c>
      <c r="P59" s="18" t="str">
        <f t="shared" si="11"/>
        <v>000</v>
      </c>
      <c r="Q59" s="42" t="s">
        <v>22</v>
      </c>
      <c r="R59" s="44" t="s">
        <v>191</v>
      </c>
    </row>
    <row r="60" spans="1:18" ht="34.5">
      <c r="A60" s="2">
        <v>57</v>
      </c>
      <c r="B60" s="23" t="str">
        <f t="shared" si="12"/>
        <v>00:05:00,000</v>
      </c>
      <c r="C60" s="24" t="str">
        <f t="shared" si="1"/>
        <v>00:05:02,000</v>
      </c>
      <c r="D60" s="17">
        <v>2</v>
      </c>
      <c r="E60" s="17">
        <v>5</v>
      </c>
      <c r="F60" s="26">
        <f t="shared" si="2"/>
        <v>300000</v>
      </c>
      <c r="G60" s="27">
        <f t="shared" si="13"/>
        <v>305000</v>
      </c>
      <c r="H60" s="28" t="str">
        <f t="shared" si="3"/>
        <v>00</v>
      </c>
      <c r="I60" s="28" t="str">
        <f t="shared" si="4"/>
        <v>05</v>
      </c>
      <c r="J60" s="28" t="str">
        <f t="shared" si="5"/>
        <v>05</v>
      </c>
      <c r="K60" s="28" t="str">
        <f t="shared" si="6"/>
        <v>000</v>
      </c>
      <c r="L60" s="18">
        <f t="shared" si="7"/>
        <v>302000</v>
      </c>
      <c r="M60" s="18" t="str">
        <f t="shared" si="8"/>
        <v>00</v>
      </c>
      <c r="N60" s="18" t="str">
        <f t="shared" si="9"/>
        <v>05</v>
      </c>
      <c r="O60" s="18" t="str">
        <f t="shared" si="10"/>
        <v>02</v>
      </c>
      <c r="P60" s="18" t="str">
        <f t="shared" si="11"/>
        <v>000</v>
      </c>
      <c r="Q60" s="42" t="s">
        <v>23</v>
      </c>
      <c r="R60" s="44" t="s">
        <v>193</v>
      </c>
    </row>
    <row r="61" spans="1:18" ht="34.5">
      <c r="A61" s="2">
        <v>58</v>
      </c>
      <c r="B61" s="23" t="str">
        <f t="shared" si="12"/>
        <v>00:05:05,000</v>
      </c>
      <c r="C61" s="24" t="str">
        <f t="shared" si="1"/>
        <v>00:05:07,000</v>
      </c>
      <c r="D61" s="17">
        <v>2</v>
      </c>
      <c r="E61" s="17">
        <v>5</v>
      </c>
      <c r="F61" s="26">
        <f t="shared" si="2"/>
        <v>305000</v>
      </c>
      <c r="G61" s="27">
        <f t="shared" si="13"/>
        <v>310000</v>
      </c>
      <c r="H61" s="28" t="str">
        <f t="shared" si="3"/>
        <v>00</v>
      </c>
      <c r="I61" s="28" t="str">
        <f t="shared" si="4"/>
        <v>05</v>
      </c>
      <c r="J61" s="28" t="str">
        <f t="shared" si="5"/>
        <v>10</v>
      </c>
      <c r="K61" s="28" t="str">
        <f t="shared" si="6"/>
        <v>000</v>
      </c>
      <c r="L61" s="18">
        <f t="shared" si="7"/>
        <v>307000</v>
      </c>
      <c r="M61" s="18" t="str">
        <f t="shared" si="8"/>
        <v>00</v>
      </c>
      <c r="N61" s="18" t="str">
        <f t="shared" si="9"/>
        <v>05</v>
      </c>
      <c r="O61" s="18" t="str">
        <f t="shared" si="10"/>
        <v>07</v>
      </c>
      <c r="P61" s="18" t="str">
        <f t="shared" si="11"/>
        <v>000</v>
      </c>
      <c r="Q61" s="42" t="s">
        <v>22</v>
      </c>
      <c r="R61" s="44" t="s">
        <v>191</v>
      </c>
    </row>
    <row r="62" spans="1:18" ht="34.5">
      <c r="A62" s="2">
        <v>59</v>
      </c>
      <c r="B62" s="23" t="str">
        <f t="shared" si="12"/>
        <v>00:05:10,000</v>
      </c>
      <c r="C62" s="24" t="str">
        <f t="shared" si="1"/>
        <v>00:05:12,000</v>
      </c>
      <c r="D62" s="17">
        <v>2</v>
      </c>
      <c r="E62" s="17">
        <v>5</v>
      </c>
      <c r="F62" s="26">
        <f t="shared" si="2"/>
        <v>310000</v>
      </c>
      <c r="G62" s="27">
        <f t="shared" si="13"/>
        <v>315000</v>
      </c>
      <c r="H62" s="28" t="str">
        <f t="shared" si="3"/>
        <v>00</v>
      </c>
      <c r="I62" s="28" t="str">
        <f t="shared" si="4"/>
        <v>05</v>
      </c>
      <c r="J62" s="28" t="str">
        <f t="shared" si="5"/>
        <v>15</v>
      </c>
      <c r="K62" s="28" t="str">
        <f t="shared" si="6"/>
        <v>000</v>
      </c>
      <c r="L62" s="18">
        <f t="shared" si="7"/>
        <v>312000</v>
      </c>
      <c r="M62" s="18" t="str">
        <f t="shared" si="8"/>
        <v>00</v>
      </c>
      <c r="N62" s="18" t="str">
        <f t="shared" si="9"/>
        <v>05</v>
      </c>
      <c r="O62" s="18" t="str">
        <f t="shared" si="10"/>
        <v>12</v>
      </c>
      <c r="P62" s="18" t="str">
        <f t="shared" si="11"/>
        <v>000</v>
      </c>
      <c r="Q62" s="42" t="s">
        <v>23</v>
      </c>
      <c r="R62" s="44" t="s">
        <v>193</v>
      </c>
    </row>
    <row r="63" spans="1:18" ht="34.5">
      <c r="A63" s="2">
        <v>60</v>
      </c>
      <c r="B63" s="23" t="str">
        <f t="shared" si="12"/>
        <v>00:05:15,000</v>
      </c>
      <c r="C63" s="24" t="str">
        <f t="shared" si="1"/>
        <v>00:05:17,000</v>
      </c>
      <c r="D63" s="17">
        <v>2</v>
      </c>
      <c r="E63" s="17">
        <v>5</v>
      </c>
      <c r="F63" s="26">
        <f t="shared" si="2"/>
        <v>315000</v>
      </c>
      <c r="G63" s="27">
        <f t="shared" si="13"/>
        <v>320000</v>
      </c>
      <c r="H63" s="28" t="str">
        <f t="shared" si="3"/>
        <v>00</v>
      </c>
      <c r="I63" s="28" t="str">
        <f t="shared" si="4"/>
        <v>05</v>
      </c>
      <c r="J63" s="28" t="str">
        <f t="shared" si="5"/>
        <v>20</v>
      </c>
      <c r="K63" s="28" t="str">
        <f t="shared" si="6"/>
        <v>000</v>
      </c>
      <c r="L63" s="18">
        <f t="shared" si="7"/>
        <v>317000</v>
      </c>
      <c r="M63" s="18" t="str">
        <f t="shared" si="8"/>
        <v>00</v>
      </c>
      <c r="N63" s="18" t="str">
        <f t="shared" si="9"/>
        <v>05</v>
      </c>
      <c r="O63" s="18" t="str">
        <f t="shared" si="10"/>
        <v>17</v>
      </c>
      <c r="P63" s="18" t="str">
        <f t="shared" si="11"/>
        <v>000</v>
      </c>
      <c r="Q63" s="42" t="s">
        <v>22</v>
      </c>
      <c r="R63" s="44" t="s">
        <v>191</v>
      </c>
    </row>
    <row r="64" spans="1:18" ht="34.5">
      <c r="A64" s="2">
        <v>61</v>
      </c>
      <c r="B64" s="23" t="str">
        <f t="shared" si="12"/>
        <v>00:05:20,000</v>
      </c>
      <c r="C64" s="24" t="str">
        <f t="shared" si="1"/>
        <v>00:05:22,000</v>
      </c>
      <c r="D64" s="17">
        <v>2</v>
      </c>
      <c r="E64" s="17">
        <v>5</v>
      </c>
      <c r="F64" s="26">
        <f t="shared" si="2"/>
        <v>320000</v>
      </c>
      <c r="G64" s="27">
        <f t="shared" si="13"/>
        <v>325000</v>
      </c>
      <c r="H64" s="28" t="str">
        <f t="shared" si="3"/>
        <v>00</v>
      </c>
      <c r="I64" s="28" t="str">
        <f t="shared" si="4"/>
        <v>05</v>
      </c>
      <c r="J64" s="28" t="str">
        <f t="shared" si="5"/>
        <v>25</v>
      </c>
      <c r="K64" s="28" t="str">
        <f t="shared" si="6"/>
        <v>000</v>
      </c>
      <c r="L64" s="18">
        <f t="shared" si="7"/>
        <v>322000</v>
      </c>
      <c r="M64" s="18" t="str">
        <f t="shared" si="8"/>
        <v>00</v>
      </c>
      <c r="N64" s="18" t="str">
        <f t="shared" si="9"/>
        <v>05</v>
      </c>
      <c r="O64" s="18" t="str">
        <f t="shared" si="10"/>
        <v>22</v>
      </c>
      <c r="P64" s="18" t="str">
        <f t="shared" si="11"/>
        <v>000</v>
      </c>
      <c r="Q64" s="42" t="s">
        <v>23</v>
      </c>
      <c r="R64" s="44" t="s">
        <v>193</v>
      </c>
    </row>
    <row r="65" spans="1:18" ht="24">
      <c r="A65" s="20" t="s">
        <v>51</v>
      </c>
      <c r="B65" s="21" t="str">
        <f t="shared" si="12"/>
        <v>00:05:25,000</v>
      </c>
      <c r="C65" s="24" t="str">
        <f t="shared" si="1"/>
        <v>00:05:27,000</v>
      </c>
      <c r="D65" s="17">
        <v>2</v>
      </c>
      <c r="E65" s="17">
        <v>5</v>
      </c>
      <c r="F65" s="29">
        <f t="shared" si="2"/>
        <v>325000</v>
      </c>
      <c r="G65" s="27">
        <f t="shared" si="13"/>
        <v>330000</v>
      </c>
      <c r="H65" s="30" t="str">
        <f t="shared" si="3"/>
        <v>00</v>
      </c>
      <c r="I65" s="30" t="str">
        <f t="shared" si="4"/>
        <v>05</v>
      </c>
      <c r="J65" s="30" t="str">
        <f t="shared" si="5"/>
        <v>30</v>
      </c>
      <c r="K65" s="30" t="str">
        <f t="shared" si="6"/>
        <v>000</v>
      </c>
      <c r="L65" s="18">
        <f t="shared" si="7"/>
        <v>327000</v>
      </c>
      <c r="M65" s="18" t="str">
        <f t="shared" si="8"/>
        <v>00</v>
      </c>
      <c r="N65" s="18" t="str">
        <f t="shared" si="9"/>
        <v>05</v>
      </c>
      <c r="O65" s="18" t="str">
        <f t="shared" si="10"/>
        <v>27</v>
      </c>
      <c r="P65" s="18" t="str">
        <f t="shared" si="11"/>
        <v>000</v>
      </c>
      <c r="Q65" s="43"/>
      <c r="R65" s="43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34DEE-CDEB-4D52-893F-33C0A347653E}">
  <dimension ref="A1:L63"/>
  <sheetViews>
    <sheetView workbookViewId="0">
      <pane ySplit="1" topLeftCell="A29" activePane="bottomLeft" state="frozen"/>
      <selection pane="bottomLeft" activeCell="C34" sqref="C34"/>
    </sheetView>
  </sheetViews>
  <sheetFormatPr defaultRowHeight="16.5"/>
  <cols>
    <col min="1" max="1" width="7" style="3" customWidth="1"/>
    <col min="2" max="3" width="14" style="3" customWidth="1"/>
    <col min="4" max="4" width="15.25" style="3" customWidth="1"/>
    <col min="5" max="6" width="14" style="3" customWidth="1"/>
    <col min="7" max="8" width="49.625" style="7" customWidth="1"/>
    <col min="9" max="9" width="31.5" style="3" customWidth="1"/>
  </cols>
  <sheetData>
    <row r="1" spans="1:9" ht="30">
      <c r="A1" s="33" t="s">
        <v>0</v>
      </c>
      <c r="B1" s="33" t="s">
        <v>132</v>
      </c>
      <c r="C1" s="33" t="s">
        <v>133</v>
      </c>
      <c r="D1" s="34" t="s">
        <v>136</v>
      </c>
      <c r="E1" s="34" t="s">
        <v>134</v>
      </c>
      <c r="F1" s="34" t="s">
        <v>135</v>
      </c>
      <c r="G1" s="33" t="s">
        <v>1</v>
      </c>
      <c r="H1" s="33" t="s">
        <v>2</v>
      </c>
      <c r="I1" s="33" t="s">
        <v>3</v>
      </c>
    </row>
    <row r="2" spans="1:9" ht="60">
      <c r="A2" s="35">
        <v>1</v>
      </c>
      <c r="B2" s="36" t="s">
        <v>4</v>
      </c>
      <c r="C2" s="48" t="str">
        <f>B3</f>
        <v>00:00:48,000</v>
      </c>
      <c r="D2" s="37">
        <f>F2-E2</f>
        <v>48000</v>
      </c>
      <c r="E2" s="38">
        <f xml:space="preserve"> (LEFT($B2,2)*3600 + MID($B2,4,2)*60 + MID($B2,7,2))*1000 + RIGHT($B2,3)</f>
        <v>0</v>
      </c>
      <c r="F2" s="38">
        <f xml:space="preserve"> (LEFT($C2,2)*3600 + MID($C2,4,2)*60 + MID($C2,7,2))*1000 + RIGHT($C2,3)</f>
        <v>48000</v>
      </c>
      <c r="G2" s="45" t="str">
        <f>'01_漢字標音'!Q4</f>
        <v>《海海人生》</v>
      </c>
      <c r="H2" s="46" t="str">
        <f>'01_漢字標音'!R4</f>
        <v>Hai2 hai2 chin1 shinn1</v>
      </c>
      <c r="I2" s="47" t="str">
        <f>A2&amp;CHAR(10)&amp;B2&amp;" --&gt; "&amp;C2&amp;CHAR(10)&amp;G2&amp;CHAR(10)&amp;H2</f>
        <v>1
00:00:00,000 --&gt; 00:00:48,000
《海海人生》
Hai2 hai2 chin1 shinn1</v>
      </c>
    </row>
    <row r="3" spans="1:9" ht="60">
      <c r="A3" s="35">
        <v>2</v>
      </c>
      <c r="B3" s="36" t="s">
        <v>14</v>
      </c>
      <c r="C3" s="48" t="str">
        <f t="shared" ref="C3:C62" si="0">B4</f>
        <v>00:00:50,324</v>
      </c>
      <c r="D3" s="37">
        <f t="shared" ref="D3:D62" si="1">F3-E3</f>
        <v>2324</v>
      </c>
      <c r="E3" s="38">
        <f t="shared" ref="E3:E62" si="2" xml:space="preserve"> (LEFT($B3,2)*3600 + MID($B3,4,2)*60 + MID($B3,7,2))*1000 + RIGHT($B3,3)</f>
        <v>48000</v>
      </c>
      <c r="F3" s="38">
        <f t="shared" ref="F3:F62" si="3" xml:space="preserve"> (LEFT($C3,2)*3600 + MID($C3,4,2)*60 + MID($C3,7,2))*1000 + RIGHT($C3,3)</f>
        <v>50324</v>
      </c>
      <c r="G3" s="45" t="str">
        <f>'01_漢字標音'!Q5</f>
        <v>人說這心情</v>
      </c>
      <c r="H3" s="46" t="str">
        <f>'01_漢字標音'!R5</f>
        <v>Chin1 seh4 ji2 shim1 jing5</v>
      </c>
      <c r="I3" s="47" t="str">
        <f t="shared" ref="I3:I62" si="4">A3&amp;CHAR(10)&amp;B3&amp;" --&gt; "&amp;C3&amp;CHAR(10)&amp;G3&amp;CHAR(10)&amp;H3</f>
        <v>2
00:00:48,000 --&gt; 00:00:50,324
人說這心情
Chin1 seh4 ji2 shim1 jing5</v>
      </c>
    </row>
    <row r="4" spans="1:9" ht="60">
      <c r="A4" s="35">
        <v>3</v>
      </c>
      <c r="B4" s="36" t="s">
        <v>60</v>
      </c>
      <c r="C4" s="48" t="str">
        <f t="shared" si="0"/>
        <v>00:00:53,920</v>
      </c>
      <c r="D4" s="37">
        <f t="shared" si="1"/>
        <v>3596</v>
      </c>
      <c r="E4" s="38">
        <f t="shared" si="2"/>
        <v>50324</v>
      </c>
      <c r="F4" s="38">
        <f t="shared" si="3"/>
        <v>53920</v>
      </c>
      <c r="G4" s="45" t="str">
        <f>'01_漢字標音'!Q6</f>
        <v>罕罕罕罕卡快活</v>
      </c>
      <c r="H4" s="46" t="str">
        <f>'01_漢字標音'!R6</f>
        <v>Han2 han2 han2 han2 zah8 kuainn3 uah8</v>
      </c>
      <c r="I4" s="47" t="str">
        <f t="shared" si="4"/>
        <v>3
00:00:50,324 --&gt; 00:00:53,920
罕罕罕罕卡快活
Han2 han2 han2 han2 zah8 kuainn3 uah8</v>
      </c>
    </row>
    <row r="5" spans="1:9" ht="60">
      <c r="A5" s="35">
        <v>4</v>
      </c>
      <c r="B5" s="36" t="s">
        <v>61</v>
      </c>
      <c r="C5" s="48" t="str">
        <f t="shared" si="0"/>
        <v>00:00:55,000</v>
      </c>
      <c r="D5" s="37">
        <f t="shared" si="1"/>
        <v>1080</v>
      </c>
      <c r="E5" s="38">
        <f t="shared" si="2"/>
        <v>53920</v>
      </c>
      <c r="F5" s="38">
        <f t="shared" si="3"/>
        <v>55000</v>
      </c>
      <c r="G5" s="45" t="str">
        <f>'01_漢字標音'!Q7</f>
        <v>毋通太陰鴆</v>
      </c>
      <c r="H5" s="46" t="str">
        <f>'01_漢字標音'!R7</f>
        <v>M7 tang3 tai3 im1 dim1</v>
      </c>
      <c r="I5" s="47" t="str">
        <f t="shared" si="4"/>
        <v>4
00:00:53,920 --&gt; 00:00:55,000
毋通太陰鴆
M7 tang3 tai3 im1 dim1</v>
      </c>
    </row>
    <row r="6" spans="1:9" ht="60">
      <c r="A6" s="35">
        <v>5</v>
      </c>
      <c r="B6" s="36" t="s">
        <v>62</v>
      </c>
      <c r="C6" s="48" t="str">
        <f t="shared" si="0"/>
        <v>00:00:59,000</v>
      </c>
      <c r="D6" s="37">
        <f t="shared" si="1"/>
        <v>4000</v>
      </c>
      <c r="E6" s="38">
        <f t="shared" si="2"/>
        <v>55000</v>
      </c>
      <c r="F6" s="38">
        <f t="shared" si="3"/>
        <v>59000</v>
      </c>
      <c r="G6" s="45" t="str">
        <f>'01_漢字標音'!Q8</f>
        <v>想著會驚</v>
      </c>
      <c r="H6" s="46" t="str">
        <f>'01_漢字標音'!R8</f>
        <v>Shiunn7 diorh8 he7 giann1</v>
      </c>
      <c r="I6" s="47" t="str">
        <f t="shared" si="4"/>
        <v>5
00:00:55,000 --&gt; 00:00:59,000
想著會驚
Shiunn7 diorh8 he7 giann1</v>
      </c>
    </row>
    <row r="7" spans="1:9" ht="60">
      <c r="A7" s="35">
        <v>6</v>
      </c>
      <c r="B7" s="36" t="s">
        <v>63</v>
      </c>
      <c r="C7" s="48" t="str">
        <f t="shared" si="0"/>
        <v>00:01:01,917</v>
      </c>
      <c r="D7" s="37">
        <f t="shared" si="1"/>
        <v>2917</v>
      </c>
      <c r="E7" s="38">
        <f t="shared" si="2"/>
        <v>59000</v>
      </c>
      <c r="F7" s="38">
        <f t="shared" si="3"/>
        <v>61917</v>
      </c>
      <c r="G7" s="45" t="str">
        <f>'01_漢字標音'!Q9</f>
        <v>有人真古意</v>
      </c>
      <c r="H7" s="46" t="str">
        <f>'01_漢字標音'!R9</f>
        <v>U7 chin1 jin1 goo2 i3</v>
      </c>
      <c r="I7" s="47" t="str">
        <f t="shared" si="4"/>
        <v>6
00:00:59,000 --&gt; 00:01:01,917
有人真古意
U7 chin1 jin1 goo2 i3</v>
      </c>
    </row>
    <row r="8" spans="1:9" ht="60">
      <c r="A8" s="35">
        <v>7</v>
      </c>
      <c r="B8" s="36" t="s">
        <v>64</v>
      </c>
      <c r="C8" s="48" t="str">
        <f t="shared" si="0"/>
        <v>00:01:04,001</v>
      </c>
      <c r="D8" s="37">
        <f t="shared" si="1"/>
        <v>2084</v>
      </c>
      <c r="E8" s="38">
        <f t="shared" si="2"/>
        <v>61917</v>
      </c>
      <c r="F8" s="38">
        <f t="shared" si="3"/>
        <v>64001</v>
      </c>
      <c r="G8" s="45" t="str">
        <f>'01_漢字標音'!Q10</f>
        <v>常常嘛是有人變卦</v>
      </c>
      <c r="H8" s="46" t="str">
        <f>'01_漢字標音'!R10</f>
        <v>Shiunn5 shiunn5 ma01 shi2 u7 chin1 bian3 gua3</v>
      </c>
      <c r="I8" s="47" t="str">
        <f t="shared" si="4"/>
        <v>7
00:01:01,917 --&gt; 00:01:04,001
常常嘛是有人變卦
Shiunn5 shiunn5 ma01 shi2 u7 chin1 bian3 gua3</v>
      </c>
    </row>
    <row r="9" spans="1:9" ht="60">
      <c r="A9" s="35">
        <v>8</v>
      </c>
      <c r="B9" s="36" t="s">
        <v>65</v>
      </c>
      <c r="C9" s="48" t="str">
        <f t="shared" si="0"/>
        <v>00:01:07,003</v>
      </c>
      <c r="D9" s="37">
        <f t="shared" si="1"/>
        <v>3002</v>
      </c>
      <c r="E9" s="38">
        <f t="shared" si="2"/>
        <v>64001</v>
      </c>
      <c r="F9" s="38">
        <f t="shared" si="3"/>
        <v>67003</v>
      </c>
      <c r="G9" s="45" t="str">
        <f>'01_漢字標音'!Q11</f>
        <v>這人情怎樣</v>
      </c>
      <c r="H9" s="46" t="str">
        <f>'01_漢字標音'!R11</f>
        <v>Ji2 chin1 jing5 zainn2 inn2</v>
      </c>
      <c r="I9" s="47" t="str">
        <f t="shared" si="4"/>
        <v>8
00:01:04,001 --&gt; 00:01:07,003
這人情怎樣
Ji2 chin1 jing5 zainn2 inn2</v>
      </c>
    </row>
    <row r="10" spans="1:9" ht="60">
      <c r="A10" s="35">
        <v>9</v>
      </c>
      <c r="B10" s="36" t="s">
        <v>66</v>
      </c>
      <c r="C10" s="48" t="str">
        <f t="shared" si="0"/>
        <v>00:01:11,006</v>
      </c>
      <c r="D10" s="37">
        <f t="shared" si="1"/>
        <v>4003</v>
      </c>
      <c r="E10" s="38">
        <f t="shared" si="2"/>
        <v>67003</v>
      </c>
      <c r="F10" s="38">
        <f t="shared" si="3"/>
        <v>71006</v>
      </c>
      <c r="G10" s="45" t="str">
        <f>'01_漢字標音'!Q12</f>
        <v>才看會破</v>
      </c>
      <c r="H10" s="46" t="str">
        <f>'01_漢字標音'!R12</f>
        <v>Zai5 kuann3 he7 por3</v>
      </c>
      <c r="I10" s="47" t="str">
        <f t="shared" si="4"/>
        <v>9
00:01:07,003 --&gt; 00:01:11,006
才看會破
Zai5 kuann3 he7 por3</v>
      </c>
    </row>
    <row r="11" spans="1:9" ht="60">
      <c r="A11" s="35">
        <v>10</v>
      </c>
      <c r="B11" s="36" t="s">
        <v>67</v>
      </c>
      <c r="C11" s="48" t="str">
        <f t="shared" si="0"/>
        <v>00:01:13,010</v>
      </c>
      <c r="D11" s="37">
        <f t="shared" si="1"/>
        <v>2004</v>
      </c>
      <c r="E11" s="38">
        <f t="shared" si="2"/>
        <v>71006</v>
      </c>
      <c r="F11" s="38">
        <f t="shared" si="3"/>
        <v>73010</v>
      </c>
      <c r="G11" s="45" t="str">
        <f>'01_漢字標音'!Q13</f>
        <v>人說這人生</v>
      </c>
      <c r="H11" s="46" t="str">
        <f>'01_漢字標音'!R13</f>
        <v>Chin1 seh4 ji2 chin1 shinn1</v>
      </c>
      <c r="I11" s="47" t="str">
        <f t="shared" si="4"/>
        <v>10
00:01:11,006 --&gt; 00:01:13,010
人說這人生
Chin1 seh4 ji2 chin1 shinn1</v>
      </c>
    </row>
    <row r="12" spans="1:9" ht="60">
      <c r="A12" s="35">
        <v>11</v>
      </c>
      <c r="B12" s="36" t="s">
        <v>68</v>
      </c>
      <c r="C12" s="48" t="str">
        <f t="shared" si="0"/>
        <v>00:01:16,015</v>
      </c>
      <c r="D12" s="37">
        <f t="shared" si="1"/>
        <v>3005</v>
      </c>
      <c r="E12" s="38">
        <f t="shared" si="2"/>
        <v>73010</v>
      </c>
      <c r="F12" s="38">
        <f t="shared" si="3"/>
        <v>76015</v>
      </c>
      <c r="G12" s="45" t="str">
        <f>'01_漢字標音'!Q14</f>
        <v>海海海海路好行</v>
      </c>
      <c r="H12" s="46" t="str">
        <f>'01_漢字標音'!R14</f>
        <v>Hai2 hai2 hai2 hai2 loo7 haunn3 hang5</v>
      </c>
      <c r="I12" s="47" t="str">
        <f t="shared" si="4"/>
        <v>11
00:01:13,010 --&gt; 00:01:16,015
海海海海路好行
Hai2 hai2 hai2 hai2 loo7 haunn3 hang5</v>
      </c>
    </row>
    <row r="13" spans="1:9" ht="60">
      <c r="A13" s="35">
        <v>12</v>
      </c>
      <c r="B13" s="36" t="s">
        <v>69</v>
      </c>
      <c r="C13" s="48" t="str">
        <f t="shared" si="0"/>
        <v>00:01:18,021</v>
      </c>
      <c r="D13" s="37">
        <f t="shared" si="1"/>
        <v>2006</v>
      </c>
      <c r="E13" s="38">
        <f t="shared" si="2"/>
        <v>76015</v>
      </c>
      <c r="F13" s="38">
        <f t="shared" si="3"/>
        <v>78021</v>
      </c>
      <c r="G13" s="45" t="str">
        <f>'01_漢字標音'!Q15</f>
        <v>毋通越頭望</v>
      </c>
      <c r="H13" s="46" t="str">
        <f>'01_漢字標音'!R15</f>
        <v>M7 tang3 uat8 tau5 bbang7</v>
      </c>
      <c r="I13" s="47" t="str">
        <f t="shared" si="4"/>
        <v>12
00:01:16,015 --&gt; 00:01:18,021
毋通越頭望
M7 tang3 uat8 tau5 bbang7</v>
      </c>
    </row>
    <row r="14" spans="1:9" ht="60">
      <c r="A14" s="35">
        <v>13</v>
      </c>
      <c r="B14" s="36" t="s">
        <v>70</v>
      </c>
      <c r="C14" s="48" t="str">
        <f t="shared" si="0"/>
        <v>00:01:22,028</v>
      </c>
      <c r="D14" s="37">
        <f t="shared" si="1"/>
        <v>4007</v>
      </c>
      <c r="E14" s="38">
        <f t="shared" si="2"/>
        <v>78021</v>
      </c>
      <c r="F14" s="38">
        <f t="shared" si="3"/>
        <v>82028</v>
      </c>
      <c r="G14" s="45" t="str">
        <f>'01_漢字標音'!Q16</f>
        <v>望著會茫</v>
      </c>
      <c r="H14" s="46" t="str">
        <f>'01_漢字標音'!R16</f>
        <v>Bbang7 diorh8 he7 bbong5</v>
      </c>
      <c r="I14" s="47" t="str">
        <f t="shared" si="4"/>
        <v>13
00:01:18,021 --&gt; 00:01:22,028
望著會茫
Bbang7 diorh8 he7 bbong5</v>
      </c>
    </row>
    <row r="15" spans="1:9" ht="60">
      <c r="A15" s="35">
        <v>14</v>
      </c>
      <c r="B15" s="36" t="s">
        <v>71</v>
      </c>
      <c r="C15" s="48" t="str">
        <f t="shared" si="0"/>
        <v>00:01:24,036</v>
      </c>
      <c r="D15" s="37">
        <f t="shared" si="1"/>
        <v>2008</v>
      </c>
      <c r="E15" s="38">
        <f t="shared" si="2"/>
        <v>82028</v>
      </c>
      <c r="F15" s="38">
        <f t="shared" si="3"/>
        <v>84036</v>
      </c>
      <c r="G15" s="45" t="str">
        <f>'01_漢字標音'!Q17</f>
        <v>有人愛著阮</v>
      </c>
      <c r="H15" s="46" t="str">
        <f>'01_漢字標音'!R17</f>
        <v>U7 chin1 ai3 diorh8 ng2</v>
      </c>
      <c r="I15" s="47" t="str">
        <f t="shared" si="4"/>
        <v>14
00:01:22,028 --&gt; 00:01:24,036
有人愛著阮
U7 chin1 ai3 diorh8 ng2</v>
      </c>
    </row>
    <row r="16" spans="1:9" ht="60">
      <c r="A16" s="35">
        <v>15</v>
      </c>
      <c r="B16" s="36" t="s">
        <v>72</v>
      </c>
      <c r="C16" s="48" t="str">
        <f t="shared" si="0"/>
        <v>00:01:28,045</v>
      </c>
      <c r="D16" s="37">
        <f t="shared" si="1"/>
        <v>4009</v>
      </c>
      <c r="E16" s="38">
        <f t="shared" si="2"/>
        <v>84036</v>
      </c>
      <c r="F16" s="38">
        <f t="shared" si="3"/>
        <v>88045</v>
      </c>
      <c r="G16" s="45" t="str">
        <f>'01_漢字標音'!Q18</f>
        <v>偏偏阮愛的是別人</v>
      </c>
      <c r="H16" s="46" t="str">
        <f>'01_漢字標音'!R18</f>
        <v>Tian1 tian1 ng2 ai3 e5 shi2 bat8 chin1</v>
      </c>
      <c r="I16" s="47" t="str">
        <f t="shared" si="4"/>
        <v>15
00:01:24,036 --&gt; 00:01:28,045
偏偏阮愛的是別人
Tian1 tian1 ng2 ai3 e5 shi2 bat8 chin1</v>
      </c>
    </row>
    <row r="17" spans="1:9" ht="60">
      <c r="A17" s="35">
        <v>16</v>
      </c>
      <c r="B17" s="36" t="s">
        <v>73</v>
      </c>
      <c r="C17" s="48" t="str">
        <f t="shared" si="0"/>
        <v>00:01:29,055</v>
      </c>
      <c r="D17" s="37">
        <f t="shared" si="1"/>
        <v>1010</v>
      </c>
      <c r="E17" s="38">
        <f t="shared" si="2"/>
        <v>88045</v>
      </c>
      <c r="F17" s="38">
        <f t="shared" si="3"/>
        <v>89055</v>
      </c>
      <c r="G17" s="45" t="str">
        <f>'01_漢字標音'!Q19</f>
        <v>這情債</v>
      </c>
      <c r="H17" s="46" t="str">
        <f>'01_漢字標音'!R19</f>
        <v>Ji2 jing5 ze3</v>
      </c>
      <c r="I17" s="47" t="str">
        <f t="shared" si="4"/>
        <v>16
00:01:28,045 --&gt; 00:01:29,055
這情債
Ji2 jing5 ze3</v>
      </c>
    </row>
    <row r="18" spans="1:9" ht="60">
      <c r="A18" s="35">
        <v>17</v>
      </c>
      <c r="B18" s="36" t="s">
        <v>74</v>
      </c>
      <c r="C18" s="48" t="str">
        <f t="shared" si="0"/>
        <v>00:01:34,066</v>
      </c>
      <c r="D18" s="37">
        <f t="shared" si="1"/>
        <v>5011</v>
      </c>
      <c r="E18" s="38">
        <f t="shared" si="2"/>
        <v>89055</v>
      </c>
      <c r="F18" s="38">
        <f t="shared" si="3"/>
        <v>94066</v>
      </c>
      <c r="G18" s="45" t="str">
        <f>'01_漢字標音'!Q20</f>
        <v>怎樣計較輸贏</v>
      </c>
      <c r="H18" s="46" t="str">
        <f>'01_漢字標音'!R20</f>
        <v>Zainn2 inn2 ge3 gau3 su1 iann5</v>
      </c>
      <c r="I18" s="47" t="str">
        <f t="shared" si="4"/>
        <v>17
00:01:29,055 --&gt; 00:01:34,066
怎樣計較輸贏
Zainn2 inn2 ge3 gau3 su1 iann5</v>
      </c>
    </row>
    <row r="19" spans="1:9" ht="60">
      <c r="A19" s="35">
        <v>18</v>
      </c>
      <c r="B19" s="36" t="s">
        <v>75</v>
      </c>
      <c r="C19" s="48" t="str">
        <f t="shared" si="0"/>
        <v>00:01:36,078</v>
      </c>
      <c r="D19" s="37">
        <f t="shared" si="1"/>
        <v>2012</v>
      </c>
      <c r="E19" s="38">
        <f t="shared" si="2"/>
        <v>94066</v>
      </c>
      <c r="F19" s="38">
        <f t="shared" si="3"/>
        <v>96078</v>
      </c>
      <c r="G19" s="45" t="str">
        <f>'01_漢字標音'!Q21</f>
        <v>輕輕鬆鬆</v>
      </c>
      <c r="H19" s="46" t="str">
        <f>'01_漢字標音'!R21</f>
        <v>Kin1 kin1 sang1 sang1</v>
      </c>
      <c r="I19" s="47" t="str">
        <f t="shared" si="4"/>
        <v>18
00:01:34,066 --&gt; 00:01:36,078
輕輕鬆鬆
Kin1 kin1 sang1 sang1</v>
      </c>
    </row>
    <row r="20" spans="1:9" ht="60">
      <c r="A20" s="35">
        <v>19</v>
      </c>
      <c r="B20" s="36" t="s">
        <v>76</v>
      </c>
      <c r="C20" s="48" t="str">
        <f t="shared" si="0"/>
        <v>00:01:39,069</v>
      </c>
      <c r="D20" s="37">
        <f t="shared" si="1"/>
        <v>2991</v>
      </c>
      <c r="E20" s="38">
        <f t="shared" si="2"/>
        <v>96078</v>
      </c>
      <c r="F20" s="38">
        <f t="shared" si="3"/>
        <v>99069</v>
      </c>
      <c r="G20" s="45" t="str">
        <f>'01_漢字標音'!Q22</f>
        <v>人生路途阮來行</v>
      </c>
      <c r="H20" s="46" t="str">
        <f>'01_漢字標音'!R22</f>
        <v>Chin1 shinn1 loo7 doo5 ng2 lai5 hang5</v>
      </c>
      <c r="I20" s="47" t="str">
        <f t="shared" si="4"/>
        <v>19
00:01:36,078 --&gt; 00:01:39,069
人生路途阮來行
Chin1 shinn1 loo7 doo5 ng2 lai5 hang5</v>
      </c>
    </row>
    <row r="21" spans="1:9" ht="60">
      <c r="A21" s="35">
        <v>20</v>
      </c>
      <c r="B21" s="36" t="s">
        <v>77</v>
      </c>
      <c r="C21" s="48" t="str">
        <f t="shared" si="0"/>
        <v>00:01:41,712</v>
      </c>
      <c r="D21" s="37">
        <f t="shared" si="1"/>
        <v>2643</v>
      </c>
      <c r="E21" s="38">
        <f t="shared" si="2"/>
        <v>99069</v>
      </c>
      <c r="F21" s="38">
        <f t="shared" si="3"/>
        <v>101712</v>
      </c>
      <c r="G21" s="45" t="str">
        <f>'01_漢字標音'!Q23</f>
        <v>無人是應該</v>
      </c>
      <c r="H21" s="46" t="str">
        <f>'01_漢字標音'!R23</f>
        <v>Bbu5 chin1 shi2 in3 gai1</v>
      </c>
      <c r="I21" s="47" t="str">
        <f t="shared" si="4"/>
        <v>20
00:01:39,069 --&gt; 00:01:41,712
無人是應該
Bbu5 chin1 shi2 in3 gai1</v>
      </c>
    </row>
    <row r="22" spans="1:9" ht="60">
      <c r="A22" s="35">
        <v>21</v>
      </c>
      <c r="B22" s="36" t="s">
        <v>78</v>
      </c>
      <c r="C22" s="48" t="str">
        <f t="shared" si="0"/>
        <v>00:01:45,120</v>
      </c>
      <c r="D22" s="37">
        <f t="shared" si="1"/>
        <v>3408</v>
      </c>
      <c r="E22" s="38">
        <f t="shared" si="2"/>
        <v>101712</v>
      </c>
      <c r="F22" s="38">
        <f t="shared" si="3"/>
        <v>105120</v>
      </c>
      <c r="G22" s="45" t="str">
        <f>'01_漢字標音'!Q24</f>
        <v>永遠孤單</v>
      </c>
      <c r="H22" s="46" t="str">
        <f>'01_漢字標音'!R24</f>
        <v>Ing2 uan7 goo1 kia1</v>
      </c>
      <c r="I22" s="47" t="str">
        <f t="shared" si="4"/>
        <v>21
00:01:41,712 --&gt; 00:01:45,120
永遠孤單
Ing2 uan7 goo1 kia1</v>
      </c>
    </row>
    <row r="23" spans="1:9" ht="60">
      <c r="A23" s="35">
        <v>22</v>
      </c>
      <c r="B23" s="36" t="s">
        <v>79</v>
      </c>
      <c r="C23" s="48" t="str">
        <f t="shared" si="0"/>
        <v>00:01:48,136</v>
      </c>
      <c r="D23" s="37">
        <f t="shared" si="1"/>
        <v>3016</v>
      </c>
      <c r="E23" s="38">
        <f t="shared" si="2"/>
        <v>105120</v>
      </c>
      <c r="F23" s="38">
        <f t="shared" si="3"/>
        <v>108136</v>
      </c>
      <c r="G23" s="45" t="str">
        <f>'01_漢字標音'!Q25</f>
        <v>阮會歡喜</v>
      </c>
      <c r="H23" s="46" t="str">
        <f>'01_漢字標音'!R25</f>
        <v>Ng2 he7 huan1 hi2</v>
      </c>
      <c r="I23" s="47" t="str">
        <f t="shared" si="4"/>
        <v>22
00:01:45,120 --&gt; 00:01:48,136
阮會歡喜
Ng2 he7 huan1 hi2</v>
      </c>
    </row>
    <row r="24" spans="1:9" ht="60">
      <c r="A24" s="35">
        <v>23</v>
      </c>
      <c r="B24" s="36" t="s">
        <v>80</v>
      </c>
      <c r="C24" s="48" t="str">
        <f t="shared" si="0"/>
        <v>00:01:50,153</v>
      </c>
      <c r="D24" s="37">
        <f t="shared" si="1"/>
        <v>2017</v>
      </c>
      <c r="E24" s="38">
        <f t="shared" si="2"/>
        <v>108136</v>
      </c>
      <c r="F24" s="38">
        <f t="shared" si="3"/>
        <v>110153</v>
      </c>
      <c r="G24" s="45" t="str">
        <f>'01_漢字標音'!Q26</f>
        <v>有緣你做伴</v>
      </c>
      <c r="H24" s="46" t="str">
        <f>'01_漢字標音'!R26</f>
        <v>U7 ian5 ni2 zue3 puann7</v>
      </c>
      <c r="I24" s="47" t="str">
        <f t="shared" si="4"/>
        <v>23
00:01:48,136 --&gt; 00:01:50,153
有緣你做伴
U7 ian5 ni2 zue3 puann7</v>
      </c>
    </row>
    <row r="25" spans="1:9" ht="60">
      <c r="A25" s="35">
        <v>24</v>
      </c>
      <c r="B25" s="36" t="s">
        <v>81</v>
      </c>
      <c r="C25" s="48" t="str">
        <f t="shared" si="0"/>
        <v>00:01:52,171</v>
      </c>
      <c r="D25" s="37">
        <f t="shared" si="1"/>
        <v>2018</v>
      </c>
      <c r="E25" s="38">
        <f t="shared" si="2"/>
        <v>110153</v>
      </c>
      <c r="F25" s="38">
        <f t="shared" si="3"/>
        <v>112171</v>
      </c>
      <c r="G25" s="45" t="str">
        <f>'01_漢字標音'!Q27</f>
        <v>欲離開</v>
      </c>
      <c r="H25" s="46" t="str">
        <f>'01_漢字標音'!R27</f>
        <v>Bbeh1 li7 kui1</v>
      </c>
      <c r="I25" s="47" t="str">
        <f t="shared" si="4"/>
        <v>24
00:01:50,153 --&gt; 00:01:52,171
欲離開
Bbeh1 li7 kui1</v>
      </c>
    </row>
    <row r="26" spans="1:9" ht="60">
      <c r="A26" s="35">
        <v>25</v>
      </c>
      <c r="B26" s="36" t="s">
        <v>82</v>
      </c>
      <c r="C26" s="48" t="str">
        <f t="shared" si="0"/>
        <v>00:01:56,190</v>
      </c>
      <c r="D26" s="37">
        <f t="shared" si="1"/>
        <v>4019</v>
      </c>
      <c r="E26" s="38">
        <f t="shared" si="2"/>
        <v>112171</v>
      </c>
      <c r="F26" s="38">
        <f t="shared" si="3"/>
        <v>116190</v>
      </c>
      <c r="G26" s="45" t="str">
        <f>'01_漢字標音'!Q28</f>
        <v>笑笑阮無牽掛</v>
      </c>
      <c r="H26" s="46" t="str">
        <f>'01_漢字標音'!R28</f>
        <v>Chior3 chior3 ng2 bbu5 kian1 kua3</v>
      </c>
      <c r="I26" s="47" t="str">
        <f t="shared" si="4"/>
        <v>25
00:01:52,171 --&gt; 00:01:56,190
笑笑阮無牽掛
Chior3 chior3 ng2 bbu5 kian1 kua3</v>
      </c>
    </row>
    <row r="27" spans="1:9" ht="60">
      <c r="A27" s="35">
        <v>26</v>
      </c>
      <c r="B27" s="36" t="s">
        <v>83</v>
      </c>
      <c r="C27" s="48" t="str">
        <f t="shared" si="0"/>
        <v>00:01:58,210</v>
      </c>
      <c r="D27" s="37">
        <f t="shared" si="1"/>
        <v>2020</v>
      </c>
      <c r="E27" s="38">
        <f t="shared" si="2"/>
        <v>116190</v>
      </c>
      <c r="F27" s="38">
        <f t="shared" si="3"/>
        <v>118210</v>
      </c>
      <c r="G27" s="45" t="str">
        <f>'01_漢字標音'!Q29</f>
        <v>人說這人生</v>
      </c>
      <c r="H27" s="46" t="str">
        <f>'01_漢字標音'!R29</f>
        <v>Chin1 seh4 ji2 chin1 shinn1</v>
      </c>
      <c r="I27" s="47" t="str">
        <f t="shared" si="4"/>
        <v>26
00:01:56,190 --&gt; 00:01:58,210
人說這人生
Chin1 seh4 ji2 chin1 shinn1</v>
      </c>
    </row>
    <row r="28" spans="1:9" ht="60">
      <c r="A28" s="35">
        <v>27</v>
      </c>
      <c r="B28" s="36" t="s">
        <v>84</v>
      </c>
      <c r="C28" s="48" t="str">
        <f t="shared" si="0"/>
        <v>00:02:02,231</v>
      </c>
      <c r="D28" s="37">
        <f t="shared" si="1"/>
        <v>4021</v>
      </c>
      <c r="E28" s="38">
        <f t="shared" si="2"/>
        <v>118210</v>
      </c>
      <c r="F28" s="38">
        <f t="shared" si="3"/>
        <v>122231</v>
      </c>
      <c r="G28" s="45" t="str">
        <f>'01_漢字標音'!Q30</f>
        <v>海海海海路好行</v>
      </c>
      <c r="H28" s="46" t="str">
        <f>'01_漢字標音'!R30</f>
        <v>Hai2 hai2 hai2 hai2 loo7 haunn3 hang5</v>
      </c>
      <c r="I28" s="47" t="str">
        <f t="shared" si="4"/>
        <v>27
00:01:58,210 --&gt; 00:02:02,231
海海海海路好行
Hai2 hai2 hai2 hai2 loo7 haunn3 hang5</v>
      </c>
    </row>
    <row r="29" spans="1:9" ht="60">
      <c r="A29" s="35">
        <v>28</v>
      </c>
      <c r="B29" s="36" t="s">
        <v>85</v>
      </c>
      <c r="C29" s="48" t="str">
        <f t="shared" si="0"/>
        <v>00:02:04,253</v>
      </c>
      <c r="D29" s="37">
        <f t="shared" si="1"/>
        <v>2022</v>
      </c>
      <c r="E29" s="38">
        <f t="shared" si="2"/>
        <v>122231</v>
      </c>
      <c r="F29" s="38">
        <f t="shared" si="3"/>
        <v>124253</v>
      </c>
      <c r="G29" s="45" t="str">
        <f>'01_漢字標音'!Q31</f>
        <v>毋通越頭望</v>
      </c>
      <c r="H29" s="46" t="str">
        <f>'01_漢字標音'!R31</f>
        <v>M7 tang3 uat8 tau5 bbang7</v>
      </c>
      <c r="I29" s="47" t="str">
        <f t="shared" si="4"/>
        <v>28
00:02:02,231 --&gt; 00:02:04,253
毋通越頭望
M7 tang3 uat8 tau5 bbang7</v>
      </c>
    </row>
    <row r="30" spans="1:9" ht="60">
      <c r="A30" s="35">
        <v>29</v>
      </c>
      <c r="B30" s="36" t="s">
        <v>86</v>
      </c>
      <c r="C30" s="48" t="str">
        <f t="shared" si="0"/>
        <v>00:02:08,276</v>
      </c>
      <c r="D30" s="37">
        <f t="shared" si="1"/>
        <v>4023</v>
      </c>
      <c r="E30" s="38">
        <f t="shared" si="2"/>
        <v>124253</v>
      </c>
      <c r="F30" s="38">
        <f t="shared" si="3"/>
        <v>128276</v>
      </c>
      <c r="G30" s="45" t="str">
        <f>'01_漢字標音'!Q32</f>
        <v>望著會茫</v>
      </c>
      <c r="H30" s="46" t="str">
        <f>'01_漢字標音'!R32</f>
        <v>Bbang7 diorh8 he7 bbong5</v>
      </c>
      <c r="I30" s="47" t="str">
        <f t="shared" si="4"/>
        <v>29
00:02:04,253 --&gt; 00:02:08,276
望著會茫
Bbang7 diorh8 he7 bbong5</v>
      </c>
    </row>
    <row r="31" spans="1:9" ht="60">
      <c r="A31" s="35">
        <v>30</v>
      </c>
      <c r="B31" s="36" t="s">
        <v>87</v>
      </c>
      <c r="C31" s="48" t="str">
        <f t="shared" si="0"/>
        <v>00:02:10,300</v>
      </c>
      <c r="D31" s="37">
        <f t="shared" si="1"/>
        <v>2024</v>
      </c>
      <c r="E31" s="38">
        <f t="shared" si="2"/>
        <v>128276</v>
      </c>
      <c r="F31" s="38">
        <f t="shared" si="3"/>
        <v>130300</v>
      </c>
      <c r="G31" s="45" t="str">
        <f>'01_漢字標音'!Q33</f>
        <v>有人愛著阮</v>
      </c>
      <c r="H31" s="46" t="str">
        <f>'01_漢字標音'!R33</f>
        <v>U7 chin1 ai3 diorh8 ng2</v>
      </c>
      <c r="I31" s="47" t="str">
        <f t="shared" si="4"/>
        <v>30
00:02:08,276 --&gt; 00:02:10,300
有人愛著阮
U7 chin1 ai3 diorh8 ng2</v>
      </c>
    </row>
    <row r="32" spans="1:9" ht="60">
      <c r="A32" s="35">
        <v>31</v>
      </c>
      <c r="B32" s="36" t="s">
        <v>88</v>
      </c>
      <c r="C32" s="48" t="str">
        <f t="shared" si="0"/>
        <v>00:02:13,325</v>
      </c>
      <c r="D32" s="37">
        <f t="shared" si="1"/>
        <v>3025</v>
      </c>
      <c r="E32" s="38">
        <f t="shared" si="2"/>
        <v>130300</v>
      </c>
      <c r="F32" s="38">
        <f t="shared" si="3"/>
        <v>133325</v>
      </c>
      <c r="G32" s="45" t="str">
        <f>'01_漢字標音'!Q34</f>
        <v>偏偏阮愛的是別人</v>
      </c>
      <c r="H32" s="46" t="str">
        <f>'01_漢字標音'!R34</f>
        <v>Tian1 tian1 ng2 ai3 e5 shi2 bat8 chin1</v>
      </c>
      <c r="I32" s="47" t="str">
        <f t="shared" si="4"/>
        <v>31
00:02:10,300 --&gt; 00:02:13,325
偏偏阮愛的是別人
Tian1 tian1 ng2 ai3 e5 shi2 bat8 chin1</v>
      </c>
    </row>
    <row r="33" spans="1:9" ht="60">
      <c r="A33" s="35">
        <v>32</v>
      </c>
      <c r="B33" s="36" t="s">
        <v>89</v>
      </c>
      <c r="C33" s="48" t="str">
        <f t="shared" si="0"/>
        <v>00:02:14,351</v>
      </c>
      <c r="D33" s="37">
        <f t="shared" si="1"/>
        <v>1026</v>
      </c>
      <c r="E33" s="38">
        <f t="shared" si="2"/>
        <v>133325</v>
      </c>
      <c r="F33" s="38">
        <f t="shared" si="3"/>
        <v>134351</v>
      </c>
      <c r="G33" s="45" t="str">
        <f>'01_漢字標音'!Q35</f>
        <v>這情債</v>
      </c>
      <c r="H33" s="46" t="str">
        <f>'01_漢字標音'!R35</f>
        <v>Ji2 jing5 ze3</v>
      </c>
      <c r="I33" s="47" t="str">
        <f t="shared" si="4"/>
        <v>32
00:02:13,325 --&gt; 00:02:14,351
這情債
Ji2 jing5 ze3</v>
      </c>
    </row>
    <row r="34" spans="1:9" ht="60">
      <c r="A34" s="35">
        <v>33</v>
      </c>
      <c r="B34" s="36" t="s">
        <v>90</v>
      </c>
      <c r="C34" s="49" t="s">
        <v>139</v>
      </c>
      <c r="D34" s="37">
        <f t="shared" si="1"/>
        <v>7649</v>
      </c>
      <c r="E34" s="38">
        <f t="shared" si="2"/>
        <v>134351</v>
      </c>
      <c r="F34" s="38">
        <f t="shared" si="3"/>
        <v>142000</v>
      </c>
      <c r="G34" s="45" t="str">
        <f>'01_漢字標音'!Q36</f>
        <v>怎樣計較輸贏</v>
      </c>
      <c r="H34" s="46" t="str">
        <f>'01_漢字標音'!R36</f>
        <v>Zainn2 inn2 ge3 gau3 su1 iann5</v>
      </c>
      <c r="I34" s="47" t="str">
        <f t="shared" si="4"/>
        <v>33
00:02:14,351 --&gt; 00:02:22,000
怎樣計較輸贏
Zainn2 inn2 ge3 gau3 su1 iann5</v>
      </c>
    </row>
    <row r="35" spans="1:9" ht="60">
      <c r="A35" s="35">
        <v>34</v>
      </c>
      <c r="B35" s="36" t="s">
        <v>39</v>
      </c>
      <c r="C35" s="48" t="str">
        <f t="shared" si="0"/>
        <v>00:02:50,406</v>
      </c>
      <c r="D35" s="37">
        <f t="shared" si="1"/>
        <v>2406</v>
      </c>
      <c r="E35" s="38">
        <f t="shared" si="2"/>
        <v>168000</v>
      </c>
      <c r="F35" s="38">
        <f t="shared" si="3"/>
        <v>170406</v>
      </c>
      <c r="G35" s="45" t="str">
        <f>'01_漢字標音'!Q37</f>
        <v>人說這人生</v>
      </c>
      <c r="H35" s="46" t="str">
        <f>'01_漢字標音'!R37</f>
        <v>Chin1 seh4 ji2 chin1 shinn1</v>
      </c>
      <c r="I35" s="47" t="str">
        <f t="shared" si="4"/>
        <v>34
00:02:48,000 --&gt; 00:02:50,406
人說這人生
Chin1 seh4 ji2 chin1 shinn1</v>
      </c>
    </row>
    <row r="36" spans="1:9" ht="60">
      <c r="A36" s="35">
        <v>35</v>
      </c>
      <c r="B36" s="36" t="s">
        <v>91</v>
      </c>
      <c r="C36" s="48" t="str">
        <f t="shared" si="0"/>
        <v>00:02:53,435</v>
      </c>
      <c r="D36" s="37">
        <f t="shared" si="1"/>
        <v>3029</v>
      </c>
      <c r="E36" s="38">
        <f t="shared" si="2"/>
        <v>170406</v>
      </c>
      <c r="F36" s="38">
        <f t="shared" si="3"/>
        <v>173435</v>
      </c>
      <c r="G36" s="45" t="str">
        <f>'01_漢字標音'!Q38</f>
        <v>海海海海路好行</v>
      </c>
      <c r="H36" s="46" t="str">
        <f>'01_漢字標音'!R38</f>
        <v>Hai2 hai2 hai2 hai2 loo7 haunn3 hang5</v>
      </c>
      <c r="I36" s="47" t="str">
        <f t="shared" si="4"/>
        <v>35
00:02:50,406 --&gt; 00:02:53,435
海海海海路好行
Hai2 hai2 hai2 hai2 loo7 haunn3 hang5</v>
      </c>
    </row>
    <row r="37" spans="1:9" ht="60">
      <c r="A37" s="35">
        <v>36</v>
      </c>
      <c r="B37" s="36" t="s">
        <v>92</v>
      </c>
      <c r="C37" s="48" t="str">
        <f t="shared" si="0"/>
        <v>00:02:56,000</v>
      </c>
      <c r="D37" s="37">
        <f t="shared" si="1"/>
        <v>2565</v>
      </c>
      <c r="E37" s="38">
        <f t="shared" si="2"/>
        <v>173435</v>
      </c>
      <c r="F37" s="38">
        <f t="shared" si="3"/>
        <v>176000</v>
      </c>
      <c r="G37" s="45" t="str">
        <f>'01_漢字標音'!Q39</f>
        <v>毋通越頭望</v>
      </c>
      <c r="H37" s="46" t="str">
        <f>'01_漢字標音'!R39</f>
        <v>M7 tang3 uat8 tau5 bbang7</v>
      </c>
      <c r="I37" s="47" t="str">
        <f t="shared" si="4"/>
        <v>36
00:02:53,435 --&gt; 00:02:56,000
毋通越頭望
M7 tang3 uat8 tau5 bbang7</v>
      </c>
    </row>
    <row r="38" spans="1:9" ht="60">
      <c r="A38" s="35">
        <v>37</v>
      </c>
      <c r="B38" s="36" t="s">
        <v>40</v>
      </c>
      <c r="C38" s="48" t="str">
        <f t="shared" si="0"/>
        <v>00:02:59,000</v>
      </c>
      <c r="D38" s="37">
        <f t="shared" si="1"/>
        <v>3000</v>
      </c>
      <c r="E38" s="38">
        <f t="shared" si="2"/>
        <v>176000</v>
      </c>
      <c r="F38" s="38">
        <f t="shared" si="3"/>
        <v>179000</v>
      </c>
      <c r="G38" s="45" t="str">
        <f>'01_漢字標音'!Q40</f>
        <v>望著會茫</v>
      </c>
      <c r="H38" s="46" t="str">
        <f>'01_漢字標音'!R40</f>
        <v>Bbang7 diorh8 he7 bbong5</v>
      </c>
      <c r="I38" s="47" t="str">
        <f t="shared" si="4"/>
        <v>37
00:02:56,000 --&gt; 00:02:59,000
望著會茫
Bbang7 diorh8 he7 bbong5</v>
      </c>
    </row>
    <row r="39" spans="1:9" ht="60">
      <c r="A39" s="35">
        <v>38</v>
      </c>
      <c r="B39" s="36" t="s">
        <v>93</v>
      </c>
      <c r="C39" s="48" t="str">
        <f t="shared" si="0"/>
        <v>00:03:01,000</v>
      </c>
      <c r="D39" s="37">
        <f t="shared" si="1"/>
        <v>2000</v>
      </c>
      <c r="E39" s="38">
        <f t="shared" si="2"/>
        <v>179000</v>
      </c>
      <c r="F39" s="38">
        <f t="shared" si="3"/>
        <v>181000</v>
      </c>
      <c r="G39" s="45" t="str">
        <f>'01_漢字標音'!Q41</f>
        <v>有人愛著阮</v>
      </c>
      <c r="H39" s="46" t="str">
        <f>'01_漢字標音'!R41</f>
        <v>U7 chin1 ai3 diorh8 ng2</v>
      </c>
      <c r="I39" s="47" t="str">
        <f t="shared" si="4"/>
        <v>38
00:02:59,000 --&gt; 00:03:01,000
有人愛著阮
U7 chin1 ai3 diorh8 ng2</v>
      </c>
    </row>
    <row r="40" spans="1:9" ht="60">
      <c r="A40" s="35">
        <v>39</v>
      </c>
      <c r="B40" s="36" t="s">
        <v>94</v>
      </c>
      <c r="C40" s="48" t="str">
        <f t="shared" si="0"/>
        <v>00:03:04,000</v>
      </c>
      <c r="D40" s="37">
        <f t="shared" si="1"/>
        <v>3000</v>
      </c>
      <c r="E40" s="38">
        <f t="shared" si="2"/>
        <v>181000</v>
      </c>
      <c r="F40" s="38">
        <f t="shared" si="3"/>
        <v>184000</v>
      </c>
      <c r="G40" s="45" t="str">
        <f>'01_漢字標音'!Q42</f>
        <v>偏偏阮愛的是別人</v>
      </c>
      <c r="H40" s="46" t="str">
        <f>'01_漢字標音'!R42</f>
        <v>Tian1 tian1 ng2 ai3 e5 shi2 bat8 chin1</v>
      </c>
      <c r="I40" s="47" t="str">
        <f t="shared" si="4"/>
        <v>39
00:03:01,000 --&gt; 00:03:04,000
偏偏阮愛的是別人
Tian1 tian1 ng2 ai3 e5 shi2 bat8 chin1</v>
      </c>
    </row>
    <row r="41" spans="1:9" ht="60">
      <c r="A41" s="35">
        <v>40</v>
      </c>
      <c r="B41" s="36" t="s">
        <v>41</v>
      </c>
      <c r="C41" s="48" t="str">
        <f t="shared" si="0"/>
        <v>00:03:06,000</v>
      </c>
      <c r="D41" s="37">
        <f t="shared" si="1"/>
        <v>2000</v>
      </c>
      <c r="E41" s="38">
        <f t="shared" si="2"/>
        <v>184000</v>
      </c>
      <c r="F41" s="38">
        <f t="shared" si="3"/>
        <v>186000</v>
      </c>
      <c r="G41" s="45" t="str">
        <f>'01_漢字標音'!Q43</f>
        <v>這情債</v>
      </c>
      <c r="H41" s="46" t="str">
        <f>'01_漢字標音'!R43</f>
        <v>Ji2 jing5 ze3</v>
      </c>
      <c r="I41" s="47" t="str">
        <f t="shared" si="4"/>
        <v>40
00:03:04,000 --&gt; 00:03:06,000
這情債
Ji2 jing5 ze3</v>
      </c>
    </row>
    <row r="42" spans="1:9" ht="60">
      <c r="A42" s="35">
        <v>41</v>
      </c>
      <c r="B42" s="36" t="s">
        <v>95</v>
      </c>
      <c r="C42" s="48" t="str">
        <f t="shared" si="0"/>
        <v>00:03:10,000</v>
      </c>
      <c r="D42" s="37">
        <f t="shared" si="1"/>
        <v>4000</v>
      </c>
      <c r="E42" s="38">
        <f t="shared" si="2"/>
        <v>186000</v>
      </c>
      <c r="F42" s="38">
        <f t="shared" si="3"/>
        <v>190000</v>
      </c>
      <c r="G42" s="45" t="str">
        <f>'01_漢字標音'!Q44</f>
        <v>怎樣計較輸贏</v>
      </c>
      <c r="H42" s="46" t="str">
        <f>'01_漢字標音'!R44</f>
        <v>Zainn2 inn2 ge3 gau3 su1 iann5</v>
      </c>
      <c r="I42" s="47" t="str">
        <f t="shared" si="4"/>
        <v>41
00:03:06,000 --&gt; 00:03:10,000
怎樣計較輸贏
Zainn2 inn2 ge3 gau3 su1 iann5</v>
      </c>
    </row>
    <row r="43" spans="1:9" ht="60">
      <c r="A43" s="35">
        <v>42</v>
      </c>
      <c r="B43" s="36" t="s">
        <v>96</v>
      </c>
      <c r="C43" s="48" t="str">
        <f t="shared" si="0"/>
        <v>00:03:13,000</v>
      </c>
      <c r="D43" s="37">
        <f t="shared" si="1"/>
        <v>3000</v>
      </c>
      <c r="E43" s="38">
        <f t="shared" si="2"/>
        <v>190000</v>
      </c>
      <c r="F43" s="38">
        <f t="shared" si="3"/>
        <v>193000</v>
      </c>
      <c r="G43" s="45" t="str">
        <f>'01_漢字標音'!Q45</f>
        <v>輕輕鬆鬆</v>
      </c>
      <c r="H43" s="46" t="str">
        <f>'01_漢字標音'!R45</f>
        <v>Kin1 kin1 sang1 sang1</v>
      </c>
      <c r="I43" s="47" t="str">
        <f t="shared" si="4"/>
        <v>42
00:03:10,000 --&gt; 00:03:13,000
輕輕鬆鬆
Kin1 kin1 sang1 sang1</v>
      </c>
    </row>
    <row r="44" spans="1:9" ht="60">
      <c r="A44" s="35">
        <v>43</v>
      </c>
      <c r="B44" s="36" t="s">
        <v>97</v>
      </c>
      <c r="C44" s="48" t="str">
        <f t="shared" si="0"/>
        <v>00:03:16,000</v>
      </c>
      <c r="D44" s="37">
        <f t="shared" si="1"/>
        <v>3000</v>
      </c>
      <c r="E44" s="38">
        <f t="shared" si="2"/>
        <v>193000</v>
      </c>
      <c r="F44" s="38">
        <f t="shared" si="3"/>
        <v>196000</v>
      </c>
      <c r="G44" s="45" t="str">
        <f>'01_漢字標音'!Q46</f>
        <v>人生路途阮來行</v>
      </c>
      <c r="H44" s="46" t="str">
        <f>'01_漢字標音'!R46</f>
        <v>Chin1 shinn1 loo7 doo5 ng2 lai5 hang5</v>
      </c>
      <c r="I44" s="47" t="str">
        <f t="shared" si="4"/>
        <v>43
00:03:13,000 --&gt; 00:03:16,000
人生路途阮來行
Chin1 shinn1 loo7 doo5 ng2 lai5 hang5</v>
      </c>
    </row>
    <row r="45" spans="1:9" ht="60">
      <c r="A45" s="35">
        <v>44</v>
      </c>
      <c r="B45" s="36" t="s">
        <v>42</v>
      </c>
      <c r="C45" s="48" t="str">
        <f t="shared" si="0"/>
        <v>00:03:18,000</v>
      </c>
      <c r="D45" s="37">
        <f t="shared" si="1"/>
        <v>2000</v>
      </c>
      <c r="E45" s="38">
        <f t="shared" si="2"/>
        <v>196000</v>
      </c>
      <c r="F45" s="38">
        <f t="shared" si="3"/>
        <v>198000</v>
      </c>
      <c r="G45" s="45" t="str">
        <f>'01_漢字標音'!Q47</f>
        <v>無人是應該</v>
      </c>
      <c r="H45" s="46" t="str">
        <f>'01_漢字標音'!R47</f>
        <v>Bbu5 chin1 shi2 in3 gai1</v>
      </c>
      <c r="I45" s="47" t="str">
        <f t="shared" si="4"/>
        <v>44
00:03:16,000 --&gt; 00:03:18,000
無人是應該
Bbu5 chin1 shi2 in3 gai1</v>
      </c>
    </row>
    <row r="46" spans="1:9" ht="60">
      <c r="A46" s="35">
        <v>45</v>
      </c>
      <c r="B46" s="36" t="s">
        <v>98</v>
      </c>
      <c r="C46" s="48" t="str">
        <f t="shared" si="0"/>
        <v>00:03:22,000</v>
      </c>
      <c r="D46" s="37">
        <f t="shared" si="1"/>
        <v>4000</v>
      </c>
      <c r="E46" s="38">
        <f t="shared" si="2"/>
        <v>198000</v>
      </c>
      <c r="F46" s="38">
        <f t="shared" si="3"/>
        <v>202000</v>
      </c>
      <c r="G46" s="45" t="str">
        <f>'01_漢字標音'!Q48</f>
        <v>永遠孤單</v>
      </c>
      <c r="H46" s="46" t="str">
        <f>'01_漢字標音'!R48</f>
        <v>Ing2 uan7 goo1 kia1</v>
      </c>
      <c r="I46" s="47" t="str">
        <f t="shared" si="4"/>
        <v>45
00:03:18,000 --&gt; 00:03:22,000
永遠孤單
Ing2 uan7 goo1 kia1</v>
      </c>
    </row>
    <row r="47" spans="1:9" ht="60">
      <c r="A47" s="35">
        <v>46</v>
      </c>
      <c r="B47" s="36" t="s">
        <v>99</v>
      </c>
      <c r="C47" s="48" t="str">
        <f t="shared" si="0"/>
        <v>00:03:25,000</v>
      </c>
      <c r="D47" s="37">
        <f t="shared" si="1"/>
        <v>3000</v>
      </c>
      <c r="E47" s="38">
        <f t="shared" si="2"/>
        <v>202000</v>
      </c>
      <c r="F47" s="38">
        <f t="shared" si="3"/>
        <v>205000</v>
      </c>
      <c r="G47" s="45" t="str">
        <f>'01_漢字標音'!Q49</f>
        <v>阮會歡喜</v>
      </c>
      <c r="H47" s="46" t="str">
        <f>'01_漢字標音'!R49</f>
        <v>Ng2 he7 huan1 hi2</v>
      </c>
      <c r="I47" s="47" t="str">
        <f t="shared" si="4"/>
        <v>46
00:03:22,000 --&gt; 00:03:25,000
阮會歡喜
Ng2 he7 huan1 hi2</v>
      </c>
    </row>
    <row r="48" spans="1:9" ht="60">
      <c r="A48" s="35">
        <v>47</v>
      </c>
      <c r="B48" s="36" t="s">
        <v>100</v>
      </c>
      <c r="C48" s="48" t="str">
        <f t="shared" si="0"/>
        <v>00:03:27,000</v>
      </c>
      <c r="D48" s="37">
        <f t="shared" si="1"/>
        <v>2000</v>
      </c>
      <c r="E48" s="38">
        <f t="shared" si="2"/>
        <v>205000</v>
      </c>
      <c r="F48" s="38">
        <f t="shared" si="3"/>
        <v>207000</v>
      </c>
      <c r="G48" s="45" t="str">
        <f>'01_漢字標音'!Q50</f>
        <v>有緣你做伴</v>
      </c>
      <c r="H48" s="46" t="str">
        <f>'01_漢字標音'!R50</f>
        <v>U7 ian5 ni2 zue3 puann7</v>
      </c>
      <c r="I48" s="47" t="str">
        <f t="shared" si="4"/>
        <v>47
00:03:25,000 --&gt; 00:03:27,000
有緣你做伴
U7 ian5 ni2 zue3 puann7</v>
      </c>
    </row>
    <row r="49" spans="1:12" ht="60">
      <c r="A49" s="35">
        <v>48</v>
      </c>
      <c r="B49" s="36" t="s">
        <v>101</v>
      </c>
      <c r="C49" s="48" t="str">
        <f t="shared" si="0"/>
        <v>00:03:29,000</v>
      </c>
      <c r="D49" s="37">
        <f t="shared" si="1"/>
        <v>2000</v>
      </c>
      <c r="E49" s="38">
        <f t="shared" si="2"/>
        <v>207000</v>
      </c>
      <c r="F49" s="38">
        <f t="shared" si="3"/>
        <v>209000</v>
      </c>
      <c r="G49" s="45" t="str">
        <f>'01_漢字標音'!Q51</f>
        <v>欲離開</v>
      </c>
      <c r="H49" s="46" t="str">
        <f>'01_漢字標音'!R51</f>
        <v>Bbeh1 li7 kui1</v>
      </c>
      <c r="I49" s="47" t="str">
        <f t="shared" si="4"/>
        <v>48
00:03:27,000 --&gt; 00:03:29,000
欲離開
Bbeh1 li7 kui1</v>
      </c>
    </row>
    <row r="50" spans="1:12" ht="60">
      <c r="A50" s="35">
        <v>49</v>
      </c>
      <c r="B50" s="36" t="s">
        <v>102</v>
      </c>
      <c r="C50" s="48" t="str">
        <f t="shared" si="0"/>
        <v>00:03:33,000</v>
      </c>
      <c r="D50" s="37">
        <f t="shared" si="1"/>
        <v>4000</v>
      </c>
      <c r="E50" s="38">
        <f t="shared" si="2"/>
        <v>209000</v>
      </c>
      <c r="F50" s="38">
        <f t="shared" si="3"/>
        <v>213000</v>
      </c>
      <c r="G50" s="45" t="str">
        <f>'01_漢字標音'!Q52</f>
        <v>笑笑阮無牽掛</v>
      </c>
      <c r="H50" s="46" t="str">
        <f>'01_漢字標音'!R52</f>
        <v>Chior3 chior3 ng2 bbu5 kian1 kua3</v>
      </c>
      <c r="I50" s="47" t="str">
        <f t="shared" si="4"/>
        <v>49
00:03:29,000 --&gt; 00:03:33,000
笑笑阮無牽掛
Chior3 chior3 ng2 bbu5 kian1 kua3</v>
      </c>
    </row>
    <row r="51" spans="1:12" ht="60">
      <c r="A51" s="35">
        <v>50</v>
      </c>
      <c r="B51" s="36" t="s">
        <v>103</v>
      </c>
      <c r="C51" s="48" t="str">
        <f t="shared" si="0"/>
        <v>00:03:36,000</v>
      </c>
      <c r="D51" s="37">
        <f t="shared" si="1"/>
        <v>3000</v>
      </c>
      <c r="E51" s="38">
        <f t="shared" si="2"/>
        <v>213000</v>
      </c>
      <c r="F51" s="38">
        <f t="shared" si="3"/>
        <v>216000</v>
      </c>
      <c r="G51" s="45" t="str">
        <f>'01_漢字標音'!Q53</f>
        <v>人說這人生</v>
      </c>
      <c r="H51" s="46" t="str">
        <f>'01_漢字標音'!R53</f>
        <v>Chin1 seh4 ji2 chin1 shinn1</v>
      </c>
      <c r="I51" s="47" t="str">
        <f t="shared" si="4"/>
        <v>50
00:03:33,000 --&gt; 00:03:36,000
人說這人生
Chin1 seh4 ji2 chin1 shinn1</v>
      </c>
    </row>
    <row r="52" spans="1:12" ht="60">
      <c r="A52" s="35">
        <v>51</v>
      </c>
      <c r="B52" s="36" t="s">
        <v>43</v>
      </c>
      <c r="C52" s="48" t="str">
        <f t="shared" si="0"/>
        <v>00:03:39,000</v>
      </c>
      <c r="D52" s="37">
        <f t="shared" si="1"/>
        <v>3000</v>
      </c>
      <c r="E52" s="38">
        <f t="shared" si="2"/>
        <v>216000</v>
      </c>
      <c r="F52" s="38">
        <f t="shared" si="3"/>
        <v>219000</v>
      </c>
      <c r="G52" s="45" t="str">
        <f>'01_漢字標音'!Q54</f>
        <v>海海海海路好行</v>
      </c>
      <c r="H52" s="46" t="str">
        <f>'01_漢字標音'!R54</f>
        <v>Hai2 hai2 hai2 hai2 loo7 haunn3 hang5</v>
      </c>
      <c r="I52" s="47" t="str">
        <f t="shared" si="4"/>
        <v>51
00:03:36,000 --&gt; 00:03:39,000
海海海海路好行
Hai2 hai2 hai2 hai2 loo7 haunn3 hang5</v>
      </c>
    </row>
    <row r="53" spans="1:12" ht="60">
      <c r="A53" s="35">
        <v>52</v>
      </c>
      <c r="B53" s="36" t="s">
        <v>104</v>
      </c>
      <c r="C53" s="48" t="str">
        <f t="shared" si="0"/>
        <v>00:03:41,000</v>
      </c>
      <c r="D53" s="37">
        <f t="shared" si="1"/>
        <v>2000</v>
      </c>
      <c r="E53" s="38">
        <f t="shared" si="2"/>
        <v>219000</v>
      </c>
      <c r="F53" s="38">
        <f t="shared" si="3"/>
        <v>221000</v>
      </c>
      <c r="G53" s="45" t="str">
        <f>'01_漢字標音'!Q55</f>
        <v>毋通越頭望</v>
      </c>
      <c r="H53" s="46" t="str">
        <f>'01_漢字標音'!R55</f>
        <v>M7 tang3 uat8 tau5 bbang7</v>
      </c>
      <c r="I53" s="47" t="str">
        <f t="shared" si="4"/>
        <v>52
00:03:39,000 --&gt; 00:03:41,000
毋通越頭望
M7 tang3 uat8 tau5 bbang7</v>
      </c>
    </row>
    <row r="54" spans="1:12" ht="60">
      <c r="A54" s="35">
        <v>53</v>
      </c>
      <c r="B54" s="36" t="s">
        <v>105</v>
      </c>
      <c r="C54" s="48" t="str">
        <f t="shared" si="0"/>
        <v>00:03:45,000</v>
      </c>
      <c r="D54" s="37">
        <f t="shared" si="1"/>
        <v>4000</v>
      </c>
      <c r="E54" s="38">
        <f t="shared" si="2"/>
        <v>221000</v>
      </c>
      <c r="F54" s="38">
        <f t="shared" si="3"/>
        <v>225000</v>
      </c>
      <c r="G54" s="45" t="str">
        <f>'01_漢字標音'!Q56</f>
        <v>望著會茫</v>
      </c>
      <c r="H54" s="46" t="str">
        <f>'01_漢字標音'!R56</f>
        <v>Bbang7 diorh8 he7 bbong5</v>
      </c>
      <c r="I54" s="47" t="str">
        <f t="shared" si="4"/>
        <v>53
00:03:41,000 --&gt; 00:03:45,000
望著會茫
Bbang7 diorh8 he7 bbong5</v>
      </c>
    </row>
    <row r="55" spans="1:12" ht="60">
      <c r="A55" s="35">
        <v>54</v>
      </c>
      <c r="B55" s="36" t="s">
        <v>106</v>
      </c>
      <c r="C55" s="48" t="str">
        <f t="shared" si="0"/>
        <v>00:03:47,000</v>
      </c>
      <c r="D55" s="37">
        <f t="shared" si="1"/>
        <v>2000</v>
      </c>
      <c r="E55" s="38">
        <f t="shared" si="2"/>
        <v>225000</v>
      </c>
      <c r="F55" s="38">
        <f t="shared" si="3"/>
        <v>227000</v>
      </c>
      <c r="G55" s="45" t="str">
        <f>'01_漢字標音'!Q57</f>
        <v>有人愛著阮</v>
      </c>
      <c r="H55" s="46" t="str">
        <f>'01_漢字標音'!R57</f>
        <v>U7 chin1 ai3 diorh8 ng2</v>
      </c>
      <c r="I55" s="47" t="str">
        <f t="shared" si="4"/>
        <v>54
00:03:45,000 --&gt; 00:03:47,000
有人愛著阮
U7 chin1 ai3 diorh8 ng2</v>
      </c>
    </row>
    <row r="56" spans="1:12" ht="60">
      <c r="A56" s="35">
        <v>55</v>
      </c>
      <c r="B56" s="36" t="s">
        <v>107</v>
      </c>
      <c r="C56" s="48" t="str">
        <f t="shared" si="0"/>
        <v>00:03:50,000</v>
      </c>
      <c r="D56" s="37">
        <f t="shared" si="1"/>
        <v>3000</v>
      </c>
      <c r="E56" s="38">
        <f t="shared" si="2"/>
        <v>227000</v>
      </c>
      <c r="F56" s="38">
        <f t="shared" si="3"/>
        <v>230000</v>
      </c>
      <c r="G56" s="45" t="str">
        <f>'01_漢字標音'!Q58</f>
        <v>偏偏阮愛的是別人</v>
      </c>
      <c r="H56" s="46" t="str">
        <f>'01_漢字標音'!R58</f>
        <v>Tian1 tian1 ng2 ai3 e5 shi2 bat8 chin1</v>
      </c>
      <c r="I56" s="47" t="str">
        <f t="shared" si="4"/>
        <v>55
00:03:47,000 --&gt; 00:03:50,000
偏偏阮愛的是別人
Tian1 tian1 ng2 ai3 e5 shi2 bat8 chin1</v>
      </c>
    </row>
    <row r="57" spans="1:12" ht="60">
      <c r="A57" s="35">
        <v>56</v>
      </c>
      <c r="B57" s="36" t="s">
        <v>108</v>
      </c>
      <c r="C57" s="48" t="str">
        <f t="shared" si="0"/>
        <v>00:03:51,000</v>
      </c>
      <c r="D57" s="37">
        <f t="shared" si="1"/>
        <v>1000</v>
      </c>
      <c r="E57" s="38">
        <f t="shared" si="2"/>
        <v>230000</v>
      </c>
      <c r="F57" s="38">
        <f t="shared" si="3"/>
        <v>231000</v>
      </c>
      <c r="G57" s="45" t="str">
        <f>'01_漢字標音'!Q59</f>
        <v>這情債</v>
      </c>
      <c r="H57" s="46" t="str">
        <f>'01_漢字標音'!R59</f>
        <v>Ji2 jing5 ze3</v>
      </c>
      <c r="I57" s="47" t="str">
        <f t="shared" si="4"/>
        <v>56
00:03:50,000 --&gt; 00:03:51,000
這情債
Ji2 jing5 ze3</v>
      </c>
    </row>
    <row r="58" spans="1:12" ht="60">
      <c r="A58" s="35">
        <v>57</v>
      </c>
      <c r="B58" s="36" t="s">
        <v>110</v>
      </c>
      <c r="C58" s="48" t="str">
        <f t="shared" si="0"/>
        <v>00:03:56,000</v>
      </c>
      <c r="D58" s="37">
        <f t="shared" si="1"/>
        <v>5000</v>
      </c>
      <c r="E58" s="38">
        <f t="shared" si="2"/>
        <v>231000</v>
      </c>
      <c r="F58" s="38">
        <f t="shared" si="3"/>
        <v>236000</v>
      </c>
      <c r="G58" s="45" t="str">
        <f>'01_漢字標音'!Q60</f>
        <v>怎樣計較輸贏</v>
      </c>
      <c r="H58" s="46" t="str">
        <f>'01_漢字標音'!R60</f>
        <v>Zainn2 inn2 ge3 gau3 su1 iann5</v>
      </c>
      <c r="I58" s="47" t="str">
        <f t="shared" si="4"/>
        <v>57
00:03:51,000 --&gt; 00:03:56,000
怎樣計較輸贏
Zainn2 inn2 ge3 gau3 su1 iann5</v>
      </c>
    </row>
    <row r="59" spans="1:12" ht="60">
      <c r="A59" s="35">
        <v>58</v>
      </c>
      <c r="B59" s="36" t="s">
        <v>44</v>
      </c>
      <c r="C59" s="48" t="str">
        <f t="shared" si="0"/>
        <v>00:03:57,000</v>
      </c>
      <c r="D59" s="37">
        <f t="shared" si="1"/>
        <v>1000</v>
      </c>
      <c r="E59" s="38">
        <f t="shared" si="2"/>
        <v>236000</v>
      </c>
      <c r="F59" s="38">
        <f t="shared" si="3"/>
        <v>237000</v>
      </c>
      <c r="G59" s="45" t="str">
        <f>'01_漢字標音'!Q61</f>
        <v>這情債</v>
      </c>
      <c r="H59" s="46" t="str">
        <f>'01_漢字標音'!R61</f>
        <v>Ji2 jing5 ze3</v>
      </c>
      <c r="I59" s="47" t="str">
        <f t="shared" si="4"/>
        <v>58
00:03:56,000 --&gt; 00:03:57,000
這情債
Ji2 jing5 ze3</v>
      </c>
    </row>
    <row r="60" spans="1:12" ht="60">
      <c r="A60" s="35">
        <v>59</v>
      </c>
      <c r="B60" s="36" t="s">
        <v>111</v>
      </c>
      <c r="C60" s="48" t="str">
        <f t="shared" si="0"/>
        <v>00:04:01,000</v>
      </c>
      <c r="D60" s="37">
        <f t="shared" si="1"/>
        <v>4000</v>
      </c>
      <c r="E60" s="38">
        <f t="shared" si="2"/>
        <v>237000</v>
      </c>
      <c r="F60" s="38">
        <f t="shared" si="3"/>
        <v>241000</v>
      </c>
      <c r="G60" s="45" t="str">
        <f>'01_漢字標音'!Q62</f>
        <v>怎樣計較輸贏</v>
      </c>
      <c r="H60" s="46" t="str">
        <f>'01_漢字標音'!R62</f>
        <v>Zainn2 inn2 ge3 gau3 su1 iann5</v>
      </c>
      <c r="I60" s="47" t="str">
        <f t="shared" si="4"/>
        <v>59
00:03:57,000 --&gt; 00:04:01,000
怎樣計較輸贏
Zainn2 inn2 ge3 gau3 su1 iann5</v>
      </c>
    </row>
    <row r="61" spans="1:12" ht="60">
      <c r="A61" s="35">
        <v>60</v>
      </c>
      <c r="B61" s="36" t="s">
        <v>112</v>
      </c>
      <c r="C61" s="48" t="str">
        <f t="shared" si="0"/>
        <v>00:04:03,000</v>
      </c>
      <c r="D61" s="37">
        <f t="shared" si="1"/>
        <v>2000</v>
      </c>
      <c r="E61" s="38">
        <f t="shared" si="2"/>
        <v>241000</v>
      </c>
      <c r="F61" s="38">
        <f t="shared" si="3"/>
        <v>243000</v>
      </c>
      <c r="G61" s="45" t="str">
        <f>'01_漢字標音'!Q63</f>
        <v>這情債</v>
      </c>
      <c r="H61" s="46" t="str">
        <f>'01_漢字標音'!R63</f>
        <v>Ji2 jing5 ze3</v>
      </c>
      <c r="I61" s="47" t="str">
        <f t="shared" si="4"/>
        <v>60
00:04:01,000 --&gt; 00:04:03,000
這情債
Ji2 jing5 ze3</v>
      </c>
    </row>
    <row r="62" spans="1:12" ht="60">
      <c r="A62" s="35">
        <v>61</v>
      </c>
      <c r="B62" s="36" t="s">
        <v>109</v>
      </c>
      <c r="C62" s="48" t="str">
        <f t="shared" si="0"/>
        <v>00:04:14,000</v>
      </c>
      <c r="D62" s="37">
        <f t="shared" si="1"/>
        <v>11000</v>
      </c>
      <c r="E62" s="38">
        <f t="shared" si="2"/>
        <v>243000</v>
      </c>
      <c r="F62" s="38">
        <f t="shared" si="3"/>
        <v>254000</v>
      </c>
      <c r="G62" s="45" t="str">
        <f>'01_漢字標音'!Q64</f>
        <v>怎樣計較輸贏</v>
      </c>
      <c r="H62" s="46" t="str">
        <f>'01_漢字標音'!R64</f>
        <v>Zainn2 inn2 ge3 gau3 su1 iann5</v>
      </c>
      <c r="I62" s="47" t="str">
        <f t="shared" si="4"/>
        <v>61
00:04:03,000 --&gt; 00:04:14,000
怎樣計較輸贏
Zainn2 inn2 ge3 gau3 su1 iann5</v>
      </c>
    </row>
    <row r="63" spans="1:12">
      <c r="A63" s="31" t="s">
        <v>51</v>
      </c>
      <c r="B63" s="32" t="s">
        <v>113</v>
      </c>
      <c r="G63" s="3"/>
      <c r="H63" s="3"/>
      <c r="J63" s="3"/>
      <c r="K63" s="3"/>
      <c r="L63" s="3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C8D07-E9C5-4B5D-9D6B-AFC1FA236F0B}">
  <sheetPr>
    <tabColor rgb="FF833C0C"/>
  </sheetPr>
  <dimension ref="A1:E5"/>
  <sheetViews>
    <sheetView showGridLines="0" workbookViewId="0">
      <pane ySplit="2" topLeftCell="A3" activePane="bottomLeft" state="frozen"/>
      <selection pane="bottomLeft" activeCell="C5" sqref="C5"/>
    </sheetView>
  </sheetViews>
  <sheetFormatPr defaultRowHeight="15.75"/>
  <cols>
    <col min="1" max="1" width="35" style="4" customWidth="1"/>
    <col min="2" max="2" width="77" style="4" customWidth="1"/>
    <col min="3" max="3" width="33.625" style="4" customWidth="1"/>
    <col min="4" max="5" width="58.125" style="4" customWidth="1"/>
    <col min="6" max="16384" width="9" style="4"/>
  </cols>
  <sheetData>
    <row r="1" spans="1:5" ht="27.95" customHeight="1">
      <c r="A1" s="50" t="s">
        <v>45</v>
      </c>
      <c r="B1" s="51"/>
    </row>
    <row r="2" spans="1:5" ht="36" customHeight="1">
      <c r="A2" s="52" t="s">
        <v>46</v>
      </c>
      <c r="B2" s="51"/>
    </row>
    <row r="3" spans="1:5" ht="15.75" customHeight="1">
      <c r="A3" s="5" t="s">
        <v>47</v>
      </c>
      <c r="B3" s="5" t="s">
        <v>48</v>
      </c>
      <c r="D3" s="5" t="s">
        <v>54</v>
      </c>
      <c r="E3" s="5" t="s">
        <v>54</v>
      </c>
    </row>
    <row r="4" spans="1:5" ht="396.75" customHeight="1">
      <c r="A4" s="8" t="s">
        <v>49</v>
      </c>
      <c r="B4" s="6" t="s">
        <v>50</v>
      </c>
      <c r="C4" s="11" t="s">
        <v>59</v>
      </c>
      <c r="D4" s="9" t="s">
        <v>55</v>
      </c>
      <c r="E4" s="9" t="s">
        <v>56</v>
      </c>
    </row>
    <row r="5" spans="1:5" ht="344.25">
      <c r="A5" s="3"/>
      <c r="B5" s="10" t="s">
        <v>57</v>
      </c>
      <c r="C5" s="11" t="s">
        <v>58</v>
      </c>
    </row>
  </sheetData>
  <mergeCells count="2">
    <mergeCell ref="A1:B1"/>
    <mergeCell ref="A2:B2"/>
  </mergeCells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8C568-7133-44E9-817F-AB6D8132A0BD}">
  <dimension ref="A1:L63"/>
  <sheetViews>
    <sheetView workbookViewId="0">
      <pane ySplit="1" topLeftCell="A58" activePane="bottomLeft" state="frozen"/>
      <selection pane="bottomLeft" activeCell="G29" sqref="G29:H62"/>
    </sheetView>
  </sheetViews>
  <sheetFormatPr defaultRowHeight="16.5"/>
  <cols>
    <col min="1" max="1" width="7" style="3" customWidth="1"/>
    <col min="2" max="3" width="14" style="3" customWidth="1"/>
    <col min="4" max="4" width="15.25" style="3" customWidth="1"/>
    <col min="5" max="6" width="14" style="3" customWidth="1"/>
    <col min="7" max="8" width="49.625" style="7" customWidth="1"/>
    <col min="9" max="9" width="31.5" style="3" customWidth="1"/>
  </cols>
  <sheetData>
    <row r="1" spans="1:9" ht="30">
      <c r="A1" s="33" t="s">
        <v>0</v>
      </c>
      <c r="B1" s="33" t="s">
        <v>132</v>
      </c>
      <c r="C1" s="33" t="s">
        <v>133</v>
      </c>
      <c r="D1" s="34" t="s">
        <v>136</v>
      </c>
      <c r="E1" s="34" t="s">
        <v>134</v>
      </c>
      <c r="F1" s="34" t="s">
        <v>135</v>
      </c>
      <c r="G1" s="33" t="s">
        <v>1</v>
      </c>
      <c r="H1" s="33" t="s">
        <v>2</v>
      </c>
      <c r="I1" s="33" t="s">
        <v>3</v>
      </c>
    </row>
    <row r="2" spans="1:9" ht="60">
      <c r="A2" s="35">
        <v>1</v>
      </c>
      <c r="B2" s="36" t="s">
        <v>4</v>
      </c>
      <c r="C2" s="48" t="str">
        <f>B3</f>
        <v>00:00:48,000</v>
      </c>
      <c r="D2" s="37">
        <f>F2-E2</f>
        <v>48000</v>
      </c>
      <c r="E2" s="38">
        <f xml:space="preserve"> (LEFT($B2,2)*3600 + MID($B2,4,2)*60 + MID($B2,7,2))*1000 + RIGHT($B2,3)</f>
        <v>0</v>
      </c>
      <c r="F2" s="38">
        <f xml:space="preserve"> (LEFT($C2,2)*3600 + MID($C2,4,2)*60 + MID($C2,7,2))*1000 + RIGHT($C2,3)</f>
        <v>48000</v>
      </c>
      <c r="G2" s="45" t="str">
        <f>'01_漢字標音'!Q4</f>
        <v>《海海人生》</v>
      </c>
      <c r="H2" s="46" t="str">
        <f>'01_漢字標音'!R4</f>
        <v>Hai2 hai2 chin1 shinn1</v>
      </c>
      <c r="I2" s="47" t="str">
        <f>A2&amp;CHAR(10)&amp;B2&amp;" --&gt; "&amp;C2&amp;CHAR(10)&amp;G2&amp;CHAR(10)&amp;H2</f>
        <v>1
00:00:00,000 --&gt; 00:00:48,000
《海海人生》
Hai2 hai2 chin1 shinn1</v>
      </c>
    </row>
    <row r="3" spans="1:9" ht="60">
      <c r="A3" s="35">
        <v>2</v>
      </c>
      <c r="B3" s="36" t="s">
        <v>14</v>
      </c>
      <c r="C3" s="48" t="str">
        <f t="shared" ref="C3:C62" si="0">B4</f>
        <v>00:00:50,324</v>
      </c>
      <c r="D3" s="37">
        <f t="shared" ref="D3:D62" si="1">F3-E3</f>
        <v>2324</v>
      </c>
      <c r="E3" s="38">
        <f t="shared" ref="E3:E62" si="2" xml:space="preserve"> (LEFT($B3,2)*3600 + MID($B3,4,2)*60 + MID($B3,7,2))*1000 + RIGHT($B3,3)</f>
        <v>48000</v>
      </c>
      <c r="F3" s="38">
        <f t="shared" ref="F3:F62" si="3" xml:space="preserve"> (LEFT($C3,2)*3600 + MID($C3,4,2)*60 + MID($C3,7,2))*1000 + RIGHT($C3,3)</f>
        <v>50324</v>
      </c>
      <c r="G3" s="45" t="str">
        <f>'01_漢字標音'!Q5</f>
        <v>人說這心情</v>
      </c>
      <c r="H3" s="46" t="str">
        <f>'01_漢字標音'!R5</f>
        <v>Chin1 seh4 ji2 shim1 jing5</v>
      </c>
      <c r="I3" s="47" t="str">
        <f t="shared" ref="I3:I62" si="4">A3&amp;CHAR(10)&amp;B3&amp;" --&gt; "&amp;C3&amp;CHAR(10)&amp;G3&amp;CHAR(10)&amp;H3</f>
        <v>2
00:00:48,000 --&gt; 00:00:50,324
人說這心情
Chin1 seh4 ji2 shim1 jing5</v>
      </c>
    </row>
    <row r="4" spans="1:9" ht="60">
      <c r="A4" s="35">
        <v>3</v>
      </c>
      <c r="B4" s="36" t="s">
        <v>60</v>
      </c>
      <c r="C4" s="48" t="str">
        <f t="shared" si="0"/>
        <v>00:00:53,920</v>
      </c>
      <c r="D4" s="37">
        <f t="shared" si="1"/>
        <v>3596</v>
      </c>
      <c r="E4" s="38">
        <f t="shared" si="2"/>
        <v>50324</v>
      </c>
      <c r="F4" s="38">
        <f t="shared" si="3"/>
        <v>53920</v>
      </c>
      <c r="G4" s="45" t="str">
        <f>'01_漢字標音'!Q6</f>
        <v>罕罕罕罕卡快活</v>
      </c>
      <c r="H4" s="46" t="str">
        <f>'01_漢字標音'!R6</f>
        <v>Han2 han2 han2 han2 zah8 kuainn3 uah8</v>
      </c>
      <c r="I4" s="47" t="str">
        <f t="shared" si="4"/>
        <v>3
00:00:50,324 --&gt; 00:00:53,920
罕罕罕罕卡快活
Han2 han2 han2 han2 zah8 kuainn3 uah8</v>
      </c>
    </row>
    <row r="5" spans="1:9" ht="60">
      <c r="A5" s="35">
        <v>4</v>
      </c>
      <c r="B5" s="36" t="s">
        <v>61</v>
      </c>
      <c r="C5" s="48" t="str">
        <f t="shared" si="0"/>
        <v>00:00:55,000</v>
      </c>
      <c r="D5" s="37">
        <f t="shared" si="1"/>
        <v>1080</v>
      </c>
      <c r="E5" s="38">
        <f t="shared" si="2"/>
        <v>53920</v>
      </c>
      <c r="F5" s="38">
        <f t="shared" si="3"/>
        <v>55000</v>
      </c>
      <c r="G5" s="45" t="str">
        <f>'01_漢字標音'!Q7</f>
        <v>毋通太陰鴆</v>
      </c>
      <c r="H5" s="46" t="str">
        <f>'01_漢字標音'!R7</f>
        <v>M7 tang3 tai3 im1 dim1</v>
      </c>
      <c r="I5" s="47" t="str">
        <f t="shared" si="4"/>
        <v>4
00:00:53,920 --&gt; 00:00:55,000
毋通太陰鴆
M7 tang3 tai3 im1 dim1</v>
      </c>
    </row>
    <row r="6" spans="1:9" ht="60">
      <c r="A6" s="35">
        <v>5</v>
      </c>
      <c r="B6" s="36" t="s">
        <v>62</v>
      </c>
      <c r="C6" s="48" t="str">
        <f t="shared" si="0"/>
        <v>00:00:59,000</v>
      </c>
      <c r="D6" s="37">
        <f t="shared" si="1"/>
        <v>4000</v>
      </c>
      <c r="E6" s="38">
        <f t="shared" si="2"/>
        <v>55000</v>
      </c>
      <c r="F6" s="38">
        <f t="shared" si="3"/>
        <v>59000</v>
      </c>
      <c r="G6" s="45" t="str">
        <f>'01_漢字標音'!Q8</f>
        <v>想著會驚</v>
      </c>
      <c r="H6" s="46" t="str">
        <f>'01_漢字標音'!R8</f>
        <v>Shiunn7 diorh8 he7 giann1</v>
      </c>
      <c r="I6" s="47" t="str">
        <f t="shared" si="4"/>
        <v>5
00:00:55,000 --&gt; 00:00:59,000
想著會驚
Shiunn7 diorh8 he7 giann1</v>
      </c>
    </row>
    <row r="7" spans="1:9" ht="60">
      <c r="A7" s="35">
        <v>6</v>
      </c>
      <c r="B7" s="36" t="s">
        <v>63</v>
      </c>
      <c r="C7" s="48" t="str">
        <f t="shared" si="0"/>
        <v>00:01:01,917</v>
      </c>
      <c r="D7" s="37">
        <f t="shared" si="1"/>
        <v>2917</v>
      </c>
      <c r="E7" s="38">
        <f t="shared" si="2"/>
        <v>59000</v>
      </c>
      <c r="F7" s="38">
        <f t="shared" si="3"/>
        <v>61917</v>
      </c>
      <c r="G7" s="45" t="str">
        <f>'01_漢字標音'!Q9</f>
        <v>有人真古意</v>
      </c>
      <c r="H7" s="46" t="str">
        <f>'01_漢字標音'!R9</f>
        <v>U7 chin1 jin1 goo2 i3</v>
      </c>
      <c r="I7" s="47" t="str">
        <f t="shared" si="4"/>
        <v>6
00:00:59,000 --&gt; 00:01:01,917
有人真古意
U7 chin1 jin1 goo2 i3</v>
      </c>
    </row>
    <row r="8" spans="1:9" ht="60">
      <c r="A8" s="35">
        <v>7</v>
      </c>
      <c r="B8" s="36" t="s">
        <v>64</v>
      </c>
      <c r="C8" s="48" t="str">
        <f t="shared" si="0"/>
        <v>00:01:04,001</v>
      </c>
      <c r="D8" s="37">
        <f t="shared" si="1"/>
        <v>2084</v>
      </c>
      <c r="E8" s="38">
        <f t="shared" si="2"/>
        <v>61917</v>
      </c>
      <c r="F8" s="38">
        <f t="shared" si="3"/>
        <v>64001</v>
      </c>
      <c r="G8" s="45" t="str">
        <f>'01_漢字標音'!Q10</f>
        <v>常常嘛是有人變卦</v>
      </c>
      <c r="H8" s="46" t="str">
        <f>'01_漢字標音'!R10</f>
        <v>Shiunn5 shiunn5 ma01 shi2 u7 chin1 bian3 gua3</v>
      </c>
      <c r="I8" s="47" t="str">
        <f t="shared" si="4"/>
        <v>7
00:01:01,917 --&gt; 00:01:04,001
常常嘛是有人變卦
Shiunn5 shiunn5 ma01 shi2 u7 chin1 bian3 gua3</v>
      </c>
    </row>
    <row r="9" spans="1:9" ht="60">
      <c r="A9" s="35">
        <v>8</v>
      </c>
      <c r="B9" s="36" t="s">
        <v>65</v>
      </c>
      <c r="C9" s="48" t="str">
        <f t="shared" si="0"/>
        <v>00:01:07,003</v>
      </c>
      <c r="D9" s="37">
        <f t="shared" si="1"/>
        <v>3002</v>
      </c>
      <c r="E9" s="38">
        <f t="shared" si="2"/>
        <v>64001</v>
      </c>
      <c r="F9" s="38">
        <f t="shared" si="3"/>
        <v>67003</v>
      </c>
      <c r="G9" s="45" t="str">
        <f>'01_漢字標音'!Q11</f>
        <v>這人情怎樣</v>
      </c>
      <c r="H9" s="46" t="str">
        <f>'01_漢字標音'!R11</f>
        <v>Ji2 chin1 jing5 zainn2 inn2</v>
      </c>
      <c r="I9" s="47" t="str">
        <f t="shared" si="4"/>
        <v>8
00:01:04,001 --&gt; 00:01:07,003
這人情怎樣
Ji2 chin1 jing5 zainn2 inn2</v>
      </c>
    </row>
    <row r="10" spans="1:9" ht="60">
      <c r="A10" s="35">
        <v>9</v>
      </c>
      <c r="B10" s="36" t="s">
        <v>66</v>
      </c>
      <c r="C10" s="48" t="str">
        <f t="shared" si="0"/>
        <v>00:01:11,006</v>
      </c>
      <c r="D10" s="37">
        <f t="shared" si="1"/>
        <v>4003</v>
      </c>
      <c r="E10" s="38">
        <f t="shared" si="2"/>
        <v>67003</v>
      </c>
      <c r="F10" s="38">
        <f t="shared" si="3"/>
        <v>71006</v>
      </c>
      <c r="G10" s="45" t="str">
        <f>'01_漢字標音'!Q12</f>
        <v>才看會破</v>
      </c>
      <c r="H10" s="46" t="str">
        <f>'01_漢字標音'!R12</f>
        <v>Zai5 kuann3 he7 por3</v>
      </c>
      <c r="I10" s="47" t="str">
        <f t="shared" si="4"/>
        <v>9
00:01:07,003 --&gt; 00:01:11,006
才看會破
Zai5 kuann3 he7 por3</v>
      </c>
    </row>
    <row r="11" spans="1:9" ht="60">
      <c r="A11" s="35">
        <v>10</v>
      </c>
      <c r="B11" s="36" t="s">
        <v>67</v>
      </c>
      <c r="C11" s="48" t="str">
        <f t="shared" si="0"/>
        <v>00:01:13,010</v>
      </c>
      <c r="D11" s="37">
        <f t="shared" si="1"/>
        <v>2004</v>
      </c>
      <c r="E11" s="38">
        <f t="shared" si="2"/>
        <v>71006</v>
      </c>
      <c r="F11" s="38">
        <f t="shared" si="3"/>
        <v>73010</v>
      </c>
      <c r="G11" s="45" t="str">
        <f>'01_漢字標音'!Q13</f>
        <v>人說這人生</v>
      </c>
      <c r="H11" s="46" t="str">
        <f>'01_漢字標音'!R13</f>
        <v>Chin1 seh4 ji2 chin1 shinn1</v>
      </c>
      <c r="I11" s="47" t="str">
        <f t="shared" si="4"/>
        <v>10
00:01:11,006 --&gt; 00:01:13,010
人說這人生
Chin1 seh4 ji2 chin1 shinn1</v>
      </c>
    </row>
    <row r="12" spans="1:9" ht="60">
      <c r="A12" s="35">
        <v>11</v>
      </c>
      <c r="B12" s="36" t="s">
        <v>68</v>
      </c>
      <c r="C12" s="48" t="str">
        <f t="shared" si="0"/>
        <v>00:01:16,015</v>
      </c>
      <c r="D12" s="37">
        <f t="shared" si="1"/>
        <v>3005</v>
      </c>
      <c r="E12" s="38">
        <f t="shared" si="2"/>
        <v>73010</v>
      </c>
      <c r="F12" s="38">
        <f t="shared" si="3"/>
        <v>76015</v>
      </c>
      <c r="G12" s="45" t="str">
        <f>'01_漢字標音'!Q14</f>
        <v>海海海海路好行</v>
      </c>
      <c r="H12" s="46" t="str">
        <f>'01_漢字標音'!R14</f>
        <v>Hai2 hai2 hai2 hai2 loo7 haunn3 hang5</v>
      </c>
      <c r="I12" s="47" t="str">
        <f t="shared" si="4"/>
        <v>11
00:01:13,010 --&gt; 00:01:16,015
海海海海路好行
Hai2 hai2 hai2 hai2 loo7 haunn3 hang5</v>
      </c>
    </row>
    <row r="13" spans="1:9" ht="60">
      <c r="A13" s="35">
        <v>12</v>
      </c>
      <c r="B13" s="36" t="s">
        <v>69</v>
      </c>
      <c r="C13" s="48" t="str">
        <f t="shared" si="0"/>
        <v>00:01:18,021</v>
      </c>
      <c r="D13" s="37">
        <f t="shared" si="1"/>
        <v>2006</v>
      </c>
      <c r="E13" s="38">
        <f t="shared" si="2"/>
        <v>76015</v>
      </c>
      <c r="F13" s="38">
        <f t="shared" si="3"/>
        <v>78021</v>
      </c>
      <c r="G13" s="45" t="str">
        <f>'01_漢字標音'!Q15</f>
        <v>毋通越頭望</v>
      </c>
      <c r="H13" s="46" t="str">
        <f>'01_漢字標音'!R15</f>
        <v>M7 tang3 uat8 tau5 bbang7</v>
      </c>
      <c r="I13" s="47" t="str">
        <f t="shared" si="4"/>
        <v>12
00:01:16,015 --&gt; 00:01:18,021
毋通越頭望
M7 tang3 uat8 tau5 bbang7</v>
      </c>
    </row>
    <row r="14" spans="1:9" ht="60">
      <c r="A14" s="35">
        <v>13</v>
      </c>
      <c r="B14" s="36" t="s">
        <v>70</v>
      </c>
      <c r="C14" s="48" t="str">
        <f t="shared" si="0"/>
        <v>00:01:22,028</v>
      </c>
      <c r="D14" s="37">
        <f t="shared" si="1"/>
        <v>4007</v>
      </c>
      <c r="E14" s="38">
        <f t="shared" si="2"/>
        <v>78021</v>
      </c>
      <c r="F14" s="38">
        <f t="shared" si="3"/>
        <v>82028</v>
      </c>
      <c r="G14" s="45" t="str">
        <f>'01_漢字標音'!Q16</f>
        <v>望著會茫</v>
      </c>
      <c r="H14" s="46" t="str">
        <f>'01_漢字標音'!R16</f>
        <v>Bbang7 diorh8 he7 bbong5</v>
      </c>
      <c r="I14" s="47" t="str">
        <f t="shared" si="4"/>
        <v>13
00:01:18,021 --&gt; 00:01:22,028
望著會茫
Bbang7 diorh8 he7 bbong5</v>
      </c>
    </row>
    <row r="15" spans="1:9" ht="60">
      <c r="A15" s="35">
        <v>14</v>
      </c>
      <c r="B15" s="36" t="s">
        <v>71</v>
      </c>
      <c r="C15" s="48" t="str">
        <f t="shared" si="0"/>
        <v>00:01:24,036</v>
      </c>
      <c r="D15" s="37">
        <f t="shared" si="1"/>
        <v>2008</v>
      </c>
      <c r="E15" s="38">
        <f t="shared" si="2"/>
        <v>82028</v>
      </c>
      <c r="F15" s="38">
        <f t="shared" si="3"/>
        <v>84036</v>
      </c>
      <c r="G15" s="45" t="str">
        <f>'01_漢字標音'!Q17</f>
        <v>有人愛著阮</v>
      </c>
      <c r="H15" s="46" t="str">
        <f>'01_漢字標音'!R17</f>
        <v>U7 chin1 ai3 diorh8 ng2</v>
      </c>
      <c r="I15" s="47" t="str">
        <f t="shared" si="4"/>
        <v>14
00:01:22,028 --&gt; 00:01:24,036
有人愛著阮
U7 chin1 ai3 diorh8 ng2</v>
      </c>
    </row>
    <row r="16" spans="1:9" ht="60">
      <c r="A16" s="35">
        <v>15</v>
      </c>
      <c r="B16" s="36" t="s">
        <v>72</v>
      </c>
      <c r="C16" s="48" t="str">
        <f t="shared" si="0"/>
        <v>00:01:28,045</v>
      </c>
      <c r="D16" s="37">
        <f t="shared" si="1"/>
        <v>4009</v>
      </c>
      <c r="E16" s="38">
        <f t="shared" si="2"/>
        <v>84036</v>
      </c>
      <c r="F16" s="38">
        <f t="shared" si="3"/>
        <v>88045</v>
      </c>
      <c r="G16" s="45" t="str">
        <f>'01_漢字標音'!Q18</f>
        <v>偏偏阮愛的是別人</v>
      </c>
      <c r="H16" s="46" t="str">
        <f>'01_漢字標音'!R18</f>
        <v>Tian1 tian1 ng2 ai3 e5 shi2 bat8 chin1</v>
      </c>
      <c r="I16" s="47" t="str">
        <f t="shared" si="4"/>
        <v>15
00:01:24,036 --&gt; 00:01:28,045
偏偏阮愛的是別人
Tian1 tian1 ng2 ai3 e5 shi2 bat8 chin1</v>
      </c>
    </row>
    <row r="17" spans="1:9" ht="60">
      <c r="A17" s="35">
        <v>16</v>
      </c>
      <c r="B17" s="36" t="s">
        <v>73</v>
      </c>
      <c r="C17" s="48" t="str">
        <f t="shared" si="0"/>
        <v>00:01:29,055</v>
      </c>
      <c r="D17" s="37">
        <f t="shared" si="1"/>
        <v>1010</v>
      </c>
      <c r="E17" s="38">
        <f t="shared" si="2"/>
        <v>88045</v>
      </c>
      <c r="F17" s="38">
        <f t="shared" si="3"/>
        <v>89055</v>
      </c>
      <c r="G17" s="45" t="str">
        <f>'01_漢字標音'!Q19</f>
        <v>這情債</v>
      </c>
      <c r="H17" s="46" t="str">
        <f>'01_漢字標音'!R19</f>
        <v>Ji2 jing5 ze3</v>
      </c>
      <c r="I17" s="47" t="str">
        <f t="shared" si="4"/>
        <v>16
00:01:28,045 --&gt; 00:01:29,055
這情債
Ji2 jing5 ze3</v>
      </c>
    </row>
    <row r="18" spans="1:9" ht="60">
      <c r="A18" s="35">
        <v>17</v>
      </c>
      <c r="B18" s="36" t="s">
        <v>74</v>
      </c>
      <c r="C18" s="48" t="str">
        <f t="shared" si="0"/>
        <v>00:01:34,066</v>
      </c>
      <c r="D18" s="37">
        <f t="shared" si="1"/>
        <v>5011</v>
      </c>
      <c r="E18" s="38">
        <f t="shared" si="2"/>
        <v>89055</v>
      </c>
      <c r="F18" s="38">
        <f t="shared" si="3"/>
        <v>94066</v>
      </c>
      <c r="G18" s="45" t="str">
        <f>'01_漢字標音'!Q20</f>
        <v>怎樣計較輸贏</v>
      </c>
      <c r="H18" s="46" t="str">
        <f>'01_漢字標音'!R20</f>
        <v>Zainn2 inn2 ge3 gau3 su1 iann5</v>
      </c>
      <c r="I18" s="47" t="str">
        <f t="shared" si="4"/>
        <v>17
00:01:29,055 --&gt; 00:01:34,066
怎樣計較輸贏
Zainn2 inn2 ge3 gau3 su1 iann5</v>
      </c>
    </row>
    <row r="19" spans="1:9" ht="60">
      <c r="A19" s="35">
        <v>18</v>
      </c>
      <c r="B19" s="36" t="s">
        <v>75</v>
      </c>
      <c r="C19" s="48" t="str">
        <f t="shared" si="0"/>
        <v>00:01:36,078</v>
      </c>
      <c r="D19" s="37">
        <f t="shared" si="1"/>
        <v>2012</v>
      </c>
      <c r="E19" s="38">
        <f t="shared" si="2"/>
        <v>94066</v>
      </c>
      <c r="F19" s="38">
        <f t="shared" si="3"/>
        <v>96078</v>
      </c>
      <c r="G19" s="45" t="str">
        <f>'01_漢字標音'!Q21</f>
        <v>輕輕鬆鬆</v>
      </c>
      <c r="H19" s="46" t="str">
        <f>'01_漢字標音'!R21</f>
        <v>Kin1 kin1 sang1 sang1</v>
      </c>
      <c r="I19" s="47" t="str">
        <f t="shared" si="4"/>
        <v>18
00:01:34,066 --&gt; 00:01:36,078
輕輕鬆鬆
Kin1 kin1 sang1 sang1</v>
      </c>
    </row>
    <row r="20" spans="1:9" ht="60">
      <c r="A20" s="35">
        <v>19</v>
      </c>
      <c r="B20" s="36" t="s">
        <v>76</v>
      </c>
      <c r="C20" s="48" t="str">
        <f t="shared" si="0"/>
        <v>00:01:39,069</v>
      </c>
      <c r="D20" s="37">
        <f t="shared" si="1"/>
        <v>2991</v>
      </c>
      <c r="E20" s="38">
        <f t="shared" si="2"/>
        <v>96078</v>
      </c>
      <c r="F20" s="38">
        <f t="shared" si="3"/>
        <v>99069</v>
      </c>
      <c r="G20" s="45" t="str">
        <f>'01_漢字標音'!Q22</f>
        <v>人生路途阮來行</v>
      </c>
      <c r="H20" s="46" t="str">
        <f>'01_漢字標音'!R22</f>
        <v>Chin1 shinn1 loo7 doo5 ng2 lai5 hang5</v>
      </c>
      <c r="I20" s="47" t="str">
        <f t="shared" si="4"/>
        <v>19
00:01:36,078 --&gt; 00:01:39,069
人生路途阮來行
Chin1 shinn1 loo7 doo5 ng2 lai5 hang5</v>
      </c>
    </row>
    <row r="21" spans="1:9" ht="60">
      <c r="A21" s="35">
        <v>20</v>
      </c>
      <c r="B21" s="36" t="s">
        <v>77</v>
      </c>
      <c r="C21" s="48" t="str">
        <f t="shared" si="0"/>
        <v>00:01:41,712</v>
      </c>
      <c r="D21" s="37">
        <f t="shared" si="1"/>
        <v>2643</v>
      </c>
      <c r="E21" s="38">
        <f t="shared" si="2"/>
        <v>99069</v>
      </c>
      <c r="F21" s="38">
        <f t="shared" si="3"/>
        <v>101712</v>
      </c>
      <c r="G21" s="45" t="str">
        <f>'01_漢字標音'!Q23</f>
        <v>無人是應該</v>
      </c>
      <c r="H21" s="46" t="str">
        <f>'01_漢字標音'!R23</f>
        <v>Bbu5 chin1 shi2 in3 gai1</v>
      </c>
      <c r="I21" s="47" t="str">
        <f t="shared" si="4"/>
        <v>20
00:01:39,069 --&gt; 00:01:41,712
無人是應該
Bbu5 chin1 shi2 in3 gai1</v>
      </c>
    </row>
    <row r="22" spans="1:9" ht="60">
      <c r="A22" s="35">
        <v>21</v>
      </c>
      <c r="B22" s="36" t="s">
        <v>78</v>
      </c>
      <c r="C22" s="48" t="str">
        <f t="shared" si="0"/>
        <v>00:01:45,120</v>
      </c>
      <c r="D22" s="37">
        <f t="shared" si="1"/>
        <v>3408</v>
      </c>
      <c r="E22" s="38">
        <f t="shared" si="2"/>
        <v>101712</v>
      </c>
      <c r="F22" s="38">
        <f t="shared" si="3"/>
        <v>105120</v>
      </c>
      <c r="G22" s="45" t="str">
        <f>'01_漢字標音'!Q24</f>
        <v>永遠孤單</v>
      </c>
      <c r="H22" s="46" t="str">
        <f>'01_漢字標音'!R24</f>
        <v>Ing2 uan7 goo1 kia1</v>
      </c>
      <c r="I22" s="47" t="str">
        <f t="shared" si="4"/>
        <v>21
00:01:41,712 --&gt; 00:01:45,120
永遠孤單
Ing2 uan7 goo1 kia1</v>
      </c>
    </row>
    <row r="23" spans="1:9" ht="60">
      <c r="A23" s="35">
        <v>22</v>
      </c>
      <c r="B23" s="36" t="s">
        <v>79</v>
      </c>
      <c r="C23" s="48" t="str">
        <f t="shared" si="0"/>
        <v>00:01:48,136</v>
      </c>
      <c r="D23" s="37">
        <f t="shared" si="1"/>
        <v>3016</v>
      </c>
      <c r="E23" s="38">
        <f t="shared" si="2"/>
        <v>105120</v>
      </c>
      <c r="F23" s="38">
        <f t="shared" si="3"/>
        <v>108136</v>
      </c>
      <c r="G23" s="45" t="str">
        <f>'01_漢字標音'!Q25</f>
        <v>阮會歡喜</v>
      </c>
      <c r="H23" s="46" t="str">
        <f>'01_漢字標音'!R25</f>
        <v>Ng2 he7 huan1 hi2</v>
      </c>
      <c r="I23" s="47" t="str">
        <f t="shared" si="4"/>
        <v>22
00:01:45,120 --&gt; 00:01:48,136
阮會歡喜
Ng2 he7 huan1 hi2</v>
      </c>
    </row>
    <row r="24" spans="1:9" ht="60">
      <c r="A24" s="35">
        <v>23</v>
      </c>
      <c r="B24" s="36" t="s">
        <v>80</v>
      </c>
      <c r="C24" s="48" t="str">
        <f t="shared" si="0"/>
        <v>00:01:50,153</v>
      </c>
      <c r="D24" s="37">
        <f t="shared" si="1"/>
        <v>2017</v>
      </c>
      <c r="E24" s="38">
        <f t="shared" si="2"/>
        <v>108136</v>
      </c>
      <c r="F24" s="38">
        <f t="shared" si="3"/>
        <v>110153</v>
      </c>
      <c r="G24" s="45" t="str">
        <f>'01_漢字標音'!Q26</f>
        <v>有緣你做伴</v>
      </c>
      <c r="H24" s="46" t="str">
        <f>'01_漢字標音'!R26</f>
        <v>U7 ian5 ni2 zue3 puann7</v>
      </c>
      <c r="I24" s="47" t="str">
        <f t="shared" si="4"/>
        <v>23
00:01:48,136 --&gt; 00:01:50,153
有緣你做伴
U7 ian5 ni2 zue3 puann7</v>
      </c>
    </row>
    <row r="25" spans="1:9" ht="60">
      <c r="A25" s="35">
        <v>24</v>
      </c>
      <c r="B25" s="36" t="s">
        <v>81</v>
      </c>
      <c r="C25" s="48" t="str">
        <f t="shared" si="0"/>
        <v>00:01:52,171</v>
      </c>
      <c r="D25" s="37">
        <f t="shared" si="1"/>
        <v>2018</v>
      </c>
      <c r="E25" s="38">
        <f t="shared" si="2"/>
        <v>110153</v>
      </c>
      <c r="F25" s="38">
        <f t="shared" si="3"/>
        <v>112171</v>
      </c>
      <c r="G25" s="45" t="str">
        <f>'01_漢字標音'!Q27</f>
        <v>欲離開</v>
      </c>
      <c r="H25" s="46" t="str">
        <f>'01_漢字標音'!R27</f>
        <v>Bbeh1 li7 kui1</v>
      </c>
      <c r="I25" s="47" t="str">
        <f t="shared" si="4"/>
        <v>24
00:01:50,153 --&gt; 00:01:52,171
欲離開
Bbeh1 li7 kui1</v>
      </c>
    </row>
    <row r="26" spans="1:9" ht="60">
      <c r="A26" s="35">
        <v>25</v>
      </c>
      <c r="B26" s="36" t="s">
        <v>82</v>
      </c>
      <c r="C26" s="48" t="str">
        <f t="shared" si="0"/>
        <v>00:01:56,190</v>
      </c>
      <c r="D26" s="37">
        <f t="shared" si="1"/>
        <v>4019</v>
      </c>
      <c r="E26" s="38">
        <f t="shared" si="2"/>
        <v>112171</v>
      </c>
      <c r="F26" s="38">
        <f t="shared" si="3"/>
        <v>116190</v>
      </c>
      <c r="G26" s="45" t="str">
        <f>'01_漢字標音'!Q28</f>
        <v>笑笑阮無牽掛</v>
      </c>
      <c r="H26" s="46" t="str">
        <f>'01_漢字標音'!R28</f>
        <v>Chior3 chior3 ng2 bbu5 kian1 kua3</v>
      </c>
      <c r="I26" s="47" t="str">
        <f t="shared" si="4"/>
        <v>25
00:01:52,171 --&gt; 00:01:56,190
笑笑阮無牽掛
Chior3 chior3 ng2 bbu5 kian1 kua3</v>
      </c>
    </row>
    <row r="27" spans="1:9" ht="60">
      <c r="A27" s="35">
        <v>26</v>
      </c>
      <c r="B27" s="36" t="s">
        <v>83</v>
      </c>
      <c r="C27" s="48" t="str">
        <f t="shared" si="0"/>
        <v>00:01:58,210</v>
      </c>
      <c r="D27" s="37">
        <f t="shared" si="1"/>
        <v>2020</v>
      </c>
      <c r="E27" s="38">
        <f t="shared" si="2"/>
        <v>116190</v>
      </c>
      <c r="F27" s="38">
        <f t="shared" si="3"/>
        <v>118210</v>
      </c>
      <c r="G27" s="45" t="str">
        <f>'01_漢字標音'!Q29</f>
        <v>人說這人生</v>
      </c>
      <c r="H27" s="46" t="str">
        <f>'01_漢字標音'!R29</f>
        <v>Chin1 seh4 ji2 chin1 shinn1</v>
      </c>
      <c r="I27" s="47" t="str">
        <f t="shared" si="4"/>
        <v>26
00:01:56,190 --&gt; 00:01:58,210
人說這人生
Chin1 seh4 ji2 chin1 shinn1</v>
      </c>
    </row>
    <row r="28" spans="1:9" ht="60">
      <c r="A28" s="35">
        <v>27</v>
      </c>
      <c r="B28" s="36" t="s">
        <v>84</v>
      </c>
      <c r="C28" s="48" t="str">
        <f t="shared" si="0"/>
        <v>00:02:02,231</v>
      </c>
      <c r="D28" s="37">
        <f t="shared" si="1"/>
        <v>4021</v>
      </c>
      <c r="E28" s="38">
        <f t="shared" si="2"/>
        <v>118210</v>
      </c>
      <c r="F28" s="38">
        <f t="shared" si="3"/>
        <v>122231</v>
      </c>
      <c r="G28" s="45" t="str">
        <f>'01_漢字標音'!Q30</f>
        <v>海海海海路好行</v>
      </c>
      <c r="H28" s="46" t="str">
        <f>'01_漢字標音'!R30</f>
        <v>Hai2 hai2 hai2 hai2 loo7 haunn3 hang5</v>
      </c>
      <c r="I28" s="47" t="str">
        <f t="shared" si="4"/>
        <v>27
00:01:58,210 --&gt; 00:02:02,231
海海海海路好行
Hai2 hai2 hai2 hai2 loo7 haunn3 hang5</v>
      </c>
    </row>
    <row r="29" spans="1:9" ht="60">
      <c r="A29" s="35">
        <v>28</v>
      </c>
      <c r="B29" s="36" t="s">
        <v>85</v>
      </c>
      <c r="C29" s="48" t="str">
        <f t="shared" si="0"/>
        <v>00:02:04,253</v>
      </c>
      <c r="D29" s="37">
        <f t="shared" si="1"/>
        <v>2022</v>
      </c>
      <c r="E29" s="38">
        <f t="shared" si="2"/>
        <v>122231</v>
      </c>
      <c r="F29" s="38">
        <f t="shared" si="3"/>
        <v>124253</v>
      </c>
      <c r="G29" s="45" t="s">
        <v>15</v>
      </c>
      <c r="H29" s="46" t="s">
        <v>154</v>
      </c>
      <c r="I29" s="47" t="str">
        <f t="shared" si="4"/>
        <v>28
00:02:02,231 --&gt; 00:02:04,253
毋通越頭望
M̄-thang ua̍t-thâu bāng</v>
      </c>
    </row>
    <row r="30" spans="1:9" ht="60">
      <c r="A30" s="35">
        <v>29</v>
      </c>
      <c r="B30" s="36" t="s">
        <v>86</v>
      </c>
      <c r="C30" s="48" t="str">
        <f t="shared" si="0"/>
        <v>00:02:08,276</v>
      </c>
      <c r="D30" s="37">
        <f t="shared" si="1"/>
        <v>4023</v>
      </c>
      <c r="E30" s="38">
        <f t="shared" si="2"/>
        <v>124253</v>
      </c>
      <c r="F30" s="38">
        <f t="shared" si="3"/>
        <v>128276</v>
      </c>
      <c r="G30" s="45" t="s">
        <v>16</v>
      </c>
      <c r="H30" s="46" t="s">
        <v>17</v>
      </c>
      <c r="I30" s="47" t="str">
        <f t="shared" si="4"/>
        <v>29
00:02:04,253 --&gt; 00:02:08,276
望著會茫
Bāng-tio̍h ē bâng</v>
      </c>
    </row>
    <row r="31" spans="1:9" ht="60">
      <c r="A31" s="35">
        <v>30</v>
      </c>
      <c r="B31" s="36" t="s">
        <v>87</v>
      </c>
      <c r="C31" s="48" t="str">
        <f t="shared" si="0"/>
        <v>00:02:10,300</v>
      </c>
      <c r="D31" s="37">
        <f t="shared" si="1"/>
        <v>2024</v>
      </c>
      <c r="E31" s="38">
        <f t="shared" si="2"/>
        <v>128276</v>
      </c>
      <c r="F31" s="38">
        <f t="shared" si="3"/>
        <v>130300</v>
      </c>
      <c r="G31" s="45" t="s">
        <v>18</v>
      </c>
      <c r="H31" s="46" t="s">
        <v>19</v>
      </c>
      <c r="I31" s="47" t="str">
        <f t="shared" si="4"/>
        <v>30
00:02:08,276 --&gt; 00:02:10,300
有人愛著阮
Ū lâng ài-tio̍h gún</v>
      </c>
    </row>
    <row r="32" spans="1:9" ht="60">
      <c r="A32" s="35">
        <v>31</v>
      </c>
      <c r="B32" s="36" t="s">
        <v>88</v>
      </c>
      <c r="C32" s="48" t="str">
        <f t="shared" si="0"/>
        <v>00:02:13,325</v>
      </c>
      <c r="D32" s="37">
        <f t="shared" si="1"/>
        <v>3025</v>
      </c>
      <c r="E32" s="38">
        <f t="shared" si="2"/>
        <v>130300</v>
      </c>
      <c r="F32" s="38">
        <f t="shared" si="3"/>
        <v>133325</v>
      </c>
      <c r="G32" s="45" t="s">
        <v>20</v>
      </c>
      <c r="H32" s="46" t="s">
        <v>21</v>
      </c>
      <c r="I32" s="47" t="str">
        <f t="shared" si="4"/>
        <v>31
00:02:10,300 --&gt; 00:02:13,325
偏偏阮愛的是別人
Phian-phian gún ài--ê sī pa̍t-lâng</v>
      </c>
    </row>
    <row r="33" spans="1:9" ht="60">
      <c r="A33" s="35">
        <v>32</v>
      </c>
      <c r="B33" s="36" t="s">
        <v>89</v>
      </c>
      <c r="C33" s="48" t="str">
        <f t="shared" si="0"/>
        <v>00:02:14,351</v>
      </c>
      <c r="D33" s="37">
        <f t="shared" si="1"/>
        <v>1026</v>
      </c>
      <c r="E33" s="38">
        <f t="shared" si="2"/>
        <v>133325</v>
      </c>
      <c r="F33" s="38">
        <f t="shared" si="3"/>
        <v>134351</v>
      </c>
      <c r="G33" s="45" t="s">
        <v>22</v>
      </c>
      <c r="H33" s="46" t="s">
        <v>155</v>
      </c>
      <c r="I33" s="47" t="str">
        <f t="shared" si="4"/>
        <v>32
00:02:13,325 --&gt; 00:02:14,351
這情債
Tsé tsîng-tsè</v>
      </c>
    </row>
    <row r="34" spans="1:9" ht="60">
      <c r="A34" s="35">
        <v>33</v>
      </c>
      <c r="B34" s="36" t="s">
        <v>90</v>
      </c>
      <c r="C34" s="49" t="s">
        <v>139</v>
      </c>
      <c r="D34" s="37">
        <f t="shared" si="1"/>
        <v>7649</v>
      </c>
      <c r="E34" s="38">
        <f t="shared" si="2"/>
        <v>134351</v>
      </c>
      <c r="F34" s="38">
        <f t="shared" si="3"/>
        <v>142000</v>
      </c>
      <c r="G34" s="45" t="s">
        <v>23</v>
      </c>
      <c r="H34" s="46" t="s">
        <v>24</v>
      </c>
      <c r="I34" s="47" t="str">
        <f t="shared" si="4"/>
        <v>33
00:02:14,351 --&gt; 00:02:22,000
怎樣計較輸贏
Tsuánn-iūnn kè-kàu su-iânn</v>
      </c>
    </row>
    <row r="35" spans="1:9" ht="60">
      <c r="A35" s="35">
        <v>34</v>
      </c>
      <c r="B35" s="36" t="s">
        <v>39</v>
      </c>
      <c r="C35" s="48" t="str">
        <f t="shared" si="0"/>
        <v>00:02:50,406</v>
      </c>
      <c r="D35" s="37">
        <f t="shared" si="1"/>
        <v>2406</v>
      </c>
      <c r="E35" s="38">
        <f t="shared" si="2"/>
        <v>168000</v>
      </c>
      <c r="F35" s="38">
        <f t="shared" si="3"/>
        <v>170406</v>
      </c>
      <c r="G35" s="45" t="s">
        <v>11</v>
      </c>
      <c r="H35" s="46" t="s">
        <v>138</v>
      </c>
      <c r="I35" s="47" t="str">
        <f t="shared" si="4"/>
        <v>34
00:02:48,000 --&gt; 00:02:50,406
人說這人生
Lâng kóng tsé jîn-sing</v>
      </c>
    </row>
    <row r="36" spans="1:9" ht="60">
      <c r="A36" s="35">
        <v>35</v>
      </c>
      <c r="B36" s="36" t="s">
        <v>91</v>
      </c>
      <c r="C36" s="48" t="str">
        <f t="shared" si="0"/>
        <v>00:02:53,435</v>
      </c>
      <c r="D36" s="37">
        <f t="shared" si="1"/>
        <v>3029</v>
      </c>
      <c r="E36" s="38">
        <f t="shared" si="2"/>
        <v>170406</v>
      </c>
      <c r="F36" s="38">
        <f t="shared" si="3"/>
        <v>173435</v>
      </c>
      <c r="G36" s="45" t="s">
        <v>12</v>
      </c>
      <c r="H36" s="46" t="s">
        <v>13</v>
      </c>
      <c r="I36" s="47" t="str">
        <f t="shared" si="4"/>
        <v>35
00:02:50,406 --&gt; 00:02:53,435
海海海海路好行
Hái-hái hái-hái lōo hó-kiânn</v>
      </c>
    </row>
    <row r="37" spans="1:9" ht="60">
      <c r="A37" s="35">
        <v>36</v>
      </c>
      <c r="B37" s="36" t="s">
        <v>92</v>
      </c>
      <c r="C37" s="48" t="str">
        <f t="shared" si="0"/>
        <v>00:02:56,000</v>
      </c>
      <c r="D37" s="37">
        <f t="shared" si="1"/>
        <v>2565</v>
      </c>
      <c r="E37" s="38">
        <f t="shared" si="2"/>
        <v>173435</v>
      </c>
      <c r="F37" s="38">
        <f t="shared" si="3"/>
        <v>176000</v>
      </c>
      <c r="G37" s="45" t="s">
        <v>15</v>
      </c>
      <c r="H37" s="46" t="s">
        <v>154</v>
      </c>
      <c r="I37" s="47" t="str">
        <f t="shared" si="4"/>
        <v>36
00:02:53,435 --&gt; 00:02:56,000
毋通越頭望
M̄-thang ua̍t-thâu bāng</v>
      </c>
    </row>
    <row r="38" spans="1:9" ht="60">
      <c r="A38" s="35">
        <v>37</v>
      </c>
      <c r="B38" s="36" t="s">
        <v>40</v>
      </c>
      <c r="C38" s="48" t="str">
        <f t="shared" si="0"/>
        <v>00:02:59,000</v>
      </c>
      <c r="D38" s="37">
        <f t="shared" si="1"/>
        <v>3000</v>
      </c>
      <c r="E38" s="38">
        <f t="shared" si="2"/>
        <v>176000</v>
      </c>
      <c r="F38" s="38">
        <f t="shared" si="3"/>
        <v>179000</v>
      </c>
      <c r="G38" s="45" t="s">
        <v>16</v>
      </c>
      <c r="H38" s="46" t="s">
        <v>17</v>
      </c>
      <c r="I38" s="47" t="str">
        <f t="shared" si="4"/>
        <v>37
00:02:56,000 --&gt; 00:02:59,000
望著會茫
Bāng-tio̍h ē bâng</v>
      </c>
    </row>
    <row r="39" spans="1:9" ht="60">
      <c r="A39" s="35">
        <v>38</v>
      </c>
      <c r="B39" s="36" t="s">
        <v>93</v>
      </c>
      <c r="C39" s="48" t="str">
        <f t="shared" si="0"/>
        <v>00:03:01,000</v>
      </c>
      <c r="D39" s="37">
        <f t="shared" si="1"/>
        <v>2000</v>
      </c>
      <c r="E39" s="38">
        <f t="shared" si="2"/>
        <v>179000</v>
      </c>
      <c r="F39" s="38">
        <f t="shared" si="3"/>
        <v>181000</v>
      </c>
      <c r="G39" s="45" t="s">
        <v>18</v>
      </c>
      <c r="H39" s="46" t="s">
        <v>19</v>
      </c>
      <c r="I39" s="47" t="str">
        <f t="shared" si="4"/>
        <v>38
00:02:59,000 --&gt; 00:03:01,000
有人愛著阮
Ū lâng ài-tio̍h gún</v>
      </c>
    </row>
    <row r="40" spans="1:9" ht="60">
      <c r="A40" s="35">
        <v>39</v>
      </c>
      <c r="B40" s="36" t="s">
        <v>94</v>
      </c>
      <c r="C40" s="48" t="str">
        <f t="shared" si="0"/>
        <v>00:03:04,000</v>
      </c>
      <c r="D40" s="37">
        <f t="shared" si="1"/>
        <v>3000</v>
      </c>
      <c r="E40" s="38">
        <f t="shared" si="2"/>
        <v>181000</v>
      </c>
      <c r="F40" s="38">
        <f t="shared" si="3"/>
        <v>184000</v>
      </c>
      <c r="G40" s="45" t="s">
        <v>20</v>
      </c>
      <c r="H40" s="46" t="s">
        <v>21</v>
      </c>
      <c r="I40" s="47" t="str">
        <f t="shared" si="4"/>
        <v>39
00:03:01,000 --&gt; 00:03:04,000
偏偏阮愛的是別人
Phian-phian gún ài--ê sī pa̍t-lâng</v>
      </c>
    </row>
    <row r="41" spans="1:9" ht="60">
      <c r="A41" s="35">
        <v>40</v>
      </c>
      <c r="B41" s="36" t="s">
        <v>41</v>
      </c>
      <c r="C41" s="48" t="str">
        <f t="shared" si="0"/>
        <v>00:03:06,000</v>
      </c>
      <c r="D41" s="37">
        <f t="shared" si="1"/>
        <v>2000</v>
      </c>
      <c r="E41" s="38">
        <f t="shared" si="2"/>
        <v>184000</v>
      </c>
      <c r="F41" s="38">
        <f t="shared" si="3"/>
        <v>186000</v>
      </c>
      <c r="G41" s="45" t="s">
        <v>22</v>
      </c>
      <c r="H41" s="46" t="s">
        <v>155</v>
      </c>
      <c r="I41" s="47" t="str">
        <f t="shared" si="4"/>
        <v>40
00:03:04,000 --&gt; 00:03:06,000
這情債
Tsé tsîng-tsè</v>
      </c>
    </row>
    <row r="42" spans="1:9" ht="60">
      <c r="A42" s="35">
        <v>41</v>
      </c>
      <c r="B42" s="36" t="s">
        <v>95</v>
      </c>
      <c r="C42" s="48" t="str">
        <f t="shared" si="0"/>
        <v>00:03:10,000</v>
      </c>
      <c r="D42" s="37">
        <f t="shared" si="1"/>
        <v>4000</v>
      </c>
      <c r="E42" s="38">
        <f t="shared" si="2"/>
        <v>186000</v>
      </c>
      <c r="F42" s="38">
        <f t="shared" si="3"/>
        <v>190000</v>
      </c>
      <c r="G42" s="45" t="s">
        <v>23</v>
      </c>
      <c r="H42" s="46" t="s">
        <v>24</v>
      </c>
      <c r="I42" s="47" t="str">
        <f t="shared" si="4"/>
        <v>41
00:03:06,000 --&gt; 00:03:10,000
怎樣計較輸贏
Tsuánn-iūnn kè-kàu su-iânn</v>
      </c>
    </row>
    <row r="43" spans="1:9" ht="60">
      <c r="A43" s="35">
        <v>42</v>
      </c>
      <c r="B43" s="36" t="s">
        <v>96</v>
      </c>
      <c r="C43" s="48" t="str">
        <f t="shared" si="0"/>
        <v>00:03:13,000</v>
      </c>
      <c r="D43" s="37">
        <f t="shared" si="1"/>
        <v>3000</v>
      </c>
      <c r="E43" s="38">
        <f t="shared" si="2"/>
        <v>190000</v>
      </c>
      <c r="F43" s="38">
        <f t="shared" si="3"/>
        <v>193000</v>
      </c>
      <c r="G43" s="45" t="s">
        <v>25</v>
      </c>
      <c r="H43" s="46" t="s">
        <v>26</v>
      </c>
      <c r="I43" s="47" t="str">
        <f t="shared" si="4"/>
        <v>42
00:03:10,000 --&gt; 00:03:13,000
輕輕鬆鬆
Khin-khin sang-sang</v>
      </c>
    </row>
    <row r="44" spans="1:9" ht="60">
      <c r="A44" s="35">
        <v>43</v>
      </c>
      <c r="B44" s="36" t="s">
        <v>97</v>
      </c>
      <c r="C44" s="48" t="str">
        <f t="shared" si="0"/>
        <v>00:03:16,000</v>
      </c>
      <c r="D44" s="37">
        <f t="shared" si="1"/>
        <v>3000</v>
      </c>
      <c r="E44" s="38">
        <f t="shared" si="2"/>
        <v>193000</v>
      </c>
      <c r="F44" s="38">
        <f t="shared" si="3"/>
        <v>196000</v>
      </c>
      <c r="G44" s="45" t="s">
        <v>27</v>
      </c>
      <c r="H44" s="46" t="s">
        <v>28</v>
      </c>
      <c r="I44" s="47" t="str">
        <f t="shared" si="4"/>
        <v>43
00:03:13,000 --&gt; 00:03:16,000
人生路途阮來行
Jîn-sing lōo-tôo gún lâi kiânn</v>
      </c>
    </row>
    <row r="45" spans="1:9" ht="60">
      <c r="A45" s="35">
        <v>44</v>
      </c>
      <c r="B45" s="36" t="s">
        <v>42</v>
      </c>
      <c r="C45" s="48" t="str">
        <f t="shared" si="0"/>
        <v>00:03:18,000</v>
      </c>
      <c r="D45" s="37">
        <f t="shared" si="1"/>
        <v>2000</v>
      </c>
      <c r="E45" s="38">
        <f t="shared" si="2"/>
        <v>196000</v>
      </c>
      <c r="F45" s="38">
        <f t="shared" si="3"/>
        <v>198000</v>
      </c>
      <c r="G45" s="45" t="s">
        <v>29</v>
      </c>
      <c r="H45" s="46" t="s">
        <v>30</v>
      </c>
      <c r="I45" s="47" t="str">
        <f t="shared" si="4"/>
        <v>44
00:03:16,000 --&gt; 00:03:18,000
無人是應該
Bô lâng sī ing-kai</v>
      </c>
    </row>
    <row r="46" spans="1:9" ht="60">
      <c r="A46" s="35">
        <v>45</v>
      </c>
      <c r="B46" s="36" t="s">
        <v>98</v>
      </c>
      <c r="C46" s="48" t="str">
        <f t="shared" si="0"/>
        <v>00:03:22,000</v>
      </c>
      <c r="D46" s="37">
        <f t="shared" si="1"/>
        <v>4000</v>
      </c>
      <c r="E46" s="38">
        <f t="shared" si="2"/>
        <v>198000</v>
      </c>
      <c r="F46" s="38">
        <f t="shared" si="3"/>
        <v>202000</v>
      </c>
      <c r="G46" s="45" t="s">
        <v>31</v>
      </c>
      <c r="H46" s="46" t="s">
        <v>32</v>
      </c>
      <c r="I46" s="47" t="str">
        <f t="shared" si="4"/>
        <v>45
00:03:18,000 --&gt; 00:03:22,000
永遠孤單
Íng-uán koo-tuann</v>
      </c>
    </row>
    <row r="47" spans="1:9" ht="60">
      <c r="A47" s="35">
        <v>46</v>
      </c>
      <c r="B47" s="36" t="s">
        <v>99</v>
      </c>
      <c r="C47" s="48" t="str">
        <f t="shared" si="0"/>
        <v>00:03:25,000</v>
      </c>
      <c r="D47" s="37">
        <f t="shared" si="1"/>
        <v>3000</v>
      </c>
      <c r="E47" s="38">
        <f t="shared" si="2"/>
        <v>202000</v>
      </c>
      <c r="F47" s="38">
        <f t="shared" si="3"/>
        <v>205000</v>
      </c>
      <c r="G47" s="45" t="s">
        <v>33</v>
      </c>
      <c r="H47" s="46" t="s">
        <v>34</v>
      </c>
      <c r="I47" s="47" t="str">
        <f t="shared" si="4"/>
        <v>46
00:03:22,000 --&gt; 00:03:25,000
阮會歡喜
Gún ē huann-hí</v>
      </c>
    </row>
    <row r="48" spans="1:9" ht="60">
      <c r="A48" s="35">
        <v>47</v>
      </c>
      <c r="B48" s="36" t="s">
        <v>100</v>
      </c>
      <c r="C48" s="48" t="str">
        <f t="shared" si="0"/>
        <v>00:03:27,000</v>
      </c>
      <c r="D48" s="37">
        <f t="shared" si="1"/>
        <v>2000</v>
      </c>
      <c r="E48" s="38">
        <f t="shared" si="2"/>
        <v>205000</v>
      </c>
      <c r="F48" s="38">
        <f t="shared" si="3"/>
        <v>207000</v>
      </c>
      <c r="G48" s="45" t="s">
        <v>35</v>
      </c>
      <c r="H48" s="46" t="s">
        <v>156</v>
      </c>
      <c r="I48" s="47" t="str">
        <f t="shared" si="4"/>
        <v>47
00:03:25,000 --&gt; 00:03:27,000
有緣你做伴
Ū-iân lí tsuè-phuānn</v>
      </c>
    </row>
    <row r="49" spans="1:12" ht="60">
      <c r="A49" s="35">
        <v>48</v>
      </c>
      <c r="B49" s="36" t="s">
        <v>101</v>
      </c>
      <c r="C49" s="48" t="str">
        <f t="shared" si="0"/>
        <v>00:03:29,000</v>
      </c>
      <c r="D49" s="37">
        <f t="shared" si="1"/>
        <v>2000</v>
      </c>
      <c r="E49" s="38">
        <f t="shared" si="2"/>
        <v>207000</v>
      </c>
      <c r="F49" s="38">
        <f t="shared" si="3"/>
        <v>209000</v>
      </c>
      <c r="G49" s="45" t="s">
        <v>36</v>
      </c>
      <c r="H49" s="46" t="s">
        <v>37</v>
      </c>
      <c r="I49" s="47" t="str">
        <f t="shared" si="4"/>
        <v>48
00:03:27,000 --&gt; 00:03:29,000
欲離開
Beh lī-khui</v>
      </c>
    </row>
    <row r="50" spans="1:12" ht="60">
      <c r="A50" s="35">
        <v>49</v>
      </c>
      <c r="B50" s="36" t="s">
        <v>102</v>
      </c>
      <c r="C50" s="48" t="str">
        <f t="shared" si="0"/>
        <v>00:03:33,000</v>
      </c>
      <c r="D50" s="37">
        <f t="shared" si="1"/>
        <v>4000</v>
      </c>
      <c r="E50" s="38">
        <f t="shared" si="2"/>
        <v>209000</v>
      </c>
      <c r="F50" s="38">
        <f t="shared" si="3"/>
        <v>213000</v>
      </c>
      <c r="G50" s="45" t="s">
        <v>38</v>
      </c>
      <c r="H50" s="46" t="s">
        <v>157</v>
      </c>
      <c r="I50" s="47" t="str">
        <f t="shared" si="4"/>
        <v>49
00:03:29,000 --&gt; 00:03:33,000
笑笑阮無牽掛
Tshiò-tshiò gún bô khian-kuà</v>
      </c>
    </row>
    <row r="51" spans="1:12" ht="60">
      <c r="A51" s="35">
        <v>50</v>
      </c>
      <c r="B51" s="36" t="s">
        <v>103</v>
      </c>
      <c r="C51" s="48" t="str">
        <f t="shared" si="0"/>
        <v>00:03:36,000</v>
      </c>
      <c r="D51" s="37">
        <f t="shared" si="1"/>
        <v>3000</v>
      </c>
      <c r="E51" s="38">
        <f t="shared" si="2"/>
        <v>213000</v>
      </c>
      <c r="F51" s="38">
        <f t="shared" si="3"/>
        <v>216000</v>
      </c>
      <c r="G51" s="45" t="s">
        <v>11</v>
      </c>
      <c r="H51" s="46" t="s">
        <v>138</v>
      </c>
      <c r="I51" s="47" t="str">
        <f t="shared" si="4"/>
        <v>50
00:03:33,000 --&gt; 00:03:36,000
人說這人生
Lâng kóng tsé jîn-sing</v>
      </c>
    </row>
    <row r="52" spans="1:12" ht="60">
      <c r="A52" s="35">
        <v>51</v>
      </c>
      <c r="B52" s="36" t="s">
        <v>43</v>
      </c>
      <c r="C52" s="48" t="str">
        <f t="shared" si="0"/>
        <v>00:03:39,000</v>
      </c>
      <c r="D52" s="37">
        <f t="shared" si="1"/>
        <v>3000</v>
      </c>
      <c r="E52" s="38">
        <f t="shared" si="2"/>
        <v>216000</v>
      </c>
      <c r="F52" s="38">
        <f t="shared" si="3"/>
        <v>219000</v>
      </c>
      <c r="G52" s="45" t="s">
        <v>12</v>
      </c>
      <c r="H52" s="46" t="s">
        <v>13</v>
      </c>
      <c r="I52" s="47" t="str">
        <f t="shared" si="4"/>
        <v>51
00:03:36,000 --&gt; 00:03:39,000
海海海海路好行
Hái-hái hái-hái lōo hó-kiânn</v>
      </c>
    </row>
    <row r="53" spans="1:12" ht="60">
      <c r="A53" s="35">
        <v>52</v>
      </c>
      <c r="B53" s="36" t="s">
        <v>104</v>
      </c>
      <c r="C53" s="48" t="str">
        <f t="shared" si="0"/>
        <v>00:03:41,000</v>
      </c>
      <c r="D53" s="37">
        <f t="shared" si="1"/>
        <v>2000</v>
      </c>
      <c r="E53" s="38">
        <f t="shared" si="2"/>
        <v>219000</v>
      </c>
      <c r="F53" s="38">
        <f t="shared" si="3"/>
        <v>221000</v>
      </c>
      <c r="G53" s="45" t="s">
        <v>15</v>
      </c>
      <c r="H53" s="46" t="s">
        <v>154</v>
      </c>
      <c r="I53" s="47" t="str">
        <f t="shared" si="4"/>
        <v>52
00:03:39,000 --&gt; 00:03:41,000
毋通越頭望
M̄-thang ua̍t-thâu bāng</v>
      </c>
    </row>
    <row r="54" spans="1:12" ht="60">
      <c r="A54" s="35">
        <v>53</v>
      </c>
      <c r="B54" s="36" t="s">
        <v>105</v>
      </c>
      <c r="C54" s="48" t="str">
        <f t="shared" si="0"/>
        <v>00:03:45,000</v>
      </c>
      <c r="D54" s="37">
        <f t="shared" si="1"/>
        <v>4000</v>
      </c>
      <c r="E54" s="38">
        <f t="shared" si="2"/>
        <v>221000</v>
      </c>
      <c r="F54" s="38">
        <f t="shared" si="3"/>
        <v>225000</v>
      </c>
      <c r="G54" s="45" t="s">
        <v>16</v>
      </c>
      <c r="H54" s="46" t="s">
        <v>17</v>
      </c>
      <c r="I54" s="47" t="str">
        <f t="shared" si="4"/>
        <v>53
00:03:41,000 --&gt; 00:03:45,000
望著會茫
Bāng-tio̍h ē bâng</v>
      </c>
    </row>
    <row r="55" spans="1:12" ht="60">
      <c r="A55" s="35">
        <v>54</v>
      </c>
      <c r="B55" s="36" t="s">
        <v>106</v>
      </c>
      <c r="C55" s="48" t="str">
        <f t="shared" si="0"/>
        <v>00:03:47,000</v>
      </c>
      <c r="D55" s="37">
        <f t="shared" si="1"/>
        <v>2000</v>
      </c>
      <c r="E55" s="38">
        <f t="shared" si="2"/>
        <v>225000</v>
      </c>
      <c r="F55" s="38">
        <f t="shared" si="3"/>
        <v>227000</v>
      </c>
      <c r="G55" s="45" t="s">
        <v>18</v>
      </c>
      <c r="H55" s="46" t="s">
        <v>19</v>
      </c>
      <c r="I55" s="47" t="str">
        <f t="shared" si="4"/>
        <v>54
00:03:45,000 --&gt; 00:03:47,000
有人愛著阮
Ū lâng ài-tio̍h gún</v>
      </c>
    </row>
    <row r="56" spans="1:12" ht="60">
      <c r="A56" s="35">
        <v>55</v>
      </c>
      <c r="B56" s="36" t="s">
        <v>107</v>
      </c>
      <c r="C56" s="48" t="str">
        <f t="shared" si="0"/>
        <v>00:03:50,000</v>
      </c>
      <c r="D56" s="37">
        <f t="shared" si="1"/>
        <v>3000</v>
      </c>
      <c r="E56" s="38">
        <f t="shared" si="2"/>
        <v>227000</v>
      </c>
      <c r="F56" s="38">
        <f t="shared" si="3"/>
        <v>230000</v>
      </c>
      <c r="G56" s="45" t="s">
        <v>20</v>
      </c>
      <c r="H56" s="46" t="s">
        <v>21</v>
      </c>
      <c r="I56" s="47" t="str">
        <f t="shared" si="4"/>
        <v>55
00:03:47,000 --&gt; 00:03:50,000
偏偏阮愛的是別人
Phian-phian gún ài--ê sī pa̍t-lâng</v>
      </c>
    </row>
    <row r="57" spans="1:12" ht="60">
      <c r="A57" s="35">
        <v>56</v>
      </c>
      <c r="B57" s="36" t="s">
        <v>108</v>
      </c>
      <c r="C57" s="48" t="str">
        <f t="shared" si="0"/>
        <v>00:03:51,000</v>
      </c>
      <c r="D57" s="37">
        <f t="shared" si="1"/>
        <v>1000</v>
      </c>
      <c r="E57" s="38">
        <f t="shared" si="2"/>
        <v>230000</v>
      </c>
      <c r="F57" s="38">
        <f t="shared" si="3"/>
        <v>231000</v>
      </c>
      <c r="G57" s="45" t="s">
        <v>22</v>
      </c>
      <c r="H57" s="46" t="s">
        <v>155</v>
      </c>
      <c r="I57" s="47" t="str">
        <f t="shared" si="4"/>
        <v>56
00:03:50,000 --&gt; 00:03:51,000
這情債
Tsé tsîng-tsè</v>
      </c>
    </row>
    <row r="58" spans="1:12" ht="60">
      <c r="A58" s="35">
        <v>57</v>
      </c>
      <c r="B58" s="36" t="s">
        <v>110</v>
      </c>
      <c r="C58" s="48" t="str">
        <f t="shared" si="0"/>
        <v>00:03:56,000</v>
      </c>
      <c r="D58" s="37">
        <f t="shared" si="1"/>
        <v>5000</v>
      </c>
      <c r="E58" s="38">
        <f t="shared" si="2"/>
        <v>231000</v>
      </c>
      <c r="F58" s="38">
        <f t="shared" si="3"/>
        <v>236000</v>
      </c>
      <c r="G58" s="45" t="s">
        <v>23</v>
      </c>
      <c r="H58" s="46" t="s">
        <v>24</v>
      </c>
      <c r="I58" s="47" t="str">
        <f t="shared" si="4"/>
        <v>57
00:03:51,000 --&gt; 00:03:56,000
怎樣計較輸贏
Tsuánn-iūnn kè-kàu su-iânn</v>
      </c>
    </row>
    <row r="59" spans="1:12" ht="60">
      <c r="A59" s="35">
        <v>58</v>
      </c>
      <c r="B59" s="36" t="s">
        <v>44</v>
      </c>
      <c r="C59" s="48" t="str">
        <f t="shared" si="0"/>
        <v>00:03:57,000</v>
      </c>
      <c r="D59" s="37">
        <f t="shared" si="1"/>
        <v>1000</v>
      </c>
      <c r="E59" s="38">
        <f t="shared" si="2"/>
        <v>236000</v>
      </c>
      <c r="F59" s="38">
        <f t="shared" si="3"/>
        <v>237000</v>
      </c>
      <c r="G59" s="45" t="s">
        <v>22</v>
      </c>
      <c r="H59" s="46" t="s">
        <v>155</v>
      </c>
      <c r="I59" s="47" t="str">
        <f t="shared" si="4"/>
        <v>58
00:03:56,000 --&gt; 00:03:57,000
這情債
Tsé tsîng-tsè</v>
      </c>
    </row>
    <row r="60" spans="1:12" ht="60">
      <c r="A60" s="35">
        <v>59</v>
      </c>
      <c r="B60" s="36" t="s">
        <v>111</v>
      </c>
      <c r="C60" s="48" t="str">
        <f t="shared" si="0"/>
        <v>00:04:01,000</v>
      </c>
      <c r="D60" s="37">
        <f t="shared" si="1"/>
        <v>4000</v>
      </c>
      <c r="E60" s="38">
        <f t="shared" si="2"/>
        <v>237000</v>
      </c>
      <c r="F60" s="38">
        <f t="shared" si="3"/>
        <v>241000</v>
      </c>
      <c r="G60" s="45" t="s">
        <v>23</v>
      </c>
      <c r="H60" s="46" t="s">
        <v>24</v>
      </c>
      <c r="I60" s="47" t="str">
        <f t="shared" si="4"/>
        <v>59
00:03:57,000 --&gt; 00:04:01,000
怎樣計較輸贏
Tsuánn-iūnn kè-kàu su-iânn</v>
      </c>
    </row>
    <row r="61" spans="1:12" ht="60">
      <c r="A61" s="35">
        <v>60</v>
      </c>
      <c r="B61" s="36" t="s">
        <v>112</v>
      </c>
      <c r="C61" s="48" t="str">
        <f t="shared" si="0"/>
        <v>00:04:03,000</v>
      </c>
      <c r="D61" s="37">
        <f t="shared" si="1"/>
        <v>2000</v>
      </c>
      <c r="E61" s="38">
        <f t="shared" si="2"/>
        <v>241000</v>
      </c>
      <c r="F61" s="38">
        <f t="shared" si="3"/>
        <v>243000</v>
      </c>
      <c r="G61" s="45" t="s">
        <v>22</v>
      </c>
      <c r="H61" s="46" t="s">
        <v>155</v>
      </c>
      <c r="I61" s="47" t="str">
        <f t="shared" si="4"/>
        <v>60
00:04:01,000 --&gt; 00:04:03,000
這情債
Tsé tsîng-tsè</v>
      </c>
    </row>
    <row r="62" spans="1:12" ht="60">
      <c r="A62" s="35">
        <v>61</v>
      </c>
      <c r="B62" s="36" t="s">
        <v>109</v>
      </c>
      <c r="C62" s="48" t="str">
        <f t="shared" si="0"/>
        <v>00:04:14,000</v>
      </c>
      <c r="D62" s="37">
        <f t="shared" si="1"/>
        <v>11000</v>
      </c>
      <c r="E62" s="38">
        <f t="shared" si="2"/>
        <v>243000</v>
      </c>
      <c r="F62" s="38">
        <f t="shared" si="3"/>
        <v>254000</v>
      </c>
      <c r="G62" s="45" t="s">
        <v>23</v>
      </c>
      <c r="H62" s="46" t="s">
        <v>24</v>
      </c>
      <c r="I62" s="47" t="str">
        <f t="shared" si="4"/>
        <v>61
00:04:03,000 --&gt; 00:04:14,000
怎樣計較輸贏
Tsuánn-iūnn kè-kàu su-iânn</v>
      </c>
    </row>
    <row r="63" spans="1:12">
      <c r="A63" s="31" t="s">
        <v>51</v>
      </c>
      <c r="B63" s="32" t="s">
        <v>113</v>
      </c>
      <c r="G63" s="3"/>
      <c r="H63" s="3"/>
      <c r="J63" s="3"/>
      <c r="K63" s="3"/>
      <c r="L63" s="3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E413E-FC1C-4248-9949-7ECBFDD584E5}">
  <dimension ref="A1:R65"/>
  <sheetViews>
    <sheetView tabSelected="1" workbookViewId="0">
      <selection activeCell="W7" sqref="W7"/>
    </sheetView>
  </sheetViews>
  <sheetFormatPr defaultRowHeight="25.5" outlineLevelCol="1"/>
  <cols>
    <col min="1" max="1" width="7" style="3" customWidth="1"/>
    <col min="2" max="2" width="14" style="12" customWidth="1"/>
    <col min="3" max="3" width="14" style="3" customWidth="1"/>
    <col min="4" max="4" width="11.375" style="3" customWidth="1"/>
    <col min="5" max="5" width="10.625" style="3" customWidth="1"/>
    <col min="6" max="6" width="10.875" style="3" hidden="1" customWidth="1" outlineLevel="1"/>
    <col min="7" max="7" width="12.125" style="3" hidden="1" customWidth="1" outlineLevel="1"/>
    <col min="8" max="11" width="14" style="3" hidden="1" customWidth="1" outlineLevel="1"/>
    <col min="12" max="12" width="12.875" style="3" hidden="1" customWidth="1" outlineLevel="1"/>
    <col min="13" max="16" width="14" style="3" hidden="1" customWidth="1" outlineLevel="1"/>
    <col min="17" max="17" width="49.625" style="40" customWidth="1" collapsed="1"/>
    <col min="18" max="18" width="71.625" style="40" customWidth="1"/>
  </cols>
  <sheetData>
    <row r="1" spans="1:18" ht="24">
      <c r="B1" s="3"/>
      <c r="F1" s="19" t="s">
        <v>114</v>
      </c>
      <c r="G1" s="19"/>
      <c r="H1" s="19"/>
      <c r="I1" s="19"/>
      <c r="J1" s="19"/>
      <c r="K1" s="19"/>
      <c r="L1" s="13"/>
      <c r="M1" s="13"/>
      <c r="N1" s="13" t="s">
        <v>115</v>
      </c>
      <c r="O1" s="13"/>
      <c r="P1" s="13"/>
      <c r="Q1" s="39"/>
      <c r="R1" s="39"/>
    </row>
    <row r="2" spans="1:18" ht="9" customHeight="1"/>
    <row r="3" spans="1:18" ht="45">
      <c r="A3" s="1" t="s">
        <v>0</v>
      </c>
      <c r="B3" s="1" t="s">
        <v>116</v>
      </c>
      <c r="C3" s="1" t="s">
        <v>129</v>
      </c>
      <c r="D3" s="15" t="s">
        <v>131</v>
      </c>
      <c r="E3" s="15" t="s">
        <v>128</v>
      </c>
      <c r="F3" s="14" t="s">
        <v>126</v>
      </c>
      <c r="G3" s="14" t="s">
        <v>127</v>
      </c>
      <c r="H3" s="14" t="s">
        <v>119</v>
      </c>
      <c r="I3" s="14" t="s">
        <v>121</v>
      </c>
      <c r="J3" s="14" t="s">
        <v>123</v>
      </c>
      <c r="K3" s="14" t="s">
        <v>125</v>
      </c>
      <c r="L3" s="16" t="s">
        <v>130</v>
      </c>
      <c r="M3" s="13" t="s">
        <v>118</v>
      </c>
      <c r="N3" s="13" t="s">
        <v>120</v>
      </c>
      <c r="O3" s="13" t="s">
        <v>122</v>
      </c>
      <c r="P3" s="13" t="s">
        <v>124</v>
      </c>
      <c r="Q3" s="41" t="s">
        <v>1</v>
      </c>
      <c r="R3" s="41" t="s">
        <v>2</v>
      </c>
    </row>
    <row r="4" spans="1:18" ht="34.5">
      <c r="A4" s="2">
        <v>1</v>
      </c>
      <c r="B4" s="22" t="s">
        <v>117</v>
      </c>
      <c r="C4" s="24" t="str">
        <f xml:space="preserve"> M4 &amp; ":" &amp; N4 &amp; ":" &amp; O4 &amp; "," &amp; P4</f>
        <v>00:00:20,000</v>
      </c>
      <c r="D4" s="25">
        <v>20</v>
      </c>
      <c r="E4" s="25">
        <v>25</v>
      </c>
      <c r="F4" s="26">
        <f xml:space="preserve"> (LEFT($B4,2)*3600 + MID($B4,4,2)*60 + MID($B4,7,2))*1000 + RIGHT($B4,3)</f>
        <v>0</v>
      </c>
      <c r="G4" s="27">
        <f t="shared" ref="G4:G65" si="0">F4+(E4*1000)</f>
        <v>25000</v>
      </c>
      <c r="H4" s="28" t="str">
        <f>TEXT(QUOTIENT(G4,3600000),"00")</f>
        <v>00</v>
      </c>
      <c r="I4" s="28" t="str">
        <f>TEXT(QUOTIENT(MOD(G4,3600000),60000),"00")</f>
        <v>00</v>
      </c>
      <c r="J4" s="28" t="str">
        <f>TEXT(QUOTIENT(MOD(G4,60000),1000),"00")</f>
        <v>25</v>
      </c>
      <c r="K4" s="28" t="str">
        <f>TEXT(MOD(G4,1000),"000")</f>
        <v>000</v>
      </c>
      <c r="L4" s="18">
        <f>F4+(D4*1000)</f>
        <v>20000</v>
      </c>
      <c r="M4" s="18" t="str">
        <f>TEXT(QUOTIENT(L4,3600000),"00")</f>
        <v>00</v>
      </c>
      <c r="N4" s="18" t="str">
        <f>TEXT(QUOTIENT(MOD(L4,3600000),60000),"00")</f>
        <v>00</v>
      </c>
      <c r="O4" s="18" t="str">
        <f>TEXT(QUOTIENT(MOD(L4,60000),1000),"00")</f>
        <v>20</v>
      </c>
      <c r="P4" s="18" t="str">
        <f>TEXT(MOD(L4,1000),"000")</f>
        <v>000</v>
      </c>
      <c r="Q4" s="42" t="s">
        <v>5</v>
      </c>
      <c r="R4" s="44" t="s">
        <v>160</v>
      </c>
    </row>
    <row r="5" spans="1:18" ht="34.5">
      <c r="A5" s="2">
        <v>2</v>
      </c>
      <c r="B5" s="23" t="str">
        <f xml:space="preserve"> H4 &amp; ":" &amp; I4 &amp; ":" &amp; J4 &amp; "," &amp; K4</f>
        <v>00:00:25,000</v>
      </c>
      <c r="C5" s="24" t="str">
        <f t="shared" ref="C5:C65" si="1" xml:space="preserve"> M5 &amp; ":" &amp; N5 &amp; ":" &amp; O5 &amp; "," &amp; P5</f>
        <v>00:00:27,000</v>
      </c>
      <c r="D5" s="17">
        <v>2</v>
      </c>
      <c r="E5" s="17">
        <v>5</v>
      </c>
      <c r="F5" s="26">
        <f t="shared" ref="F5:F65" si="2" xml:space="preserve"> (LEFT($B5,2)*3600 + MID($B5,4,2)*60 + MID($B5,7,2))*1000 + RIGHT($B5,3)</f>
        <v>25000</v>
      </c>
      <c r="G5" s="27">
        <f t="shared" si="0"/>
        <v>30000</v>
      </c>
      <c r="H5" s="28" t="str">
        <f t="shared" ref="H5:H65" si="3">TEXT(QUOTIENT(G5,3600000),"00")</f>
        <v>00</v>
      </c>
      <c r="I5" s="28" t="str">
        <f t="shared" ref="I5:I65" si="4">TEXT(QUOTIENT(MOD(G5,3600000),60000),"00")</f>
        <v>00</v>
      </c>
      <c r="J5" s="28" t="str">
        <f t="shared" ref="J5:J65" si="5">TEXT(QUOTIENT(MOD(G5,60000),1000),"00")</f>
        <v>30</v>
      </c>
      <c r="K5" s="28" t="str">
        <f t="shared" ref="K5:K65" si="6">TEXT(MOD(G5,1000),"000")</f>
        <v>000</v>
      </c>
      <c r="L5" s="18">
        <f t="shared" ref="L5:L65" si="7">F5+(D5*1000)</f>
        <v>27000</v>
      </c>
      <c r="M5" s="18" t="str">
        <f t="shared" ref="M5:M65" si="8">TEXT(QUOTIENT(L5,3600000),"00")</f>
        <v>00</v>
      </c>
      <c r="N5" s="18" t="str">
        <f t="shared" ref="N5:N65" si="9">TEXT(QUOTIENT(MOD(L5,3600000),60000),"00")</f>
        <v>00</v>
      </c>
      <c r="O5" s="18" t="str">
        <f t="shared" ref="O5:O65" si="10">TEXT(QUOTIENT(MOD(L5,60000),1000),"00")</f>
        <v>27</v>
      </c>
      <c r="P5" s="18" t="str">
        <f t="shared" ref="P5:P65" si="11">TEXT(MOD(L5,1000),"000")</f>
        <v>000</v>
      </c>
      <c r="Q5" s="42" t="s">
        <v>52</v>
      </c>
      <c r="R5" s="44" t="s">
        <v>162</v>
      </c>
    </row>
    <row r="6" spans="1:18" ht="34.5">
      <c r="A6" s="2">
        <v>3</v>
      </c>
      <c r="B6" s="23" t="str">
        <f t="shared" ref="B6:B65" si="12" xml:space="preserve"> H5 &amp; ":" &amp; I5 &amp; ":" &amp; J5 &amp; "," &amp; K5</f>
        <v>00:00:30,000</v>
      </c>
      <c r="C6" s="24" t="str">
        <f t="shared" si="1"/>
        <v>00:00:32,000</v>
      </c>
      <c r="D6" s="17">
        <v>2</v>
      </c>
      <c r="E6" s="17">
        <v>5</v>
      </c>
      <c r="F6" s="26">
        <f t="shared" si="2"/>
        <v>30000</v>
      </c>
      <c r="G6" s="27">
        <f t="shared" si="0"/>
        <v>35000</v>
      </c>
      <c r="H6" s="28" t="str">
        <f t="shared" si="3"/>
        <v>00</v>
      </c>
      <c r="I6" s="28" t="str">
        <f t="shared" si="4"/>
        <v>00</v>
      </c>
      <c r="J6" s="28" t="str">
        <f t="shared" si="5"/>
        <v>35</v>
      </c>
      <c r="K6" s="28" t="str">
        <f t="shared" si="6"/>
        <v>000</v>
      </c>
      <c r="L6" s="18">
        <f t="shared" si="7"/>
        <v>32000</v>
      </c>
      <c r="M6" s="18" t="str">
        <f t="shared" si="8"/>
        <v>00</v>
      </c>
      <c r="N6" s="18" t="str">
        <f t="shared" si="9"/>
        <v>00</v>
      </c>
      <c r="O6" s="18" t="str">
        <f t="shared" si="10"/>
        <v>32</v>
      </c>
      <c r="P6" s="18" t="str">
        <f t="shared" si="11"/>
        <v>000</v>
      </c>
      <c r="Q6" s="42" t="s">
        <v>53</v>
      </c>
      <c r="R6" s="44" t="s">
        <v>164</v>
      </c>
    </row>
    <row r="7" spans="1:18" ht="34.5">
      <c r="A7" s="2">
        <v>4</v>
      </c>
      <c r="B7" s="23" t="str">
        <f t="shared" si="12"/>
        <v>00:00:35,000</v>
      </c>
      <c r="C7" s="24" t="str">
        <f t="shared" si="1"/>
        <v>00:00:37,000</v>
      </c>
      <c r="D7" s="17">
        <v>2</v>
      </c>
      <c r="E7" s="17">
        <v>5</v>
      </c>
      <c r="F7" s="26">
        <f t="shared" si="2"/>
        <v>35000</v>
      </c>
      <c r="G7" s="27">
        <f t="shared" si="0"/>
        <v>40000</v>
      </c>
      <c r="H7" s="28" t="str">
        <f t="shared" si="3"/>
        <v>00</v>
      </c>
      <c r="I7" s="28" t="str">
        <f t="shared" si="4"/>
        <v>00</v>
      </c>
      <c r="J7" s="28" t="str">
        <f t="shared" si="5"/>
        <v>40</v>
      </c>
      <c r="K7" s="28" t="str">
        <f t="shared" si="6"/>
        <v>000</v>
      </c>
      <c r="L7" s="18">
        <f t="shared" si="7"/>
        <v>37000</v>
      </c>
      <c r="M7" s="18" t="str">
        <f t="shared" si="8"/>
        <v>00</v>
      </c>
      <c r="N7" s="18" t="str">
        <f t="shared" si="9"/>
        <v>00</v>
      </c>
      <c r="O7" s="18" t="str">
        <f t="shared" si="10"/>
        <v>37</v>
      </c>
      <c r="P7" s="18" t="str">
        <f t="shared" si="11"/>
        <v>000</v>
      </c>
      <c r="Q7" s="42" t="s">
        <v>137</v>
      </c>
      <c r="R7" s="44" t="s">
        <v>166</v>
      </c>
    </row>
    <row r="8" spans="1:18" ht="34.5">
      <c r="A8" s="2">
        <v>5</v>
      </c>
      <c r="B8" s="23" t="str">
        <f t="shared" si="12"/>
        <v>00:00:40,000</v>
      </c>
      <c r="C8" s="24" t="str">
        <f t="shared" si="1"/>
        <v>00:00:42,000</v>
      </c>
      <c r="D8" s="17">
        <v>2</v>
      </c>
      <c r="E8" s="17">
        <v>5</v>
      </c>
      <c r="F8" s="26">
        <f t="shared" si="2"/>
        <v>40000</v>
      </c>
      <c r="G8" s="27">
        <f t="shared" si="0"/>
        <v>45000</v>
      </c>
      <c r="H8" s="28" t="str">
        <f t="shared" si="3"/>
        <v>00</v>
      </c>
      <c r="I8" s="28" t="str">
        <f t="shared" si="4"/>
        <v>00</v>
      </c>
      <c r="J8" s="28" t="str">
        <f t="shared" si="5"/>
        <v>45</v>
      </c>
      <c r="K8" s="28" t="str">
        <f t="shared" si="6"/>
        <v>000</v>
      </c>
      <c r="L8" s="18">
        <f t="shared" si="7"/>
        <v>42000</v>
      </c>
      <c r="M8" s="18" t="str">
        <f t="shared" si="8"/>
        <v>00</v>
      </c>
      <c r="N8" s="18" t="str">
        <f t="shared" si="9"/>
        <v>00</v>
      </c>
      <c r="O8" s="18" t="str">
        <f t="shared" si="10"/>
        <v>42</v>
      </c>
      <c r="P8" s="18" t="str">
        <f t="shared" si="11"/>
        <v>000</v>
      </c>
      <c r="Q8" s="42" t="s">
        <v>6</v>
      </c>
      <c r="R8" s="44" t="s">
        <v>168</v>
      </c>
    </row>
    <row r="9" spans="1:18" ht="34.5">
      <c r="A9" s="2">
        <v>6</v>
      </c>
      <c r="B9" s="23" t="str">
        <f t="shared" si="12"/>
        <v>00:00:45,000</v>
      </c>
      <c r="C9" s="24" t="str">
        <f t="shared" si="1"/>
        <v>00:00:47,000</v>
      </c>
      <c r="D9" s="17">
        <v>2</v>
      </c>
      <c r="E9" s="17">
        <v>5</v>
      </c>
      <c r="F9" s="26">
        <f t="shared" si="2"/>
        <v>45000</v>
      </c>
      <c r="G9" s="27">
        <f t="shared" si="0"/>
        <v>50000</v>
      </c>
      <c r="H9" s="28" t="str">
        <f t="shared" si="3"/>
        <v>00</v>
      </c>
      <c r="I9" s="28" t="str">
        <f t="shared" si="4"/>
        <v>00</v>
      </c>
      <c r="J9" s="28" t="str">
        <f t="shared" si="5"/>
        <v>50</v>
      </c>
      <c r="K9" s="28" t="str">
        <f t="shared" si="6"/>
        <v>000</v>
      </c>
      <c r="L9" s="18">
        <f t="shared" si="7"/>
        <v>47000</v>
      </c>
      <c r="M9" s="18" t="str">
        <f t="shared" si="8"/>
        <v>00</v>
      </c>
      <c r="N9" s="18" t="str">
        <f t="shared" si="9"/>
        <v>00</v>
      </c>
      <c r="O9" s="18" t="str">
        <f t="shared" si="10"/>
        <v>47</v>
      </c>
      <c r="P9" s="18" t="str">
        <f t="shared" si="11"/>
        <v>000</v>
      </c>
      <c r="Q9" s="42" t="s">
        <v>7</v>
      </c>
      <c r="R9" s="44" t="s">
        <v>170</v>
      </c>
    </row>
    <row r="10" spans="1:18" ht="34.5">
      <c r="A10" s="2">
        <v>7</v>
      </c>
      <c r="B10" s="23" t="str">
        <f t="shared" si="12"/>
        <v>00:00:50,000</v>
      </c>
      <c r="C10" s="24" t="str">
        <f t="shared" si="1"/>
        <v>00:00:52,000</v>
      </c>
      <c r="D10" s="17">
        <v>2</v>
      </c>
      <c r="E10" s="17">
        <v>5</v>
      </c>
      <c r="F10" s="26">
        <f t="shared" si="2"/>
        <v>50000</v>
      </c>
      <c r="G10" s="27">
        <f t="shared" si="0"/>
        <v>55000</v>
      </c>
      <c r="H10" s="28" t="str">
        <f t="shared" si="3"/>
        <v>00</v>
      </c>
      <c r="I10" s="28" t="str">
        <f t="shared" si="4"/>
        <v>00</v>
      </c>
      <c r="J10" s="28" t="str">
        <f t="shared" si="5"/>
        <v>55</v>
      </c>
      <c r="K10" s="28" t="str">
        <f t="shared" si="6"/>
        <v>000</v>
      </c>
      <c r="L10" s="18">
        <f t="shared" si="7"/>
        <v>52000</v>
      </c>
      <c r="M10" s="18" t="str">
        <f t="shared" si="8"/>
        <v>00</v>
      </c>
      <c r="N10" s="18" t="str">
        <f t="shared" si="9"/>
        <v>00</v>
      </c>
      <c r="O10" s="18" t="str">
        <f t="shared" si="10"/>
        <v>52</v>
      </c>
      <c r="P10" s="18" t="str">
        <f t="shared" si="11"/>
        <v>000</v>
      </c>
      <c r="Q10" s="42" t="s">
        <v>8</v>
      </c>
      <c r="R10" s="44" t="s">
        <v>172</v>
      </c>
    </row>
    <row r="11" spans="1:18" ht="34.5">
      <c r="A11" s="2">
        <v>8</v>
      </c>
      <c r="B11" s="23" t="str">
        <f t="shared" si="12"/>
        <v>00:00:55,000</v>
      </c>
      <c r="C11" s="24" t="str">
        <f t="shared" si="1"/>
        <v>00:00:57,000</v>
      </c>
      <c r="D11" s="17">
        <v>2</v>
      </c>
      <c r="E11" s="17">
        <v>5</v>
      </c>
      <c r="F11" s="26">
        <f t="shared" si="2"/>
        <v>55000</v>
      </c>
      <c r="G11" s="27">
        <f t="shared" si="0"/>
        <v>60000</v>
      </c>
      <c r="H11" s="28" t="str">
        <f t="shared" si="3"/>
        <v>00</v>
      </c>
      <c r="I11" s="28" t="str">
        <f t="shared" si="4"/>
        <v>01</v>
      </c>
      <c r="J11" s="28" t="str">
        <f t="shared" si="5"/>
        <v>00</v>
      </c>
      <c r="K11" s="28" t="str">
        <f t="shared" si="6"/>
        <v>000</v>
      </c>
      <c r="L11" s="18">
        <f t="shared" si="7"/>
        <v>57000</v>
      </c>
      <c r="M11" s="18" t="str">
        <f t="shared" si="8"/>
        <v>00</v>
      </c>
      <c r="N11" s="18" t="str">
        <f t="shared" si="9"/>
        <v>00</v>
      </c>
      <c r="O11" s="18" t="str">
        <f t="shared" si="10"/>
        <v>57</v>
      </c>
      <c r="P11" s="18" t="str">
        <f t="shared" si="11"/>
        <v>000</v>
      </c>
      <c r="Q11" s="42" t="s">
        <v>9</v>
      </c>
      <c r="R11" s="44" t="s">
        <v>174</v>
      </c>
    </row>
    <row r="12" spans="1:18" ht="34.5">
      <c r="A12" s="2">
        <v>9</v>
      </c>
      <c r="B12" s="23" t="str">
        <f t="shared" si="12"/>
        <v>00:01:00,000</v>
      </c>
      <c r="C12" s="24" t="str">
        <f t="shared" si="1"/>
        <v>00:01:02,000</v>
      </c>
      <c r="D12" s="17">
        <v>2</v>
      </c>
      <c r="E12" s="17">
        <v>5</v>
      </c>
      <c r="F12" s="26">
        <f t="shared" si="2"/>
        <v>60000</v>
      </c>
      <c r="G12" s="27">
        <f t="shared" si="0"/>
        <v>65000</v>
      </c>
      <c r="H12" s="28" t="str">
        <f t="shared" si="3"/>
        <v>00</v>
      </c>
      <c r="I12" s="28" t="str">
        <f t="shared" si="4"/>
        <v>01</v>
      </c>
      <c r="J12" s="28" t="str">
        <f t="shared" si="5"/>
        <v>05</v>
      </c>
      <c r="K12" s="28" t="str">
        <f t="shared" si="6"/>
        <v>000</v>
      </c>
      <c r="L12" s="18">
        <f t="shared" si="7"/>
        <v>62000</v>
      </c>
      <c r="M12" s="18" t="str">
        <f t="shared" si="8"/>
        <v>00</v>
      </c>
      <c r="N12" s="18" t="str">
        <f t="shared" si="9"/>
        <v>01</v>
      </c>
      <c r="O12" s="18" t="str">
        <f t="shared" si="10"/>
        <v>02</v>
      </c>
      <c r="P12" s="18" t="str">
        <f t="shared" si="11"/>
        <v>000</v>
      </c>
      <c r="Q12" s="42" t="s">
        <v>10</v>
      </c>
      <c r="R12" s="44" t="s">
        <v>176</v>
      </c>
    </row>
    <row r="13" spans="1:18" ht="34.5">
      <c r="A13" s="2">
        <v>10</v>
      </c>
      <c r="B13" s="23" t="str">
        <f t="shared" si="12"/>
        <v>00:01:05,000</v>
      </c>
      <c r="C13" s="24" t="str">
        <f t="shared" si="1"/>
        <v>00:01:07,000</v>
      </c>
      <c r="D13" s="17">
        <v>2</v>
      </c>
      <c r="E13" s="17">
        <v>5</v>
      </c>
      <c r="F13" s="26">
        <f t="shared" si="2"/>
        <v>65000</v>
      </c>
      <c r="G13" s="27">
        <f t="shared" si="0"/>
        <v>70000</v>
      </c>
      <c r="H13" s="28" t="str">
        <f t="shared" si="3"/>
        <v>00</v>
      </c>
      <c r="I13" s="28" t="str">
        <f t="shared" si="4"/>
        <v>01</v>
      </c>
      <c r="J13" s="28" t="str">
        <f t="shared" si="5"/>
        <v>10</v>
      </c>
      <c r="K13" s="28" t="str">
        <f t="shared" si="6"/>
        <v>000</v>
      </c>
      <c r="L13" s="18">
        <f t="shared" si="7"/>
        <v>67000</v>
      </c>
      <c r="M13" s="18" t="str">
        <f t="shared" si="8"/>
        <v>00</v>
      </c>
      <c r="N13" s="18" t="str">
        <f t="shared" si="9"/>
        <v>01</v>
      </c>
      <c r="O13" s="18" t="str">
        <f t="shared" si="10"/>
        <v>07</v>
      </c>
      <c r="P13" s="18" t="str">
        <f t="shared" si="11"/>
        <v>000</v>
      </c>
      <c r="Q13" s="42" t="s">
        <v>11</v>
      </c>
      <c r="R13" s="44" t="s">
        <v>178</v>
      </c>
    </row>
    <row r="14" spans="1:18" ht="34.5">
      <c r="A14" s="2">
        <v>11</v>
      </c>
      <c r="B14" s="23" t="str">
        <f t="shared" si="12"/>
        <v>00:01:10,000</v>
      </c>
      <c r="C14" s="24" t="str">
        <f t="shared" si="1"/>
        <v>00:01:12,000</v>
      </c>
      <c r="D14" s="17">
        <v>2</v>
      </c>
      <c r="E14" s="17">
        <v>5</v>
      </c>
      <c r="F14" s="26">
        <f t="shared" si="2"/>
        <v>70000</v>
      </c>
      <c r="G14" s="27">
        <f t="shared" si="0"/>
        <v>75000</v>
      </c>
      <c r="H14" s="28" t="str">
        <f t="shared" si="3"/>
        <v>00</v>
      </c>
      <c r="I14" s="28" t="str">
        <f t="shared" si="4"/>
        <v>01</v>
      </c>
      <c r="J14" s="28" t="str">
        <f t="shared" si="5"/>
        <v>15</v>
      </c>
      <c r="K14" s="28" t="str">
        <f t="shared" si="6"/>
        <v>000</v>
      </c>
      <c r="L14" s="18">
        <f t="shared" si="7"/>
        <v>72000</v>
      </c>
      <c r="M14" s="18" t="str">
        <f t="shared" si="8"/>
        <v>00</v>
      </c>
      <c r="N14" s="18" t="str">
        <f t="shared" si="9"/>
        <v>01</v>
      </c>
      <c r="O14" s="18" t="str">
        <f t="shared" si="10"/>
        <v>12</v>
      </c>
      <c r="P14" s="18" t="str">
        <f t="shared" si="11"/>
        <v>000</v>
      </c>
      <c r="Q14" s="42" t="s">
        <v>12</v>
      </c>
      <c r="R14" s="44" t="s">
        <v>180</v>
      </c>
    </row>
    <row r="15" spans="1:18" ht="34.5">
      <c r="A15" s="2">
        <v>12</v>
      </c>
      <c r="B15" s="23" t="str">
        <f t="shared" si="12"/>
        <v>00:01:15,000</v>
      </c>
      <c r="C15" s="24" t="str">
        <f t="shared" si="1"/>
        <v>00:01:17,000</v>
      </c>
      <c r="D15" s="17">
        <v>2</v>
      </c>
      <c r="E15" s="17">
        <v>5</v>
      </c>
      <c r="F15" s="26">
        <f t="shared" si="2"/>
        <v>75000</v>
      </c>
      <c r="G15" s="27">
        <f t="shared" si="0"/>
        <v>80000</v>
      </c>
      <c r="H15" s="28" t="str">
        <f t="shared" si="3"/>
        <v>00</v>
      </c>
      <c r="I15" s="28" t="str">
        <f t="shared" si="4"/>
        <v>01</v>
      </c>
      <c r="J15" s="28" t="str">
        <f t="shared" si="5"/>
        <v>20</v>
      </c>
      <c r="K15" s="28" t="str">
        <f t="shared" si="6"/>
        <v>000</v>
      </c>
      <c r="L15" s="18">
        <f t="shared" si="7"/>
        <v>77000</v>
      </c>
      <c r="M15" s="18" t="str">
        <f t="shared" si="8"/>
        <v>00</v>
      </c>
      <c r="N15" s="18" t="str">
        <f t="shared" si="9"/>
        <v>01</v>
      </c>
      <c r="O15" s="18" t="str">
        <f t="shared" si="10"/>
        <v>17</v>
      </c>
      <c r="P15" s="18" t="str">
        <f t="shared" si="11"/>
        <v>000</v>
      </c>
      <c r="Q15" s="42" t="s">
        <v>15</v>
      </c>
      <c r="R15" s="44" t="s">
        <v>182</v>
      </c>
    </row>
    <row r="16" spans="1:18" ht="34.5">
      <c r="A16" s="2">
        <v>13</v>
      </c>
      <c r="B16" s="23" t="str">
        <f t="shared" si="12"/>
        <v>00:01:20,000</v>
      </c>
      <c r="C16" s="24" t="str">
        <f t="shared" si="1"/>
        <v>00:01:22,000</v>
      </c>
      <c r="D16" s="17">
        <v>2</v>
      </c>
      <c r="E16" s="17">
        <v>5</v>
      </c>
      <c r="F16" s="26">
        <f t="shared" si="2"/>
        <v>80000</v>
      </c>
      <c r="G16" s="27">
        <f t="shared" si="0"/>
        <v>85000</v>
      </c>
      <c r="H16" s="28" t="str">
        <f t="shared" si="3"/>
        <v>00</v>
      </c>
      <c r="I16" s="28" t="str">
        <f t="shared" si="4"/>
        <v>01</v>
      </c>
      <c r="J16" s="28" t="str">
        <f t="shared" si="5"/>
        <v>25</v>
      </c>
      <c r="K16" s="28" t="str">
        <f t="shared" si="6"/>
        <v>000</v>
      </c>
      <c r="L16" s="18">
        <f t="shared" si="7"/>
        <v>82000</v>
      </c>
      <c r="M16" s="18" t="str">
        <f t="shared" si="8"/>
        <v>00</v>
      </c>
      <c r="N16" s="18" t="str">
        <f t="shared" si="9"/>
        <v>01</v>
      </c>
      <c r="O16" s="18" t="str">
        <f t="shared" si="10"/>
        <v>22</v>
      </c>
      <c r="P16" s="18" t="str">
        <f t="shared" si="11"/>
        <v>000</v>
      </c>
      <c r="Q16" s="42" t="s">
        <v>16</v>
      </c>
      <c r="R16" s="44" t="s">
        <v>184</v>
      </c>
    </row>
    <row r="17" spans="1:18" ht="34.5">
      <c r="A17" s="2">
        <v>14</v>
      </c>
      <c r="B17" s="23" t="str">
        <f t="shared" si="12"/>
        <v>00:01:25,000</v>
      </c>
      <c r="C17" s="24" t="str">
        <f t="shared" si="1"/>
        <v>00:01:27,000</v>
      </c>
      <c r="D17" s="17">
        <v>2</v>
      </c>
      <c r="E17" s="17">
        <v>5</v>
      </c>
      <c r="F17" s="26">
        <f t="shared" si="2"/>
        <v>85000</v>
      </c>
      <c r="G17" s="27">
        <f t="shared" si="0"/>
        <v>90000</v>
      </c>
      <c r="H17" s="28" t="str">
        <f t="shared" si="3"/>
        <v>00</v>
      </c>
      <c r="I17" s="28" t="str">
        <f t="shared" si="4"/>
        <v>01</v>
      </c>
      <c r="J17" s="28" t="str">
        <f t="shared" si="5"/>
        <v>30</v>
      </c>
      <c r="K17" s="28" t="str">
        <f t="shared" si="6"/>
        <v>000</v>
      </c>
      <c r="L17" s="18">
        <f t="shared" si="7"/>
        <v>87000</v>
      </c>
      <c r="M17" s="18" t="str">
        <f t="shared" si="8"/>
        <v>00</v>
      </c>
      <c r="N17" s="18" t="str">
        <f t="shared" si="9"/>
        <v>01</v>
      </c>
      <c r="O17" s="18" t="str">
        <f t="shared" si="10"/>
        <v>27</v>
      </c>
      <c r="P17" s="18" t="str">
        <f t="shared" si="11"/>
        <v>000</v>
      </c>
      <c r="Q17" s="42" t="s">
        <v>18</v>
      </c>
      <c r="R17" s="44" t="s">
        <v>186</v>
      </c>
    </row>
    <row r="18" spans="1:18" ht="34.5">
      <c r="A18" s="2">
        <v>15</v>
      </c>
      <c r="B18" s="23" t="str">
        <f t="shared" si="12"/>
        <v>00:01:30,000</v>
      </c>
      <c r="C18" s="24" t="str">
        <f t="shared" si="1"/>
        <v>00:01:32,000</v>
      </c>
      <c r="D18" s="17">
        <v>2</v>
      </c>
      <c r="E18" s="17">
        <v>5</v>
      </c>
      <c r="F18" s="26">
        <f t="shared" si="2"/>
        <v>90000</v>
      </c>
      <c r="G18" s="27">
        <f t="shared" si="0"/>
        <v>95000</v>
      </c>
      <c r="H18" s="28" t="str">
        <f t="shared" si="3"/>
        <v>00</v>
      </c>
      <c r="I18" s="28" t="str">
        <f t="shared" si="4"/>
        <v>01</v>
      </c>
      <c r="J18" s="28" t="str">
        <f t="shared" si="5"/>
        <v>35</v>
      </c>
      <c r="K18" s="28" t="str">
        <f t="shared" si="6"/>
        <v>000</v>
      </c>
      <c r="L18" s="18">
        <f t="shared" si="7"/>
        <v>92000</v>
      </c>
      <c r="M18" s="18" t="str">
        <f t="shared" si="8"/>
        <v>00</v>
      </c>
      <c r="N18" s="18" t="str">
        <f t="shared" si="9"/>
        <v>01</v>
      </c>
      <c r="O18" s="18" t="str">
        <f t="shared" si="10"/>
        <v>32</v>
      </c>
      <c r="P18" s="18" t="str">
        <f t="shared" si="11"/>
        <v>000</v>
      </c>
      <c r="Q18" s="42" t="s">
        <v>20</v>
      </c>
      <c r="R18" s="44" t="s">
        <v>188</v>
      </c>
    </row>
    <row r="19" spans="1:18" ht="34.5">
      <c r="A19" s="2">
        <v>16</v>
      </c>
      <c r="B19" s="23" t="str">
        <f t="shared" si="12"/>
        <v>00:01:35,000</v>
      </c>
      <c r="C19" s="24" t="str">
        <f t="shared" si="1"/>
        <v>00:01:37,000</v>
      </c>
      <c r="D19" s="17">
        <v>2</v>
      </c>
      <c r="E19" s="17">
        <v>5</v>
      </c>
      <c r="F19" s="26">
        <f t="shared" si="2"/>
        <v>95000</v>
      </c>
      <c r="G19" s="27">
        <f t="shared" si="0"/>
        <v>100000</v>
      </c>
      <c r="H19" s="28" t="str">
        <f t="shared" si="3"/>
        <v>00</v>
      </c>
      <c r="I19" s="28" t="str">
        <f t="shared" si="4"/>
        <v>01</v>
      </c>
      <c r="J19" s="28" t="str">
        <f t="shared" si="5"/>
        <v>40</v>
      </c>
      <c r="K19" s="28" t="str">
        <f t="shared" si="6"/>
        <v>000</v>
      </c>
      <c r="L19" s="18">
        <f t="shared" si="7"/>
        <v>97000</v>
      </c>
      <c r="M19" s="18" t="str">
        <f t="shared" si="8"/>
        <v>00</v>
      </c>
      <c r="N19" s="18" t="str">
        <f t="shared" si="9"/>
        <v>01</v>
      </c>
      <c r="O19" s="18" t="str">
        <f t="shared" si="10"/>
        <v>37</v>
      </c>
      <c r="P19" s="18" t="str">
        <f t="shared" si="11"/>
        <v>000</v>
      </c>
      <c r="Q19" s="42" t="s">
        <v>22</v>
      </c>
      <c r="R19" s="44" t="s">
        <v>190</v>
      </c>
    </row>
    <row r="20" spans="1:18" ht="34.5">
      <c r="A20" s="2">
        <v>17</v>
      </c>
      <c r="B20" s="23" t="str">
        <f t="shared" si="12"/>
        <v>00:01:40,000</v>
      </c>
      <c r="C20" s="24" t="str">
        <f t="shared" si="1"/>
        <v>00:01:42,000</v>
      </c>
      <c r="D20" s="17">
        <v>2</v>
      </c>
      <c r="E20" s="17">
        <v>5</v>
      </c>
      <c r="F20" s="26">
        <f t="shared" si="2"/>
        <v>100000</v>
      </c>
      <c r="G20" s="27">
        <f t="shared" si="0"/>
        <v>105000</v>
      </c>
      <c r="H20" s="28" t="str">
        <f t="shared" si="3"/>
        <v>00</v>
      </c>
      <c r="I20" s="28" t="str">
        <f t="shared" si="4"/>
        <v>01</v>
      </c>
      <c r="J20" s="28" t="str">
        <f t="shared" si="5"/>
        <v>45</v>
      </c>
      <c r="K20" s="28" t="str">
        <f t="shared" si="6"/>
        <v>000</v>
      </c>
      <c r="L20" s="18">
        <f t="shared" si="7"/>
        <v>102000</v>
      </c>
      <c r="M20" s="18" t="str">
        <f t="shared" si="8"/>
        <v>00</v>
      </c>
      <c r="N20" s="18" t="str">
        <f t="shared" si="9"/>
        <v>01</v>
      </c>
      <c r="O20" s="18" t="str">
        <f t="shared" si="10"/>
        <v>42</v>
      </c>
      <c r="P20" s="18" t="str">
        <f t="shared" si="11"/>
        <v>000</v>
      </c>
      <c r="Q20" s="42" t="s">
        <v>23</v>
      </c>
      <c r="R20" s="44" t="s">
        <v>192</v>
      </c>
    </row>
    <row r="21" spans="1:18" ht="34.5">
      <c r="A21" s="2">
        <v>18</v>
      </c>
      <c r="B21" s="23" t="str">
        <f t="shared" si="12"/>
        <v>00:01:45,000</v>
      </c>
      <c r="C21" s="24" t="str">
        <f t="shared" si="1"/>
        <v>00:01:47,000</v>
      </c>
      <c r="D21" s="17">
        <v>2</v>
      </c>
      <c r="E21" s="17">
        <v>5</v>
      </c>
      <c r="F21" s="26">
        <f t="shared" si="2"/>
        <v>105000</v>
      </c>
      <c r="G21" s="27">
        <f t="shared" si="0"/>
        <v>110000</v>
      </c>
      <c r="H21" s="28" t="str">
        <f t="shared" si="3"/>
        <v>00</v>
      </c>
      <c r="I21" s="28" t="str">
        <f t="shared" si="4"/>
        <v>01</v>
      </c>
      <c r="J21" s="28" t="str">
        <f t="shared" si="5"/>
        <v>50</v>
      </c>
      <c r="K21" s="28" t="str">
        <f t="shared" si="6"/>
        <v>000</v>
      </c>
      <c r="L21" s="18">
        <f t="shared" si="7"/>
        <v>107000</v>
      </c>
      <c r="M21" s="18" t="str">
        <f t="shared" si="8"/>
        <v>00</v>
      </c>
      <c r="N21" s="18" t="str">
        <f t="shared" si="9"/>
        <v>01</v>
      </c>
      <c r="O21" s="18" t="str">
        <f t="shared" si="10"/>
        <v>47</v>
      </c>
      <c r="P21" s="18" t="str">
        <f t="shared" si="11"/>
        <v>000</v>
      </c>
      <c r="Q21" s="42" t="s">
        <v>25</v>
      </c>
      <c r="R21" s="44" t="s">
        <v>194</v>
      </c>
    </row>
    <row r="22" spans="1:18" ht="34.5">
      <c r="A22" s="2">
        <v>19</v>
      </c>
      <c r="B22" s="23" t="str">
        <f t="shared" si="12"/>
        <v>00:01:50,000</v>
      </c>
      <c r="C22" s="24" t="str">
        <f t="shared" si="1"/>
        <v>00:01:52,000</v>
      </c>
      <c r="D22" s="17">
        <v>2</v>
      </c>
      <c r="E22" s="17">
        <v>5</v>
      </c>
      <c r="F22" s="26">
        <f t="shared" si="2"/>
        <v>110000</v>
      </c>
      <c r="G22" s="27">
        <f t="shared" si="0"/>
        <v>115000</v>
      </c>
      <c r="H22" s="28" t="str">
        <f t="shared" si="3"/>
        <v>00</v>
      </c>
      <c r="I22" s="28" t="str">
        <f t="shared" si="4"/>
        <v>01</v>
      </c>
      <c r="J22" s="28" t="str">
        <f t="shared" si="5"/>
        <v>55</v>
      </c>
      <c r="K22" s="28" t="str">
        <f t="shared" si="6"/>
        <v>000</v>
      </c>
      <c r="L22" s="18">
        <f t="shared" si="7"/>
        <v>112000</v>
      </c>
      <c r="M22" s="18" t="str">
        <f t="shared" si="8"/>
        <v>00</v>
      </c>
      <c r="N22" s="18" t="str">
        <f t="shared" si="9"/>
        <v>01</v>
      </c>
      <c r="O22" s="18" t="str">
        <f t="shared" si="10"/>
        <v>52</v>
      </c>
      <c r="P22" s="18" t="str">
        <f t="shared" si="11"/>
        <v>000</v>
      </c>
      <c r="Q22" s="42" t="s">
        <v>27</v>
      </c>
      <c r="R22" s="44" t="s">
        <v>196</v>
      </c>
    </row>
    <row r="23" spans="1:18" ht="34.5">
      <c r="A23" s="2">
        <v>20</v>
      </c>
      <c r="B23" s="23" t="str">
        <f t="shared" si="12"/>
        <v>00:01:55,000</v>
      </c>
      <c r="C23" s="24" t="str">
        <f t="shared" si="1"/>
        <v>00:01:57,000</v>
      </c>
      <c r="D23" s="17">
        <v>2</v>
      </c>
      <c r="E23" s="17">
        <v>5</v>
      </c>
      <c r="F23" s="26">
        <f t="shared" si="2"/>
        <v>115000</v>
      </c>
      <c r="G23" s="27">
        <f t="shared" si="0"/>
        <v>120000</v>
      </c>
      <c r="H23" s="28" t="str">
        <f t="shared" si="3"/>
        <v>00</v>
      </c>
      <c r="I23" s="28" t="str">
        <f t="shared" si="4"/>
        <v>02</v>
      </c>
      <c r="J23" s="28" t="str">
        <f t="shared" si="5"/>
        <v>00</v>
      </c>
      <c r="K23" s="28" t="str">
        <f t="shared" si="6"/>
        <v>000</v>
      </c>
      <c r="L23" s="18">
        <f t="shared" si="7"/>
        <v>117000</v>
      </c>
      <c r="M23" s="18" t="str">
        <f t="shared" si="8"/>
        <v>00</v>
      </c>
      <c r="N23" s="18" t="str">
        <f t="shared" si="9"/>
        <v>01</v>
      </c>
      <c r="O23" s="18" t="str">
        <f t="shared" si="10"/>
        <v>57</v>
      </c>
      <c r="P23" s="18" t="str">
        <f t="shared" si="11"/>
        <v>000</v>
      </c>
      <c r="Q23" s="42" t="s">
        <v>29</v>
      </c>
      <c r="R23" s="44" t="s">
        <v>198</v>
      </c>
    </row>
    <row r="24" spans="1:18" ht="34.5">
      <c r="A24" s="2">
        <v>21</v>
      </c>
      <c r="B24" s="23" t="str">
        <f t="shared" si="12"/>
        <v>00:02:00,000</v>
      </c>
      <c r="C24" s="24" t="str">
        <f t="shared" si="1"/>
        <v>00:02:02,000</v>
      </c>
      <c r="D24" s="17">
        <v>2</v>
      </c>
      <c r="E24" s="17">
        <v>5</v>
      </c>
      <c r="F24" s="26">
        <f t="shared" si="2"/>
        <v>120000</v>
      </c>
      <c r="G24" s="27">
        <f t="shared" si="0"/>
        <v>125000</v>
      </c>
      <c r="H24" s="28" t="str">
        <f t="shared" si="3"/>
        <v>00</v>
      </c>
      <c r="I24" s="28" t="str">
        <f t="shared" si="4"/>
        <v>02</v>
      </c>
      <c r="J24" s="28" t="str">
        <f t="shared" si="5"/>
        <v>05</v>
      </c>
      <c r="K24" s="28" t="str">
        <f t="shared" si="6"/>
        <v>000</v>
      </c>
      <c r="L24" s="18">
        <f t="shared" si="7"/>
        <v>122000</v>
      </c>
      <c r="M24" s="18" t="str">
        <f t="shared" si="8"/>
        <v>00</v>
      </c>
      <c r="N24" s="18" t="str">
        <f t="shared" si="9"/>
        <v>02</v>
      </c>
      <c r="O24" s="18" t="str">
        <f t="shared" si="10"/>
        <v>02</v>
      </c>
      <c r="P24" s="18" t="str">
        <f t="shared" si="11"/>
        <v>000</v>
      </c>
      <c r="Q24" s="42" t="s">
        <v>31</v>
      </c>
      <c r="R24" s="44" t="s">
        <v>200</v>
      </c>
    </row>
    <row r="25" spans="1:18" ht="34.5">
      <c r="A25" s="2">
        <v>22</v>
      </c>
      <c r="B25" s="23" t="str">
        <f t="shared" si="12"/>
        <v>00:02:05,000</v>
      </c>
      <c r="C25" s="24" t="str">
        <f t="shared" si="1"/>
        <v>00:02:07,000</v>
      </c>
      <c r="D25" s="17">
        <v>2</v>
      </c>
      <c r="E25" s="17">
        <v>5</v>
      </c>
      <c r="F25" s="26">
        <f t="shared" si="2"/>
        <v>125000</v>
      </c>
      <c r="G25" s="27">
        <f t="shared" si="0"/>
        <v>130000</v>
      </c>
      <c r="H25" s="28" t="str">
        <f t="shared" si="3"/>
        <v>00</v>
      </c>
      <c r="I25" s="28" t="str">
        <f t="shared" si="4"/>
        <v>02</v>
      </c>
      <c r="J25" s="28" t="str">
        <f t="shared" si="5"/>
        <v>10</v>
      </c>
      <c r="K25" s="28" t="str">
        <f t="shared" si="6"/>
        <v>000</v>
      </c>
      <c r="L25" s="18">
        <f t="shared" si="7"/>
        <v>127000</v>
      </c>
      <c r="M25" s="18" t="str">
        <f t="shared" si="8"/>
        <v>00</v>
      </c>
      <c r="N25" s="18" t="str">
        <f t="shared" si="9"/>
        <v>02</v>
      </c>
      <c r="O25" s="18" t="str">
        <f t="shared" si="10"/>
        <v>07</v>
      </c>
      <c r="P25" s="18" t="str">
        <f t="shared" si="11"/>
        <v>000</v>
      </c>
      <c r="Q25" s="42" t="s">
        <v>33</v>
      </c>
      <c r="R25" s="44" t="s">
        <v>202</v>
      </c>
    </row>
    <row r="26" spans="1:18" ht="34.5">
      <c r="A26" s="2">
        <v>23</v>
      </c>
      <c r="B26" s="23" t="str">
        <f t="shared" si="12"/>
        <v>00:02:10,000</v>
      </c>
      <c r="C26" s="24" t="str">
        <f t="shared" si="1"/>
        <v>00:02:12,000</v>
      </c>
      <c r="D26" s="17">
        <v>2</v>
      </c>
      <c r="E26" s="17">
        <v>5</v>
      </c>
      <c r="F26" s="26">
        <f t="shared" si="2"/>
        <v>130000</v>
      </c>
      <c r="G26" s="27">
        <f t="shared" si="0"/>
        <v>135000</v>
      </c>
      <c r="H26" s="28" t="str">
        <f t="shared" si="3"/>
        <v>00</v>
      </c>
      <c r="I26" s="28" t="str">
        <f t="shared" si="4"/>
        <v>02</v>
      </c>
      <c r="J26" s="28" t="str">
        <f t="shared" si="5"/>
        <v>15</v>
      </c>
      <c r="K26" s="28" t="str">
        <f t="shared" si="6"/>
        <v>000</v>
      </c>
      <c r="L26" s="18">
        <f t="shared" si="7"/>
        <v>132000</v>
      </c>
      <c r="M26" s="18" t="str">
        <f t="shared" si="8"/>
        <v>00</v>
      </c>
      <c r="N26" s="18" t="str">
        <f t="shared" si="9"/>
        <v>02</v>
      </c>
      <c r="O26" s="18" t="str">
        <f t="shared" si="10"/>
        <v>12</v>
      </c>
      <c r="P26" s="18" t="str">
        <f t="shared" si="11"/>
        <v>000</v>
      </c>
      <c r="Q26" s="42" t="s">
        <v>35</v>
      </c>
      <c r="R26" s="44" t="s">
        <v>204</v>
      </c>
    </row>
    <row r="27" spans="1:18" ht="34.5">
      <c r="A27" s="2">
        <v>24</v>
      </c>
      <c r="B27" s="23" t="str">
        <f t="shared" si="12"/>
        <v>00:02:15,000</v>
      </c>
      <c r="C27" s="24" t="str">
        <f t="shared" si="1"/>
        <v>00:02:17,000</v>
      </c>
      <c r="D27" s="17">
        <v>2</v>
      </c>
      <c r="E27" s="17">
        <v>5</v>
      </c>
      <c r="F27" s="26">
        <f t="shared" si="2"/>
        <v>135000</v>
      </c>
      <c r="G27" s="27">
        <f t="shared" si="0"/>
        <v>140000</v>
      </c>
      <c r="H27" s="28" t="str">
        <f t="shared" si="3"/>
        <v>00</v>
      </c>
      <c r="I27" s="28" t="str">
        <f t="shared" si="4"/>
        <v>02</v>
      </c>
      <c r="J27" s="28" t="str">
        <f t="shared" si="5"/>
        <v>20</v>
      </c>
      <c r="K27" s="28" t="str">
        <f t="shared" si="6"/>
        <v>000</v>
      </c>
      <c r="L27" s="18">
        <f t="shared" si="7"/>
        <v>137000</v>
      </c>
      <c r="M27" s="18" t="str">
        <f t="shared" si="8"/>
        <v>00</v>
      </c>
      <c r="N27" s="18" t="str">
        <f t="shared" si="9"/>
        <v>02</v>
      </c>
      <c r="O27" s="18" t="str">
        <f t="shared" si="10"/>
        <v>17</v>
      </c>
      <c r="P27" s="18" t="str">
        <f t="shared" si="11"/>
        <v>000</v>
      </c>
      <c r="Q27" s="42" t="s">
        <v>36</v>
      </c>
      <c r="R27" s="44" t="s">
        <v>206</v>
      </c>
    </row>
    <row r="28" spans="1:18" ht="34.5">
      <c r="A28" s="2">
        <v>25</v>
      </c>
      <c r="B28" s="23" t="str">
        <f t="shared" si="12"/>
        <v>00:02:20,000</v>
      </c>
      <c r="C28" s="24" t="str">
        <f t="shared" si="1"/>
        <v>00:02:22,000</v>
      </c>
      <c r="D28" s="17">
        <v>2</v>
      </c>
      <c r="E28" s="17">
        <v>5</v>
      </c>
      <c r="F28" s="26">
        <f t="shared" si="2"/>
        <v>140000</v>
      </c>
      <c r="G28" s="27">
        <f t="shared" si="0"/>
        <v>145000</v>
      </c>
      <c r="H28" s="28" t="str">
        <f t="shared" si="3"/>
        <v>00</v>
      </c>
      <c r="I28" s="28" t="str">
        <f t="shared" si="4"/>
        <v>02</v>
      </c>
      <c r="J28" s="28" t="str">
        <f t="shared" si="5"/>
        <v>25</v>
      </c>
      <c r="K28" s="28" t="str">
        <f t="shared" si="6"/>
        <v>000</v>
      </c>
      <c r="L28" s="18">
        <f t="shared" si="7"/>
        <v>142000</v>
      </c>
      <c r="M28" s="18" t="str">
        <f t="shared" si="8"/>
        <v>00</v>
      </c>
      <c r="N28" s="18" t="str">
        <f t="shared" si="9"/>
        <v>02</v>
      </c>
      <c r="O28" s="18" t="str">
        <f t="shared" si="10"/>
        <v>22</v>
      </c>
      <c r="P28" s="18" t="str">
        <f t="shared" si="11"/>
        <v>000</v>
      </c>
      <c r="Q28" s="42" t="s">
        <v>38</v>
      </c>
      <c r="R28" s="44" t="s">
        <v>208</v>
      </c>
    </row>
    <row r="29" spans="1:18" ht="34.5">
      <c r="A29" s="2">
        <v>26</v>
      </c>
      <c r="B29" s="23" t="str">
        <f t="shared" si="12"/>
        <v>00:02:25,000</v>
      </c>
      <c r="C29" s="24" t="str">
        <f t="shared" si="1"/>
        <v>00:02:27,000</v>
      </c>
      <c r="D29" s="17">
        <v>2</v>
      </c>
      <c r="E29" s="17">
        <v>5</v>
      </c>
      <c r="F29" s="26">
        <f t="shared" si="2"/>
        <v>145000</v>
      </c>
      <c r="G29" s="27">
        <f t="shared" si="0"/>
        <v>150000</v>
      </c>
      <c r="H29" s="28" t="str">
        <f t="shared" si="3"/>
        <v>00</v>
      </c>
      <c r="I29" s="28" t="str">
        <f t="shared" si="4"/>
        <v>02</v>
      </c>
      <c r="J29" s="28" t="str">
        <f t="shared" si="5"/>
        <v>30</v>
      </c>
      <c r="K29" s="28" t="str">
        <f t="shared" si="6"/>
        <v>000</v>
      </c>
      <c r="L29" s="18">
        <f t="shared" si="7"/>
        <v>147000</v>
      </c>
      <c r="M29" s="18" t="str">
        <f t="shared" si="8"/>
        <v>00</v>
      </c>
      <c r="N29" s="18" t="str">
        <f t="shared" si="9"/>
        <v>02</v>
      </c>
      <c r="O29" s="18" t="str">
        <f t="shared" si="10"/>
        <v>27</v>
      </c>
      <c r="P29" s="18" t="str">
        <f t="shared" si="11"/>
        <v>000</v>
      </c>
      <c r="Q29" s="42" t="s">
        <v>11</v>
      </c>
      <c r="R29" s="44" t="s">
        <v>178</v>
      </c>
    </row>
    <row r="30" spans="1:18" ht="34.5">
      <c r="A30" s="2">
        <v>27</v>
      </c>
      <c r="B30" s="23" t="str">
        <f t="shared" si="12"/>
        <v>00:02:30,000</v>
      </c>
      <c r="C30" s="24" t="str">
        <f t="shared" si="1"/>
        <v>00:02:32,000</v>
      </c>
      <c r="D30" s="17">
        <v>2</v>
      </c>
      <c r="E30" s="17">
        <v>5</v>
      </c>
      <c r="F30" s="26">
        <f t="shared" si="2"/>
        <v>150000</v>
      </c>
      <c r="G30" s="27">
        <f t="shared" si="0"/>
        <v>155000</v>
      </c>
      <c r="H30" s="28" t="str">
        <f t="shared" si="3"/>
        <v>00</v>
      </c>
      <c r="I30" s="28" t="str">
        <f t="shared" si="4"/>
        <v>02</v>
      </c>
      <c r="J30" s="28" t="str">
        <f t="shared" si="5"/>
        <v>35</v>
      </c>
      <c r="K30" s="28" t="str">
        <f t="shared" si="6"/>
        <v>000</v>
      </c>
      <c r="L30" s="18">
        <f t="shared" si="7"/>
        <v>152000</v>
      </c>
      <c r="M30" s="18" t="str">
        <f t="shared" si="8"/>
        <v>00</v>
      </c>
      <c r="N30" s="18" t="str">
        <f t="shared" si="9"/>
        <v>02</v>
      </c>
      <c r="O30" s="18" t="str">
        <f t="shared" si="10"/>
        <v>32</v>
      </c>
      <c r="P30" s="18" t="str">
        <f t="shared" si="11"/>
        <v>000</v>
      </c>
      <c r="Q30" s="42" t="s">
        <v>12</v>
      </c>
      <c r="R30" s="44" t="s">
        <v>180</v>
      </c>
    </row>
    <row r="31" spans="1:18" ht="34.5">
      <c r="A31" s="2">
        <v>28</v>
      </c>
      <c r="B31" s="23" t="str">
        <f t="shared" si="12"/>
        <v>00:02:35,000</v>
      </c>
      <c r="C31" s="24" t="str">
        <f t="shared" si="1"/>
        <v>00:02:37,000</v>
      </c>
      <c r="D31" s="17">
        <v>2</v>
      </c>
      <c r="E31" s="17">
        <v>5</v>
      </c>
      <c r="F31" s="26">
        <f t="shared" si="2"/>
        <v>155000</v>
      </c>
      <c r="G31" s="27">
        <f t="shared" si="0"/>
        <v>160000</v>
      </c>
      <c r="H31" s="28" t="str">
        <f t="shared" si="3"/>
        <v>00</v>
      </c>
      <c r="I31" s="28" t="str">
        <f t="shared" si="4"/>
        <v>02</v>
      </c>
      <c r="J31" s="28" t="str">
        <f t="shared" si="5"/>
        <v>40</v>
      </c>
      <c r="K31" s="28" t="str">
        <f t="shared" si="6"/>
        <v>000</v>
      </c>
      <c r="L31" s="18">
        <f t="shared" si="7"/>
        <v>157000</v>
      </c>
      <c r="M31" s="18" t="str">
        <f t="shared" si="8"/>
        <v>00</v>
      </c>
      <c r="N31" s="18" t="str">
        <f t="shared" si="9"/>
        <v>02</v>
      </c>
      <c r="O31" s="18" t="str">
        <f t="shared" si="10"/>
        <v>37</v>
      </c>
      <c r="P31" s="18" t="str">
        <f t="shared" si="11"/>
        <v>000</v>
      </c>
      <c r="Q31" s="42" t="s">
        <v>15</v>
      </c>
      <c r="R31" s="44" t="s">
        <v>182</v>
      </c>
    </row>
    <row r="32" spans="1:18" ht="34.5">
      <c r="A32" s="2">
        <v>29</v>
      </c>
      <c r="B32" s="23" t="str">
        <f t="shared" si="12"/>
        <v>00:02:40,000</v>
      </c>
      <c r="C32" s="24" t="str">
        <f t="shared" si="1"/>
        <v>00:02:42,000</v>
      </c>
      <c r="D32" s="17">
        <v>2</v>
      </c>
      <c r="E32" s="17">
        <v>5</v>
      </c>
      <c r="F32" s="26">
        <f t="shared" si="2"/>
        <v>160000</v>
      </c>
      <c r="G32" s="27">
        <f t="shared" si="0"/>
        <v>165000</v>
      </c>
      <c r="H32" s="28" t="str">
        <f t="shared" si="3"/>
        <v>00</v>
      </c>
      <c r="I32" s="28" t="str">
        <f t="shared" si="4"/>
        <v>02</v>
      </c>
      <c r="J32" s="28" t="str">
        <f t="shared" si="5"/>
        <v>45</v>
      </c>
      <c r="K32" s="28" t="str">
        <f t="shared" si="6"/>
        <v>000</v>
      </c>
      <c r="L32" s="18">
        <f t="shared" si="7"/>
        <v>162000</v>
      </c>
      <c r="M32" s="18" t="str">
        <f t="shared" si="8"/>
        <v>00</v>
      </c>
      <c r="N32" s="18" t="str">
        <f t="shared" si="9"/>
        <v>02</v>
      </c>
      <c r="O32" s="18" t="str">
        <f t="shared" si="10"/>
        <v>42</v>
      </c>
      <c r="P32" s="18" t="str">
        <f t="shared" si="11"/>
        <v>000</v>
      </c>
      <c r="Q32" s="42" t="s">
        <v>16</v>
      </c>
      <c r="R32" s="44" t="s">
        <v>184</v>
      </c>
    </row>
    <row r="33" spans="1:18" ht="34.5">
      <c r="A33" s="2">
        <v>30</v>
      </c>
      <c r="B33" s="23" t="str">
        <f t="shared" si="12"/>
        <v>00:02:45,000</v>
      </c>
      <c r="C33" s="24" t="str">
        <f t="shared" si="1"/>
        <v>00:02:47,000</v>
      </c>
      <c r="D33" s="17">
        <v>2</v>
      </c>
      <c r="E33" s="17">
        <v>5</v>
      </c>
      <c r="F33" s="26">
        <f t="shared" si="2"/>
        <v>165000</v>
      </c>
      <c r="G33" s="27">
        <f t="shared" si="0"/>
        <v>170000</v>
      </c>
      <c r="H33" s="28" t="str">
        <f t="shared" si="3"/>
        <v>00</v>
      </c>
      <c r="I33" s="28" t="str">
        <f t="shared" si="4"/>
        <v>02</v>
      </c>
      <c r="J33" s="28" t="str">
        <f t="shared" si="5"/>
        <v>50</v>
      </c>
      <c r="K33" s="28" t="str">
        <f t="shared" si="6"/>
        <v>000</v>
      </c>
      <c r="L33" s="18">
        <f t="shared" si="7"/>
        <v>167000</v>
      </c>
      <c r="M33" s="18" t="str">
        <f t="shared" si="8"/>
        <v>00</v>
      </c>
      <c r="N33" s="18" t="str">
        <f t="shared" si="9"/>
        <v>02</v>
      </c>
      <c r="O33" s="18" t="str">
        <f t="shared" si="10"/>
        <v>47</v>
      </c>
      <c r="P33" s="18" t="str">
        <f t="shared" si="11"/>
        <v>000</v>
      </c>
      <c r="Q33" s="42" t="s">
        <v>18</v>
      </c>
      <c r="R33" s="44" t="s">
        <v>186</v>
      </c>
    </row>
    <row r="34" spans="1:18" ht="34.5">
      <c r="A34" s="2">
        <v>31</v>
      </c>
      <c r="B34" s="23" t="str">
        <f t="shared" si="12"/>
        <v>00:02:50,000</v>
      </c>
      <c r="C34" s="24" t="str">
        <f t="shared" si="1"/>
        <v>00:02:52,000</v>
      </c>
      <c r="D34" s="17">
        <v>2</v>
      </c>
      <c r="E34" s="17">
        <v>5</v>
      </c>
      <c r="F34" s="26">
        <f t="shared" si="2"/>
        <v>170000</v>
      </c>
      <c r="G34" s="27">
        <f t="shared" si="0"/>
        <v>175000</v>
      </c>
      <c r="H34" s="28" t="str">
        <f t="shared" si="3"/>
        <v>00</v>
      </c>
      <c r="I34" s="28" t="str">
        <f t="shared" si="4"/>
        <v>02</v>
      </c>
      <c r="J34" s="28" t="str">
        <f t="shared" si="5"/>
        <v>55</v>
      </c>
      <c r="K34" s="28" t="str">
        <f t="shared" si="6"/>
        <v>000</v>
      </c>
      <c r="L34" s="18">
        <f t="shared" si="7"/>
        <v>172000</v>
      </c>
      <c r="M34" s="18" t="str">
        <f t="shared" si="8"/>
        <v>00</v>
      </c>
      <c r="N34" s="18" t="str">
        <f t="shared" si="9"/>
        <v>02</v>
      </c>
      <c r="O34" s="18" t="str">
        <f t="shared" si="10"/>
        <v>52</v>
      </c>
      <c r="P34" s="18" t="str">
        <f t="shared" si="11"/>
        <v>000</v>
      </c>
      <c r="Q34" s="42" t="s">
        <v>20</v>
      </c>
      <c r="R34" s="44" t="s">
        <v>188</v>
      </c>
    </row>
    <row r="35" spans="1:18" ht="34.5">
      <c r="A35" s="2">
        <v>32</v>
      </c>
      <c r="B35" s="23" t="str">
        <f t="shared" si="12"/>
        <v>00:02:55,000</v>
      </c>
      <c r="C35" s="24" t="str">
        <f t="shared" si="1"/>
        <v>00:02:57,000</v>
      </c>
      <c r="D35" s="17">
        <v>2</v>
      </c>
      <c r="E35" s="17">
        <v>5</v>
      </c>
      <c r="F35" s="26">
        <f t="shared" si="2"/>
        <v>175000</v>
      </c>
      <c r="G35" s="27">
        <f t="shared" si="0"/>
        <v>180000</v>
      </c>
      <c r="H35" s="28" t="str">
        <f t="shared" si="3"/>
        <v>00</v>
      </c>
      <c r="I35" s="28" t="str">
        <f t="shared" si="4"/>
        <v>03</v>
      </c>
      <c r="J35" s="28" t="str">
        <f t="shared" si="5"/>
        <v>00</v>
      </c>
      <c r="K35" s="28" t="str">
        <f t="shared" si="6"/>
        <v>000</v>
      </c>
      <c r="L35" s="18">
        <f t="shared" si="7"/>
        <v>177000</v>
      </c>
      <c r="M35" s="18" t="str">
        <f t="shared" si="8"/>
        <v>00</v>
      </c>
      <c r="N35" s="18" t="str">
        <f t="shared" si="9"/>
        <v>02</v>
      </c>
      <c r="O35" s="18" t="str">
        <f t="shared" si="10"/>
        <v>57</v>
      </c>
      <c r="P35" s="18" t="str">
        <f t="shared" si="11"/>
        <v>000</v>
      </c>
      <c r="Q35" s="42" t="s">
        <v>22</v>
      </c>
      <c r="R35" s="44" t="s">
        <v>190</v>
      </c>
    </row>
    <row r="36" spans="1:18" ht="34.5">
      <c r="A36" s="2">
        <v>33</v>
      </c>
      <c r="B36" s="23" t="str">
        <f t="shared" si="12"/>
        <v>00:03:00,000</v>
      </c>
      <c r="C36" s="24" t="str">
        <f t="shared" si="1"/>
        <v>00:03:02,000</v>
      </c>
      <c r="D36" s="17">
        <v>2</v>
      </c>
      <c r="E36" s="17">
        <v>5</v>
      </c>
      <c r="F36" s="26">
        <f t="shared" si="2"/>
        <v>180000</v>
      </c>
      <c r="G36" s="27">
        <f t="shared" si="0"/>
        <v>185000</v>
      </c>
      <c r="H36" s="28" t="str">
        <f t="shared" si="3"/>
        <v>00</v>
      </c>
      <c r="I36" s="28" t="str">
        <f t="shared" si="4"/>
        <v>03</v>
      </c>
      <c r="J36" s="28" t="str">
        <f t="shared" si="5"/>
        <v>05</v>
      </c>
      <c r="K36" s="28" t="str">
        <f t="shared" si="6"/>
        <v>000</v>
      </c>
      <c r="L36" s="18">
        <f t="shared" si="7"/>
        <v>182000</v>
      </c>
      <c r="M36" s="18" t="str">
        <f t="shared" si="8"/>
        <v>00</v>
      </c>
      <c r="N36" s="18" t="str">
        <f t="shared" si="9"/>
        <v>03</v>
      </c>
      <c r="O36" s="18" t="str">
        <f t="shared" si="10"/>
        <v>02</v>
      </c>
      <c r="P36" s="18" t="str">
        <f t="shared" si="11"/>
        <v>000</v>
      </c>
      <c r="Q36" s="42" t="s">
        <v>23</v>
      </c>
      <c r="R36" s="44" t="s">
        <v>192</v>
      </c>
    </row>
    <row r="37" spans="1:18" ht="34.5">
      <c r="A37" s="2">
        <v>34</v>
      </c>
      <c r="B37" s="23" t="str">
        <f t="shared" si="12"/>
        <v>00:03:05,000</v>
      </c>
      <c r="C37" s="24" t="str">
        <f t="shared" si="1"/>
        <v>00:03:07,000</v>
      </c>
      <c r="D37" s="17">
        <v>2</v>
      </c>
      <c r="E37" s="17">
        <v>5</v>
      </c>
      <c r="F37" s="26">
        <f t="shared" si="2"/>
        <v>185000</v>
      </c>
      <c r="G37" s="27">
        <f t="shared" si="0"/>
        <v>190000</v>
      </c>
      <c r="H37" s="28" t="str">
        <f t="shared" si="3"/>
        <v>00</v>
      </c>
      <c r="I37" s="28" t="str">
        <f t="shared" si="4"/>
        <v>03</v>
      </c>
      <c r="J37" s="28" t="str">
        <f t="shared" si="5"/>
        <v>10</v>
      </c>
      <c r="K37" s="28" t="str">
        <f t="shared" si="6"/>
        <v>000</v>
      </c>
      <c r="L37" s="18">
        <f t="shared" si="7"/>
        <v>187000</v>
      </c>
      <c r="M37" s="18" t="str">
        <f t="shared" si="8"/>
        <v>00</v>
      </c>
      <c r="N37" s="18" t="str">
        <f t="shared" si="9"/>
        <v>03</v>
      </c>
      <c r="O37" s="18" t="str">
        <f t="shared" si="10"/>
        <v>07</v>
      </c>
      <c r="P37" s="18" t="str">
        <f t="shared" si="11"/>
        <v>000</v>
      </c>
      <c r="Q37" s="42" t="s">
        <v>11</v>
      </c>
      <c r="R37" s="44" t="s">
        <v>178</v>
      </c>
    </row>
    <row r="38" spans="1:18" ht="34.5">
      <c r="A38" s="2">
        <v>35</v>
      </c>
      <c r="B38" s="23" t="str">
        <f t="shared" si="12"/>
        <v>00:03:10,000</v>
      </c>
      <c r="C38" s="24" t="str">
        <f t="shared" si="1"/>
        <v>00:03:12,000</v>
      </c>
      <c r="D38" s="17">
        <v>2</v>
      </c>
      <c r="E38" s="17">
        <v>5</v>
      </c>
      <c r="F38" s="26">
        <f t="shared" si="2"/>
        <v>190000</v>
      </c>
      <c r="G38" s="27">
        <f t="shared" si="0"/>
        <v>195000</v>
      </c>
      <c r="H38" s="28" t="str">
        <f t="shared" si="3"/>
        <v>00</v>
      </c>
      <c r="I38" s="28" t="str">
        <f t="shared" si="4"/>
        <v>03</v>
      </c>
      <c r="J38" s="28" t="str">
        <f t="shared" si="5"/>
        <v>15</v>
      </c>
      <c r="K38" s="28" t="str">
        <f t="shared" si="6"/>
        <v>000</v>
      </c>
      <c r="L38" s="18">
        <f t="shared" si="7"/>
        <v>192000</v>
      </c>
      <c r="M38" s="18" t="str">
        <f t="shared" si="8"/>
        <v>00</v>
      </c>
      <c r="N38" s="18" t="str">
        <f t="shared" si="9"/>
        <v>03</v>
      </c>
      <c r="O38" s="18" t="str">
        <f t="shared" si="10"/>
        <v>12</v>
      </c>
      <c r="P38" s="18" t="str">
        <f t="shared" si="11"/>
        <v>000</v>
      </c>
      <c r="Q38" s="42" t="s">
        <v>12</v>
      </c>
      <c r="R38" s="44" t="s">
        <v>180</v>
      </c>
    </row>
    <row r="39" spans="1:18" ht="34.5">
      <c r="A39" s="2">
        <v>36</v>
      </c>
      <c r="B39" s="23" t="str">
        <f t="shared" si="12"/>
        <v>00:03:15,000</v>
      </c>
      <c r="C39" s="24" t="str">
        <f t="shared" si="1"/>
        <v>00:03:17,000</v>
      </c>
      <c r="D39" s="17">
        <v>2</v>
      </c>
      <c r="E39" s="17">
        <v>5</v>
      </c>
      <c r="F39" s="26">
        <f t="shared" si="2"/>
        <v>195000</v>
      </c>
      <c r="G39" s="27">
        <f t="shared" si="0"/>
        <v>200000</v>
      </c>
      <c r="H39" s="28" t="str">
        <f t="shared" si="3"/>
        <v>00</v>
      </c>
      <c r="I39" s="28" t="str">
        <f t="shared" si="4"/>
        <v>03</v>
      </c>
      <c r="J39" s="28" t="str">
        <f t="shared" si="5"/>
        <v>20</v>
      </c>
      <c r="K39" s="28" t="str">
        <f t="shared" si="6"/>
        <v>000</v>
      </c>
      <c r="L39" s="18">
        <f t="shared" si="7"/>
        <v>197000</v>
      </c>
      <c r="M39" s="18" t="str">
        <f t="shared" si="8"/>
        <v>00</v>
      </c>
      <c r="N39" s="18" t="str">
        <f t="shared" si="9"/>
        <v>03</v>
      </c>
      <c r="O39" s="18" t="str">
        <f t="shared" si="10"/>
        <v>17</v>
      </c>
      <c r="P39" s="18" t="str">
        <f t="shared" si="11"/>
        <v>000</v>
      </c>
      <c r="Q39" s="42" t="s">
        <v>15</v>
      </c>
      <c r="R39" s="44" t="s">
        <v>182</v>
      </c>
    </row>
    <row r="40" spans="1:18" ht="34.5">
      <c r="A40" s="2">
        <v>37</v>
      </c>
      <c r="B40" s="23" t="str">
        <f t="shared" si="12"/>
        <v>00:03:20,000</v>
      </c>
      <c r="C40" s="24" t="str">
        <f t="shared" si="1"/>
        <v>00:03:22,000</v>
      </c>
      <c r="D40" s="17">
        <v>2</v>
      </c>
      <c r="E40" s="17">
        <v>5</v>
      </c>
      <c r="F40" s="26">
        <f t="shared" si="2"/>
        <v>200000</v>
      </c>
      <c r="G40" s="27">
        <f t="shared" si="0"/>
        <v>205000</v>
      </c>
      <c r="H40" s="28" t="str">
        <f t="shared" si="3"/>
        <v>00</v>
      </c>
      <c r="I40" s="28" t="str">
        <f t="shared" si="4"/>
        <v>03</v>
      </c>
      <c r="J40" s="28" t="str">
        <f t="shared" si="5"/>
        <v>25</v>
      </c>
      <c r="K40" s="28" t="str">
        <f t="shared" si="6"/>
        <v>000</v>
      </c>
      <c r="L40" s="18">
        <f t="shared" si="7"/>
        <v>202000</v>
      </c>
      <c r="M40" s="18" t="str">
        <f t="shared" si="8"/>
        <v>00</v>
      </c>
      <c r="N40" s="18" t="str">
        <f t="shared" si="9"/>
        <v>03</v>
      </c>
      <c r="O40" s="18" t="str">
        <f t="shared" si="10"/>
        <v>22</v>
      </c>
      <c r="P40" s="18" t="str">
        <f t="shared" si="11"/>
        <v>000</v>
      </c>
      <c r="Q40" s="42" t="s">
        <v>16</v>
      </c>
      <c r="R40" s="44" t="s">
        <v>184</v>
      </c>
    </row>
    <row r="41" spans="1:18" ht="34.5">
      <c r="A41" s="2">
        <v>38</v>
      </c>
      <c r="B41" s="23" t="str">
        <f t="shared" si="12"/>
        <v>00:03:25,000</v>
      </c>
      <c r="C41" s="24" t="str">
        <f t="shared" si="1"/>
        <v>00:03:27,000</v>
      </c>
      <c r="D41" s="17">
        <v>2</v>
      </c>
      <c r="E41" s="17">
        <v>5</v>
      </c>
      <c r="F41" s="26">
        <f t="shared" si="2"/>
        <v>205000</v>
      </c>
      <c r="G41" s="27">
        <f t="shared" si="0"/>
        <v>210000</v>
      </c>
      <c r="H41" s="28" t="str">
        <f t="shared" si="3"/>
        <v>00</v>
      </c>
      <c r="I41" s="28" t="str">
        <f t="shared" si="4"/>
        <v>03</v>
      </c>
      <c r="J41" s="28" t="str">
        <f t="shared" si="5"/>
        <v>30</v>
      </c>
      <c r="K41" s="28" t="str">
        <f t="shared" si="6"/>
        <v>000</v>
      </c>
      <c r="L41" s="18">
        <f t="shared" si="7"/>
        <v>207000</v>
      </c>
      <c r="M41" s="18" t="str">
        <f t="shared" si="8"/>
        <v>00</v>
      </c>
      <c r="N41" s="18" t="str">
        <f t="shared" si="9"/>
        <v>03</v>
      </c>
      <c r="O41" s="18" t="str">
        <f t="shared" si="10"/>
        <v>27</v>
      </c>
      <c r="P41" s="18" t="str">
        <f t="shared" si="11"/>
        <v>000</v>
      </c>
      <c r="Q41" s="42" t="s">
        <v>18</v>
      </c>
      <c r="R41" s="44" t="s">
        <v>186</v>
      </c>
    </row>
    <row r="42" spans="1:18" ht="34.5">
      <c r="A42" s="2">
        <v>39</v>
      </c>
      <c r="B42" s="23" t="str">
        <f t="shared" si="12"/>
        <v>00:03:30,000</v>
      </c>
      <c r="C42" s="24" t="str">
        <f t="shared" si="1"/>
        <v>00:03:32,000</v>
      </c>
      <c r="D42" s="17">
        <v>2</v>
      </c>
      <c r="E42" s="17">
        <v>5</v>
      </c>
      <c r="F42" s="26">
        <f t="shared" si="2"/>
        <v>210000</v>
      </c>
      <c r="G42" s="27">
        <f t="shared" si="0"/>
        <v>215000</v>
      </c>
      <c r="H42" s="28" t="str">
        <f t="shared" si="3"/>
        <v>00</v>
      </c>
      <c r="I42" s="28" t="str">
        <f t="shared" si="4"/>
        <v>03</v>
      </c>
      <c r="J42" s="28" t="str">
        <f t="shared" si="5"/>
        <v>35</v>
      </c>
      <c r="K42" s="28" t="str">
        <f t="shared" si="6"/>
        <v>000</v>
      </c>
      <c r="L42" s="18">
        <f t="shared" si="7"/>
        <v>212000</v>
      </c>
      <c r="M42" s="18" t="str">
        <f t="shared" si="8"/>
        <v>00</v>
      </c>
      <c r="N42" s="18" t="str">
        <f t="shared" si="9"/>
        <v>03</v>
      </c>
      <c r="O42" s="18" t="str">
        <f t="shared" si="10"/>
        <v>32</v>
      </c>
      <c r="P42" s="18" t="str">
        <f t="shared" si="11"/>
        <v>000</v>
      </c>
      <c r="Q42" s="42" t="s">
        <v>20</v>
      </c>
      <c r="R42" s="44" t="s">
        <v>188</v>
      </c>
    </row>
    <row r="43" spans="1:18" ht="34.5">
      <c r="A43" s="2">
        <v>40</v>
      </c>
      <c r="B43" s="23" t="str">
        <f t="shared" si="12"/>
        <v>00:03:35,000</v>
      </c>
      <c r="C43" s="24" t="str">
        <f t="shared" si="1"/>
        <v>00:03:37,000</v>
      </c>
      <c r="D43" s="17">
        <v>2</v>
      </c>
      <c r="E43" s="17">
        <v>5</v>
      </c>
      <c r="F43" s="26">
        <f t="shared" si="2"/>
        <v>215000</v>
      </c>
      <c r="G43" s="27">
        <f t="shared" si="0"/>
        <v>220000</v>
      </c>
      <c r="H43" s="28" t="str">
        <f t="shared" si="3"/>
        <v>00</v>
      </c>
      <c r="I43" s="28" t="str">
        <f t="shared" si="4"/>
        <v>03</v>
      </c>
      <c r="J43" s="28" t="str">
        <f t="shared" si="5"/>
        <v>40</v>
      </c>
      <c r="K43" s="28" t="str">
        <f t="shared" si="6"/>
        <v>000</v>
      </c>
      <c r="L43" s="18">
        <f t="shared" si="7"/>
        <v>217000</v>
      </c>
      <c r="M43" s="18" t="str">
        <f t="shared" si="8"/>
        <v>00</v>
      </c>
      <c r="N43" s="18" t="str">
        <f t="shared" si="9"/>
        <v>03</v>
      </c>
      <c r="O43" s="18" t="str">
        <f t="shared" si="10"/>
        <v>37</v>
      </c>
      <c r="P43" s="18" t="str">
        <f t="shared" si="11"/>
        <v>000</v>
      </c>
      <c r="Q43" s="42" t="s">
        <v>22</v>
      </c>
      <c r="R43" s="44" t="s">
        <v>190</v>
      </c>
    </row>
    <row r="44" spans="1:18" ht="34.5">
      <c r="A44" s="2">
        <v>41</v>
      </c>
      <c r="B44" s="23" t="str">
        <f t="shared" si="12"/>
        <v>00:03:40,000</v>
      </c>
      <c r="C44" s="24" t="str">
        <f t="shared" si="1"/>
        <v>00:03:42,000</v>
      </c>
      <c r="D44" s="17">
        <v>2</v>
      </c>
      <c r="E44" s="17">
        <v>5</v>
      </c>
      <c r="F44" s="26">
        <f t="shared" si="2"/>
        <v>220000</v>
      </c>
      <c r="G44" s="27">
        <f t="shared" si="0"/>
        <v>225000</v>
      </c>
      <c r="H44" s="28" t="str">
        <f t="shared" si="3"/>
        <v>00</v>
      </c>
      <c r="I44" s="28" t="str">
        <f t="shared" si="4"/>
        <v>03</v>
      </c>
      <c r="J44" s="28" t="str">
        <f t="shared" si="5"/>
        <v>45</v>
      </c>
      <c r="K44" s="28" t="str">
        <f t="shared" si="6"/>
        <v>000</v>
      </c>
      <c r="L44" s="18">
        <f t="shared" si="7"/>
        <v>222000</v>
      </c>
      <c r="M44" s="18" t="str">
        <f t="shared" si="8"/>
        <v>00</v>
      </c>
      <c r="N44" s="18" t="str">
        <f t="shared" si="9"/>
        <v>03</v>
      </c>
      <c r="O44" s="18" t="str">
        <f t="shared" si="10"/>
        <v>42</v>
      </c>
      <c r="P44" s="18" t="str">
        <f t="shared" si="11"/>
        <v>000</v>
      </c>
      <c r="Q44" s="42" t="s">
        <v>23</v>
      </c>
      <c r="R44" s="44" t="s">
        <v>192</v>
      </c>
    </row>
    <row r="45" spans="1:18" ht="34.5">
      <c r="A45" s="2">
        <v>42</v>
      </c>
      <c r="B45" s="23" t="str">
        <f t="shared" si="12"/>
        <v>00:03:45,000</v>
      </c>
      <c r="C45" s="24" t="str">
        <f t="shared" si="1"/>
        <v>00:03:47,000</v>
      </c>
      <c r="D45" s="17">
        <v>2</v>
      </c>
      <c r="E45" s="17">
        <v>5</v>
      </c>
      <c r="F45" s="26">
        <f t="shared" si="2"/>
        <v>225000</v>
      </c>
      <c r="G45" s="27">
        <f t="shared" si="0"/>
        <v>230000</v>
      </c>
      <c r="H45" s="28" t="str">
        <f t="shared" si="3"/>
        <v>00</v>
      </c>
      <c r="I45" s="28" t="str">
        <f t="shared" si="4"/>
        <v>03</v>
      </c>
      <c r="J45" s="28" t="str">
        <f t="shared" si="5"/>
        <v>50</v>
      </c>
      <c r="K45" s="28" t="str">
        <f t="shared" si="6"/>
        <v>000</v>
      </c>
      <c r="L45" s="18">
        <f t="shared" si="7"/>
        <v>227000</v>
      </c>
      <c r="M45" s="18" t="str">
        <f t="shared" si="8"/>
        <v>00</v>
      </c>
      <c r="N45" s="18" t="str">
        <f t="shared" si="9"/>
        <v>03</v>
      </c>
      <c r="O45" s="18" t="str">
        <f t="shared" si="10"/>
        <v>47</v>
      </c>
      <c r="P45" s="18" t="str">
        <f t="shared" si="11"/>
        <v>000</v>
      </c>
      <c r="Q45" s="42" t="s">
        <v>25</v>
      </c>
      <c r="R45" s="44" t="s">
        <v>194</v>
      </c>
    </row>
    <row r="46" spans="1:18" ht="34.5">
      <c r="A46" s="2">
        <v>43</v>
      </c>
      <c r="B46" s="23" t="str">
        <f t="shared" si="12"/>
        <v>00:03:50,000</v>
      </c>
      <c r="C46" s="24" t="str">
        <f t="shared" si="1"/>
        <v>00:03:52,000</v>
      </c>
      <c r="D46" s="17">
        <v>2</v>
      </c>
      <c r="E46" s="17">
        <v>5</v>
      </c>
      <c r="F46" s="26">
        <f t="shared" si="2"/>
        <v>230000</v>
      </c>
      <c r="G46" s="27">
        <f t="shared" si="0"/>
        <v>235000</v>
      </c>
      <c r="H46" s="28" t="str">
        <f t="shared" si="3"/>
        <v>00</v>
      </c>
      <c r="I46" s="28" t="str">
        <f t="shared" si="4"/>
        <v>03</v>
      </c>
      <c r="J46" s="28" t="str">
        <f t="shared" si="5"/>
        <v>55</v>
      </c>
      <c r="K46" s="28" t="str">
        <f t="shared" si="6"/>
        <v>000</v>
      </c>
      <c r="L46" s="18">
        <f t="shared" si="7"/>
        <v>232000</v>
      </c>
      <c r="M46" s="18" t="str">
        <f t="shared" si="8"/>
        <v>00</v>
      </c>
      <c r="N46" s="18" t="str">
        <f t="shared" si="9"/>
        <v>03</v>
      </c>
      <c r="O46" s="18" t="str">
        <f t="shared" si="10"/>
        <v>52</v>
      </c>
      <c r="P46" s="18" t="str">
        <f t="shared" si="11"/>
        <v>000</v>
      </c>
      <c r="Q46" s="42" t="s">
        <v>27</v>
      </c>
      <c r="R46" s="44" t="s">
        <v>196</v>
      </c>
    </row>
    <row r="47" spans="1:18" ht="34.5">
      <c r="A47" s="2">
        <v>44</v>
      </c>
      <c r="B47" s="23" t="str">
        <f t="shared" si="12"/>
        <v>00:03:55,000</v>
      </c>
      <c r="C47" s="24" t="str">
        <f t="shared" si="1"/>
        <v>00:03:57,000</v>
      </c>
      <c r="D47" s="17">
        <v>2</v>
      </c>
      <c r="E47" s="17">
        <v>5</v>
      </c>
      <c r="F47" s="26">
        <f t="shared" si="2"/>
        <v>235000</v>
      </c>
      <c r="G47" s="27">
        <f t="shared" si="0"/>
        <v>240000</v>
      </c>
      <c r="H47" s="28" t="str">
        <f t="shared" si="3"/>
        <v>00</v>
      </c>
      <c r="I47" s="28" t="str">
        <f t="shared" si="4"/>
        <v>04</v>
      </c>
      <c r="J47" s="28" t="str">
        <f t="shared" si="5"/>
        <v>00</v>
      </c>
      <c r="K47" s="28" t="str">
        <f t="shared" si="6"/>
        <v>000</v>
      </c>
      <c r="L47" s="18">
        <f t="shared" si="7"/>
        <v>237000</v>
      </c>
      <c r="M47" s="18" t="str">
        <f t="shared" si="8"/>
        <v>00</v>
      </c>
      <c r="N47" s="18" t="str">
        <f t="shared" si="9"/>
        <v>03</v>
      </c>
      <c r="O47" s="18" t="str">
        <f t="shared" si="10"/>
        <v>57</v>
      </c>
      <c r="P47" s="18" t="str">
        <f t="shared" si="11"/>
        <v>000</v>
      </c>
      <c r="Q47" s="42" t="s">
        <v>29</v>
      </c>
      <c r="R47" s="44" t="s">
        <v>198</v>
      </c>
    </row>
    <row r="48" spans="1:18" ht="34.5">
      <c r="A48" s="2">
        <v>45</v>
      </c>
      <c r="B48" s="23" t="str">
        <f t="shared" si="12"/>
        <v>00:04:00,000</v>
      </c>
      <c r="C48" s="24" t="str">
        <f t="shared" si="1"/>
        <v>00:04:02,000</v>
      </c>
      <c r="D48" s="17">
        <v>2</v>
      </c>
      <c r="E48" s="17">
        <v>5</v>
      </c>
      <c r="F48" s="26">
        <f t="shared" si="2"/>
        <v>240000</v>
      </c>
      <c r="G48" s="27">
        <f t="shared" si="0"/>
        <v>245000</v>
      </c>
      <c r="H48" s="28" t="str">
        <f t="shared" si="3"/>
        <v>00</v>
      </c>
      <c r="I48" s="28" t="str">
        <f t="shared" si="4"/>
        <v>04</v>
      </c>
      <c r="J48" s="28" t="str">
        <f t="shared" si="5"/>
        <v>05</v>
      </c>
      <c r="K48" s="28" t="str">
        <f t="shared" si="6"/>
        <v>000</v>
      </c>
      <c r="L48" s="18">
        <f t="shared" si="7"/>
        <v>242000</v>
      </c>
      <c r="M48" s="18" t="str">
        <f t="shared" si="8"/>
        <v>00</v>
      </c>
      <c r="N48" s="18" t="str">
        <f t="shared" si="9"/>
        <v>04</v>
      </c>
      <c r="O48" s="18" t="str">
        <f t="shared" si="10"/>
        <v>02</v>
      </c>
      <c r="P48" s="18" t="str">
        <f t="shared" si="11"/>
        <v>000</v>
      </c>
      <c r="Q48" s="42" t="s">
        <v>31</v>
      </c>
      <c r="R48" s="44" t="s">
        <v>200</v>
      </c>
    </row>
    <row r="49" spans="1:18" ht="34.5">
      <c r="A49" s="2">
        <v>46</v>
      </c>
      <c r="B49" s="23" t="str">
        <f t="shared" si="12"/>
        <v>00:04:05,000</v>
      </c>
      <c r="C49" s="24" t="str">
        <f t="shared" si="1"/>
        <v>00:04:07,000</v>
      </c>
      <c r="D49" s="17">
        <v>2</v>
      </c>
      <c r="E49" s="17">
        <v>5</v>
      </c>
      <c r="F49" s="26">
        <f t="shared" si="2"/>
        <v>245000</v>
      </c>
      <c r="G49" s="27">
        <f t="shared" si="0"/>
        <v>250000</v>
      </c>
      <c r="H49" s="28" t="str">
        <f t="shared" si="3"/>
        <v>00</v>
      </c>
      <c r="I49" s="28" t="str">
        <f t="shared" si="4"/>
        <v>04</v>
      </c>
      <c r="J49" s="28" t="str">
        <f t="shared" si="5"/>
        <v>10</v>
      </c>
      <c r="K49" s="28" t="str">
        <f t="shared" si="6"/>
        <v>000</v>
      </c>
      <c r="L49" s="18">
        <f t="shared" si="7"/>
        <v>247000</v>
      </c>
      <c r="M49" s="18" t="str">
        <f t="shared" si="8"/>
        <v>00</v>
      </c>
      <c r="N49" s="18" t="str">
        <f t="shared" si="9"/>
        <v>04</v>
      </c>
      <c r="O49" s="18" t="str">
        <f t="shared" si="10"/>
        <v>07</v>
      </c>
      <c r="P49" s="18" t="str">
        <f t="shared" si="11"/>
        <v>000</v>
      </c>
      <c r="Q49" s="42" t="s">
        <v>33</v>
      </c>
      <c r="R49" s="44" t="s">
        <v>202</v>
      </c>
    </row>
    <row r="50" spans="1:18" ht="34.5">
      <c r="A50" s="2">
        <v>47</v>
      </c>
      <c r="B50" s="23" t="str">
        <f t="shared" si="12"/>
        <v>00:04:10,000</v>
      </c>
      <c r="C50" s="24" t="str">
        <f t="shared" si="1"/>
        <v>00:04:12,000</v>
      </c>
      <c r="D50" s="17">
        <v>2</v>
      </c>
      <c r="E50" s="17">
        <v>5</v>
      </c>
      <c r="F50" s="26">
        <f t="shared" si="2"/>
        <v>250000</v>
      </c>
      <c r="G50" s="27">
        <f t="shared" si="0"/>
        <v>255000</v>
      </c>
      <c r="H50" s="28" t="str">
        <f t="shared" si="3"/>
        <v>00</v>
      </c>
      <c r="I50" s="28" t="str">
        <f t="shared" si="4"/>
        <v>04</v>
      </c>
      <c r="J50" s="28" t="str">
        <f t="shared" si="5"/>
        <v>15</v>
      </c>
      <c r="K50" s="28" t="str">
        <f t="shared" si="6"/>
        <v>000</v>
      </c>
      <c r="L50" s="18">
        <f t="shared" si="7"/>
        <v>252000</v>
      </c>
      <c r="M50" s="18" t="str">
        <f t="shared" si="8"/>
        <v>00</v>
      </c>
      <c r="N50" s="18" t="str">
        <f t="shared" si="9"/>
        <v>04</v>
      </c>
      <c r="O50" s="18" t="str">
        <f t="shared" si="10"/>
        <v>12</v>
      </c>
      <c r="P50" s="18" t="str">
        <f t="shared" si="11"/>
        <v>000</v>
      </c>
      <c r="Q50" s="42" t="s">
        <v>35</v>
      </c>
      <c r="R50" s="44" t="s">
        <v>204</v>
      </c>
    </row>
    <row r="51" spans="1:18" ht="34.5">
      <c r="A51" s="2">
        <v>48</v>
      </c>
      <c r="B51" s="23" t="str">
        <f t="shared" si="12"/>
        <v>00:04:15,000</v>
      </c>
      <c r="C51" s="24" t="str">
        <f t="shared" si="1"/>
        <v>00:04:17,000</v>
      </c>
      <c r="D51" s="17">
        <v>2</v>
      </c>
      <c r="E51" s="17">
        <v>5</v>
      </c>
      <c r="F51" s="26">
        <f t="shared" si="2"/>
        <v>255000</v>
      </c>
      <c r="G51" s="27">
        <f t="shared" si="0"/>
        <v>260000</v>
      </c>
      <c r="H51" s="28" t="str">
        <f t="shared" si="3"/>
        <v>00</v>
      </c>
      <c r="I51" s="28" t="str">
        <f t="shared" si="4"/>
        <v>04</v>
      </c>
      <c r="J51" s="28" t="str">
        <f t="shared" si="5"/>
        <v>20</v>
      </c>
      <c r="K51" s="28" t="str">
        <f t="shared" si="6"/>
        <v>000</v>
      </c>
      <c r="L51" s="18">
        <f t="shared" si="7"/>
        <v>257000</v>
      </c>
      <c r="M51" s="18" t="str">
        <f t="shared" si="8"/>
        <v>00</v>
      </c>
      <c r="N51" s="18" t="str">
        <f t="shared" si="9"/>
        <v>04</v>
      </c>
      <c r="O51" s="18" t="str">
        <f t="shared" si="10"/>
        <v>17</v>
      </c>
      <c r="P51" s="18" t="str">
        <f t="shared" si="11"/>
        <v>000</v>
      </c>
      <c r="Q51" s="42" t="s">
        <v>36</v>
      </c>
      <c r="R51" s="44" t="s">
        <v>206</v>
      </c>
    </row>
    <row r="52" spans="1:18" ht="34.5">
      <c r="A52" s="2">
        <v>49</v>
      </c>
      <c r="B52" s="23" t="str">
        <f t="shared" si="12"/>
        <v>00:04:20,000</v>
      </c>
      <c r="C52" s="24" t="str">
        <f t="shared" si="1"/>
        <v>00:04:22,000</v>
      </c>
      <c r="D52" s="17">
        <v>2</v>
      </c>
      <c r="E52" s="17">
        <v>5</v>
      </c>
      <c r="F52" s="26">
        <f t="shared" si="2"/>
        <v>260000</v>
      </c>
      <c r="G52" s="27">
        <f t="shared" si="0"/>
        <v>265000</v>
      </c>
      <c r="H52" s="28" t="str">
        <f t="shared" si="3"/>
        <v>00</v>
      </c>
      <c r="I52" s="28" t="str">
        <f t="shared" si="4"/>
        <v>04</v>
      </c>
      <c r="J52" s="28" t="str">
        <f t="shared" si="5"/>
        <v>25</v>
      </c>
      <c r="K52" s="28" t="str">
        <f t="shared" si="6"/>
        <v>000</v>
      </c>
      <c r="L52" s="18">
        <f t="shared" si="7"/>
        <v>262000</v>
      </c>
      <c r="M52" s="18" t="str">
        <f t="shared" si="8"/>
        <v>00</v>
      </c>
      <c r="N52" s="18" t="str">
        <f t="shared" si="9"/>
        <v>04</v>
      </c>
      <c r="O52" s="18" t="str">
        <f t="shared" si="10"/>
        <v>22</v>
      </c>
      <c r="P52" s="18" t="str">
        <f t="shared" si="11"/>
        <v>000</v>
      </c>
      <c r="Q52" s="42" t="s">
        <v>38</v>
      </c>
      <c r="R52" s="44" t="s">
        <v>208</v>
      </c>
    </row>
    <row r="53" spans="1:18" ht="34.5">
      <c r="A53" s="2">
        <v>50</v>
      </c>
      <c r="B53" s="23" t="str">
        <f t="shared" si="12"/>
        <v>00:04:25,000</v>
      </c>
      <c r="C53" s="24" t="str">
        <f t="shared" si="1"/>
        <v>00:04:27,000</v>
      </c>
      <c r="D53" s="17">
        <v>2</v>
      </c>
      <c r="E53" s="17">
        <v>5</v>
      </c>
      <c r="F53" s="26">
        <f t="shared" si="2"/>
        <v>265000</v>
      </c>
      <c r="G53" s="27">
        <f t="shared" si="0"/>
        <v>270000</v>
      </c>
      <c r="H53" s="28" t="str">
        <f t="shared" si="3"/>
        <v>00</v>
      </c>
      <c r="I53" s="28" t="str">
        <f t="shared" si="4"/>
        <v>04</v>
      </c>
      <c r="J53" s="28" t="str">
        <f t="shared" si="5"/>
        <v>30</v>
      </c>
      <c r="K53" s="28" t="str">
        <f t="shared" si="6"/>
        <v>000</v>
      </c>
      <c r="L53" s="18">
        <f t="shared" si="7"/>
        <v>267000</v>
      </c>
      <c r="M53" s="18" t="str">
        <f t="shared" si="8"/>
        <v>00</v>
      </c>
      <c r="N53" s="18" t="str">
        <f t="shared" si="9"/>
        <v>04</v>
      </c>
      <c r="O53" s="18" t="str">
        <f t="shared" si="10"/>
        <v>27</v>
      </c>
      <c r="P53" s="18" t="str">
        <f t="shared" si="11"/>
        <v>000</v>
      </c>
      <c r="Q53" s="42" t="s">
        <v>11</v>
      </c>
      <c r="R53" s="44" t="s">
        <v>178</v>
      </c>
    </row>
    <row r="54" spans="1:18" ht="34.5">
      <c r="A54" s="2">
        <v>51</v>
      </c>
      <c r="B54" s="23" t="str">
        <f t="shared" si="12"/>
        <v>00:04:30,000</v>
      </c>
      <c r="C54" s="24" t="str">
        <f t="shared" si="1"/>
        <v>00:04:32,000</v>
      </c>
      <c r="D54" s="17">
        <v>2</v>
      </c>
      <c r="E54" s="17">
        <v>5</v>
      </c>
      <c r="F54" s="26">
        <f t="shared" si="2"/>
        <v>270000</v>
      </c>
      <c r="G54" s="27">
        <f t="shared" si="0"/>
        <v>275000</v>
      </c>
      <c r="H54" s="28" t="str">
        <f t="shared" si="3"/>
        <v>00</v>
      </c>
      <c r="I54" s="28" t="str">
        <f t="shared" si="4"/>
        <v>04</v>
      </c>
      <c r="J54" s="28" t="str">
        <f t="shared" si="5"/>
        <v>35</v>
      </c>
      <c r="K54" s="28" t="str">
        <f t="shared" si="6"/>
        <v>000</v>
      </c>
      <c r="L54" s="18">
        <f t="shared" si="7"/>
        <v>272000</v>
      </c>
      <c r="M54" s="18" t="str">
        <f t="shared" si="8"/>
        <v>00</v>
      </c>
      <c r="N54" s="18" t="str">
        <f t="shared" si="9"/>
        <v>04</v>
      </c>
      <c r="O54" s="18" t="str">
        <f t="shared" si="10"/>
        <v>32</v>
      </c>
      <c r="P54" s="18" t="str">
        <f t="shared" si="11"/>
        <v>000</v>
      </c>
      <c r="Q54" s="42" t="s">
        <v>12</v>
      </c>
      <c r="R54" s="44" t="s">
        <v>180</v>
      </c>
    </row>
    <row r="55" spans="1:18" ht="34.5">
      <c r="A55" s="2">
        <v>52</v>
      </c>
      <c r="B55" s="23" t="str">
        <f t="shared" si="12"/>
        <v>00:04:35,000</v>
      </c>
      <c r="C55" s="24" t="str">
        <f t="shared" si="1"/>
        <v>00:04:37,000</v>
      </c>
      <c r="D55" s="17">
        <v>2</v>
      </c>
      <c r="E55" s="17">
        <v>5</v>
      </c>
      <c r="F55" s="26">
        <f t="shared" si="2"/>
        <v>275000</v>
      </c>
      <c r="G55" s="27">
        <f t="shared" si="0"/>
        <v>280000</v>
      </c>
      <c r="H55" s="28" t="str">
        <f t="shared" si="3"/>
        <v>00</v>
      </c>
      <c r="I55" s="28" t="str">
        <f t="shared" si="4"/>
        <v>04</v>
      </c>
      <c r="J55" s="28" t="str">
        <f t="shared" si="5"/>
        <v>40</v>
      </c>
      <c r="K55" s="28" t="str">
        <f t="shared" si="6"/>
        <v>000</v>
      </c>
      <c r="L55" s="18">
        <f t="shared" si="7"/>
        <v>277000</v>
      </c>
      <c r="M55" s="18" t="str">
        <f t="shared" si="8"/>
        <v>00</v>
      </c>
      <c r="N55" s="18" t="str">
        <f t="shared" si="9"/>
        <v>04</v>
      </c>
      <c r="O55" s="18" t="str">
        <f t="shared" si="10"/>
        <v>37</v>
      </c>
      <c r="P55" s="18" t="str">
        <f t="shared" si="11"/>
        <v>000</v>
      </c>
      <c r="Q55" s="42" t="s">
        <v>15</v>
      </c>
      <c r="R55" s="44" t="s">
        <v>182</v>
      </c>
    </row>
    <row r="56" spans="1:18" ht="34.5">
      <c r="A56" s="2">
        <v>53</v>
      </c>
      <c r="B56" s="23" t="str">
        <f t="shared" si="12"/>
        <v>00:04:40,000</v>
      </c>
      <c r="C56" s="24" t="str">
        <f t="shared" si="1"/>
        <v>00:04:42,000</v>
      </c>
      <c r="D56" s="17">
        <v>2</v>
      </c>
      <c r="E56" s="17">
        <v>5</v>
      </c>
      <c r="F56" s="26">
        <f t="shared" si="2"/>
        <v>280000</v>
      </c>
      <c r="G56" s="27">
        <f t="shared" si="0"/>
        <v>285000</v>
      </c>
      <c r="H56" s="28" t="str">
        <f t="shared" si="3"/>
        <v>00</v>
      </c>
      <c r="I56" s="28" t="str">
        <f t="shared" si="4"/>
        <v>04</v>
      </c>
      <c r="J56" s="28" t="str">
        <f t="shared" si="5"/>
        <v>45</v>
      </c>
      <c r="K56" s="28" t="str">
        <f t="shared" si="6"/>
        <v>000</v>
      </c>
      <c r="L56" s="18">
        <f t="shared" si="7"/>
        <v>282000</v>
      </c>
      <c r="M56" s="18" t="str">
        <f t="shared" si="8"/>
        <v>00</v>
      </c>
      <c r="N56" s="18" t="str">
        <f t="shared" si="9"/>
        <v>04</v>
      </c>
      <c r="O56" s="18" t="str">
        <f t="shared" si="10"/>
        <v>42</v>
      </c>
      <c r="P56" s="18" t="str">
        <f t="shared" si="11"/>
        <v>000</v>
      </c>
      <c r="Q56" s="42" t="s">
        <v>16</v>
      </c>
      <c r="R56" s="44" t="s">
        <v>184</v>
      </c>
    </row>
    <row r="57" spans="1:18" ht="34.5">
      <c r="A57" s="2">
        <v>54</v>
      </c>
      <c r="B57" s="23" t="str">
        <f t="shared" si="12"/>
        <v>00:04:45,000</v>
      </c>
      <c r="C57" s="24" t="str">
        <f t="shared" si="1"/>
        <v>00:04:47,000</v>
      </c>
      <c r="D57" s="17">
        <v>2</v>
      </c>
      <c r="E57" s="17">
        <v>5</v>
      </c>
      <c r="F57" s="26">
        <f t="shared" si="2"/>
        <v>285000</v>
      </c>
      <c r="G57" s="27">
        <f t="shared" si="0"/>
        <v>290000</v>
      </c>
      <c r="H57" s="28" t="str">
        <f t="shared" si="3"/>
        <v>00</v>
      </c>
      <c r="I57" s="28" t="str">
        <f t="shared" si="4"/>
        <v>04</v>
      </c>
      <c r="J57" s="28" t="str">
        <f t="shared" si="5"/>
        <v>50</v>
      </c>
      <c r="K57" s="28" t="str">
        <f t="shared" si="6"/>
        <v>000</v>
      </c>
      <c r="L57" s="18">
        <f t="shared" si="7"/>
        <v>287000</v>
      </c>
      <c r="M57" s="18" t="str">
        <f t="shared" si="8"/>
        <v>00</v>
      </c>
      <c r="N57" s="18" t="str">
        <f t="shared" si="9"/>
        <v>04</v>
      </c>
      <c r="O57" s="18" t="str">
        <f t="shared" si="10"/>
        <v>47</v>
      </c>
      <c r="P57" s="18" t="str">
        <f t="shared" si="11"/>
        <v>000</v>
      </c>
      <c r="Q57" s="42" t="s">
        <v>18</v>
      </c>
      <c r="R57" s="44" t="s">
        <v>186</v>
      </c>
    </row>
    <row r="58" spans="1:18" ht="34.5">
      <c r="A58" s="2">
        <v>55</v>
      </c>
      <c r="B58" s="23" t="str">
        <f t="shared" si="12"/>
        <v>00:04:50,000</v>
      </c>
      <c r="C58" s="24" t="str">
        <f t="shared" si="1"/>
        <v>00:04:52,000</v>
      </c>
      <c r="D58" s="17">
        <v>2</v>
      </c>
      <c r="E58" s="17">
        <v>5</v>
      </c>
      <c r="F58" s="26">
        <f t="shared" si="2"/>
        <v>290000</v>
      </c>
      <c r="G58" s="27">
        <f t="shared" si="0"/>
        <v>295000</v>
      </c>
      <c r="H58" s="28" t="str">
        <f t="shared" si="3"/>
        <v>00</v>
      </c>
      <c r="I58" s="28" t="str">
        <f t="shared" si="4"/>
        <v>04</v>
      </c>
      <c r="J58" s="28" t="str">
        <f t="shared" si="5"/>
        <v>55</v>
      </c>
      <c r="K58" s="28" t="str">
        <f t="shared" si="6"/>
        <v>000</v>
      </c>
      <c r="L58" s="18">
        <f t="shared" si="7"/>
        <v>292000</v>
      </c>
      <c r="M58" s="18" t="str">
        <f t="shared" si="8"/>
        <v>00</v>
      </c>
      <c r="N58" s="18" t="str">
        <f t="shared" si="9"/>
        <v>04</v>
      </c>
      <c r="O58" s="18" t="str">
        <f t="shared" si="10"/>
        <v>52</v>
      </c>
      <c r="P58" s="18" t="str">
        <f t="shared" si="11"/>
        <v>000</v>
      </c>
      <c r="Q58" s="42" t="s">
        <v>20</v>
      </c>
      <c r="R58" s="44" t="s">
        <v>188</v>
      </c>
    </row>
    <row r="59" spans="1:18" ht="34.5">
      <c r="A59" s="2">
        <v>56</v>
      </c>
      <c r="B59" s="23" t="str">
        <f t="shared" si="12"/>
        <v>00:04:55,000</v>
      </c>
      <c r="C59" s="24" t="str">
        <f t="shared" si="1"/>
        <v>00:04:57,000</v>
      </c>
      <c r="D59" s="17">
        <v>2</v>
      </c>
      <c r="E59" s="17">
        <v>5</v>
      </c>
      <c r="F59" s="26">
        <f t="shared" si="2"/>
        <v>295000</v>
      </c>
      <c r="G59" s="27">
        <f t="shared" si="0"/>
        <v>300000</v>
      </c>
      <c r="H59" s="28" t="str">
        <f t="shared" si="3"/>
        <v>00</v>
      </c>
      <c r="I59" s="28" t="str">
        <f t="shared" si="4"/>
        <v>05</v>
      </c>
      <c r="J59" s="28" t="str">
        <f t="shared" si="5"/>
        <v>00</v>
      </c>
      <c r="K59" s="28" t="str">
        <f t="shared" si="6"/>
        <v>000</v>
      </c>
      <c r="L59" s="18">
        <f t="shared" si="7"/>
        <v>297000</v>
      </c>
      <c r="M59" s="18" t="str">
        <f t="shared" si="8"/>
        <v>00</v>
      </c>
      <c r="N59" s="18" t="str">
        <f t="shared" si="9"/>
        <v>04</v>
      </c>
      <c r="O59" s="18" t="str">
        <f t="shared" si="10"/>
        <v>57</v>
      </c>
      <c r="P59" s="18" t="str">
        <f t="shared" si="11"/>
        <v>000</v>
      </c>
      <c r="Q59" s="42" t="s">
        <v>22</v>
      </c>
      <c r="R59" s="44" t="s">
        <v>190</v>
      </c>
    </row>
    <row r="60" spans="1:18" ht="34.5">
      <c r="A60" s="2">
        <v>57</v>
      </c>
      <c r="B60" s="23" t="str">
        <f t="shared" si="12"/>
        <v>00:05:00,000</v>
      </c>
      <c r="C60" s="24" t="str">
        <f t="shared" si="1"/>
        <v>00:05:02,000</v>
      </c>
      <c r="D60" s="17">
        <v>2</v>
      </c>
      <c r="E60" s="17">
        <v>5</v>
      </c>
      <c r="F60" s="26">
        <f t="shared" si="2"/>
        <v>300000</v>
      </c>
      <c r="G60" s="27">
        <f t="shared" si="0"/>
        <v>305000</v>
      </c>
      <c r="H60" s="28" t="str">
        <f t="shared" si="3"/>
        <v>00</v>
      </c>
      <c r="I60" s="28" t="str">
        <f t="shared" si="4"/>
        <v>05</v>
      </c>
      <c r="J60" s="28" t="str">
        <f t="shared" si="5"/>
        <v>05</v>
      </c>
      <c r="K60" s="28" t="str">
        <f t="shared" si="6"/>
        <v>000</v>
      </c>
      <c r="L60" s="18">
        <f t="shared" si="7"/>
        <v>302000</v>
      </c>
      <c r="M60" s="18" t="str">
        <f t="shared" si="8"/>
        <v>00</v>
      </c>
      <c r="N60" s="18" t="str">
        <f t="shared" si="9"/>
        <v>05</v>
      </c>
      <c r="O60" s="18" t="str">
        <f t="shared" si="10"/>
        <v>02</v>
      </c>
      <c r="P60" s="18" t="str">
        <f t="shared" si="11"/>
        <v>000</v>
      </c>
      <c r="Q60" s="42" t="s">
        <v>23</v>
      </c>
      <c r="R60" s="44" t="s">
        <v>192</v>
      </c>
    </row>
    <row r="61" spans="1:18" ht="34.5">
      <c r="A61" s="2">
        <v>58</v>
      </c>
      <c r="B61" s="23" t="str">
        <f t="shared" si="12"/>
        <v>00:05:05,000</v>
      </c>
      <c r="C61" s="24" t="str">
        <f t="shared" si="1"/>
        <v>00:05:07,000</v>
      </c>
      <c r="D61" s="17">
        <v>2</v>
      </c>
      <c r="E61" s="17">
        <v>5</v>
      </c>
      <c r="F61" s="26">
        <f t="shared" si="2"/>
        <v>305000</v>
      </c>
      <c r="G61" s="27">
        <f t="shared" si="0"/>
        <v>310000</v>
      </c>
      <c r="H61" s="28" t="str">
        <f t="shared" si="3"/>
        <v>00</v>
      </c>
      <c r="I61" s="28" t="str">
        <f t="shared" si="4"/>
        <v>05</v>
      </c>
      <c r="J61" s="28" t="str">
        <f t="shared" si="5"/>
        <v>10</v>
      </c>
      <c r="K61" s="28" t="str">
        <f t="shared" si="6"/>
        <v>000</v>
      </c>
      <c r="L61" s="18">
        <f t="shared" si="7"/>
        <v>307000</v>
      </c>
      <c r="M61" s="18" t="str">
        <f t="shared" si="8"/>
        <v>00</v>
      </c>
      <c r="N61" s="18" t="str">
        <f t="shared" si="9"/>
        <v>05</v>
      </c>
      <c r="O61" s="18" t="str">
        <f t="shared" si="10"/>
        <v>07</v>
      </c>
      <c r="P61" s="18" t="str">
        <f t="shared" si="11"/>
        <v>000</v>
      </c>
      <c r="Q61" s="42" t="s">
        <v>22</v>
      </c>
      <c r="R61" s="44" t="s">
        <v>190</v>
      </c>
    </row>
    <row r="62" spans="1:18" ht="34.5">
      <c r="A62" s="2">
        <v>59</v>
      </c>
      <c r="B62" s="23" t="str">
        <f t="shared" si="12"/>
        <v>00:05:10,000</v>
      </c>
      <c r="C62" s="24" t="str">
        <f t="shared" si="1"/>
        <v>00:05:12,000</v>
      </c>
      <c r="D62" s="17">
        <v>2</v>
      </c>
      <c r="E62" s="17">
        <v>5</v>
      </c>
      <c r="F62" s="26">
        <f t="shared" si="2"/>
        <v>310000</v>
      </c>
      <c r="G62" s="27">
        <f t="shared" si="0"/>
        <v>315000</v>
      </c>
      <c r="H62" s="28" t="str">
        <f t="shared" si="3"/>
        <v>00</v>
      </c>
      <c r="I62" s="28" t="str">
        <f t="shared" si="4"/>
        <v>05</v>
      </c>
      <c r="J62" s="28" t="str">
        <f t="shared" si="5"/>
        <v>15</v>
      </c>
      <c r="K62" s="28" t="str">
        <f t="shared" si="6"/>
        <v>000</v>
      </c>
      <c r="L62" s="18">
        <f t="shared" si="7"/>
        <v>312000</v>
      </c>
      <c r="M62" s="18" t="str">
        <f t="shared" si="8"/>
        <v>00</v>
      </c>
      <c r="N62" s="18" t="str">
        <f t="shared" si="9"/>
        <v>05</v>
      </c>
      <c r="O62" s="18" t="str">
        <f t="shared" si="10"/>
        <v>12</v>
      </c>
      <c r="P62" s="18" t="str">
        <f t="shared" si="11"/>
        <v>000</v>
      </c>
      <c r="Q62" s="42" t="s">
        <v>23</v>
      </c>
      <c r="R62" s="44" t="s">
        <v>192</v>
      </c>
    </row>
    <row r="63" spans="1:18" ht="34.5">
      <c r="A63" s="2">
        <v>60</v>
      </c>
      <c r="B63" s="23" t="str">
        <f t="shared" si="12"/>
        <v>00:05:15,000</v>
      </c>
      <c r="C63" s="24" t="str">
        <f t="shared" si="1"/>
        <v>00:05:17,000</v>
      </c>
      <c r="D63" s="17">
        <v>2</v>
      </c>
      <c r="E63" s="17">
        <v>5</v>
      </c>
      <c r="F63" s="26">
        <f t="shared" si="2"/>
        <v>315000</v>
      </c>
      <c r="G63" s="27">
        <f t="shared" si="0"/>
        <v>320000</v>
      </c>
      <c r="H63" s="28" t="str">
        <f t="shared" si="3"/>
        <v>00</v>
      </c>
      <c r="I63" s="28" t="str">
        <f t="shared" si="4"/>
        <v>05</v>
      </c>
      <c r="J63" s="28" t="str">
        <f t="shared" si="5"/>
        <v>20</v>
      </c>
      <c r="K63" s="28" t="str">
        <f t="shared" si="6"/>
        <v>000</v>
      </c>
      <c r="L63" s="18">
        <f t="shared" si="7"/>
        <v>317000</v>
      </c>
      <c r="M63" s="18" t="str">
        <f t="shared" si="8"/>
        <v>00</v>
      </c>
      <c r="N63" s="18" t="str">
        <f t="shared" si="9"/>
        <v>05</v>
      </c>
      <c r="O63" s="18" t="str">
        <f t="shared" si="10"/>
        <v>17</v>
      </c>
      <c r="P63" s="18" t="str">
        <f t="shared" si="11"/>
        <v>000</v>
      </c>
      <c r="Q63" s="42" t="s">
        <v>22</v>
      </c>
      <c r="R63" s="44" t="s">
        <v>190</v>
      </c>
    </row>
    <row r="64" spans="1:18" ht="34.5">
      <c r="A64" s="2">
        <v>61</v>
      </c>
      <c r="B64" s="23" t="str">
        <f t="shared" si="12"/>
        <v>00:05:20,000</v>
      </c>
      <c r="C64" s="24" t="str">
        <f t="shared" si="1"/>
        <v>00:05:22,000</v>
      </c>
      <c r="D64" s="17">
        <v>2</v>
      </c>
      <c r="E64" s="17">
        <v>5</v>
      </c>
      <c r="F64" s="26">
        <f t="shared" si="2"/>
        <v>320000</v>
      </c>
      <c r="G64" s="27">
        <f t="shared" si="0"/>
        <v>325000</v>
      </c>
      <c r="H64" s="28" t="str">
        <f t="shared" si="3"/>
        <v>00</v>
      </c>
      <c r="I64" s="28" t="str">
        <f t="shared" si="4"/>
        <v>05</v>
      </c>
      <c r="J64" s="28" t="str">
        <f t="shared" si="5"/>
        <v>25</v>
      </c>
      <c r="K64" s="28" t="str">
        <f t="shared" si="6"/>
        <v>000</v>
      </c>
      <c r="L64" s="18">
        <f t="shared" si="7"/>
        <v>322000</v>
      </c>
      <c r="M64" s="18" t="str">
        <f t="shared" si="8"/>
        <v>00</v>
      </c>
      <c r="N64" s="18" t="str">
        <f t="shared" si="9"/>
        <v>05</v>
      </c>
      <c r="O64" s="18" t="str">
        <f t="shared" si="10"/>
        <v>22</v>
      </c>
      <c r="P64" s="18" t="str">
        <f t="shared" si="11"/>
        <v>000</v>
      </c>
      <c r="Q64" s="42" t="s">
        <v>23</v>
      </c>
      <c r="R64" s="44" t="s">
        <v>192</v>
      </c>
    </row>
    <row r="65" spans="1:18" ht="24">
      <c r="A65" s="20" t="s">
        <v>51</v>
      </c>
      <c r="B65" s="21" t="str">
        <f t="shared" si="12"/>
        <v>00:05:25,000</v>
      </c>
      <c r="C65" s="24" t="str">
        <f t="shared" si="1"/>
        <v>00:05:27,000</v>
      </c>
      <c r="D65" s="17">
        <v>2</v>
      </c>
      <c r="E65" s="17">
        <v>5</v>
      </c>
      <c r="F65" s="29">
        <f t="shared" si="2"/>
        <v>325000</v>
      </c>
      <c r="G65" s="27">
        <f t="shared" si="0"/>
        <v>330000</v>
      </c>
      <c r="H65" s="30" t="str">
        <f t="shared" si="3"/>
        <v>00</v>
      </c>
      <c r="I65" s="30" t="str">
        <f t="shared" si="4"/>
        <v>05</v>
      </c>
      <c r="J65" s="30" t="str">
        <f t="shared" si="5"/>
        <v>30</v>
      </c>
      <c r="K65" s="30" t="str">
        <f t="shared" si="6"/>
        <v>000</v>
      </c>
      <c r="L65" s="18">
        <f t="shared" si="7"/>
        <v>327000</v>
      </c>
      <c r="M65" s="18" t="str">
        <f t="shared" si="8"/>
        <v>00</v>
      </c>
      <c r="N65" s="18" t="str">
        <f t="shared" si="9"/>
        <v>05</v>
      </c>
      <c r="O65" s="18" t="str">
        <f t="shared" si="10"/>
        <v>27</v>
      </c>
      <c r="P65" s="18" t="str">
        <f t="shared" si="11"/>
        <v>000</v>
      </c>
      <c r="Q65" s="43"/>
      <c r="R65" s="4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具名範圍</vt:lpstr>
      </vt:variant>
      <vt:variant>
        <vt:i4>7</vt:i4>
      </vt:variant>
    </vt:vector>
  </HeadingPairs>
  <TitlesOfParts>
    <vt:vector size="13" baseType="lpstr">
      <vt:lpstr>env</vt:lpstr>
      <vt:lpstr>01_漢字標音</vt:lpstr>
      <vt:lpstr>02_計算時長</vt:lpstr>
      <vt:lpstr>腳本</vt:lpstr>
      <vt:lpstr>TL</vt:lpstr>
      <vt:lpstr>BPM2</vt:lpstr>
      <vt:lpstr>FILE_NAME</vt:lpstr>
      <vt:lpstr>IMAGE_URL</vt:lpstr>
      <vt:lpstr>OUTPUT_PATH</vt:lpstr>
      <vt:lpstr>TITLE</vt:lpstr>
      <vt:lpstr>漢字庫</vt:lpstr>
      <vt:lpstr>漢字標音</vt:lpstr>
      <vt:lpstr>語音類型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2026-09-10T09:44:41Z</dcterms:created>
  <dcterms:modified xsi:type="dcterms:W3CDTF">2026-09-12T13:05:45Z</dcterms:modified>
</cp:coreProperties>
</file>