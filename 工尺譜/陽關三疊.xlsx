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工尺譜\"/>
    </mc:Choice>
  </mc:AlternateContent>
  <xr:revisionPtr revIDLastSave="0" documentId="13_ncr:1_{16DF728B-F6A5-4663-8990-70A86C801DCA}" xr6:coauthVersionLast="47" xr6:coauthVersionMax="47" xr10:uidLastSave="{00000000-0000-0000-0000-000000000000}"/>
  <bookViews>
    <workbookView xWindow="38280" yWindow="-120" windowWidth="16440" windowHeight="28320" xr2:uid="{B47994BE-BB8F-4073-8B73-2C5845C3E6D7}"/>
  </bookViews>
  <sheets>
    <sheet name="陽關三疊" sheetId="1" r:id="rId1"/>
    <sheet name="工作表2" sheetId="2" r:id="rId2"/>
    <sheet name="工作表3" sheetId="3" r:id="rId3"/>
    <sheet name="工作表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4" i="1"/>
  <c r="C23" i="1"/>
  <c r="C22" i="1"/>
  <c r="C21" i="1"/>
  <c r="C20" i="1"/>
  <c r="C19" i="1"/>
  <c r="C18" i="1"/>
  <c r="C16" i="1"/>
  <c r="C15" i="1"/>
  <c r="C14" i="1"/>
  <c r="C13" i="1"/>
  <c r="C12" i="1"/>
  <c r="C11" i="1"/>
  <c r="C10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<sst xmlns="http://schemas.openxmlformats.org/spreadsheetml/2006/main" count="506" uniqueCount="202">
  <si>
    <t>詩韻四聲</t>
  </si>
  <si>
    <t>平仄屬性</t>
  </si>
  <si>
    <t>吟誦運腔具體秘訣（結合四聲與工尺）</t>
  </si>
  <si>
    <t>渭</t>
  </si>
  <si>
    <t>五</t>
  </si>
  <si>
    <t>去聲</t>
  </si>
  <si>
    <t>仄</t>
  </si>
  <si>
    <t>音勢下沉。作為開頭字，語氣要重、要沉穩，定下全曲基調。</t>
  </si>
  <si>
    <t>城</t>
  </si>
  <si>
    <t>六</t>
  </si>
  <si>
    <t>陽平</t>
  </si>
  <si>
    <t>平</t>
  </si>
  <si>
    <t>音調微揚。平聲字，順著「六」音平平地拉長，帶出遠方畫面。</t>
  </si>
  <si>
    <t>朝</t>
  </si>
  <si>
    <t>工</t>
  </si>
  <si>
    <t>i</t>
  </si>
  <si>
    <t>陰平</t>
  </si>
  <si>
    <t>全句最高音。平聲字，將高音「工」拉長、平推，表現早晨清明之氣。</t>
  </si>
  <si>
    <t>雨</t>
  </si>
  <si>
    <t>上聲</t>
  </si>
  <si>
    <t>轉折挑高。雖然記「六」，但字音要從低處向上「拐彎」挑起，做出雨水抑揚感。</t>
  </si>
  <si>
    <t>浥</t>
  </si>
  <si>
    <t>入聲</t>
  </si>
  <si>
    <t>輕</t>
  </si>
  <si>
    <t>輕巧帶過。平聲字，音調平直、流暢地滑向下一字。</t>
  </si>
  <si>
    <t>塵</t>
  </si>
  <si>
    <t>第一句結尾。平聲字，在「五」音上悠長地拉平，作第一句的交代。</t>
  </si>
  <si>
    <t>客</t>
  </si>
  <si>
    <t>舍</t>
  </si>
  <si>
    <t>順勢下行。去聲字，音調從高往低滑落，表現旅店的清冷。</t>
  </si>
  <si>
    <t>青</t>
  </si>
  <si>
    <t>雙字疊用。平聲字，在「五」音上平平地延長，字音要連貫。</t>
  </si>
  <si>
    <t>承接前字。音高保持不變，繼續平推，營造出柳色綿延的視覺感。</t>
  </si>
  <si>
    <t>柳</t>
  </si>
  <si>
    <t>微幅上揚。上聲字，字音在中途用力向上挑一下，帶出柳條擺動的動態。</t>
  </si>
  <si>
    <t>色</t>
  </si>
  <si>
    <t>新</t>
  </si>
  <si>
    <t>凡</t>
  </si>
  <si>
    <t>勸</t>
  </si>
  <si>
    <t>轉折叮嚀。去聲字，語氣要誠懇、推心置腹，音勢順勢下滑。</t>
  </si>
  <si>
    <t>君</t>
  </si>
  <si>
    <t>推向高點。平聲字，將情感在高音「工」上平直地拉長、抒發。</t>
  </si>
  <si>
    <t>更</t>
  </si>
  <si>
    <t>逐漸收斂。去聲字，音高從高處往下滑落，情感轉向內斂。</t>
  </si>
  <si>
    <t>盡</t>
  </si>
  <si>
    <t>字音沉實。去聲字，音調繼續下沉，表現「乾杯」時沉甸甸的情感。</t>
  </si>
  <si>
    <t>一</t>
  </si>
  <si>
    <t>杯</t>
  </si>
  <si>
    <t>稍作停頓。平聲字，音高平穩，在此字可稍微蓄積情感。</t>
  </si>
  <si>
    <t>酒</t>
  </si>
  <si>
    <t>西</t>
  </si>
  <si>
    <t>轉入末句。平聲字，音調平直拉長，語氣轉趨悲涼。</t>
  </si>
  <si>
    <t>出</t>
  </si>
  <si>
    <t>陽</t>
  </si>
  <si>
    <t>音調揚起。平聲字，在「六」音上平穩拉長，點出核心地名。</t>
  </si>
  <si>
    <t>關</t>
  </si>
  <si>
    <t>陡然拔高。平聲字，在最高音「工」上悠長平推，營造空間的空曠與蒼茫。</t>
  </si>
  <si>
    <t>無</t>
  </si>
  <si>
    <t>悠長下行。平聲字，順著音勢平緩地向下滑行、延伸。</t>
  </si>
  <si>
    <t>故</t>
  </si>
  <si>
    <t>情感沉寂。去聲字，音調下沉，帶出「沒有故人」的孤獨與無奈。</t>
  </si>
  <si>
    <t>人</t>
  </si>
  <si>
    <t>短促急收藏！ 雖然音高為「五」，但一發音立刻切斷呼吸，不可拉長。</t>
  </si>
  <si>
    <t>突起急斷！ 次句開頭音極高，但因為是入聲，必須像爆破音般短促收聲。</t>
  </si>
  <si>
    <t>短促收音！ 雖然是入聲字，但因接近句尾，收音要輕，準備入韻。</t>
  </si>
  <si>
    <t>全句韻腳（平聲）。拉長音！在變音「凡」上悠長延伸，尾音微弱並帶點微幅顫音。</t>
  </si>
  <si>
    <t>急促切斷！ 音調雖微揚，但字音要極短，隨即銜接下一字。</t>
  </si>
  <si>
    <t>全句情感核心！ 上聲字結合最高音「工」，字音要猛烈激昂地向上高呼、拋起！</t>
  </si>
  <si>
    <t>短促收藏！ 出關的「出」是入聲，字音急促切斷，與後字形成強烈對比。</t>
  </si>
  <si>
    <t>全曲終結韻腳（平聲）。平聲字，音調極低（四/2），無盡地拉長、漸弱，餘音裊裊。</t>
  </si>
  <si>
    <t>1. 「入聲字」的現代替代法：如果您用現代國語吟誦，讀到【浥、客、色、一、出】這五個字時，請想像肚子被輕輕撞了一下，把發音時間壓縮到原本的四分之一，字音一出馬上鎖住喉嚨（斷氣），這樣工尺譜的節奏感就會極為立體。</t>
  </si>
  <si>
    <t>2. 拉長「平聲韻腳」：第一句的【新】與結尾的【人】是這首詩的靈魂。這兩個字是平聲，請放心地順著工尺譜的音高（凡、四）拉長、走音、吐氣，把離別的惆悵完全送出去。</t>
  </si>
  <si>
    <t>3. 感受【酒】與【關】的高亢：全曲最激昂的兩個字都在高音「工」上。吟誦【酒】時要帶有「人生難得再相聚」的悲壯；吟誦【關】時則要展現「眼前塞外大漠蒼茫」的空間感。</t>
  </si>
  <si>
    <t>工尺譜</t>
    <phoneticPr fontId="1" type="noConversion"/>
  </si>
  <si>
    <t>簡譜</t>
  </si>
  <si>
    <t>簡譜</t>
    <phoneticPr fontId="1" type="noConversion"/>
  </si>
  <si>
    <t>歌詞</t>
    <phoneticPr fontId="1" type="noConversion"/>
  </si>
  <si>
    <t>仜</t>
  </si>
  <si>
    <t>仜</t>
    <phoneticPr fontId="1" type="noConversion"/>
  </si>
  <si>
    <r>
      <rPr>
        <sz val="18"/>
        <color theme="1"/>
        <rFont val="Segoe UI Emoji"/>
        <family val="2"/>
        <charset val="254"/>
      </rPr>
      <t>💡</t>
    </r>
    <r>
      <rPr>
        <sz val="18"/>
        <color theme="1"/>
        <rFont val="Noto Serif TC Black"/>
        <family val="1"/>
        <charset val="136"/>
      </rPr>
      <t xml:space="preserve"> 吟誦小指引：</t>
    </r>
    <phoneticPr fontId="1" type="noConversion"/>
  </si>
  <si>
    <t>do</t>
  </si>
  <si>
    <t>do</t>
    <phoneticPr fontId="9" type="noConversion"/>
  </si>
  <si>
    <t>re</t>
  </si>
  <si>
    <t>mi</t>
  </si>
  <si>
    <t>fa</t>
  </si>
  <si>
    <t>sol</t>
  </si>
  <si>
    <t>re</t>
    <phoneticPr fontId="9" type="noConversion"/>
  </si>
  <si>
    <t>mi</t>
    <phoneticPr fontId="9" type="noConversion"/>
  </si>
  <si>
    <t>fa</t>
    <phoneticPr fontId="9" type="noConversion"/>
  </si>
  <si>
    <t>sol</t>
    <phoneticPr fontId="9" type="noConversion"/>
  </si>
  <si>
    <t>la</t>
  </si>
  <si>
    <t>la</t>
    <phoneticPr fontId="9" type="noConversion"/>
  </si>
  <si>
    <t>ti</t>
    <phoneticPr fontId="9" type="noConversion"/>
  </si>
  <si>
    <t>上</t>
  </si>
  <si>
    <t>尺</t>
  </si>
  <si>
    <t>乙</t>
  </si>
  <si>
    <t>工尺譜</t>
    <phoneticPr fontId="9" type="noConversion"/>
  </si>
  <si>
    <t>唱名</t>
  </si>
  <si>
    <t>音階唱名</t>
    <phoneticPr fontId="9" type="noConversion"/>
  </si>
  <si>
    <t>簡譜</t>
    <phoneticPr fontId="9" type="noConversion"/>
  </si>
  <si>
    <t>1.</t>
    <phoneticPr fontId="9" type="noConversion"/>
  </si>
  <si>
    <t>閩劇工尺譜</t>
  </si>
  <si>
    <t>工尺</t>
  </si>
  <si>
    <t>合</t>
  </si>
  <si>
    <t>勾</t>
  </si>
  <si>
    <t>上凡</t>
  </si>
  <si>
    <t>仩</t>
  </si>
  <si>
    <t>伬</t>
  </si>
  <si>
    <t>音名</t>
  </si>
  <si>
    <t>g</t>
  </si>
  <si>
    <t>a</t>
  </si>
  <si>
    <t>b</t>
  </si>
  <si>
    <t>si</t>
  </si>
  <si>
    <t>#do</t>
  </si>
  <si>
    <t>#fa</t>
  </si>
  <si>
    <t> 5·</t>
  </si>
  <si>
    <t> 6·</t>
  </si>
  <si>
    <t> 7·</t>
  </si>
  <si>
    <t> 1 </t>
  </si>
  <si>
    <t># 1 </t>
  </si>
  <si>
    <t> 2 </t>
  </si>
  <si>
    <t> 3 </t>
  </si>
  <si>
    <t> 4 </t>
  </si>
  <si>
    <t># 4 </t>
  </si>
  <si>
    <t> 5 </t>
  </si>
  <si>
    <t> 6 </t>
  </si>
  <si>
    <t> 7 </t>
  </si>
  <si>
    <t>·1 </t>
  </si>
  <si>
    <t>·2 </t>
  </si>
  <si>
    <t>·3 </t>
  </si>
  <si>
    <t>c1</t>
  </si>
  <si>
    <t>#c1</t>
  </si>
  <si>
    <t>d1</t>
  </si>
  <si>
    <t>e1</t>
  </si>
  <si>
    <t>f1</t>
  </si>
  <si>
    <t>#f1</t>
  </si>
  <si>
    <t>g1</t>
  </si>
  <si>
    <t>a1</t>
  </si>
  <si>
    <t>b1</t>
  </si>
  <si>
    <t>c2</t>
  </si>
  <si>
    <t>d2</t>
  </si>
  <si>
    <t>e2</t>
  </si>
  <si>
    <t>四（士）</t>
  </si>
  <si>
    <t>一（乙）</t>
  </si>
  <si>
    <t>尺（乂）</t>
  </si>
  <si>
    <t>尺（乂）</t>
    <phoneticPr fontId="9" type="noConversion"/>
  </si>
  <si>
    <t>https://www.youtube.com/watch?v=vs1Of3VtYU8</t>
  </si>
  <si>
    <t>鍵盤</t>
    <phoneticPr fontId="9" type="noConversion"/>
  </si>
  <si>
    <t>Q</t>
    <phoneticPr fontId="9" type="noConversion"/>
  </si>
  <si>
    <t>W</t>
    <phoneticPr fontId="9" type="noConversion"/>
  </si>
  <si>
    <t>E</t>
    <phoneticPr fontId="9" type="noConversion"/>
  </si>
  <si>
    <t>R</t>
    <phoneticPr fontId="9" type="noConversion"/>
  </si>
  <si>
    <t>M</t>
    <phoneticPr fontId="9" type="noConversion"/>
  </si>
  <si>
    <t>N</t>
    <phoneticPr fontId="9" type="noConversion"/>
  </si>
  <si>
    <t>B</t>
    <phoneticPr fontId="9" type="noConversion"/>
  </si>
  <si>
    <t>T</t>
    <phoneticPr fontId="9" type="noConversion"/>
  </si>
  <si>
    <t>Y</t>
    <phoneticPr fontId="9" type="noConversion"/>
  </si>
  <si>
    <t>U</t>
    <phoneticPr fontId="9" type="noConversion"/>
  </si>
  <si>
    <t>I</t>
    <phoneticPr fontId="9" type="noConversion"/>
  </si>
  <si>
    <t>O</t>
    <phoneticPr fontId="9" type="noConversion"/>
  </si>
  <si>
    <t>P</t>
    <phoneticPr fontId="9" type="noConversion"/>
  </si>
  <si>
    <t>士</t>
    <phoneticPr fontId="9" type="noConversion"/>
  </si>
  <si>
    <t>乙</t>
    <phoneticPr fontId="9" type="noConversion"/>
  </si>
  <si>
    <t>合</t>
    <phoneticPr fontId="9" type="noConversion"/>
  </si>
  <si>
    <t>上</t>
    <phoneticPr fontId="9" type="noConversion"/>
  </si>
  <si>
    <t>勾</t>
    <phoneticPr fontId="9" type="noConversion"/>
  </si>
  <si>
    <t>尺</t>
    <phoneticPr fontId="9" type="noConversion"/>
  </si>
  <si>
    <t>工</t>
    <phoneticPr fontId="9" type="noConversion"/>
  </si>
  <si>
    <t>凡</t>
    <phoneticPr fontId="9" type="noConversion"/>
  </si>
  <si>
    <t>上凡</t>
    <phoneticPr fontId="9" type="noConversion"/>
  </si>
  <si>
    <t>六</t>
    <phoneticPr fontId="9" type="noConversion"/>
  </si>
  <si>
    <t>五</t>
    <phoneticPr fontId="9" type="noConversion"/>
  </si>
  <si>
    <t>亿</t>
    <phoneticPr fontId="9" type="noConversion"/>
  </si>
  <si>
    <t>仩</t>
    <phoneticPr fontId="9" type="noConversion"/>
  </si>
  <si>
    <t>伬</t>
    <phoneticPr fontId="9" type="noConversion"/>
  </si>
  <si>
    <t>仜</t>
    <phoneticPr fontId="9" type="noConversion"/>
  </si>
  <si>
    <t>一</t>
    <phoneticPr fontId="9" type="noConversion"/>
  </si>
  <si>
    <t>工尺2</t>
  </si>
  <si>
    <t>按鍵</t>
    <phoneticPr fontId="1" type="noConversion"/>
  </si>
  <si>
    <t>士</t>
    <phoneticPr fontId="1" type="noConversion"/>
  </si>
  <si>
    <t>漢字白讀音</t>
    <phoneticPr fontId="9" type="noConversion"/>
  </si>
  <si>
    <t>予</t>
    <phoneticPr fontId="9" type="noConversion"/>
  </si>
  <si>
    <t>伊</t>
    <phoneticPr fontId="9" type="noConversion"/>
  </si>
  <si>
    <t>向</t>
    <phoneticPr fontId="9" type="noConversion"/>
  </si>
  <si>
    <t>妻</t>
    <phoneticPr fontId="9" type="noConversion"/>
  </si>
  <si>
    <t>公</t>
    <phoneticPr fontId="9" type="noConversion"/>
  </si>
  <si>
    <t>番</t>
    <phoneticPr fontId="9" type="noConversion"/>
  </si>
  <si>
    <t>溜</t>
    <phoneticPr fontId="9" type="noConversion"/>
  </si>
  <si>
    <t>巫</t>
    <phoneticPr fontId="9" type="noConversion"/>
  </si>
  <si>
    <t>北管</t>
    <phoneticPr fontId="9" type="noConversion"/>
  </si>
  <si>
    <t>乂</t>
    <phoneticPr fontId="9" type="noConversion"/>
  </si>
  <si>
    <t>注音</t>
    <phoneticPr fontId="9" type="noConversion"/>
  </si>
  <si>
    <r>
      <rPr>
        <sz val="18"/>
        <color theme="1"/>
        <rFont val="Microsoft JhengHei UI"/>
        <family val="3"/>
      </rPr>
      <t>ㄏ</t>
    </r>
    <r>
      <rPr>
        <sz val="18"/>
        <color theme="1"/>
        <rFont val="Microsoft JhengHei UI"/>
        <family val="3"/>
        <charset val="136"/>
      </rPr>
      <t>ㆦ</t>
    </r>
    <phoneticPr fontId="9" type="noConversion"/>
  </si>
  <si>
    <t>ㄙㄨ</t>
    <phoneticPr fontId="9" type="noConversion"/>
  </si>
  <si>
    <t>ㄧ</t>
    <phoneticPr fontId="9" type="noConversion"/>
  </si>
  <si>
    <t>ㄒㄧㄤ</t>
    <phoneticPr fontId="9" type="noConversion"/>
  </si>
  <si>
    <t>ㄘㆤ</t>
    <phoneticPr fontId="9" type="noConversion"/>
  </si>
  <si>
    <t>ㄍㄨㆭ</t>
    <phoneticPr fontId="9" type="noConversion"/>
  </si>
  <si>
    <t>ㄏㄨㄢ</t>
    <phoneticPr fontId="9" type="noConversion"/>
  </si>
  <si>
    <t>ㄌㄧㄨ</t>
    <phoneticPr fontId="9" type="noConversion"/>
  </si>
  <si>
    <t>ㄨ</t>
    <phoneticPr fontId="9" type="noConversion"/>
  </si>
  <si>
    <t>https://www.youtube.com/watch?v=TBEF5iGQ2Pc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</si>
</sst>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8"/>
      <color theme="1"/>
      <name val="Sarasa Fixed Slab TC"/>
      <family val="3"/>
      <charset val="136"/>
    </font>
    <font>
      <sz val="9"/>
      <name val="新細明體"/>
      <family val="2"/>
      <charset val="136"/>
      <scheme val="minor"/>
    </font>
    <font>
      <sz val="18"/>
      <color theme="3" tint="0.249977111117893"/>
      <name val="Sarasa Fixed Slab TC"/>
      <family val="3"/>
      <charset val="136"/>
    </font>
    <font>
      <sz val="28"/>
      <color theme="1"/>
      <name val="Noto Serif TC Black"/>
      <family val="1"/>
      <charset val="136"/>
    </font>
    <font>
      <sz val="18"/>
      <color rgb="FFFF0000"/>
      <name val="Sarasa Fixed Slab TC"/>
      <family val="3"/>
      <charset val="136"/>
    </font>
    <font>
      <sz val="18"/>
      <color theme="1"/>
      <name val="Noto Serif TC Black"/>
      <family val="1"/>
      <charset val="136"/>
    </font>
    <font>
      <sz val="16"/>
      <color theme="1"/>
      <name val="Sarasa Fixed Slab TC"/>
      <family val="3"/>
      <charset val="136"/>
    </font>
    <font>
      <sz val="18"/>
      <color theme="1"/>
      <name val="Segoe UI Emoji"/>
      <family val="2"/>
      <charset val="254"/>
    </font>
    <font>
      <sz val="18"/>
      <color theme="1"/>
      <name val="Noto Serif TC Black"/>
      <family val="2"/>
      <charset val="254"/>
    </font>
    <font>
      <sz val="9"/>
      <name val="Sarasa Fixed Slab TC"/>
      <family val="3"/>
      <charset val="136"/>
    </font>
    <font>
      <u/>
      <sz val="18"/>
      <color theme="10"/>
      <name val="Sarasa Fixed Slab TC"/>
      <family val="3"/>
      <charset val="136"/>
    </font>
    <font>
      <sz val="18"/>
      <color theme="1"/>
      <name val="Microsoft JhengHei UI"/>
      <family val="3"/>
    </font>
    <font>
      <sz val="18"/>
      <color theme="1"/>
      <name val="Microsoft JhengHei UI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10" fillId="0" borderId="0" xfId="1">
      <alignment vertical="center"/>
    </xf>
    <xf numFmtId="0" fontId="4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2">
    <cellStyle name="一般" xfId="0" builtinId="0" customBuiltin="1"/>
    <cellStyle name="超連結" xfId="1" builtinId="8"/>
  </cellStyles>
  <dxfs count="10"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13BBC-6F57-4115-BAFC-2A28D1B19153}" name="工尺譜表" displayName="工尺譜表" ref="A1:I14" totalsRowShown="0">
  <autoFilter ref="A1:I14" xr:uid="{B3A13BBC-6F57-4115-BAFC-2A28D1B19153}"/>
  <tableColumns count="9">
    <tableColumn id="1" xr3:uid="{44097099-DAF5-45DA-BC51-78D8B03CE532}" name="工尺" dataDxfId="9"/>
    <tableColumn id="8" xr3:uid="{1EAD65BB-B377-4788-99C3-94DCFB321933}" name="北管" dataDxfId="1"/>
    <tableColumn id="9" xr3:uid="{7D244A0A-D112-45A8-95F2-B75F6E4FE118}" name="注音" dataDxfId="0"/>
    <tableColumn id="7" xr3:uid="{CF2E703F-1C6C-4ED8-A6B7-D743D98A922E}" name="漢字白讀音" dataDxfId="6"/>
    <tableColumn id="2" xr3:uid="{6E61E6AB-0039-446E-8222-DFAABB5C0626}" name="工尺2" dataDxfId="8"/>
    <tableColumn id="3" xr3:uid="{D412278A-C2CB-4EF3-B153-626A7CAF0C96}" name="簡譜"/>
    <tableColumn id="4" xr3:uid="{7BF944F7-07BC-403A-BFE6-C36C681089CA}" name="音名"/>
    <tableColumn id="5" xr3:uid="{C7EC3379-7C3B-47D3-9D6E-40256CFCE97F}" name="唱名"/>
    <tableColumn id="6" xr3:uid="{3F247F6C-14F0-49AE-A958-6EEC1B0580CC}" name="鍵盤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A02A43-5867-4E74-9EFC-873F02F3ABA0}" name="工尺譜表4" displayName="工尺譜表4" ref="A19:G34" totalsRowShown="0">
  <autoFilter ref="A19:G34" xr:uid="{32A02A43-5867-4E74-9EFC-873F02F3ABA0}"/>
  <tableColumns count="7">
    <tableColumn id="1" xr3:uid="{4E379A1A-25B3-4394-99BF-3BAB9A1E1353}" name="工尺" dataDxfId="5"/>
    <tableColumn id="7" xr3:uid="{81D4D39F-DA1A-4836-9610-0FECC2054E13}" name="漢字白讀音" dataDxfId="4"/>
    <tableColumn id="2" xr3:uid="{A4FD413A-A584-4CA0-B05D-3EDB726C29F0}" name="工尺2" dataDxfId="3"/>
    <tableColumn id="3" xr3:uid="{91AB1958-515F-4182-A743-8D00EA042B58}" name="簡譜"/>
    <tableColumn id="4" xr3:uid="{37A004F2-5021-41E8-8360-8973E78C3C77}" name="音名"/>
    <tableColumn id="5" xr3:uid="{C0FFD130-3866-4D9C-B9F3-A35FB1FF96A8}" name="唱名"/>
    <tableColumn id="6" xr3:uid="{E1B79DD3-CDB3-43F7-A566-968583ECDF9A}" name="鍵盤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vs1Of3VtYU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EA4A-F23A-4786-8E1A-9BAF2738A920}">
  <dimension ref="A1:G39"/>
  <sheetViews>
    <sheetView tabSelected="1" zoomScale="80" zoomScaleNormal="80" workbookViewId="0">
      <pane ySplit="1" topLeftCell="A2" activePane="bottomLeft" state="frozen"/>
      <selection pane="bottomLeft" activeCell="G8" sqref="G8"/>
    </sheetView>
  </sheetViews>
  <sheetFormatPr defaultRowHeight="45.75" x14ac:dyDescent="0.4"/>
  <cols>
    <col min="1" max="1" width="7.75" style="3" customWidth="1"/>
    <col min="2" max="4" width="7.75" style="2" customWidth="1"/>
    <col min="5" max="6" width="8.6640625" style="2"/>
    <col min="7" max="7" width="42.58203125" customWidth="1"/>
  </cols>
  <sheetData>
    <row r="1" spans="1:7" ht="24" x14ac:dyDescent="0.4">
      <c r="A1" s="4" t="s">
        <v>76</v>
      </c>
      <c r="B1" s="4" t="s">
        <v>73</v>
      </c>
      <c r="C1" s="4" t="s">
        <v>178</v>
      </c>
      <c r="D1" s="4" t="s">
        <v>75</v>
      </c>
      <c r="E1" s="4" t="s">
        <v>0</v>
      </c>
      <c r="F1" s="4" t="s">
        <v>1</v>
      </c>
      <c r="G1" s="5" t="s">
        <v>2</v>
      </c>
    </row>
    <row r="2" spans="1:7" ht="48" x14ac:dyDescent="0.4">
      <c r="A2" s="3" t="s">
        <v>3</v>
      </c>
      <c r="B2" s="2" t="s">
        <v>4</v>
      </c>
      <c r="C2" s="2" t="str">
        <f xml:space="preserve"> _xlfn.XLOOKUP(B2,工尺譜表[工尺],工尺譜表[鍵盤],"無")</f>
        <v>Y</v>
      </c>
      <c r="D2" s="2">
        <v>5</v>
      </c>
      <c r="E2" s="2" t="s">
        <v>5</v>
      </c>
      <c r="F2" s="2" t="s">
        <v>6</v>
      </c>
      <c r="G2" s="1" t="s">
        <v>7</v>
      </c>
    </row>
    <row r="3" spans="1:7" ht="48" x14ac:dyDescent="0.4">
      <c r="A3" s="3" t="s">
        <v>8</v>
      </c>
      <c r="B3" s="2" t="s">
        <v>9</v>
      </c>
      <c r="C3" s="2" t="str">
        <f xml:space="preserve"> _xlfn.XLOOKUP(B3,工尺譜表[工尺],工尺譜表[鍵盤],"無")</f>
        <v>T</v>
      </c>
      <c r="D3" s="2">
        <v>6</v>
      </c>
      <c r="E3" s="2" t="s">
        <v>10</v>
      </c>
      <c r="F3" s="2" t="s">
        <v>11</v>
      </c>
      <c r="G3" s="1" t="s">
        <v>12</v>
      </c>
    </row>
    <row r="4" spans="1:7" x14ac:dyDescent="0.4">
      <c r="A4" s="3" t="s">
        <v>13</v>
      </c>
      <c r="B4" s="6" t="s">
        <v>78</v>
      </c>
      <c r="C4" s="2" t="str">
        <f xml:space="preserve"> _xlfn.XLOOKUP(B4,工尺譜表[工尺],工尺譜表[鍵盤],"無")</f>
        <v>P</v>
      </c>
      <c r="D4" s="2" t="s">
        <v>15</v>
      </c>
      <c r="E4" s="2" t="s">
        <v>16</v>
      </c>
      <c r="F4" s="2" t="s">
        <v>11</v>
      </c>
      <c r="G4" s="11" t="s">
        <v>17</v>
      </c>
    </row>
    <row r="5" spans="1:7" x14ac:dyDescent="0.4">
      <c r="A5" s="3" t="s">
        <v>18</v>
      </c>
      <c r="B5" s="2" t="s">
        <v>9</v>
      </c>
      <c r="C5" s="2" t="str">
        <f xml:space="preserve"> _xlfn.XLOOKUP(B5,工尺譜表[工尺],工尺譜表[鍵盤],"無")</f>
        <v>T</v>
      </c>
      <c r="D5" s="2">
        <v>6</v>
      </c>
      <c r="E5" s="2" t="s">
        <v>19</v>
      </c>
      <c r="F5" s="2" t="s">
        <v>6</v>
      </c>
      <c r="G5" s="11" t="s">
        <v>20</v>
      </c>
    </row>
    <row r="6" spans="1:7" x14ac:dyDescent="0.4">
      <c r="A6" s="3" t="s">
        <v>21</v>
      </c>
      <c r="B6" s="2" t="s">
        <v>4</v>
      </c>
      <c r="C6" s="2" t="str">
        <f xml:space="preserve"> _xlfn.XLOOKUP(B6,工尺譜表[工尺],工尺譜表[鍵盤],"無")</f>
        <v>Y</v>
      </c>
      <c r="D6" s="2">
        <v>5</v>
      </c>
      <c r="E6" s="2" t="s">
        <v>22</v>
      </c>
      <c r="F6" s="2" t="s">
        <v>6</v>
      </c>
      <c r="G6" s="11" t="s">
        <v>62</v>
      </c>
    </row>
    <row r="7" spans="1:7" x14ac:dyDescent="0.4">
      <c r="A7" s="3" t="s">
        <v>23</v>
      </c>
      <c r="B7" s="2" t="s">
        <v>9</v>
      </c>
      <c r="C7" s="2" t="str">
        <f xml:space="preserve"> _xlfn.XLOOKUP(B7,工尺譜表[工尺],工尺譜表[鍵盤],"無")</f>
        <v>T</v>
      </c>
      <c r="D7" s="2">
        <v>6</v>
      </c>
      <c r="E7" s="2" t="s">
        <v>16</v>
      </c>
      <c r="F7" s="2" t="s">
        <v>11</v>
      </c>
      <c r="G7" s="11" t="s">
        <v>24</v>
      </c>
    </row>
    <row r="8" spans="1:7" x14ac:dyDescent="0.4">
      <c r="A8" s="3" t="s">
        <v>25</v>
      </c>
      <c r="B8" s="2" t="s">
        <v>4</v>
      </c>
      <c r="C8" s="2" t="str">
        <f xml:space="preserve"> _xlfn.XLOOKUP(B8,工尺譜表[工尺],工尺譜表[鍵盤],"無")</f>
        <v>Y</v>
      </c>
      <c r="D8" s="2">
        <v>5</v>
      </c>
      <c r="E8" s="2" t="s">
        <v>10</v>
      </c>
      <c r="F8" s="2" t="s">
        <v>11</v>
      </c>
      <c r="G8" s="11" t="s">
        <v>26</v>
      </c>
    </row>
    <row r="9" spans="1:7" x14ac:dyDescent="0.4">
      <c r="B9" s="6"/>
      <c r="C9" s="6"/>
      <c r="G9" s="11"/>
    </row>
    <row r="10" spans="1:7" x14ac:dyDescent="0.4">
      <c r="A10" s="3" t="s">
        <v>27</v>
      </c>
      <c r="B10" s="6" t="s">
        <v>78</v>
      </c>
      <c r="C10" s="2" t="str">
        <f xml:space="preserve"> _xlfn.XLOOKUP(B10,工尺譜表[工尺],工尺譜表[鍵盤],"無")</f>
        <v>P</v>
      </c>
      <c r="D10" s="2" t="s">
        <v>15</v>
      </c>
      <c r="E10" s="2" t="s">
        <v>22</v>
      </c>
      <c r="F10" s="2" t="s">
        <v>6</v>
      </c>
      <c r="G10" s="11" t="s">
        <v>63</v>
      </c>
    </row>
    <row r="11" spans="1:7" x14ac:dyDescent="0.4">
      <c r="A11" s="3" t="s">
        <v>28</v>
      </c>
      <c r="B11" s="2" t="s">
        <v>9</v>
      </c>
      <c r="C11" s="2" t="str">
        <f xml:space="preserve"> _xlfn.XLOOKUP(B11,工尺譜表[工尺],工尺譜表[鍵盤],"無")</f>
        <v>T</v>
      </c>
      <c r="D11" s="2">
        <v>6</v>
      </c>
      <c r="E11" s="2" t="s">
        <v>5</v>
      </c>
      <c r="F11" s="2" t="s">
        <v>6</v>
      </c>
      <c r="G11" s="11" t="s">
        <v>29</v>
      </c>
    </row>
    <row r="12" spans="1:7" x14ac:dyDescent="0.4">
      <c r="A12" s="3" t="s">
        <v>30</v>
      </c>
      <c r="B12" s="2" t="s">
        <v>4</v>
      </c>
      <c r="C12" s="2" t="str">
        <f xml:space="preserve"> _xlfn.XLOOKUP(B12,工尺譜表[工尺],工尺譜表[鍵盤],"無")</f>
        <v>Y</v>
      </c>
      <c r="D12" s="2">
        <v>5</v>
      </c>
      <c r="E12" s="2" t="s">
        <v>16</v>
      </c>
      <c r="F12" s="2" t="s">
        <v>11</v>
      </c>
      <c r="G12" s="11" t="s">
        <v>31</v>
      </c>
    </row>
    <row r="13" spans="1:7" x14ac:dyDescent="0.4">
      <c r="A13" s="3" t="s">
        <v>30</v>
      </c>
      <c r="B13" s="2" t="s">
        <v>4</v>
      </c>
      <c r="C13" s="2" t="str">
        <f xml:space="preserve"> _xlfn.XLOOKUP(B13,工尺譜表[工尺],工尺譜表[鍵盤],"無")</f>
        <v>Y</v>
      </c>
      <c r="D13" s="2">
        <v>5</v>
      </c>
      <c r="E13" s="2" t="s">
        <v>16</v>
      </c>
      <c r="F13" s="2" t="s">
        <v>11</v>
      </c>
      <c r="G13" s="11" t="s">
        <v>32</v>
      </c>
    </row>
    <row r="14" spans="1:7" x14ac:dyDescent="0.4">
      <c r="A14" s="3" t="s">
        <v>33</v>
      </c>
      <c r="B14" s="2" t="s">
        <v>9</v>
      </c>
      <c r="C14" s="2" t="str">
        <f xml:space="preserve"> _xlfn.XLOOKUP(B14,工尺譜表[工尺],工尺譜表[鍵盤],"無")</f>
        <v>T</v>
      </c>
      <c r="D14" s="2">
        <v>6</v>
      </c>
      <c r="E14" s="2" t="s">
        <v>19</v>
      </c>
      <c r="F14" s="2" t="s">
        <v>6</v>
      </c>
      <c r="G14" s="11" t="s">
        <v>34</v>
      </c>
    </row>
    <row r="15" spans="1:7" x14ac:dyDescent="0.4">
      <c r="A15" s="3" t="s">
        <v>35</v>
      </c>
      <c r="B15" s="2" t="s">
        <v>4</v>
      </c>
      <c r="C15" s="2" t="str">
        <f xml:space="preserve"> _xlfn.XLOOKUP(B15,工尺譜表[工尺],工尺譜表[鍵盤],"無")</f>
        <v>Y</v>
      </c>
      <c r="D15" s="2">
        <v>5</v>
      </c>
      <c r="E15" s="2" t="s">
        <v>22</v>
      </c>
      <c r="F15" s="2" t="s">
        <v>6</v>
      </c>
      <c r="G15" s="11" t="s">
        <v>64</v>
      </c>
    </row>
    <row r="16" spans="1:7" x14ac:dyDescent="0.4">
      <c r="A16" s="3" t="s">
        <v>36</v>
      </c>
      <c r="B16" s="2" t="s">
        <v>37</v>
      </c>
      <c r="C16" s="2" t="str">
        <f xml:space="preserve"> _xlfn.XLOOKUP(B16,工尺譜表[工尺],工尺譜表[鍵盤],"無")</f>
        <v>R</v>
      </c>
      <c r="D16" s="2">
        <v>4</v>
      </c>
      <c r="E16" s="2" t="s">
        <v>16</v>
      </c>
      <c r="F16" s="2" t="s">
        <v>11</v>
      </c>
      <c r="G16" s="11" t="s">
        <v>65</v>
      </c>
    </row>
    <row r="17" spans="1:7" x14ac:dyDescent="0.4">
      <c r="C17" s="6"/>
      <c r="G17" s="11"/>
    </row>
    <row r="18" spans="1:7" x14ac:dyDescent="0.4">
      <c r="A18" s="3" t="s">
        <v>38</v>
      </c>
      <c r="B18" s="2" t="s">
        <v>9</v>
      </c>
      <c r="C18" s="2" t="str">
        <f xml:space="preserve"> _xlfn.XLOOKUP(B18,工尺譜表[工尺],工尺譜表[鍵盤],"無")</f>
        <v>T</v>
      </c>
      <c r="D18" s="2">
        <v>6</v>
      </c>
      <c r="E18" s="2" t="s">
        <v>5</v>
      </c>
      <c r="F18" s="2" t="s">
        <v>6</v>
      </c>
      <c r="G18" s="11" t="s">
        <v>39</v>
      </c>
    </row>
    <row r="19" spans="1:7" x14ac:dyDescent="0.4">
      <c r="A19" s="3" t="s">
        <v>40</v>
      </c>
      <c r="B19" s="6" t="s">
        <v>78</v>
      </c>
      <c r="C19" s="2" t="str">
        <f xml:space="preserve"> _xlfn.XLOOKUP(B19,工尺譜表[工尺],工尺譜表[鍵盤],"無")</f>
        <v>P</v>
      </c>
      <c r="D19" s="2" t="s">
        <v>15</v>
      </c>
      <c r="E19" s="2" t="s">
        <v>16</v>
      </c>
      <c r="F19" s="2" t="s">
        <v>11</v>
      </c>
      <c r="G19" s="11" t="s">
        <v>41</v>
      </c>
    </row>
    <row r="20" spans="1:7" x14ac:dyDescent="0.4">
      <c r="A20" s="3" t="s">
        <v>42</v>
      </c>
      <c r="B20" s="2" t="s">
        <v>9</v>
      </c>
      <c r="C20" s="2" t="str">
        <f xml:space="preserve"> _xlfn.XLOOKUP(B20,工尺譜表[工尺],工尺譜表[鍵盤],"無")</f>
        <v>T</v>
      </c>
      <c r="D20" s="2">
        <v>6</v>
      </c>
      <c r="E20" s="2" t="s">
        <v>5</v>
      </c>
      <c r="F20" s="2" t="s">
        <v>6</v>
      </c>
      <c r="G20" s="11" t="s">
        <v>43</v>
      </c>
    </row>
    <row r="21" spans="1:7" x14ac:dyDescent="0.4">
      <c r="A21" s="3" t="s">
        <v>44</v>
      </c>
      <c r="B21" s="2" t="s">
        <v>4</v>
      </c>
      <c r="C21" s="2" t="str">
        <f xml:space="preserve"> _xlfn.XLOOKUP(B21,工尺譜表[工尺],工尺譜表[鍵盤],"無")</f>
        <v>Y</v>
      </c>
      <c r="D21" s="2">
        <v>5</v>
      </c>
      <c r="E21" s="2" t="s">
        <v>5</v>
      </c>
      <c r="F21" s="2" t="s">
        <v>6</v>
      </c>
      <c r="G21" s="11" t="s">
        <v>45</v>
      </c>
    </row>
    <row r="22" spans="1:7" x14ac:dyDescent="0.4">
      <c r="A22" s="3" t="s">
        <v>46</v>
      </c>
      <c r="B22" s="2" t="s">
        <v>9</v>
      </c>
      <c r="C22" s="2" t="str">
        <f xml:space="preserve"> _xlfn.XLOOKUP(B22,工尺譜表[工尺],工尺譜表[鍵盤],"無")</f>
        <v>T</v>
      </c>
      <c r="D22" s="2">
        <v>6</v>
      </c>
      <c r="E22" s="2" t="s">
        <v>22</v>
      </c>
      <c r="F22" s="2" t="s">
        <v>6</v>
      </c>
      <c r="G22" s="11" t="s">
        <v>66</v>
      </c>
    </row>
    <row r="23" spans="1:7" x14ac:dyDescent="0.4">
      <c r="A23" s="3" t="s">
        <v>47</v>
      </c>
      <c r="B23" s="2" t="s">
        <v>4</v>
      </c>
      <c r="C23" s="2" t="str">
        <f xml:space="preserve"> _xlfn.XLOOKUP(B23,工尺譜表[工尺],工尺譜表[鍵盤],"無")</f>
        <v>Y</v>
      </c>
      <c r="D23" s="2">
        <v>5</v>
      </c>
      <c r="E23" s="2" t="s">
        <v>16</v>
      </c>
      <c r="F23" s="2" t="s">
        <v>11</v>
      </c>
      <c r="G23" s="11" t="s">
        <v>48</v>
      </c>
    </row>
    <row r="24" spans="1:7" x14ac:dyDescent="0.4">
      <c r="A24" s="3" t="s">
        <v>49</v>
      </c>
      <c r="B24" s="6" t="s">
        <v>78</v>
      </c>
      <c r="C24" s="2" t="str">
        <f xml:space="preserve"> _xlfn.XLOOKUP(B24,工尺譜表[工尺],工尺譜表[鍵盤],"無")</f>
        <v>P</v>
      </c>
      <c r="D24" s="2" t="s">
        <v>15</v>
      </c>
      <c r="E24" s="2" t="s">
        <v>19</v>
      </c>
      <c r="F24" s="2" t="s">
        <v>6</v>
      </c>
      <c r="G24" s="11" t="s">
        <v>67</v>
      </c>
    </row>
    <row r="25" spans="1:7" x14ac:dyDescent="0.4">
      <c r="B25" s="6"/>
      <c r="C25" s="6"/>
      <c r="G25" s="11"/>
    </row>
    <row r="26" spans="1:7" x14ac:dyDescent="0.4">
      <c r="A26" s="3" t="s">
        <v>50</v>
      </c>
      <c r="B26" s="2" t="s">
        <v>9</v>
      </c>
      <c r="C26" s="2" t="str">
        <f xml:space="preserve"> _xlfn.XLOOKUP(B26,工尺譜表[工尺],工尺譜表[鍵盤],"無")</f>
        <v>T</v>
      </c>
      <c r="D26" s="2">
        <v>6</v>
      </c>
      <c r="E26" s="2" t="s">
        <v>16</v>
      </c>
      <c r="F26" s="2" t="s">
        <v>11</v>
      </c>
      <c r="G26" s="11" t="s">
        <v>51</v>
      </c>
    </row>
    <row r="27" spans="1:7" x14ac:dyDescent="0.4">
      <c r="A27" s="3" t="s">
        <v>52</v>
      </c>
      <c r="B27" s="2" t="s">
        <v>4</v>
      </c>
      <c r="C27" s="2" t="str">
        <f xml:space="preserve"> _xlfn.XLOOKUP(B27,工尺譜表[工尺],工尺譜表[鍵盤],"無")</f>
        <v>Y</v>
      </c>
      <c r="D27" s="2">
        <v>5</v>
      </c>
      <c r="E27" s="2" t="s">
        <v>22</v>
      </c>
      <c r="F27" s="2" t="s">
        <v>6</v>
      </c>
      <c r="G27" s="11" t="s">
        <v>68</v>
      </c>
    </row>
    <row r="28" spans="1:7" x14ac:dyDescent="0.4">
      <c r="A28" s="3" t="s">
        <v>53</v>
      </c>
      <c r="B28" s="2" t="s">
        <v>9</v>
      </c>
      <c r="C28" s="2" t="str">
        <f xml:space="preserve"> _xlfn.XLOOKUP(B28,工尺譜表[工尺],工尺譜表[鍵盤],"無")</f>
        <v>T</v>
      </c>
      <c r="D28" s="2">
        <v>6</v>
      </c>
      <c r="E28" s="2" t="s">
        <v>10</v>
      </c>
      <c r="F28" s="2" t="s">
        <v>11</v>
      </c>
      <c r="G28" s="11" t="s">
        <v>54</v>
      </c>
    </row>
    <row r="29" spans="1:7" x14ac:dyDescent="0.4">
      <c r="A29" s="3" t="s">
        <v>55</v>
      </c>
      <c r="B29" s="6" t="s">
        <v>78</v>
      </c>
      <c r="C29" s="2" t="str">
        <f xml:space="preserve"> _xlfn.XLOOKUP(B29,工尺譜表[工尺],工尺譜表[鍵盤],"無")</f>
        <v>P</v>
      </c>
      <c r="D29" s="2" t="s">
        <v>15</v>
      </c>
      <c r="E29" s="2" t="s">
        <v>16</v>
      </c>
      <c r="F29" s="2" t="s">
        <v>11</v>
      </c>
      <c r="G29" s="11" t="s">
        <v>56</v>
      </c>
    </row>
    <row r="30" spans="1:7" x14ac:dyDescent="0.4">
      <c r="A30" s="3" t="s">
        <v>57</v>
      </c>
      <c r="B30" s="2" t="s">
        <v>9</v>
      </c>
      <c r="C30" s="2" t="str">
        <f xml:space="preserve"> _xlfn.XLOOKUP(B30,工尺譜表[工尺],工尺譜表[鍵盤],"無")</f>
        <v>T</v>
      </c>
      <c r="D30" s="2">
        <v>6</v>
      </c>
      <c r="E30" s="2" t="s">
        <v>10</v>
      </c>
      <c r="F30" s="2" t="s">
        <v>11</v>
      </c>
      <c r="G30" s="11" t="s">
        <v>58</v>
      </c>
    </row>
    <row r="31" spans="1:7" x14ac:dyDescent="0.4">
      <c r="A31" s="3" t="s">
        <v>59</v>
      </c>
      <c r="B31" s="2" t="s">
        <v>4</v>
      </c>
      <c r="C31" s="2" t="str">
        <f xml:space="preserve"> _xlfn.XLOOKUP(B31,工尺譜表[工尺],工尺譜表[鍵盤],"無")</f>
        <v>Y</v>
      </c>
      <c r="D31" s="2">
        <v>5</v>
      </c>
      <c r="E31" s="2" t="s">
        <v>5</v>
      </c>
      <c r="F31" s="2" t="s">
        <v>6</v>
      </c>
      <c r="G31" s="11" t="s">
        <v>60</v>
      </c>
    </row>
    <row r="32" spans="1:7" x14ac:dyDescent="0.4">
      <c r="A32" s="3" t="s">
        <v>61</v>
      </c>
      <c r="B32" s="2" t="s">
        <v>179</v>
      </c>
      <c r="C32" s="2" t="str">
        <f xml:space="preserve"> _xlfn.XLOOKUP(B32,工尺譜表[工尺],工尺譜表[鍵盤],"無")</f>
        <v>N</v>
      </c>
      <c r="D32" s="2">
        <v>2</v>
      </c>
      <c r="E32" s="2" t="s">
        <v>10</v>
      </c>
      <c r="F32" s="2" t="s">
        <v>11</v>
      </c>
      <c r="G32" s="11" t="s">
        <v>69</v>
      </c>
    </row>
    <row r="33" spans="1:7" x14ac:dyDescent="0.4">
      <c r="C33" s="6"/>
    </row>
    <row r="34" spans="1:7" s="8" customFormat="1" ht="30" x14ac:dyDescent="0.4">
      <c r="A34" s="13" t="s">
        <v>79</v>
      </c>
      <c r="B34" s="7"/>
      <c r="C34" s="7"/>
      <c r="D34" s="7"/>
      <c r="E34" s="7"/>
      <c r="F34" s="7"/>
    </row>
    <row r="35" spans="1:7" s="8" customFormat="1" ht="18" customHeight="1" x14ac:dyDescent="0.4">
      <c r="A35" s="9"/>
      <c r="B35" s="7"/>
      <c r="C35" s="7"/>
      <c r="D35" s="7"/>
      <c r="E35" s="7"/>
      <c r="F35" s="7"/>
    </row>
    <row r="36" spans="1:7" s="8" customFormat="1" ht="94.5" customHeight="1" x14ac:dyDescent="0.4">
      <c r="A36" s="12" t="s">
        <v>70</v>
      </c>
      <c r="B36" s="12"/>
      <c r="C36" s="12"/>
      <c r="D36" s="12"/>
      <c r="E36" s="12"/>
      <c r="F36" s="12"/>
      <c r="G36" s="12"/>
    </row>
    <row r="37" spans="1:7" s="8" customFormat="1" ht="85.5" customHeight="1" x14ac:dyDescent="0.4">
      <c r="A37" s="12" t="s">
        <v>71</v>
      </c>
      <c r="B37" s="12"/>
      <c r="C37" s="12"/>
      <c r="D37" s="12"/>
      <c r="E37" s="12"/>
      <c r="F37" s="12"/>
      <c r="G37" s="12"/>
    </row>
    <row r="38" spans="1:7" s="8" customFormat="1" ht="85.5" customHeight="1" x14ac:dyDescent="0.4">
      <c r="A38" s="12" t="s">
        <v>72</v>
      </c>
      <c r="B38" s="12"/>
      <c r="C38" s="12"/>
      <c r="D38" s="12"/>
      <c r="E38" s="12"/>
      <c r="F38" s="12"/>
      <c r="G38" s="12"/>
    </row>
    <row r="39" spans="1:7" s="8" customFormat="1" ht="30" x14ac:dyDescent="0.4">
      <c r="A39" s="10"/>
      <c r="B39" s="7"/>
      <c r="C39" s="7"/>
      <c r="D39" s="7"/>
      <c r="E39" s="7"/>
      <c r="F39" s="7"/>
    </row>
  </sheetData>
  <mergeCells count="3">
    <mergeCell ref="A36:G36"/>
    <mergeCell ref="A37:G37"/>
    <mergeCell ref="A38:G3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AAF9-15DB-4800-AF44-12288612D6B4}">
  <dimension ref="A1:C8"/>
  <sheetViews>
    <sheetView workbookViewId="0">
      <selection activeCell="I24" sqref="I24"/>
    </sheetView>
  </sheetViews>
  <sheetFormatPr defaultRowHeight="24" x14ac:dyDescent="0.4"/>
  <sheetData>
    <row r="1" spans="1:3" x14ac:dyDescent="0.4">
      <c r="A1" t="s">
        <v>96</v>
      </c>
      <c r="B1" t="s">
        <v>98</v>
      </c>
      <c r="C1" t="s">
        <v>99</v>
      </c>
    </row>
    <row r="2" spans="1:3" x14ac:dyDescent="0.4">
      <c r="A2" t="s">
        <v>93</v>
      </c>
      <c r="B2" t="s">
        <v>81</v>
      </c>
      <c r="C2" s="14">
        <v>1</v>
      </c>
    </row>
    <row r="3" spans="1:3" x14ac:dyDescent="0.4">
      <c r="A3" t="s">
        <v>94</v>
      </c>
      <c r="B3" t="s">
        <v>86</v>
      </c>
      <c r="C3" s="14">
        <v>2</v>
      </c>
    </row>
    <row r="4" spans="1:3" x14ac:dyDescent="0.4">
      <c r="A4" t="s">
        <v>14</v>
      </c>
      <c r="B4" t="s">
        <v>87</v>
      </c>
      <c r="C4" s="14">
        <v>3</v>
      </c>
    </row>
    <row r="5" spans="1:3" x14ac:dyDescent="0.4">
      <c r="A5" t="s">
        <v>37</v>
      </c>
      <c r="B5" t="s">
        <v>88</v>
      </c>
      <c r="C5" s="14">
        <v>4</v>
      </c>
    </row>
    <row r="6" spans="1:3" x14ac:dyDescent="0.4">
      <c r="A6" t="s">
        <v>9</v>
      </c>
      <c r="B6" t="s">
        <v>89</v>
      </c>
      <c r="C6" s="14">
        <v>5</v>
      </c>
    </row>
    <row r="7" spans="1:3" x14ac:dyDescent="0.4">
      <c r="A7" t="s">
        <v>4</v>
      </c>
      <c r="B7" t="s">
        <v>91</v>
      </c>
      <c r="C7" s="14">
        <v>6</v>
      </c>
    </row>
    <row r="8" spans="1:3" x14ac:dyDescent="0.4">
      <c r="A8" t="s">
        <v>95</v>
      </c>
      <c r="B8" t="s">
        <v>92</v>
      </c>
      <c r="C8" s="14" t="s">
        <v>100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E0F3-C8EC-4BE0-B922-1D4A724E290E}">
  <dimension ref="A1:P18"/>
  <sheetViews>
    <sheetView workbookViewId="0">
      <selection activeCell="A2" sqref="A2:XFD6"/>
    </sheetView>
  </sheetViews>
  <sheetFormatPr defaultRowHeight="24" x14ac:dyDescent="0.4"/>
  <cols>
    <col min="1" max="1" width="7.4140625" customWidth="1"/>
    <col min="2" max="16" width="8.75" customWidth="1"/>
  </cols>
  <sheetData>
    <row r="1" spans="1:16" x14ac:dyDescent="0.4">
      <c r="A1" t="s">
        <v>101</v>
      </c>
    </row>
    <row r="2" spans="1:16" x14ac:dyDescent="0.4">
      <c r="A2" s="15" t="s">
        <v>102</v>
      </c>
      <c r="B2" s="15" t="s">
        <v>103</v>
      </c>
      <c r="C2" s="15" t="s">
        <v>142</v>
      </c>
      <c r="D2" s="15" t="s">
        <v>143</v>
      </c>
      <c r="E2" s="15" t="s">
        <v>93</v>
      </c>
      <c r="F2" s="15" t="s">
        <v>104</v>
      </c>
      <c r="G2" s="15" t="s">
        <v>145</v>
      </c>
      <c r="H2" s="15" t="s">
        <v>14</v>
      </c>
      <c r="I2" s="15" t="s">
        <v>37</v>
      </c>
      <c r="J2" s="15" t="s">
        <v>105</v>
      </c>
      <c r="K2" s="15" t="s">
        <v>9</v>
      </c>
      <c r="L2" s="15" t="s">
        <v>4</v>
      </c>
      <c r="M2" s="15" t="s">
        <v>95</v>
      </c>
      <c r="N2" s="15" t="s">
        <v>106</v>
      </c>
      <c r="O2" s="15" t="s">
        <v>107</v>
      </c>
      <c r="P2" s="15" t="s">
        <v>77</v>
      </c>
    </row>
    <row r="3" spans="1:16" x14ac:dyDescent="0.4">
      <c r="A3" t="s">
        <v>74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127</v>
      </c>
      <c r="O3" t="s">
        <v>128</v>
      </c>
      <c r="P3" t="s">
        <v>129</v>
      </c>
    </row>
    <row r="4" spans="1:16" x14ac:dyDescent="0.4">
      <c r="A4" t="s">
        <v>108</v>
      </c>
      <c r="B4" t="s">
        <v>109</v>
      </c>
      <c r="C4" t="s">
        <v>110</v>
      </c>
      <c r="D4" t="s">
        <v>111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135</v>
      </c>
      <c r="K4" t="s">
        <v>136</v>
      </c>
      <c r="L4" t="s">
        <v>137</v>
      </c>
      <c r="M4" t="s">
        <v>138</v>
      </c>
      <c r="N4" t="s">
        <v>139</v>
      </c>
      <c r="O4" t="s">
        <v>140</v>
      </c>
      <c r="P4" t="s">
        <v>141</v>
      </c>
    </row>
    <row r="5" spans="1:16" x14ac:dyDescent="0.4">
      <c r="A5" t="s">
        <v>97</v>
      </c>
      <c r="B5" t="s">
        <v>85</v>
      </c>
      <c r="C5" t="s">
        <v>90</v>
      </c>
      <c r="D5" t="s">
        <v>112</v>
      </c>
      <c r="E5" t="s">
        <v>80</v>
      </c>
      <c r="F5" t="s">
        <v>113</v>
      </c>
      <c r="G5" t="s">
        <v>82</v>
      </c>
      <c r="H5" t="s">
        <v>83</v>
      </c>
      <c r="I5" t="s">
        <v>84</v>
      </c>
      <c r="J5" t="s">
        <v>114</v>
      </c>
      <c r="K5" t="s">
        <v>85</v>
      </c>
      <c r="L5" t="s">
        <v>90</v>
      </c>
      <c r="M5" t="s">
        <v>112</v>
      </c>
      <c r="N5" t="s">
        <v>80</v>
      </c>
      <c r="O5" t="s">
        <v>82</v>
      </c>
      <c r="P5" t="s">
        <v>83</v>
      </c>
    </row>
    <row r="6" spans="1:16" x14ac:dyDescent="0.4">
      <c r="A6" t="s">
        <v>147</v>
      </c>
      <c r="B6" s="2" t="s">
        <v>154</v>
      </c>
      <c r="C6" s="2" t="s">
        <v>153</v>
      </c>
      <c r="D6" s="2" t="s">
        <v>152</v>
      </c>
      <c r="E6" s="2" t="s">
        <v>148</v>
      </c>
      <c r="F6" s="2">
        <v>2</v>
      </c>
      <c r="G6" s="2" t="s">
        <v>149</v>
      </c>
      <c r="H6" s="2" t="s">
        <v>150</v>
      </c>
      <c r="I6" s="2" t="s">
        <v>151</v>
      </c>
      <c r="J6" s="2">
        <v>3</v>
      </c>
      <c r="K6" s="2" t="s">
        <v>155</v>
      </c>
      <c r="L6" s="2" t="s">
        <v>156</v>
      </c>
      <c r="M6" s="2" t="s">
        <v>157</v>
      </c>
      <c r="N6" s="2" t="s">
        <v>158</v>
      </c>
      <c r="O6" s="2" t="s">
        <v>159</v>
      </c>
      <c r="P6" s="2" t="s">
        <v>160</v>
      </c>
    </row>
    <row r="9" spans="1:16" x14ac:dyDescent="0.4">
      <c r="A9" t="s">
        <v>102</v>
      </c>
      <c r="B9" s="2" t="s">
        <v>93</v>
      </c>
      <c r="C9" s="2" t="s">
        <v>94</v>
      </c>
      <c r="D9" s="2" t="s">
        <v>14</v>
      </c>
      <c r="E9" s="2" t="s">
        <v>37</v>
      </c>
      <c r="F9" s="2" t="s">
        <v>9</v>
      </c>
      <c r="G9" s="2" t="s">
        <v>4</v>
      </c>
      <c r="H9" s="2" t="s">
        <v>95</v>
      </c>
    </row>
    <row r="10" spans="1:16" x14ac:dyDescent="0.4">
      <c r="A10" t="s">
        <v>74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</row>
    <row r="11" spans="1:16" x14ac:dyDescent="0.4">
      <c r="A11" t="s">
        <v>97</v>
      </c>
      <c r="B11" s="2" t="s">
        <v>80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90</v>
      </c>
      <c r="H11" s="2" t="s">
        <v>112</v>
      </c>
    </row>
    <row r="14" spans="1:16" x14ac:dyDescent="0.4">
      <c r="A14" t="s">
        <v>102</v>
      </c>
      <c r="B14" t="s">
        <v>103</v>
      </c>
      <c r="C14" t="s">
        <v>142</v>
      </c>
      <c r="D14" t="s">
        <v>143</v>
      </c>
    </row>
    <row r="15" spans="1:16" x14ac:dyDescent="0.4">
      <c r="A15" t="s">
        <v>74</v>
      </c>
      <c r="B15" t="s">
        <v>115</v>
      </c>
      <c r="C15" t="s">
        <v>116</v>
      </c>
      <c r="D15" t="s">
        <v>117</v>
      </c>
    </row>
    <row r="16" spans="1:16" x14ac:dyDescent="0.4">
      <c r="A16" t="s">
        <v>97</v>
      </c>
      <c r="B16" t="s">
        <v>85</v>
      </c>
      <c r="C16" t="s">
        <v>90</v>
      </c>
      <c r="D16" t="s">
        <v>112</v>
      </c>
    </row>
    <row r="18" spans="1:1" x14ac:dyDescent="0.4">
      <c r="A18" s="16" t="s">
        <v>146</v>
      </c>
    </row>
  </sheetData>
  <phoneticPr fontId="9" type="noConversion"/>
  <hyperlinks>
    <hyperlink ref="A18" r:id="rId1" xr:uid="{C93715A0-7B0F-495F-86A0-5A8F865E047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4E56-E6D0-4455-8CB9-3D58EC011991}">
  <dimension ref="A1:I34"/>
  <sheetViews>
    <sheetView workbookViewId="0">
      <selection activeCell="A16" sqref="A16"/>
    </sheetView>
  </sheetViews>
  <sheetFormatPr defaultRowHeight="24" x14ac:dyDescent="0.4"/>
  <cols>
    <col min="1" max="3" width="10.58203125" customWidth="1"/>
  </cols>
  <sheetData>
    <row r="1" spans="1:9" x14ac:dyDescent="0.4">
      <c r="A1" s="15" t="s">
        <v>102</v>
      </c>
      <c r="B1" s="15" t="s">
        <v>189</v>
      </c>
      <c r="C1" s="15" t="s">
        <v>191</v>
      </c>
      <c r="D1" s="15" t="s">
        <v>180</v>
      </c>
      <c r="E1" s="15" t="s">
        <v>177</v>
      </c>
      <c r="F1" t="s">
        <v>74</v>
      </c>
      <c r="G1" t="s">
        <v>108</v>
      </c>
      <c r="H1" t="s">
        <v>97</v>
      </c>
      <c r="I1" t="s">
        <v>147</v>
      </c>
    </row>
    <row r="2" spans="1:9" x14ac:dyDescent="0.4">
      <c r="A2" s="15" t="s">
        <v>163</v>
      </c>
      <c r="B2" s="15" t="s">
        <v>163</v>
      </c>
      <c r="C2" s="18" t="s">
        <v>192</v>
      </c>
      <c r="D2" s="15" t="s">
        <v>181</v>
      </c>
      <c r="E2" s="15" t="s">
        <v>103</v>
      </c>
      <c r="F2" t="s">
        <v>115</v>
      </c>
      <c r="G2" t="s">
        <v>109</v>
      </c>
      <c r="H2" t="s">
        <v>85</v>
      </c>
      <c r="I2" s="2" t="s">
        <v>154</v>
      </c>
    </row>
    <row r="3" spans="1:9" x14ac:dyDescent="0.4">
      <c r="A3" s="15" t="s">
        <v>161</v>
      </c>
      <c r="B3" s="15" t="s">
        <v>161</v>
      </c>
      <c r="C3" s="15" t="s">
        <v>193</v>
      </c>
      <c r="D3" s="15" t="s">
        <v>161</v>
      </c>
      <c r="E3" s="15" t="s">
        <v>142</v>
      </c>
      <c r="F3" t="s">
        <v>116</v>
      </c>
      <c r="G3" t="s">
        <v>110</v>
      </c>
      <c r="H3" t="s">
        <v>90</v>
      </c>
      <c r="I3" s="2" t="s">
        <v>153</v>
      </c>
    </row>
    <row r="4" spans="1:9" x14ac:dyDescent="0.4">
      <c r="A4" s="15" t="s">
        <v>162</v>
      </c>
      <c r="B4" s="15" t="s">
        <v>176</v>
      </c>
      <c r="C4" s="15" t="s">
        <v>194</v>
      </c>
      <c r="D4" s="15" t="s">
        <v>182</v>
      </c>
      <c r="E4" s="15" t="s">
        <v>143</v>
      </c>
      <c r="F4" t="s">
        <v>117</v>
      </c>
      <c r="G4" t="s">
        <v>111</v>
      </c>
      <c r="H4" t="s">
        <v>112</v>
      </c>
      <c r="I4" s="2" t="s">
        <v>152</v>
      </c>
    </row>
    <row r="5" spans="1:9" x14ac:dyDescent="0.4">
      <c r="A5" s="17" t="s">
        <v>164</v>
      </c>
      <c r="B5" s="17" t="s">
        <v>164</v>
      </c>
      <c r="C5" s="17" t="s">
        <v>195</v>
      </c>
      <c r="D5" s="15" t="s">
        <v>183</v>
      </c>
      <c r="E5" s="15" t="s">
        <v>93</v>
      </c>
      <c r="F5" t="s">
        <v>118</v>
      </c>
      <c r="G5" t="s">
        <v>130</v>
      </c>
      <c r="H5" t="s">
        <v>80</v>
      </c>
      <c r="I5" s="2" t="s">
        <v>148</v>
      </c>
    </row>
    <row r="6" spans="1:9" x14ac:dyDescent="0.4">
      <c r="A6" s="17" t="s">
        <v>166</v>
      </c>
      <c r="B6" s="17" t="s">
        <v>190</v>
      </c>
      <c r="C6" s="17" t="s">
        <v>196</v>
      </c>
      <c r="D6" s="15" t="s">
        <v>184</v>
      </c>
      <c r="E6" s="15" t="s">
        <v>144</v>
      </c>
      <c r="F6" t="s">
        <v>120</v>
      </c>
      <c r="G6" t="s">
        <v>132</v>
      </c>
      <c r="H6" t="s">
        <v>82</v>
      </c>
      <c r="I6" s="2" t="s">
        <v>149</v>
      </c>
    </row>
    <row r="7" spans="1:9" x14ac:dyDescent="0.4">
      <c r="A7" s="17" t="s">
        <v>167</v>
      </c>
      <c r="B7" s="17" t="s">
        <v>167</v>
      </c>
      <c r="C7" s="17" t="s">
        <v>197</v>
      </c>
      <c r="D7" s="15" t="s">
        <v>185</v>
      </c>
      <c r="E7" s="15" t="s">
        <v>14</v>
      </c>
      <c r="F7" t="s">
        <v>121</v>
      </c>
      <c r="G7" t="s">
        <v>133</v>
      </c>
      <c r="H7" t="s">
        <v>83</v>
      </c>
      <c r="I7" s="2" t="s">
        <v>150</v>
      </c>
    </row>
    <row r="8" spans="1:9" x14ac:dyDescent="0.4">
      <c r="A8" s="17" t="s">
        <v>168</v>
      </c>
      <c r="B8" s="17" t="s">
        <v>168</v>
      </c>
      <c r="C8" s="17" t="s">
        <v>198</v>
      </c>
      <c r="D8" s="15" t="s">
        <v>186</v>
      </c>
      <c r="E8" s="15" t="s">
        <v>37</v>
      </c>
      <c r="F8" t="s">
        <v>122</v>
      </c>
      <c r="G8" t="s">
        <v>134</v>
      </c>
      <c r="H8" t="s">
        <v>84</v>
      </c>
      <c r="I8" s="2" t="s">
        <v>151</v>
      </c>
    </row>
    <row r="9" spans="1:9" x14ac:dyDescent="0.4">
      <c r="A9" s="17" t="s">
        <v>170</v>
      </c>
      <c r="B9" s="17" t="s">
        <v>170</v>
      </c>
      <c r="C9" s="17" t="s">
        <v>199</v>
      </c>
      <c r="D9" s="15" t="s">
        <v>187</v>
      </c>
      <c r="E9" s="15" t="s">
        <v>9</v>
      </c>
      <c r="F9" t="s">
        <v>124</v>
      </c>
      <c r="G9" t="s">
        <v>136</v>
      </c>
      <c r="H9" t="s">
        <v>85</v>
      </c>
      <c r="I9" s="2" t="s">
        <v>155</v>
      </c>
    </row>
    <row r="10" spans="1:9" x14ac:dyDescent="0.4">
      <c r="A10" s="17" t="s">
        <v>171</v>
      </c>
      <c r="B10" s="17" t="s">
        <v>171</v>
      </c>
      <c r="C10" s="17" t="s">
        <v>200</v>
      </c>
      <c r="D10" s="15" t="s">
        <v>188</v>
      </c>
      <c r="E10" s="15" t="s">
        <v>4</v>
      </c>
      <c r="F10" t="s">
        <v>125</v>
      </c>
      <c r="G10" t="s">
        <v>137</v>
      </c>
      <c r="H10" t="s">
        <v>90</v>
      </c>
      <c r="I10" s="2" t="s">
        <v>156</v>
      </c>
    </row>
    <row r="11" spans="1:9" x14ac:dyDescent="0.4">
      <c r="A11" s="17" t="s">
        <v>172</v>
      </c>
      <c r="B11" s="17" t="s">
        <v>176</v>
      </c>
      <c r="C11" s="17" t="s">
        <v>194</v>
      </c>
      <c r="D11" s="15"/>
      <c r="E11" s="15" t="s">
        <v>95</v>
      </c>
      <c r="F11" t="s">
        <v>126</v>
      </c>
      <c r="G11" t="s">
        <v>138</v>
      </c>
      <c r="H11" t="s">
        <v>112</v>
      </c>
      <c r="I11" s="2" t="s">
        <v>157</v>
      </c>
    </row>
    <row r="12" spans="1:9" x14ac:dyDescent="0.4">
      <c r="A12" s="15" t="s">
        <v>173</v>
      </c>
      <c r="B12" s="15" t="s">
        <v>173</v>
      </c>
      <c r="C12" s="15" t="s">
        <v>195</v>
      </c>
      <c r="D12" s="15"/>
      <c r="E12" s="15" t="s">
        <v>106</v>
      </c>
      <c r="F12" t="s">
        <v>127</v>
      </c>
      <c r="G12" t="s">
        <v>139</v>
      </c>
      <c r="H12" t="s">
        <v>80</v>
      </c>
      <c r="I12" s="2" t="s">
        <v>158</v>
      </c>
    </row>
    <row r="13" spans="1:9" x14ac:dyDescent="0.4">
      <c r="A13" s="15" t="s">
        <v>174</v>
      </c>
      <c r="B13" s="15"/>
      <c r="C13" s="15"/>
      <c r="D13" s="15"/>
      <c r="E13" s="15" t="s">
        <v>107</v>
      </c>
      <c r="F13" t="s">
        <v>128</v>
      </c>
      <c r="G13" t="s">
        <v>140</v>
      </c>
      <c r="H13" t="s">
        <v>82</v>
      </c>
      <c r="I13" s="2" t="s">
        <v>159</v>
      </c>
    </row>
    <row r="14" spans="1:9" x14ac:dyDescent="0.4">
      <c r="A14" s="15" t="s">
        <v>175</v>
      </c>
      <c r="B14" s="15"/>
      <c r="C14" s="15"/>
      <c r="D14" s="15"/>
      <c r="E14" s="15" t="s">
        <v>77</v>
      </c>
      <c r="F14" t="s">
        <v>129</v>
      </c>
      <c r="G14" t="s">
        <v>141</v>
      </c>
      <c r="H14" t="s">
        <v>83</v>
      </c>
      <c r="I14" s="2" t="s">
        <v>160</v>
      </c>
    </row>
    <row r="16" spans="1:9" x14ac:dyDescent="0.4">
      <c r="A16" t="s">
        <v>201</v>
      </c>
    </row>
    <row r="19" spans="1:7" x14ac:dyDescent="0.4">
      <c r="A19" s="15" t="s">
        <v>102</v>
      </c>
      <c r="B19" s="15" t="s">
        <v>180</v>
      </c>
      <c r="C19" s="15" t="s">
        <v>177</v>
      </c>
      <c r="D19" t="s">
        <v>74</v>
      </c>
      <c r="E19" t="s">
        <v>108</v>
      </c>
      <c r="F19" t="s">
        <v>97</v>
      </c>
      <c r="G19" t="s">
        <v>147</v>
      </c>
    </row>
    <row r="20" spans="1:7" x14ac:dyDescent="0.4">
      <c r="A20" s="15" t="s">
        <v>163</v>
      </c>
      <c r="B20" s="15" t="s">
        <v>181</v>
      </c>
      <c r="C20" s="15" t="s">
        <v>103</v>
      </c>
      <c r="D20" t="s">
        <v>115</v>
      </c>
      <c r="E20" t="s">
        <v>109</v>
      </c>
      <c r="F20" t="s">
        <v>85</v>
      </c>
      <c r="G20" s="2" t="s">
        <v>154</v>
      </c>
    </row>
    <row r="21" spans="1:7" x14ac:dyDescent="0.4">
      <c r="A21" s="15" t="s">
        <v>161</v>
      </c>
      <c r="B21" s="15" t="s">
        <v>161</v>
      </c>
      <c r="C21" s="15" t="s">
        <v>142</v>
      </c>
      <c r="D21" t="s">
        <v>116</v>
      </c>
      <c r="E21" t="s">
        <v>110</v>
      </c>
      <c r="F21" t="s">
        <v>90</v>
      </c>
      <c r="G21" s="2" t="s">
        <v>153</v>
      </c>
    </row>
    <row r="22" spans="1:7" x14ac:dyDescent="0.4">
      <c r="A22" s="15" t="s">
        <v>162</v>
      </c>
      <c r="B22" s="15" t="s">
        <v>182</v>
      </c>
      <c r="C22" s="15" t="s">
        <v>143</v>
      </c>
      <c r="D22" t="s">
        <v>117</v>
      </c>
      <c r="E22" t="s">
        <v>111</v>
      </c>
      <c r="F22" t="s">
        <v>112</v>
      </c>
      <c r="G22" s="2" t="s">
        <v>152</v>
      </c>
    </row>
    <row r="23" spans="1:7" x14ac:dyDescent="0.4">
      <c r="A23" s="15" t="s">
        <v>164</v>
      </c>
      <c r="B23" s="15" t="s">
        <v>183</v>
      </c>
      <c r="C23" s="15" t="s">
        <v>93</v>
      </c>
      <c r="D23" t="s">
        <v>118</v>
      </c>
      <c r="E23" t="s">
        <v>130</v>
      </c>
      <c r="F23" t="s">
        <v>80</v>
      </c>
      <c r="G23" s="2" t="s">
        <v>148</v>
      </c>
    </row>
    <row r="24" spans="1:7" x14ac:dyDescent="0.4">
      <c r="A24" s="15" t="s">
        <v>165</v>
      </c>
      <c r="B24" s="15"/>
      <c r="C24" s="15" t="s">
        <v>104</v>
      </c>
      <c r="D24" t="s">
        <v>119</v>
      </c>
      <c r="E24" t="s">
        <v>131</v>
      </c>
      <c r="F24" t="s">
        <v>113</v>
      </c>
      <c r="G24" s="2">
        <v>2</v>
      </c>
    </row>
    <row r="25" spans="1:7" x14ac:dyDescent="0.4">
      <c r="A25" s="15" t="s">
        <v>166</v>
      </c>
      <c r="B25" s="15" t="s">
        <v>184</v>
      </c>
      <c r="C25" s="15" t="s">
        <v>144</v>
      </c>
      <c r="D25" t="s">
        <v>120</v>
      </c>
      <c r="E25" t="s">
        <v>132</v>
      </c>
      <c r="F25" t="s">
        <v>82</v>
      </c>
      <c r="G25" s="2" t="s">
        <v>149</v>
      </c>
    </row>
    <row r="26" spans="1:7" x14ac:dyDescent="0.4">
      <c r="A26" s="15" t="s">
        <v>167</v>
      </c>
      <c r="B26" s="15" t="s">
        <v>185</v>
      </c>
      <c r="C26" s="15" t="s">
        <v>14</v>
      </c>
      <c r="D26" t="s">
        <v>121</v>
      </c>
      <c r="E26" t="s">
        <v>133</v>
      </c>
      <c r="F26" t="s">
        <v>83</v>
      </c>
      <c r="G26" s="2" t="s">
        <v>150</v>
      </c>
    </row>
    <row r="27" spans="1:7" x14ac:dyDescent="0.4">
      <c r="A27" s="15" t="s">
        <v>168</v>
      </c>
      <c r="B27" s="15" t="s">
        <v>186</v>
      </c>
      <c r="C27" s="15" t="s">
        <v>37</v>
      </c>
      <c r="D27" t="s">
        <v>122</v>
      </c>
      <c r="E27" t="s">
        <v>134</v>
      </c>
      <c r="F27" t="s">
        <v>84</v>
      </c>
      <c r="G27" s="2" t="s">
        <v>151</v>
      </c>
    </row>
    <row r="28" spans="1:7" x14ac:dyDescent="0.4">
      <c r="A28" s="15" t="s">
        <v>169</v>
      </c>
      <c r="B28" s="15"/>
      <c r="C28" s="15" t="s">
        <v>105</v>
      </c>
      <c r="D28" t="s">
        <v>123</v>
      </c>
      <c r="E28" t="s">
        <v>135</v>
      </c>
      <c r="F28" t="s">
        <v>114</v>
      </c>
      <c r="G28" s="2">
        <v>3</v>
      </c>
    </row>
    <row r="29" spans="1:7" x14ac:dyDescent="0.4">
      <c r="A29" s="15" t="s">
        <v>170</v>
      </c>
      <c r="B29" s="15" t="s">
        <v>187</v>
      </c>
      <c r="C29" s="15" t="s">
        <v>9</v>
      </c>
      <c r="D29" t="s">
        <v>124</v>
      </c>
      <c r="E29" t="s">
        <v>136</v>
      </c>
      <c r="F29" t="s">
        <v>85</v>
      </c>
      <c r="G29" s="2" t="s">
        <v>155</v>
      </c>
    </row>
    <row r="30" spans="1:7" x14ac:dyDescent="0.4">
      <c r="A30" s="15" t="s">
        <v>171</v>
      </c>
      <c r="B30" s="15" t="s">
        <v>188</v>
      </c>
      <c r="C30" s="15" t="s">
        <v>4</v>
      </c>
      <c r="D30" t="s">
        <v>125</v>
      </c>
      <c r="E30" t="s">
        <v>137</v>
      </c>
      <c r="F30" t="s">
        <v>90</v>
      </c>
      <c r="G30" s="2" t="s">
        <v>156</v>
      </c>
    </row>
    <row r="31" spans="1:7" x14ac:dyDescent="0.4">
      <c r="A31" s="15" t="s">
        <v>172</v>
      </c>
      <c r="B31" s="15"/>
      <c r="C31" s="15" t="s">
        <v>95</v>
      </c>
      <c r="D31" t="s">
        <v>126</v>
      </c>
      <c r="E31" t="s">
        <v>138</v>
      </c>
      <c r="F31" t="s">
        <v>112</v>
      </c>
      <c r="G31" s="2" t="s">
        <v>157</v>
      </c>
    </row>
    <row r="32" spans="1:7" x14ac:dyDescent="0.4">
      <c r="A32" s="15" t="s">
        <v>173</v>
      </c>
      <c r="B32" s="15"/>
      <c r="C32" s="15" t="s">
        <v>106</v>
      </c>
      <c r="D32" t="s">
        <v>127</v>
      </c>
      <c r="E32" t="s">
        <v>139</v>
      </c>
      <c r="F32" t="s">
        <v>80</v>
      </c>
      <c r="G32" s="2" t="s">
        <v>158</v>
      </c>
    </row>
    <row r="33" spans="1:7" x14ac:dyDescent="0.4">
      <c r="A33" s="15" t="s">
        <v>174</v>
      </c>
      <c r="B33" s="15"/>
      <c r="C33" s="15" t="s">
        <v>107</v>
      </c>
      <c r="D33" t="s">
        <v>128</v>
      </c>
      <c r="E33" t="s">
        <v>140</v>
      </c>
      <c r="F33" t="s">
        <v>82</v>
      </c>
      <c r="G33" s="2" t="s">
        <v>159</v>
      </c>
    </row>
    <row r="34" spans="1:7" x14ac:dyDescent="0.4">
      <c r="A34" s="15" t="s">
        <v>175</v>
      </c>
      <c r="B34" s="15"/>
      <c r="C34" s="15" t="s">
        <v>77</v>
      </c>
      <c r="D34" t="s">
        <v>129</v>
      </c>
      <c r="E34" t="s">
        <v>141</v>
      </c>
      <c r="F34" t="s">
        <v>83</v>
      </c>
      <c r="G34" s="2" t="s">
        <v>160</v>
      </c>
    </row>
  </sheetData>
  <phoneticPr fontId="9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陽關三疊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2026-07-21T03:54:17Z</dcterms:created>
  <dcterms:modified xsi:type="dcterms:W3CDTF">2026-07-21T08:15:19Z</dcterms:modified>
</cp:coreProperties>
</file>