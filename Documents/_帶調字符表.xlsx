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"/>
    </mc:Choice>
  </mc:AlternateContent>
  <xr:revisionPtr revIDLastSave="0" documentId="13_ncr:1_{64A6E52E-965E-4087-A635-65C5E6AF246C}" xr6:coauthVersionLast="47" xr6:coauthVersionMax="47" xr10:uidLastSave="{00000000-0000-0000-0000-000000000000}"/>
  <bookViews>
    <workbookView xWindow="-67320" yWindow="-120" windowWidth="29040" windowHeight="15720" activeTab="2" xr2:uid="{BA5AB4FF-B054-48DC-9DF0-0EECA4A944F2}"/>
  </bookViews>
  <sheets>
    <sheet name="工作表1" sheetId="1" r:id="rId1"/>
    <sheet name="韻母標調" sheetId="5" r:id="rId2"/>
    <sheet name="調符" sheetId="9" r:id="rId3"/>
    <sheet name="元音標調" sheetId="7" r:id="rId4"/>
    <sheet name="調號" sheetId="8" r:id="rId5"/>
    <sheet name="HEX數值" sheetId="4" r:id="rId6"/>
    <sheet name="DEC數值" sheetId="2" r:id="rId7"/>
    <sheet name="鼻音韻母" sheetId="3" r:id="rId8"/>
    <sheet name="字元" sheetId="6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9" l="1"/>
  <c r="D21" i="9"/>
  <c r="D20" i="9"/>
  <c r="D19" i="9"/>
  <c r="D18" i="9"/>
  <c r="D17" i="9"/>
  <c r="D16" i="9"/>
  <c r="D11" i="9"/>
  <c r="D10" i="9"/>
  <c r="D9" i="9"/>
  <c r="D8" i="9"/>
  <c r="D7" i="9"/>
  <c r="D6" i="9"/>
  <c r="D5" i="9"/>
  <c r="M36" i="7"/>
  <c r="L36" i="7"/>
  <c r="I36" i="7"/>
  <c r="H36" i="7"/>
  <c r="G36" i="7"/>
  <c r="F36" i="7"/>
  <c r="E36" i="7"/>
  <c r="D36" i="7"/>
  <c r="C36" i="7"/>
  <c r="M35" i="7"/>
  <c r="L35" i="7"/>
  <c r="I35" i="7"/>
  <c r="H35" i="7"/>
  <c r="G35" i="7"/>
  <c r="F35" i="7"/>
  <c r="E35" i="7"/>
  <c r="D35" i="7"/>
  <c r="C35" i="7"/>
  <c r="M34" i="7"/>
  <c r="L34" i="7"/>
  <c r="I34" i="7"/>
  <c r="H34" i="7"/>
  <c r="G34" i="7"/>
  <c r="F34" i="7"/>
  <c r="E34" i="7"/>
  <c r="D34" i="7"/>
  <c r="C34" i="7"/>
  <c r="M33" i="7"/>
  <c r="L33" i="7"/>
  <c r="I33" i="7"/>
  <c r="H33" i="7"/>
  <c r="G33" i="7"/>
  <c r="F33" i="7"/>
  <c r="E33" i="7"/>
  <c r="D33" i="7"/>
  <c r="C33" i="7"/>
  <c r="M32" i="7"/>
  <c r="L32" i="7"/>
  <c r="I32" i="7"/>
  <c r="H32" i="7"/>
  <c r="G32" i="7"/>
  <c r="F32" i="7"/>
  <c r="E32" i="7"/>
  <c r="D32" i="7"/>
  <c r="C32" i="7"/>
  <c r="M31" i="7"/>
  <c r="L31" i="7"/>
  <c r="I31" i="7"/>
  <c r="H31" i="7"/>
  <c r="G31" i="7"/>
  <c r="F31" i="7"/>
  <c r="E31" i="7"/>
  <c r="D31" i="7"/>
  <c r="C31" i="7"/>
  <c r="M30" i="7"/>
  <c r="L30" i="7"/>
  <c r="I30" i="7"/>
  <c r="H30" i="7"/>
  <c r="G30" i="7"/>
  <c r="F30" i="7"/>
  <c r="E30" i="7"/>
  <c r="D30" i="7"/>
  <c r="C30" i="7"/>
  <c r="M29" i="7"/>
  <c r="L29" i="7"/>
  <c r="I29" i="7"/>
  <c r="H29" i="7"/>
  <c r="G29" i="7"/>
  <c r="F29" i="7"/>
  <c r="E29" i="7"/>
  <c r="D29" i="7"/>
  <c r="C29" i="7"/>
  <c r="I23" i="7"/>
  <c r="H23" i="7"/>
  <c r="G23" i="7"/>
  <c r="F23" i="7"/>
  <c r="E23" i="7"/>
  <c r="D23" i="7"/>
  <c r="C23" i="7"/>
  <c r="M22" i="7"/>
  <c r="L22" i="7"/>
  <c r="I22" i="7"/>
  <c r="H22" i="7"/>
  <c r="G22" i="7"/>
  <c r="F22" i="7"/>
  <c r="E22" i="7"/>
  <c r="D22" i="7"/>
  <c r="C22" i="7"/>
  <c r="M21" i="7"/>
  <c r="L21" i="7"/>
  <c r="I21" i="7"/>
  <c r="H21" i="7"/>
  <c r="G21" i="7"/>
  <c r="F21" i="7"/>
  <c r="E21" i="7"/>
  <c r="D21" i="7"/>
  <c r="C21" i="7"/>
  <c r="M20" i="7"/>
  <c r="L20" i="7"/>
  <c r="I20" i="7"/>
  <c r="H20" i="7"/>
  <c r="G20" i="7"/>
  <c r="F20" i="7"/>
  <c r="E20" i="7"/>
  <c r="D20" i="7"/>
  <c r="C20" i="7"/>
  <c r="M19" i="7"/>
  <c r="L19" i="7"/>
  <c r="I19" i="7"/>
  <c r="H19" i="7"/>
  <c r="G19" i="7"/>
  <c r="F19" i="7"/>
  <c r="E19" i="7"/>
  <c r="D19" i="7"/>
  <c r="C19" i="7"/>
  <c r="M18" i="7"/>
  <c r="L18" i="7"/>
  <c r="I18" i="7"/>
  <c r="H18" i="7"/>
  <c r="G18" i="7"/>
  <c r="F18" i="7"/>
  <c r="E18" i="7"/>
  <c r="D18" i="7"/>
  <c r="C18" i="7"/>
  <c r="M17" i="7"/>
  <c r="L17" i="7"/>
  <c r="I17" i="7"/>
  <c r="H17" i="7"/>
  <c r="G17" i="7"/>
  <c r="F17" i="7"/>
  <c r="E17" i="7"/>
  <c r="D17" i="7"/>
  <c r="C17" i="7"/>
  <c r="M16" i="7"/>
  <c r="L16" i="7"/>
  <c r="I16" i="7"/>
  <c r="H16" i="7"/>
  <c r="G16" i="7"/>
  <c r="F16" i="7"/>
  <c r="E16" i="7"/>
  <c r="D16" i="7"/>
  <c r="C16" i="7"/>
  <c r="M15" i="7"/>
  <c r="L15" i="7"/>
  <c r="J12" i="7"/>
  <c r="I12" i="7"/>
  <c r="H12" i="7"/>
  <c r="G12" i="7"/>
  <c r="F12" i="7"/>
  <c r="E12" i="7"/>
  <c r="D12" i="7"/>
  <c r="C12" i="7"/>
  <c r="J11" i="7"/>
  <c r="I11" i="7"/>
  <c r="H11" i="7"/>
  <c r="G11" i="7"/>
  <c r="F11" i="7"/>
  <c r="E11" i="7"/>
  <c r="D11" i="7"/>
  <c r="C11" i="7"/>
  <c r="J10" i="7"/>
  <c r="I10" i="7"/>
  <c r="H10" i="7"/>
  <c r="G10" i="7"/>
  <c r="F10" i="7"/>
  <c r="E10" i="7"/>
  <c r="D10" i="7"/>
  <c r="C10" i="7"/>
  <c r="J9" i="7"/>
  <c r="I9" i="7"/>
  <c r="H9" i="7"/>
  <c r="G9" i="7"/>
  <c r="F9" i="7"/>
  <c r="E9" i="7"/>
  <c r="D9" i="7"/>
  <c r="C9" i="7"/>
  <c r="J8" i="7"/>
  <c r="I8" i="7"/>
  <c r="H8" i="7"/>
  <c r="G8" i="7"/>
  <c r="F8" i="7"/>
  <c r="E8" i="7"/>
  <c r="D8" i="7"/>
  <c r="C8" i="7"/>
  <c r="J7" i="7"/>
  <c r="I7" i="7"/>
  <c r="H7" i="7"/>
  <c r="G7" i="7"/>
  <c r="F7" i="7"/>
  <c r="E7" i="7"/>
  <c r="D7" i="7"/>
  <c r="C7" i="7"/>
  <c r="J6" i="7"/>
  <c r="I6" i="7"/>
  <c r="H6" i="7"/>
  <c r="G6" i="7"/>
  <c r="F6" i="7"/>
  <c r="E6" i="7"/>
  <c r="D6" i="7"/>
  <c r="J5" i="7"/>
  <c r="I5" i="7"/>
  <c r="H5" i="7"/>
  <c r="G5" i="7"/>
  <c r="F5" i="7"/>
  <c r="E5" i="7"/>
  <c r="D5" i="7"/>
  <c r="C5" i="7"/>
  <c r="J4" i="7"/>
  <c r="I4" i="7"/>
  <c r="H4" i="7"/>
  <c r="G4" i="7"/>
  <c r="F4" i="7"/>
  <c r="E4" i="7"/>
  <c r="D4" i="7"/>
  <c r="C4" i="7"/>
  <c r="J3" i="7"/>
  <c r="I3" i="7"/>
  <c r="H3" i="7"/>
  <c r="G3" i="7"/>
  <c r="F3" i="7"/>
  <c r="E3" i="7"/>
  <c r="D3" i="7"/>
  <c r="C2" i="7"/>
  <c r="C6" i="7" s="1"/>
  <c r="B13" i="6"/>
  <c r="C13" i="6" s="1"/>
  <c r="B12" i="6"/>
  <c r="C12" i="6" s="1"/>
  <c r="B11" i="6"/>
  <c r="C11" i="6" s="1"/>
  <c r="B10" i="6"/>
  <c r="C10" i="6" s="1"/>
  <c r="B9" i="6"/>
  <c r="C9" i="6" s="1"/>
  <c r="B6" i="6"/>
  <c r="C6" i="6" s="1"/>
  <c r="H6" i="6"/>
  <c r="H5" i="6"/>
  <c r="D4" i="6"/>
  <c r="H4" i="6"/>
  <c r="D3" i="6"/>
  <c r="H2" i="6"/>
  <c r="B2" i="6"/>
  <c r="C2" i="6" s="1"/>
  <c r="H3" i="6"/>
  <c r="B7" i="6"/>
  <c r="C7" i="6" s="1"/>
  <c r="B8" i="6"/>
  <c r="C8" i="6" s="1"/>
  <c r="B17" i="6"/>
  <c r="C17" i="6" s="1"/>
  <c r="B16" i="6"/>
  <c r="C16" i="6" s="1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L18" i="5"/>
  <c r="K18" i="5"/>
  <c r="J18" i="5"/>
  <c r="I18" i="5"/>
  <c r="H18" i="5"/>
  <c r="F18" i="5"/>
  <c r="E18" i="5"/>
  <c r="L17" i="5"/>
  <c r="K17" i="5"/>
  <c r="J17" i="5"/>
  <c r="I17" i="5"/>
  <c r="H17" i="5"/>
  <c r="F17" i="5"/>
  <c r="E17" i="5"/>
  <c r="L16" i="5"/>
  <c r="K16" i="5"/>
  <c r="J16" i="5"/>
  <c r="I16" i="5"/>
  <c r="H16" i="5"/>
  <c r="F16" i="5"/>
  <c r="E16" i="5"/>
  <c r="L15" i="5"/>
  <c r="K15" i="5"/>
  <c r="J15" i="5"/>
  <c r="I15" i="5"/>
  <c r="H15" i="5"/>
  <c r="F15" i="5"/>
  <c r="E15" i="5"/>
  <c r="L14" i="5"/>
  <c r="K14" i="5"/>
  <c r="J14" i="5"/>
  <c r="I14" i="5"/>
  <c r="H14" i="5"/>
  <c r="F14" i="5"/>
  <c r="E14" i="5"/>
  <c r="L13" i="5"/>
  <c r="K13" i="5"/>
  <c r="J13" i="5"/>
  <c r="I13" i="5"/>
  <c r="H13" i="5"/>
  <c r="F13" i="5"/>
  <c r="E13" i="5"/>
  <c r="L12" i="5"/>
  <c r="K12" i="5"/>
  <c r="J12" i="5"/>
  <c r="I12" i="5"/>
  <c r="H12" i="5"/>
  <c r="F12" i="5"/>
  <c r="E12" i="5"/>
  <c r="E6" i="5"/>
  <c r="F6" i="5"/>
  <c r="H6" i="5"/>
  <c r="I6" i="5"/>
  <c r="J6" i="5"/>
  <c r="K6" i="5"/>
  <c r="L6" i="5"/>
  <c r="E7" i="5"/>
  <c r="F7" i="5"/>
  <c r="H7" i="5"/>
  <c r="I7" i="5"/>
  <c r="J7" i="5"/>
  <c r="K7" i="5"/>
  <c r="L7" i="5"/>
  <c r="E8" i="5"/>
  <c r="F8" i="5"/>
  <c r="H8" i="5"/>
  <c r="I8" i="5"/>
  <c r="J8" i="5"/>
  <c r="K8" i="5"/>
  <c r="L8" i="5"/>
  <c r="E9" i="5"/>
  <c r="F9" i="5"/>
  <c r="H9" i="5"/>
  <c r="I9" i="5"/>
  <c r="J9" i="5"/>
  <c r="K9" i="5"/>
  <c r="L9" i="5"/>
  <c r="E10" i="5"/>
  <c r="F10" i="5"/>
  <c r="H10" i="5"/>
  <c r="I10" i="5"/>
  <c r="J10" i="5"/>
  <c r="K10" i="5"/>
  <c r="L10" i="5"/>
  <c r="E11" i="5"/>
  <c r="F11" i="5"/>
  <c r="H11" i="5"/>
  <c r="I11" i="5"/>
  <c r="J11" i="5"/>
  <c r="K11" i="5"/>
  <c r="L11" i="5"/>
  <c r="K5" i="5"/>
  <c r="G5" i="5"/>
  <c r="L5" i="5"/>
  <c r="J5" i="5"/>
  <c r="I5" i="5"/>
  <c r="H5" i="5"/>
  <c r="F5" i="5"/>
  <c r="E5" i="5"/>
  <c r="D11" i="4"/>
  <c r="D12" i="4"/>
  <c r="D13" i="4"/>
  <c r="D14" i="4"/>
  <c r="D15" i="4"/>
  <c r="D16" i="4"/>
  <c r="D17" i="4"/>
  <c r="D10" i="4"/>
  <c r="O3" i="4"/>
  <c r="Q3" i="4" s="1"/>
  <c r="R3" i="4" s="1"/>
  <c r="P3" i="4"/>
  <c r="O4" i="4"/>
  <c r="Q4" i="4" s="1"/>
  <c r="R4" i="4" s="1"/>
  <c r="P4" i="4"/>
  <c r="O5" i="4"/>
  <c r="Q5" i="4" s="1"/>
  <c r="R5" i="4" s="1"/>
  <c r="P5" i="4"/>
  <c r="O6" i="4"/>
  <c r="Q6" i="4" s="1"/>
  <c r="R6" i="4" s="1"/>
  <c r="P6" i="4"/>
  <c r="O7" i="4"/>
  <c r="Q7" i="4" s="1"/>
  <c r="R7" i="4" s="1"/>
  <c r="P7" i="4"/>
  <c r="O8" i="4"/>
  <c r="Q8" i="4" s="1"/>
  <c r="P8" i="4"/>
  <c r="P2" i="4"/>
  <c r="O2" i="4"/>
  <c r="Q2" i="4" s="1"/>
  <c r="R2" i="4" s="1"/>
  <c r="L3" i="4"/>
  <c r="M3" i="4"/>
  <c r="L4" i="4"/>
  <c r="M4" i="4"/>
  <c r="L5" i="4"/>
  <c r="M5" i="4"/>
  <c r="L6" i="4"/>
  <c r="M6" i="4"/>
  <c r="L7" i="4"/>
  <c r="M7" i="4"/>
  <c r="L8" i="4"/>
  <c r="M8" i="4"/>
  <c r="M2" i="4"/>
  <c r="L2" i="4"/>
  <c r="D4" i="4"/>
  <c r="D5" i="4"/>
  <c r="B8" i="2"/>
  <c r="C8" i="2" s="1"/>
  <c r="B7" i="2"/>
  <c r="C7" i="2" s="1"/>
  <c r="B6" i="2"/>
  <c r="C6" i="2" s="1"/>
  <c r="B5" i="2"/>
  <c r="C5" i="2" s="1"/>
  <c r="B4" i="2"/>
  <c r="B3" i="2"/>
  <c r="C3" i="2" s="1"/>
  <c r="B2" i="2"/>
  <c r="C2" i="2" s="1"/>
  <c r="H4" i="4"/>
  <c r="H5" i="4"/>
  <c r="H3" i="4"/>
  <c r="D3" i="4"/>
  <c r="D6" i="3"/>
  <c r="D5" i="3"/>
  <c r="E11" i="3" s="1"/>
  <c r="D4" i="3"/>
  <c r="D9" i="3" s="1"/>
  <c r="E9" i="3" s="1"/>
  <c r="A33" i="1"/>
  <c r="B33" i="1" s="1"/>
  <c r="J33" i="1" s="1" a="1"/>
  <c r="J33" i="1" s="1"/>
  <c r="A34" i="1"/>
  <c r="B34" i="1" s="1"/>
  <c r="J34" i="1" s="1" a="1"/>
  <c r="J34" i="1" s="1"/>
  <c r="A35" i="1"/>
  <c r="B35" i="1" s="1"/>
  <c r="J35" i="1" s="1" a="1"/>
  <c r="J35" i="1" s="1"/>
  <c r="A36" i="1"/>
  <c r="B36" i="1" s="1"/>
  <c r="J36" i="1" s="1" a="1"/>
  <c r="J36" i="1" s="1"/>
  <c r="A37" i="1"/>
  <c r="B37" i="1" s="1"/>
  <c r="J37" i="1" s="1" a="1"/>
  <c r="J37" i="1" s="1"/>
  <c r="A38" i="1"/>
  <c r="B38" i="1" s="1"/>
  <c r="J38" i="1" s="1" a="1"/>
  <c r="J38" i="1" s="1"/>
  <c r="A39" i="1"/>
  <c r="B39" i="1" s="1"/>
  <c r="J39" i="1" s="1" a="1"/>
  <c r="J39" i="1" s="1"/>
  <c r="A40" i="1"/>
  <c r="B40" i="1" s="1"/>
  <c r="J40" i="1" s="1" a="1"/>
  <c r="J40" i="1" s="1"/>
  <c r="A41" i="1"/>
  <c r="B41" i="1" s="1"/>
  <c r="J41" i="1" s="1" a="1"/>
  <c r="J41" i="1" s="1"/>
  <c r="A42" i="1"/>
  <c r="B42" i="1" s="1"/>
  <c r="J42" i="1" s="1" a="1"/>
  <c r="J42" i="1" s="1"/>
  <c r="A43" i="1"/>
  <c r="B43" i="1" s="1"/>
  <c r="J43" i="1" s="1" a="1"/>
  <c r="J43" i="1" s="1"/>
  <c r="A44" i="1"/>
  <c r="B44" i="1" s="1"/>
  <c r="J44" i="1" s="1" a="1"/>
  <c r="J44" i="1" s="1"/>
  <c r="A45" i="1"/>
  <c r="B45" i="1" s="1"/>
  <c r="J45" i="1" s="1" a="1"/>
  <c r="J45" i="1" s="1"/>
  <c r="A46" i="1"/>
  <c r="B46" i="1" s="1"/>
  <c r="J46" i="1" s="1" a="1"/>
  <c r="J46" i="1" s="1"/>
  <c r="A47" i="1"/>
  <c r="B47" i="1" s="1"/>
  <c r="J47" i="1" s="1" a="1"/>
  <c r="J47" i="1" s="1"/>
  <c r="A48" i="1"/>
  <c r="B48" i="1" s="1"/>
  <c r="J48" i="1" s="1" a="1"/>
  <c r="J48" i="1" s="1"/>
  <c r="A49" i="1"/>
  <c r="B49" i="1" s="1"/>
  <c r="J49" i="1" s="1" a="1"/>
  <c r="J49" i="1" s="1"/>
  <c r="A50" i="1"/>
  <c r="B50" i="1" s="1"/>
  <c r="J50" i="1" s="1" a="1"/>
  <c r="J50" i="1" s="1"/>
  <c r="A51" i="1"/>
  <c r="B51" i="1" s="1"/>
  <c r="J51" i="1" s="1" a="1"/>
  <c r="J51" i="1" s="1"/>
  <c r="A52" i="1"/>
  <c r="B52" i="1" s="1"/>
  <c r="J52" i="1" s="1" a="1"/>
  <c r="J52" i="1" s="1"/>
  <c r="A53" i="1"/>
  <c r="B53" i="1" s="1"/>
  <c r="J53" i="1" s="1" a="1"/>
  <c r="J53" i="1" s="1"/>
  <c r="A54" i="1"/>
  <c r="B54" i="1" s="1"/>
  <c r="J54" i="1" s="1" a="1"/>
  <c r="J54" i="1" s="1"/>
  <c r="A55" i="1"/>
  <c r="B55" i="1" s="1"/>
  <c r="J55" i="1" s="1" a="1"/>
  <c r="J55" i="1" s="1"/>
  <c r="A56" i="1"/>
  <c r="B56" i="1" s="1"/>
  <c r="J56" i="1" s="1" a="1"/>
  <c r="J56" i="1" s="1"/>
  <c r="A57" i="1"/>
  <c r="B57" i="1" s="1"/>
  <c r="J57" i="1" s="1" a="1"/>
  <c r="J57" i="1" s="1"/>
  <c r="A58" i="1"/>
  <c r="B58" i="1" s="1"/>
  <c r="J58" i="1" s="1" a="1"/>
  <c r="J58" i="1" s="1"/>
  <c r="A59" i="1"/>
  <c r="B59" i="1" s="1"/>
  <c r="J59" i="1" s="1" a="1"/>
  <c r="J59" i="1" s="1"/>
  <c r="A60" i="1"/>
  <c r="B60" i="1" s="1"/>
  <c r="J60" i="1" s="1" a="1"/>
  <c r="J60" i="1" s="1"/>
  <c r="A61" i="1"/>
  <c r="B61" i="1" s="1"/>
  <c r="J61" i="1" s="1" a="1"/>
  <c r="J61" i="1" s="1"/>
  <c r="A62" i="1"/>
  <c r="B62" i="1" s="1"/>
  <c r="J62" i="1" s="1" a="1"/>
  <c r="J62" i="1" s="1"/>
  <c r="A63" i="1"/>
  <c r="B63" i="1" s="1"/>
  <c r="J63" i="1" s="1" a="1"/>
  <c r="J63" i="1" s="1"/>
  <c r="A64" i="1"/>
  <c r="B64" i="1" s="1"/>
  <c r="J64" i="1" s="1" a="1"/>
  <c r="J64" i="1" s="1"/>
  <c r="A65" i="1"/>
  <c r="B65" i="1" s="1"/>
  <c r="J65" i="1" s="1" a="1"/>
  <c r="J65" i="1" s="1"/>
  <c r="A66" i="1"/>
  <c r="B66" i="1" s="1"/>
  <c r="J66" i="1" s="1" a="1"/>
  <c r="J66" i="1" s="1"/>
  <c r="A67" i="1"/>
  <c r="B67" i="1" s="1"/>
  <c r="J67" i="1" s="1" a="1"/>
  <c r="J67" i="1" s="1"/>
  <c r="A68" i="1"/>
  <c r="B68" i="1" s="1"/>
  <c r="J68" i="1" s="1" a="1"/>
  <c r="J68" i="1" s="1"/>
  <c r="A69" i="1"/>
  <c r="B69" i="1" s="1"/>
  <c r="J69" i="1" s="1" a="1"/>
  <c r="J69" i="1" s="1"/>
  <c r="A70" i="1"/>
  <c r="B70" i="1" s="1"/>
  <c r="J70" i="1" s="1" a="1"/>
  <c r="J70" i="1" s="1"/>
  <c r="A71" i="1"/>
  <c r="B71" i="1" s="1"/>
  <c r="J71" i="1" s="1" a="1"/>
  <c r="J71" i="1" s="1"/>
  <c r="A72" i="1"/>
  <c r="B72" i="1" s="1"/>
  <c r="J72" i="1" s="1" a="1"/>
  <c r="J72" i="1" s="1"/>
  <c r="A73" i="1"/>
  <c r="B73" i="1" s="1"/>
  <c r="J73" i="1" s="1" a="1"/>
  <c r="J73" i="1" s="1"/>
  <c r="A74" i="1"/>
  <c r="B74" i="1" s="1"/>
  <c r="J74" i="1" s="1" a="1"/>
  <c r="J74" i="1" s="1"/>
  <c r="A75" i="1"/>
  <c r="B75" i="1" s="1"/>
  <c r="J75" i="1" s="1" a="1"/>
  <c r="J75" i="1" s="1"/>
  <c r="A76" i="1"/>
  <c r="B76" i="1" s="1"/>
  <c r="J76" i="1" s="1" a="1"/>
  <c r="J76" i="1" s="1"/>
  <c r="A77" i="1"/>
  <c r="B77" i="1" s="1"/>
  <c r="J77" i="1" s="1" a="1"/>
  <c r="J77" i="1" s="1"/>
  <c r="A78" i="1"/>
  <c r="B78" i="1" s="1"/>
  <c r="J78" i="1" s="1" a="1"/>
  <c r="J78" i="1" s="1"/>
  <c r="A79" i="1"/>
  <c r="B79" i="1" s="1"/>
  <c r="J79" i="1" s="1" a="1"/>
  <c r="J79" i="1" s="1"/>
  <c r="A80" i="1"/>
  <c r="B80" i="1" s="1"/>
  <c r="J80" i="1" s="1" a="1"/>
  <c r="J80" i="1" s="1"/>
  <c r="A81" i="1"/>
  <c r="B81" i="1" s="1"/>
  <c r="J81" i="1" s="1" a="1"/>
  <c r="J81" i="1" s="1"/>
  <c r="A82" i="1"/>
  <c r="B82" i="1" s="1"/>
  <c r="J82" i="1" s="1" a="1"/>
  <c r="J82" i="1" s="1"/>
  <c r="A83" i="1"/>
  <c r="B83" i="1" s="1"/>
  <c r="J83" i="1" s="1" a="1"/>
  <c r="J83" i="1" s="1"/>
  <c r="A84" i="1"/>
  <c r="B84" i="1" s="1"/>
  <c r="J84" i="1" s="1" a="1"/>
  <c r="J84" i="1" s="1"/>
  <c r="A85" i="1"/>
  <c r="B85" i="1" s="1"/>
  <c r="J85" i="1" s="1" a="1"/>
  <c r="J85" i="1" s="1"/>
  <c r="A86" i="1"/>
  <c r="B86" i="1" s="1"/>
  <c r="J86" i="1" s="1" a="1"/>
  <c r="J86" i="1" s="1"/>
  <c r="A87" i="1"/>
  <c r="B87" i="1" s="1"/>
  <c r="J87" i="1" s="1" a="1"/>
  <c r="J87" i="1" s="1"/>
  <c r="A88" i="1"/>
  <c r="B88" i="1" s="1"/>
  <c r="J88" i="1" s="1" a="1"/>
  <c r="J88" i="1" s="1"/>
  <c r="A89" i="1"/>
  <c r="B89" i="1" s="1"/>
  <c r="J89" i="1" s="1" a="1"/>
  <c r="J89" i="1" s="1"/>
  <c r="A90" i="1"/>
  <c r="B90" i="1" s="1"/>
  <c r="J90" i="1" s="1" a="1"/>
  <c r="J90" i="1" s="1"/>
  <c r="A91" i="1"/>
  <c r="B91" i="1" s="1"/>
  <c r="J91" i="1" s="1" a="1"/>
  <c r="J91" i="1" s="1"/>
  <c r="A92" i="1"/>
  <c r="B92" i="1" s="1"/>
  <c r="J92" i="1" s="1" a="1"/>
  <c r="J92" i="1" s="1"/>
  <c r="A93" i="1"/>
  <c r="B93" i="1" s="1"/>
  <c r="J93" i="1" s="1" a="1"/>
  <c r="J93" i="1" s="1"/>
  <c r="A94" i="1"/>
  <c r="B94" i="1" s="1"/>
  <c r="J94" i="1" s="1" a="1"/>
  <c r="J94" i="1" s="1"/>
  <c r="A95" i="1"/>
  <c r="B95" i="1" s="1"/>
  <c r="J95" i="1" s="1" a="1"/>
  <c r="J95" i="1" s="1"/>
  <c r="A96" i="1"/>
  <c r="B96" i="1" s="1"/>
  <c r="J96" i="1" s="1" a="1"/>
  <c r="J96" i="1" s="1"/>
  <c r="A97" i="1"/>
  <c r="B97" i="1" s="1"/>
  <c r="J97" i="1" s="1" a="1"/>
  <c r="J97" i="1" s="1"/>
  <c r="A98" i="1"/>
  <c r="B98" i="1" s="1"/>
  <c r="J98" i="1" s="1" a="1"/>
  <c r="J98" i="1" s="1"/>
  <c r="A99" i="1"/>
  <c r="B99" i="1" s="1"/>
  <c r="J99" i="1" s="1" a="1"/>
  <c r="J99" i="1" s="1"/>
  <c r="A100" i="1"/>
  <c r="B100" i="1" s="1"/>
  <c r="J100" i="1" s="1" a="1"/>
  <c r="J100" i="1" s="1"/>
  <c r="A101" i="1"/>
  <c r="B101" i="1" s="1"/>
  <c r="J101" i="1" s="1" a="1"/>
  <c r="J101" i="1" s="1"/>
  <c r="A102" i="1"/>
  <c r="B102" i="1" s="1"/>
  <c r="J102" i="1" s="1" a="1"/>
  <c r="J102" i="1" s="1"/>
  <c r="A103" i="1"/>
  <c r="B103" i="1" s="1"/>
  <c r="J103" i="1" s="1" a="1"/>
  <c r="J103" i="1" s="1"/>
  <c r="A104" i="1"/>
  <c r="B104" i="1" s="1"/>
  <c r="J104" i="1" s="1" a="1"/>
  <c r="J104" i="1" s="1"/>
  <c r="A105" i="1"/>
  <c r="B105" i="1" s="1"/>
  <c r="J105" i="1" s="1" a="1"/>
  <c r="J105" i="1" s="1"/>
  <c r="A106" i="1"/>
  <c r="B106" i="1" s="1"/>
  <c r="J106" i="1" s="1" a="1"/>
  <c r="J106" i="1" s="1"/>
  <c r="A107" i="1"/>
  <c r="B107" i="1" s="1"/>
  <c r="J107" i="1" s="1" a="1"/>
  <c r="J107" i="1" s="1"/>
  <c r="A108" i="1"/>
  <c r="B108" i="1" s="1"/>
  <c r="J108" i="1" s="1" a="1"/>
  <c r="J108" i="1" s="1"/>
  <c r="A109" i="1"/>
  <c r="B109" i="1" s="1"/>
  <c r="J109" i="1" s="1" a="1"/>
  <c r="J109" i="1" s="1"/>
  <c r="A110" i="1"/>
  <c r="B110" i="1" s="1"/>
  <c r="J110" i="1" s="1" a="1"/>
  <c r="J110" i="1" s="1"/>
  <c r="A111" i="1"/>
  <c r="B111" i="1" s="1"/>
  <c r="J111" i="1" s="1" a="1"/>
  <c r="J111" i="1" s="1"/>
  <c r="A112" i="1"/>
  <c r="B112" i="1" s="1"/>
  <c r="J112" i="1" s="1" a="1"/>
  <c r="J112" i="1" s="1"/>
  <c r="A113" i="1"/>
  <c r="B113" i="1" s="1"/>
  <c r="J113" i="1" s="1" a="1"/>
  <c r="J113" i="1" s="1"/>
  <c r="A114" i="1"/>
  <c r="B114" i="1" s="1"/>
  <c r="J114" i="1" s="1" a="1"/>
  <c r="J114" i="1" s="1"/>
  <c r="A115" i="1"/>
  <c r="B115" i="1" s="1"/>
  <c r="J115" i="1" s="1" a="1"/>
  <c r="J115" i="1" s="1"/>
  <c r="A116" i="1"/>
  <c r="B116" i="1" s="1"/>
  <c r="J116" i="1" s="1" a="1"/>
  <c r="J116" i="1" s="1"/>
  <c r="A117" i="1"/>
  <c r="B117" i="1" s="1"/>
  <c r="J117" i="1" s="1" a="1"/>
  <c r="J117" i="1" s="1"/>
  <c r="A118" i="1"/>
  <c r="B118" i="1" s="1"/>
  <c r="J118" i="1" s="1" a="1"/>
  <c r="J118" i="1" s="1"/>
  <c r="A119" i="1"/>
  <c r="B119" i="1" s="1"/>
  <c r="J119" i="1" s="1" a="1"/>
  <c r="J119" i="1" s="1"/>
  <c r="A120" i="1"/>
  <c r="B120" i="1" s="1"/>
  <c r="J120" i="1" s="1" a="1"/>
  <c r="J120" i="1" s="1"/>
  <c r="A121" i="1"/>
  <c r="B121" i="1" s="1"/>
  <c r="J121" i="1" s="1" a="1"/>
  <c r="J121" i="1" s="1"/>
  <c r="A122" i="1"/>
  <c r="B122" i="1" s="1"/>
  <c r="J122" i="1" s="1" a="1"/>
  <c r="J122" i="1" s="1"/>
  <c r="A123" i="1"/>
  <c r="B123" i="1" s="1"/>
  <c r="J123" i="1" s="1" a="1"/>
  <c r="J123" i="1" s="1"/>
  <c r="A124" i="1"/>
  <c r="B124" i="1" s="1"/>
  <c r="J124" i="1" s="1" a="1"/>
  <c r="J124" i="1" s="1"/>
  <c r="A125" i="1"/>
  <c r="B125" i="1" s="1"/>
  <c r="J125" i="1" s="1" a="1"/>
  <c r="J125" i="1" s="1"/>
  <c r="A126" i="1"/>
  <c r="B126" i="1" s="1"/>
  <c r="J126" i="1" s="1" a="1"/>
  <c r="J126" i="1" s="1"/>
  <c r="A127" i="1"/>
  <c r="B127" i="1" s="1"/>
  <c r="J127" i="1" s="1" a="1"/>
  <c r="J127" i="1" s="1"/>
  <c r="A128" i="1"/>
  <c r="B128" i="1" s="1"/>
  <c r="J128" i="1" s="1" a="1"/>
  <c r="J128" i="1" s="1"/>
  <c r="A129" i="1"/>
  <c r="B129" i="1" s="1"/>
  <c r="J129" i="1" s="1" a="1"/>
  <c r="J129" i="1" s="1"/>
  <c r="A130" i="1"/>
  <c r="B130" i="1" s="1"/>
  <c r="J130" i="1" s="1" a="1"/>
  <c r="J130" i="1" s="1"/>
  <c r="A131" i="1"/>
  <c r="B131" i="1" s="1"/>
  <c r="J131" i="1" s="1" a="1"/>
  <c r="J131" i="1" s="1"/>
  <c r="A132" i="1"/>
  <c r="B132" i="1" s="1"/>
  <c r="J132" i="1" s="1" a="1"/>
  <c r="J132" i="1" s="1"/>
  <c r="A133" i="1"/>
  <c r="B133" i="1" s="1"/>
  <c r="J133" i="1" s="1" a="1"/>
  <c r="J133" i="1" s="1"/>
  <c r="A134" i="1"/>
  <c r="B134" i="1" s="1"/>
  <c r="J134" i="1" s="1" a="1"/>
  <c r="J134" i="1" s="1"/>
  <c r="A135" i="1"/>
  <c r="B135" i="1" s="1"/>
  <c r="J135" i="1" s="1" a="1"/>
  <c r="J135" i="1" s="1"/>
  <c r="A136" i="1"/>
  <c r="B136" i="1" s="1"/>
  <c r="J136" i="1" s="1" a="1"/>
  <c r="J136" i="1" s="1"/>
  <c r="A137" i="1"/>
  <c r="B137" i="1" s="1"/>
  <c r="J137" i="1" s="1" a="1"/>
  <c r="J137" i="1" s="1"/>
  <c r="A138" i="1"/>
  <c r="B138" i="1" s="1"/>
  <c r="J138" i="1" s="1" a="1"/>
  <c r="J138" i="1" s="1"/>
  <c r="A139" i="1"/>
  <c r="B139" i="1" s="1"/>
  <c r="J139" i="1" s="1" a="1"/>
  <c r="J139" i="1" s="1"/>
  <c r="A140" i="1"/>
  <c r="B140" i="1" s="1"/>
  <c r="J140" i="1" s="1" a="1"/>
  <c r="J140" i="1" s="1"/>
  <c r="A141" i="1"/>
  <c r="B141" i="1" s="1"/>
  <c r="J141" i="1" s="1" a="1"/>
  <c r="J141" i="1" s="1"/>
  <c r="A142" i="1"/>
  <c r="B142" i="1" s="1"/>
  <c r="J142" i="1" s="1" a="1"/>
  <c r="J142" i="1" s="1"/>
  <c r="A143" i="1"/>
  <c r="B143" i="1" s="1"/>
  <c r="J143" i="1" s="1" a="1"/>
  <c r="J143" i="1" s="1"/>
  <c r="A144" i="1"/>
  <c r="B144" i="1" s="1"/>
  <c r="J144" i="1" s="1" a="1"/>
  <c r="J144" i="1" s="1"/>
  <c r="A145" i="1"/>
  <c r="B145" i="1" s="1"/>
  <c r="J145" i="1" s="1" a="1"/>
  <c r="J145" i="1" s="1"/>
  <c r="A146" i="1"/>
  <c r="B146" i="1" s="1"/>
  <c r="J146" i="1" s="1" a="1"/>
  <c r="J146" i="1" s="1"/>
  <c r="A22" i="1"/>
  <c r="B22" i="1" s="1"/>
  <c r="J22" i="1" s="1" a="1"/>
  <c r="J22" i="1" s="1"/>
  <c r="A23" i="1"/>
  <c r="B23" i="1" s="1"/>
  <c r="J23" i="1" s="1" a="1"/>
  <c r="J23" i="1" s="1"/>
  <c r="A24" i="1"/>
  <c r="B24" i="1" s="1"/>
  <c r="J24" i="1" s="1" a="1"/>
  <c r="J24" i="1" s="1"/>
  <c r="A25" i="1"/>
  <c r="B25" i="1" s="1"/>
  <c r="J25" i="1" s="1" a="1"/>
  <c r="J25" i="1" s="1"/>
  <c r="A26" i="1"/>
  <c r="B26" i="1" s="1"/>
  <c r="J26" i="1" s="1" a="1"/>
  <c r="J26" i="1" s="1"/>
  <c r="A27" i="1"/>
  <c r="B27" i="1" s="1"/>
  <c r="J27" i="1" s="1" a="1"/>
  <c r="J27" i="1" s="1"/>
  <c r="A28" i="1"/>
  <c r="B28" i="1" s="1"/>
  <c r="J28" i="1" s="1" a="1"/>
  <c r="J28" i="1" s="1"/>
  <c r="A29" i="1"/>
  <c r="B29" i="1" s="1"/>
  <c r="J29" i="1" s="1" a="1"/>
  <c r="J29" i="1" s="1"/>
  <c r="A30" i="1"/>
  <c r="B30" i="1" s="1"/>
  <c r="J30" i="1" s="1" a="1"/>
  <c r="J30" i="1" s="1"/>
  <c r="A31" i="1"/>
  <c r="B31" i="1" s="1"/>
  <c r="J31" i="1" s="1" a="1"/>
  <c r="J31" i="1" s="1"/>
  <c r="A32" i="1"/>
  <c r="B32" i="1" s="1"/>
  <c r="J32" i="1" s="1" a="1"/>
  <c r="J32" i="1" s="1"/>
  <c r="A21" i="1"/>
  <c r="B21" i="1" s="1"/>
  <c r="J21" i="1" s="1" a="1"/>
  <c r="J21" i="1" s="1"/>
  <c r="I138" i="1" a="1"/>
  <c r="I138" i="1" s="1"/>
  <c r="I120" i="1" a="1"/>
  <c r="I120" i="1" s="1"/>
  <c r="I129" i="1" s="1"/>
  <c r="I102" i="1" a="1"/>
  <c r="I102" i="1" s="1"/>
  <c r="I111" i="1" s="1"/>
  <c r="I84" i="1" a="1"/>
  <c r="I84" i="1" s="1"/>
  <c r="I75" i="1" a="1"/>
  <c r="I75" i="1" s="1"/>
  <c r="I57" i="1" a="1"/>
  <c r="I57" i="1" s="1"/>
  <c r="I66" i="1" s="1"/>
  <c r="I39" i="1" a="1"/>
  <c r="I39" i="1" s="1"/>
  <c r="I48" i="1" s="1"/>
  <c r="I21" i="1" a="1"/>
  <c r="I21" i="1" s="1"/>
  <c r="I42" i="1" s="1"/>
  <c r="I51" i="1" s="1"/>
  <c r="C3" i="7" l="1"/>
  <c r="B3" i="6"/>
  <c r="C3" i="6" s="1"/>
  <c r="B5" i="6"/>
  <c r="C5" i="6" s="1"/>
  <c r="B4" i="6"/>
  <c r="C4" i="6" s="1"/>
  <c r="N7" i="4"/>
  <c r="N2" i="4"/>
  <c r="N6" i="4"/>
  <c r="N4" i="4"/>
  <c r="N8" i="4"/>
  <c r="N3" i="4"/>
  <c r="N5" i="4"/>
  <c r="C4" i="2"/>
  <c r="D10" i="3"/>
  <c r="E10" i="3"/>
  <c r="D11" i="3"/>
  <c r="K138" i="1"/>
  <c r="I105" i="1"/>
  <c r="I114" i="1" s="1"/>
  <c r="K114" i="1" s="1"/>
  <c r="I107" i="1"/>
  <c r="I116" i="1" s="1"/>
  <c r="K116" i="1" s="1"/>
  <c r="I110" i="1"/>
  <c r="I119" i="1" s="1"/>
  <c r="K119" i="1" s="1"/>
  <c r="I82" i="1"/>
  <c r="K82" i="1" s="1"/>
  <c r="I122" i="1"/>
  <c r="I131" i="1" s="1"/>
  <c r="K131" i="1" s="1"/>
  <c r="I127" i="1"/>
  <c r="I136" i="1" s="1"/>
  <c r="I87" i="1"/>
  <c r="I96" i="1" s="1"/>
  <c r="K96" i="1" s="1"/>
  <c r="I85" i="1"/>
  <c r="I94" i="1" s="1"/>
  <c r="I90" i="1"/>
  <c r="I99" i="1" s="1"/>
  <c r="I125" i="1"/>
  <c r="I134" i="1" s="1"/>
  <c r="I92" i="1"/>
  <c r="I101" i="1" s="1"/>
  <c r="K101" i="1" s="1"/>
  <c r="I140" i="1"/>
  <c r="K140" i="1" s="1"/>
  <c r="I79" i="1"/>
  <c r="K79" i="1" s="1"/>
  <c r="I145" i="1"/>
  <c r="K145" i="1" s="1"/>
  <c r="K111" i="1"/>
  <c r="K102" i="1"/>
  <c r="K129" i="1"/>
  <c r="K120" i="1"/>
  <c r="I93" i="1"/>
  <c r="K93" i="1" s="1"/>
  <c r="K84" i="1"/>
  <c r="K75" i="1"/>
  <c r="I142" i="1"/>
  <c r="K142" i="1" s="1"/>
  <c r="I89" i="1"/>
  <c r="I98" i="1" s="1"/>
  <c r="K98" i="1" s="1"/>
  <c r="I109" i="1"/>
  <c r="I118" i="1" s="1"/>
  <c r="I104" i="1"/>
  <c r="I124" i="1"/>
  <c r="I144" i="1"/>
  <c r="K144" i="1" s="1"/>
  <c r="I91" i="1"/>
  <c r="I100" i="1" s="1"/>
  <c r="K100" i="1" s="1"/>
  <c r="I139" i="1"/>
  <c r="K139" i="1" s="1"/>
  <c r="I86" i="1"/>
  <c r="I95" i="1" s="1"/>
  <c r="I106" i="1"/>
  <c r="I115" i="1" s="1"/>
  <c r="I126" i="1"/>
  <c r="I135" i="1" s="1"/>
  <c r="I146" i="1"/>
  <c r="K146" i="1" s="1"/>
  <c r="I121" i="1"/>
  <c r="I141" i="1"/>
  <c r="K141" i="1" s="1"/>
  <c r="I88" i="1"/>
  <c r="I97" i="1" s="1"/>
  <c r="K97" i="1" s="1"/>
  <c r="I108" i="1"/>
  <c r="I117" i="1" s="1"/>
  <c r="I128" i="1"/>
  <c r="I137" i="1" s="1"/>
  <c r="I77" i="1"/>
  <c r="K77" i="1" s="1"/>
  <c r="I103" i="1"/>
  <c r="I112" i="1" s="1"/>
  <c r="I123" i="1"/>
  <c r="I132" i="1" s="1"/>
  <c r="I143" i="1"/>
  <c r="K143" i="1" s="1"/>
  <c r="I76" i="1"/>
  <c r="K76" i="1" s="1"/>
  <c r="I81" i="1"/>
  <c r="K81" i="1" s="1"/>
  <c r="I83" i="1"/>
  <c r="K83" i="1" s="1"/>
  <c r="I78" i="1"/>
  <c r="K78" i="1" s="1"/>
  <c r="I80" i="1"/>
  <c r="K80" i="1" s="1"/>
  <c r="K66" i="1"/>
  <c r="K57" i="1"/>
  <c r="I63" i="1"/>
  <c r="I72" i="1" s="1"/>
  <c r="I65" i="1"/>
  <c r="I74" i="1" s="1"/>
  <c r="I62" i="1"/>
  <c r="I71" i="1" s="1"/>
  <c r="K71" i="1" s="1"/>
  <c r="I58" i="1"/>
  <c r="I67" i="1" s="1"/>
  <c r="I60" i="1"/>
  <c r="I69" i="1" s="1"/>
  <c r="I64" i="1"/>
  <c r="I73" i="1" s="1"/>
  <c r="I59" i="1"/>
  <c r="I68" i="1" s="1"/>
  <c r="I45" i="1"/>
  <c r="I54" i="1" s="1"/>
  <c r="I61" i="1"/>
  <c r="I70" i="1" s="1"/>
  <c r="K70" i="1" s="1"/>
  <c r="K51" i="1"/>
  <c r="K42" i="1"/>
  <c r="K48" i="1"/>
  <c r="K39" i="1"/>
  <c r="I44" i="1"/>
  <c r="I53" i="1" s="1"/>
  <c r="I40" i="1"/>
  <c r="I49" i="1" s="1"/>
  <c r="I47" i="1"/>
  <c r="I56" i="1" s="1"/>
  <c r="I46" i="1"/>
  <c r="I55" i="1" s="1"/>
  <c r="I41" i="1"/>
  <c r="I50" i="1" s="1"/>
  <c r="I43" i="1"/>
  <c r="I52" i="1" s="1"/>
  <c r="I29" i="1"/>
  <c r="I30" i="1"/>
  <c r="K30" i="1" s="1"/>
  <c r="I27" i="1"/>
  <c r="I28" i="1"/>
  <c r="I26" i="1"/>
  <c r="I22" i="1"/>
  <c r="I25" i="1"/>
  <c r="I23" i="1"/>
  <c r="I24" i="1"/>
  <c r="K21" i="1"/>
  <c r="H79" i="1" a="1"/>
  <c r="H96" i="1" a="1"/>
  <c r="H142" i="1" a="1"/>
  <c r="H66" i="1" a="1"/>
  <c r="H39" i="1" a="1"/>
  <c r="H48" i="1" a="1"/>
  <c r="H77" i="1" a="1"/>
  <c r="H71" i="1" a="1"/>
  <c r="H131" i="1" a="1"/>
  <c r="H80" i="1" a="1"/>
  <c r="H111" i="1" a="1"/>
  <c r="H101" i="1" a="1"/>
  <c r="H97" i="1" a="1"/>
  <c r="H21" i="1" a="1"/>
  <c r="H141" i="1" a="1"/>
  <c r="H144" i="1" a="1"/>
  <c r="H84" i="1" a="1"/>
  <c r="H129" i="1" a="1"/>
  <c r="H139" i="1" a="1"/>
  <c r="H76" i="1" a="1"/>
  <c r="H57" i="1" a="1"/>
  <c r="H83" i="1" a="1"/>
  <c r="H93" i="1" a="1"/>
  <c r="H42" i="1" a="1"/>
  <c r="H81" i="1" a="1"/>
  <c r="H102" i="1" a="1"/>
  <c r="H82" i="1" a="1"/>
  <c r="H70" i="1" a="1"/>
  <c r="H146" i="1" a="1"/>
  <c r="H98" i="1" a="1"/>
  <c r="H138" i="1" a="1"/>
  <c r="H51" i="1" a="1"/>
  <c r="H140" i="1" a="1"/>
  <c r="H75" i="1" a="1"/>
  <c r="H114" i="1" a="1"/>
  <c r="H78" i="1" a="1"/>
  <c r="H100" i="1" a="1"/>
  <c r="H116" i="1" a="1"/>
  <c r="H119" i="1" a="1"/>
  <c r="H143" i="1" a="1"/>
  <c r="H120" i="1" a="1"/>
  <c r="H145" i="1" a="1"/>
  <c r="H30" i="1" a="1"/>
  <c r="K105" i="1" l="1"/>
  <c r="K110" i="1"/>
  <c r="K62" i="1"/>
  <c r="K92" i="1"/>
  <c r="K89" i="1"/>
  <c r="K122" i="1"/>
  <c r="K107" i="1"/>
  <c r="K87" i="1"/>
  <c r="K91" i="1"/>
  <c r="G9" i="3"/>
  <c r="G10" i="3"/>
  <c r="H145" i="1"/>
  <c r="D145" i="1" s="1"/>
  <c r="H140" i="1"/>
  <c r="D140" i="1" s="1"/>
  <c r="H138" i="1"/>
  <c r="D138" i="1" s="1"/>
  <c r="K90" i="1"/>
  <c r="K134" i="1"/>
  <c r="K94" i="1"/>
  <c r="K99" i="1"/>
  <c r="K85" i="1"/>
  <c r="K118" i="1"/>
  <c r="K127" i="1"/>
  <c r="K136" i="1"/>
  <c r="K125" i="1"/>
  <c r="K135" i="1"/>
  <c r="H93" i="1"/>
  <c r="D93" i="1" s="1"/>
  <c r="H143" i="1"/>
  <c r="D143" i="1" s="1"/>
  <c r="H139" i="1"/>
  <c r="D139" i="1" s="1"/>
  <c r="H142" i="1"/>
  <c r="D142" i="1" s="1"/>
  <c r="H100" i="1"/>
  <c r="D100" i="1" s="1"/>
  <c r="H97" i="1"/>
  <c r="D97" i="1" s="1"/>
  <c r="H120" i="1"/>
  <c r="D120" i="1" s="1"/>
  <c r="H98" i="1"/>
  <c r="D98" i="1" s="1"/>
  <c r="H129" i="1"/>
  <c r="D129" i="1" s="1"/>
  <c r="H102" i="1"/>
  <c r="D102" i="1" s="1"/>
  <c r="H96" i="1"/>
  <c r="D96" i="1" s="1"/>
  <c r="H84" i="1"/>
  <c r="D84" i="1" s="1"/>
  <c r="H111" i="1"/>
  <c r="D111" i="1" s="1"/>
  <c r="H146" i="1"/>
  <c r="D146" i="1" s="1"/>
  <c r="H101" i="1"/>
  <c r="D101" i="1" s="1"/>
  <c r="H79" i="1"/>
  <c r="D79" i="1" s="1"/>
  <c r="H77" i="1"/>
  <c r="D77" i="1" s="1"/>
  <c r="H141" i="1"/>
  <c r="D141" i="1" s="1"/>
  <c r="H144" i="1"/>
  <c r="D144" i="1" s="1"/>
  <c r="H82" i="1"/>
  <c r="D82" i="1" s="1"/>
  <c r="H131" i="1"/>
  <c r="D131" i="1" s="1"/>
  <c r="H114" i="1"/>
  <c r="D114" i="1" s="1"/>
  <c r="H116" i="1"/>
  <c r="D116" i="1" s="1"/>
  <c r="H75" i="1"/>
  <c r="D75" i="1" s="1"/>
  <c r="H119" i="1"/>
  <c r="D119" i="1" s="1"/>
  <c r="K112" i="1"/>
  <c r="K115" i="1"/>
  <c r="K123" i="1"/>
  <c r="K137" i="1"/>
  <c r="K106" i="1"/>
  <c r="K108" i="1"/>
  <c r="I130" i="1"/>
  <c r="K130" i="1" s="1"/>
  <c r="K121" i="1"/>
  <c r="K124" i="1"/>
  <c r="I133" i="1"/>
  <c r="K133" i="1" s="1"/>
  <c r="K126" i="1"/>
  <c r="K109" i="1"/>
  <c r="K132" i="1"/>
  <c r="K53" i="1"/>
  <c r="K88" i="1"/>
  <c r="K104" i="1"/>
  <c r="I113" i="1"/>
  <c r="K113" i="1" s="1"/>
  <c r="K95" i="1"/>
  <c r="K72" i="1"/>
  <c r="K44" i="1"/>
  <c r="K86" i="1"/>
  <c r="K128" i="1"/>
  <c r="K52" i="1"/>
  <c r="K40" i="1"/>
  <c r="K103" i="1"/>
  <c r="K117" i="1"/>
  <c r="H83" i="1"/>
  <c r="D83" i="1" s="1"/>
  <c r="H81" i="1"/>
  <c r="D81" i="1" s="1"/>
  <c r="H76" i="1"/>
  <c r="D76" i="1" s="1"/>
  <c r="H80" i="1"/>
  <c r="D80" i="1" s="1"/>
  <c r="H78" i="1"/>
  <c r="D78" i="1" s="1"/>
  <c r="K68" i="1"/>
  <c r="K61" i="1"/>
  <c r="K59" i="1"/>
  <c r="K54" i="1"/>
  <c r="H70" i="1"/>
  <c r="D70" i="1" s="1"/>
  <c r="H71" i="1"/>
  <c r="D71" i="1" s="1"/>
  <c r="H57" i="1"/>
  <c r="D57" i="1" s="1"/>
  <c r="H66" i="1"/>
  <c r="D66" i="1" s="1"/>
  <c r="K69" i="1"/>
  <c r="K60" i="1"/>
  <c r="K74" i="1"/>
  <c r="K67" i="1"/>
  <c r="K65" i="1"/>
  <c r="K73" i="1"/>
  <c r="K58" i="1"/>
  <c r="K64" i="1"/>
  <c r="K45" i="1"/>
  <c r="K63" i="1"/>
  <c r="H39" i="1"/>
  <c r="D39" i="1" s="1"/>
  <c r="H48" i="1"/>
  <c r="D48" i="1" s="1"/>
  <c r="H42" i="1"/>
  <c r="D42" i="1" s="1"/>
  <c r="H51" i="1"/>
  <c r="D51" i="1" s="1"/>
  <c r="K43" i="1"/>
  <c r="K47" i="1"/>
  <c r="K55" i="1"/>
  <c r="K46" i="1"/>
  <c r="K50" i="1"/>
  <c r="K49" i="1"/>
  <c r="K56" i="1"/>
  <c r="K41" i="1"/>
  <c r="H30" i="1"/>
  <c r="K26" i="1"/>
  <c r="I35" i="1"/>
  <c r="K35" i="1" s="1"/>
  <c r="K24" i="1"/>
  <c r="I33" i="1"/>
  <c r="K33" i="1" s="1"/>
  <c r="K23" i="1"/>
  <c r="I32" i="1"/>
  <c r="K32" i="1" s="1"/>
  <c r="K25" i="1"/>
  <c r="I34" i="1"/>
  <c r="K34" i="1" s="1"/>
  <c r="K22" i="1"/>
  <c r="I31" i="1"/>
  <c r="K31" i="1" s="1"/>
  <c r="K28" i="1"/>
  <c r="I37" i="1"/>
  <c r="K37" i="1" s="1"/>
  <c r="K27" i="1"/>
  <c r="I36" i="1"/>
  <c r="K36" i="1" s="1"/>
  <c r="K29" i="1"/>
  <c r="I38" i="1"/>
  <c r="K38" i="1" s="1"/>
  <c r="H21" i="1"/>
  <c r="D21" i="1" s="1"/>
  <c r="H105" i="1" a="1"/>
  <c r="H110" i="1" a="1"/>
  <c r="H62" i="1" a="1"/>
  <c r="H89" i="1" a="1"/>
  <c r="H122" i="1" a="1"/>
  <c r="H107" i="1" a="1"/>
  <c r="H87" i="1" a="1"/>
  <c r="H91" i="1" a="1"/>
  <c r="H92" i="1" a="1"/>
  <c r="H108" i="1" a="1"/>
  <c r="H32" i="1" a="1"/>
  <c r="F104" i="1" a="1"/>
  <c r="F63" i="1" a="1"/>
  <c r="H25" i="1" a="1"/>
  <c r="H118" i="1" a="1"/>
  <c r="H46" i="1" a="1"/>
  <c r="F114" i="1" a="1"/>
  <c r="F61" i="1" a="1"/>
  <c r="F50" i="1" a="1"/>
  <c r="H137" i="1" a="1"/>
  <c r="F102" i="1" a="1"/>
  <c r="F121" i="1" a="1"/>
  <c r="F79" i="1" a="1"/>
  <c r="F119" i="1" a="1"/>
  <c r="F146" i="1" a="1"/>
  <c r="H61" i="1" a="1"/>
  <c r="H31" i="1" a="1"/>
  <c r="H29" i="1" a="1"/>
  <c r="F106" i="1" a="1"/>
  <c r="F117" i="1" a="1"/>
  <c r="F94" i="1" a="1"/>
  <c r="F78" i="1" a="1"/>
  <c r="F135" i="1" a="1"/>
  <c r="F108" i="1" a="1"/>
  <c r="H41" i="1" a="1"/>
  <c r="F131" i="1" a="1"/>
  <c r="F76" i="1" a="1"/>
  <c r="H126" i="1" a="1"/>
  <c r="F126" i="1" a="1"/>
  <c r="F123" i="1" a="1"/>
  <c r="F120" i="1" a="1"/>
  <c r="H109" i="1" a="1"/>
  <c r="H43" i="1" a="1"/>
  <c r="F115" i="1" a="1"/>
  <c r="H136" i="1" a="1"/>
  <c r="F83" i="1" a="1"/>
  <c r="H99" i="1" a="1"/>
  <c r="F57" i="1" a="1"/>
  <c r="F113" i="1" a="1"/>
  <c r="F54" i="1" a="1"/>
  <c r="F144" i="1" a="1"/>
  <c r="F40" i="1" a="1"/>
  <c r="H115" i="1" a="1"/>
  <c r="H49" i="1" a="1"/>
  <c r="F45" i="1" a="1"/>
  <c r="F23" i="1" a="1"/>
  <c r="F90" i="1" a="1"/>
  <c r="F101" i="1" a="1"/>
  <c r="H38" i="1" a="1"/>
  <c r="F62" i="1" a="1"/>
  <c r="F73" i="1" a="1"/>
  <c r="H123" i="1" a="1"/>
  <c r="H34" i="1" a="1"/>
  <c r="F103" i="1" a="1"/>
  <c r="H40" i="1" a="1"/>
  <c r="F127" i="1" a="1"/>
  <c r="H27" i="1" a="1"/>
  <c r="H52" i="1" a="1"/>
  <c r="F93" i="1" a="1"/>
  <c r="H135" i="1" a="1"/>
  <c r="F80" i="1" a="1"/>
  <c r="F97" i="1" a="1"/>
  <c r="F129" i="1" a="1"/>
  <c r="H90" i="1" a="1"/>
  <c r="F87" i="1" a="1"/>
  <c r="H128" i="1" a="1"/>
  <c r="F21" i="1" a="1"/>
  <c r="H69" i="1" a="1"/>
  <c r="H106" i="1" a="1"/>
  <c r="H124" i="1" a="1"/>
  <c r="F109" i="1" a="1"/>
  <c r="H53" i="1" a="1"/>
  <c r="F88" i="1" a="1"/>
  <c r="H36" i="1" a="1"/>
  <c r="F100" i="1" a="1"/>
  <c r="H33" i="1" a="1"/>
  <c r="H103" i="1" a="1"/>
  <c r="F134" i="1" a="1"/>
  <c r="F136" i="1" a="1"/>
  <c r="H56" i="1" a="1"/>
  <c r="H55" i="1" a="1"/>
  <c r="H54" i="1" a="1"/>
  <c r="F98" i="1" a="1"/>
  <c r="H68" i="1" a="1"/>
  <c r="H35" i="1" a="1"/>
  <c r="F118" i="1" a="1"/>
  <c r="H23" i="1" a="1"/>
  <c r="F86" i="1" a="1"/>
  <c r="F66" i="1" a="1"/>
  <c r="F39" i="1" a="1"/>
  <c r="F49" i="1" a="1"/>
  <c r="F56" i="1" a="1"/>
  <c r="F95" i="1" a="1"/>
  <c r="F138" i="1" a="1"/>
  <c r="F25" i="1" a="1"/>
  <c r="H22" i="1" a="1"/>
  <c r="H65" i="1" a="1"/>
  <c r="F24" i="1" a="1"/>
  <c r="F141" i="1" a="1"/>
  <c r="F139" i="1" a="1"/>
  <c r="H58" i="1" a="1"/>
  <c r="F47" i="1" a="1"/>
  <c r="F140" i="1" a="1"/>
  <c r="F107" i="1" a="1"/>
  <c r="F67" i="1" a="1"/>
  <c r="H63" i="1" a="1"/>
  <c r="F65" i="1" a="1"/>
  <c r="F143" i="1" a="1"/>
  <c r="F116" i="1" a="1"/>
  <c r="F81" i="1" a="1"/>
  <c r="F128" i="1" a="1"/>
  <c r="F111" i="1" a="1"/>
  <c r="F60" i="1" a="1"/>
  <c r="F64" i="1" a="1"/>
  <c r="H67" i="1" a="1"/>
  <c r="F89" i="1" a="1"/>
  <c r="H130" i="1" a="1"/>
  <c r="H134" i="1" a="1"/>
  <c r="F112" i="1" a="1"/>
  <c r="F137" i="1" a="1"/>
  <c r="F52" i="1" a="1"/>
  <c r="H44" i="1" a="1"/>
  <c r="F82" i="1" a="1"/>
  <c r="H37" i="1" a="1"/>
  <c r="F51" i="1" a="1"/>
  <c r="F69" i="1" a="1"/>
  <c r="F58" i="1" a="1"/>
  <c r="F29" i="1" a="1"/>
  <c r="F72" i="1" a="1"/>
  <c r="F105" i="1" a="1"/>
  <c r="F74" i="1" a="1"/>
  <c r="H45" i="1" a="1"/>
  <c r="F22" i="1" a="1"/>
  <c r="F132" i="1" a="1"/>
  <c r="F28" i="1" a="1"/>
  <c r="H95" i="1" a="1"/>
  <c r="H26" i="1" a="1"/>
  <c r="F96" i="1" a="1"/>
  <c r="F145" i="1" a="1"/>
  <c r="F77" i="1" a="1"/>
  <c r="H127" i="1" a="1"/>
  <c r="H60" i="1" a="1"/>
  <c r="F130" i="1" a="1"/>
  <c r="F41" i="1" a="1"/>
  <c r="F43" i="1" a="1"/>
  <c r="H73" i="1" a="1"/>
  <c r="F59" i="1" a="1"/>
  <c r="F122" i="1" a="1"/>
  <c r="F42" i="1" a="1"/>
  <c r="H74" i="1" a="1"/>
  <c r="H86" i="1" a="1"/>
  <c r="F71" i="1" a="1"/>
  <c r="F75" i="1" a="1"/>
  <c r="F91" i="1" a="1"/>
  <c r="H133" i="1" a="1"/>
  <c r="H64" i="1" a="1"/>
  <c r="H85" i="1" a="1"/>
  <c r="F85" i="1" a="1"/>
  <c r="F44" i="1" a="1"/>
  <c r="F110" i="1" a="1"/>
  <c r="F70" i="1" a="1"/>
  <c r="F48" i="1" a="1"/>
  <c r="F124" i="1" a="1"/>
  <c r="H117" i="1" a="1"/>
  <c r="F125" i="1" a="1"/>
  <c r="H112" i="1" a="1"/>
  <c r="H24" i="1" a="1"/>
  <c r="F92" i="1" a="1"/>
  <c r="H104" i="1" a="1"/>
  <c r="F27" i="1" a="1"/>
  <c r="H47" i="1" a="1"/>
  <c r="H113" i="1" a="1"/>
  <c r="H132" i="1" a="1"/>
  <c r="F68" i="1" a="1"/>
  <c r="F46" i="1" a="1"/>
  <c r="H88" i="1" a="1"/>
  <c r="H28" i="1" a="1"/>
  <c r="H50" i="1" a="1"/>
  <c r="F99" i="1" a="1"/>
  <c r="H59" i="1" a="1"/>
  <c r="F55" i="1" a="1"/>
  <c r="F26" i="1" a="1"/>
  <c r="F84" i="1" a="1"/>
  <c r="F133" i="1" a="1"/>
  <c r="F142" i="1" a="1"/>
  <c r="H72" i="1" a="1"/>
  <c r="H94" i="1" a="1"/>
  <c r="H121" i="1" a="1"/>
  <c r="F53" i="1" a="1"/>
  <c r="H125" i="1" a="1"/>
  <c r="H105" i="1" l="1"/>
  <c r="D105" i="1" s="1"/>
  <c r="H110" i="1"/>
  <c r="D110" i="1" s="1"/>
  <c r="H92" i="1"/>
  <c r="D92" i="1" s="1"/>
  <c r="H91" i="1"/>
  <c r="D91" i="1" s="1"/>
  <c r="H87" i="1"/>
  <c r="D87" i="1" s="1"/>
  <c r="H107" i="1"/>
  <c r="D107" i="1" s="1"/>
  <c r="H122" i="1"/>
  <c r="D122" i="1" s="1"/>
  <c r="H89" i="1"/>
  <c r="D89" i="1" s="1"/>
  <c r="H62" i="1"/>
  <c r="D62" i="1" s="1"/>
  <c r="F120" i="1"/>
  <c r="E120" i="1" s="1"/>
  <c r="F126" i="1"/>
  <c r="F123" i="1"/>
  <c r="F121" i="1"/>
  <c r="F127" i="1"/>
  <c r="F122" i="1"/>
  <c r="F128" i="1"/>
  <c r="F124" i="1"/>
  <c r="F125" i="1"/>
  <c r="F132" i="1"/>
  <c r="F134" i="1"/>
  <c r="F129" i="1"/>
  <c r="E129" i="1" s="1"/>
  <c r="F137" i="1"/>
  <c r="F133" i="1"/>
  <c r="F135" i="1"/>
  <c r="F130" i="1"/>
  <c r="F136" i="1"/>
  <c r="F131" i="1"/>
  <c r="E131" i="1" s="1"/>
  <c r="F78" i="1"/>
  <c r="E78" i="1" s="1"/>
  <c r="F79" i="1"/>
  <c r="E79" i="1" s="1"/>
  <c r="F80" i="1"/>
  <c r="E80" i="1" s="1"/>
  <c r="F75" i="1"/>
  <c r="E75" i="1" s="1"/>
  <c r="F81" i="1"/>
  <c r="F76" i="1"/>
  <c r="E76" i="1" s="1"/>
  <c r="F82" i="1"/>
  <c r="F83" i="1"/>
  <c r="E83" i="1" s="1"/>
  <c r="F77" i="1"/>
  <c r="E77" i="1" s="1"/>
  <c r="F114" i="1"/>
  <c r="E114" i="1" s="1"/>
  <c r="F115" i="1"/>
  <c r="F111" i="1"/>
  <c r="E111" i="1" s="1"/>
  <c r="F116" i="1"/>
  <c r="E116" i="1" s="1"/>
  <c r="F117" i="1"/>
  <c r="F113" i="1"/>
  <c r="F112" i="1"/>
  <c r="F118" i="1"/>
  <c r="F119" i="1"/>
  <c r="E119" i="1" s="1"/>
  <c r="F138" i="1"/>
  <c r="E138" i="1" s="1"/>
  <c r="F144" i="1"/>
  <c r="F140" i="1"/>
  <c r="E140" i="1" s="1"/>
  <c r="F139" i="1"/>
  <c r="E139" i="1" s="1"/>
  <c r="F145" i="1"/>
  <c r="F143" i="1"/>
  <c r="E143" i="1" s="1"/>
  <c r="F146" i="1"/>
  <c r="E146" i="1" s="1"/>
  <c r="F141" i="1"/>
  <c r="E141" i="1" s="1"/>
  <c r="F142" i="1"/>
  <c r="E142" i="1" s="1"/>
  <c r="F48" i="1"/>
  <c r="E48" i="1" s="1"/>
  <c r="F54" i="1"/>
  <c r="F49" i="1"/>
  <c r="F55" i="1"/>
  <c r="F50" i="1"/>
  <c r="F56" i="1"/>
  <c r="F51" i="1"/>
  <c r="E51" i="1" s="1"/>
  <c r="F52" i="1"/>
  <c r="F53" i="1"/>
  <c r="F66" i="1"/>
  <c r="E66" i="1" s="1"/>
  <c r="F72" i="1"/>
  <c r="F67" i="1"/>
  <c r="F73" i="1"/>
  <c r="F69" i="1"/>
  <c r="F68" i="1"/>
  <c r="F74" i="1"/>
  <c r="F70" i="1"/>
  <c r="E70" i="1" s="1"/>
  <c r="F71" i="1"/>
  <c r="E71" i="1" s="1"/>
  <c r="F96" i="1"/>
  <c r="E96" i="1" s="1"/>
  <c r="F97" i="1"/>
  <c r="E97" i="1" s="1"/>
  <c r="F93" i="1"/>
  <c r="E93" i="1" s="1"/>
  <c r="F98" i="1"/>
  <c r="E98" i="1" s="1"/>
  <c r="F99" i="1"/>
  <c r="F94" i="1"/>
  <c r="F100" i="1"/>
  <c r="F95" i="1"/>
  <c r="F101" i="1"/>
  <c r="E101" i="1" s="1"/>
  <c r="F102" i="1"/>
  <c r="E102" i="1" s="1"/>
  <c r="F108" i="1"/>
  <c r="F105" i="1"/>
  <c r="F103" i="1"/>
  <c r="F109" i="1"/>
  <c r="F104" i="1"/>
  <c r="F110" i="1"/>
  <c r="F106" i="1"/>
  <c r="F107" i="1"/>
  <c r="F60" i="1"/>
  <c r="F63" i="1"/>
  <c r="F61" i="1"/>
  <c r="F62" i="1"/>
  <c r="F57" i="1"/>
  <c r="E57" i="1" s="1"/>
  <c r="F58" i="1"/>
  <c r="F64" i="1"/>
  <c r="F65" i="1"/>
  <c r="F59" i="1"/>
  <c r="F84" i="1"/>
  <c r="E84" i="1" s="1"/>
  <c r="F90" i="1"/>
  <c r="F87" i="1"/>
  <c r="F85" i="1"/>
  <c r="F91" i="1"/>
  <c r="F86" i="1"/>
  <c r="F92" i="1"/>
  <c r="F88" i="1"/>
  <c r="F89" i="1"/>
  <c r="F47" i="1"/>
  <c r="F41" i="1"/>
  <c r="F46" i="1"/>
  <c r="F40" i="1"/>
  <c r="F39" i="1"/>
  <c r="E39" i="1" s="1"/>
  <c r="F42" i="1"/>
  <c r="E42" i="1" s="1"/>
  <c r="F45" i="1"/>
  <c r="F43" i="1"/>
  <c r="F44" i="1"/>
  <c r="F22" i="1"/>
  <c r="F28" i="1"/>
  <c r="F27" i="1"/>
  <c r="F23" i="1"/>
  <c r="F29" i="1"/>
  <c r="F24" i="1"/>
  <c r="F25" i="1"/>
  <c r="F26" i="1"/>
  <c r="F21" i="1"/>
  <c r="E21" i="1" s="1"/>
  <c r="D30" i="1"/>
  <c r="H118" i="1"/>
  <c r="D118" i="1" s="1"/>
  <c r="H85" i="1"/>
  <c r="D85" i="1" s="1"/>
  <c r="H99" i="1"/>
  <c r="H125" i="1"/>
  <c r="D125" i="1" s="1"/>
  <c r="H94" i="1"/>
  <c r="D94" i="1" s="1"/>
  <c r="H134" i="1"/>
  <c r="D134" i="1" s="1"/>
  <c r="H127" i="1"/>
  <c r="D127" i="1" s="1"/>
  <c r="H90" i="1"/>
  <c r="H136" i="1"/>
  <c r="D136" i="1" s="1"/>
  <c r="H135" i="1"/>
  <c r="D135" i="1" s="1"/>
  <c r="H106" i="1"/>
  <c r="D106" i="1" s="1"/>
  <c r="H115" i="1"/>
  <c r="D115" i="1" s="1"/>
  <c r="H132" i="1"/>
  <c r="D132" i="1" s="1"/>
  <c r="H112" i="1"/>
  <c r="D112" i="1" s="1"/>
  <c r="H113" i="1"/>
  <c r="D113" i="1" s="1"/>
  <c r="H88" i="1"/>
  <c r="D88" i="1" s="1"/>
  <c r="H40" i="1"/>
  <c r="D40" i="1" s="1"/>
  <c r="H109" i="1"/>
  <c r="D109" i="1" s="1"/>
  <c r="H52" i="1"/>
  <c r="D52" i="1" s="1"/>
  <c r="H126" i="1"/>
  <c r="H123" i="1"/>
  <c r="D123" i="1" s="1"/>
  <c r="H128" i="1"/>
  <c r="D128" i="1" s="1"/>
  <c r="H133" i="1"/>
  <c r="D133" i="1" s="1"/>
  <c r="H137" i="1"/>
  <c r="D137" i="1" s="1"/>
  <c r="H53" i="1"/>
  <c r="D53" i="1" s="1"/>
  <c r="H86" i="1"/>
  <c r="D86" i="1" s="1"/>
  <c r="H124" i="1"/>
  <c r="D124" i="1" s="1"/>
  <c r="H44" i="1"/>
  <c r="D44" i="1" s="1"/>
  <c r="H121" i="1"/>
  <c r="D121" i="1" s="1"/>
  <c r="H103" i="1"/>
  <c r="D103" i="1" s="1"/>
  <c r="H72" i="1"/>
  <c r="D72" i="1" s="1"/>
  <c r="H130" i="1"/>
  <c r="D130" i="1" s="1"/>
  <c r="H104" i="1"/>
  <c r="D104" i="1" s="1"/>
  <c r="H117" i="1"/>
  <c r="H95" i="1"/>
  <c r="D95" i="1" s="1"/>
  <c r="H108" i="1"/>
  <c r="H68" i="1"/>
  <c r="D68" i="1" s="1"/>
  <c r="H59" i="1"/>
  <c r="D59" i="1" s="1"/>
  <c r="H54" i="1"/>
  <c r="H61" i="1"/>
  <c r="D61" i="1" s="1"/>
  <c r="H60" i="1"/>
  <c r="D60" i="1" s="1"/>
  <c r="H63" i="1"/>
  <c r="H74" i="1"/>
  <c r="D74" i="1" s="1"/>
  <c r="H45" i="1"/>
  <c r="H58" i="1"/>
  <c r="D58" i="1" s="1"/>
  <c r="H69" i="1"/>
  <c r="D69" i="1" s="1"/>
  <c r="H73" i="1"/>
  <c r="D73" i="1" s="1"/>
  <c r="H65" i="1"/>
  <c r="D65" i="1" s="1"/>
  <c r="H64" i="1"/>
  <c r="D64" i="1" s="1"/>
  <c r="H67" i="1"/>
  <c r="D67" i="1" s="1"/>
  <c r="H43" i="1"/>
  <c r="D43" i="1" s="1"/>
  <c r="H41" i="1"/>
  <c r="D41" i="1" s="1"/>
  <c r="H47" i="1"/>
  <c r="D47" i="1" s="1"/>
  <c r="H56" i="1"/>
  <c r="D56" i="1" s="1"/>
  <c r="H46" i="1"/>
  <c r="D46" i="1" s="1"/>
  <c r="H49" i="1"/>
  <c r="D49" i="1" s="1"/>
  <c r="H50" i="1"/>
  <c r="D50" i="1" s="1"/>
  <c r="H55" i="1"/>
  <c r="D55" i="1" s="1"/>
  <c r="H31" i="1"/>
  <c r="H28" i="1"/>
  <c r="D28" i="1" s="1"/>
  <c r="H25" i="1"/>
  <c r="D25" i="1" s="1"/>
  <c r="H33" i="1"/>
  <c r="H36" i="1"/>
  <c r="H34" i="1"/>
  <c r="H23" i="1"/>
  <c r="D23" i="1" s="1"/>
  <c r="H38" i="1"/>
  <c r="D38" i="1" s="1"/>
  <c r="H29" i="1"/>
  <c r="D29" i="1" s="1"/>
  <c r="H24" i="1"/>
  <c r="D24" i="1" s="1"/>
  <c r="H35" i="1"/>
  <c r="D35" i="1" s="1"/>
  <c r="H27" i="1"/>
  <c r="H26" i="1"/>
  <c r="H22" i="1"/>
  <c r="D22" i="1" s="1"/>
  <c r="H32" i="1"/>
  <c r="H37" i="1"/>
  <c r="D37" i="1" s="1"/>
  <c r="F31" i="1" a="1"/>
  <c r="F36" i="1" a="1"/>
  <c r="F38" i="1" a="1"/>
  <c r="F30" i="1" a="1"/>
  <c r="F32" i="1" a="1"/>
  <c r="F33" i="1" a="1"/>
  <c r="F37" i="1" a="1"/>
  <c r="F35" i="1" a="1"/>
  <c r="F34" i="1" a="1"/>
  <c r="E62" i="1" l="1"/>
  <c r="E105" i="1"/>
  <c r="E110" i="1"/>
  <c r="E87" i="1"/>
  <c r="E122" i="1"/>
  <c r="E92" i="1"/>
  <c r="E89" i="1"/>
  <c r="E107" i="1"/>
  <c r="E22" i="1"/>
  <c r="E128" i="1"/>
  <c r="E52" i="1"/>
  <c r="E24" i="1"/>
  <c r="E137" i="1"/>
  <c r="E88" i="1"/>
  <c r="E104" i="1"/>
  <c r="E115" i="1"/>
  <c r="E86" i="1"/>
  <c r="E103" i="1"/>
  <c r="E41" i="1"/>
  <c r="D99" i="1"/>
  <c r="E99" i="1" s="1"/>
  <c r="D90" i="1"/>
  <c r="E90" i="1" s="1"/>
  <c r="E55" i="1"/>
  <c r="D45" i="1"/>
  <c r="E45" i="1" s="1"/>
  <c r="E65" i="1"/>
  <c r="E29" i="1"/>
  <c r="E134" i="1"/>
  <c r="E95" i="1"/>
  <c r="E49" i="1"/>
  <c r="E61" i="1"/>
  <c r="E44" i="1"/>
  <c r="E68" i="1"/>
  <c r="E25" i="1"/>
  <c r="E59" i="1"/>
  <c r="E67" i="1"/>
  <c r="E124" i="1"/>
  <c r="E145" i="1"/>
  <c r="E53" i="1"/>
  <c r="E40" i="1"/>
  <c r="E94" i="1"/>
  <c r="E125" i="1"/>
  <c r="E113" i="1"/>
  <c r="E69" i="1"/>
  <c r="E112" i="1"/>
  <c r="E85" i="1"/>
  <c r="E132" i="1"/>
  <c r="E74" i="1"/>
  <c r="E133" i="1"/>
  <c r="E106" i="1"/>
  <c r="E121" i="1"/>
  <c r="E58" i="1"/>
  <c r="E123" i="1"/>
  <c r="E50" i="1"/>
  <c r="E135" i="1"/>
  <c r="E81" i="1"/>
  <c r="E130" i="1"/>
  <c r="E144" i="1"/>
  <c r="E56" i="1"/>
  <c r="E23" i="1"/>
  <c r="E47" i="1"/>
  <c r="E60" i="1"/>
  <c r="E43" i="1"/>
  <c r="E82" i="1"/>
  <c r="E73" i="1"/>
  <c r="F31" i="1"/>
  <c r="F37" i="1"/>
  <c r="F32" i="1"/>
  <c r="F38" i="1"/>
  <c r="E38" i="1" s="1"/>
  <c r="F33" i="1"/>
  <c r="F36" i="1"/>
  <c r="F34" i="1"/>
  <c r="F35" i="1"/>
  <c r="E35" i="1" s="1"/>
  <c r="F30" i="1"/>
  <c r="E30" i="1" s="1"/>
  <c r="D31" i="1"/>
  <c r="D33" i="1"/>
  <c r="D32" i="1"/>
  <c r="D34" i="1"/>
  <c r="D26" i="1"/>
  <c r="E26" i="1" s="1"/>
  <c r="E100" i="1"/>
  <c r="E91" i="1"/>
  <c r="D54" i="1"/>
  <c r="E54" i="1" s="1"/>
  <c r="E136" i="1"/>
  <c r="E118" i="1"/>
  <c r="D117" i="1"/>
  <c r="E117" i="1" s="1"/>
  <c r="E72" i="1"/>
  <c r="E109" i="1"/>
  <c r="D108" i="1"/>
  <c r="E108" i="1" s="1"/>
  <c r="E127" i="1"/>
  <c r="D126" i="1"/>
  <c r="E126" i="1" s="1"/>
  <c r="E46" i="1"/>
  <c r="D63" i="1"/>
  <c r="E63" i="1" s="1"/>
  <c r="E64" i="1"/>
  <c r="D36" i="1"/>
  <c r="E28" i="1"/>
  <c r="D27" i="1"/>
  <c r="E27" i="1" s="1"/>
  <c r="E36" i="1" l="1"/>
  <c r="E37" i="1"/>
  <c r="E32" i="1"/>
  <c r="E33" i="1"/>
  <c r="E31" i="1"/>
  <c r="E3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<sst xmlns="http://schemas.openxmlformats.org/spreadsheetml/2006/main" count="397" uniqueCount="242">
  <si>
    <t>台羅拼音帶調字符表[1]</t>
  </si>
  <si>
    <t>字母、陰平（一聲）</t>
  </si>
  <si>
    <t>陰上（二聲）</t>
  </si>
  <si>
    <t>陰去（三聲）</t>
  </si>
  <si>
    <t>陰入（四聲）</t>
  </si>
  <si>
    <t>陽平（五聲）</t>
  </si>
  <si>
    <t>陽上（六聲）</t>
  </si>
  <si>
    <t>陽去（七聲）</t>
  </si>
  <si>
    <t>陽入（八聲）</t>
  </si>
  <si>
    <t>（九聲）</t>
  </si>
  <si>
    <t>組合附加符號</t>
  </si>
  <si>
    <t>h</t>
  </si>
  <si>
    <t>̂ (U+0302)</t>
  </si>
  <si>
    <t>̌ (U+030C)</t>
  </si>
  <si>
    <t>̄ (U+0304)</t>
  </si>
  <si>
    <t>̍h (U+030D)</t>
  </si>
  <si>
    <t>̋ (U+030B)</t>
  </si>
  <si>
    <t>大寫</t>
  </si>
  <si>
    <t>A</t>
  </si>
  <si>
    <t>Á (U+00C1)</t>
  </si>
  <si>
    <t>À (U+00C0)</t>
  </si>
  <si>
    <t>AH</t>
  </si>
  <si>
    <t>Â (U+00C2)</t>
  </si>
  <si>
    <t>Ǎ (U+01CD)</t>
  </si>
  <si>
    <t>Ā (U+0100)</t>
  </si>
  <si>
    <t>A̍H (U+0041 U+030D)</t>
  </si>
  <si>
    <t>A̋ (U+0041 U+030B)</t>
  </si>
  <si>
    <t>E</t>
  </si>
  <si>
    <t>É (U+00C9)</t>
  </si>
  <si>
    <t>È (U+00C8)</t>
  </si>
  <si>
    <t>EH</t>
  </si>
  <si>
    <t>Ê (U+00CA)</t>
  </si>
  <si>
    <t>Ě (U+011A)</t>
  </si>
  <si>
    <t>Ē (U+0112)</t>
  </si>
  <si>
    <t>E̍H (U+0045 U+030D)</t>
  </si>
  <si>
    <t>E̋ (U+0045 U+030B)</t>
  </si>
  <si>
    <t>I</t>
  </si>
  <si>
    <t>Í (U+00CD)</t>
  </si>
  <si>
    <t>Ì (U+00CC)</t>
  </si>
  <si>
    <t>IH</t>
  </si>
  <si>
    <t>Î (U+00CE)</t>
  </si>
  <si>
    <t>Ǐ (U+01CF)</t>
  </si>
  <si>
    <t>I̍H (U+0049 U+030D)</t>
  </si>
  <si>
    <t>I̋ (U+0049 U+030B)</t>
  </si>
  <si>
    <t>O</t>
  </si>
  <si>
    <t>Ó (U+00D3)</t>
  </si>
  <si>
    <t>Ò (U+00D2)</t>
  </si>
  <si>
    <t>OH</t>
  </si>
  <si>
    <t>Ô (U+00D4)</t>
  </si>
  <si>
    <t>Ǒ (U+01D1)</t>
  </si>
  <si>
    <t>Ō (U+014C)</t>
  </si>
  <si>
    <t>O̍H (U+004F U+030D)</t>
  </si>
  <si>
    <t>U</t>
  </si>
  <si>
    <t>Ú (U+00DA)</t>
  </si>
  <si>
    <t>Ù (U+00D9)</t>
  </si>
  <si>
    <t>UH</t>
  </si>
  <si>
    <t>Û (U+00DB)</t>
  </si>
  <si>
    <t>Ǔ (U+01D3)</t>
  </si>
  <si>
    <t>U̍H (U+0055 U+030D)</t>
  </si>
  <si>
    <t>M</t>
  </si>
  <si>
    <t>Ḿ (U+1E3E)</t>
  </si>
  <si>
    <t>MH</t>
  </si>
  <si>
    <t>M̂ (U+004D U+0302)</t>
  </si>
  <si>
    <t>M̌ (U+004D U+030C)</t>
  </si>
  <si>
    <t>M̄ (U+004D U+0304)</t>
  </si>
  <si>
    <t>M̍H (U+004D U+030D)</t>
  </si>
  <si>
    <t>M̋ (U+004D U+030B)</t>
  </si>
  <si>
    <t>N</t>
  </si>
  <si>
    <t>Ǹ (U+01F8)</t>
  </si>
  <si>
    <t>NH</t>
  </si>
  <si>
    <t>N̂ (U+004E U+0302)</t>
  </si>
  <si>
    <t>N̄ (U+004E U+0304)</t>
  </si>
  <si>
    <t>N̍H (U+004E U+030D)</t>
  </si>
  <si>
    <t>N̋ (U+004E U+030B)</t>
  </si>
  <si>
    <t>小寫</t>
  </si>
  <si>
    <t>a</t>
  </si>
  <si>
    <t>á (U+00E1)</t>
  </si>
  <si>
    <t>à (U+00E0)</t>
  </si>
  <si>
    <t>ah</t>
  </si>
  <si>
    <t>â (U+00E2)</t>
  </si>
  <si>
    <t>ǎ (U+01CE)</t>
  </si>
  <si>
    <t>ā (U+0101)</t>
  </si>
  <si>
    <t>a̍h (U+0061 U+030D)</t>
  </si>
  <si>
    <t>a̋ (U+0061 U+030B)</t>
  </si>
  <si>
    <t>e</t>
  </si>
  <si>
    <t>é (U+00E9)</t>
  </si>
  <si>
    <t>è (U+00E8)</t>
  </si>
  <si>
    <t>eh</t>
  </si>
  <si>
    <t>ê (U+00EA)</t>
  </si>
  <si>
    <t>ě (U+011B)</t>
  </si>
  <si>
    <t>ē (U+0113)</t>
  </si>
  <si>
    <t>e̍h (U+0065 U+030D)</t>
  </si>
  <si>
    <t>e̋ (U+0065 U+030B)</t>
  </si>
  <si>
    <t>i</t>
  </si>
  <si>
    <t>í (U+00ED)</t>
  </si>
  <si>
    <t>ì (U+00EC)</t>
  </si>
  <si>
    <t>ih</t>
  </si>
  <si>
    <t>î (U+00EE)</t>
  </si>
  <si>
    <t>ǐ (U+01D0)</t>
  </si>
  <si>
    <t>ī (U+012B)</t>
  </si>
  <si>
    <t>i̍h (U+0069 U+030D)</t>
  </si>
  <si>
    <t>i̋ (U+0069 U+030B)</t>
  </si>
  <si>
    <t>o</t>
  </si>
  <si>
    <t>ó (U+00F3)</t>
  </si>
  <si>
    <t>ò (U+00F2)</t>
  </si>
  <si>
    <t>oh</t>
  </si>
  <si>
    <t>ô (U+00F4)</t>
  </si>
  <si>
    <t>ǒ (U+01D2)</t>
  </si>
  <si>
    <t>ō (U+014D)</t>
  </si>
  <si>
    <t>o̍h (U+006F U+030D)</t>
  </si>
  <si>
    <t>u</t>
  </si>
  <si>
    <t>ú (U+00FA)</t>
  </si>
  <si>
    <t>ù (U+00F9)</t>
  </si>
  <si>
    <t>uh</t>
  </si>
  <si>
    <t>û (U+00FB)</t>
  </si>
  <si>
    <t>ǔ (U+01D4)</t>
  </si>
  <si>
    <t>ū (U+016B)</t>
  </si>
  <si>
    <t>u̍h (U+0075 U+030D)</t>
  </si>
  <si>
    <t>m</t>
  </si>
  <si>
    <t>ḿ (U+1E3F)</t>
  </si>
  <si>
    <t>mh</t>
  </si>
  <si>
    <t>m̂ (U+006D U+0302)</t>
  </si>
  <si>
    <t>m̌ (U+006D U+030C)</t>
  </si>
  <si>
    <t>m̄ (U+006D U+0304)</t>
  </si>
  <si>
    <t>m̍h (U+006D U+030D)</t>
  </si>
  <si>
    <t>m̋ (U+006D U+030B)</t>
  </si>
  <si>
    <t>n</t>
  </si>
  <si>
    <t>ǹ (U+01F9)</t>
  </si>
  <si>
    <t>nh</t>
  </si>
  <si>
    <t>n̂ (U+006E U+0302)</t>
  </si>
  <si>
    <t>n̄ (U+006E U+0304)</t>
  </si>
  <si>
    <t>n̍h (U+006E U+030D)</t>
  </si>
  <si>
    <t>n̋ (U+006E U+030B)</t>
  </si>
  <si>
    <r>
      <t>́</t>
    </r>
    <r>
      <rPr>
        <sz val="18"/>
        <color theme="1"/>
        <rFont val="新細明體"/>
        <family val="1"/>
        <scheme val="minor"/>
      </rPr>
      <t xml:space="preserve"> (U+0301)</t>
    </r>
  </si>
  <si>
    <r>
      <t>̀</t>
    </r>
    <r>
      <rPr>
        <sz val="18"/>
        <color theme="1"/>
        <rFont val="新細明體"/>
        <family val="1"/>
        <scheme val="minor"/>
      </rPr>
      <t xml:space="preserve"> (U+0300)</t>
    </r>
  </si>
  <si>
    <r>
      <t>Ī</t>
    </r>
    <r>
      <rPr>
        <sz val="18"/>
        <color theme="1"/>
        <rFont val="新細明體"/>
        <family val="1"/>
        <scheme val="minor"/>
      </rPr>
      <t xml:space="preserve"> (U+012A)</t>
    </r>
  </si>
  <si>
    <r>
      <t>Ő</t>
    </r>
    <r>
      <rPr>
        <sz val="18"/>
        <color theme="1"/>
        <rFont val="新細明體"/>
        <family val="1"/>
        <scheme val="minor"/>
      </rPr>
      <t xml:space="preserve"> (U+0150)</t>
    </r>
  </si>
  <si>
    <r>
      <t>Ū</t>
    </r>
    <r>
      <rPr>
        <sz val="18"/>
        <color theme="1"/>
        <rFont val="新細明體"/>
        <family val="1"/>
        <scheme val="minor"/>
      </rPr>
      <t xml:space="preserve"> (U+016A)</t>
    </r>
  </si>
  <si>
    <r>
      <t>Ű</t>
    </r>
    <r>
      <rPr>
        <sz val="18"/>
        <color theme="1"/>
        <rFont val="新細明體"/>
        <family val="1"/>
        <scheme val="minor"/>
      </rPr>
      <t xml:space="preserve"> (U+0170)</t>
    </r>
  </si>
  <si>
    <r>
      <t>M̀</t>
    </r>
    <r>
      <rPr>
        <sz val="18"/>
        <color theme="1"/>
        <rFont val="新細明體"/>
        <family val="1"/>
        <scheme val="minor"/>
      </rPr>
      <t xml:space="preserve"> (U+004D U+0300)</t>
    </r>
  </si>
  <si>
    <r>
      <t>Ń</t>
    </r>
    <r>
      <rPr>
        <sz val="18"/>
        <color theme="1"/>
        <rFont val="新細明體"/>
        <family val="1"/>
        <scheme val="minor"/>
      </rPr>
      <t xml:space="preserve"> (U+0143)</t>
    </r>
  </si>
  <si>
    <r>
      <t>Ň</t>
    </r>
    <r>
      <rPr>
        <sz val="18"/>
        <color theme="1"/>
        <rFont val="新細明體"/>
        <family val="1"/>
        <scheme val="minor"/>
      </rPr>
      <t xml:space="preserve"> (U+0147)</t>
    </r>
  </si>
  <si>
    <r>
      <t>ő</t>
    </r>
    <r>
      <rPr>
        <sz val="18"/>
        <color theme="1"/>
        <rFont val="新細明體"/>
        <family val="1"/>
        <scheme val="minor"/>
      </rPr>
      <t xml:space="preserve"> (U+0151)</t>
    </r>
  </si>
  <si>
    <r>
      <t>ű</t>
    </r>
    <r>
      <rPr>
        <sz val="18"/>
        <color theme="1"/>
        <rFont val="新細明體"/>
        <family val="1"/>
        <scheme val="minor"/>
      </rPr>
      <t xml:space="preserve"> (U+0171)</t>
    </r>
  </si>
  <si>
    <r>
      <t>m̀</t>
    </r>
    <r>
      <rPr>
        <sz val="18"/>
        <color theme="1"/>
        <rFont val="新細明體"/>
        <family val="1"/>
        <scheme val="minor"/>
      </rPr>
      <t xml:space="preserve"> (U+006D U+0300)</t>
    </r>
  </si>
  <si>
    <r>
      <t>ń</t>
    </r>
    <r>
      <rPr>
        <sz val="18"/>
        <color theme="1"/>
        <rFont val="新細明體"/>
        <family val="1"/>
        <scheme val="minor"/>
      </rPr>
      <t xml:space="preserve"> (U+0144)</t>
    </r>
  </si>
  <si>
    <r>
      <t>ň</t>
    </r>
    <r>
      <rPr>
        <sz val="18"/>
        <color theme="1"/>
        <rFont val="新細明體"/>
        <family val="1"/>
        <scheme val="minor"/>
      </rPr>
      <t xml:space="preserve"> (U+0148)</t>
    </r>
  </si>
  <si>
    <t>á</t>
    <phoneticPr fontId="3" type="noConversion"/>
  </si>
  <si>
    <t>ô</t>
    <phoneticPr fontId="3" type="noConversion"/>
  </si>
  <si>
    <t>DEC</t>
    <phoneticPr fontId="3" type="noConversion"/>
  </si>
  <si>
    <t>U+0303</t>
    <phoneticPr fontId="3" type="noConversion"/>
  </si>
  <si>
    <t>i</t>
    <phoneticPr fontId="3" type="noConversion"/>
  </si>
  <si>
    <t>a</t>
    <phoneticPr fontId="3" type="noConversion"/>
  </si>
  <si>
    <t>u</t>
    <phoneticPr fontId="3" type="noConversion"/>
  </si>
  <si>
    <t>Unicode 編碼</t>
  </si>
  <si>
    <t>U+0303</t>
  </si>
  <si>
    <t>ã</t>
  </si>
  <si>
    <t>U+0294</t>
  </si>
  <si>
    <t>aʔ</t>
  </si>
  <si>
    <t>o͘</t>
  </si>
  <si>
    <t>ㄥ</t>
  </si>
  <si>
    <t>ㆭ</t>
  </si>
  <si>
    <t>十進制編碼</t>
    <phoneticPr fontId="3" type="noConversion"/>
  </si>
  <si>
    <t>U+0358</t>
    <phoneticPr fontId="3" type="noConversion"/>
  </si>
  <si>
    <t>拼音字母</t>
    <phoneticPr fontId="3" type="noConversion"/>
  </si>
  <si>
    <t>o</t>
    <phoneticPr fontId="3" type="noConversion"/>
  </si>
  <si>
    <t>組合結果</t>
    <phoneticPr fontId="3" type="noConversion"/>
  </si>
  <si>
    <t>ia</t>
    <phoneticPr fontId="3" type="noConversion"/>
  </si>
  <si>
    <t>iau</t>
    <phoneticPr fontId="3" type="noConversion"/>
  </si>
  <si>
    <t>韻母標音</t>
    <phoneticPr fontId="3" type="noConversion"/>
  </si>
  <si>
    <t>簡要格式</t>
    <phoneticPr fontId="3" type="noConversion"/>
  </si>
  <si>
    <t>完整格式</t>
    <phoneticPr fontId="3" type="noConversion"/>
  </si>
  <si>
    <t>əŋ</t>
    <phoneticPr fontId="3" type="noConversion"/>
  </si>
  <si>
    <t>ə</t>
    <phoneticPr fontId="3" type="noConversion"/>
  </si>
  <si>
    <t>ŋ</t>
    <phoneticPr fontId="3" type="noConversion"/>
  </si>
  <si>
    <t>ŋ̍</t>
  </si>
  <si>
    <t>ŋ̍</t>
    <phoneticPr fontId="3" type="noConversion"/>
  </si>
  <si>
    <t>Unicode字元</t>
    <phoneticPr fontId="3" type="noConversion"/>
  </si>
  <si>
    <t>註釋</t>
    <phoneticPr fontId="3" type="noConversion"/>
  </si>
  <si>
    <t>台羅調符</t>
    <phoneticPr fontId="3" type="noConversion"/>
  </si>
  <si>
    <t>U+0301</t>
  </si>
  <si>
    <t>U+0300</t>
  </si>
  <si>
    <t>U+0302</t>
  </si>
  <si>
    <t>U+030C</t>
  </si>
  <si>
    <t>U+0304</t>
  </si>
  <si>
    <t>U+030D</t>
  </si>
  <si>
    <t>U+030B</t>
  </si>
  <si>
    <t>二聲（陰上）</t>
  </si>
  <si>
    <t>三聲（陰去）</t>
  </si>
  <si>
    <t>五聲（陽平）</t>
  </si>
  <si>
    <t>六聲（陽上）</t>
  </si>
  <si>
    <t>七聲（陽去）</t>
  </si>
  <si>
    <t>八聲（陽入）</t>
  </si>
  <si>
    <t>九聲</t>
  </si>
  <si>
    <t>字母</t>
    <phoneticPr fontId="3" type="noConversion"/>
  </si>
  <si>
    <t>一聲（陰平）</t>
    <phoneticPr fontId="3" type="noConversion"/>
  </si>
  <si>
    <t>四聲（陰入）</t>
    <phoneticPr fontId="3" type="noConversion"/>
  </si>
  <si>
    <r>
      <rPr>
        <sz val="18"/>
        <color theme="1"/>
        <rFont val="新細明體"/>
        <family val="2"/>
        <charset val="136"/>
      </rPr>
      <t>大寫</t>
    </r>
  </si>
  <si>
    <r>
      <rPr>
        <sz val="18"/>
        <color theme="1"/>
        <rFont val="新細明體"/>
        <family val="2"/>
        <charset val="136"/>
      </rPr>
      <t>小寫</t>
    </r>
  </si>
  <si>
    <t>台羅拼音帶調字符表</t>
    <phoneticPr fontId="3" type="noConversion"/>
  </si>
  <si>
    <t>調符 Unicode</t>
    <phoneticPr fontId="3" type="noConversion"/>
  </si>
  <si>
    <t>aɪʔ</t>
  </si>
  <si>
    <t>ʔ</t>
  </si>
  <si>
    <t>ap̚</t>
  </si>
  <si>
    <t>附註</t>
    <phoneticPr fontId="3" type="noConversion"/>
  </si>
  <si>
    <t>入聲韻尾 h</t>
    <phoneticPr fontId="3" type="noConversion"/>
  </si>
  <si>
    <t>aʊ</t>
    <phoneticPr fontId="8" type="noConversion"/>
  </si>
  <si>
    <t>aɪ</t>
    <phoneticPr fontId="8" type="noConversion"/>
  </si>
  <si>
    <t>ʊ</t>
  </si>
  <si>
    <t>ɪ</t>
  </si>
  <si>
    <t>ɛ</t>
  </si>
  <si>
    <t>ɔ</t>
    <phoneticPr fontId="3" type="noConversion"/>
  </si>
  <si>
    <t>m̩</t>
  </si>
  <si>
    <t>閩拼調符</t>
    <phoneticPr fontId="3" type="noConversion"/>
  </si>
  <si>
    <t>三聲（陰上）</t>
    <phoneticPr fontId="3" type="noConversion"/>
  </si>
  <si>
    <t>二聲（陽平）</t>
    <phoneticPr fontId="3" type="noConversion"/>
  </si>
  <si>
    <t>七聲（陰入）</t>
    <phoneticPr fontId="3" type="noConversion"/>
  </si>
  <si>
    <t>八聲（陽入）</t>
    <phoneticPr fontId="3" type="noConversion"/>
  </si>
  <si>
    <t>五聲（陰去）</t>
    <phoneticPr fontId="3" type="noConversion"/>
  </si>
  <si>
    <t>六聲（陽去）</t>
    <phoneticPr fontId="3" type="noConversion"/>
  </si>
  <si>
    <t>̚</t>
  </si>
  <si>
    <t>̃</t>
  </si>
  <si>
    <t>ⁿ</t>
    <phoneticPr fontId="3" type="noConversion"/>
  </si>
  <si>
    <t>a</t>
    <phoneticPr fontId="8" type="noConversion"/>
  </si>
  <si>
    <t>i</t>
    <phoneticPr fontId="8" type="noConversion"/>
  </si>
  <si>
    <t>u</t>
    <phoneticPr fontId="8" type="noConversion"/>
  </si>
  <si>
    <t>e</t>
    <phoneticPr fontId="8" type="noConversion"/>
  </si>
  <si>
    <t>o</t>
    <phoneticPr fontId="8" type="noConversion"/>
  </si>
  <si>
    <t>m</t>
    <phoneticPr fontId="8" type="noConversion"/>
  </si>
  <si>
    <t>n</t>
    <phoneticPr fontId="8" type="noConversion"/>
  </si>
  <si>
    <t>調號</t>
  </si>
  <si>
    <t>上標值</t>
    <phoneticPr fontId="8" type="noConversion"/>
  </si>
  <si>
    <t>¹</t>
  </si>
  <si>
    <t>²</t>
  </si>
  <si>
    <t>³</t>
  </si>
  <si>
    <t>⁴</t>
  </si>
  <si>
    <t>⁵</t>
  </si>
  <si>
    <t>⁶</t>
  </si>
  <si>
    <t>⁷</t>
  </si>
  <si>
    <t>⁸</t>
  </si>
  <si>
    <t>⁹</t>
  </si>
  <si>
    <t>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</si>
</sst>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scheme val="minor"/>
    </font>
    <font>
      <sz val="9"/>
      <name val="新細明體"/>
      <family val="2"/>
      <charset val="136"/>
      <scheme val="minor"/>
    </font>
    <font>
      <sz val="18"/>
      <color theme="1"/>
      <name val="Arial"/>
      <family val="2"/>
    </font>
    <font>
      <sz val="18"/>
      <color rgb="FFFF0000"/>
      <name val="Arial"/>
      <family val="2"/>
    </font>
    <font>
      <sz val="28"/>
      <color theme="1"/>
      <name val="Arial"/>
      <family val="2"/>
    </font>
    <font>
      <sz val="12"/>
      <color theme="1"/>
      <name val="新細明體"/>
      <family val="2"/>
      <charset val="136"/>
      <scheme val="minor"/>
    </font>
    <font>
      <sz val="9"/>
      <name val="Noto Sans TC Medium"/>
      <family val="2"/>
      <charset val="136"/>
    </font>
    <font>
      <sz val="28"/>
      <color theme="1"/>
      <name val="Noto Sans TC"/>
      <family val="2"/>
      <charset val="136"/>
    </font>
    <font>
      <sz val="28"/>
      <color theme="1"/>
      <name val="微軟正黑體"/>
      <family val="2"/>
      <charset val="136"/>
    </font>
    <font>
      <sz val="28"/>
      <color theme="1"/>
      <name val="細明體"/>
      <family val="2"/>
      <charset val="136"/>
    </font>
    <font>
      <sz val="28"/>
      <color theme="1"/>
      <name val="Microsoft JhengHei UI"/>
      <family val="2"/>
      <charset val="136"/>
    </font>
    <font>
      <sz val="28"/>
      <color rgb="FFFF0000"/>
      <name val="Noto Sans TC"/>
      <family val="2"/>
      <charset val="136"/>
    </font>
    <font>
      <sz val="28"/>
      <color rgb="FFC00000"/>
      <name val="Arial"/>
      <family val="2"/>
    </font>
    <font>
      <sz val="18"/>
      <color theme="1"/>
      <name val="Charis SIL"/>
    </font>
    <font>
      <sz val="18"/>
      <color theme="1"/>
      <name val="新細明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color theme="1"/>
      <name val="Arial"/>
      <family val="2"/>
    </font>
    <font>
      <b/>
      <sz val="16"/>
      <color theme="1"/>
      <name val="Noto Sans HK"/>
      <family val="2"/>
      <charset val="136"/>
    </font>
    <font>
      <b/>
      <sz val="18"/>
      <color rgb="FFC00000"/>
      <name val="Noto Sans"/>
      <family val="2"/>
    </font>
    <font>
      <sz val="12"/>
      <color theme="1"/>
      <name val="Charis Medium"/>
    </font>
    <font>
      <sz val="22"/>
      <color theme="1"/>
      <name val="Charis Medium"/>
    </font>
    <font>
      <sz val="16"/>
      <color theme="1"/>
      <name val="Charis Medium"/>
    </font>
    <font>
      <sz val="18"/>
      <color theme="0" tint="-0.14999847407452621"/>
      <name val="Noto Sans TC Medium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 indent="2"/>
    </xf>
    <xf numFmtId="0" fontId="13" fillId="4" borderId="0" xfId="0" applyFont="1" applyFill="1">
      <alignment vertical="center"/>
    </xf>
    <xf numFmtId="0" fontId="14" fillId="3" borderId="0" xfId="0" applyFont="1" applyFill="1">
      <alignment vertical="center"/>
    </xf>
    <xf numFmtId="0" fontId="6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5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0" fillId="3" borderId="1" xfId="1" applyFont="1" applyFill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 indent="4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23" fillId="0" borderId="2" xfId="0" applyFont="1" applyBorder="1" applyAlignment="1">
      <alignment horizontal="left" vertical="center" indent="3"/>
    </xf>
    <xf numFmtId="0" fontId="21" fillId="0" borderId="0" xfId="0" applyFont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">
    <cellStyle name="一般" xfId="0" builtinId="0"/>
    <cellStyle name="一般 4" xfId="1" xr:uid="{D629CA5E-3DFD-4E1C-9105-69B043227C53}"/>
  </cellStyles>
  <dxfs count="7">
    <dxf>
      <font>
        <strike val="0"/>
        <outline val="0"/>
        <shadow val="0"/>
        <u val="none"/>
        <vertAlign val="baseline"/>
        <sz val="18"/>
      </font>
    </dxf>
    <dxf>
      <font>
        <strike val="0"/>
        <outline val="0"/>
        <shadow val="0"/>
        <u val="none"/>
        <vertAlign val="baseline"/>
        <sz val="18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Jui\work\Piau-Im\Documents\_&#32882;&#38907;&#35519;&#23565;&#29031;&#34920;.xlsx" TargetMode="External"/><Relationship Id="rId1" Type="http://schemas.openxmlformats.org/officeDocument/2006/relationships/externalLinkPath" Target="_&#32882;&#38907;&#35519;&#23565;&#29031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聲表"/>
      <sheetName val="韻表"/>
      <sheetName val="調表"/>
      <sheetName val="台羅國際音標對照表"/>
      <sheetName val="台羅韻母列表"/>
      <sheetName val="台羅韻母清單"/>
      <sheetName val="【十五音】韻母對照表"/>
      <sheetName val="IPA音節表"/>
      <sheetName val="對照表【工作稿】 "/>
    </sheetNames>
    <sheetDataSet>
      <sheetData sheetId="0"/>
      <sheetData sheetId="1"/>
      <sheetData sheetId="2">
        <row r="3">
          <cell r="M3" t="str">
            <v>台羅調符編碼</v>
          </cell>
        </row>
        <row r="4">
          <cell r="O4" t="str">
            <v>U+0304</v>
          </cell>
        </row>
        <row r="5">
          <cell r="E5" t="str">
            <v>U+0301</v>
          </cell>
          <cell r="M5" t="str">
            <v>U+0304</v>
          </cell>
          <cell r="O5" t="str">
            <v>U+0302</v>
          </cell>
        </row>
        <row r="6">
          <cell r="E6" t="str">
            <v>U+0300</v>
          </cell>
          <cell r="M6" t="str">
            <v>U+0301</v>
          </cell>
          <cell r="O6" t="str">
            <v>U+0300</v>
          </cell>
        </row>
        <row r="7">
          <cell r="M7" t="str">
            <v>U+0300</v>
          </cell>
          <cell r="O7" t="str">
            <v>U+030C</v>
          </cell>
        </row>
        <row r="8">
          <cell r="E8" t="str">
            <v>U+030C</v>
          </cell>
          <cell r="M8" t="str">
            <v>U+0301</v>
          </cell>
          <cell r="O8" t="str">
            <v>U+0301</v>
          </cell>
        </row>
        <row r="9">
          <cell r="E9" t="str">
            <v>U+0301</v>
          </cell>
          <cell r="M9" t="str">
            <v>U+030C</v>
          </cell>
          <cell r="O9" t="str">
            <v>U+0304</v>
          </cell>
        </row>
        <row r="10">
          <cell r="E10" t="str">
            <v>U+0304</v>
          </cell>
          <cell r="M10" t="str">
            <v>U+030D</v>
          </cell>
          <cell r="O10" t="str">
            <v>U+0301</v>
          </cell>
        </row>
        <row r="11">
          <cell r="E11" t="str">
            <v>U+030D</v>
          </cell>
          <cell r="M11" t="str">
            <v>U+0301</v>
          </cell>
          <cell r="O11" t="str">
            <v>U+030C</v>
          </cell>
        </row>
        <row r="12">
          <cell r="E12" t="str">
            <v>U+030B</v>
          </cell>
        </row>
        <row r="13">
          <cell r="E13" t="str">
            <v>U+030A</v>
          </cell>
        </row>
        <row r="17">
          <cell r="E17" t="str">
            <v>U+0304</v>
          </cell>
        </row>
        <row r="18">
          <cell r="E18" t="str">
            <v>U+0301</v>
          </cell>
        </row>
        <row r="19">
          <cell r="E19" t="str">
            <v>U+030C</v>
          </cell>
        </row>
        <row r="20">
          <cell r="E20" t="str">
            <v>U+030C</v>
          </cell>
        </row>
        <row r="21">
          <cell r="E21" t="str">
            <v>U+0300</v>
          </cell>
        </row>
        <row r="22">
          <cell r="E22" t="str">
            <v>U+0302</v>
          </cell>
        </row>
        <row r="23">
          <cell r="E23" t="str">
            <v>U+0304</v>
          </cell>
        </row>
        <row r="24">
          <cell r="E24" t="str">
            <v>U+0301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B5A57-642A-43D6-A2A7-B725D195B9D5}" name="上標對照表" displayName="上標對照表" ref="B2:C12" totalsRowShown="0" headerRowDxfId="1" dataDxfId="0" headerRowBorderDxfId="5" tableBorderDxfId="6" totalsRowBorderDxfId="4">
  <autoFilter ref="B2:C12" xr:uid="{D43B5A57-642A-43D6-A2A7-B725D195B9D5}"/>
  <tableColumns count="2">
    <tableColumn id="1" xr3:uid="{5A84100E-17CD-4672-9892-D5E8F7F7C8B3}" name="調號" dataDxfId="3"/>
    <tableColumn id="2" xr3:uid="{70FBA500-FBAD-4731-9062-C41EA2692621}" name="上標值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DC5A-A2E4-418D-8ABB-8C276EDF933C}">
  <dimension ref="A2:K146"/>
  <sheetViews>
    <sheetView topLeftCell="A28" workbookViewId="0">
      <selection activeCell="D3" sqref="D3:K4"/>
    </sheetView>
  </sheetViews>
  <sheetFormatPr defaultRowHeight="25.5" x14ac:dyDescent="0.25"/>
  <cols>
    <col min="1" max="2" width="9" style="1"/>
    <col min="3" max="3" width="23.125" style="1" customWidth="1"/>
    <col min="4" max="7" width="26.875" style="1" customWidth="1"/>
    <col min="8" max="8" width="40.25" style="1" customWidth="1"/>
    <col min="9" max="11" width="26.875" style="1" customWidth="1"/>
    <col min="12" max="16384" width="9" style="1"/>
  </cols>
  <sheetData>
    <row r="2" spans="2:11" x14ac:dyDescent="0.25">
      <c r="B2" s="1" t="s">
        <v>0</v>
      </c>
    </row>
    <row r="3" spans="2:11" x14ac:dyDescent="0.25">
      <c r="B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 spans="2:11" x14ac:dyDescent="0.25">
      <c r="B4" s="1" t="s">
        <v>10</v>
      </c>
      <c r="D4" s="1" t="s">
        <v>133</v>
      </c>
      <c r="E4" s="1" t="s">
        <v>134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</row>
    <row r="5" spans="2:11" x14ac:dyDescent="0.25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</row>
    <row r="6" spans="2:11" x14ac:dyDescent="0.25"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  <c r="I6" s="1" t="s">
        <v>33</v>
      </c>
      <c r="J6" s="1" t="s">
        <v>34</v>
      </c>
      <c r="K6" s="1" t="s">
        <v>35</v>
      </c>
    </row>
    <row r="7" spans="2:11" x14ac:dyDescent="0.25"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135</v>
      </c>
      <c r="J7" s="1" t="s">
        <v>42</v>
      </c>
      <c r="K7" s="1" t="s">
        <v>43</v>
      </c>
    </row>
    <row r="8" spans="2:11" x14ac:dyDescent="0.25"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  <c r="K8" s="1" t="s">
        <v>136</v>
      </c>
    </row>
    <row r="9" spans="2:11" x14ac:dyDescent="0.25"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137</v>
      </c>
      <c r="J9" s="1" t="s">
        <v>58</v>
      </c>
      <c r="K9" s="1" t="s">
        <v>138</v>
      </c>
    </row>
    <row r="10" spans="2:11" x14ac:dyDescent="0.25">
      <c r="C10" s="1" t="s">
        <v>59</v>
      </c>
      <c r="D10" s="1" t="s">
        <v>60</v>
      </c>
      <c r="E10" s="1" t="s">
        <v>139</v>
      </c>
      <c r="F10" s="1" t="s">
        <v>61</v>
      </c>
      <c r="G10" s="1" t="s">
        <v>62</v>
      </c>
      <c r="H10" s="1" t="s">
        <v>63</v>
      </c>
      <c r="I10" s="1" t="s">
        <v>64</v>
      </c>
      <c r="J10" s="1" t="s">
        <v>65</v>
      </c>
      <c r="K10" s="1" t="s">
        <v>66</v>
      </c>
    </row>
    <row r="11" spans="2:11" x14ac:dyDescent="0.25">
      <c r="C11" s="1" t="s">
        <v>67</v>
      </c>
      <c r="D11" s="1" t="s">
        <v>140</v>
      </c>
      <c r="E11" s="1" t="s">
        <v>68</v>
      </c>
      <c r="F11" s="1" t="s">
        <v>69</v>
      </c>
      <c r="G11" s="1" t="s">
        <v>70</v>
      </c>
      <c r="H11" s="1" t="s">
        <v>141</v>
      </c>
      <c r="I11" s="1" t="s">
        <v>71</v>
      </c>
      <c r="J11" s="1" t="s">
        <v>72</v>
      </c>
      <c r="K11" s="1" t="s">
        <v>73</v>
      </c>
    </row>
    <row r="12" spans="2:11" x14ac:dyDescent="0.25"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1" t="s">
        <v>79</v>
      </c>
      <c r="H12" s="1" t="s">
        <v>80</v>
      </c>
      <c r="I12" s="1" t="s">
        <v>81</v>
      </c>
      <c r="J12" s="1" t="s">
        <v>82</v>
      </c>
      <c r="K12" s="1" t="s">
        <v>83</v>
      </c>
    </row>
    <row r="13" spans="2:11" x14ac:dyDescent="0.25">
      <c r="C13" s="1" t="s">
        <v>84</v>
      </c>
      <c r="D13" s="1" t="s">
        <v>85</v>
      </c>
      <c r="E13" s="1" t="s">
        <v>86</v>
      </c>
      <c r="F13" s="1" t="s">
        <v>87</v>
      </c>
      <c r="G13" s="1" t="s">
        <v>88</v>
      </c>
      <c r="H13" s="1" t="s">
        <v>89</v>
      </c>
      <c r="I13" s="1" t="s">
        <v>90</v>
      </c>
      <c r="J13" s="1" t="s">
        <v>91</v>
      </c>
      <c r="K13" s="1" t="s">
        <v>92</v>
      </c>
    </row>
    <row r="14" spans="2:11" x14ac:dyDescent="0.25">
      <c r="C14" s="1" t="s">
        <v>93</v>
      </c>
      <c r="D14" s="1" t="s">
        <v>94</v>
      </c>
      <c r="E14" s="1" t="s">
        <v>95</v>
      </c>
      <c r="F14" s="1" t="s">
        <v>96</v>
      </c>
      <c r="G14" s="1" t="s">
        <v>97</v>
      </c>
      <c r="H14" s="1" t="s">
        <v>98</v>
      </c>
      <c r="I14" s="1" t="s">
        <v>99</v>
      </c>
      <c r="J14" s="1" t="s">
        <v>100</v>
      </c>
      <c r="K14" s="1" t="s">
        <v>101</v>
      </c>
    </row>
    <row r="15" spans="2:11" x14ac:dyDescent="0.25"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1" t="s">
        <v>108</v>
      </c>
      <c r="J15" s="1" t="s">
        <v>109</v>
      </c>
      <c r="K15" s="1" t="s">
        <v>142</v>
      </c>
    </row>
    <row r="16" spans="2:11" x14ac:dyDescent="0.25">
      <c r="C16" s="1" t="s">
        <v>110</v>
      </c>
      <c r="D16" s="1" t="s">
        <v>111</v>
      </c>
      <c r="E16" s="1" t="s">
        <v>112</v>
      </c>
      <c r="F16" s="1" t="s">
        <v>113</v>
      </c>
      <c r="G16" s="1" t="s">
        <v>114</v>
      </c>
      <c r="H16" s="1" t="s">
        <v>115</v>
      </c>
      <c r="I16" s="1" t="s">
        <v>116</v>
      </c>
      <c r="J16" s="1" t="s">
        <v>117</v>
      </c>
      <c r="K16" s="1" t="s">
        <v>143</v>
      </c>
    </row>
    <row r="17" spans="1:11" x14ac:dyDescent="0.25">
      <c r="C17" s="1" t="s">
        <v>118</v>
      </c>
      <c r="D17" s="1" t="s">
        <v>119</v>
      </c>
      <c r="E17" s="1" t="s">
        <v>144</v>
      </c>
      <c r="F17" s="1" t="s">
        <v>120</v>
      </c>
      <c r="G17" s="1" t="s">
        <v>121</v>
      </c>
      <c r="H17" s="1" t="s">
        <v>122</v>
      </c>
      <c r="I17" s="1" t="s">
        <v>123</v>
      </c>
      <c r="J17" s="1" t="s">
        <v>124</v>
      </c>
      <c r="K17" s="1" t="s">
        <v>125</v>
      </c>
    </row>
    <row r="18" spans="1:11" x14ac:dyDescent="0.25">
      <c r="C18" s="1" t="s">
        <v>126</v>
      </c>
      <c r="D18" s="1" t="s">
        <v>145</v>
      </c>
      <c r="E18" s="1" t="s">
        <v>127</v>
      </c>
      <c r="F18" s="1" t="s">
        <v>128</v>
      </c>
      <c r="G18" s="1" t="s">
        <v>129</v>
      </c>
      <c r="H18" s="1" t="s">
        <v>146</v>
      </c>
      <c r="I18" s="1" t="s">
        <v>130</v>
      </c>
      <c r="J18" s="1" t="s">
        <v>131</v>
      </c>
      <c r="K18" s="1" t="s">
        <v>132</v>
      </c>
    </row>
    <row r="21" spans="1:11" x14ac:dyDescent="0.25">
      <c r="A21" s="2">
        <f xml:space="preserve"> ROW() - 21</f>
        <v>0</v>
      </c>
      <c r="B21" s="2">
        <f xml:space="preserve"> ROUNDDOWN( A21/9, 0)</f>
        <v>0</v>
      </c>
      <c r="C21" s="2">
        <v>1</v>
      </c>
      <c r="D21" s="4" t="str">
        <f t="shared" ref="D21:D27" ca="1" si="0" xml:space="preserve"> LEFT(H21)</f>
        <v>A</v>
      </c>
      <c r="E21" s="6" t="str">
        <f ca="1" xml:space="preserve"> """" &amp; D21 &amp; """" &amp; ": (" &amp; """" &amp; F21 &amp; """, " &amp; """" &amp; C21 &amp; """" &amp; "),"</f>
        <v>"A": ("A", "1"),</v>
      </c>
      <c r="F21" s="1" t="str" cm="1">
        <f t="array" aca="1" ref="F21" ca="1" xml:space="preserve"> INDIRECT( ADDRESS( ROW($21:$21), COLUMN($D:$D)))</f>
        <v>A</v>
      </c>
      <c r="H21" s="2" t="str" cm="1">
        <f t="array" aca="1" ref="H21" ca="1" xml:space="preserve"> INDIRECT(K21)</f>
        <v>A</v>
      </c>
      <c r="I21" s="2" cm="1">
        <f t="array" ref="I21" xml:space="preserve"> COLUMN($C:$C)</f>
        <v>3</v>
      </c>
      <c r="J21" s="2" cm="1">
        <f t="array" ref="J21" xml:space="preserve"> ROW($5:$5) + B21</f>
        <v>5</v>
      </c>
      <c r="K21" s="2" t="str">
        <f xml:space="preserve"> ADDRESS(J21, I21,4)</f>
        <v>C5</v>
      </c>
    </row>
    <row r="22" spans="1:11" x14ac:dyDescent="0.25">
      <c r="A22" s="2">
        <f t="shared" ref="A22:A85" si="1" xml:space="preserve"> ROW() - 21</f>
        <v>1</v>
      </c>
      <c r="B22" s="2">
        <f t="shared" ref="B22:B85" si="2" xml:space="preserve"> ROUNDDOWN( A22/9, 0)</f>
        <v>0</v>
      </c>
      <c r="C22" s="2">
        <v>2</v>
      </c>
      <c r="D22" s="4" t="str">
        <f t="shared" ca="1" si="0"/>
        <v>Á</v>
      </c>
      <c r="E22" s="6" t="str">
        <f t="shared" ref="E22:E85" ca="1" si="3" xml:space="preserve"> """" &amp; D22 &amp; """" &amp; ": (" &amp; """" &amp; F22 &amp; """, " &amp; """" &amp; C22 &amp; """" &amp; "),"</f>
        <v>"Á": ("A", "2"),</v>
      </c>
      <c r="F22" s="1" t="str" cm="1">
        <f t="array" aca="1" ref="F22" ca="1" xml:space="preserve"> INDIRECT( ADDRESS( ROW($21:$21), COLUMN($D:$D)))</f>
        <v>A</v>
      </c>
      <c r="H22" s="2" t="str" cm="1">
        <f t="array" aca="1" ref="H22" ca="1" xml:space="preserve"> INDIRECT(K22)</f>
        <v>Á (U+00C1)</v>
      </c>
      <c r="I22" s="2">
        <f t="shared" ref="I22:I29" si="4">C22 - 1 +$I$21</f>
        <v>4</v>
      </c>
      <c r="J22" s="2" cm="1">
        <f t="array" ref="J22" xml:space="preserve"> ROW($5:$5) + B22</f>
        <v>5</v>
      </c>
      <c r="K22" s="2" t="str">
        <f t="shared" ref="K22:K38" si="5" xml:space="preserve"> ADDRESS(J22, I22,4)</f>
        <v>D5</v>
      </c>
    </row>
    <row r="23" spans="1:11" x14ac:dyDescent="0.25">
      <c r="A23" s="2">
        <f t="shared" si="1"/>
        <v>2</v>
      </c>
      <c r="B23" s="2">
        <f t="shared" si="2"/>
        <v>0</v>
      </c>
      <c r="C23" s="2">
        <v>3</v>
      </c>
      <c r="D23" s="4" t="str">
        <f t="shared" ca="1" si="0"/>
        <v>À</v>
      </c>
      <c r="E23" s="6" t="str">
        <f t="shared" ca="1" si="3"/>
        <v>"À": ("A", "3"),</v>
      </c>
      <c r="F23" s="1" t="str" cm="1">
        <f t="array" aca="1" ref="F23" ca="1" xml:space="preserve"> INDIRECT( ADDRESS( ROW($21:$21), COLUMN($D:$D)))</f>
        <v>A</v>
      </c>
      <c r="H23" s="2" t="str" cm="1">
        <f t="array" aca="1" ref="H23" ca="1" xml:space="preserve"> INDIRECT(K23)</f>
        <v>À (U+00C0)</v>
      </c>
      <c r="I23" s="2">
        <f t="shared" si="4"/>
        <v>5</v>
      </c>
      <c r="J23" s="2" cm="1">
        <f t="array" ref="J23" xml:space="preserve"> ROW($5:$5) + B23</f>
        <v>5</v>
      </c>
      <c r="K23" s="2" t="str">
        <f t="shared" si="5"/>
        <v>E5</v>
      </c>
    </row>
    <row r="24" spans="1:11" x14ac:dyDescent="0.25">
      <c r="A24" s="2">
        <f t="shared" si="1"/>
        <v>3</v>
      </c>
      <c r="B24" s="2">
        <f t="shared" si="2"/>
        <v>0</v>
      </c>
      <c r="C24" s="2">
        <v>4</v>
      </c>
      <c r="D24" s="4" t="str">
        <f t="shared" ca="1" si="0"/>
        <v>A</v>
      </c>
      <c r="E24" s="6" t="str">
        <f t="shared" ca="1" si="3"/>
        <v>"A": ("A", "4"),</v>
      </c>
      <c r="F24" s="1" t="str" cm="1">
        <f t="array" aca="1" ref="F24" ca="1" xml:space="preserve"> INDIRECT( ADDRESS( ROW($21:$21), COLUMN($D:$D)))</f>
        <v>A</v>
      </c>
      <c r="H24" s="2" t="str" cm="1">
        <f t="array" aca="1" ref="H24" ca="1" xml:space="preserve"> INDIRECT(K24)</f>
        <v>AH</v>
      </c>
      <c r="I24" s="2">
        <f t="shared" si="4"/>
        <v>6</v>
      </c>
      <c r="J24" s="2" cm="1">
        <f t="array" ref="J24" xml:space="preserve"> ROW($5:$5) + B24</f>
        <v>5</v>
      </c>
      <c r="K24" s="2" t="str">
        <f t="shared" si="5"/>
        <v>F5</v>
      </c>
    </row>
    <row r="25" spans="1:11" x14ac:dyDescent="0.25">
      <c r="A25" s="2">
        <f t="shared" si="1"/>
        <v>4</v>
      </c>
      <c r="B25" s="2">
        <f t="shared" si="2"/>
        <v>0</v>
      </c>
      <c r="C25" s="2">
        <v>5</v>
      </c>
      <c r="D25" s="4" t="str">
        <f t="shared" ca="1" si="0"/>
        <v>Â</v>
      </c>
      <c r="E25" s="6" t="str">
        <f t="shared" ca="1" si="3"/>
        <v>"Â": ("A", "5"),</v>
      </c>
      <c r="F25" s="1" t="str" cm="1">
        <f t="array" aca="1" ref="F25" ca="1" xml:space="preserve"> INDIRECT( ADDRESS( ROW($21:$21), COLUMN($D:$D)))</f>
        <v>A</v>
      </c>
      <c r="H25" s="2" t="str" cm="1">
        <f t="array" aca="1" ref="H25" ca="1" xml:space="preserve"> INDIRECT(K25)</f>
        <v>Â (U+00C2)</v>
      </c>
      <c r="I25" s="2">
        <f t="shared" si="4"/>
        <v>7</v>
      </c>
      <c r="J25" s="2" cm="1">
        <f t="array" ref="J25" xml:space="preserve"> ROW($5:$5) + B25</f>
        <v>5</v>
      </c>
      <c r="K25" s="2" t="str">
        <f t="shared" si="5"/>
        <v>G5</v>
      </c>
    </row>
    <row r="26" spans="1:11" x14ac:dyDescent="0.25">
      <c r="A26" s="2">
        <f t="shared" si="1"/>
        <v>5</v>
      </c>
      <c r="B26" s="2">
        <f t="shared" si="2"/>
        <v>0</v>
      </c>
      <c r="C26" s="2">
        <v>6</v>
      </c>
      <c r="D26" s="4" t="str">
        <f t="shared" ca="1" si="0"/>
        <v>Ǎ</v>
      </c>
      <c r="E26" s="6" t="str">
        <f t="shared" ca="1" si="3"/>
        <v>"Ǎ": ("A", "6"),</v>
      </c>
      <c r="F26" s="1" t="str" cm="1">
        <f t="array" aca="1" ref="F26" ca="1" xml:space="preserve"> INDIRECT( ADDRESS( ROW($21:$21), COLUMN($D:$D)))</f>
        <v>A</v>
      </c>
      <c r="H26" s="2" t="str" cm="1">
        <f t="array" aca="1" ref="H26" ca="1" xml:space="preserve"> INDIRECT(K26)</f>
        <v>Ǎ (U+01CD)</v>
      </c>
      <c r="I26" s="2">
        <f t="shared" si="4"/>
        <v>8</v>
      </c>
      <c r="J26" s="2" cm="1">
        <f t="array" ref="J26" xml:space="preserve"> ROW($5:$5) + B26</f>
        <v>5</v>
      </c>
      <c r="K26" s="2" t="str">
        <f t="shared" si="5"/>
        <v>H5</v>
      </c>
    </row>
    <row r="27" spans="1:11" x14ac:dyDescent="0.25">
      <c r="A27" s="2">
        <f t="shared" si="1"/>
        <v>6</v>
      </c>
      <c r="B27" s="2">
        <f t="shared" si="2"/>
        <v>0</v>
      </c>
      <c r="C27" s="2">
        <v>7</v>
      </c>
      <c r="D27" s="4" t="str">
        <f t="shared" ca="1" si="0"/>
        <v>Ā</v>
      </c>
      <c r="E27" s="6" t="str">
        <f t="shared" ca="1" si="3"/>
        <v>"Ā": ("A", "7"),</v>
      </c>
      <c r="F27" s="1" t="str" cm="1">
        <f t="array" aca="1" ref="F27" ca="1" xml:space="preserve"> INDIRECT( ADDRESS( ROW($21:$21), COLUMN($D:$D)))</f>
        <v>A</v>
      </c>
      <c r="H27" s="2" t="str" cm="1">
        <f t="array" aca="1" ref="H27" ca="1" xml:space="preserve"> INDIRECT(K27)</f>
        <v>Ā (U+0100)</v>
      </c>
      <c r="I27" s="2">
        <f t="shared" si="4"/>
        <v>9</v>
      </c>
      <c r="J27" s="2" cm="1">
        <f t="array" ref="J27" xml:space="preserve"> ROW($5:$5) + B27</f>
        <v>5</v>
      </c>
      <c r="K27" s="2" t="str">
        <f t="shared" si="5"/>
        <v>I5</v>
      </c>
    </row>
    <row r="28" spans="1:11" x14ac:dyDescent="0.25">
      <c r="A28" s="2">
        <f t="shared" si="1"/>
        <v>7</v>
      </c>
      <c r="B28" s="2">
        <f t="shared" si="2"/>
        <v>0</v>
      </c>
      <c r="C28" s="2">
        <v>8</v>
      </c>
      <c r="D28" s="4" t="str">
        <f ca="1" xml:space="preserve"> LEFT(H28,2)</f>
        <v>A̍</v>
      </c>
      <c r="E28" s="6" t="str">
        <f t="shared" ca="1" si="3"/>
        <v>"A̍": ("A", "8"),</v>
      </c>
      <c r="F28" s="1" t="str" cm="1">
        <f t="array" aca="1" ref="F28" ca="1" xml:space="preserve"> INDIRECT( ADDRESS( ROW($21:$21), COLUMN($D:$D)))</f>
        <v>A</v>
      </c>
      <c r="H28" s="2" t="str" cm="1">
        <f t="array" aca="1" ref="H28" ca="1" xml:space="preserve"> INDIRECT(K28)</f>
        <v>A̍H (U+0041 U+030D)</v>
      </c>
      <c r="I28" s="2">
        <f t="shared" si="4"/>
        <v>10</v>
      </c>
      <c r="J28" s="2" cm="1">
        <f t="array" ref="J28" xml:space="preserve"> ROW($5:$5) + B28</f>
        <v>5</v>
      </c>
      <c r="K28" s="2" t="str">
        <f t="shared" si="5"/>
        <v>J5</v>
      </c>
    </row>
    <row r="29" spans="1:11" x14ac:dyDescent="0.25">
      <c r="A29" s="2">
        <f t="shared" si="1"/>
        <v>8</v>
      </c>
      <c r="B29" s="2">
        <f t="shared" si="2"/>
        <v>0</v>
      </c>
      <c r="C29" s="2">
        <v>9</v>
      </c>
      <c r="D29" s="4" t="str">
        <f ca="1" xml:space="preserve"> LEFT(H29,2)</f>
        <v>A̋</v>
      </c>
      <c r="E29" s="6" t="str">
        <f t="shared" ca="1" si="3"/>
        <v>"A̋": ("A", "9"),</v>
      </c>
      <c r="F29" s="1" t="str" cm="1">
        <f t="array" aca="1" ref="F29" ca="1" xml:space="preserve"> INDIRECT( ADDRESS( ROW($21:$21), COLUMN($D:$D)))</f>
        <v>A</v>
      </c>
      <c r="H29" s="2" t="str" cm="1">
        <f t="array" aca="1" ref="H29" ca="1" xml:space="preserve"> INDIRECT(K29)</f>
        <v>A̋ (U+0041 U+030B)</v>
      </c>
      <c r="I29" s="2">
        <f t="shared" si="4"/>
        <v>11</v>
      </c>
      <c r="J29" s="2" cm="1">
        <f t="array" ref="J29" xml:space="preserve"> ROW($5:$5) + B29</f>
        <v>5</v>
      </c>
      <c r="K29" s="2" t="str">
        <f t="shared" si="5"/>
        <v>K5</v>
      </c>
    </row>
    <row r="30" spans="1:11" x14ac:dyDescent="0.25">
      <c r="A30" s="2">
        <f t="shared" si="1"/>
        <v>9</v>
      </c>
      <c r="B30" s="2">
        <f t="shared" si="2"/>
        <v>1</v>
      </c>
      <c r="C30" s="3">
        <v>1</v>
      </c>
      <c r="D30" s="5" t="str">
        <f t="shared" ref="D30:D36" ca="1" si="6" xml:space="preserve"> LEFT(H30)</f>
        <v>E</v>
      </c>
      <c r="E30" s="6" t="str">
        <f t="shared" ca="1" si="3"/>
        <v>"E": ("E", "1"),</v>
      </c>
      <c r="F30" s="1" t="str" cm="1">
        <f t="array" aca="1" ref="F30" ca="1" xml:space="preserve"> INDIRECT( ADDRESS( ROW($21:$21) + B30*9, COLUMN($D:$D)))</f>
        <v>E</v>
      </c>
      <c r="H30" s="3" t="str" cm="1">
        <f t="array" aca="1" ref="H30" ca="1" xml:space="preserve"> INDIRECT(K30)</f>
        <v>E</v>
      </c>
      <c r="I30" s="3">
        <f t="shared" ref="I30:I38" si="7">I21</f>
        <v>3</v>
      </c>
      <c r="J30" s="2" cm="1">
        <f t="array" ref="J30" xml:space="preserve"> ROW($5:$5) + B30</f>
        <v>6</v>
      </c>
      <c r="K30" s="3" t="str">
        <f xml:space="preserve"> ADDRESS(J30, I30,4)</f>
        <v>C6</v>
      </c>
    </row>
    <row r="31" spans="1:11" x14ac:dyDescent="0.25">
      <c r="A31" s="2">
        <f t="shared" si="1"/>
        <v>10</v>
      </c>
      <c r="B31" s="2">
        <f t="shared" si="2"/>
        <v>1</v>
      </c>
      <c r="C31" s="3">
        <v>2</v>
      </c>
      <c r="D31" s="5" t="str">
        <f t="shared" ca="1" si="6"/>
        <v>É</v>
      </c>
      <c r="E31" s="6" t="str">
        <f t="shared" ca="1" si="3"/>
        <v>"É": ("E", "2"),</v>
      </c>
      <c r="F31" s="1" t="str" cm="1">
        <f t="array" aca="1" ref="F31" ca="1" xml:space="preserve"> INDIRECT( ADDRESS( ROW($21:$21) + B31*9, COLUMN($D:$D)))</f>
        <v>E</v>
      </c>
      <c r="H31" s="3" t="str" cm="1">
        <f t="array" aca="1" ref="H31" ca="1" xml:space="preserve"> INDIRECT(K31)</f>
        <v>É (U+00C9)</v>
      </c>
      <c r="I31" s="3">
        <f t="shared" si="7"/>
        <v>4</v>
      </c>
      <c r="J31" s="2" cm="1">
        <f t="array" ref="J31" xml:space="preserve"> ROW($5:$5) + B31</f>
        <v>6</v>
      </c>
      <c r="K31" s="3" t="str">
        <f t="shared" si="5"/>
        <v>D6</v>
      </c>
    </row>
    <row r="32" spans="1:11" x14ac:dyDescent="0.25">
      <c r="A32" s="2">
        <f t="shared" si="1"/>
        <v>11</v>
      </c>
      <c r="B32" s="2">
        <f t="shared" si="2"/>
        <v>1</v>
      </c>
      <c r="C32" s="3">
        <v>3</v>
      </c>
      <c r="D32" s="5" t="str">
        <f t="shared" ca="1" si="6"/>
        <v>È</v>
      </c>
      <c r="E32" s="6" t="str">
        <f t="shared" ca="1" si="3"/>
        <v>"È": ("E", "3"),</v>
      </c>
      <c r="F32" s="1" t="str" cm="1">
        <f t="array" aca="1" ref="F32" ca="1" xml:space="preserve"> INDIRECT( ADDRESS( ROW($21:$21) + B32*9, COLUMN($D:$D)))</f>
        <v>E</v>
      </c>
      <c r="H32" s="3" t="str" cm="1">
        <f t="array" aca="1" ref="H32" ca="1" xml:space="preserve"> INDIRECT(K32)</f>
        <v>È (U+00C8)</v>
      </c>
      <c r="I32" s="3">
        <f t="shared" si="7"/>
        <v>5</v>
      </c>
      <c r="J32" s="2" cm="1">
        <f t="array" ref="J32" xml:space="preserve"> ROW($5:$5) + B32</f>
        <v>6</v>
      </c>
      <c r="K32" s="3" t="str">
        <f t="shared" si="5"/>
        <v>E6</v>
      </c>
    </row>
    <row r="33" spans="1:11" x14ac:dyDescent="0.25">
      <c r="A33" s="2">
        <f t="shared" si="1"/>
        <v>12</v>
      </c>
      <c r="B33" s="2">
        <f t="shared" si="2"/>
        <v>1</v>
      </c>
      <c r="C33" s="3">
        <v>4</v>
      </c>
      <c r="D33" s="5" t="str">
        <f t="shared" ca="1" si="6"/>
        <v>E</v>
      </c>
      <c r="E33" s="6" t="str">
        <f t="shared" ca="1" si="3"/>
        <v>"E": ("E", "4"),</v>
      </c>
      <c r="F33" s="1" t="str" cm="1">
        <f t="array" aca="1" ref="F33" ca="1" xml:space="preserve"> INDIRECT( ADDRESS( ROW($21:$21) + B33*9, COLUMN($D:$D)))</f>
        <v>E</v>
      </c>
      <c r="H33" s="3" t="str" cm="1">
        <f t="array" aca="1" ref="H33" ca="1" xml:space="preserve"> INDIRECT(K33)</f>
        <v>EH</v>
      </c>
      <c r="I33" s="3">
        <f t="shared" si="7"/>
        <v>6</v>
      </c>
      <c r="J33" s="2" cm="1">
        <f t="array" ref="J33" xml:space="preserve"> ROW($5:$5) + B33</f>
        <v>6</v>
      </c>
      <c r="K33" s="3" t="str">
        <f t="shared" si="5"/>
        <v>F6</v>
      </c>
    </row>
    <row r="34" spans="1:11" x14ac:dyDescent="0.25">
      <c r="A34" s="2">
        <f t="shared" si="1"/>
        <v>13</v>
      </c>
      <c r="B34" s="2">
        <f t="shared" si="2"/>
        <v>1</v>
      </c>
      <c r="C34" s="3">
        <v>5</v>
      </c>
      <c r="D34" s="5" t="str">
        <f t="shared" ca="1" si="6"/>
        <v>Ê</v>
      </c>
      <c r="E34" s="6" t="str">
        <f t="shared" ca="1" si="3"/>
        <v>"Ê": ("E", "5"),</v>
      </c>
      <c r="F34" s="1" t="str" cm="1">
        <f t="array" aca="1" ref="F34" ca="1" xml:space="preserve"> INDIRECT( ADDRESS( ROW($21:$21) + B34*9, COLUMN($D:$D)))</f>
        <v>E</v>
      </c>
      <c r="H34" s="3" t="str" cm="1">
        <f t="array" aca="1" ref="H34" ca="1" xml:space="preserve"> INDIRECT(K34)</f>
        <v>Ê (U+00CA)</v>
      </c>
      <c r="I34" s="3">
        <f t="shared" si="7"/>
        <v>7</v>
      </c>
      <c r="J34" s="2" cm="1">
        <f t="array" ref="J34" xml:space="preserve"> ROW($5:$5) + B34</f>
        <v>6</v>
      </c>
      <c r="K34" s="3" t="str">
        <f t="shared" si="5"/>
        <v>G6</v>
      </c>
    </row>
    <row r="35" spans="1:11" x14ac:dyDescent="0.25">
      <c r="A35" s="2">
        <f t="shared" si="1"/>
        <v>14</v>
      </c>
      <c r="B35" s="2">
        <f t="shared" si="2"/>
        <v>1</v>
      </c>
      <c r="C35" s="3">
        <v>6</v>
      </c>
      <c r="D35" s="5" t="str">
        <f t="shared" ca="1" si="6"/>
        <v>Ě</v>
      </c>
      <c r="E35" s="6" t="str">
        <f t="shared" ca="1" si="3"/>
        <v>"Ě": ("E", "6"),</v>
      </c>
      <c r="F35" s="1" t="str" cm="1">
        <f t="array" aca="1" ref="F35" ca="1" xml:space="preserve"> INDIRECT( ADDRESS( ROW($21:$21) + B35*9, COLUMN($D:$D)))</f>
        <v>E</v>
      </c>
      <c r="H35" s="3" t="str" cm="1">
        <f t="array" aca="1" ref="H35" ca="1" xml:space="preserve"> INDIRECT(K35)</f>
        <v>Ě (U+011A)</v>
      </c>
      <c r="I35" s="3">
        <f t="shared" si="7"/>
        <v>8</v>
      </c>
      <c r="J35" s="2" cm="1">
        <f t="array" ref="J35" xml:space="preserve"> ROW($5:$5) + B35</f>
        <v>6</v>
      </c>
      <c r="K35" s="3" t="str">
        <f t="shared" si="5"/>
        <v>H6</v>
      </c>
    </row>
    <row r="36" spans="1:11" x14ac:dyDescent="0.25">
      <c r="A36" s="2">
        <f t="shared" si="1"/>
        <v>15</v>
      </c>
      <c r="B36" s="2">
        <f t="shared" si="2"/>
        <v>1</v>
      </c>
      <c r="C36" s="3">
        <v>7</v>
      </c>
      <c r="D36" s="5" t="str">
        <f t="shared" ca="1" si="6"/>
        <v>Ē</v>
      </c>
      <c r="E36" s="6" t="str">
        <f t="shared" ca="1" si="3"/>
        <v>"Ē": ("E", "7"),</v>
      </c>
      <c r="F36" s="1" t="str" cm="1">
        <f t="array" aca="1" ref="F36" ca="1" xml:space="preserve"> INDIRECT( ADDRESS( ROW($21:$21) + B36*9, COLUMN($D:$D)))</f>
        <v>E</v>
      </c>
      <c r="H36" s="3" t="str" cm="1">
        <f t="array" aca="1" ref="H36" ca="1" xml:space="preserve"> INDIRECT(K36)</f>
        <v>Ē (U+0112)</v>
      </c>
      <c r="I36" s="3">
        <f t="shared" si="7"/>
        <v>9</v>
      </c>
      <c r="J36" s="2" cm="1">
        <f t="array" ref="J36" xml:space="preserve"> ROW($5:$5) + B36</f>
        <v>6</v>
      </c>
      <c r="K36" s="3" t="str">
        <f t="shared" si="5"/>
        <v>I6</v>
      </c>
    </row>
    <row r="37" spans="1:11" x14ac:dyDescent="0.25">
      <c r="A37" s="2">
        <f t="shared" si="1"/>
        <v>16</v>
      </c>
      <c r="B37" s="2">
        <f t="shared" si="2"/>
        <v>1</v>
      </c>
      <c r="C37" s="3">
        <v>8</v>
      </c>
      <c r="D37" s="5" t="str">
        <f ca="1" xml:space="preserve"> LEFT(H37,2)</f>
        <v>E̍</v>
      </c>
      <c r="E37" s="6" t="str">
        <f t="shared" ca="1" si="3"/>
        <v>"E̍": ("E", "8"),</v>
      </c>
      <c r="F37" s="1" t="str" cm="1">
        <f t="array" aca="1" ref="F37" ca="1" xml:space="preserve"> INDIRECT( ADDRESS( ROW($21:$21) + B37*9, COLUMN($D:$D)))</f>
        <v>E</v>
      </c>
      <c r="H37" s="3" t="str" cm="1">
        <f t="array" aca="1" ref="H37" ca="1" xml:space="preserve"> INDIRECT(K37)</f>
        <v>E̍H (U+0045 U+030D)</v>
      </c>
      <c r="I37" s="3">
        <f t="shared" si="7"/>
        <v>10</v>
      </c>
      <c r="J37" s="2" cm="1">
        <f t="array" ref="J37" xml:space="preserve"> ROW($5:$5) + B37</f>
        <v>6</v>
      </c>
      <c r="K37" s="3" t="str">
        <f t="shared" si="5"/>
        <v>J6</v>
      </c>
    </row>
    <row r="38" spans="1:11" x14ac:dyDescent="0.25">
      <c r="A38" s="2">
        <f t="shared" si="1"/>
        <v>17</v>
      </c>
      <c r="B38" s="2">
        <f t="shared" si="2"/>
        <v>1</v>
      </c>
      <c r="C38" s="3">
        <v>9</v>
      </c>
      <c r="D38" s="5" t="str">
        <f ca="1" xml:space="preserve"> LEFT(H38,2)</f>
        <v>E̋</v>
      </c>
      <c r="E38" s="6" t="str">
        <f t="shared" ca="1" si="3"/>
        <v>"E̋": ("E", "9"),</v>
      </c>
      <c r="F38" s="1" t="str" cm="1">
        <f t="array" aca="1" ref="F38" ca="1" xml:space="preserve"> INDIRECT( ADDRESS( ROW($21:$21) + B38*9, COLUMN($D:$D)))</f>
        <v>E</v>
      </c>
      <c r="H38" s="3" t="str" cm="1">
        <f t="array" aca="1" ref="H38" ca="1" xml:space="preserve"> INDIRECT(K38)</f>
        <v>E̋ (U+0045 U+030B)</v>
      </c>
      <c r="I38" s="3">
        <f t="shared" si="7"/>
        <v>11</v>
      </c>
      <c r="J38" s="2" cm="1">
        <f t="array" ref="J38" xml:space="preserve"> ROW($5:$5) + B38</f>
        <v>6</v>
      </c>
      <c r="K38" s="3" t="str">
        <f t="shared" si="5"/>
        <v>K6</v>
      </c>
    </row>
    <row r="39" spans="1:11" x14ac:dyDescent="0.25">
      <c r="A39" s="2">
        <f t="shared" si="1"/>
        <v>18</v>
      </c>
      <c r="B39" s="2">
        <f t="shared" si="2"/>
        <v>2</v>
      </c>
      <c r="C39" s="2">
        <v>1</v>
      </c>
      <c r="D39" s="4" t="str">
        <f t="shared" ref="D39:D45" ca="1" si="8" xml:space="preserve"> LEFT(H39)</f>
        <v>I</v>
      </c>
      <c r="E39" s="6" t="str">
        <f t="shared" ca="1" si="3"/>
        <v>"I": ("I", "1"),</v>
      </c>
      <c r="F39" s="1" t="str" cm="1">
        <f t="array" aca="1" ref="F39" ca="1" xml:space="preserve"> INDIRECT( ADDRESS( ROW($21:$21) + B39*9, COLUMN($D:$D)))</f>
        <v>I</v>
      </c>
      <c r="H39" s="2" t="str" cm="1">
        <f t="array" aca="1" ref="H39" ca="1" xml:space="preserve"> INDIRECT(K39)</f>
        <v>I</v>
      </c>
      <c r="I39" s="2" cm="1">
        <f t="array" ref="I39" xml:space="preserve"> COLUMN($C:$C)</f>
        <v>3</v>
      </c>
      <c r="J39" s="2" cm="1">
        <f t="array" ref="J39" xml:space="preserve"> ROW($5:$5) + B39</f>
        <v>7</v>
      </c>
      <c r="K39" s="2" t="str">
        <f xml:space="preserve"> ADDRESS(J39, I39,4)</f>
        <v>C7</v>
      </c>
    </row>
    <row r="40" spans="1:11" x14ac:dyDescent="0.25">
      <c r="A40" s="2">
        <f t="shared" si="1"/>
        <v>19</v>
      </c>
      <c r="B40" s="2">
        <f t="shared" si="2"/>
        <v>2</v>
      </c>
      <c r="C40" s="2">
        <v>2</v>
      </c>
      <c r="D40" s="4" t="str">
        <f t="shared" ca="1" si="8"/>
        <v>Í</v>
      </c>
      <c r="E40" s="6" t="str">
        <f t="shared" ca="1" si="3"/>
        <v>"Í": ("I", "2"),</v>
      </c>
      <c r="F40" s="1" t="str" cm="1">
        <f t="array" aca="1" ref="F40" ca="1" xml:space="preserve"> INDIRECT( ADDRESS( ROW($21:$21) + B40*9, COLUMN($D:$D)))</f>
        <v>I</v>
      </c>
      <c r="H40" s="2" t="str" cm="1">
        <f t="array" aca="1" ref="H40" ca="1" xml:space="preserve"> INDIRECT(K40)</f>
        <v>Í (U+00CD)</v>
      </c>
      <c r="I40" s="2">
        <f t="shared" ref="I40:I47" si="9">C40 - 1 +$I$21</f>
        <v>4</v>
      </c>
      <c r="J40" s="2" cm="1">
        <f t="array" ref="J40" xml:space="preserve"> ROW($5:$5) + B40</f>
        <v>7</v>
      </c>
      <c r="K40" s="2" t="str">
        <f t="shared" ref="K40:K47" si="10" xml:space="preserve"> ADDRESS(J40, I40,4)</f>
        <v>D7</v>
      </c>
    </row>
    <row r="41" spans="1:11" x14ac:dyDescent="0.25">
      <c r="A41" s="2">
        <f t="shared" si="1"/>
        <v>20</v>
      </c>
      <c r="B41" s="2">
        <f t="shared" si="2"/>
        <v>2</v>
      </c>
      <c r="C41" s="2">
        <v>3</v>
      </c>
      <c r="D41" s="4" t="str">
        <f t="shared" ca="1" si="8"/>
        <v>Ì</v>
      </c>
      <c r="E41" s="6" t="str">
        <f t="shared" ca="1" si="3"/>
        <v>"Ì": ("I", "3"),</v>
      </c>
      <c r="F41" s="1" t="str" cm="1">
        <f t="array" aca="1" ref="F41" ca="1" xml:space="preserve"> INDIRECT( ADDRESS( ROW($21:$21) + B41*9, COLUMN($D:$D)))</f>
        <v>I</v>
      </c>
      <c r="H41" s="2" t="str" cm="1">
        <f t="array" aca="1" ref="H41" ca="1" xml:space="preserve"> INDIRECT(K41)</f>
        <v>Ì (U+00CC)</v>
      </c>
      <c r="I41" s="2">
        <f t="shared" si="9"/>
        <v>5</v>
      </c>
      <c r="J41" s="2" cm="1">
        <f t="array" ref="J41" xml:space="preserve"> ROW($5:$5) + B41</f>
        <v>7</v>
      </c>
      <c r="K41" s="2" t="str">
        <f t="shared" si="10"/>
        <v>E7</v>
      </c>
    </row>
    <row r="42" spans="1:11" x14ac:dyDescent="0.25">
      <c r="A42" s="2">
        <f t="shared" si="1"/>
        <v>21</v>
      </c>
      <c r="B42" s="2">
        <f t="shared" si="2"/>
        <v>2</v>
      </c>
      <c r="C42" s="2">
        <v>4</v>
      </c>
      <c r="D42" s="4" t="str">
        <f t="shared" ca="1" si="8"/>
        <v>I</v>
      </c>
      <c r="E42" s="6" t="str">
        <f t="shared" ca="1" si="3"/>
        <v>"I": ("I", "4"),</v>
      </c>
      <c r="F42" s="1" t="str" cm="1">
        <f t="array" aca="1" ref="F42" ca="1" xml:space="preserve"> INDIRECT( ADDRESS( ROW($21:$21) + B42*9, COLUMN($D:$D)))</f>
        <v>I</v>
      </c>
      <c r="H42" s="2" t="str" cm="1">
        <f t="array" aca="1" ref="H42" ca="1" xml:space="preserve"> INDIRECT(K42)</f>
        <v>IH</v>
      </c>
      <c r="I42" s="2">
        <f t="shared" si="9"/>
        <v>6</v>
      </c>
      <c r="J42" s="2" cm="1">
        <f t="array" ref="J42" xml:space="preserve"> ROW($5:$5) + B42</f>
        <v>7</v>
      </c>
      <c r="K42" s="2" t="str">
        <f t="shared" si="10"/>
        <v>F7</v>
      </c>
    </row>
    <row r="43" spans="1:11" x14ac:dyDescent="0.25">
      <c r="A43" s="2">
        <f t="shared" si="1"/>
        <v>22</v>
      </c>
      <c r="B43" s="2">
        <f t="shared" si="2"/>
        <v>2</v>
      </c>
      <c r="C43" s="2">
        <v>5</v>
      </c>
      <c r="D43" s="4" t="str">
        <f t="shared" ca="1" si="8"/>
        <v>Î</v>
      </c>
      <c r="E43" s="6" t="str">
        <f t="shared" ca="1" si="3"/>
        <v>"Î": ("I", "5"),</v>
      </c>
      <c r="F43" s="1" t="str" cm="1">
        <f t="array" aca="1" ref="F43" ca="1" xml:space="preserve"> INDIRECT( ADDRESS( ROW($21:$21) + B43*9, COLUMN($D:$D)))</f>
        <v>I</v>
      </c>
      <c r="H43" s="2" t="str" cm="1">
        <f t="array" aca="1" ref="H43" ca="1" xml:space="preserve"> INDIRECT(K43)</f>
        <v>Î (U+00CE)</v>
      </c>
      <c r="I43" s="2">
        <f t="shared" si="9"/>
        <v>7</v>
      </c>
      <c r="J43" s="2" cm="1">
        <f t="array" ref="J43" xml:space="preserve"> ROW($5:$5) + B43</f>
        <v>7</v>
      </c>
      <c r="K43" s="2" t="str">
        <f t="shared" si="10"/>
        <v>G7</v>
      </c>
    </row>
    <row r="44" spans="1:11" x14ac:dyDescent="0.25">
      <c r="A44" s="2">
        <f t="shared" si="1"/>
        <v>23</v>
      </c>
      <c r="B44" s="2">
        <f t="shared" si="2"/>
        <v>2</v>
      </c>
      <c r="C44" s="2">
        <v>6</v>
      </c>
      <c r="D44" s="4" t="str">
        <f t="shared" ca="1" si="8"/>
        <v>Ǐ</v>
      </c>
      <c r="E44" s="6" t="str">
        <f t="shared" ca="1" si="3"/>
        <v>"Ǐ": ("I", "6"),</v>
      </c>
      <c r="F44" s="1" t="str" cm="1">
        <f t="array" aca="1" ref="F44" ca="1" xml:space="preserve"> INDIRECT( ADDRESS( ROW($21:$21) + B44*9, COLUMN($D:$D)))</f>
        <v>I</v>
      </c>
      <c r="H44" s="2" t="str" cm="1">
        <f t="array" aca="1" ref="H44" ca="1" xml:space="preserve"> INDIRECT(K44)</f>
        <v>Ǐ (U+01CF)</v>
      </c>
      <c r="I44" s="2">
        <f t="shared" si="9"/>
        <v>8</v>
      </c>
      <c r="J44" s="2" cm="1">
        <f t="array" ref="J44" xml:space="preserve"> ROW($5:$5) + B44</f>
        <v>7</v>
      </c>
      <c r="K44" s="2" t="str">
        <f t="shared" si="10"/>
        <v>H7</v>
      </c>
    </row>
    <row r="45" spans="1:11" x14ac:dyDescent="0.25">
      <c r="A45" s="2">
        <f t="shared" si="1"/>
        <v>24</v>
      </c>
      <c r="B45" s="2">
        <f t="shared" si="2"/>
        <v>2</v>
      </c>
      <c r="C45" s="2">
        <v>7</v>
      </c>
      <c r="D45" s="4" t="str">
        <f t="shared" ca="1" si="8"/>
        <v>Ī</v>
      </c>
      <c r="E45" s="6" t="str">
        <f t="shared" ca="1" si="3"/>
        <v>"Ī": ("I", "7"),</v>
      </c>
      <c r="F45" s="1" t="str" cm="1">
        <f t="array" aca="1" ref="F45" ca="1" xml:space="preserve"> INDIRECT( ADDRESS( ROW($21:$21) + B45*9, COLUMN($D:$D)))</f>
        <v>I</v>
      </c>
      <c r="H45" s="2" t="str" cm="1">
        <f t="array" aca="1" ref="H45" ca="1" xml:space="preserve"> INDIRECT(K45)</f>
        <v>Ī (U+012A)</v>
      </c>
      <c r="I45" s="2">
        <f t="shared" si="9"/>
        <v>9</v>
      </c>
      <c r="J45" s="2" cm="1">
        <f t="array" ref="J45" xml:space="preserve"> ROW($5:$5) + B45</f>
        <v>7</v>
      </c>
      <c r="K45" s="2" t="str">
        <f t="shared" si="10"/>
        <v>I7</v>
      </c>
    </row>
    <row r="46" spans="1:11" x14ac:dyDescent="0.25">
      <c r="A46" s="2">
        <f t="shared" si="1"/>
        <v>25</v>
      </c>
      <c r="B46" s="2">
        <f t="shared" si="2"/>
        <v>2</v>
      </c>
      <c r="C46" s="2">
        <v>8</v>
      </c>
      <c r="D46" s="4" t="str">
        <f ca="1" xml:space="preserve"> LEFT(H46,2)</f>
        <v>I̍</v>
      </c>
      <c r="E46" s="6" t="str">
        <f t="shared" ca="1" si="3"/>
        <v>"I̍": ("I", "8"),</v>
      </c>
      <c r="F46" s="1" t="str" cm="1">
        <f t="array" aca="1" ref="F46" ca="1" xml:space="preserve"> INDIRECT( ADDRESS( ROW($21:$21) + B46*9, COLUMN($D:$D)))</f>
        <v>I</v>
      </c>
      <c r="H46" s="2" t="str" cm="1">
        <f t="array" aca="1" ref="H46" ca="1" xml:space="preserve"> INDIRECT(K46)</f>
        <v>I̍H (U+0049 U+030D)</v>
      </c>
      <c r="I46" s="2">
        <f t="shared" si="9"/>
        <v>10</v>
      </c>
      <c r="J46" s="2" cm="1">
        <f t="array" ref="J46" xml:space="preserve"> ROW($5:$5) + B46</f>
        <v>7</v>
      </c>
      <c r="K46" s="2" t="str">
        <f t="shared" si="10"/>
        <v>J7</v>
      </c>
    </row>
    <row r="47" spans="1:11" x14ac:dyDescent="0.25">
      <c r="A47" s="2">
        <f t="shared" si="1"/>
        <v>26</v>
      </c>
      <c r="B47" s="2">
        <f t="shared" si="2"/>
        <v>2</v>
      </c>
      <c r="C47" s="2">
        <v>9</v>
      </c>
      <c r="D47" s="4" t="str">
        <f ca="1" xml:space="preserve"> LEFT(H47,2)</f>
        <v>I̋</v>
      </c>
      <c r="E47" s="6" t="str">
        <f t="shared" ca="1" si="3"/>
        <v>"I̋": ("I", "9"),</v>
      </c>
      <c r="F47" s="1" t="str" cm="1">
        <f t="array" aca="1" ref="F47" ca="1" xml:space="preserve"> INDIRECT( ADDRESS( ROW($21:$21) + B47*9, COLUMN($D:$D)))</f>
        <v>I</v>
      </c>
      <c r="H47" s="2" t="str" cm="1">
        <f t="array" aca="1" ref="H47" ca="1" xml:space="preserve"> INDIRECT(K47)</f>
        <v>I̋ (U+0049 U+030B)</v>
      </c>
      <c r="I47" s="2">
        <f t="shared" si="9"/>
        <v>11</v>
      </c>
      <c r="J47" s="2" cm="1">
        <f t="array" ref="J47" xml:space="preserve"> ROW($5:$5) + B47</f>
        <v>7</v>
      </c>
      <c r="K47" s="2" t="str">
        <f t="shared" si="10"/>
        <v>K7</v>
      </c>
    </row>
    <row r="48" spans="1:11" x14ac:dyDescent="0.25">
      <c r="A48" s="2">
        <f t="shared" si="1"/>
        <v>27</v>
      </c>
      <c r="B48" s="2">
        <f t="shared" si="2"/>
        <v>3</v>
      </c>
      <c r="C48" s="3">
        <v>1</v>
      </c>
      <c r="D48" s="5" t="str">
        <f t="shared" ref="D48:D54" ca="1" si="11" xml:space="preserve"> LEFT(H48)</f>
        <v>O</v>
      </c>
      <c r="E48" s="6" t="str">
        <f t="shared" ca="1" si="3"/>
        <v>"O": ("O", "1"),</v>
      </c>
      <c r="F48" s="1" t="str" cm="1">
        <f t="array" aca="1" ref="F48" ca="1" xml:space="preserve"> INDIRECT( ADDRESS( ROW($21:$21) + B48*9, COLUMN($D:$D)))</f>
        <v>O</v>
      </c>
      <c r="H48" s="3" t="str" cm="1">
        <f t="array" aca="1" ref="H48" ca="1" xml:space="preserve"> INDIRECT(K48)</f>
        <v>O</v>
      </c>
      <c r="I48" s="3">
        <f t="shared" ref="I48:I56" si="12">I39</f>
        <v>3</v>
      </c>
      <c r="J48" s="2" cm="1">
        <f t="array" ref="J48" xml:space="preserve"> ROW($5:$5) + B48</f>
        <v>8</v>
      </c>
      <c r="K48" s="3" t="str">
        <f xml:space="preserve"> ADDRESS(J48, I48,4)</f>
        <v>C8</v>
      </c>
    </row>
    <row r="49" spans="1:11" x14ac:dyDescent="0.25">
      <c r="A49" s="2">
        <f t="shared" si="1"/>
        <v>28</v>
      </c>
      <c r="B49" s="2">
        <f t="shared" si="2"/>
        <v>3</v>
      </c>
      <c r="C49" s="3">
        <v>2</v>
      </c>
      <c r="D49" s="5" t="str">
        <f t="shared" ca="1" si="11"/>
        <v>Ó</v>
      </c>
      <c r="E49" s="6" t="str">
        <f t="shared" ca="1" si="3"/>
        <v>"Ó": ("O", "2"),</v>
      </c>
      <c r="F49" s="1" t="str" cm="1">
        <f t="array" aca="1" ref="F49" ca="1" xml:space="preserve"> INDIRECT( ADDRESS( ROW($21:$21) + B49*9, COLUMN($D:$D)))</f>
        <v>O</v>
      </c>
      <c r="H49" s="3" t="str" cm="1">
        <f t="array" aca="1" ref="H49" ca="1" xml:space="preserve"> INDIRECT(K49)</f>
        <v>Ó (U+00D3)</v>
      </c>
      <c r="I49" s="3">
        <f t="shared" si="12"/>
        <v>4</v>
      </c>
      <c r="J49" s="2" cm="1">
        <f t="array" ref="J49" xml:space="preserve"> ROW($5:$5) + B49</f>
        <v>8</v>
      </c>
      <c r="K49" s="3" t="str">
        <f t="shared" ref="K49:K56" si="13" xml:space="preserve"> ADDRESS(J49, I49,4)</f>
        <v>D8</v>
      </c>
    </row>
    <row r="50" spans="1:11" x14ac:dyDescent="0.25">
      <c r="A50" s="2">
        <f t="shared" si="1"/>
        <v>29</v>
      </c>
      <c r="B50" s="2">
        <f t="shared" si="2"/>
        <v>3</v>
      </c>
      <c r="C50" s="3">
        <v>3</v>
      </c>
      <c r="D50" s="5" t="str">
        <f t="shared" ca="1" si="11"/>
        <v>Ò</v>
      </c>
      <c r="E50" s="6" t="str">
        <f t="shared" ca="1" si="3"/>
        <v>"Ò": ("O", "3"),</v>
      </c>
      <c r="F50" s="1" t="str" cm="1">
        <f t="array" aca="1" ref="F50" ca="1" xml:space="preserve"> INDIRECT( ADDRESS( ROW($21:$21) + B50*9, COLUMN($D:$D)))</f>
        <v>O</v>
      </c>
      <c r="H50" s="3" t="str" cm="1">
        <f t="array" aca="1" ref="H50" ca="1" xml:space="preserve"> INDIRECT(K50)</f>
        <v>Ò (U+00D2)</v>
      </c>
      <c r="I50" s="3">
        <f t="shared" si="12"/>
        <v>5</v>
      </c>
      <c r="J50" s="2" cm="1">
        <f t="array" ref="J50" xml:space="preserve"> ROW($5:$5) + B50</f>
        <v>8</v>
      </c>
      <c r="K50" s="3" t="str">
        <f t="shared" si="13"/>
        <v>E8</v>
      </c>
    </row>
    <row r="51" spans="1:11" x14ac:dyDescent="0.25">
      <c r="A51" s="2">
        <f t="shared" si="1"/>
        <v>30</v>
      </c>
      <c r="B51" s="2">
        <f t="shared" si="2"/>
        <v>3</v>
      </c>
      <c r="C51" s="3">
        <v>4</v>
      </c>
      <c r="D51" s="5" t="str">
        <f t="shared" ca="1" si="11"/>
        <v>O</v>
      </c>
      <c r="E51" s="6" t="str">
        <f t="shared" ca="1" si="3"/>
        <v>"O": ("O", "4"),</v>
      </c>
      <c r="F51" s="1" t="str" cm="1">
        <f t="array" aca="1" ref="F51" ca="1" xml:space="preserve"> INDIRECT( ADDRESS( ROW($21:$21) + B51*9, COLUMN($D:$D)))</f>
        <v>O</v>
      </c>
      <c r="H51" s="3" t="str" cm="1">
        <f t="array" aca="1" ref="H51" ca="1" xml:space="preserve"> INDIRECT(K51)</f>
        <v>OH</v>
      </c>
      <c r="I51" s="3">
        <f t="shared" si="12"/>
        <v>6</v>
      </c>
      <c r="J51" s="2" cm="1">
        <f t="array" ref="J51" xml:space="preserve"> ROW($5:$5) + B51</f>
        <v>8</v>
      </c>
      <c r="K51" s="3" t="str">
        <f t="shared" si="13"/>
        <v>F8</v>
      </c>
    </row>
    <row r="52" spans="1:11" x14ac:dyDescent="0.25">
      <c r="A52" s="2">
        <f t="shared" si="1"/>
        <v>31</v>
      </c>
      <c r="B52" s="2">
        <f t="shared" si="2"/>
        <v>3</v>
      </c>
      <c r="C52" s="3">
        <v>5</v>
      </c>
      <c r="D52" s="5" t="str">
        <f t="shared" ca="1" si="11"/>
        <v>Ô</v>
      </c>
      <c r="E52" s="6" t="str">
        <f t="shared" ca="1" si="3"/>
        <v>"Ô": ("O", "5"),</v>
      </c>
      <c r="F52" s="1" t="str" cm="1">
        <f t="array" aca="1" ref="F52" ca="1" xml:space="preserve"> INDIRECT( ADDRESS( ROW($21:$21) + B52*9, COLUMN($D:$D)))</f>
        <v>O</v>
      </c>
      <c r="H52" s="3" t="str" cm="1">
        <f t="array" aca="1" ref="H52" ca="1" xml:space="preserve"> INDIRECT(K52)</f>
        <v>Ô (U+00D4)</v>
      </c>
      <c r="I52" s="3">
        <f t="shared" si="12"/>
        <v>7</v>
      </c>
      <c r="J52" s="2" cm="1">
        <f t="array" ref="J52" xml:space="preserve"> ROW($5:$5) + B52</f>
        <v>8</v>
      </c>
      <c r="K52" s="3" t="str">
        <f t="shared" si="13"/>
        <v>G8</v>
      </c>
    </row>
    <row r="53" spans="1:11" x14ac:dyDescent="0.25">
      <c r="A53" s="2">
        <f t="shared" si="1"/>
        <v>32</v>
      </c>
      <c r="B53" s="2">
        <f t="shared" si="2"/>
        <v>3</v>
      </c>
      <c r="C53" s="3">
        <v>6</v>
      </c>
      <c r="D53" s="5" t="str">
        <f t="shared" ca="1" si="11"/>
        <v>Ǒ</v>
      </c>
      <c r="E53" s="6" t="str">
        <f t="shared" ca="1" si="3"/>
        <v>"Ǒ": ("O", "6"),</v>
      </c>
      <c r="F53" s="1" t="str" cm="1">
        <f t="array" aca="1" ref="F53" ca="1" xml:space="preserve"> INDIRECT( ADDRESS( ROW($21:$21) + B53*9, COLUMN($D:$D)))</f>
        <v>O</v>
      </c>
      <c r="H53" s="3" t="str" cm="1">
        <f t="array" aca="1" ref="H53" ca="1" xml:space="preserve"> INDIRECT(K53)</f>
        <v>Ǒ (U+01D1)</v>
      </c>
      <c r="I53" s="3">
        <f t="shared" si="12"/>
        <v>8</v>
      </c>
      <c r="J53" s="2" cm="1">
        <f t="array" ref="J53" xml:space="preserve"> ROW($5:$5) + B53</f>
        <v>8</v>
      </c>
      <c r="K53" s="3" t="str">
        <f t="shared" si="13"/>
        <v>H8</v>
      </c>
    </row>
    <row r="54" spans="1:11" x14ac:dyDescent="0.25">
      <c r="A54" s="2">
        <f t="shared" si="1"/>
        <v>33</v>
      </c>
      <c r="B54" s="2">
        <f t="shared" si="2"/>
        <v>3</v>
      </c>
      <c r="C54" s="3">
        <v>7</v>
      </c>
      <c r="D54" s="5" t="str">
        <f t="shared" ca="1" si="11"/>
        <v>Ō</v>
      </c>
      <c r="E54" s="6" t="str">
        <f t="shared" ca="1" si="3"/>
        <v>"Ō": ("O", "7"),</v>
      </c>
      <c r="F54" s="1" t="str" cm="1">
        <f t="array" aca="1" ref="F54" ca="1" xml:space="preserve"> INDIRECT( ADDRESS( ROW($21:$21) + B54*9, COLUMN($D:$D)))</f>
        <v>O</v>
      </c>
      <c r="H54" s="3" t="str" cm="1">
        <f t="array" aca="1" ref="H54" ca="1" xml:space="preserve"> INDIRECT(K54)</f>
        <v>Ō (U+014C)</v>
      </c>
      <c r="I54" s="3">
        <f t="shared" si="12"/>
        <v>9</v>
      </c>
      <c r="J54" s="2" cm="1">
        <f t="array" ref="J54" xml:space="preserve"> ROW($5:$5) + B54</f>
        <v>8</v>
      </c>
      <c r="K54" s="3" t="str">
        <f t="shared" si="13"/>
        <v>I8</v>
      </c>
    </row>
    <row r="55" spans="1:11" x14ac:dyDescent="0.25">
      <c r="A55" s="2">
        <f t="shared" si="1"/>
        <v>34</v>
      </c>
      <c r="B55" s="2">
        <f t="shared" si="2"/>
        <v>3</v>
      </c>
      <c r="C55" s="3">
        <v>8</v>
      </c>
      <c r="D55" s="5" t="str">
        <f ca="1" xml:space="preserve"> LEFT(H55,2)</f>
        <v>O̍</v>
      </c>
      <c r="E55" s="6" t="str">
        <f t="shared" ca="1" si="3"/>
        <v>"O̍": ("O", "8"),</v>
      </c>
      <c r="F55" s="1" t="str" cm="1">
        <f t="array" aca="1" ref="F55" ca="1" xml:space="preserve"> INDIRECT( ADDRESS( ROW($21:$21) + B55*9, COLUMN($D:$D)))</f>
        <v>O</v>
      </c>
      <c r="H55" s="3" t="str" cm="1">
        <f t="array" aca="1" ref="H55" ca="1" xml:space="preserve"> INDIRECT(K55)</f>
        <v>O̍H (U+004F U+030D)</v>
      </c>
      <c r="I55" s="3">
        <f t="shared" si="12"/>
        <v>10</v>
      </c>
      <c r="J55" s="2" cm="1">
        <f t="array" ref="J55" xml:space="preserve"> ROW($5:$5) + B55</f>
        <v>8</v>
      </c>
      <c r="K55" s="3" t="str">
        <f t="shared" si="13"/>
        <v>J8</v>
      </c>
    </row>
    <row r="56" spans="1:11" x14ac:dyDescent="0.25">
      <c r="A56" s="2">
        <f t="shared" si="1"/>
        <v>35</v>
      </c>
      <c r="B56" s="2">
        <f t="shared" si="2"/>
        <v>3</v>
      </c>
      <c r="C56" s="3">
        <v>9</v>
      </c>
      <c r="D56" s="5" t="str">
        <f ca="1" xml:space="preserve"> LEFT(H56,2)</f>
        <v xml:space="preserve">Ő </v>
      </c>
      <c r="E56" s="6" t="str">
        <f t="shared" ca="1" si="3"/>
        <v>"Ő ": ("O", "9"),</v>
      </c>
      <c r="F56" s="1" t="str" cm="1">
        <f t="array" aca="1" ref="F56" ca="1" xml:space="preserve"> INDIRECT( ADDRESS( ROW($21:$21) + B56*9, COLUMN($D:$D)))</f>
        <v>O</v>
      </c>
      <c r="H56" s="3" t="str" cm="1">
        <f t="array" aca="1" ref="H56" ca="1" xml:space="preserve"> INDIRECT(K56)</f>
        <v>Ő (U+0150)</v>
      </c>
      <c r="I56" s="3">
        <f t="shared" si="12"/>
        <v>11</v>
      </c>
      <c r="J56" s="2" cm="1">
        <f t="array" ref="J56" xml:space="preserve"> ROW($5:$5) + B56</f>
        <v>8</v>
      </c>
      <c r="K56" s="3" t="str">
        <f t="shared" si="13"/>
        <v>K8</v>
      </c>
    </row>
    <row r="57" spans="1:11" x14ac:dyDescent="0.25">
      <c r="A57" s="2">
        <f t="shared" si="1"/>
        <v>36</v>
      </c>
      <c r="B57" s="2">
        <f t="shared" si="2"/>
        <v>4</v>
      </c>
      <c r="C57" s="2">
        <v>1</v>
      </c>
      <c r="D57" s="4" t="str">
        <f t="shared" ref="D57:D63" ca="1" si="14" xml:space="preserve"> LEFT(H57)</f>
        <v>U</v>
      </c>
      <c r="E57" s="6" t="str">
        <f t="shared" ca="1" si="3"/>
        <v>"U": ("U", "1"),</v>
      </c>
      <c r="F57" s="1" t="str" cm="1">
        <f t="array" aca="1" ref="F57" ca="1" xml:space="preserve"> INDIRECT( ADDRESS( ROW($21:$21) + B57*9, COLUMN($D:$D)))</f>
        <v>U</v>
      </c>
      <c r="H57" s="2" t="str" cm="1">
        <f t="array" aca="1" ref="H57" ca="1" xml:space="preserve"> INDIRECT(K57)</f>
        <v>U</v>
      </c>
      <c r="I57" s="2" cm="1">
        <f t="array" ref="I57" xml:space="preserve"> COLUMN($C:$C)</f>
        <v>3</v>
      </c>
      <c r="J57" s="2" cm="1">
        <f t="array" ref="J57" xml:space="preserve"> ROW($5:$5) + B57</f>
        <v>9</v>
      </c>
      <c r="K57" s="2" t="str">
        <f xml:space="preserve"> ADDRESS(J57, I57,4)</f>
        <v>C9</v>
      </c>
    </row>
    <row r="58" spans="1:11" x14ac:dyDescent="0.25">
      <c r="A58" s="2">
        <f t="shared" si="1"/>
        <v>37</v>
      </c>
      <c r="B58" s="2">
        <f t="shared" si="2"/>
        <v>4</v>
      </c>
      <c r="C58" s="2">
        <v>2</v>
      </c>
      <c r="D58" s="4" t="str">
        <f t="shared" ca="1" si="14"/>
        <v>Ú</v>
      </c>
      <c r="E58" s="6" t="str">
        <f t="shared" ca="1" si="3"/>
        <v>"Ú": ("U", "2"),</v>
      </c>
      <c r="F58" s="1" t="str" cm="1">
        <f t="array" aca="1" ref="F58" ca="1" xml:space="preserve"> INDIRECT( ADDRESS( ROW($21:$21) + B58*9, COLUMN($D:$D)))</f>
        <v>U</v>
      </c>
      <c r="H58" s="2" t="str" cm="1">
        <f t="array" aca="1" ref="H58" ca="1" xml:space="preserve"> INDIRECT(K58)</f>
        <v>Ú (U+00DA)</v>
      </c>
      <c r="I58" s="2">
        <f t="shared" ref="I58:I65" si="15">C58 - 1 +$I$21</f>
        <v>4</v>
      </c>
      <c r="J58" s="2" cm="1">
        <f t="array" ref="J58" xml:space="preserve"> ROW($5:$5) + B58</f>
        <v>9</v>
      </c>
      <c r="K58" s="2" t="str">
        <f t="shared" ref="K58:K65" si="16" xml:space="preserve"> ADDRESS(J58, I58,4)</f>
        <v>D9</v>
      </c>
    </row>
    <row r="59" spans="1:11" x14ac:dyDescent="0.25">
      <c r="A59" s="2">
        <f t="shared" si="1"/>
        <v>38</v>
      </c>
      <c r="B59" s="2">
        <f t="shared" si="2"/>
        <v>4</v>
      </c>
      <c r="C59" s="2">
        <v>3</v>
      </c>
      <c r="D59" s="4" t="str">
        <f t="shared" ca="1" si="14"/>
        <v>Ù</v>
      </c>
      <c r="E59" s="6" t="str">
        <f t="shared" ca="1" si="3"/>
        <v>"Ù": ("U", "3"),</v>
      </c>
      <c r="F59" s="1" t="str" cm="1">
        <f t="array" aca="1" ref="F59" ca="1" xml:space="preserve"> INDIRECT( ADDRESS( ROW($21:$21) + B59*9, COLUMN($D:$D)))</f>
        <v>U</v>
      </c>
      <c r="H59" s="2" t="str" cm="1">
        <f t="array" aca="1" ref="H59" ca="1" xml:space="preserve"> INDIRECT(K59)</f>
        <v>Ù (U+00D9)</v>
      </c>
      <c r="I59" s="2">
        <f t="shared" si="15"/>
        <v>5</v>
      </c>
      <c r="J59" s="2" cm="1">
        <f t="array" ref="J59" xml:space="preserve"> ROW($5:$5) + B59</f>
        <v>9</v>
      </c>
      <c r="K59" s="2" t="str">
        <f t="shared" si="16"/>
        <v>E9</v>
      </c>
    </row>
    <row r="60" spans="1:11" x14ac:dyDescent="0.25">
      <c r="A60" s="2">
        <f t="shared" si="1"/>
        <v>39</v>
      </c>
      <c r="B60" s="2">
        <f t="shared" si="2"/>
        <v>4</v>
      </c>
      <c r="C60" s="2">
        <v>4</v>
      </c>
      <c r="D60" s="4" t="str">
        <f t="shared" ca="1" si="14"/>
        <v>U</v>
      </c>
      <c r="E60" s="6" t="str">
        <f t="shared" ca="1" si="3"/>
        <v>"U": ("U", "4"),</v>
      </c>
      <c r="F60" s="1" t="str" cm="1">
        <f t="array" aca="1" ref="F60" ca="1" xml:space="preserve"> INDIRECT( ADDRESS( ROW($21:$21) + B60*9, COLUMN($D:$D)))</f>
        <v>U</v>
      </c>
      <c r="H60" s="2" t="str" cm="1">
        <f t="array" aca="1" ref="H60" ca="1" xml:space="preserve"> INDIRECT(K60)</f>
        <v>UH</v>
      </c>
      <c r="I60" s="2">
        <f t="shared" si="15"/>
        <v>6</v>
      </c>
      <c r="J60" s="2" cm="1">
        <f t="array" ref="J60" xml:space="preserve"> ROW($5:$5) + B60</f>
        <v>9</v>
      </c>
      <c r="K60" s="2" t="str">
        <f t="shared" si="16"/>
        <v>F9</v>
      </c>
    </row>
    <row r="61" spans="1:11" x14ac:dyDescent="0.25">
      <c r="A61" s="2">
        <f t="shared" si="1"/>
        <v>40</v>
      </c>
      <c r="B61" s="2">
        <f t="shared" si="2"/>
        <v>4</v>
      </c>
      <c r="C61" s="2">
        <v>5</v>
      </c>
      <c r="D61" s="4" t="str">
        <f t="shared" ca="1" si="14"/>
        <v>Û</v>
      </c>
      <c r="E61" s="6" t="str">
        <f t="shared" ca="1" si="3"/>
        <v>"Û": ("U", "5"),</v>
      </c>
      <c r="F61" s="1" t="str" cm="1">
        <f t="array" aca="1" ref="F61" ca="1" xml:space="preserve"> INDIRECT( ADDRESS( ROW($21:$21) + B61*9, COLUMN($D:$D)))</f>
        <v>U</v>
      </c>
      <c r="H61" s="2" t="str" cm="1">
        <f t="array" aca="1" ref="H61" ca="1" xml:space="preserve"> INDIRECT(K61)</f>
        <v>Û (U+00DB)</v>
      </c>
      <c r="I61" s="2">
        <f t="shared" si="15"/>
        <v>7</v>
      </c>
      <c r="J61" s="2" cm="1">
        <f t="array" ref="J61" xml:space="preserve"> ROW($5:$5) + B61</f>
        <v>9</v>
      </c>
      <c r="K61" s="2" t="str">
        <f t="shared" si="16"/>
        <v>G9</v>
      </c>
    </row>
    <row r="62" spans="1:11" x14ac:dyDescent="0.25">
      <c r="A62" s="2">
        <f t="shared" si="1"/>
        <v>41</v>
      </c>
      <c r="B62" s="2">
        <f t="shared" si="2"/>
        <v>4</v>
      </c>
      <c r="C62" s="2">
        <v>6</v>
      </c>
      <c r="D62" s="4" t="str">
        <f t="shared" ca="1" si="14"/>
        <v>Ǔ</v>
      </c>
      <c r="E62" s="6" t="str">
        <f t="shared" ca="1" si="3"/>
        <v>"Ǔ": ("U", "6"),</v>
      </c>
      <c r="F62" s="1" t="str" cm="1">
        <f t="array" aca="1" ref="F62" ca="1" xml:space="preserve"> INDIRECT( ADDRESS( ROW($21:$21) + B62*9, COLUMN($D:$D)))</f>
        <v>U</v>
      </c>
      <c r="H62" s="2" t="str" cm="1">
        <f t="array" aca="1" ref="H62" ca="1" xml:space="preserve"> INDIRECT(K62)</f>
        <v>Ǔ (U+01D3)</v>
      </c>
      <c r="I62" s="2">
        <f t="shared" si="15"/>
        <v>8</v>
      </c>
      <c r="J62" s="2" cm="1">
        <f t="array" ref="J62" xml:space="preserve"> ROW($5:$5) + B62</f>
        <v>9</v>
      </c>
      <c r="K62" s="2" t="str">
        <f t="shared" si="16"/>
        <v>H9</v>
      </c>
    </row>
    <row r="63" spans="1:11" x14ac:dyDescent="0.25">
      <c r="A63" s="2">
        <f t="shared" si="1"/>
        <v>42</v>
      </c>
      <c r="B63" s="2">
        <f t="shared" si="2"/>
        <v>4</v>
      </c>
      <c r="C63" s="2">
        <v>7</v>
      </c>
      <c r="D63" s="4" t="str">
        <f t="shared" ca="1" si="14"/>
        <v>Ū</v>
      </c>
      <c r="E63" s="6" t="str">
        <f t="shared" ca="1" si="3"/>
        <v>"Ū": ("U", "7"),</v>
      </c>
      <c r="F63" s="1" t="str" cm="1">
        <f t="array" aca="1" ref="F63" ca="1" xml:space="preserve"> INDIRECT( ADDRESS( ROW($21:$21) + B63*9, COLUMN($D:$D)))</f>
        <v>U</v>
      </c>
      <c r="H63" s="2" t="str" cm="1">
        <f t="array" aca="1" ref="H63" ca="1" xml:space="preserve"> INDIRECT(K63)</f>
        <v>Ū (U+016A)</v>
      </c>
      <c r="I63" s="2">
        <f t="shared" si="15"/>
        <v>9</v>
      </c>
      <c r="J63" s="2" cm="1">
        <f t="array" ref="J63" xml:space="preserve"> ROW($5:$5) + B63</f>
        <v>9</v>
      </c>
      <c r="K63" s="2" t="str">
        <f t="shared" si="16"/>
        <v>I9</v>
      </c>
    </row>
    <row r="64" spans="1:11" x14ac:dyDescent="0.25">
      <c r="A64" s="2">
        <f t="shared" si="1"/>
        <v>43</v>
      </c>
      <c r="B64" s="2">
        <f t="shared" si="2"/>
        <v>4</v>
      </c>
      <c r="C64" s="2">
        <v>8</v>
      </c>
      <c r="D64" s="4" t="str">
        <f ca="1" xml:space="preserve"> LEFT(H64,2)</f>
        <v>U̍</v>
      </c>
      <c r="E64" s="6" t="str">
        <f t="shared" ca="1" si="3"/>
        <v>"U̍": ("U", "8"),</v>
      </c>
      <c r="F64" s="1" t="str" cm="1">
        <f t="array" aca="1" ref="F64" ca="1" xml:space="preserve"> INDIRECT( ADDRESS( ROW($21:$21) + B64*9, COLUMN($D:$D)))</f>
        <v>U</v>
      </c>
      <c r="H64" s="2" t="str" cm="1">
        <f t="array" aca="1" ref="H64" ca="1" xml:space="preserve"> INDIRECT(K64)</f>
        <v>U̍H (U+0055 U+030D)</v>
      </c>
      <c r="I64" s="2">
        <f t="shared" si="15"/>
        <v>10</v>
      </c>
      <c r="J64" s="2" cm="1">
        <f t="array" ref="J64" xml:space="preserve"> ROW($5:$5) + B64</f>
        <v>9</v>
      </c>
      <c r="K64" s="2" t="str">
        <f t="shared" si="16"/>
        <v>J9</v>
      </c>
    </row>
    <row r="65" spans="1:11" x14ac:dyDescent="0.25">
      <c r="A65" s="2">
        <f t="shared" si="1"/>
        <v>44</v>
      </c>
      <c r="B65" s="2">
        <f t="shared" si="2"/>
        <v>4</v>
      </c>
      <c r="C65" s="2">
        <v>9</v>
      </c>
      <c r="D65" s="4" t="str">
        <f ca="1" xml:space="preserve"> LEFT(H65,2)</f>
        <v xml:space="preserve">Ű </v>
      </c>
      <c r="E65" s="6" t="str">
        <f t="shared" ca="1" si="3"/>
        <v>"Ű ": ("U", "9"),</v>
      </c>
      <c r="F65" s="1" t="str" cm="1">
        <f t="array" aca="1" ref="F65" ca="1" xml:space="preserve"> INDIRECT( ADDRESS( ROW($21:$21) + B65*9, COLUMN($D:$D)))</f>
        <v>U</v>
      </c>
      <c r="H65" s="2" t="str" cm="1">
        <f t="array" aca="1" ref="H65" ca="1" xml:space="preserve"> INDIRECT(K65)</f>
        <v>Ű (U+0170)</v>
      </c>
      <c r="I65" s="2">
        <f t="shared" si="15"/>
        <v>11</v>
      </c>
      <c r="J65" s="2" cm="1">
        <f t="array" ref="J65" xml:space="preserve"> ROW($5:$5) + B65</f>
        <v>9</v>
      </c>
      <c r="K65" s="2" t="str">
        <f t="shared" si="16"/>
        <v>K9</v>
      </c>
    </row>
    <row r="66" spans="1:11" x14ac:dyDescent="0.25">
      <c r="A66" s="2">
        <f t="shared" si="1"/>
        <v>45</v>
      </c>
      <c r="B66" s="2">
        <f t="shared" si="2"/>
        <v>5</v>
      </c>
      <c r="C66" s="3">
        <v>1</v>
      </c>
      <c r="D66" s="5" t="str">
        <f t="shared" ref="D66:D69" ca="1" si="17" xml:space="preserve"> LEFT(H66)</f>
        <v>M</v>
      </c>
      <c r="E66" s="6" t="str">
        <f t="shared" ca="1" si="3"/>
        <v>"M": ("M", "1"),</v>
      </c>
      <c r="F66" s="1" t="str" cm="1">
        <f t="array" aca="1" ref="F66" ca="1" xml:space="preserve"> INDIRECT( ADDRESS( ROW($21:$21) + B66*9, COLUMN($D:$D)))</f>
        <v>M</v>
      </c>
      <c r="H66" s="3" t="str" cm="1">
        <f t="array" aca="1" ref="H66" ca="1" xml:space="preserve"> INDIRECT(K66)</f>
        <v>M</v>
      </c>
      <c r="I66" s="3">
        <f t="shared" ref="I66:I74" si="18">I57</f>
        <v>3</v>
      </c>
      <c r="J66" s="2" cm="1">
        <f t="array" ref="J66" xml:space="preserve"> ROW($5:$5) + B66</f>
        <v>10</v>
      </c>
      <c r="K66" s="3" t="str">
        <f xml:space="preserve"> ADDRESS(J66, I66,4)</f>
        <v>C10</v>
      </c>
    </row>
    <row r="67" spans="1:11" x14ac:dyDescent="0.25">
      <c r="A67" s="2">
        <f t="shared" si="1"/>
        <v>46</v>
      </c>
      <c r="B67" s="2">
        <f t="shared" si="2"/>
        <v>5</v>
      </c>
      <c r="C67" s="3">
        <v>2</v>
      </c>
      <c r="D67" s="5" t="str">
        <f t="shared" ca="1" si="17"/>
        <v>Ḿ</v>
      </c>
      <c r="E67" s="6" t="str">
        <f t="shared" ca="1" si="3"/>
        <v>"Ḿ": ("M", "2"),</v>
      </c>
      <c r="F67" s="1" t="str" cm="1">
        <f t="array" aca="1" ref="F67" ca="1" xml:space="preserve"> INDIRECT( ADDRESS( ROW($21:$21) + B67*9, COLUMN($D:$D)))</f>
        <v>M</v>
      </c>
      <c r="H67" s="3" t="str" cm="1">
        <f t="array" aca="1" ref="H67" ca="1" xml:space="preserve"> INDIRECT(K67)</f>
        <v>Ḿ (U+1E3E)</v>
      </c>
      <c r="I67" s="3">
        <f t="shared" si="18"/>
        <v>4</v>
      </c>
      <c r="J67" s="2" cm="1">
        <f t="array" ref="J67" xml:space="preserve"> ROW($5:$5) + B67</f>
        <v>10</v>
      </c>
      <c r="K67" s="3" t="str">
        <f t="shared" ref="K67:K74" si="19" xml:space="preserve"> ADDRESS(J67, I67,4)</f>
        <v>D10</v>
      </c>
    </row>
    <row r="68" spans="1:11" x14ac:dyDescent="0.25">
      <c r="A68" s="2">
        <f t="shared" si="1"/>
        <v>47</v>
      </c>
      <c r="B68" s="2">
        <f t="shared" si="2"/>
        <v>5</v>
      </c>
      <c r="C68" s="3">
        <v>3</v>
      </c>
      <c r="D68" s="5" t="str">
        <f ca="1" xml:space="preserve"> LEFT(H68,2)</f>
        <v>M̀</v>
      </c>
      <c r="E68" s="6" t="str">
        <f t="shared" ca="1" si="3"/>
        <v>"M̀": ("M", "3"),</v>
      </c>
      <c r="F68" s="1" t="str" cm="1">
        <f t="array" aca="1" ref="F68" ca="1" xml:space="preserve"> INDIRECT( ADDRESS( ROW($21:$21) + B68*9, COLUMN($D:$D)))</f>
        <v>M</v>
      </c>
      <c r="H68" s="3" t="str" cm="1">
        <f t="array" aca="1" ref="H68" ca="1" xml:space="preserve"> INDIRECT(K68)</f>
        <v>M̀ (U+004D U+0300)</v>
      </c>
      <c r="I68" s="3">
        <f t="shared" si="18"/>
        <v>5</v>
      </c>
      <c r="J68" s="2" cm="1">
        <f t="array" ref="J68" xml:space="preserve"> ROW($5:$5) + B68</f>
        <v>10</v>
      </c>
      <c r="K68" s="3" t="str">
        <f t="shared" si="19"/>
        <v>E10</v>
      </c>
    </row>
    <row r="69" spans="1:11" x14ac:dyDescent="0.25">
      <c r="A69" s="2">
        <f t="shared" si="1"/>
        <v>48</v>
      </c>
      <c r="B69" s="2">
        <f t="shared" si="2"/>
        <v>5</v>
      </c>
      <c r="C69" s="3">
        <v>4</v>
      </c>
      <c r="D69" s="5" t="str">
        <f t="shared" ca="1" si="17"/>
        <v>M</v>
      </c>
      <c r="E69" s="6" t="str">
        <f t="shared" ca="1" si="3"/>
        <v>"M": ("M", "4"),</v>
      </c>
      <c r="F69" s="1" t="str" cm="1">
        <f t="array" aca="1" ref="F69" ca="1" xml:space="preserve"> INDIRECT( ADDRESS( ROW($21:$21) + B69*9, COLUMN($D:$D)))</f>
        <v>M</v>
      </c>
      <c r="H69" s="3" t="str" cm="1">
        <f t="array" aca="1" ref="H69" ca="1" xml:space="preserve"> INDIRECT(K69)</f>
        <v>MH</v>
      </c>
      <c r="I69" s="3">
        <f t="shared" si="18"/>
        <v>6</v>
      </c>
      <c r="J69" s="2" cm="1">
        <f t="array" ref="J69" xml:space="preserve"> ROW($5:$5) + B69</f>
        <v>10</v>
      </c>
      <c r="K69" s="3" t="str">
        <f t="shared" si="19"/>
        <v>F10</v>
      </c>
    </row>
    <row r="70" spans="1:11" x14ac:dyDescent="0.25">
      <c r="A70" s="2">
        <f t="shared" si="1"/>
        <v>49</v>
      </c>
      <c r="B70" s="2">
        <f t="shared" si="2"/>
        <v>5</v>
      </c>
      <c r="C70" s="3">
        <v>5</v>
      </c>
      <c r="D70" s="5" t="str">
        <f ca="1" xml:space="preserve"> LEFT(H70,2)</f>
        <v>M̂</v>
      </c>
      <c r="E70" s="6" t="str">
        <f t="shared" ca="1" si="3"/>
        <v>"M̂": ("M", "5"),</v>
      </c>
      <c r="F70" s="1" t="str" cm="1">
        <f t="array" aca="1" ref="F70" ca="1" xml:space="preserve"> INDIRECT( ADDRESS( ROW($21:$21) + B70*9, COLUMN($D:$D)))</f>
        <v>M</v>
      </c>
      <c r="H70" s="3" t="str" cm="1">
        <f t="array" aca="1" ref="H70" ca="1" xml:space="preserve"> INDIRECT(K70)</f>
        <v>M̂ (U+004D U+0302)</v>
      </c>
      <c r="I70" s="3">
        <f t="shared" si="18"/>
        <v>7</v>
      </c>
      <c r="J70" s="2" cm="1">
        <f t="array" ref="J70" xml:space="preserve"> ROW($5:$5) + B70</f>
        <v>10</v>
      </c>
      <c r="K70" s="3" t="str">
        <f t="shared" si="19"/>
        <v>G10</v>
      </c>
    </row>
    <row r="71" spans="1:11" x14ac:dyDescent="0.25">
      <c r="A71" s="2">
        <f t="shared" si="1"/>
        <v>50</v>
      </c>
      <c r="B71" s="2">
        <f t="shared" si="2"/>
        <v>5</v>
      </c>
      <c r="C71" s="3">
        <v>6</v>
      </c>
      <c r="D71" s="5" t="str">
        <f ca="1" xml:space="preserve"> LEFT(H71,2)</f>
        <v>M̌</v>
      </c>
      <c r="E71" s="6" t="str">
        <f t="shared" ca="1" si="3"/>
        <v>"M̌": ("M", "6"),</v>
      </c>
      <c r="F71" s="1" t="str" cm="1">
        <f t="array" aca="1" ref="F71" ca="1" xml:space="preserve"> INDIRECT( ADDRESS( ROW($21:$21) + B71*9, COLUMN($D:$D)))</f>
        <v>M</v>
      </c>
      <c r="H71" s="3" t="str" cm="1">
        <f t="array" aca="1" ref="H71" ca="1" xml:space="preserve"> INDIRECT(K71)</f>
        <v>M̌ (U+004D U+030C)</v>
      </c>
      <c r="I71" s="3">
        <f t="shared" si="18"/>
        <v>8</v>
      </c>
      <c r="J71" s="2" cm="1">
        <f t="array" ref="J71" xml:space="preserve"> ROW($5:$5) + B71</f>
        <v>10</v>
      </c>
      <c r="K71" s="3" t="str">
        <f t="shared" si="19"/>
        <v>H10</v>
      </c>
    </row>
    <row r="72" spans="1:11" x14ac:dyDescent="0.25">
      <c r="A72" s="2">
        <f t="shared" si="1"/>
        <v>51</v>
      </c>
      <c r="B72" s="2">
        <f t="shared" si="2"/>
        <v>5</v>
      </c>
      <c r="C72" s="3">
        <v>7</v>
      </c>
      <c r="D72" s="5" t="str">
        <f ca="1" xml:space="preserve"> LEFT(H72,2)</f>
        <v>M̄</v>
      </c>
      <c r="E72" s="6" t="str">
        <f t="shared" ca="1" si="3"/>
        <v>"M̄": ("M", "7"),</v>
      </c>
      <c r="F72" s="1" t="str" cm="1">
        <f t="array" aca="1" ref="F72" ca="1" xml:space="preserve"> INDIRECT( ADDRESS( ROW($21:$21) + B72*9, COLUMN($D:$D)))</f>
        <v>M</v>
      </c>
      <c r="H72" s="3" t="str" cm="1">
        <f t="array" aca="1" ref="H72" ca="1" xml:space="preserve"> INDIRECT(K72)</f>
        <v>M̄ (U+004D U+0304)</v>
      </c>
      <c r="I72" s="3">
        <f t="shared" si="18"/>
        <v>9</v>
      </c>
      <c r="J72" s="2" cm="1">
        <f t="array" ref="J72" xml:space="preserve"> ROW($5:$5) + B72</f>
        <v>10</v>
      </c>
      <c r="K72" s="3" t="str">
        <f t="shared" si="19"/>
        <v>I10</v>
      </c>
    </row>
    <row r="73" spans="1:11" x14ac:dyDescent="0.25">
      <c r="A73" s="2">
        <f t="shared" si="1"/>
        <v>52</v>
      </c>
      <c r="B73" s="2">
        <f t="shared" si="2"/>
        <v>5</v>
      </c>
      <c r="C73" s="3">
        <v>8</v>
      </c>
      <c r="D73" s="5" t="str">
        <f ca="1" xml:space="preserve"> LEFT(H73,2)</f>
        <v>M̍</v>
      </c>
      <c r="E73" s="6" t="str">
        <f t="shared" ca="1" si="3"/>
        <v>"M̍": ("M", "8"),</v>
      </c>
      <c r="F73" s="1" t="str" cm="1">
        <f t="array" aca="1" ref="F73" ca="1" xml:space="preserve"> INDIRECT( ADDRESS( ROW($21:$21) + B73*9, COLUMN($D:$D)))</f>
        <v>M</v>
      </c>
      <c r="H73" s="3" t="str" cm="1">
        <f t="array" aca="1" ref="H73" ca="1" xml:space="preserve"> INDIRECT(K73)</f>
        <v>M̍H (U+004D U+030D)</v>
      </c>
      <c r="I73" s="3">
        <f t="shared" si="18"/>
        <v>10</v>
      </c>
      <c r="J73" s="2" cm="1">
        <f t="array" ref="J73" xml:space="preserve"> ROW($5:$5) + B73</f>
        <v>10</v>
      </c>
      <c r="K73" s="3" t="str">
        <f t="shared" si="19"/>
        <v>J10</v>
      </c>
    </row>
    <row r="74" spans="1:11" x14ac:dyDescent="0.25">
      <c r="A74" s="2">
        <f t="shared" si="1"/>
        <v>53</v>
      </c>
      <c r="B74" s="2">
        <f t="shared" si="2"/>
        <v>5</v>
      </c>
      <c r="C74" s="3">
        <v>9</v>
      </c>
      <c r="D74" s="5" t="str">
        <f ca="1" xml:space="preserve"> LEFT(H74,2)</f>
        <v>M̋</v>
      </c>
      <c r="E74" s="6" t="str">
        <f t="shared" ca="1" si="3"/>
        <v>"M̋": ("M", "9"),</v>
      </c>
      <c r="F74" s="1" t="str" cm="1">
        <f t="array" aca="1" ref="F74" ca="1" xml:space="preserve"> INDIRECT( ADDRESS( ROW($21:$21) + B74*9, COLUMN($D:$D)))</f>
        <v>M</v>
      </c>
      <c r="H74" s="3" t="str" cm="1">
        <f t="array" aca="1" ref="H74" ca="1" xml:space="preserve"> INDIRECT(K74)</f>
        <v>M̋ (U+004D U+030B)</v>
      </c>
      <c r="I74" s="3">
        <f t="shared" si="18"/>
        <v>11</v>
      </c>
      <c r="J74" s="2" cm="1">
        <f t="array" ref="J74" xml:space="preserve"> ROW($5:$5) + B74</f>
        <v>10</v>
      </c>
      <c r="K74" s="3" t="str">
        <f t="shared" si="19"/>
        <v>K10</v>
      </c>
    </row>
    <row r="75" spans="1:11" x14ac:dyDescent="0.25">
      <c r="A75" s="2">
        <f t="shared" si="1"/>
        <v>54</v>
      </c>
      <c r="B75" s="2">
        <f t="shared" si="2"/>
        <v>6</v>
      </c>
      <c r="C75" s="2">
        <v>1</v>
      </c>
      <c r="D75" s="4" t="str">
        <f t="shared" ref="D75:D80" ca="1" si="20" xml:space="preserve"> LEFT(H75)</f>
        <v>N</v>
      </c>
      <c r="E75" s="6" t="str">
        <f t="shared" ca="1" si="3"/>
        <v>"N": ("N", "1"),</v>
      </c>
      <c r="F75" s="1" t="str" cm="1">
        <f t="array" aca="1" ref="F75" ca="1" xml:space="preserve"> INDIRECT( ADDRESS( ROW($21:$21) + B75*9, COLUMN($D:$D)))</f>
        <v>N</v>
      </c>
      <c r="H75" s="2" t="str" cm="1">
        <f t="array" aca="1" ref="H75" ca="1" xml:space="preserve"> INDIRECT(K75)</f>
        <v>N</v>
      </c>
      <c r="I75" s="2" cm="1">
        <f t="array" ref="I75" xml:space="preserve"> COLUMN($C:$C)</f>
        <v>3</v>
      </c>
      <c r="J75" s="2" cm="1">
        <f t="array" ref="J75" xml:space="preserve"> ROW($5:$5) + B75</f>
        <v>11</v>
      </c>
      <c r="K75" s="2" t="str">
        <f xml:space="preserve"> ADDRESS(J75, I75,4)</f>
        <v>C11</v>
      </c>
    </row>
    <row r="76" spans="1:11" x14ac:dyDescent="0.25">
      <c r="A76" s="2">
        <f t="shared" si="1"/>
        <v>55</v>
      </c>
      <c r="B76" s="2">
        <f t="shared" si="2"/>
        <v>6</v>
      </c>
      <c r="C76" s="2">
        <v>2</v>
      </c>
      <c r="D76" s="4" t="str">
        <f t="shared" ca="1" si="20"/>
        <v>Ń</v>
      </c>
      <c r="E76" s="6" t="str">
        <f t="shared" ca="1" si="3"/>
        <v>"Ń": ("N", "2"),</v>
      </c>
      <c r="F76" s="1" t="str" cm="1">
        <f t="array" aca="1" ref="F76" ca="1" xml:space="preserve"> INDIRECT( ADDRESS( ROW($21:$21) + B76*9, COLUMN($D:$D)))</f>
        <v>N</v>
      </c>
      <c r="H76" s="2" t="str" cm="1">
        <f t="array" aca="1" ref="H76" ca="1" xml:space="preserve"> INDIRECT(K76)</f>
        <v>Ń (U+0143)</v>
      </c>
      <c r="I76" s="2">
        <f t="shared" ref="I76:I83" si="21">C76 - 1 +$I$21</f>
        <v>4</v>
      </c>
      <c r="J76" s="2" cm="1">
        <f t="array" ref="J76" xml:space="preserve"> ROW($5:$5) + B76</f>
        <v>11</v>
      </c>
      <c r="K76" s="2" t="str">
        <f t="shared" ref="K76:K83" si="22" xml:space="preserve"> ADDRESS(J76, I76,4)</f>
        <v>D11</v>
      </c>
    </row>
    <row r="77" spans="1:11" x14ac:dyDescent="0.25">
      <c r="A77" s="2">
        <f t="shared" si="1"/>
        <v>56</v>
      </c>
      <c r="B77" s="2">
        <f t="shared" si="2"/>
        <v>6</v>
      </c>
      <c r="C77" s="2">
        <v>3</v>
      </c>
      <c r="D77" s="4" t="str">
        <f t="shared" ca="1" si="20"/>
        <v>Ǹ</v>
      </c>
      <c r="E77" s="6" t="str">
        <f t="shared" ca="1" si="3"/>
        <v>"Ǹ": ("N", "3"),</v>
      </c>
      <c r="F77" s="1" t="str" cm="1">
        <f t="array" aca="1" ref="F77" ca="1" xml:space="preserve"> INDIRECT( ADDRESS( ROW($21:$21) + B77*9, COLUMN($D:$D)))</f>
        <v>N</v>
      </c>
      <c r="H77" s="2" t="str" cm="1">
        <f t="array" aca="1" ref="H77" ca="1" xml:space="preserve"> INDIRECT(K77)</f>
        <v>Ǹ (U+01F8)</v>
      </c>
      <c r="I77" s="2">
        <f t="shared" si="21"/>
        <v>5</v>
      </c>
      <c r="J77" s="2" cm="1">
        <f t="array" ref="J77" xml:space="preserve"> ROW($5:$5) + B77</f>
        <v>11</v>
      </c>
      <c r="K77" s="2" t="str">
        <f t="shared" si="22"/>
        <v>E11</v>
      </c>
    </row>
    <row r="78" spans="1:11" x14ac:dyDescent="0.25">
      <c r="A78" s="2">
        <f t="shared" si="1"/>
        <v>57</v>
      </c>
      <c r="B78" s="2">
        <f t="shared" si="2"/>
        <v>6</v>
      </c>
      <c r="C78" s="2">
        <v>4</v>
      </c>
      <c r="D78" s="4" t="str">
        <f t="shared" ca="1" si="20"/>
        <v>N</v>
      </c>
      <c r="E78" s="6" t="str">
        <f t="shared" ca="1" si="3"/>
        <v>"N": ("N", "4"),</v>
      </c>
      <c r="F78" s="1" t="str" cm="1">
        <f t="array" aca="1" ref="F78" ca="1" xml:space="preserve"> INDIRECT( ADDRESS( ROW($21:$21) + B78*9, COLUMN($D:$D)))</f>
        <v>N</v>
      </c>
      <c r="H78" s="2" t="str" cm="1">
        <f t="array" aca="1" ref="H78" ca="1" xml:space="preserve"> INDIRECT(K78)</f>
        <v>NH</v>
      </c>
      <c r="I78" s="2">
        <f t="shared" si="21"/>
        <v>6</v>
      </c>
      <c r="J78" s="2" cm="1">
        <f t="array" ref="J78" xml:space="preserve"> ROW($5:$5) + B78</f>
        <v>11</v>
      </c>
      <c r="K78" s="2" t="str">
        <f t="shared" si="22"/>
        <v>F11</v>
      </c>
    </row>
    <row r="79" spans="1:11" x14ac:dyDescent="0.25">
      <c r="A79" s="2">
        <f t="shared" si="1"/>
        <v>58</v>
      </c>
      <c r="B79" s="2">
        <f t="shared" si="2"/>
        <v>6</v>
      </c>
      <c r="C79" s="2">
        <v>5</v>
      </c>
      <c r="D79" s="4" t="str">
        <f ca="1" xml:space="preserve"> LEFT(H79,2)</f>
        <v>N̂</v>
      </c>
      <c r="E79" s="6" t="str">
        <f t="shared" ca="1" si="3"/>
        <v>"N̂": ("N", "5"),</v>
      </c>
      <c r="F79" s="1" t="str" cm="1">
        <f t="array" aca="1" ref="F79" ca="1" xml:space="preserve"> INDIRECT( ADDRESS( ROW($21:$21) + B79*9, COLUMN($D:$D)))</f>
        <v>N</v>
      </c>
      <c r="H79" s="2" t="str" cm="1">
        <f t="array" aca="1" ref="H79" ca="1" xml:space="preserve"> INDIRECT(K79)</f>
        <v>N̂ (U+004E U+0302)</v>
      </c>
      <c r="I79" s="2">
        <f t="shared" si="21"/>
        <v>7</v>
      </c>
      <c r="J79" s="2" cm="1">
        <f t="array" ref="J79" xml:space="preserve"> ROW($5:$5) + B79</f>
        <v>11</v>
      </c>
      <c r="K79" s="2" t="str">
        <f t="shared" si="22"/>
        <v>G11</v>
      </c>
    </row>
    <row r="80" spans="1:11" x14ac:dyDescent="0.25">
      <c r="A80" s="2">
        <f t="shared" si="1"/>
        <v>59</v>
      </c>
      <c r="B80" s="2">
        <f t="shared" si="2"/>
        <v>6</v>
      </c>
      <c r="C80" s="2">
        <v>6</v>
      </c>
      <c r="D80" s="4" t="str">
        <f t="shared" ca="1" si="20"/>
        <v>Ň</v>
      </c>
      <c r="E80" s="6" t="str">
        <f t="shared" ca="1" si="3"/>
        <v>"Ň": ("N", "6"),</v>
      </c>
      <c r="F80" s="1" t="str" cm="1">
        <f t="array" aca="1" ref="F80" ca="1" xml:space="preserve"> INDIRECT( ADDRESS( ROW($21:$21) + B80*9, COLUMN($D:$D)))</f>
        <v>N</v>
      </c>
      <c r="H80" s="2" t="str" cm="1">
        <f t="array" aca="1" ref="H80" ca="1" xml:space="preserve"> INDIRECT(K80)</f>
        <v>Ň (U+0147)</v>
      </c>
      <c r="I80" s="2">
        <f t="shared" si="21"/>
        <v>8</v>
      </c>
      <c r="J80" s="2" cm="1">
        <f t="array" ref="J80" xml:space="preserve"> ROW($5:$5) + B80</f>
        <v>11</v>
      </c>
      <c r="K80" s="2" t="str">
        <f t="shared" si="22"/>
        <v>H11</v>
      </c>
    </row>
    <row r="81" spans="1:11" x14ac:dyDescent="0.25">
      <c r="A81" s="2">
        <f t="shared" si="1"/>
        <v>60</v>
      </c>
      <c r="B81" s="2">
        <f t="shared" si="2"/>
        <v>6</v>
      </c>
      <c r="C81" s="2">
        <v>7</v>
      </c>
      <c r="D81" s="4" t="str">
        <f ca="1" xml:space="preserve"> LEFT(H81,2)</f>
        <v>N̄</v>
      </c>
      <c r="E81" s="6" t="str">
        <f t="shared" ca="1" si="3"/>
        <v>"N̄": ("N", "7"),</v>
      </c>
      <c r="F81" s="1" t="str" cm="1">
        <f t="array" aca="1" ref="F81" ca="1" xml:space="preserve"> INDIRECT( ADDRESS( ROW($21:$21) + B81*9, COLUMN($D:$D)))</f>
        <v>N</v>
      </c>
      <c r="H81" s="2" t="str" cm="1">
        <f t="array" aca="1" ref="H81" ca="1" xml:space="preserve"> INDIRECT(K81)</f>
        <v>N̄ (U+004E U+0304)</v>
      </c>
      <c r="I81" s="2">
        <f t="shared" si="21"/>
        <v>9</v>
      </c>
      <c r="J81" s="2" cm="1">
        <f t="array" ref="J81" xml:space="preserve"> ROW($5:$5) + B81</f>
        <v>11</v>
      </c>
      <c r="K81" s="2" t="str">
        <f t="shared" si="22"/>
        <v>I11</v>
      </c>
    </row>
    <row r="82" spans="1:11" x14ac:dyDescent="0.25">
      <c r="A82" s="2">
        <f t="shared" si="1"/>
        <v>61</v>
      </c>
      <c r="B82" s="2">
        <f t="shared" si="2"/>
        <v>6</v>
      </c>
      <c r="C82" s="2">
        <v>8</v>
      </c>
      <c r="D82" s="4" t="str">
        <f ca="1" xml:space="preserve"> LEFT(H82,2)</f>
        <v>N̍</v>
      </c>
      <c r="E82" s="6" t="str">
        <f t="shared" ca="1" si="3"/>
        <v>"N̍": ("N", "8"),</v>
      </c>
      <c r="F82" s="1" t="str" cm="1">
        <f t="array" aca="1" ref="F82" ca="1" xml:space="preserve"> INDIRECT( ADDRESS( ROW($21:$21) + B82*9, COLUMN($D:$D)))</f>
        <v>N</v>
      </c>
      <c r="H82" s="2" t="str" cm="1">
        <f t="array" aca="1" ref="H82" ca="1" xml:space="preserve"> INDIRECT(K82)</f>
        <v>N̍H (U+004E U+030D)</v>
      </c>
      <c r="I82" s="2">
        <f t="shared" si="21"/>
        <v>10</v>
      </c>
      <c r="J82" s="2" cm="1">
        <f t="array" ref="J82" xml:space="preserve"> ROW($5:$5) + B82</f>
        <v>11</v>
      </c>
      <c r="K82" s="2" t="str">
        <f t="shared" si="22"/>
        <v>J11</v>
      </c>
    </row>
    <row r="83" spans="1:11" x14ac:dyDescent="0.25">
      <c r="A83" s="2">
        <f t="shared" si="1"/>
        <v>62</v>
      </c>
      <c r="B83" s="2">
        <f t="shared" si="2"/>
        <v>6</v>
      </c>
      <c r="C83" s="2">
        <v>9</v>
      </c>
      <c r="D83" s="4" t="str">
        <f ca="1" xml:space="preserve"> LEFT(H83,2)</f>
        <v>N̋</v>
      </c>
      <c r="E83" s="6" t="str">
        <f t="shared" ca="1" si="3"/>
        <v>"N̋": ("N", "9"),</v>
      </c>
      <c r="F83" s="1" t="str" cm="1">
        <f t="array" aca="1" ref="F83" ca="1" xml:space="preserve"> INDIRECT( ADDRESS( ROW($21:$21) + B83*9, COLUMN($D:$D)))</f>
        <v>N</v>
      </c>
      <c r="H83" s="2" t="str" cm="1">
        <f t="array" aca="1" ref="H83" ca="1" xml:space="preserve"> INDIRECT(K83)</f>
        <v>N̋ (U+004E U+030B)</v>
      </c>
      <c r="I83" s="2">
        <f t="shared" si="21"/>
        <v>11</v>
      </c>
      <c r="J83" s="2" cm="1">
        <f t="array" ref="J83" xml:space="preserve"> ROW($5:$5) + B83</f>
        <v>11</v>
      </c>
      <c r="K83" s="2" t="str">
        <f t="shared" si="22"/>
        <v>K11</v>
      </c>
    </row>
    <row r="84" spans="1:11" x14ac:dyDescent="0.25">
      <c r="A84" s="2">
        <f t="shared" si="1"/>
        <v>63</v>
      </c>
      <c r="B84" s="2">
        <f t="shared" si="2"/>
        <v>7</v>
      </c>
      <c r="C84" s="2">
        <v>1</v>
      </c>
      <c r="D84" s="4" t="str">
        <f t="shared" ref="D84:D90" ca="1" si="23" xml:space="preserve"> LEFT(H84)</f>
        <v>a</v>
      </c>
      <c r="E84" s="6" t="str">
        <f t="shared" ca="1" si="3"/>
        <v>"a": ("a", "1"),</v>
      </c>
      <c r="F84" s="1" t="str" cm="1">
        <f t="array" aca="1" ref="F84" ca="1" xml:space="preserve"> INDIRECT( ADDRESS( ROW($21:$21) + B84*9, COLUMN($D:$D)))</f>
        <v>a</v>
      </c>
      <c r="H84" s="2" t="str" cm="1">
        <f t="array" aca="1" ref="H84" ca="1" xml:space="preserve"> INDIRECT(K84)</f>
        <v>a</v>
      </c>
      <c r="I84" s="2" cm="1">
        <f t="array" ref="I84" xml:space="preserve"> COLUMN($C:$C)</f>
        <v>3</v>
      </c>
      <c r="J84" s="2" cm="1">
        <f t="array" ref="J84" xml:space="preserve"> ROW($5:$5) + B84</f>
        <v>12</v>
      </c>
      <c r="K84" s="2" t="str">
        <f xml:space="preserve"> ADDRESS(J84, I84,4)</f>
        <v>C12</v>
      </c>
    </row>
    <row r="85" spans="1:11" x14ac:dyDescent="0.25">
      <c r="A85" s="2">
        <f t="shared" si="1"/>
        <v>64</v>
      </c>
      <c r="B85" s="2">
        <f t="shared" si="2"/>
        <v>7</v>
      </c>
      <c r="C85" s="2">
        <v>2</v>
      </c>
      <c r="D85" s="4" t="str">
        <f t="shared" ca="1" si="23"/>
        <v>á</v>
      </c>
      <c r="E85" s="6" t="str">
        <f t="shared" ca="1" si="3"/>
        <v>"á": ("a", "2"),</v>
      </c>
      <c r="F85" s="1" t="str" cm="1">
        <f t="array" aca="1" ref="F85" ca="1" xml:space="preserve"> INDIRECT( ADDRESS( ROW($21:$21) + B85*9, COLUMN($D:$D)))</f>
        <v>a</v>
      </c>
      <c r="H85" s="2" t="str" cm="1">
        <f t="array" aca="1" ref="H85" ca="1" xml:space="preserve"> INDIRECT(K85)</f>
        <v>á (U+00E1)</v>
      </c>
      <c r="I85" s="2">
        <f t="shared" ref="I85:I92" si="24">C85 - 1 +$I$21</f>
        <v>4</v>
      </c>
      <c r="J85" s="2" cm="1">
        <f t="array" ref="J85" xml:space="preserve"> ROW($5:$5) + B85</f>
        <v>12</v>
      </c>
      <c r="K85" s="2" t="str">
        <f t="shared" ref="K85:K92" si="25" xml:space="preserve"> ADDRESS(J85, I85,4)</f>
        <v>D12</v>
      </c>
    </row>
    <row r="86" spans="1:11" x14ac:dyDescent="0.25">
      <c r="A86" s="2">
        <f t="shared" ref="A86:A146" si="26" xml:space="preserve"> ROW() - 21</f>
        <v>65</v>
      </c>
      <c r="B86" s="2">
        <f t="shared" ref="B86:B146" si="27" xml:space="preserve"> ROUNDDOWN( A86/9, 0)</f>
        <v>7</v>
      </c>
      <c r="C86" s="2">
        <v>3</v>
      </c>
      <c r="D86" s="4" t="str">
        <f t="shared" ca="1" si="23"/>
        <v>à</v>
      </c>
      <c r="E86" s="6" t="str">
        <f t="shared" ref="E86:E146" ca="1" si="28" xml:space="preserve"> """" &amp; D86 &amp; """" &amp; ": (" &amp; """" &amp; F86 &amp; """, " &amp; """" &amp; C86 &amp; """" &amp; "),"</f>
        <v>"à": ("a", "3"),</v>
      </c>
      <c r="F86" s="1" t="str" cm="1">
        <f t="array" aca="1" ref="F86" ca="1" xml:space="preserve"> INDIRECT( ADDRESS( ROW($21:$21) + B86*9, COLUMN($D:$D)))</f>
        <v>a</v>
      </c>
      <c r="H86" s="2" t="str" cm="1">
        <f t="array" aca="1" ref="H86" ca="1" xml:space="preserve"> INDIRECT(K86)</f>
        <v>à (U+00E0)</v>
      </c>
      <c r="I86" s="2">
        <f t="shared" si="24"/>
        <v>5</v>
      </c>
      <c r="J86" s="2" cm="1">
        <f t="array" ref="J86" xml:space="preserve"> ROW($5:$5) + B86</f>
        <v>12</v>
      </c>
      <c r="K86" s="2" t="str">
        <f t="shared" si="25"/>
        <v>E12</v>
      </c>
    </row>
    <row r="87" spans="1:11" x14ac:dyDescent="0.25">
      <c r="A87" s="2">
        <f t="shared" si="26"/>
        <v>66</v>
      </c>
      <c r="B87" s="2">
        <f t="shared" si="27"/>
        <v>7</v>
      </c>
      <c r="C87" s="2">
        <v>4</v>
      </c>
      <c r="D87" s="4" t="str">
        <f t="shared" ca="1" si="23"/>
        <v>a</v>
      </c>
      <c r="E87" s="6" t="str">
        <f t="shared" ca="1" si="28"/>
        <v>"a": ("a", "4"),</v>
      </c>
      <c r="F87" s="1" t="str" cm="1">
        <f t="array" aca="1" ref="F87" ca="1" xml:space="preserve"> INDIRECT( ADDRESS( ROW($21:$21) + B87*9, COLUMN($D:$D)))</f>
        <v>a</v>
      </c>
      <c r="H87" s="2" t="str" cm="1">
        <f t="array" aca="1" ref="H87" ca="1" xml:space="preserve"> INDIRECT(K87)</f>
        <v>ah</v>
      </c>
      <c r="I87" s="2">
        <f t="shared" si="24"/>
        <v>6</v>
      </c>
      <c r="J87" s="2" cm="1">
        <f t="array" ref="J87" xml:space="preserve"> ROW($5:$5) + B87</f>
        <v>12</v>
      </c>
      <c r="K87" s="2" t="str">
        <f t="shared" si="25"/>
        <v>F12</v>
      </c>
    </row>
    <row r="88" spans="1:11" x14ac:dyDescent="0.25">
      <c r="A88" s="2">
        <f t="shared" si="26"/>
        <v>67</v>
      </c>
      <c r="B88" s="2">
        <f t="shared" si="27"/>
        <v>7</v>
      </c>
      <c r="C88" s="2">
        <v>5</v>
      </c>
      <c r="D88" s="4" t="str">
        <f t="shared" ca="1" si="23"/>
        <v>â</v>
      </c>
      <c r="E88" s="6" t="str">
        <f t="shared" ca="1" si="28"/>
        <v>"â": ("a", "5"),</v>
      </c>
      <c r="F88" s="1" t="str" cm="1">
        <f t="array" aca="1" ref="F88" ca="1" xml:space="preserve"> INDIRECT( ADDRESS( ROW($21:$21) + B88*9, COLUMN($D:$D)))</f>
        <v>a</v>
      </c>
      <c r="H88" s="2" t="str" cm="1">
        <f t="array" aca="1" ref="H88" ca="1" xml:space="preserve"> INDIRECT(K88)</f>
        <v>â (U+00E2)</v>
      </c>
      <c r="I88" s="2">
        <f t="shared" si="24"/>
        <v>7</v>
      </c>
      <c r="J88" s="2" cm="1">
        <f t="array" ref="J88" xml:space="preserve"> ROW($5:$5) + B88</f>
        <v>12</v>
      </c>
      <c r="K88" s="2" t="str">
        <f t="shared" si="25"/>
        <v>G12</v>
      </c>
    </row>
    <row r="89" spans="1:11" x14ac:dyDescent="0.25">
      <c r="A89" s="2">
        <f t="shared" si="26"/>
        <v>68</v>
      </c>
      <c r="B89" s="2">
        <f t="shared" si="27"/>
        <v>7</v>
      </c>
      <c r="C89" s="2">
        <v>6</v>
      </c>
      <c r="D89" s="4" t="str">
        <f t="shared" ca="1" si="23"/>
        <v>ǎ</v>
      </c>
      <c r="E89" s="6" t="str">
        <f t="shared" ca="1" si="28"/>
        <v>"ǎ": ("a", "6"),</v>
      </c>
      <c r="F89" s="1" t="str" cm="1">
        <f t="array" aca="1" ref="F89" ca="1" xml:space="preserve"> INDIRECT( ADDRESS( ROW($21:$21) + B89*9, COLUMN($D:$D)))</f>
        <v>a</v>
      </c>
      <c r="H89" s="2" t="str" cm="1">
        <f t="array" aca="1" ref="H89" ca="1" xml:space="preserve"> INDIRECT(K89)</f>
        <v>ǎ (U+01CE)</v>
      </c>
      <c r="I89" s="2">
        <f t="shared" si="24"/>
        <v>8</v>
      </c>
      <c r="J89" s="2" cm="1">
        <f t="array" ref="J89" xml:space="preserve"> ROW($5:$5) + B89</f>
        <v>12</v>
      </c>
      <c r="K89" s="2" t="str">
        <f t="shared" si="25"/>
        <v>H12</v>
      </c>
    </row>
    <row r="90" spans="1:11" x14ac:dyDescent="0.25">
      <c r="A90" s="2">
        <f t="shared" si="26"/>
        <v>69</v>
      </c>
      <c r="B90" s="2">
        <f t="shared" si="27"/>
        <v>7</v>
      </c>
      <c r="C90" s="2">
        <v>7</v>
      </c>
      <c r="D90" s="4" t="str">
        <f t="shared" ca="1" si="23"/>
        <v>ā</v>
      </c>
      <c r="E90" s="6" t="str">
        <f t="shared" ca="1" si="28"/>
        <v>"ā": ("a", "7"),</v>
      </c>
      <c r="F90" s="1" t="str" cm="1">
        <f t="array" aca="1" ref="F90" ca="1" xml:space="preserve"> INDIRECT( ADDRESS( ROW($21:$21) + B90*9, COLUMN($D:$D)))</f>
        <v>a</v>
      </c>
      <c r="H90" s="2" t="str" cm="1">
        <f t="array" aca="1" ref="H90" ca="1" xml:space="preserve"> INDIRECT(K90)</f>
        <v>ā (U+0101)</v>
      </c>
      <c r="I90" s="2">
        <f t="shared" si="24"/>
        <v>9</v>
      </c>
      <c r="J90" s="2" cm="1">
        <f t="array" ref="J90" xml:space="preserve"> ROW($5:$5) + B90</f>
        <v>12</v>
      </c>
      <c r="K90" s="2" t="str">
        <f t="shared" si="25"/>
        <v>I12</v>
      </c>
    </row>
    <row r="91" spans="1:11" x14ac:dyDescent="0.25">
      <c r="A91" s="2">
        <f t="shared" si="26"/>
        <v>70</v>
      </c>
      <c r="B91" s="2">
        <f t="shared" si="27"/>
        <v>7</v>
      </c>
      <c r="C91" s="2">
        <v>8</v>
      </c>
      <c r="D91" s="4" t="str">
        <f ca="1" xml:space="preserve"> LEFT(H91,2)</f>
        <v>a̍</v>
      </c>
      <c r="E91" s="6" t="str">
        <f t="shared" ca="1" si="28"/>
        <v>"a̍": ("a", "8"),</v>
      </c>
      <c r="F91" s="1" t="str" cm="1">
        <f t="array" aca="1" ref="F91" ca="1" xml:space="preserve"> INDIRECT( ADDRESS( ROW($21:$21) + B91*9, COLUMN($D:$D)))</f>
        <v>a</v>
      </c>
      <c r="H91" s="2" t="str" cm="1">
        <f t="array" aca="1" ref="H91" ca="1" xml:space="preserve"> INDIRECT(K91)</f>
        <v>a̍h (U+0061 U+030D)</v>
      </c>
      <c r="I91" s="2">
        <f t="shared" si="24"/>
        <v>10</v>
      </c>
      <c r="J91" s="2" cm="1">
        <f t="array" ref="J91" xml:space="preserve"> ROW($5:$5) + B91</f>
        <v>12</v>
      </c>
      <c r="K91" s="2" t="str">
        <f t="shared" si="25"/>
        <v>J12</v>
      </c>
    </row>
    <row r="92" spans="1:11" x14ac:dyDescent="0.25">
      <c r="A92" s="2">
        <f t="shared" si="26"/>
        <v>71</v>
      </c>
      <c r="B92" s="2">
        <f t="shared" si="27"/>
        <v>7</v>
      </c>
      <c r="C92" s="2">
        <v>9</v>
      </c>
      <c r="D92" s="4" t="str">
        <f ca="1" xml:space="preserve"> LEFT(H92,2)</f>
        <v>a̋</v>
      </c>
      <c r="E92" s="6" t="str">
        <f t="shared" ca="1" si="28"/>
        <v>"a̋": ("a", "9"),</v>
      </c>
      <c r="F92" s="1" t="str" cm="1">
        <f t="array" aca="1" ref="F92" ca="1" xml:space="preserve"> INDIRECT( ADDRESS( ROW($21:$21) + B92*9, COLUMN($D:$D)))</f>
        <v>a</v>
      </c>
      <c r="H92" s="2" t="str" cm="1">
        <f t="array" aca="1" ref="H92" ca="1" xml:space="preserve"> INDIRECT(K92)</f>
        <v>a̋ (U+0061 U+030B)</v>
      </c>
      <c r="I92" s="2">
        <f t="shared" si="24"/>
        <v>11</v>
      </c>
      <c r="J92" s="2" cm="1">
        <f t="array" ref="J92" xml:space="preserve"> ROW($5:$5) + B92</f>
        <v>12</v>
      </c>
      <c r="K92" s="2" t="str">
        <f t="shared" si="25"/>
        <v>K12</v>
      </c>
    </row>
    <row r="93" spans="1:11" x14ac:dyDescent="0.25">
      <c r="A93" s="2">
        <f t="shared" si="26"/>
        <v>72</v>
      </c>
      <c r="B93" s="2">
        <f t="shared" si="27"/>
        <v>8</v>
      </c>
      <c r="C93" s="3">
        <v>1</v>
      </c>
      <c r="D93" s="5" t="str">
        <f t="shared" ref="D93:D99" ca="1" si="29" xml:space="preserve"> LEFT(H93)</f>
        <v>e</v>
      </c>
      <c r="E93" s="6" t="str">
        <f t="shared" ca="1" si="28"/>
        <v>"e": ("e", "1"),</v>
      </c>
      <c r="F93" s="1" t="str" cm="1">
        <f t="array" aca="1" ref="F93" ca="1" xml:space="preserve"> INDIRECT( ADDRESS( ROW($21:$21) + B93*9, COLUMN($D:$D)))</f>
        <v>e</v>
      </c>
      <c r="H93" s="3" t="str" cm="1">
        <f t="array" aca="1" ref="H93" ca="1" xml:space="preserve"> INDIRECT(K93)</f>
        <v>e</v>
      </c>
      <c r="I93" s="3">
        <f t="shared" ref="I93:I101" si="30">I84</f>
        <v>3</v>
      </c>
      <c r="J93" s="2" cm="1">
        <f t="array" ref="J93" xml:space="preserve"> ROW($5:$5) + B93</f>
        <v>13</v>
      </c>
      <c r="K93" s="3" t="str">
        <f xml:space="preserve"> ADDRESS(J93, I93,4)</f>
        <v>C13</v>
      </c>
    </row>
    <row r="94" spans="1:11" x14ac:dyDescent="0.25">
      <c r="A94" s="2">
        <f t="shared" si="26"/>
        <v>73</v>
      </c>
      <c r="B94" s="2">
        <f t="shared" si="27"/>
        <v>8</v>
      </c>
      <c r="C94" s="3">
        <v>2</v>
      </c>
      <c r="D94" s="5" t="str">
        <f t="shared" ca="1" si="29"/>
        <v>é</v>
      </c>
      <c r="E94" s="6" t="str">
        <f t="shared" ca="1" si="28"/>
        <v>"é": ("e", "2"),</v>
      </c>
      <c r="F94" s="1" t="str" cm="1">
        <f t="array" aca="1" ref="F94" ca="1" xml:space="preserve"> INDIRECT( ADDRESS( ROW($21:$21) + B94*9, COLUMN($D:$D)))</f>
        <v>e</v>
      </c>
      <c r="H94" s="3" t="str" cm="1">
        <f t="array" aca="1" ref="H94" ca="1" xml:space="preserve"> INDIRECT(K94)</f>
        <v>é (U+00E9)</v>
      </c>
      <c r="I94" s="3">
        <f t="shared" si="30"/>
        <v>4</v>
      </c>
      <c r="J94" s="2" cm="1">
        <f t="array" ref="J94" xml:space="preserve"> ROW($5:$5) + B94</f>
        <v>13</v>
      </c>
      <c r="K94" s="3" t="str">
        <f t="shared" ref="K94:K101" si="31" xml:space="preserve"> ADDRESS(J94, I94,4)</f>
        <v>D13</v>
      </c>
    </row>
    <row r="95" spans="1:11" x14ac:dyDescent="0.25">
      <c r="A95" s="2">
        <f t="shared" si="26"/>
        <v>74</v>
      </c>
      <c r="B95" s="2">
        <f t="shared" si="27"/>
        <v>8</v>
      </c>
      <c r="C95" s="3">
        <v>3</v>
      </c>
      <c r="D95" s="5" t="str">
        <f t="shared" ca="1" si="29"/>
        <v>è</v>
      </c>
      <c r="E95" s="6" t="str">
        <f t="shared" ca="1" si="28"/>
        <v>"è": ("e", "3"),</v>
      </c>
      <c r="F95" s="1" t="str" cm="1">
        <f t="array" aca="1" ref="F95" ca="1" xml:space="preserve"> INDIRECT( ADDRESS( ROW($21:$21) + B95*9, COLUMN($D:$D)))</f>
        <v>e</v>
      </c>
      <c r="H95" s="3" t="str" cm="1">
        <f t="array" aca="1" ref="H95" ca="1" xml:space="preserve"> INDIRECT(K95)</f>
        <v>è (U+00E8)</v>
      </c>
      <c r="I95" s="3">
        <f t="shared" si="30"/>
        <v>5</v>
      </c>
      <c r="J95" s="2" cm="1">
        <f t="array" ref="J95" xml:space="preserve"> ROW($5:$5) + B95</f>
        <v>13</v>
      </c>
      <c r="K95" s="3" t="str">
        <f t="shared" si="31"/>
        <v>E13</v>
      </c>
    </row>
    <row r="96" spans="1:11" x14ac:dyDescent="0.25">
      <c r="A96" s="2">
        <f t="shared" si="26"/>
        <v>75</v>
      </c>
      <c r="B96" s="2">
        <f t="shared" si="27"/>
        <v>8</v>
      </c>
      <c r="C96" s="3">
        <v>4</v>
      </c>
      <c r="D96" s="5" t="str">
        <f t="shared" ca="1" si="29"/>
        <v>e</v>
      </c>
      <c r="E96" s="6" t="str">
        <f t="shared" ca="1" si="28"/>
        <v>"e": ("e", "4"),</v>
      </c>
      <c r="F96" s="1" t="str" cm="1">
        <f t="array" aca="1" ref="F96" ca="1" xml:space="preserve"> INDIRECT( ADDRESS( ROW($21:$21) + B96*9, COLUMN($D:$D)))</f>
        <v>e</v>
      </c>
      <c r="H96" s="3" t="str" cm="1">
        <f t="array" aca="1" ref="H96" ca="1" xml:space="preserve"> INDIRECT(K96)</f>
        <v>eh</v>
      </c>
      <c r="I96" s="3">
        <f t="shared" si="30"/>
        <v>6</v>
      </c>
      <c r="J96" s="2" cm="1">
        <f t="array" ref="J96" xml:space="preserve"> ROW($5:$5) + B96</f>
        <v>13</v>
      </c>
      <c r="K96" s="3" t="str">
        <f t="shared" si="31"/>
        <v>F13</v>
      </c>
    </row>
    <row r="97" spans="1:11" x14ac:dyDescent="0.25">
      <c r="A97" s="2">
        <f t="shared" si="26"/>
        <v>76</v>
      </c>
      <c r="B97" s="2">
        <f t="shared" si="27"/>
        <v>8</v>
      </c>
      <c r="C97" s="3">
        <v>5</v>
      </c>
      <c r="D97" s="5" t="str">
        <f t="shared" ca="1" si="29"/>
        <v>ê</v>
      </c>
      <c r="E97" s="6" t="str">
        <f t="shared" ca="1" si="28"/>
        <v>"ê": ("e", "5"),</v>
      </c>
      <c r="F97" s="1" t="str" cm="1">
        <f t="array" aca="1" ref="F97" ca="1" xml:space="preserve"> INDIRECT( ADDRESS( ROW($21:$21) + B97*9, COLUMN($D:$D)))</f>
        <v>e</v>
      </c>
      <c r="H97" s="3" t="str" cm="1">
        <f t="array" aca="1" ref="H97" ca="1" xml:space="preserve"> INDIRECT(K97)</f>
        <v>ê (U+00EA)</v>
      </c>
      <c r="I97" s="3">
        <f t="shared" si="30"/>
        <v>7</v>
      </c>
      <c r="J97" s="2" cm="1">
        <f t="array" ref="J97" xml:space="preserve"> ROW($5:$5) + B97</f>
        <v>13</v>
      </c>
      <c r="K97" s="3" t="str">
        <f t="shared" si="31"/>
        <v>G13</v>
      </c>
    </row>
    <row r="98" spans="1:11" x14ac:dyDescent="0.25">
      <c r="A98" s="2">
        <f t="shared" si="26"/>
        <v>77</v>
      </c>
      <c r="B98" s="2">
        <f t="shared" si="27"/>
        <v>8</v>
      </c>
      <c r="C98" s="3">
        <v>6</v>
      </c>
      <c r="D98" s="5" t="str">
        <f t="shared" ca="1" si="29"/>
        <v>ě</v>
      </c>
      <c r="E98" s="6" t="str">
        <f t="shared" ca="1" si="28"/>
        <v>"ě": ("e", "6"),</v>
      </c>
      <c r="F98" s="1" t="str" cm="1">
        <f t="array" aca="1" ref="F98" ca="1" xml:space="preserve"> INDIRECT( ADDRESS( ROW($21:$21) + B98*9, COLUMN($D:$D)))</f>
        <v>e</v>
      </c>
      <c r="H98" s="3" t="str" cm="1">
        <f t="array" aca="1" ref="H98" ca="1" xml:space="preserve"> INDIRECT(K98)</f>
        <v>ě (U+011B)</v>
      </c>
      <c r="I98" s="3">
        <f t="shared" si="30"/>
        <v>8</v>
      </c>
      <c r="J98" s="2" cm="1">
        <f t="array" ref="J98" xml:space="preserve"> ROW($5:$5) + B98</f>
        <v>13</v>
      </c>
      <c r="K98" s="3" t="str">
        <f t="shared" si="31"/>
        <v>H13</v>
      </c>
    </row>
    <row r="99" spans="1:11" x14ac:dyDescent="0.25">
      <c r="A99" s="2">
        <f t="shared" si="26"/>
        <v>78</v>
      </c>
      <c r="B99" s="2">
        <f t="shared" si="27"/>
        <v>8</v>
      </c>
      <c r="C99" s="3">
        <v>7</v>
      </c>
      <c r="D99" s="5" t="str">
        <f t="shared" ca="1" si="29"/>
        <v>ē</v>
      </c>
      <c r="E99" s="6" t="str">
        <f t="shared" ca="1" si="28"/>
        <v>"ē": ("e", "7"),</v>
      </c>
      <c r="F99" s="1" t="str" cm="1">
        <f t="array" aca="1" ref="F99" ca="1" xml:space="preserve"> INDIRECT( ADDRESS( ROW($21:$21) + B99*9, COLUMN($D:$D)))</f>
        <v>e</v>
      </c>
      <c r="H99" s="3" t="str" cm="1">
        <f t="array" aca="1" ref="H99" ca="1" xml:space="preserve"> INDIRECT(K99)</f>
        <v>ē (U+0113)</v>
      </c>
      <c r="I99" s="3">
        <f t="shared" si="30"/>
        <v>9</v>
      </c>
      <c r="J99" s="2" cm="1">
        <f t="array" ref="J99" xml:space="preserve"> ROW($5:$5) + B99</f>
        <v>13</v>
      </c>
      <c r="K99" s="3" t="str">
        <f t="shared" si="31"/>
        <v>I13</v>
      </c>
    </row>
    <row r="100" spans="1:11" x14ac:dyDescent="0.25">
      <c r="A100" s="2">
        <f t="shared" si="26"/>
        <v>79</v>
      </c>
      <c r="B100" s="2">
        <f t="shared" si="27"/>
        <v>8</v>
      </c>
      <c r="C100" s="3">
        <v>8</v>
      </c>
      <c r="D100" s="5" t="str">
        <f ca="1" xml:space="preserve"> LEFT(H100,2)</f>
        <v>e̍</v>
      </c>
      <c r="E100" s="6" t="str">
        <f t="shared" ca="1" si="28"/>
        <v>"e̍": ("e", "8"),</v>
      </c>
      <c r="F100" s="1" t="str" cm="1">
        <f t="array" aca="1" ref="F100" ca="1" xml:space="preserve"> INDIRECT( ADDRESS( ROW($21:$21) + B100*9, COLUMN($D:$D)))</f>
        <v>e</v>
      </c>
      <c r="H100" s="3" t="str" cm="1">
        <f t="array" aca="1" ref="H100" ca="1" xml:space="preserve"> INDIRECT(K100)</f>
        <v>e̍h (U+0065 U+030D)</v>
      </c>
      <c r="I100" s="3">
        <f t="shared" si="30"/>
        <v>10</v>
      </c>
      <c r="J100" s="2" cm="1">
        <f t="array" ref="J100" xml:space="preserve"> ROW($5:$5) + B100</f>
        <v>13</v>
      </c>
      <c r="K100" s="3" t="str">
        <f t="shared" si="31"/>
        <v>J13</v>
      </c>
    </row>
    <row r="101" spans="1:11" x14ac:dyDescent="0.25">
      <c r="A101" s="2">
        <f t="shared" si="26"/>
        <v>80</v>
      </c>
      <c r="B101" s="2">
        <f t="shared" si="27"/>
        <v>8</v>
      </c>
      <c r="C101" s="3">
        <v>9</v>
      </c>
      <c r="D101" s="5" t="str">
        <f ca="1" xml:space="preserve"> LEFT(H101,2)</f>
        <v>e̋</v>
      </c>
      <c r="E101" s="6" t="str">
        <f t="shared" ca="1" si="28"/>
        <v>"e̋": ("e", "9"),</v>
      </c>
      <c r="F101" s="1" t="str" cm="1">
        <f t="array" aca="1" ref="F101" ca="1" xml:space="preserve"> INDIRECT( ADDRESS( ROW($21:$21) + B101*9, COLUMN($D:$D)))</f>
        <v>e</v>
      </c>
      <c r="H101" s="3" t="str" cm="1">
        <f t="array" aca="1" ref="H101" ca="1" xml:space="preserve"> INDIRECT(K101)</f>
        <v>e̋ (U+0065 U+030B)</v>
      </c>
      <c r="I101" s="3">
        <f t="shared" si="30"/>
        <v>11</v>
      </c>
      <c r="J101" s="2" cm="1">
        <f t="array" ref="J101" xml:space="preserve"> ROW($5:$5) + B101</f>
        <v>13</v>
      </c>
      <c r="K101" s="3" t="str">
        <f t="shared" si="31"/>
        <v>K13</v>
      </c>
    </row>
    <row r="102" spans="1:11" x14ac:dyDescent="0.25">
      <c r="A102" s="2">
        <f t="shared" si="26"/>
        <v>81</v>
      </c>
      <c r="B102" s="2">
        <f t="shared" si="27"/>
        <v>9</v>
      </c>
      <c r="C102" s="2">
        <v>1</v>
      </c>
      <c r="D102" s="4" t="str">
        <f t="shared" ref="D102:D108" ca="1" si="32" xml:space="preserve"> LEFT(H102)</f>
        <v>i</v>
      </c>
      <c r="E102" s="6" t="str">
        <f t="shared" ca="1" si="28"/>
        <v>"i": ("i", "1"),</v>
      </c>
      <c r="F102" s="1" t="str" cm="1">
        <f t="array" aca="1" ref="F102" ca="1" xml:space="preserve"> INDIRECT( ADDRESS( ROW($21:$21) + B102*9, COLUMN($D:$D)))</f>
        <v>i</v>
      </c>
      <c r="H102" s="2" t="str" cm="1">
        <f t="array" aca="1" ref="H102" ca="1" xml:space="preserve"> INDIRECT(K102)</f>
        <v>i</v>
      </c>
      <c r="I102" s="2" cm="1">
        <f t="array" ref="I102" xml:space="preserve"> COLUMN($C:$C)</f>
        <v>3</v>
      </c>
      <c r="J102" s="2" cm="1">
        <f t="array" ref="J102" xml:space="preserve"> ROW($5:$5) + B102</f>
        <v>14</v>
      </c>
      <c r="K102" s="2" t="str">
        <f xml:space="preserve"> ADDRESS(J102, I102,4)</f>
        <v>C14</v>
      </c>
    </row>
    <row r="103" spans="1:11" x14ac:dyDescent="0.25">
      <c r="A103" s="2">
        <f t="shared" si="26"/>
        <v>82</v>
      </c>
      <c r="B103" s="2">
        <f t="shared" si="27"/>
        <v>9</v>
      </c>
      <c r="C103" s="2">
        <v>2</v>
      </c>
      <c r="D103" s="4" t="str">
        <f t="shared" ca="1" si="32"/>
        <v>í</v>
      </c>
      <c r="E103" s="6" t="str">
        <f t="shared" ca="1" si="28"/>
        <v>"í": ("i", "2"),</v>
      </c>
      <c r="F103" s="1" t="str" cm="1">
        <f t="array" aca="1" ref="F103" ca="1" xml:space="preserve"> INDIRECT( ADDRESS( ROW($21:$21) + B103*9, COLUMN($D:$D)))</f>
        <v>i</v>
      </c>
      <c r="H103" s="2" t="str" cm="1">
        <f t="array" aca="1" ref="H103" ca="1" xml:space="preserve"> INDIRECT(K103)</f>
        <v>í (U+00ED)</v>
      </c>
      <c r="I103" s="2">
        <f t="shared" ref="I103:I110" si="33">C103 - 1 +$I$21</f>
        <v>4</v>
      </c>
      <c r="J103" s="2" cm="1">
        <f t="array" ref="J103" xml:space="preserve"> ROW($5:$5) + B103</f>
        <v>14</v>
      </c>
      <c r="K103" s="2" t="str">
        <f t="shared" ref="K103:K110" si="34" xml:space="preserve"> ADDRESS(J103, I103,4)</f>
        <v>D14</v>
      </c>
    </row>
    <row r="104" spans="1:11" x14ac:dyDescent="0.25">
      <c r="A104" s="2">
        <f t="shared" si="26"/>
        <v>83</v>
      </c>
      <c r="B104" s="2">
        <f t="shared" si="27"/>
        <v>9</v>
      </c>
      <c r="C104" s="2">
        <v>3</v>
      </c>
      <c r="D104" s="4" t="str">
        <f t="shared" ca="1" si="32"/>
        <v>ì</v>
      </c>
      <c r="E104" s="6" t="str">
        <f t="shared" ca="1" si="28"/>
        <v>"ì": ("i", "3"),</v>
      </c>
      <c r="F104" s="1" t="str" cm="1">
        <f t="array" aca="1" ref="F104" ca="1" xml:space="preserve"> INDIRECT( ADDRESS( ROW($21:$21) + B104*9, COLUMN($D:$D)))</f>
        <v>i</v>
      </c>
      <c r="H104" s="2" t="str" cm="1">
        <f t="array" aca="1" ref="H104" ca="1" xml:space="preserve"> INDIRECT(K104)</f>
        <v>ì (U+00EC)</v>
      </c>
      <c r="I104" s="2">
        <f t="shared" si="33"/>
        <v>5</v>
      </c>
      <c r="J104" s="2" cm="1">
        <f t="array" ref="J104" xml:space="preserve"> ROW($5:$5) + B104</f>
        <v>14</v>
      </c>
      <c r="K104" s="2" t="str">
        <f t="shared" si="34"/>
        <v>E14</v>
      </c>
    </row>
    <row r="105" spans="1:11" x14ac:dyDescent="0.25">
      <c r="A105" s="2">
        <f t="shared" si="26"/>
        <v>84</v>
      </c>
      <c r="B105" s="2">
        <f t="shared" si="27"/>
        <v>9</v>
      </c>
      <c r="C105" s="2">
        <v>4</v>
      </c>
      <c r="D105" s="4" t="str">
        <f t="shared" ca="1" si="32"/>
        <v>i</v>
      </c>
      <c r="E105" s="6" t="str">
        <f t="shared" ca="1" si="28"/>
        <v>"i": ("i", "4"),</v>
      </c>
      <c r="F105" s="1" t="str" cm="1">
        <f t="array" aca="1" ref="F105" ca="1" xml:space="preserve"> INDIRECT( ADDRESS( ROW($21:$21) + B105*9, COLUMN($D:$D)))</f>
        <v>i</v>
      </c>
      <c r="H105" s="2" t="str" cm="1">
        <f t="array" aca="1" ref="H105" ca="1" xml:space="preserve"> INDIRECT(K105)</f>
        <v>ih</v>
      </c>
      <c r="I105" s="2">
        <f t="shared" si="33"/>
        <v>6</v>
      </c>
      <c r="J105" s="2" cm="1">
        <f t="array" ref="J105" xml:space="preserve"> ROW($5:$5) + B105</f>
        <v>14</v>
      </c>
      <c r="K105" s="2" t="str">
        <f t="shared" si="34"/>
        <v>F14</v>
      </c>
    </row>
    <row r="106" spans="1:11" x14ac:dyDescent="0.25">
      <c r="A106" s="2">
        <f t="shared" si="26"/>
        <v>85</v>
      </c>
      <c r="B106" s="2">
        <f t="shared" si="27"/>
        <v>9</v>
      </c>
      <c r="C106" s="2">
        <v>5</v>
      </c>
      <c r="D106" s="4" t="str">
        <f t="shared" ca="1" si="32"/>
        <v>î</v>
      </c>
      <c r="E106" s="6" t="str">
        <f t="shared" ca="1" si="28"/>
        <v>"î": ("i", "5"),</v>
      </c>
      <c r="F106" s="1" t="str" cm="1">
        <f t="array" aca="1" ref="F106" ca="1" xml:space="preserve"> INDIRECT( ADDRESS( ROW($21:$21) + B106*9, COLUMN($D:$D)))</f>
        <v>i</v>
      </c>
      <c r="H106" s="2" t="str" cm="1">
        <f t="array" aca="1" ref="H106" ca="1" xml:space="preserve"> INDIRECT(K106)</f>
        <v>î (U+00EE)</v>
      </c>
      <c r="I106" s="2">
        <f t="shared" si="33"/>
        <v>7</v>
      </c>
      <c r="J106" s="2" cm="1">
        <f t="array" ref="J106" xml:space="preserve"> ROW($5:$5) + B106</f>
        <v>14</v>
      </c>
      <c r="K106" s="2" t="str">
        <f t="shared" si="34"/>
        <v>G14</v>
      </c>
    </row>
    <row r="107" spans="1:11" x14ac:dyDescent="0.25">
      <c r="A107" s="2">
        <f t="shared" si="26"/>
        <v>86</v>
      </c>
      <c r="B107" s="2">
        <f t="shared" si="27"/>
        <v>9</v>
      </c>
      <c r="C107" s="2">
        <v>6</v>
      </c>
      <c r="D107" s="4" t="str">
        <f t="shared" ca="1" si="32"/>
        <v>ǐ</v>
      </c>
      <c r="E107" s="6" t="str">
        <f t="shared" ca="1" si="28"/>
        <v>"ǐ": ("i", "6"),</v>
      </c>
      <c r="F107" s="1" t="str" cm="1">
        <f t="array" aca="1" ref="F107" ca="1" xml:space="preserve"> INDIRECT( ADDRESS( ROW($21:$21) + B107*9, COLUMN($D:$D)))</f>
        <v>i</v>
      </c>
      <c r="H107" s="2" t="str" cm="1">
        <f t="array" aca="1" ref="H107" ca="1" xml:space="preserve"> INDIRECT(K107)</f>
        <v>ǐ (U+01D0)</v>
      </c>
      <c r="I107" s="2">
        <f t="shared" si="33"/>
        <v>8</v>
      </c>
      <c r="J107" s="2" cm="1">
        <f t="array" ref="J107" xml:space="preserve"> ROW($5:$5) + B107</f>
        <v>14</v>
      </c>
      <c r="K107" s="2" t="str">
        <f t="shared" si="34"/>
        <v>H14</v>
      </c>
    </row>
    <row r="108" spans="1:11" x14ac:dyDescent="0.25">
      <c r="A108" s="2">
        <f t="shared" si="26"/>
        <v>87</v>
      </c>
      <c r="B108" s="2">
        <f t="shared" si="27"/>
        <v>9</v>
      </c>
      <c r="C108" s="2">
        <v>7</v>
      </c>
      <c r="D108" s="4" t="str">
        <f t="shared" ca="1" si="32"/>
        <v>ī</v>
      </c>
      <c r="E108" s="6" t="str">
        <f t="shared" ca="1" si="28"/>
        <v>"ī": ("i", "7"),</v>
      </c>
      <c r="F108" s="1" t="str" cm="1">
        <f t="array" aca="1" ref="F108" ca="1" xml:space="preserve"> INDIRECT( ADDRESS( ROW($21:$21) + B108*9, COLUMN($D:$D)))</f>
        <v>i</v>
      </c>
      <c r="H108" s="2" t="str" cm="1">
        <f t="array" aca="1" ref="H108" ca="1" xml:space="preserve"> INDIRECT(K108)</f>
        <v>ī (U+012B)</v>
      </c>
      <c r="I108" s="2">
        <f t="shared" si="33"/>
        <v>9</v>
      </c>
      <c r="J108" s="2" cm="1">
        <f t="array" ref="J108" xml:space="preserve"> ROW($5:$5) + B108</f>
        <v>14</v>
      </c>
      <c r="K108" s="2" t="str">
        <f t="shared" si="34"/>
        <v>I14</v>
      </c>
    </row>
    <row r="109" spans="1:11" x14ac:dyDescent="0.25">
      <c r="A109" s="2">
        <f t="shared" si="26"/>
        <v>88</v>
      </c>
      <c r="B109" s="2">
        <f t="shared" si="27"/>
        <v>9</v>
      </c>
      <c r="C109" s="2">
        <v>8</v>
      </c>
      <c r="D109" s="4" t="str">
        <f ca="1" xml:space="preserve"> LEFT(H109,2)</f>
        <v>i̍</v>
      </c>
      <c r="E109" s="6" t="str">
        <f t="shared" ca="1" si="28"/>
        <v>"i̍": ("i", "8"),</v>
      </c>
      <c r="F109" s="1" t="str" cm="1">
        <f t="array" aca="1" ref="F109" ca="1" xml:space="preserve"> INDIRECT( ADDRESS( ROW($21:$21) + B109*9, COLUMN($D:$D)))</f>
        <v>i</v>
      </c>
      <c r="H109" s="2" t="str" cm="1">
        <f t="array" aca="1" ref="H109" ca="1" xml:space="preserve"> INDIRECT(K109)</f>
        <v>i̍h (U+0069 U+030D)</v>
      </c>
      <c r="I109" s="2">
        <f t="shared" si="33"/>
        <v>10</v>
      </c>
      <c r="J109" s="2" cm="1">
        <f t="array" ref="J109" xml:space="preserve"> ROW($5:$5) + B109</f>
        <v>14</v>
      </c>
      <c r="K109" s="2" t="str">
        <f t="shared" si="34"/>
        <v>J14</v>
      </c>
    </row>
    <row r="110" spans="1:11" x14ac:dyDescent="0.25">
      <c r="A110" s="2">
        <f t="shared" si="26"/>
        <v>89</v>
      </c>
      <c r="B110" s="2">
        <f t="shared" si="27"/>
        <v>9</v>
      </c>
      <c r="C110" s="2">
        <v>9</v>
      </c>
      <c r="D110" s="4" t="str">
        <f ca="1" xml:space="preserve"> LEFT(H110,2)</f>
        <v>i̋</v>
      </c>
      <c r="E110" s="6" t="str">
        <f t="shared" ca="1" si="28"/>
        <v>"i̋": ("i", "9"),</v>
      </c>
      <c r="F110" s="1" t="str" cm="1">
        <f t="array" aca="1" ref="F110" ca="1" xml:space="preserve"> INDIRECT( ADDRESS( ROW($21:$21) + B110*9, COLUMN($D:$D)))</f>
        <v>i</v>
      </c>
      <c r="H110" s="2" t="str" cm="1">
        <f t="array" aca="1" ref="H110" ca="1" xml:space="preserve"> INDIRECT(K110)</f>
        <v>i̋ (U+0069 U+030B)</v>
      </c>
      <c r="I110" s="2">
        <f t="shared" si="33"/>
        <v>11</v>
      </c>
      <c r="J110" s="2" cm="1">
        <f t="array" ref="J110" xml:space="preserve"> ROW($5:$5) + B110</f>
        <v>14</v>
      </c>
      <c r="K110" s="2" t="str">
        <f t="shared" si="34"/>
        <v>K14</v>
      </c>
    </row>
    <row r="111" spans="1:11" x14ac:dyDescent="0.25">
      <c r="A111" s="2">
        <f t="shared" si="26"/>
        <v>90</v>
      </c>
      <c r="B111" s="2">
        <f t="shared" si="27"/>
        <v>10</v>
      </c>
      <c r="C111" s="3">
        <v>1</v>
      </c>
      <c r="D111" s="5" t="str">
        <f t="shared" ref="D111:D117" ca="1" si="35" xml:space="preserve"> LEFT(H111)</f>
        <v>o</v>
      </c>
      <c r="E111" s="6" t="str">
        <f t="shared" ca="1" si="28"/>
        <v>"o": ("o", "1"),</v>
      </c>
      <c r="F111" s="1" t="str" cm="1">
        <f t="array" aca="1" ref="F111" ca="1" xml:space="preserve"> INDIRECT( ADDRESS( ROW($21:$21) + B111*9, COLUMN($D:$D)))</f>
        <v>o</v>
      </c>
      <c r="H111" s="3" t="str" cm="1">
        <f t="array" aca="1" ref="H111" ca="1" xml:space="preserve"> INDIRECT(K111)</f>
        <v>o</v>
      </c>
      <c r="I111" s="3">
        <f t="shared" ref="I111:I119" si="36">I102</f>
        <v>3</v>
      </c>
      <c r="J111" s="2" cm="1">
        <f t="array" ref="J111" xml:space="preserve"> ROW($5:$5) + B111</f>
        <v>15</v>
      </c>
      <c r="K111" s="3" t="str">
        <f xml:space="preserve"> ADDRESS(J111, I111,4)</f>
        <v>C15</v>
      </c>
    </row>
    <row r="112" spans="1:11" x14ac:dyDescent="0.25">
      <c r="A112" s="2">
        <f t="shared" si="26"/>
        <v>91</v>
      </c>
      <c r="B112" s="2">
        <f t="shared" si="27"/>
        <v>10</v>
      </c>
      <c r="C112" s="3">
        <v>2</v>
      </c>
      <c r="D112" s="5" t="str">
        <f t="shared" ca="1" si="35"/>
        <v>ó</v>
      </c>
      <c r="E112" s="6" t="str">
        <f t="shared" ca="1" si="28"/>
        <v>"ó": ("o", "2"),</v>
      </c>
      <c r="F112" s="1" t="str" cm="1">
        <f t="array" aca="1" ref="F112" ca="1" xml:space="preserve"> INDIRECT( ADDRESS( ROW($21:$21) + B112*9, COLUMN($D:$D)))</f>
        <v>o</v>
      </c>
      <c r="H112" s="3" t="str" cm="1">
        <f t="array" aca="1" ref="H112" ca="1" xml:space="preserve"> INDIRECT(K112)</f>
        <v>ó (U+00F3)</v>
      </c>
      <c r="I112" s="3">
        <f t="shared" si="36"/>
        <v>4</v>
      </c>
      <c r="J112" s="2" cm="1">
        <f t="array" ref="J112" xml:space="preserve"> ROW($5:$5) + B112</f>
        <v>15</v>
      </c>
      <c r="K112" s="3" t="str">
        <f t="shared" ref="K112:K119" si="37" xml:space="preserve"> ADDRESS(J112, I112,4)</f>
        <v>D15</v>
      </c>
    </row>
    <row r="113" spans="1:11" x14ac:dyDescent="0.25">
      <c r="A113" s="2">
        <f t="shared" si="26"/>
        <v>92</v>
      </c>
      <c r="B113" s="2">
        <f t="shared" si="27"/>
        <v>10</v>
      </c>
      <c r="C113" s="3">
        <v>3</v>
      </c>
      <c r="D113" s="5" t="str">
        <f t="shared" ca="1" si="35"/>
        <v>ò</v>
      </c>
      <c r="E113" s="6" t="str">
        <f t="shared" ca="1" si="28"/>
        <v>"ò": ("o", "3"),</v>
      </c>
      <c r="F113" s="1" t="str" cm="1">
        <f t="array" aca="1" ref="F113" ca="1" xml:space="preserve"> INDIRECT( ADDRESS( ROW($21:$21) + B113*9, COLUMN($D:$D)))</f>
        <v>o</v>
      </c>
      <c r="H113" s="3" t="str" cm="1">
        <f t="array" aca="1" ref="H113" ca="1" xml:space="preserve"> INDIRECT(K113)</f>
        <v>ò (U+00F2)</v>
      </c>
      <c r="I113" s="3">
        <f t="shared" si="36"/>
        <v>5</v>
      </c>
      <c r="J113" s="2" cm="1">
        <f t="array" ref="J113" xml:space="preserve"> ROW($5:$5) + B113</f>
        <v>15</v>
      </c>
      <c r="K113" s="3" t="str">
        <f t="shared" si="37"/>
        <v>E15</v>
      </c>
    </row>
    <row r="114" spans="1:11" x14ac:dyDescent="0.25">
      <c r="A114" s="2">
        <f t="shared" si="26"/>
        <v>93</v>
      </c>
      <c r="B114" s="2">
        <f t="shared" si="27"/>
        <v>10</v>
      </c>
      <c r="C114" s="3">
        <v>4</v>
      </c>
      <c r="D114" s="5" t="str">
        <f t="shared" ca="1" si="35"/>
        <v>o</v>
      </c>
      <c r="E114" s="6" t="str">
        <f t="shared" ca="1" si="28"/>
        <v>"o": ("o", "4"),</v>
      </c>
      <c r="F114" s="1" t="str" cm="1">
        <f t="array" aca="1" ref="F114" ca="1" xml:space="preserve"> INDIRECT( ADDRESS( ROW($21:$21) + B114*9, COLUMN($D:$D)))</f>
        <v>o</v>
      </c>
      <c r="H114" s="3" t="str" cm="1">
        <f t="array" aca="1" ref="H114" ca="1" xml:space="preserve"> INDIRECT(K114)</f>
        <v>oh</v>
      </c>
      <c r="I114" s="3">
        <f t="shared" si="36"/>
        <v>6</v>
      </c>
      <c r="J114" s="2" cm="1">
        <f t="array" ref="J114" xml:space="preserve"> ROW($5:$5) + B114</f>
        <v>15</v>
      </c>
      <c r="K114" s="3" t="str">
        <f t="shared" si="37"/>
        <v>F15</v>
      </c>
    </row>
    <row r="115" spans="1:11" x14ac:dyDescent="0.25">
      <c r="A115" s="2">
        <f t="shared" si="26"/>
        <v>94</v>
      </c>
      <c r="B115" s="2">
        <f t="shared" si="27"/>
        <v>10</v>
      </c>
      <c r="C115" s="3">
        <v>5</v>
      </c>
      <c r="D115" s="5" t="str">
        <f t="shared" ca="1" si="35"/>
        <v>ô</v>
      </c>
      <c r="E115" s="6" t="str">
        <f t="shared" ca="1" si="28"/>
        <v>"ô": ("o", "5"),</v>
      </c>
      <c r="F115" s="1" t="str" cm="1">
        <f t="array" aca="1" ref="F115" ca="1" xml:space="preserve"> INDIRECT( ADDRESS( ROW($21:$21) + B115*9, COLUMN($D:$D)))</f>
        <v>o</v>
      </c>
      <c r="H115" s="3" t="str" cm="1">
        <f t="array" aca="1" ref="H115" ca="1" xml:space="preserve"> INDIRECT(K115)</f>
        <v>ô (U+00F4)</v>
      </c>
      <c r="I115" s="3">
        <f t="shared" si="36"/>
        <v>7</v>
      </c>
      <c r="J115" s="2" cm="1">
        <f t="array" ref="J115" xml:space="preserve"> ROW($5:$5) + B115</f>
        <v>15</v>
      </c>
      <c r="K115" s="3" t="str">
        <f t="shared" si="37"/>
        <v>G15</v>
      </c>
    </row>
    <row r="116" spans="1:11" x14ac:dyDescent="0.25">
      <c r="A116" s="2">
        <f t="shared" si="26"/>
        <v>95</v>
      </c>
      <c r="B116" s="2">
        <f t="shared" si="27"/>
        <v>10</v>
      </c>
      <c r="C116" s="3">
        <v>6</v>
      </c>
      <c r="D116" s="5" t="str">
        <f t="shared" ca="1" si="35"/>
        <v>ǒ</v>
      </c>
      <c r="E116" s="6" t="str">
        <f t="shared" ca="1" si="28"/>
        <v>"ǒ": ("o", "6"),</v>
      </c>
      <c r="F116" s="1" t="str" cm="1">
        <f t="array" aca="1" ref="F116" ca="1" xml:space="preserve"> INDIRECT( ADDRESS( ROW($21:$21) + B116*9, COLUMN($D:$D)))</f>
        <v>o</v>
      </c>
      <c r="H116" s="3" t="str" cm="1">
        <f t="array" aca="1" ref="H116" ca="1" xml:space="preserve"> INDIRECT(K116)</f>
        <v>ǒ (U+01D2)</v>
      </c>
      <c r="I116" s="3">
        <f t="shared" si="36"/>
        <v>8</v>
      </c>
      <c r="J116" s="2" cm="1">
        <f t="array" ref="J116" xml:space="preserve"> ROW($5:$5) + B116</f>
        <v>15</v>
      </c>
      <c r="K116" s="3" t="str">
        <f t="shared" si="37"/>
        <v>H15</v>
      </c>
    </row>
    <row r="117" spans="1:11" x14ac:dyDescent="0.25">
      <c r="A117" s="2">
        <f t="shared" si="26"/>
        <v>96</v>
      </c>
      <c r="B117" s="2">
        <f t="shared" si="27"/>
        <v>10</v>
      </c>
      <c r="C117" s="3">
        <v>7</v>
      </c>
      <c r="D117" s="5" t="str">
        <f t="shared" ca="1" si="35"/>
        <v>ō</v>
      </c>
      <c r="E117" s="6" t="str">
        <f t="shared" ca="1" si="28"/>
        <v>"ō": ("o", "7"),</v>
      </c>
      <c r="F117" s="1" t="str" cm="1">
        <f t="array" aca="1" ref="F117" ca="1" xml:space="preserve"> INDIRECT( ADDRESS( ROW($21:$21) + B117*9, COLUMN($D:$D)))</f>
        <v>o</v>
      </c>
      <c r="H117" s="3" t="str" cm="1">
        <f t="array" aca="1" ref="H117" ca="1" xml:space="preserve"> INDIRECT(K117)</f>
        <v>ō (U+014D)</v>
      </c>
      <c r="I117" s="3">
        <f t="shared" si="36"/>
        <v>9</v>
      </c>
      <c r="J117" s="2" cm="1">
        <f t="array" ref="J117" xml:space="preserve"> ROW($5:$5) + B117</f>
        <v>15</v>
      </c>
      <c r="K117" s="3" t="str">
        <f t="shared" si="37"/>
        <v>I15</v>
      </c>
    </row>
    <row r="118" spans="1:11" x14ac:dyDescent="0.25">
      <c r="A118" s="2">
        <f t="shared" si="26"/>
        <v>97</v>
      </c>
      <c r="B118" s="2">
        <f t="shared" si="27"/>
        <v>10</v>
      </c>
      <c r="C118" s="3">
        <v>8</v>
      </c>
      <c r="D118" s="5" t="str">
        <f ca="1" xml:space="preserve"> LEFT(H118,2)</f>
        <v>o̍</v>
      </c>
      <c r="E118" s="6" t="str">
        <f t="shared" ca="1" si="28"/>
        <v>"o̍": ("o", "8"),</v>
      </c>
      <c r="F118" s="1" t="str" cm="1">
        <f t="array" aca="1" ref="F118" ca="1" xml:space="preserve"> INDIRECT( ADDRESS( ROW($21:$21) + B118*9, COLUMN($D:$D)))</f>
        <v>o</v>
      </c>
      <c r="H118" s="3" t="str" cm="1">
        <f t="array" aca="1" ref="H118" ca="1" xml:space="preserve"> INDIRECT(K118)</f>
        <v>o̍h (U+006F U+030D)</v>
      </c>
      <c r="I118" s="3">
        <f t="shared" si="36"/>
        <v>10</v>
      </c>
      <c r="J118" s="2" cm="1">
        <f t="array" ref="J118" xml:space="preserve"> ROW($5:$5) + B118</f>
        <v>15</v>
      </c>
      <c r="K118" s="3" t="str">
        <f t="shared" si="37"/>
        <v>J15</v>
      </c>
    </row>
    <row r="119" spans="1:11" x14ac:dyDescent="0.25">
      <c r="A119" s="2">
        <f t="shared" si="26"/>
        <v>98</v>
      </c>
      <c r="B119" s="2">
        <f t="shared" si="27"/>
        <v>10</v>
      </c>
      <c r="C119" s="3">
        <v>9</v>
      </c>
      <c r="D119" s="5" t="str">
        <f ca="1" xml:space="preserve"> LEFT(H119,2)</f>
        <v xml:space="preserve">ő </v>
      </c>
      <c r="E119" s="6" t="str">
        <f t="shared" ca="1" si="28"/>
        <v>"ő ": ("o", "9"),</v>
      </c>
      <c r="F119" s="1" t="str" cm="1">
        <f t="array" aca="1" ref="F119" ca="1" xml:space="preserve"> INDIRECT( ADDRESS( ROW($21:$21) + B119*9, COLUMN($D:$D)))</f>
        <v>o</v>
      </c>
      <c r="H119" s="3" t="str" cm="1">
        <f t="array" aca="1" ref="H119" ca="1" xml:space="preserve"> INDIRECT(K119)</f>
        <v>ő (U+0151)</v>
      </c>
      <c r="I119" s="3">
        <f t="shared" si="36"/>
        <v>11</v>
      </c>
      <c r="J119" s="2" cm="1">
        <f t="array" ref="J119" xml:space="preserve"> ROW($5:$5) + B119</f>
        <v>15</v>
      </c>
      <c r="K119" s="3" t="str">
        <f t="shared" si="37"/>
        <v>K15</v>
      </c>
    </row>
    <row r="120" spans="1:11" x14ac:dyDescent="0.25">
      <c r="A120" s="2">
        <f t="shared" si="26"/>
        <v>99</v>
      </c>
      <c r="B120" s="2">
        <f t="shared" si="27"/>
        <v>11</v>
      </c>
      <c r="C120" s="2">
        <v>1</v>
      </c>
      <c r="D120" s="4" t="str">
        <f t="shared" ref="D120:D126" ca="1" si="38" xml:space="preserve"> LEFT(H120)</f>
        <v>u</v>
      </c>
      <c r="E120" s="6" t="str">
        <f t="shared" ca="1" si="28"/>
        <v>"u": ("u", "1"),</v>
      </c>
      <c r="F120" s="1" t="str" cm="1">
        <f t="array" aca="1" ref="F120" ca="1" xml:space="preserve"> INDIRECT( ADDRESS( ROW($21:$21) + B120*9, COLUMN($D:$D)))</f>
        <v>u</v>
      </c>
      <c r="H120" s="2" t="str" cm="1">
        <f t="array" aca="1" ref="H120" ca="1" xml:space="preserve"> INDIRECT(K120)</f>
        <v>u</v>
      </c>
      <c r="I120" s="2" cm="1">
        <f t="array" ref="I120" xml:space="preserve"> COLUMN($C:$C)</f>
        <v>3</v>
      </c>
      <c r="J120" s="2" cm="1">
        <f t="array" ref="J120" xml:space="preserve"> ROW($5:$5) + B120</f>
        <v>16</v>
      </c>
      <c r="K120" s="2" t="str">
        <f xml:space="preserve"> ADDRESS(J120, I120,4)</f>
        <v>C16</v>
      </c>
    </row>
    <row r="121" spans="1:11" x14ac:dyDescent="0.25">
      <c r="A121" s="2">
        <f t="shared" si="26"/>
        <v>100</v>
      </c>
      <c r="B121" s="2">
        <f t="shared" si="27"/>
        <v>11</v>
      </c>
      <c r="C121" s="2">
        <v>2</v>
      </c>
      <c r="D121" s="4" t="str">
        <f t="shared" ca="1" si="38"/>
        <v>ú</v>
      </c>
      <c r="E121" s="6" t="str">
        <f t="shared" ca="1" si="28"/>
        <v>"ú": ("u", "2"),</v>
      </c>
      <c r="F121" s="1" t="str" cm="1">
        <f t="array" aca="1" ref="F121" ca="1" xml:space="preserve"> INDIRECT( ADDRESS( ROW($21:$21) + B121*9, COLUMN($D:$D)))</f>
        <v>u</v>
      </c>
      <c r="H121" s="2" t="str" cm="1">
        <f t="array" aca="1" ref="H121" ca="1" xml:space="preserve"> INDIRECT(K121)</f>
        <v>ú (U+00FA)</v>
      </c>
      <c r="I121" s="2">
        <f t="shared" ref="I121:I128" si="39">C121 - 1 +$I$21</f>
        <v>4</v>
      </c>
      <c r="J121" s="2" cm="1">
        <f t="array" ref="J121" xml:space="preserve"> ROW($5:$5) + B121</f>
        <v>16</v>
      </c>
      <c r="K121" s="2" t="str">
        <f t="shared" ref="K121:K128" si="40" xml:space="preserve"> ADDRESS(J121, I121,4)</f>
        <v>D16</v>
      </c>
    </row>
    <row r="122" spans="1:11" x14ac:dyDescent="0.25">
      <c r="A122" s="2">
        <f t="shared" si="26"/>
        <v>101</v>
      </c>
      <c r="B122" s="2">
        <f t="shared" si="27"/>
        <v>11</v>
      </c>
      <c r="C122" s="2">
        <v>3</v>
      </c>
      <c r="D122" s="4" t="str">
        <f t="shared" ca="1" si="38"/>
        <v>ù</v>
      </c>
      <c r="E122" s="6" t="str">
        <f t="shared" ca="1" si="28"/>
        <v>"ù": ("u", "3"),</v>
      </c>
      <c r="F122" s="1" t="str" cm="1">
        <f t="array" aca="1" ref="F122" ca="1" xml:space="preserve"> INDIRECT( ADDRESS( ROW($21:$21) + B122*9, COLUMN($D:$D)))</f>
        <v>u</v>
      </c>
      <c r="H122" s="2" t="str" cm="1">
        <f t="array" aca="1" ref="H122" ca="1" xml:space="preserve"> INDIRECT(K122)</f>
        <v>ù (U+00F9)</v>
      </c>
      <c r="I122" s="2">
        <f t="shared" si="39"/>
        <v>5</v>
      </c>
      <c r="J122" s="2" cm="1">
        <f t="array" ref="J122" xml:space="preserve"> ROW($5:$5) + B122</f>
        <v>16</v>
      </c>
      <c r="K122" s="2" t="str">
        <f t="shared" si="40"/>
        <v>E16</v>
      </c>
    </row>
    <row r="123" spans="1:11" x14ac:dyDescent="0.25">
      <c r="A123" s="2">
        <f t="shared" si="26"/>
        <v>102</v>
      </c>
      <c r="B123" s="2">
        <f t="shared" si="27"/>
        <v>11</v>
      </c>
      <c r="C123" s="2">
        <v>4</v>
      </c>
      <c r="D123" s="4" t="str">
        <f t="shared" ca="1" si="38"/>
        <v>u</v>
      </c>
      <c r="E123" s="6" t="str">
        <f t="shared" ca="1" si="28"/>
        <v>"u": ("u", "4"),</v>
      </c>
      <c r="F123" s="1" t="str" cm="1">
        <f t="array" aca="1" ref="F123" ca="1" xml:space="preserve"> INDIRECT( ADDRESS( ROW($21:$21) + B123*9, COLUMN($D:$D)))</f>
        <v>u</v>
      </c>
      <c r="H123" s="2" t="str" cm="1">
        <f t="array" aca="1" ref="H123" ca="1" xml:space="preserve"> INDIRECT(K123)</f>
        <v>uh</v>
      </c>
      <c r="I123" s="2">
        <f t="shared" si="39"/>
        <v>6</v>
      </c>
      <c r="J123" s="2" cm="1">
        <f t="array" ref="J123" xml:space="preserve"> ROW($5:$5) + B123</f>
        <v>16</v>
      </c>
      <c r="K123" s="2" t="str">
        <f t="shared" si="40"/>
        <v>F16</v>
      </c>
    </row>
    <row r="124" spans="1:11" x14ac:dyDescent="0.25">
      <c r="A124" s="2">
        <f t="shared" si="26"/>
        <v>103</v>
      </c>
      <c r="B124" s="2">
        <f t="shared" si="27"/>
        <v>11</v>
      </c>
      <c r="C124" s="2">
        <v>5</v>
      </c>
      <c r="D124" s="4" t="str">
        <f t="shared" ca="1" si="38"/>
        <v>û</v>
      </c>
      <c r="E124" s="6" t="str">
        <f t="shared" ca="1" si="28"/>
        <v>"û": ("u", "5"),</v>
      </c>
      <c r="F124" s="1" t="str" cm="1">
        <f t="array" aca="1" ref="F124" ca="1" xml:space="preserve"> INDIRECT( ADDRESS( ROW($21:$21) + B124*9, COLUMN($D:$D)))</f>
        <v>u</v>
      </c>
      <c r="H124" s="2" t="str" cm="1">
        <f t="array" aca="1" ref="H124" ca="1" xml:space="preserve"> INDIRECT(K124)</f>
        <v>û (U+00FB)</v>
      </c>
      <c r="I124" s="2">
        <f t="shared" si="39"/>
        <v>7</v>
      </c>
      <c r="J124" s="2" cm="1">
        <f t="array" ref="J124" xml:space="preserve"> ROW($5:$5) + B124</f>
        <v>16</v>
      </c>
      <c r="K124" s="2" t="str">
        <f t="shared" si="40"/>
        <v>G16</v>
      </c>
    </row>
    <row r="125" spans="1:11" x14ac:dyDescent="0.25">
      <c r="A125" s="2">
        <f t="shared" si="26"/>
        <v>104</v>
      </c>
      <c r="B125" s="2">
        <f t="shared" si="27"/>
        <v>11</v>
      </c>
      <c r="C125" s="2">
        <v>6</v>
      </c>
      <c r="D125" s="4" t="str">
        <f t="shared" ca="1" si="38"/>
        <v>ǔ</v>
      </c>
      <c r="E125" s="6" t="str">
        <f t="shared" ca="1" si="28"/>
        <v>"ǔ": ("u", "6"),</v>
      </c>
      <c r="F125" s="1" t="str" cm="1">
        <f t="array" aca="1" ref="F125" ca="1" xml:space="preserve"> INDIRECT( ADDRESS( ROW($21:$21) + B125*9, COLUMN($D:$D)))</f>
        <v>u</v>
      </c>
      <c r="H125" s="2" t="str" cm="1">
        <f t="array" aca="1" ref="H125" ca="1" xml:space="preserve"> INDIRECT(K125)</f>
        <v>ǔ (U+01D4)</v>
      </c>
      <c r="I125" s="2">
        <f t="shared" si="39"/>
        <v>8</v>
      </c>
      <c r="J125" s="2" cm="1">
        <f t="array" ref="J125" xml:space="preserve"> ROW($5:$5) + B125</f>
        <v>16</v>
      </c>
      <c r="K125" s="2" t="str">
        <f t="shared" si="40"/>
        <v>H16</v>
      </c>
    </row>
    <row r="126" spans="1:11" x14ac:dyDescent="0.25">
      <c r="A126" s="2">
        <f t="shared" si="26"/>
        <v>105</v>
      </c>
      <c r="B126" s="2">
        <f t="shared" si="27"/>
        <v>11</v>
      </c>
      <c r="C126" s="2">
        <v>7</v>
      </c>
      <c r="D126" s="4" t="str">
        <f t="shared" ca="1" si="38"/>
        <v>ū</v>
      </c>
      <c r="E126" s="6" t="str">
        <f t="shared" ca="1" si="28"/>
        <v>"ū": ("u", "7"),</v>
      </c>
      <c r="F126" s="1" t="str" cm="1">
        <f t="array" aca="1" ref="F126" ca="1" xml:space="preserve"> INDIRECT( ADDRESS( ROW($21:$21) + B126*9, COLUMN($D:$D)))</f>
        <v>u</v>
      </c>
      <c r="H126" s="2" t="str" cm="1">
        <f t="array" aca="1" ref="H126" ca="1" xml:space="preserve"> INDIRECT(K126)</f>
        <v>ū (U+016B)</v>
      </c>
      <c r="I126" s="2">
        <f t="shared" si="39"/>
        <v>9</v>
      </c>
      <c r="J126" s="2" cm="1">
        <f t="array" ref="J126" xml:space="preserve"> ROW($5:$5) + B126</f>
        <v>16</v>
      </c>
      <c r="K126" s="2" t="str">
        <f t="shared" si="40"/>
        <v>I16</v>
      </c>
    </row>
    <row r="127" spans="1:11" x14ac:dyDescent="0.25">
      <c r="A127" s="2">
        <f t="shared" si="26"/>
        <v>106</v>
      </c>
      <c r="B127" s="2">
        <f t="shared" si="27"/>
        <v>11</v>
      </c>
      <c r="C127" s="2">
        <v>8</v>
      </c>
      <c r="D127" s="4" t="str">
        <f ca="1" xml:space="preserve"> LEFT(H127,2)</f>
        <v>u̍</v>
      </c>
      <c r="E127" s="6" t="str">
        <f t="shared" ca="1" si="28"/>
        <v>"u̍": ("u", "8"),</v>
      </c>
      <c r="F127" s="1" t="str" cm="1">
        <f t="array" aca="1" ref="F127" ca="1" xml:space="preserve"> INDIRECT( ADDRESS( ROW($21:$21) + B127*9, COLUMN($D:$D)))</f>
        <v>u</v>
      </c>
      <c r="H127" s="2" t="str" cm="1">
        <f t="array" aca="1" ref="H127" ca="1" xml:space="preserve"> INDIRECT(K127)</f>
        <v>u̍h (U+0075 U+030D)</v>
      </c>
      <c r="I127" s="2">
        <f t="shared" si="39"/>
        <v>10</v>
      </c>
      <c r="J127" s="2" cm="1">
        <f t="array" ref="J127" xml:space="preserve"> ROW($5:$5) + B127</f>
        <v>16</v>
      </c>
      <c r="K127" s="2" t="str">
        <f t="shared" si="40"/>
        <v>J16</v>
      </c>
    </row>
    <row r="128" spans="1:11" x14ac:dyDescent="0.25">
      <c r="A128" s="2">
        <f t="shared" si="26"/>
        <v>107</v>
      </c>
      <c r="B128" s="2">
        <f t="shared" si="27"/>
        <v>11</v>
      </c>
      <c r="C128" s="2">
        <v>9</v>
      </c>
      <c r="D128" s="4" t="str">
        <f ca="1" xml:space="preserve"> LEFT(H128,2)</f>
        <v xml:space="preserve">ű </v>
      </c>
      <c r="E128" s="6" t="str">
        <f t="shared" ca="1" si="28"/>
        <v>"ű ": ("u", "9"),</v>
      </c>
      <c r="F128" s="1" t="str" cm="1">
        <f t="array" aca="1" ref="F128" ca="1" xml:space="preserve"> INDIRECT( ADDRESS( ROW($21:$21) + B128*9, COLUMN($D:$D)))</f>
        <v>u</v>
      </c>
      <c r="H128" s="2" t="str" cm="1">
        <f t="array" aca="1" ref="H128" ca="1" xml:space="preserve"> INDIRECT(K128)</f>
        <v>ű (U+0171)</v>
      </c>
      <c r="I128" s="2">
        <f t="shared" si="39"/>
        <v>11</v>
      </c>
      <c r="J128" s="2" cm="1">
        <f t="array" ref="J128" xml:space="preserve"> ROW($5:$5) + B128</f>
        <v>16</v>
      </c>
      <c r="K128" s="2" t="str">
        <f t="shared" si="40"/>
        <v>K16</v>
      </c>
    </row>
    <row r="129" spans="1:11" x14ac:dyDescent="0.25">
      <c r="A129" s="2">
        <f t="shared" si="26"/>
        <v>108</v>
      </c>
      <c r="B129" s="2">
        <f t="shared" si="27"/>
        <v>12</v>
      </c>
      <c r="C129" s="3">
        <v>1</v>
      </c>
      <c r="D129" s="5" t="str">
        <f t="shared" ref="D129:D132" ca="1" si="41" xml:space="preserve"> LEFT(H129)</f>
        <v>m</v>
      </c>
      <c r="E129" s="6" t="str">
        <f t="shared" ca="1" si="28"/>
        <v>"m": ("m", "1"),</v>
      </c>
      <c r="F129" s="1" t="str" cm="1">
        <f t="array" aca="1" ref="F129" ca="1" xml:space="preserve"> INDIRECT( ADDRESS( ROW($21:$21) + B129*9, COLUMN($D:$D)))</f>
        <v>m</v>
      </c>
      <c r="H129" s="3" t="str" cm="1">
        <f t="array" aca="1" ref="H129" ca="1" xml:space="preserve"> INDIRECT(K129)</f>
        <v>m</v>
      </c>
      <c r="I129" s="3">
        <f t="shared" ref="I129:I137" si="42">I120</f>
        <v>3</v>
      </c>
      <c r="J129" s="2" cm="1">
        <f t="array" ref="J129" xml:space="preserve"> ROW($5:$5) + B129</f>
        <v>17</v>
      </c>
      <c r="K129" s="3" t="str">
        <f xml:space="preserve"> ADDRESS(J129, I129,4)</f>
        <v>C17</v>
      </c>
    </row>
    <row r="130" spans="1:11" x14ac:dyDescent="0.25">
      <c r="A130" s="2">
        <f t="shared" si="26"/>
        <v>109</v>
      </c>
      <c r="B130" s="2">
        <f t="shared" si="27"/>
        <v>12</v>
      </c>
      <c r="C130" s="3">
        <v>2</v>
      </c>
      <c r="D130" s="5" t="str">
        <f t="shared" ca="1" si="41"/>
        <v>ḿ</v>
      </c>
      <c r="E130" s="6" t="str">
        <f t="shared" ca="1" si="28"/>
        <v>"ḿ": ("m", "2"),</v>
      </c>
      <c r="F130" s="1" t="str" cm="1">
        <f t="array" aca="1" ref="F130" ca="1" xml:space="preserve"> INDIRECT( ADDRESS( ROW($21:$21) + B130*9, COLUMN($D:$D)))</f>
        <v>m</v>
      </c>
      <c r="H130" s="3" t="str" cm="1">
        <f t="array" aca="1" ref="H130" ca="1" xml:space="preserve"> INDIRECT(K130)</f>
        <v>ḿ (U+1E3F)</v>
      </c>
      <c r="I130" s="3">
        <f t="shared" si="42"/>
        <v>4</v>
      </c>
      <c r="J130" s="2" cm="1">
        <f t="array" ref="J130" xml:space="preserve"> ROW($5:$5) + B130</f>
        <v>17</v>
      </c>
      <c r="K130" s="3" t="str">
        <f t="shared" ref="K130:K137" si="43" xml:space="preserve"> ADDRESS(J130, I130,4)</f>
        <v>D17</v>
      </c>
    </row>
    <row r="131" spans="1:11" x14ac:dyDescent="0.25">
      <c r="A131" s="2">
        <f t="shared" si="26"/>
        <v>110</v>
      </c>
      <c r="B131" s="2">
        <f t="shared" si="27"/>
        <v>12</v>
      </c>
      <c r="C131" s="3">
        <v>3</v>
      </c>
      <c r="D131" s="5" t="str">
        <f ca="1" xml:space="preserve"> LEFT(H131,2)</f>
        <v>m̀</v>
      </c>
      <c r="E131" s="6" t="str">
        <f t="shared" ca="1" si="28"/>
        <v>"m̀": ("m", "3"),</v>
      </c>
      <c r="F131" s="1" t="str" cm="1">
        <f t="array" aca="1" ref="F131" ca="1" xml:space="preserve"> INDIRECT( ADDRESS( ROW($21:$21) + B131*9, COLUMN($D:$D)))</f>
        <v>m</v>
      </c>
      <c r="H131" s="3" t="str" cm="1">
        <f t="array" aca="1" ref="H131" ca="1" xml:space="preserve"> INDIRECT(K131)</f>
        <v>m̀ (U+006D U+0300)</v>
      </c>
      <c r="I131" s="3">
        <f t="shared" si="42"/>
        <v>5</v>
      </c>
      <c r="J131" s="2" cm="1">
        <f t="array" ref="J131" xml:space="preserve"> ROW($5:$5) + B131</f>
        <v>17</v>
      </c>
      <c r="K131" s="3" t="str">
        <f t="shared" si="43"/>
        <v>E17</v>
      </c>
    </row>
    <row r="132" spans="1:11" x14ac:dyDescent="0.25">
      <c r="A132" s="2">
        <f t="shared" si="26"/>
        <v>111</v>
      </c>
      <c r="B132" s="2">
        <f t="shared" si="27"/>
        <v>12</v>
      </c>
      <c r="C132" s="3">
        <v>4</v>
      </c>
      <c r="D132" s="5" t="str">
        <f t="shared" ca="1" si="41"/>
        <v>m</v>
      </c>
      <c r="E132" s="6" t="str">
        <f t="shared" ca="1" si="28"/>
        <v>"m": ("m", "4"),</v>
      </c>
      <c r="F132" s="1" t="str" cm="1">
        <f t="array" aca="1" ref="F132" ca="1" xml:space="preserve"> INDIRECT( ADDRESS( ROW($21:$21) + B132*9, COLUMN($D:$D)))</f>
        <v>m</v>
      </c>
      <c r="H132" s="3" t="str" cm="1">
        <f t="array" aca="1" ref="H132" ca="1" xml:space="preserve"> INDIRECT(K132)</f>
        <v>mh</v>
      </c>
      <c r="I132" s="3">
        <f t="shared" si="42"/>
        <v>6</v>
      </c>
      <c r="J132" s="2" cm="1">
        <f t="array" ref="J132" xml:space="preserve"> ROW($5:$5) + B132</f>
        <v>17</v>
      </c>
      <c r="K132" s="3" t="str">
        <f t="shared" si="43"/>
        <v>F17</v>
      </c>
    </row>
    <row r="133" spans="1:11" x14ac:dyDescent="0.25">
      <c r="A133" s="2">
        <f t="shared" si="26"/>
        <v>112</v>
      </c>
      <c r="B133" s="2">
        <f t="shared" si="27"/>
        <v>12</v>
      </c>
      <c r="C133" s="3">
        <v>5</v>
      </c>
      <c r="D133" s="5" t="str">
        <f ca="1" xml:space="preserve"> LEFT(H133,2)</f>
        <v>m̂</v>
      </c>
      <c r="E133" s="6" t="str">
        <f t="shared" ca="1" si="28"/>
        <v>"m̂": ("m", "5"),</v>
      </c>
      <c r="F133" s="1" t="str" cm="1">
        <f t="array" aca="1" ref="F133" ca="1" xml:space="preserve"> INDIRECT( ADDRESS( ROW($21:$21) + B133*9, COLUMN($D:$D)))</f>
        <v>m</v>
      </c>
      <c r="H133" s="3" t="str" cm="1">
        <f t="array" aca="1" ref="H133" ca="1" xml:space="preserve"> INDIRECT(K133)</f>
        <v>m̂ (U+006D U+0302)</v>
      </c>
      <c r="I133" s="3">
        <f t="shared" si="42"/>
        <v>7</v>
      </c>
      <c r="J133" s="2" cm="1">
        <f t="array" ref="J133" xml:space="preserve"> ROW($5:$5) + B133</f>
        <v>17</v>
      </c>
      <c r="K133" s="3" t="str">
        <f t="shared" si="43"/>
        <v>G17</v>
      </c>
    </row>
    <row r="134" spans="1:11" x14ac:dyDescent="0.25">
      <c r="A134" s="2">
        <f t="shared" si="26"/>
        <v>113</v>
      </c>
      <c r="B134" s="2">
        <f t="shared" si="27"/>
        <v>12</v>
      </c>
      <c r="C134" s="3">
        <v>6</v>
      </c>
      <c r="D134" s="5" t="str">
        <f ca="1" xml:space="preserve"> LEFT(H134,2)</f>
        <v>m̌</v>
      </c>
      <c r="E134" s="6" t="str">
        <f t="shared" ca="1" si="28"/>
        <v>"m̌": ("m", "6"),</v>
      </c>
      <c r="F134" s="1" t="str" cm="1">
        <f t="array" aca="1" ref="F134" ca="1" xml:space="preserve"> INDIRECT( ADDRESS( ROW($21:$21) + B134*9, COLUMN($D:$D)))</f>
        <v>m</v>
      </c>
      <c r="H134" s="3" t="str" cm="1">
        <f t="array" aca="1" ref="H134" ca="1" xml:space="preserve"> INDIRECT(K134)</f>
        <v>m̌ (U+006D U+030C)</v>
      </c>
      <c r="I134" s="3">
        <f t="shared" si="42"/>
        <v>8</v>
      </c>
      <c r="J134" s="2" cm="1">
        <f t="array" ref="J134" xml:space="preserve"> ROW($5:$5) + B134</f>
        <v>17</v>
      </c>
      <c r="K134" s="3" t="str">
        <f t="shared" si="43"/>
        <v>H17</v>
      </c>
    </row>
    <row r="135" spans="1:11" x14ac:dyDescent="0.25">
      <c r="A135" s="2">
        <f t="shared" si="26"/>
        <v>114</v>
      </c>
      <c r="B135" s="2">
        <f t="shared" si="27"/>
        <v>12</v>
      </c>
      <c r="C135" s="3">
        <v>7</v>
      </c>
      <c r="D135" s="5" t="str">
        <f ca="1" xml:space="preserve"> LEFT(H135,2)</f>
        <v>m̄</v>
      </c>
      <c r="E135" s="6" t="str">
        <f t="shared" ca="1" si="28"/>
        <v>"m̄": ("m", "7"),</v>
      </c>
      <c r="F135" s="1" t="str" cm="1">
        <f t="array" aca="1" ref="F135" ca="1" xml:space="preserve"> INDIRECT( ADDRESS( ROW($21:$21) + B135*9, COLUMN($D:$D)))</f>
        <v>m</v>
      </c>
      <c r="H135" s="3" t="str" cm="1">
        <f t="array" aca="1" ref="H135" ca="1" xml:space="preserve"> INDIRECT(K135)</f>
        <v>m̄ (U+006D U+0304)</v>
      </c>
      <c r="I135" s="3">
        <f t="shared" si="42"/>
        <v>9</v>
      </c>
      <c r="J135" s="2" cm="1">
        <f t="array" ref="J135" xml:space="preserve"> ROW($5:$5) + B135</f>
        <v>17</v>
      </c>
      <c r="K135" s="3" t="str">
        <f t="shared" si="43"/>
        <v>I17</v>
      </c>
    </row>
    <row r="136" spans="1:11" x14ac:dyDescent="0.25">
      <c r="A136" s="2">
        <f t="shared" si="26"/>
        <v>115</v>
      </c>
      <c r="B136" s="2">
        <f t="shared" si="27"/>
        <v>12</v>
      </c>
      <c r="C136" s="3">
        <v>8</v>
      </c>
      <c r="D136" s="5" t="str">
        <f ca="1" xml:space="preserve"> LEFT(H136,2)</f>
        <v>m̍</v>
      </c>
      <c r="E136" s="6" t="str">
        <f t="shared" ca="1" si="28"/>
        <v>"m̍": ("m", "8"),</v>
      </c>
      <c r="F136" s="1" t="str" cm="1">
        <f t="array" aca="1" ref="F136" ca="1" xml:space="preserve"> INDIRECT( ADDRESS( ROW($21:$21) + B136*9, COLUMN($D:$D)))</f>
        <v>m</v>
      </c>
      <c r="H136" s="3" t="str" cm="1">
        <f t="array" aca="1" ref="H136" ca="1" xml:space="preserve"> INDIRECT(K136)</f>
        <v>m̍h (U+006D U+030D)</v>
      </c>
      <c r="I136" s="3">
        <f t="shared" si="42"/>
        <v>10</v>
      </c>
      <c r="J136" s="2" cm="1">
        <f t="array" ref="J136" xml:space="preserve"> ROW($5:$5) + B136</f>
        <v>17</v>
      </c>
      <c r="K136" s="3" t="str">
        <f t="shared" si="43"/>
        <v>J17</v>
      </c>
    </row>
    <row r="137" spans="1:11" x14ac:dyDescent="0.25">
      <c r="A137" s="2">
        <f t="shared" si="26"/>
        <v>116</v>
      </c>
      <c r="B137" s="2">
        <f t="shared" si="27"/>
        <v>12</v>
      </c>
      <c r="C137" s="3">
        <v>9</v>
      </c>
      <c r="D137" s="5" t="str">
        <f ca="1" xml:space="preserve"> LEFT(H137,2)</f>
        <v>m̋</v>
      </c>
      <c r="E137" s="6" t="str">
        <f t="shared" ca="1" si="28"/>
        <v>"m̋": ("m", "9"),</v>
      </c>
      <c r="F137" s="1" t="str" cm="1">
        <f t="array" aca="1" ref="F137" ca="1" xml:space="preserve"> INDIRECT( ADDRESS( ROW($21:$21) + B137*9, COLUMN($D:$D)))</f>
        <v>m</v>
      </c>
      <c r="H137" s="3" t="str" cm="1">
        <f t="array" aca="1" ref="H137" ca="1" xml:space="preserve"> INDIRECT(K137)</f>
        <v>m̋ (U+006D U+030B)</v>
      </c>
      <c r="I137" s="3">
        <f t="shared" si="42"/>
        <v>11</v>
      </c>
      <c r="J137" s="2" cm="1">
        <f t="array" ref="J137" xml:space="preserve"> ROW($5:$5) + B137</f>
        <v>17</v>
      </c>
      <c r="K137" s="3" t="str">
        <f t="shared" si="43"/>
        <v>K17</v>
      </c>
    </row>
    <row r="138" spans="1:11" x14ac:dyDescent="0.25">
      <c r="A138" s="2">
        <f t="shared" si="26"/>
        <v>117</v>
      </c>
      <c r="B138" s="2">
        <f t="shared" si="27"/>
        <v>13</v>
      </c>
      <c r="C138" s="2">
        <v>1</v>
      </c>
      <c r="D138" s="4" t="str">
        <f t="shared" ref="D138:D143" ca="1" si="44" xml:space="preserve"> LEFT(H138)</f>
        <v>n</v>
      </c>
      <c r="E138" s="6" t="str">
        <f t="shared" ca="1" si="28"/>
        <v>"n": ("n", "1"),</v>
      </c>
      <c r="F138" s="1" t="str" cm="1">
        <f t="array" aca="1" ref="F138" ca="1" xml:space="preserve"> INDIRECT( ADDRESS( ROW($21:$21) + B138*9, COLUMN($D:$D)))</f>
        <v>n</v>
      </c>
      <c r="H138" s="2" t="str" cm="1">
        <f t="array" aca="1" ref="H138" ca="1" xml:space="preserve"> INDIRECT(K138)</f>
        <v>n</v>
      </c>
      <c r="I138" s="2" cm="1">
        <f t="array" ref="I138" xml:space="preserve"> COLUMN($C:$C)</f>
        <v>3</v>
      </c>
      <c r="J138" s="2" cm="1">
        <f t="array" ref="J138" xml:space="preserve"> ROW($5:$5) + B138</f>
        <v>18</v>
      </c>
      <c r="K138" s="2" t="str">
        <f xml:space="preserve"> ADDRESS(J138, I138,4)</f>
        <v>C18</v>
      </c>
    </row>
    <row r="139" spans="1:11" x14ac:dyDescent="0.25">
      <c r="A139" s="2">
        <f t="shared" si="26"/>
        <v>118</v>
      </c>
      <c r="B139" s="2">
        <f t="shared" si="27"/>
        <v>13</v>
      </c>
      <c r="C139" s="2">
        <v>2</v>
      </c>
      <c r="D139" s="4" t="str">
        <f t="shared" ca="1" si="44"/>
        <v>ń</v>
      </c>
      <c r="E139" s="6" t="str">
        <f t="shared" ca="1" si="28"/>
        <v>"ń": ("n", "2"),</v>
      </c>
      <c r="F139" s="1" t="str" cm="1">
        <f t="array" aca="1" ref="F139" ca="1" xml:space="preserve"> INDIRECT( ADDRESS( ROW($21:$21) + B139*9, COLUMN($D:$D)))</f>
        <v>n</v>
      </c>
      <c r="H139" s="2" t="str" cm="1">
        <f t="array" aca="1" ref="H139" ca="1" xml:space="preserve"> INDIRECT(K139)</f>
        <v>ń (U+0144)</v>
      </c>
      <c r="I139" s="2">
        <f t="shared" ref="I139:I146" si="45">C139 - 1 +$I$21</f>
        <v>4</v>
      </c>
      <c r="J139" s="2" cm="1">
        <f t="array" ref="J139" xml:space="preserve"> ROW($5:$5) + B139</f>
        <v>18</v>
      </c>
      <c r="K139" s="2" t="str">
        <f t="shared" ref="K139:K146" si="46" xml:space="preserve"> ADDRESS(J139, I139,4)</f>
        <v>D18</v>
      </c>
    </row>
    <row r="140" spans="1:11" x14ac:dyDescent="0.25">
      <c r="A140" s="2">
        <f t="shared" si="26"/>
        <v>119</v>
      </c>
      <c r="B140" s="2">
        <f t="shared" si="27"/>
        <v>13</v>
      </c>
      <c r="C140" s="2">
        <v>3</v>
      </c>
      <c r="D140" s="4" t="str">
        <f t="shared" ca="1" si="44"/>
        <v>ǹ</v>
      </c>
      <c r="E140" s="6" t="str">
        <f t="shared" ca="1" si="28"/>
        <v>"ǹ": ("n", "3"),</v>
      </c>
      <c r="F140" s="1" t="str" cm="1">
        <f t="array" aca="1" ref="F140" ca="1" xml:space="preserve"> INDIRECT( ADDRESS( ROW($21:$21) + B140*9, COLUMN($D:$D)))</f>
        <v>n</v>
      </c>
      <c r="H140" s="2" t="str" cm="1">
        <f t="array" aca="1" ref="H140" ca="1" xml:space="preserve"> INDIRECT(K140)</f>
        <v>ǹ (U+01F9)</v>
      </c>
      <c r="I140" s="2">
        <f t="shared" si="45"/>
        <v>5</v>
      </c>
      <c r="J140" s="2" cm="1">
        <f t="array" ref="J140" xml:space="preserve"> ROW($5:$5) + B140</f>
        <v>18</v>
      </c>
      <c r="K140" s="2" t="str">
        <f t="shared" si="46"/>
        <v>E18</v>
      </c>
    </row>
    <row r="141" spans="1:11" x14ac:dyDescent="0.25">
      <c r="A141" s="2">
        <f t="shared" si="26"/>
        <v>120</v>
      </c>
      <c r="B141" s="2">
        <f t="shared" si="27"/>
        <v>13</v>
      </c>
      <c r="C141" s="2">
        <v>4</v>
      </c>
      <c r="D141" s="4" t="str">
        <f t="shared" ca="1" si="44"/>
        <v>n</v>
      </c>
      <c r="E141" s="6" t="str">
        <f t="shared" ca="1" si="28"/>
        <v>"n": ("n", "4"),</v>
      </c>
      <c r="F141" s="1" t="str" cm="1">
        <f t="array" aca="1" ref="F141" ca="1" xml:space="preserve"> INDIRECT( ADDRESS( ROW($21:$21) + B141*9, COLUMN($D:$D)))</f>
        <v>n</v>
      </c>
      <c r="H141" s="2" t="str" cm="1">
        <f t="array" aca="1" ref="H141" ca="1" xml:space="preserve"> INDIRECT(K141)</f>
        <v>nh</v>
      </c>
      <c r="I141" s="2">
        <f t="shared" si="45"/>
        <v>6</v>
      </c>
      <c r="J141" s="2" cm="1">
        <f t="array" ref="J141" xml:space="preserve"> ROW($5:$5) + B141</f>
        <v>18</v>
      </c>
      <c r="K141" s="2" t="str">
        <f t="shared" si="46"/>
        <v>F18</v>
      </c>
    </row>
    <row r="142" spans="1:11" x14ac:dyDescent="0.25">
      <c r="A142" s="2">
        <f t="shared" si="26"/>
        <v>121</v>
      </c>
      <c r="B142" s="2">
        <f t="shared" si="27"/>
        <v>13</v>
      </c>
      <c r="C142" s="2">
        <v>5</v>
      </c>
      <c r="D142" s="4" t="str">
        <f ca="1" xml:space="preserve"> LEFT(H142,2)</f>
        <v>n̂</v>
      </c>
      <c r="E142" s="6" t="str">
        <f t="shared" ca="1" si="28"/>
        <v>"n̂": ("n", "5"),</v>
      </c>
      <c r="F142" s="1" t="str" cm="1">
        <f t="array" aca="1" ref="F142" ca="1" xml:space="preserve"> INDIRECT( ADDRESS( ROW($21:$21) + B142*9, COLUMN($D:$D)))</f>
        <v>n</v>
      </c>
      <c r="H142" s="2" t="str" cm="1">
        <f t="array" aca="1" ref="H142" ca="1" xml:space="preserve"> INDIRECT(K142)</f>
        <v>n̂ (U+006E U+0302)</v>
      </c>
      <c r="I142" s="2">
        <f t="shared" si="45"/>
        <v>7</v>
      </c>
      <c r="J142" s="2" cm="1">
        <f t="array" ref="J142" xml:space="preserve"> ROW($5:$5) + B142</f>
        <v>18</v>
      </c>
      <c r="K142" s="2" t="str">
        <f t="shared" si="46"/>
        <v>G18</v>
      </c>
    </row>
    <row r="143" spans="1:11" x14ac:dyDescent="0.25">
      <c r="A143" s="2">
        <f t="shared" si="26"/>
        <v>122</v>
      </c>
      <c r="B143" s="2">
        <f t="shared" si="27"/>
        <v>13</v>
      </c>
      <c r="C143" s="2">
        <v>6</v>
      </c>
      <c r="D143" s="4" t="str">
        <f t="shared" ca="1" si="44"/>
        <v>ň</v>
      </c>
      <c r="E143" s="6" t="str">
        <f t="shared" ca="1" si="28"/>
        <v>"ň": ("n", "6"),</v>
      </c>
      <c r="F143" s="1" t="str" cm="1">
        <f t="array" aca="1" ref="F143" ca="1" xml:space="preserve"> INDIRECT( ADDRESS( ROW($21:$21) + B143*9, COLUMN($D:$D)))</f>
        <v>n</v>
      </c>
      <c r="H143" s="2" t="str" cm="1">
        <f t="array" aca="1" ref="H143" ca="1" xml:space="preserve"> INDIRECT(K143)</f>
        <v>ň (U+0148)</v>
      </c>
      <c r="I143" s="2">
        <f t="shared" si="45"/>
        <v>8</v>
      </c>
      <c r="J143" s="2" cm="1">
        <f t="array" ref="J143" xml:space="preserve"> ROW($5:$5) + B143</f>
        <v>18</v>
      </c>
      <c r="K143" s="2" t="str">
        <f t="shared" si="46"/>
        <v>H18</v>
      </c>
    </row>
    <row r="144" spans="1:11" x14ac:dyDescent="0.25">
      <c r="A144" s="2">
        <f t="shared" si="26"/>
        <v>123</v>
      </c>
      <c r="B144" s="2">
        <f t="shared" si="27"/>
        <v>13</v>
      </c>
      <c r="C144" s="2">
        <v>7</v>
      </c>
      <c r="D144" s="4" t="str">
        <f ca="1" xml:space="preserve"> LEFT(H144,2)</f>
        <v>n̄</v>
      </c>
      <c r="E144" s="6" t="str">
        <f t="shared" ca="1" si="28"/>
        <v>"n̄": ("n", "7"),</v>
      </c>
      <c r="F144" s="1" t="str" cm="1">
        <f t="array" aca="1" ref="F144" ca="1" xml:space="preserve"> INDIRECT( ADDRESS( ROW($21:$21) + B144*9, COLUMN($D:$D)))</f>
        <v>n</v>
      </c>
      <c r="H144" s="2" t="str" cm="1">
        <f t="array" aca="1" ref="H144" ca="1" xml:space="preserve"> INDIRECT(K144)</f>
        <v>n̄ (U+006E U+0304)</v>
      </c>
      <c r="I144" s="2">
        <f t="shared" si="45"/>
        <v>9</v>
      </c>
      <c r="J144" s="2" cm="1">
        <f t="array" ref="J144" xml:space="preserve"> ROW($5:$5) + B144</f>
        <v>18</v>
      </c>
      <c r="K144" s="2" t="str">
        <f t="shared" si="46"/>
        <v>I18</v>
      </c>
    </row>
    <row r="145" spans="1:11" x14ac:dyDescent="0.25">
      <c r="A145" s="2">
        <f t="shared" si="26"/>
        <v>124</v>
      </c>
      <c r="B145" s="2">
        <f t="shared" si="27"/>
        <v>13</v>
      </c>
      <c r="C145" s="2">
        <v>8</v>
      </c>
      <c r="D145" s="4" t="str">
        <f ca="1" xml:space="preserve"> LEFT(H145,2)</f>
        <v>n̍</v>
      </c>
      <c r="E145" s="6" t="str">
        <f t="shared" ca="1" si="28"/>
        <v>"n̍": ("n", "8"),</v>
      </c>
      <c r="F145" s="1" t="str" cm="1">
        <f t="array" aca="1" ref="F145" ca="1" xml:space="preserve"> INDIRECT( ADDRESS( ROW($21:$21) + B145*9, COLUMN($D:$D)))</f>
        <v>n</v>
      </c>
      <c r="H145" s="2" t="str" cm="1">
        <f t="array" aca="1" ref="H145" ca="1" xml:space="preserve"> INDIRECT(K145)</f>
        <v>n̍h (U+006E U+030D)</v>
      </c>
      <c r="I145" s="2">
        <f t="shared" si="45"/>
        <v>10</v>
      </c>
      <c r="J145" s="2" cm="1">
        <f t="array" ref="J145" xml:space="preserve"> ROW($5:$5) + B145</f>
        <v>18</v>
      </c>
      <c r="K145" s="2" t="str">
        <f t="shared" si="46"/>
        <v>J18</v>
      </c>
    </row>
    <row r="146" spans="1:11" x14ac:dyDescent="0.25">
      <c r="A146" s="2">
        <f t="shared" si="26"/>
        <v>125</v>
      </c>
      <c r="B146" s="2">
        <f t="shared" si="27"/>
        <v>13</v>
      </c>
      <c r="C146" s="2">
        <v>9</v>
      </c>
      <c r="D146" s="4" t="str">
        <f ca="1" xml:space="preserve"> LEFT(H146,2)</f>
        <v>n̋</v>
      </c>
      <c r="E146" s="6" t="str">
        <f t="shared" ca="1" si="28"/>
        <v>"n̋": ("n", "9"),</v>
      </c>
      <c r="F146" s="1" t="str" cm="1">
        <f t="array" aca="1" ref="F146" ca="1" xml:space="preserve"> INDIRECT( ADDRESS( ROW($21:$21) + B146*9, COLUMN($D:$D)))</f>
        <v>n</v>
      </c>
      <c r="H146" s="2" t="str" cm="1">
        <f t="array" aca="1" ref="H146" ca="1" xml:space="preserve"> INDIRECT(K146)</f>
        <v>n̋ (U+006E U+030B)</v>
      </c>
      <c r="I146" s="2">
        <f t="shared" si="45"/>
        <v>11</v>
      </c>
      <c r="J146" s="2" cm="1">
        <f t="array" ref="J146" xml:space="preserve"> ROW($5:$5) + B146</f>
        <v>18</v>
      </c>
      <c r="K146" s="2" t="str">
        <f t="shared" si="46"/>
        <v>K18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B8F5-09C6-400C-9F20-55BDD652E581}">
  <dimension ref="B2:R18"/>
  <sheetViews>
    <sheetView workbookViewId="0">
      <selection activeCell="H13" sqref="H13"/>
    </sheetView>
  </sheetViews>
  <sheetFormatPr defaultRowHeight="25.5" x14ac:dyDescent="0.25"/>
  <cols>
    <col min="1" max="1" width="3.75" style="1" customWidth="1"/>
    <col min="2" max="2" width="22.5" style="1" customWidth="1"/>
    <col min="3" max="12" width="18.125" style="23" customWidth="1"/>
    <col min="19" max="16384" width="9" style="1"/>
  </cols>
  <sheetData>
    <row r="2" spans="2:12" x14ac:dyDescent="0.25">
      <c r="B2" s="1" t="s">
        <v>199</v>
      </c>
    </row>
    <row r="3" spans="2:12" x14ac:dyDescent="0.25">
      <c r="B3" s="1" t="s">
        <v>10</v>
      </c>
      <c r="C3" s="24" t="s">
        <v>194</v>
      </c>
      <c r="D3" s="24" t="s">
        <v>195</v>
      </c>
      <c r="E3" s="24" t="s">
        <v>187</v>
      </c>
      <c r="F3" s="24" t="s">
        <v>188</v>
      </c>
      <c r="G3" s="24" t="s">
        <v>196</v>
      </c>
      <c r="H3" s="24" t="s">
        <v>189</v>
      </c>
      <c r="I3" s="24" t="s">
        <v>190</v>
      </c>
      <c r="J3" s="24" t="s">
        <v>191</v>
      </c>
      <c r="K3" s="24" t="s">
        <v>192</v>
      </c>
      <c r="L3" s="24" t="s">
        <v>193</v>
      </c>
    </row>
    <row r="4" spans="2:12" x14ac:dyDescent="0.25">
      <c r="B4" s="1" t="s">
        <v>200</v>
      </c>
      <c r="C4" s="21"/>
      <c r="D4" s="21"/>
      <c r="E4" s="22" t="s">
        <v>180</v>
      </c>
      <c r="F4" s="22" t="s">
        <v>181</v>
      </c>
      <c r="G4" s="21"/>
      <c r="H4" s="22" t="s">
        <v>182</v>
      </c>
      <c r="I4" s="22" t="s">
        <v>183</v>
      </c>
      <c r="J4" s="22" t="s">
        <v>184</v>
      </c>
      <c r="K4" s="22" t="s">
        <v>185</v>
      </c>
      <c r="L4" s="22" t="s">
        <v>186</v>
      </c>
    </row>
    <row r="5" spans="2:12" ht="34.5" x14ac:dyDescent="0.25">
      <c r="B5" s="20" t="s">
        <v>198</v>
      </c>
      <c r="C5" s="25" t="s">
        <v>75</v>
      </c>
      <c r="D5" s="25" t="s">
        <v>75</v>
      </c>
      <c r="E5" s="25" t="str">
        <f xml:space="preserve"> _xlfn.CONCAT($C5, _xlfn.UNICHAR(HEX2DEC(RIGHT(E$4,4))))</f>
        <v>á</v>
      </c>
      <c r="F5" s="25" t="str">
        <f xml:space="preserve"> _xlfn.CONCAT($C5, _xlfn.UNICHAR(HEX2DEC(RIGHT(F$4,4))))</f>
        <v>à</v>
      </c>
      <c r="G5" s="25" t="str">
        <f xml:space="preserve"> _xlfn.CONCAT($C5, "h")</f>
        <v>ah</v>
      </c>
      <c r="H5" s="25" t="str">
        <f xml:space="preserve"> _xlfn.CONCAT($C5, _xlfn.UNICHAR(HEX2DEC(RIGHT(H$4,4))))</f>
        <v>â</v>
      </c>
      <c r="I5" s="25" t="str">
        <f xml:space="preserve"> _xlfn.CONCAT($C5, _xlfn.UNICHAR(HEX2DEC(RIGHT(I$4,4))))</f>
        <v>ǎ</v>
      </c>
      <c r="J5" s="25" t="str">
        <f xml:space="preserve"> _xlfn.CONCAT($C5, _xlfn.UNICHAR(HEX2DEC(RIGHT(J$4,4))))</f>
        <v>ā</v>
      </c>
      <c r="K5" s="25" t="str">
        <f xml:space="preserve"> _xlfn.CONCAT($C5, _xlfn.UNICHAR(HEX2DEC(RIGHT(K$4,4))), "h")</f>
        <v>a̍h</v>
      </c>
      <c r="L5" s="25" t="str">
        <f xml:space="preserve"> _xlfn.CONCAT($C5, _xlfn.UNICHAR(HEX2DEC(RIGHT(L$4,4))))</f>
        <v>a̋</v>
      </c>
    </row>
    <row r="6" spans="2:12" ht="34.5" x14ac:dyDescent="0.25">
      <c r="B6" s="20"/>
      <c r="C6" s="25" t="s">
        <v>84</v>
      </c>
      <c r="D6" s="25" t="s">
        <v>84</v>
      </c>
      <c r="E6" s="25" t="str">
        <f xml:space="preserve"> _xlfn.CONCAT($C6, _xlfn.UNICHAR(HEX2DEC(RIGHT(E$4,4))))</f>
        <v>é</v>
      </c>
      <c r="F6" s="25" t="str">
        <f xml:space="preserve"> _xlfn.CONCAT($C6, _xlfn.UNICHAR(HEX2DEC(RIGHT(F$4,4))))</f>
        <v>è</v>
      </c>
      <c r="G6" s="25" t="str">
        <f xml:space="preserve"> _xlfn.CONCAT($C6, "h")</f>
        <v>eh</v>
      </c>
      <c r="H6" s="25" t="str">
        <f xml:space="preserve"> _xlfn.CONCAT($C6, _xlfn.UNICHAR(HEX2DEC(RIGHT(H$4,4))))</f>
        <v>ê</v>
      </c>
      <c r="I6" s="25" t="str">
        <f xml:space="preserve"> _xlfn.CONCAT($C6, _xlfn.UNICHAR(HEX2DEC(RIGHT(I$4,4))))</f>
        <v>ě</v>
      </c>
      <c r="J6" s="25" t="str">
        <f xml:space="preserve"> _xlfn.CONCAT($C6, _xlfn.UNICHAR(HEX2DEC(RIGHT(J$4,4))))</f>
        <v>ē</v>
      </c>
      <c r="K6" s="25" t="str">
        <f xml:space="preserve"> _xlfn.CONCAT($C6, _xlfn.UNICHAR(HEX2DEC(RIGHT(K$4,4))), "h")</f>
        <v>e̍h</v>
      </c>
      <c r="L6" s="25" t="str">
        <f xml:space="preserve"> _xlfn.CONCAT($C6, _xlfn.UNICHAR(HEX2DEC(RIGHT(L$4,4))))</f>
        <v>e̋</v>
      </c>
    </row>
    <row r="7" spans="2:12" ht="34.5" x14ac:dyDescent="0.25">
      <c r="B7" s="20"/>
      <c r="C7" s="25" t="s">
        <v>93</v>
      </c>
      <c r="D7" s="25" t="s">
        <v>93</v>
      </c>
      <c r="E7" s="25" t="str">
        <f xml:space="preserve"> _xlfn.CONCAT($C7, _xlfn.UNICHAR(HEX2DEC(RIGHT(E$4,4))))</f>
        <v>í</v>
      </c>
      <c r="F7" s="25" t="str">
        <f xml:space="preserve"> _xlfn.CONCAT($C7, _xlfn.UNICHAR(HEX2DEC(RIGHT(F$4,4))))</f>
        <v>ì</v>
      </c>
      <c r="G7" s="25" t="str">
        <f xml:space="preserve"> _xlfn.CONCAT($C7, "h")</f>
        <v>ih</v>
      </c>
      <c r="H7" s="25" t="str">
        <f xml:space="preserve"> _xlfn.CONCAT($C7, _xlfn.UNICHAR(HEX2DEC(RIGHT(H$4,4))))</f>
        <v>î</v>
      </c>
      <c r="I7" s="25" t="str">
        <f xml:space="preserve"> _xlfn.CONCAT($C7, _xlfn.UNICHAR(HEX2DEC(RIGHT(I$4,4))))</f>
        <v>ǐ</v>
      </c>
      <c r="J7" s="25" t="str">
        <f xml:space="preserve"> _xlfn.CONCAT($C7, _xlfn.UNICHAR(HEX2DEC(RIGHT(J$4,4))))</f>
        <v>ī</v>
      </c>
      <c r="K7" s="25" t="str">
        <f xml:space="preserve"> _xlfn.CONCAT($C7, _xlfn.UNICHAR(HEX2DEC(RIGHT(K$4,4))), "h")</f>
        <v>i̍h</v>
      </c>
      <c r="L7" s="25" t="str">
        <f xml:space="preserve"> _xlfn.CONCAT($C7, _xlfn.UNICHAR(HEX2DEC(RIGHT(L$4,4))))</f>
        <v>i̋</v>
      </c>
    </row>
    <row r="8" spans="2:12" ht="34.5" x14ac:dyDescent="0.25">
      <c r="B8" s="20"/>
      <c r="C8" s="25" t="s">
        <v>102</v>
      </c>
      <c r="D8" s="25" t="s">
        <v>102</v>
      </c>
      <c r="E8" s="25" t="str">
        <f xml:space="preserve"> _xlfn.CONCAT($C8, _xlfn.UNICHAR(HEX2DEC(RIGHT(E$4,4))))</f>
        <v>ó</v>
      </c>
      <c r="F8" s="25" t="str">
        <f xml:space="preserve"> _xlfn.CONCAT($C8, _xlfn.UNICHAR(HEX2DEC(RIGHT(F$4,4))))</f>
        <v>ò</v>
      </c>
      <c r="G8" s="25" t="str">
        <f xml:space="preserve"> _xlfn.CONCAT($C8, "h")</f>
        <v>oh</v>
      </c>
      <c r="H8" s="25" t="str">
        <f xml:space="preserve"> _xlfn.CONCAT($C8, _xlfn.UNICHAR(HEX2DEC(RIGHT(H$4,4))))</f>
        <v>ô</v>
      </c>
      <c r="I8" s="25" t="str">
        <f xml:space="preserve"> _xlfn.CONCAT($C8, _xlfn.UNICHAR(HEX2DEC(RIGHT(I$4,4))))</f>
        <v>ǒ</v>
      </c>
      <c r="J8" s="25" t="str">
        <f xml:space="preserve"> _xlfn.CONCAT($C8, _xlfn.UNICHAR(HEX2DEC(RIGHT(J$4,4))))</f>
        <v>ō</v>
      </c>
      <c r="K8" s="25" t="str">
        <f xml:space="preserve"> _xlfn.CONCAT($C8, _xlfn.UNICHAR(HEX2DEC(RIGHT(K$4,4))), "h")</f>
        <v>o̍h</v>
      </c>
      <c r="L8" s="25" t="str">
        <f xml:space="preserve"> _xlfn.CONCAT($C8, _xlfn.UNICHAR(HEX2DEC(RIGHT(L$4,4))))</f>
        <v>ő</v>
      </c>
    </row>
    <row r="9" spans="2:12" ht="34.5" x14ac:dyDescent="0.25">
      <c r="B9" s="20"/>
      <c r="C9" s="25" t="s">
        <v>110</v>
      </c>
      <c r="D9" s="25" t="s">
        <v>110</v>
      </c>
      <c r="E9" s="25" t="str">
        <f xml:space="preserve"> _xlfn.CONCAT($C9, _xlfn.UNICHAR(HEX2DEC(RIGHT(E$4,4))))</f>
        <v>ú</v>
      </c>
      <c r="F9" s="25" t="str">
        <f xml:space="preserve"> _xlfn.CONCAT($C9, _xlfn.UNICHAR(HEX2DEC(RIGHT(F$4,4))))</f>
        <v>ù</v>
      </c>
      <c r="G9" s="25" t="str">
        <f xml:space="preserve"> _xlfn.CONCAT($C9, "h")</f>
        <v>uh</v>
      </c>
      <c r="H9" s="25" t="str">
        <f xml:space="preserve"> _xlfn.CONCAT($C9, _xlfn.UNICHAR(HEX2DEC(RIGHT(H$4,4))))</f>
        <v>û</v>
      </c>
      <c r="I9" s="25" t="str">
        <f xml:space="preserve"> _xlfn.CONCAT($C9, _xlfn.UNICHAR(HEX2DEC(RIGHT(I$4,4))))</f>
        <v>ǔ</v>
      </c>
      <c r="J9" s="25" t="str">
        <f xml:space="preserve"> _xlfn.CONCAT($C9, _xlfn.UNICHAR(HEX2DEC(RIGHT(J$4,4))))</f>
        <v>ū</v>
      </c>
      <c r="K9" s="25" t="str">
        <f xml:space="preserve"> _xlfn.CONCAT($C9, _xlfn.UNICHAR(HEX2DEC(RIGHT(K$4,4))), "h")</f>
        <v>u̍h</v>
      </c>
      <c r="L9" s="25" t="str">
        <f xml:space="preserve"> _xlfn.CONCAT($C9, _xlfn.UNICHAR(HEX2DEC(RIGHT(L$4,4))))</f>
        <v>ű</v>
      </c>
    </row>
    <row r="10" spans="2:12" ht="34.5" x14ac:dyDescent="0.25">
      <c r="B10" s="20"/>
      <c r="C10" s="25" t="s">
        <v>118</v>
      </c>
      <c r="D10" s="25" t="s">
        <v>118</v>
      </c>
      <c r="E10" s="25" t="str">
        <f xml:space="preserve"> _xlfn.CONCAT($C10, _xlfn.UNICHAR(HEX2DEC(RIGHT(E$4,4))))</f>
        <v>ḿ</v>
      </c>
      <c r="F10" s="25" t="str">
        <f xml:space="preserve"> _xlfn.CONCAT($C10, _xlfn.UNICHAR(HEX2DEC(RIGHT(F$4,4))))</f>
        <v>m̀</v>
      </c>
      <c r="G10" s="25" t="str">
        <f xml:space="preserve"> _xlfn.CONCAT($C10, "h")</f>
        <v>mh</v>
      </c>
      <c r="H10" s="25" t="str">
        <f xml:space="preserve"> _xlfn.CONCAT($C10, _xlfn.UNICHAR(HEX2DEC(RIGHT(H$4,4))))</f>
        <v>m̂</v>
      </c>
      <c r="I10" s="25" t="str">
        <f xml:space="preserve"> _xlfn.CONCAT($C10, _xlfn.UNICHAR(HEX2DEC(RIGHT(I$4,4))))</f>
        <v>m̌</v>
      </c>
      <c r="J10" s="25" t="str">
        <f xml:space="preserve"> _xlfn.CONCAT($C10, _xlfn.UNICHAR(HEX2DEC(RIGHT(J$4,4))))</f>
        <v>m̄</v>
      </c>
      <c r="K10" s="25" t="str">
        <f xml:space="preserve"> _xlfn.CONCAT($C10, _xlfn.UNICHAR(HEX2DEC(RIGHT(K$4,4))), "h")</f>
        <v>m̍h</v>
      </c>
      <c r="L10" s="25" t="str">
        <f xml:space="preserve"> _xlfn.CONCAT($C10, _xlfn.UNICHAR(HEX2DEC(RIGHT(L$4,4))))</f>
        <v>m̋</v>
      </c>
    </row>
    <row r="11" spans="2:12" ht="34.5" x14ac:dyDescent="0.25">
      <c r="B11" s="20"/>
      <c r="C11" s="25" t="s">
        <v>126</v>
      </c>
      <c r="D11" s="25" t="s">
        <v>126</v>
      </c>
      <c r="E11" s="25" t="str">
        <f xml:space="preserve"> _xlfn.CONCAT($C11, _xlfn.UNICHAR(HEX2DEC(RIGHT(E$4,4))))</f>
        <v>ń</v>
      </c>
      <c r="F11" s="25" t="str">
        <f xml:space="preserve"> _xlfn.CONCAT($C11, _xlfn.UNICHAR(HEX2DEC(RIGHT(F$4,4))))</f>
        <v>ǹ</v>
      </c>
      <c r="G11" s="25" t="str">
        <f xml:space="preserve"> _xlfn.CONCAT($C11, "h")</f>
        <v>nh</v>
      </c>
      <c r="H11" s="25" t="str">
        <f xml:space="preserve"> _xlfn.CONCAT($C11, _xlfn.UNICHAR(HEX2DEC(RIGHT(H$4,4))))</f>
        <v>n̂</v>
      </c>
      <c r="I11" s="25" t="str">
        <f xml:space="preserve"> _xlfn.CONCAT($C11, _xlfn.UNICHAR(HEX2DEC(RIGHT(I$4,4))))</f>
        <v>ň</v>
      </c>
      <c r="J11" s="25" t="str">
        <f xml:space="preserve"> _xlfn.CONCAT($C11, _xlfn.UNICHAR(HEX2DEC(RIGHT(J$4,4))))</f>
        <v>n̄</v>
      </c>
      <c r="K11" s="25" t="str">
        <f xml:space="preserve"> _xlfn.CONCAT($C11, _xlfn.UNICHAR(HEX2DEC(RIGHT(K$4,4))), "h")</f>
        <v>n̍h</v>
      </c>
      <c r="L11" s="25" t="str">
        <f xml:space="preserve"> _xlfn.CONCAT($C11, _xlfn.UNICHAR(HEX2DEC(RIGHT(L$4,4))))</f>
        <v>n̋</v>
      </c>
    </row>
    <row r="12" spans="2:12" ht="34.5" x14ac:dyDescent="0.25">
      <c r="B12" s="20" t="s">
        <v>197</v>
      </c>
      <c r="C12" s="25" t="s">
        <v>18</v>
      </c>
      <c r="D12" s="25" t="s">
        <v>18</v>
      </c>
      <c r="E12" s="25" t="str">
        <f xml:space="preserve"> _xlfn.CONCAT($C12, _xlfn.UNICHAR(HEX2DEC(RIGHT(E$4,4))))</f>
        <v>Á</v>
      </c>
      <c r="F12" s="25" t="str">
        <f xml:space="preserve"> _xlfn.CONCAT($C12, _xlfn.UNICHAR(HEX2DEC(RIGHT(F$4,4))))</f>
        <v>À</v>
      </c>
      <c r="G12" s="25" t="str">
        <f xml:space="preserve"> _xlfn.CONCAT($C12, "h")</f>
        <v>Ah</v>
      </c>
      <c r="H12" s="25" t="str">
        <f xml:space="preserve"> _xlfn.CONCAT($C12, _xlfn.UNICHAR(HEX2DEC(RIGHT(H$4,4))))</f>
        <v>Â</v>
      </c>
      <c r="I12" s="25" t="str">
        <f xml:space="preserve"> _xlfn.CONCAT($C12, _xlfn.UNICHAR(HEX2DEC(RIGHT(I$4,4))))</f>
        <v>Ǎ</v>
      </c>
      <c r="J12" s="25" t="str">
        <f xml:space="preserve"> _xlfn.CONCAT($C12, _xlfn.UNICHAR(HEX2DEC(RIGHT(J$4,4))))</f>
        <v>Ā</v>
      </c>
      <c r="K12" s="25" t="str">
        <f xml:space="preserve"> _xlfn.CONCAT($C12, _xlfn.UNICHAR(HEX2DEC(RIGHT(K$4,4))), "h")</f>
        <v>A̍h</v>
      </c>
      <c r="L12" s="25" t="str">
        <f xml:space="preserve"> _xlfn.CONCAT($C12, _xlfn.UNICHAR(HEX2DEC(RIGHT(L$4,4))))</f>
        <v>A̋</v>
      </c>
    </row>
    <row r="13" spans="2:12" ht="34.5" x14ac:dyDescent="0.25">
      <c r="B13" s="20"/>
      <c r="C13" s="25" t="s">
        <v>27</v>
      </c>
      <c r="D13" s="25" t="s">
        <v>27</v>
      </c>
      <c r="E13" s="25" t="str">
        <f xml:space="preserve"> _xlfn.CONCAT($C13, _xlfn.UNICHAR(HEX2DEC(RIGHT(E$4,4))))</f>
        <v>É</v>
      </c>
      <c r="F13" s="25" t="str">
        <f xml:space="preserve"> _xlfn.CONCAT($C13, _xlfn.UNICHAR(HEX2DEC(RIGHT(F$4,4))))</f>
        <v>È</v>
      </c>
      <c r="G13" s="25" t="str">
        <f xml:space="preserve"> _xlfn.CONCAT($C13, "h")</f>
        <v>Eh</v>
      </c>
      <c r="H13" s="25" t="str">
        <f xml:space="preserve"> _xlfn.CONCAT($C13, _xlfn.UNICHAR(HEX2DEC(RIGHT(H$4,4))))</f>
        <v>Ê</v>
      </c>
      <c r="I13" s="25" t="str">
        <f xml:space="preserve"> _xlfn.CONCAT($C13, _xlfn.UNICHAR(HEX2DEC(RIGHT(I$4,4))))</f>
        <v>Ě</v>
      </c>
      <c r="J13" s="25" t="str">
        <f xml:space="preserve"> _xlfn.CONCAT($C13, _xlfn.UNICHAR(HEX2DEC(RIGHT(J$4,4))))</f>
        <v>Ē</v>
      </c>
      <c r="K13" s="25" t="str">
        <f xml:space="preserve"> _xlfn.CONCAT($C13, _xlfn.UNICHAR(HEX2DEC(RIGHT(K$4,4))), "h")</f>
        <v>E̍h</v>
      </c>
      <c r="L13" s="25" t="str">
        <f xml:space="preserve"> _xlfn.CONCAT($C13, _xlfn.UNICHAR(HEX2DEC(RIGHT(L$4,4))))</f>
        <v>E̋</v>
      </c>
    </row>
    <row r="14" spans="2:12" ht="34.5" x14ac:dyDescent="0.25">
      <c r="B14" s="20"/>
      <c r="C14" s="25" t="s">
        <v>36</v>
      </c>
      <c r="D14" s="25" t="s">
        <v>36</v>
      </c>
      <c r="E14" s="25" t="str">
        <f xml:space="preserve"> _xlfn.CONCAT($C14, _xlfn.UNICHAR(HEX2DEC(RIGHT(E$4,4))))</f>
        <v>Í</v>
      </c>
      <c r="F14" s="25" t="str">
        <f xml:space="preserve"> _xlfn.CONCAT($C14, _xlfn.UNICHAR(HEX2DEC(RIGHT(F$4,4))))</f>
        <v>Ì</v>
      </c>
      <c r="G14" s="25" t="str">
        <f xml:space="preserve"> _xlfn.CONCAT($C14, "h")</f>
        <v>Ih</v>
      </c>
      <c r="H14" s="25" t="str">
        <f xml:space="preserve"> _xlfn.CONCAT($C14, _xlfn.UNICHAR(HEX2DEC(RIGHT(H$4,4))))</f>
        <v>Î</v>
      </c>
      <c r="I14" s="25" t="str">
        <f xml:space="preserve"> _xlfn.CONCAT($C14, _xlfn.UNICHAR(HEX2DEC(RIGHT(I$4,4))))</f>
        <v>Ǐ</v>
      </c>
      <c r="J14" s="25" t="str">
        <f xml:space="preserve"> _xlfn.CONCAT($C14, _xlfn.UNICHAR(HEX2DEC(RIGHT(J$4,4))))</f>
        <v>Ī</v>
      </c>
      <c r="K14" s="25" t="str">
        <f xml:space="preserve"> _xlfn.CONCAT($C14, _xlfn.UNICHAR(HEX2DEC(RIGHT(K$4,4))), "h")</f>
        <v>I̍h</v>
      </c>
      <c r="L14" s="25" t="str">
        <f xml:space="preserve"> _xlfn.CONCAT($C14, _xlfn.UNICHAR(HEX2DEC(RIGHT(L$4,4))))</f>
        <v>I̋</v>
      </c>
    </row>
    <row r="15" spans="2:12" ht="34.5" x14ac:dyDescent="0.25">
      <c r="B15" s="20"/>
      <c r="C15" s="25" t="s">
        <v>44</v>
      </c>
      <c r="D15" s="25" t="s">
        <v>44</v>
      </c>
      <c r="E15" s="25" t="str">
        <f xml:space="preserve"> _xlfn.CONCAT($C15, _xlfn.UNICHAR(HEX2DEC(RIGHT(E$4,4))))</f>
        <v>Ó</v>
      </c>
      <c r="F15" s="25" t="str">
        <f xml:space="preserve"> _xlfn.CONCAT($C15, _xlfn.UNICHAR(HEX2DEC(RIGHT(F$4,4))))</f>
        <v>Ò</v>
      </c>
      <c r="G15" s="25" t="str">
        <f xml:space="preserve"> _xlfn.CONCAT($C15, "h")</f>
        <v>Oh</v>
      </c>
      <c r="H15" s="25" t="str">
        <f xml:space="preserve"> _xlfn.CONCAT($C15, _xlfn.UNICHAR(HEX2DEC(RIGHT(H$4,4))))</f>
        <v>Ô</v>
      </c>
      <c r="I15" s="25" t="str">
        <f xml:space="preserve"> _xlfn.CONCAT($C15, _xlfn.UNICHAR(HEX2DEC(RIGHT(I$4,4))))</f>
        <v>Ǒ</v>
      </c>
      <c r="J15" s="25" t="str">
        <f xml:space="preserve"> _xlfn.CONCAT($C15, _xlfn.UNICHAR(HEX2DEC(RIGHT(J$4,4))))</f>
        <v>Ō</v>
      </c>
      <c r="K15" s="25" t="str">
        <f xml:space="preserve"> _xlfn.CONCAT($C15, _xlfn.UNICHAR(HEX2DEC(RIGHT(K$4,4))), "h")</f>
        <v>O̍h</v>
      </c>
      <c r="L15" s="25" t="str">
        <f xml:space="preserve"> _xlfn.CONCAT($C15, _xlfn.UNICHAR(HEX2DEC(RIGHT(L$4,4))))</f>
        <v>Ő</v>
      </c>
    </row>
    <row r="16" spans="2:12" ht="34.5" x14ac:dyDescent="0.25">
      <c r="B16" s="20"/>
      <c r="C16" s="25" t="s">
        <v>52</v>
      </c>
      <c r="D16" s="25" t="s">
        <v>52</v>
      </c>
      <c r="E16" s="25" t="str">
        <f xml:space="preserve"> _xlfn.CONCAT($C16, _xlfn.UNICHAR(HEX2DEC(RIGHT(E$4,4))))</f>
        <v>Ú</v>
      </c>
      <c r="F16" s="25" t="str">
        <f xml:space="preserve"> _xlfn.CONCAT($C16, _xlfn.UNICHAR(HEX2DEC(RIGHT(F$4,4))))</f>
        <v>Ù</v>
      </c>
      <c r="G16" s="25" t="str">
        <f xml:space="preserve"> _xlfn.CONCAT($C16, "h")</f>
        <v>Uh</v>
      </c>
      <c r="H16" s="25" t="str">
        <f xml:space="preserve"> _xlfn.CONCAT($C16, _xlfn.UNICHAR(HEX2DEC(RIGHT(H$4,4))))</f>
        <v>Û</v>
      </c>
      <c r="I16" s="25" t="str">
        <f xml:space="preserve"> _xlfn.CONCAT($C16, _xlfn.UNICHAR(HEX2DEC(RIGHT(I$4,4))))</f>
        <v>Ǔ</v>
      </c>
      <c r="J16" s="25" t="str">
        <f xml:space="preserve"> _xlfn.CONCAT($C16, _xlfn.UNICHAR(HEX2DEC(RIGHT(J$4,4))))</f>
        <v>Ū</v>
      </c>
      <c r="K16" s="25" t="str">
        <f xml:space="preserve"> _xlfn.CONCAT($C16, _xlfn.UNICHAR(HEX2DEC(RIGHT(K$4,4))), "h")</f>
        <v>U̍h</v>
      </c>
      <c r="L16" s="25" t="str">
        <f xml:space="preserve"> _xlfn.CONCAT($C16, _xlfn.UNICHAR(HEX2DEC(RIGHT(L$4,4))))</f>
        <v>Ű</v>
      </c>
    </row>
    <row r="17" spans="2:12" ht="34.5" x14ac:dyDescent="0.25">
      <c r="B17" s="20"/>
      <c r="C17" s="25" t="s">
        <v>59</v>
      </c>
      <c r="D17" s="25" t="s">
        <v>59</v>
      </c>
      <c r="E17" s="25" t="str">
        <f xml:space="preserve"> _xlfn.CONCAT($C17, _xlfn.UNICHAR(HEX2DEC(RIGHT(E$4,4))))</f>
        <v>Ḿ</v>
      </c>
      <c r="F17" s="25" t="str">
        <f xml:space="preserve"> _xlfn.CONCAT($C17, _xlfn.UNICHAR(HEX2DEC(RIGHT(F$4,4))))</f>
        <v>M̀</v>
      </c>
      <c r="G17" s="25" t="str">
        <f xml:space="preserve"> _xlfn.CONCAT($C17, "h")</f>
        <v>Mh</v>
      </c>
      <c r="H17" s="25" t="str">
        <f xml:space="preserve"> _xlfn.CONCAT($C17, _xlfn.UNICHAR(HEX2DEC(RIGHT(H$4,4))))</f>
        <v>M̂</v>
      </c>
      <c r="I17" s="25" t="str">
        <f xml:space="preserve"> _xlfn.CONCAT($C17, _xlfn.UNICHAR(HEX2DEC(RIGHT(I$4,4))))</f>
        <v>M̌</v>
      </c>
      <c r="J17" s="25" t="str">
        <f xml:space="preserve"> _xlfn.CONCAT($C17, _xlfn.UNICHAR(HEX2DEC(RIGHT(J$4,4))))</f>
        <v>M̄</v>
      </c>
      <c r="K17" s="25" t="str">
        <f xml:space="preserve"> _xlfn.CONCAT($C17, _xlfn.UNICHAR(HEX2DEC(RIGHT(K$4,4))), "h")</f>
        <v>M̍h</v>
      </c>
      <c r="L17" s="25" t="str">
        <f xml:space="preserve"> _xlfn.CONCAT($C17, _xlfn.UNICHAR(HEX2DEC(RIGHT(L$4,4))))</f>
        <v>M̋</v>
      </c>
    </row>
    <row r="18" spans="2:12" ht="34.5" x14ac:dyDescent="0.25">
      <c r="B18" s="20"/>
      <c r="C18" s="25" t="s">
        <v>67</v>
      </c>
      <c r="D18" s="25" t="s">
        <v>67</v>
      </c>
      <c r="E18" s="25" t="str">
        <f xml:space="preserve"> _xlfn.CONCAT($C18, _xlfn.UNICHAR(HEX2DEC(RIGHT(E$4,4))))</f>
        <v>Ń</v>
      </c>
      <c r="F18" s="25" t="str">
        <f xml:space="preserve"> _xlfn.CONCAT($C18, _xlfn.UNICHAR(HEX2DEC(RIGHT(F$4,4))))</f>
        <v>Ǹ</v>
      </c>
      <c r="G18" s="25" t="str">
        <f xml:space="preserve"> _xlfn.CONCAT($C18, "h")</f>
        <v>Nh</v>
      </c>
      <c r="H18" s="25" t="str">
        <f xml:space="preserve"> _xlfn.CONCAT($C18, _xlfn.UNICHAR(HEX2DEC(RIGHT(H$4,4))))</f>
        <v>N̂</v>
      </c>
      <c r="I18" s="25" t="str">
        <f xml:space="preserve"> _xlfn.CONCAT($C18, _xlfn.UNICHAR(HEX2DEC(RIGHT(I$4,4))))</f>
        <v>Ň</v>
      </c>
      <c r="J18" s="25" t="str">
        <f xml:space="preserve"> _xlfn.CONCAT($C18, _xlfn.UNICHAR(HEX2DEC(RIGHT(J$4,4))))</f>
        <v>N̄</v>
      </c>
      <c r="K18" s="25" t="str">
        <f xml:space="preserve"> _xlfn.CONCAT($C18, _xlfn.UNICHAR(HEX2DEC(RIGHT(K$4,4))), "h")</f>
        <v>N̍h</v>
      </c>
      <c r="L18" s="25" t="str">
        <f xml:space="preserve"> _xlfn.CONCAT($C18, _xlfn.UNICHAR(HEX2DEC(RIGHT(L$4,4))))</f>
        <v>N̋</v>
      </c>
    </row>
  </sheetData>
  <phoneticPr fontId="3" type="noConversion"/>
  <pageMargins left="0.7" right="0.7" top="0.75" bottom="0.75" header="0.3" footer="0.3"/>
  <pageSetup orientation="portrait" r:id="rId1"/>
  <ignoredErrors>
    <ignoredError sqref="G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1FE1-8FBB-45A1-8B7F-E62039CF8C70}">
  <dimension ref="A2:F22"/>
  <sheetViews>
    <sheetView tabSelected="1" workbookViewId="0">
      <selection activeCell="K9" sqref="K9"/>
    </sheetView>
  </sheetViews>
  <sheetFormatPr defaultRowHeight="25.5" x14ac:dyDescent="0.25"/>
  <cols>
    <col min="1" max="1" width="9" style="1"/>
    <col min="2" max="2" width="32.125" style="1" bestFit="1" customWidth="1"/>
    <col min="3" max="4" width="22.125" style="1" bestFit="1" customWidth="1"/>
    <col min="5" max="5" width="20.75" style="1" bestFit="1" customWidth="1"/>
    <col min="6" max="6" width="9" style="1"/>
  </cols>
  <sheetData>
    <row r="2" spans="2:5" ht="45.75" x14ac:dyDescent="0.25">
      <c r="B2" s="15" t="s">
        <v>179</v>
      </c>
      <c r="C2" s="7"/>
      <c r="D2" s="7"/>
      <c r="E2" s="7"/>
    </row>
    <row r="3" spans="2:5" ht="34.5" x14ac:dyDescent="0.25">
      <c r="B3" s="7"/>
      <c r="C3" s="7"/>
      <c r="D3" s="7"/>
      <c r="E3" s="7"/>
    </row>
    <row r="4" spans="2:5" ht="45.75" x14ac:dyDescent="0.25">
      <c r="B4" s="17" t="s">
        <v>154</v>
      </c>
      <c r="C4" s="18" t="s">
        <v>164</v>
      </c>
      <c r="D4" s="19" t="s">
        <v>166</v>
      </c>
      <c r="E4" s="19" t="s">
        <v>178</v>
      </c>
    </row>
    <row r="5" spans="2:5" ht="34.5" x14ac:dyDescent="0.25">
      <c r="B5" s="7" t="s">
        <v>180</v>
      </c>
      <c r="C5" s="7" t="s">
        <v>152</v>
      </c>
      <c r="D5" s="16" t="str">
        <f>_xlfn.CONCAT(C5,_xlfn.UNICHAR(HEX2DEC(RIGHT(B5,4))))</f>
        <v>á</v>
      </c>
      <c r="E5" s="1" t="s">
        <v>187</v>
      </c>
    </row>
    <row r="6" spans="2:5" ht="34.5" x14ac:dyDescent="0.25">
      <c r="B6" s="7" t="s">
        <v>181</v>
      </c>
      <c r="C6" s="7" t="s">
        <v>152</v>
      </c>
      <c r="D6" s="16" t="str">
        <f>_xlfn.CONCAT(C6,_xlfn.UNICHAR(HEX2DEC(RIGHT(B6,4))))</f>
        <v>à</v>
      </c>
      <c r="E6" s="1" t="s">
        <v>188</v>
      </c>
    </row>
    <row r="7" spans="2:5" ht="34.5" x14ac:dyDescent="0.25">
      <c r="B7" s="7" t="s">
        <v>182</v>
      </c>
      <c r="C7" s="7" t="s">
        <v>152</v>
      </c>
      <c r="D7" s="16" t="str">
        <f>_xlfn.CONCAT(C7,_xlfn.UNICHAR(HEX2DEC(RIGHT(B7,4))))</f>
        <v>â</v>
      </c>
      <c r="E7" s="1" t="s">
        <v>189</v>
      </c>
    </row>
    <row r="8" spans="2:5" ht="34.5" x14ac:dyDescent="0.25">
      <c r="B8" s="7" t="s">
        <v>183</v>
      </c>
      <c r="C8" s="7" t="s">
        <v>152</v>
      </c>
      <c r="D8" s="16" t="str">
        <f>_xlfn.CONCAT(C8,_xlfn.UNICHAR(HEX2DEC(RIGHT(B8,4))))</f>
        <v>ǎ</v>
      </c>
      <c r="E8" s="1" t="s">
        <v>190</v>
      </c>
    </row>
    <row r="9" spans="2:5" ht="34.5" x14ac:dyDescent="0.25">
      <c r="B9" s="7" t="s">
        <v>184</v>
      </c>
      <c r="C9" s="7" t="s">
        <v>152</v>
      </c>
      <c r="D9" s="16" t="str">
        <f>_xlfn.CONCAT(C9,_xlfn.UNICHAR(HEX2DEC(RIGHT(B9,4))))</f>
        <v>ā</v>
      </c>
      <c r="E9" s="1" t="s">
        <v>191</v>
      </c>
    </row>
    <row r="10" spans="2:5" ht="34.5" x14ac:dyDescent="0.25">
      <c r="B10" s="7" t="s">
        <v>185</v>
      </c>
      <c r="C10" s="7" t="s">
        <v>152</v>
      </c>
      <c r="D10" s="16" t="str">
        <f>_xlfn.CONCAT(C10,_xlfn.UNICHAR(HEX2DEC(RIGHT(B10,4))))</f>
        <v>a̍</v>
      </c>
      <c r="E10" s="1" t="s">
        <v>192</v>
      </c>
    </row>
    <row r="11" spans="2:5" ht="34.5" x14ac:dyDescent="0.25">
      <c r="B11" s="7" t="s">
        <v>186</v>
      </c>
      <c r="C11" s="7" t="s">
        <v>152</v>
      </c>
      <c r="D11" s="16" t="str">
        <f>_xlfn.CONCAT(C11,_xlfn.UNICHAR(HEX2DEC(RIGHT(B11,4))))</f>
        <v>a̋</v>
      </c>
      <c r="E11" s="1" t="s">
        <v>193</v>
      </c>
    </row>
    <row r="12" spans="2:5" ht="34.5" x14ac:dyDescent="0.25">
      <c r="B12" s="7"/>
      <c r="C12" s="7"/>
      <c r="D12" s="7"/>
      <c r="E12" s="7"/>
    </row>
    <row r="13" spans="2:5" ht="45.75" x14ac:dyDescent="0.25">
      <c r="B13" s="15" t="s">
        <v>213</v>
      </c>
      <c r="C13" s="7"/>
      <c r="D13" s="7"/>
      <c r="E13" s="7"/>
    </row>
    <row r="14" spans="2:5" ht="34.5" x14ac:dyDescent="0.25">
      <c r="B14" s="7"/>
      <c r="C14" s="7"/>
      <c r="D14" s="7"/>
      <c r="E14" s="7"/>
    </row>
    <row r="15" spans="2:5" ht="45.75" x14ac:dyDescent="0.25">
      <c r="B15" s="17" t="s">
        <v>154</v>
      </c>
      <c r="C15" s="18" t="s">
        <v>164</v>
      </c>
      <c r="D15" s="19" t="s">
        <v>166</v>
      </c>
      <c r="E15" s="19" t="s">
        <v>178</v>
      </c>
    </row>
    <row r="16" spans="2:5" ht="34.5" x14ac:dyDescent="0.25">
      <c r="B16" s="7" t="s">
        <v>184</v>
      </c>
      <c r="C16" s="7" t="s">
        <v>152</v>
      </c>
      <c r="D16" s="16" t="str">
        <f>_xlfn.CONCAT(C16,_xlfn.UNICHAR(HEX2DEC(RIGHT(B16,4))))</f>
        <v>ā</v>
      </c>
      <c r="E16" s="1" t="s">
        <v>195</v>
      </c>
    </row>
    <row r="17" spans="2:5" ht="34.5" x14ac:dyDescent="0.25">
      <c r="B17" s="7" t="s">
        <v>180</v>
      </c>
      <c r="C17" s="7" t="s">
        <v>152</v>
      </c>
      <c r="D17" s="16" t="str">
        <f>_xlfn.CONCAT(C17,_xlfn.UNICHAR(HEX2DEC(RIGHT(B17,4))))</f>
        <v>á</v>
      </c>
      <c r="E17" s="1" t="s">
        <v>215</v>
      </c>
    </row>
    <row r="18" spans="2:5" ht="34.5" x14ac:dyDescent="0.25">
      <c r="B18" s="7" t="s">
        <v>183</v>
      </c>
      <c r="C18" s="7" t="s">
        <v>152</v>
      </c>
      <c r="D18" s="16" t="str">
        <f>_xlfn.CONCAT(C18,_xlfn.UNICHAR(HEX2DEC(RIGHT(B18,4))))</f>
        <v>ǎ</v>
      </c>
      <c r="E18" s="1" t="s">
        <v>214</v>
      </c>
    </row>
    <row r="19" spans="2:5" ht="34.5" x14ac:dyDescent="0.25">
      <c r="B19" s="7" t="s">
        <v>181</v>
      </c>
      <c r="C19" s="7" t="s">
        <v>152</v>
      </c>
      <c r="D19" s="16" t="str">
        <f>_xlfn.CONCAT(C19,_xlfn.UNICHAR(HEX2DEC(RIGHT(B19,4))))</f>
        <v>à</v>
      </c>
      <c r="E19" s="1" t="s">
        <v>218</v>
      </c>
    </row>
    <row r="20" spans="2:5" ht="34.5" x14ac:dyDescent="0.25">
      <c r="B20" s="7" t="s">
        <v>182</v>
      </c>
      <c r="C20" s="7" t="s">
        <v>152</v>
      </c>
      <c r="D20" s="16" t="str">
        <f>_xlfn.CONCAT(C20,_xlfn.UNICHAR(HEX2DEC(RIGHT(B20,4))))</f>
        <v>â</v>
      </c>
      <c r="E20" s="1" t="s">
        <v>219</v>
      </c>
    </row>
    <row r="21" spans="2:5" ht="34.5" x14ac:dyDescent="0.25">
      <c r="B21" s="7" t="s">
        <v>184</v>
      </c>
      <c r="C21" s="7" t="s">
        <v>152</v>
      </c>
      <c r="D21" s="16" t="str">
        <f>_xlfn.CONCAT(C21,_xlfn.UNICHAR(HEX2DEC(RIGHT(B21,4))),"h")</f>
        <v>āh</v>
      </c>
      <c r="E21" s="1" t="s">
        <v>216</v>
      </c>
    </row>
    <row r="22" spans="2:5" ht="34.5" x14ac:dyDescent="0.25">
      <c r="B22" s="7" t="s">
        <v>180</v>
      </c>
      <c r="C22" s="7" t="s">
        <v>152</v>
      </c>
      <c r="D22" s="16" t="str">
        <f>_xlfn.CONCAT(C22,_xlfn.UNICHAR(HEX2DEC(RIGHT(B22,4))),"h")</f>
        <v>áh</v>
      </c>
      <c r="E22" s="1" t="s">
        <v>217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41E4-ECDA-4432-B6E5-AF77031DB825}">
  <dimension ref="A2:M36"/>
  <sheetViews>
    <sheetView workbookViewId="0">
      <selection activeCell="P12" sqref="P12"/>
    </sheetView>
  </sheetViews>
  <sheetFormatPr defaultRowHeight="36.75" x14ac:dyDescent="0.25"/>
  <cols>
    <col min="1" max="1" width="12.25" style="32" customWidth="1"/>
    <col min="2" max="2" width="3.25" style="29" bestFit="1" customWidth="1"/>
    <col min="3" max="11" width="10.625" style="29" customWidth="1"/>
    <col min="12" max="13" width="9" style="30"/>
    <col min="14" max="16384" width="9" style="29"/>
  </cols>
  <sheetData>
    <row r="2" spans="1:13" ht="49.5" x14ac:dyDescent="0.25">
      <c r="C2" s="33" t="str">
        <f xml:space="preserve"> _xlfn.CONCAT("o", _xlfn.UNICHAR(HEX2DEC(RIGHT("U+0358",4))))</f>
        <v>o͘</v>
      </c>
      <c r="D2" s="34" t="s">
        <v>223</v>
      </c>
      <c r="E2" s="34" t="s">
        <v>224</v>
      </c>
      <c r="F2" s="34" t="s">
        <v>225</v>
      </c>
      <c r="G2" s="34" t="s">
        <v>226</v>
      </c>
      <c r="H2" s="34" t="s">
        <v>227</v>
      </c>
      <c r="I2" s="34" t="s">
        <v>228</v>
      </c>
      <c r="J2" s="34" t="s">
        <v>229</v>
      </c>
    </row>
    <row r="3" spans="1:13" ht="49.5" x14ac:dyDescent="0.25">
      <c r="B3" s="29">
        <v>1</v>
      </c>
      <c r="C3" s="35" t="str">
        <f>IFERROR( _xlfn.CONCAT("o", _xlfn.UNICHAR(HEX2DEC(RIGHT("U+0358",4))), _xlfn.UNICHAR(HEX2DEC(RIGHT([1]調表!E4,4)))), $C$2)</f>
        <v>o͘</v>
      </c>
      <c r="D3" s="35" t="str">
        <f>IFERROR( _xlfn.CONCAT(D$2, IF([1]調表!$E4="", "", _xlfn.UNICHAR(HEX2DEC(RIGHT([1]調表!$E4,4))))), "")</f>
        <v>a</v>
      </c>
      <c r="E3" s="35" t="str">
        <f>IFERROR( _xlfn.CONCAT(E$2, IF([1]調表!$E4="", "", _xlfn.UNICHAR(HEX2DEC(RIGHT([1]調表!$E4,4))))), "")</f>
        <v>i</v>
      </c>
      <c r="F3" s="35" t="str">
        <f>IFERROR( _xlfn.CONCAT(F$2, IF([1]調表!$E4="", "", _xlfn.UNICHAR(HEX2DEC(RIGHT([1]調表!$E4,4))))), "")</f>
        <v>u</v>
      </c>
      <c r="G3" s="35" t="str">
        <f>IFERROR( _xlfn.CONCAT(G$2, IF([1]調表!$E4="", "", _xlfn.UNICHAR(HEX2DEC(RIGHT([1]調表!$E4,4))))), "")</f>
        <v>e</v>
      </c>
      <c r="H3" s="35" t="str">
        <f>IFERROR( _xlfn.CONCAT(H$2, IF([1]調表!$E4="", "", _xlfn.UNICHAR(HEX2DEC(RIGHT([1]調表!$E4,4))))), "")</f>
        <v>o</v>
      </c>
      <c r="I3" s="35" t="str">
        <f>IFERROR( _xlfn.CONCAT(I$2, IF([1]調表!$E4="", "", _xlfn.UNICHAR(HEX2DEC(RIGHT([1]調表!$E4,4))))), "")</f>
        <v>m</v>
      </c>
      <c r="J3" s="35" t="str">
        <f>IFERROR( _xlfn.CONCAT(J$2, IF([1]調表!$E4="", "", _xlfn.UNICHAR(HEX2DEC(RIGHT([1]調表!$E4,4))))), "")</f>
        <v>n</v>
      </c>
    </row>
    <row r="4" spans="1:13" ht="49.5" x14ac:dyDescent="0.25">
      <c r="B4" s="29">
        <v>2</v>
      </c>
      <c r="C4" s="35" t="str">
        <f>IFERROR( _xlfn.CONCAT("o", _xlfn.UNICHAR(HEX2DEC(RIGHT("U+0358",4))), _xlfn.UNICHAR(HEX2DEC(RIGHT([1]調表!E5,4)))), $C$2)</f>
        <v>ó͘</v>
      </c>
      <c r="D4" s="35" t="str">
        <f>IFERROR( _xlfn.CONCAT(D$2, IF([1]調表!$E5="", "", _xlfn.UNICHAR(HEX2DEC(RIGHT([1]調表!$E5,4))))), "")</f>
        <v>á</v>
      </c>
      <c r="E4" s="35" t="str">
        <f>IFERROR( _xlfn.CONCAT(E$2, IF([1]調表!$E5="", "", _xlfn.UNICHAR(HEX2DEC(RIGHT([1]調表!$E5,4))))), "")</f>
        <v>í</v>
      </c>
      <c r="F4" s="35" t="str">
        <f>IFERROR( _xlfn.CONCAT(F$2, IF([1]調表!$E5="", "", _xlfn.UNICHAR(HEX2DEC(RIGHT([1]調表!$E5,4))))), "")</f>
        <v>ú</v>
      </c>
      <c r="G4" s="35" t="str">
        <f>IFERROR( _xlfn.CONCAT(G$2, IF([1]調表!$E5="", "", _xlfn.UNICHAR(HEX2DEC(RIGHT([1]調表!$E5,4))))), "")</f>
        <v>é</v>
      </c>
      <c r="H4" s="35" t="str">
        <f>IFERROR( _xlfn.CONCAT(H$2, IF([1]調表!$E5="", "", _xlfn.UNICHAR(HEX2DEC(RIGHT([1]調表!$E5,4))))), "")</f>
        <v>ó</v>
      </c>
      <c r="I4" s="35" t="str">
        <f>IFERROR( _xlfn.CONCAT(I$2, IF([1]調表!$E5="", "", _xlfn.UNICHAR(HEX2DEC(RIGHT([1]調表!$E5,4))))), "")</f>
        <v>ḿ</v>
      </c>
      <c r="J4" s="35" t="str">
        <f>IFERROR( _xlfn.CONCAT(J$2, IF([1]調表!$E5="", "", _xlfn.UNICHAR(HEX2DEC(RIGHT([1]調表!$E5,4))))), "")</f>
        <v>ń</v>
      </c>
    </row>
    <row r="5" spans="1:13" ht="49.5" x14ac:dyDescent="0.25">
      <c r="B5" s="29">
        <v>3</v>
      </c>
      <c r="C5" s="35" t="str">
        <f>IFERROR( _xlfn.CONCAT("o", _xlfn.UNICHAR(HEX2DEC(RIGHT("U+0358",4))), _xlfn.UNICHAR(HEX2DEC(RIGHT([1]調表!E6,4)))), $C$2)</f>
        <v>ò͘</v>
      </c>
      <c r="D5" s="35" t="str">
        <f>IFERROR( _xlfn.CONCAT(D$2, IF([1]調表!$E6="", "", _xlfn.UNICHAR(HEX2DEC(RIGHT([1]調表!$E6,4))))), "")</f>
        <v>à</v>
      </c>
      <c r="E5" s="35" t="str">
        <f>IFERROR( _xlfn.CONCAT(E$2, IF([1]調表!$E6="", "", _xlfn.UNICHAR(HEX2DEC(RIGHT([1]調表!$E6,4))))), "")</f>
        <v>ì</v>
      </c>
      <c r="F5" s="35" t="str">
        <f>IFERROR( _xlfn.CONCAT(F$2, IF([1]調表!$E6="", "", _xlfn.UNICHAR(HEX2DEC(RIGHT([1]調表!$E6,4))))), "")</f>
        <v>ù</v>
      </c>
      <c r="G5" s="35" t="str">
        <f>IFERROR( _xlfn.CONCAT(G$2, IF([1]調表!$E6="", "", _xlfn.UNICHAR(HEX2DEC(RIGHT([1]調表!$E6,4))))), "")</f>
        <v>è</v>
      </c>
      <c r="H5" s="35" t="str">
        <f>IFERROR( _xlfn.CONCAT(H$2, IF([1]調表!$E6="", "", _xlfn.UNICHAR(HEX2DEC(RIGHT([1]調表!$E6,4))))), "")</f>
        <v>ò</v>
      </c>
      <c r="I5" s="35" t="str">
        <f>IFERROR( _xlfn.CONCAT(I$2, IF([1]調表!$E6="", "", _xlfn.UNICHAR(HEX2DEC(RIGHT([1]調表!$E6,4))))), "")</f>
        <v>m̀</v>
      </c>
      <c r="J5" s="35" t="str">
        <f>IFERROR( _xlfn.CONCAT(J$2, IF([1]調表!$E6="", "", _xlfn.UNICHAR(HEX2DEC(RIGHT([1]調表!$E6,4))))), "")</f>
        <v>ǹ</v>
      </c>
    </row>
    <row r="6" spans="1:13" ht="49.5" x14ac:dyDescent="0.25">
      <c r="B6" s="29">
        <v>4</v>
      </c>
      <c r="C6" s="35" t="str">
        <f>IFERROR( _xlfn.CONCAT("o", _xlfn.UNICHAR(HEX2DEC(RIGHT("U+0358",4))), _xlfn.UNICHAR(HEX2DEC(RIGHT([1]調表!E7,4)))), $C$2)</f>
        <v>o͘</v>
      </c>
      <c r="D6" s="35" t="str">
        <f>IFERROR( _xlfn.CONCAT(D$2, IF([1]調表!$E7="", "", _xlfn.UNICHAR(HEX2DEC(RIGHT([1]調表!$E7,4))))), "")</f>
        <v>a</v>
      </c>
      <c r="E6" s="35" t="str">
        <f>IFERROR( _xlfn.CONCAT(E$2, IF([1]調表!$E7="", "", _xlfn.UNICHAR(HEX2DEC(RIGHT([1]調表!$E7,4))))), "")</f>
        <v>i</v>
      </c>
      <c r="F6" s="35" t="str">
        <f>IFERROR( _xlfn.CONCAT(F$2, IF([1]調表!$E7="", "", _xlfn.UNICHAR(HEX2DEC(RIGHT([1]調表!$E7,4))))), "")</f>
        <v>u</v>
      </c>
      <c r="G6" s="35" t="str">
        <f>IFERROR( _xlfn.CONCAT(G$2, IF([1]調表!$E7="", "", _xlfn.UNICHAR(HEX2DEC(RIGHT([1]調表!$E7,4))))), "")</f>
        <v>e</v>
      </c>
      <c r="H6" s="35" t="str">
        <f>IFERROR( _xlfn.CONCAT(H$2, IF([1]調表!$E7="", "", _xlfn.UNICHAR(HEX2DEC(RIGHT([1]調表!$E7,4))))), "")</f>
        <v>o</v>
      </c>
      <c r="I6" s="35" t="str">
        <f>IFERROR( _xlfn.CONCAT(I$2, IF([1]調表!$E7="", "", _xlfn.UNICHAR(HEX2DEC(RIGHT([1]調表!$E7,4))))), "")</f>
        <v>m</v>
      </c>
      <c r="J6" s="35" t="str">
        <f>IFERROR( _xlfn.CONCAT(J$2, IF([1]調表!$E7="", "", _xlfn.UNICHAR(HEX2DEC(RIGHT([1]調表!$E7,4))))), "")</f>
        <v>n</v>
      </c>
    </row>
    <row r="7" spans="1:13" ht="49.5" x14ac:dyDescent="0.25">
      <c r="B7" s="29">
        <v>5</v>
      </c>
      <c r="C7" s="35" t="str">
        <f>IFERROR( _xlfn.CONCAT("o", _xlfn.UNICHAR(HEX2DEC(RIGHT("U+0358",4))), _xlfn.UNICHAR(HEX2DEC(RIGHT([1]調表!E8,4)))), "")</f>
        <v>ǒ͘</v>
      </c>
      <c r="D7" s="35" t="str">
        <f>IFERROR( _xlfn.CONCAT(D$2, IF([1]調表!$E8="", "", _xlfn.UNICHAR(HEX2DEC(RIGHT([1]調表!$E8,4))))), "")</f>
        <v>ǎ</v>
      </c>
      <c r="E7" s="35" t="str">
        <f>IFERROR( _xlfn.CONCAT(E$2, IF([1]調表!$E8="", "", _xlfn.UNICHAR(HEX2DEC(RIGHT([1]調表!$E8,4))))), "")</f>
        <v>ǐ</v>
      </c>
      <c r="F7" s="35" t="str">
        <f>IFERROR( _xlfn.CONCAT(F$2, IF([1]調表!$E8="", "", _xlfn.UNICHAR(HEX2DEC(RIGHT([1]調表!$E8,4))))), "")</f>
        <v>ǔ</v>
      </c>
      <c r="G7" s="35" t="str">
        <f>IFERROR( _xlfn.CONCAT(G$2, IF([1]調表!$E8="", "", _xlfn.UNICHAR(HEX2DEC(RIGHT([1]調表!$E8,4))))), "")</f>
        <v>ě</v>
      </c>
      <c r="H7" s="35" t="str">
        <f>IFERROR( _xlfn.CONCAT(H$2, IF([1]調表!$E8="", "", _xlfn.UNICHAR(HEX2DEC(RIGHT([1]調表!$E8,4))))), "")</f>
        <v>ǒ</v>
      </c>
      <c r="I7" s="35" t="str">
        <f>IFERROR( _xlfn.CONCAT(I$2, IF([1]調表!$E8="", "", _xlfn.UNICHAR(HEX2DEC(RIGHT([1]調表!$E8,4))))), "")</f>
        <v>m̌</v>
      </c>
      <c r="J7" s="35" t="str">
        <f>IFERROR( _xlfn.CONCAT(J$2, IF([1]調表!$E8="", "", _xlfn.UNICHAR(HEX2DEC(RIGHT([1]調表!$E8,4))))), "")</f>
        <v>ň</v>
      </c>
    </row>
    <row r="8" spans="1:13" ht="49.5" x14ac:dyDescent="0.25">
      <c r="B8" s="29">
        <v>6</v>
      </c>
      <c r="C8" s="35" t="str">
        <f>IFERROR( _xlfn.CONCAT("o", _xlfn.UNICHAR(HEX2DEC(RIGHT("U+0358",4))), _xlfn.UNICHAR(HEX2DEC(RIGHT([1]調表!E9,4)))), "")</f>
        <v>ó͘</v>
      </c>
      <c r="D8" s="35" t="str">
        <f>IFERROR( _xlfn.CONCAT(D$2, IF([1]調表!$E9="", "", _xlfn.UNICHAR(HEX2DEC(RIGHT([1]調表!$E9,4))))), "")</f>
        <v>á</v>
      </c>
      <c r="E8" s="35" t="str">
        <f>IFERROR( _xlfn.CONCAT(E$2, IF([1]調表!$E9="", "", _xlfn.UNICHAR(HEX2DEC(RIGHT([1]調表!$E9,4))))), "")</f>
        <v>í</v>
      </c>
      <c r="F8" s="35" t="str">
        <f>IFERROR( _xlfn.CONCAT(F$2, IF([1]調表!$E9="", "", _xlfn.UNICHAR(HEX2DEC(RIGHT([1]調表!$E9,4))))), "")</f>
        <v>ú</v>
      </c>
      <c r="G8" s="35" t="str">
        <f>IFERROR( _xlfn.CONCAT(G$2, IF([1]調表!$E9="", "", _xlfn.UNICHAR(HEX2DEC(RIGHT([1]調表!$E9,4))))), "")</f>
        <v>é</v>
      </c>
      <c r="H8" s="35" t="str">
        <f>IFERROR( _xlfn.CONCAT(H$2, IF([1]調表!$E9="", "", _xlfn.UNICHAR(HEX2DEC(RIGHT([1]調表!$E9,4))))), "")</f>
        <v>ó</v>
      </c>
      <c r="I8" s="35" t="str">
        <f>IFERROR( _xlfn.CONCAT(I$2, IF([1]調表!$E9="", "", _xlfn.UNICHAR(HEX2DEC(RIGHT([1]調表!$E9,4))))), "")</f>
        <v>ḿ</v>
      </c>
      <c r="J8" s="35" t="str">
        <f>IFERROR( _xlfn.CONCAT(J$2, IF([1]調表!$E9="", "", _xlfn.UNICHAR(HEX2DEC(RIGHT([1]調表!$E9,4))))), "")</f>
        <v>ń</v>
      </c>
    </row>
    <row r="9" spans="1:13" ht="49.5" x14ac:dyDescent="0.25">
      <c r="B9" s="29">
        <v>7</v>
      </c>
      <c r="C9" s="35" t="str">
        <f>IFERROR( _xlfn.CONCAT("o", _xlfn.UNICHAR(HEX2DEC(RIGHT("U+0358",4))), _xlfn.UNICHAR(HEX2DEC(RIGHT([1]調表!E10,4)))), "")</f>
        <v>ō͘</v>
      </c>
      <c r="D9" s="35" t="str">
        <f>IFERROR( _xlfn.CONCAT(D$2, IF([1]調表!$E10="", "", _xlfn.UNICHAR(HEX2DEC(RIGHT([1]調表!$E10,4))))), "")</f>
        <v>ā</v>
      </c>
      <c r="E9" s="35" t="str">
        <f>IFERROR( _xlfn.CONCAT(E$2, IF([1]調表!$E10="", "", _xlfn.UNICHAR(HEX2DEC(RIGHT([1]調表!$E10,4))))), "")</f>
        <v>ī</v>
      </c>
      <c r="F9" s="35" t="str">
        <f>IFERROR( _xlfn.CONCAT(F$2, IF([1]調表!$E10="", "", _xlfn.UNICHAR(HEX2DEC(RIGHT([1]調表!$E10,4))))), "")</f>
        <v>ū</v>
      </c>
      <c r="G9" s="35" t="str">
        <f>IFERROR( _xlfn.CONCAT(G$2, IF([1]調表!$E10="", "", _xlfn.UNICHAR(HEX2DEC(RIGHT([1]調表!$E10,4))))), "")</f>
        <v>ē</v>
      </c>
      <c r="H9" s="35" t="str">
        <f>IFERROR( _xlfn.CONCAT(H$2, IF([1]調表!$E10="", "", _xlfn.UNICHAR(HEX2DEC(RIGHT([1]調表!$E10,4))))), "")</f>
        <v>ō</v>
      </c>
      <c r="I9" s="35" t="str">
        <f>IFERROR( _xlfn.CONCAT(I$2, IF([1]調表!$E10="", "", _xlfn.UNICHAR(HEX2DEC(RIGHT([1]調表!$E10,4))))), "")</f>
        <v>m̄</v>
      </c>
      <c r="J9" s="35" t="str">
        <f>IFERROR( _xlfn.CONCAT(J$2, IF([1]調表!$E10="", "", _xlfn.UNICHAR(HEX2DEC(RIGHT([1]調表!$E10,4))))), "")</f>
        <v>n̄</v>
      </c>
    </row>
    <row r="10" spans="1:13" ht="49.5" x14ac:dyDescent="0.25">
      <c r="B10" s="29">
        <v>8</v>
      </c>
      <c r="C10" s="35" t="str">
        <f>IFERROR( _xlfn.CONCAT("o", _xlfn.UNICHAR(HEX2DEC(RIGHT("U+0358",4))), _xlfn.UNICHAR(HEX2DEC(RIGHT([1]調表!E11,4)))), "")</f>
        <v>o̍͘</v>
      </c>
      <c r="D10" s="35" t="str">
        <f>IFERROR( _xlfn.CONCAT(D$2, IF([1]調表!$E11="", "", _xlfn.UNICHAR(HEX2DEC(RIGHT([1]調表!$E11,4))))), "")</f>
        <v>a̍</v>
      </c>
      <c r="E10" s="35" t="str">
        <f>IFERROR( _xlfn.CONCAT(E$2, IF([1]調表!$E11="", "", _xlfn.UNICHAR(HEX2DEC(RIGHT([1]調表!$E11,4))))), "")</f>
        <v>i̍</v>
      </c>
      <c r="F10" s="35" t="str">
        <f>IFERROR( _xlfn.CONCAT(F$2, IF([1]調表!$E11="", "", _xlfn.UNICHAR(HEX2DEC(RIGHT([1]調表!$E11,4))))), "")</f>
        <v>u̍</v>
      </c>
      <c r="G10" s="35" t="str">
        <f>IFERROR( _xlfn.CONCAT(G$2, IF([1]調表!$E11="", "", _xlfn.UNICHAR(HEX2DEC(RIGHT([1]調表!$E11,4))))), "")</f>
        <v>e̍</v>
      </c>
      <c r="H10" s="35" t="str">
        <f>IFERROR( _xlfn.CONCAT(H$2, IF([1]調表!$E11="", "", _xlfn.UNICHAR(HEX2DEC(RIGHT([1]調表!$E11,4))))), "")</f>
        <v>o̍</v>
      </c>
      <c r="I10" s="35" t="str">
        <f>IFERROR( _xlfn.CONCAT(I$2, IF([1]調表!$E11="", "", _xlfn.UNICHAR(HEX2DEC(RIGHT([1]調表!$E11,4))))), "")</f>
        <v>m̍</v>
      </c>
      <c r="J10" s="35" t="str">
        <f>IFERROR( _xlfn.CONCAT(J$2, IF([1]調表!$E11="", "", _xlfn.UNICHAR(HEX2DEC(RIGHT([1]調表!$E11,4))))), "")</f>
        <v>n̍</v>
      </c>
    </row>
    <row r="11" spans="1:13" ht="49.5" x14ac:dyDescent="0.25">
      <c r="B11" s="29">
        <v>9</v>
      </c>
      <c r="C11" s="35" t="str">
        <f>IFERROR( _xlfn.CONCAT("o", _xlfn.UNICHAR(HEX2DEC(RIGHT("U+0358",4))), _xlfn.UNICHAR(HEX2DEC(RIGHT([1]調表!E12,4)))), "")</f>
        <v>ő͘</v>
      </c>
      <c r="D11" s="35" t="str">
        <f>IFERROR( _xlfn.CONCAT(D$2, IF([1]調表!$E12="", "", _xlfn.UNICHAR(HEX2DEC(RIGHT([1]調表!$E12,4))))), "")</f>
        <v>a̋</v>
      </c>
      <c r="E11" s="35" t="str">
        <f>IFERROR( _xlfn.CONCAT(E$2, IF([1]調表!$E12="", "", _xlfn.UNICHAR(HEX2DEC(RIGHT([1]調表!$E12,4))))), "")</f>
        <v>i̋</v>
      </c>
      <c r="F11" s="35" t="str">
        <f>IFERROR( _xlfn.CONCAT(F$2, IF([1]調表!$E12="", "", _xlfn.UNICHAR(HEX2DEC(RIGHT([1]調表!$E12,4))))), "")</f>
        <v>ű</v>
      </c>
      <c r="G11" s="35" t="str">
        <f>IFERROR( _xlfn.CONCAT(G$2, IF([1]調表!$E12="", "", _xlfn.UNICHAR(HEX2DEC(RIGHT([1]調表!$E12,4))))), "")</f>
        <v>e̋</v>
      </c>
      <c r="H11" s="35" t="str">
        <f>IFERROR( _xlfn.CONCAT(H$2, IF([1]調表!$E12="", "", _xlfn.UNICHAR(HEX2DEC(RIGHT([1]調表!$E12,4))))), "")</f>
        <v>ő</v>
      </c>
      <c r="I11" s="35" t="str">
        <f>IFERROR( _xlfn.CONCAT(I$2, IF([1]調表!$E12="", "", _xlfn.UNICHAR(HEX2DEC(RIGHT([1]調表!$E12,4))))), "")</f>
        <v>m̋</v>
      </c>
      <c r="J11" s="35" t="str">
        <f>IFERROR( _xlfn.CONCAT(J$2, IF([1]調表!$E12="", "", _xlfn.UNICHAR(HEX2DEC(RIGHT([1]調表!$E12,4))))), "")</f>
        <v>n̋</v>
      </c>
    </row>
    <row r="12" spans="1:13" ht="49.5" x14ac:dyDescent="0.25">
      <c r="B12" s="29">
        <v>0</v>
      </c>
      <c r="C12" s="35" t="str">
        <f>IFERROR( _xlfn.CONCAT("o", _xlfn.UNICHAR(HEX2DEC(RIGHT("U+0358",4))), _xlfn.UNICHAR(HEX2DEC(RIGHT([1]調表!E13,4)))), "")</f>
        <v>o̊͘</v>
      </c>
      <c r="D12" s="35" t="str">
        <f>IFERROR( _xlfn.CONCAT(D$2, IF([1]調表!$E13="", "", _xlfn.UNICHAR(HEX2DEC(RIGHT([1]調表!$E13,4))))), "")</f>
        <v>å</v>
      </c>
      <c r="E12" s="35" t="str">
        <f>IFERROR( _xlfn.CONCAT(E$2, IF([1]調表!$E13="", "", _xlfn.UNICHAR(HEX2DEC(RIGHT([1]調表!$E13,4))))), "")</f>
        <v>i̊</v>
      </c>
      <c r="F12" s="35" t="str">
        <f>IFERROR( _xlfn.CONCAT(F$2, IF([1]調表!$E13="", "", _xlfn.UNICHAR(HEX2DEC(RIGHT([1]調表!$E13,4))))), "")</f>
        <v>ů</v>
      </c>
      <c r="G12" s="35" t="str">
        <f>IFERROR( _xlfn.CONCAT(G$2, IF([1]調表!$E13="", "", _xlfn.UNICHAR(HEX2DEC(RIGHT([1]調表!$E13,4))))), "")</f>
        <v>e̊</v>
      </c>
      <c r="H12" s="35" t="str">
        <f>IFERROR( _xlfn.CONCAT(H$2, IF([1]調表!$E13="", "", _xlfn.UNICHAR(HEX2DEC(RIGHT([1]調表!$E13,4))))), "")</f>
        <v>o̊</v>
      </c>
      <c r="I12" s="35" t="str">
        <f>IFERROR( _xlfn.CONCAT(I$2, IF([1]調表!$E13="", "", _xlfn.UNICHAR(HEX2DEC(RIGHT([1]調表!$E13,4))))), "")</f>
        <v>m̊</v>
      </c>
      <c r="J12" s="35" t="str">
        <f>IFERROR( _xlfn.CONCAT(J$2, IF([1]調表!$E13="", "", _xlfn.UNICHAR(HEX2DEC(RIGHT([1]調表!$E13,4))))), "")</f>
        <v>n̊</v>
      </c>
    </row>
    <row r="15" spans="1:13" x14ac:dyDescent="0.25">
      <c r="A15" s="29"/>
      <c r="C15" s="34" t="s">
        <v>223</v>
      </c>
      <c r="D15" s="34" t="s">
        <v>224</v>
      </c>
      <c r="E15" s="34" t="s">
        <v>225</v>
      </c>
      <c r="F15" s="34" t="s">
        <v>226</v>
      </c>
      <c r="G15" s="34" t="s">
        <v>227</v>
      </c>
      <c r="H15" s="34" t="s">
        <v>228</v>
      </c>
      <c r="I15" s="34" t="s">
        <v>229</v>
      </c>
      <c r="L15" s="30" t="str">
        <f xml:space="preserve"> IFERROR( _xlfn.CONCAT("l", "u", _xlfn.UNICHAR(HEX2DEC(RIGHT([1]調表!$O4,4))), "n"), "")</f>
        <v>lūn</v>
      </c>
      <c r="M15" s="30" t="str">
        <f xml:space="preserve"> IFERROR( _xlfn.CONCAT("n", "g", "o", _xlfn.UNICHAR(HEX2DEC(RIGHT([1]調表!$O4,4))), "o"), "")</f>
        <v>ngōo</v>
      </c>
    </row>
    <row r="16" spans="1:13" ht="49.5" x14ac:dyDescent="0.25">
      <c r="B16" s="29">
        <v>1</v>
      </c>
      <c r="C16" s="35" t="str">
        <f>IFERROR( _xlfn.CONCAT(D$2, IF([1]調表!$E17="", "", _xlfn.UNICHAR(HEX2DEC(RIGHT([1]調表!$E17,4))))), "")</f>
        <v>ā</v>
      </c>
      <c r="D16" s="35" t="str">
        <f>IFERROR( _xlfn.CONCAT(E$2, IF([1]調表!$E17="", "", _xlfn.UNICHAR(HEX2DEC(RIGHT([1]調表!$E17,4))))), "")</f>
        <v>ī</v>
      </c>
      <c r="E16" s="35" t="str">
        <f>IFERROR( _xlfn.CONCAT(F$2, IF([1]調表!$E17="", "", _xlfn.UNICHAR(HEX2DEC(RIGHT([1]調表!$E17,4))))), "")</f>
        <v>ū</v>
      </c>
      <c r="F16" s="35" t="str">
        <f>IFERROR( _xlfn.CONCAT(G$2, IF([1]調表!$E17="", "", _xlfn.UNICHAR(HEX2DEC(RIGHT([1]調表!$E17,4))))), "")</f>
        <v>ē</v>
      </c>
      <c r="G16" s="35" t="str">
        <f>IFERROR( _xlfn.CONCAT(H$2, IF([1]調表!$E17="", "", _xlfn.UNICHAR(HEX2DEC(RIGHT([1]調表!$E17,4))))), "")</f>
        <v>ō</v>
      </c>
      <c r="H16" s="35" t="str">
        <f>IFERROR( _xlfn.CONCAT(I$2, IF([1]調表!$E17="", "", _xlfn.UNICHAR(HEX2DEC(RIGHT([1]調表!$E17,4))))), "")</f>
        <v>m̄</v>
      </c>
      <c r="I16" s="35" t="str">
        <f>IFERROR( _xlfn.CONCAT(J$2, IF([1]調表!$E17="", "", _xlfn.UNICHAR(HEX2DEC(RIGHT([1]調表!$E17,4))))), "")</f>
        <v>n̄</v>
      </c>
      <c r="L16" s="30" t="str">
        <f xml:space="preserve"> IFERROR( _xlfn.CONCAT("l", "u", _xlfn.UNICHAR(HEX2DEC(RIGHT([1]調表!$O7,4))), "n"), "")</f>
        <v>lǔn</v>
      </c>
      <c r="M16" s="30" t="str">
        <f xml:space="preserve"> IFERROR( _xlfn.CONCAT("n", "g", "o", _xlfn.UNICHAR(HEX2DEC(RIGHT([1]調表!$O7,4))), "o"), "")</f>
        <v>ngǒo</v>
      </c>
    </row>
    <row r="17" spans="1:13" ht="49.5" x14ac:dyDescent="0.25">
      <c r="B17" s="29">
        <v>2</v>
      </c>
      <c r="C17" s="35" t="str">
        <f>IFERROR( _xlfn.CONCAT(D$2, IF([1]調表!$E18="", "", _xlfn.UNICHAR(HEX2DEC(RIGHT([1]調表!$E18,4))))), "")</f>
        <v>á</v>
      </c>
      <c r="D17" s="35" t="str">
        <f>IFERROR( _xlfn.CONCAT(E$2, IF([1]調表!$E18="", "", _xlfn.UNICHAR(HEX2DEC(RIGHT([1]調表!$E18,4))))), "")</f>
        <v>í</v>
      </c>
      <c r="E17" s="35" t="str">
        <f>IFERROR( _xlfn.CONCAT(F$2, IF([1]調表!$E18="", "", _xlfn.UNICHAR(HEX2DEC(RIGHT([1]調表!$E18,4))))), "")</f>
        <v>ú</v>
      </c>
      <c r="F17" s="35" t="str">
        <f>IFERROR( _xlfn.CONCAT(G$2, IF([1]調表!$E18="", "", _xlfn.UNICHAR(HEX2DEC(RIGHT([1]調表!$E18,4))))), "")</f>
        <v>é</v>
      </c>
      <c r="G17" s="35" t="str">
        <f>IFERROR( _xlfn.CONCAT(H$2, IF([1]調表!$E18="", "", _xlfn.UNICHAR(HEX2DEC(RIGHT([1]調表!$E18,4))))), "")</f>
        <v>ó</v>
      </c>
      <c r="H17" s="35" t="str">
        <f>IFERROR( _xlfn.CONCAT(I$2, IF([1]調表!$E18="", "", _xlfn.UNICHAR(HEX2DEC(RIGHT([1]調表!$E18,4))))), "")</f>
        <v>ḿ</v>
      </c>
      <c r="I17" s="35" t="str">
        <f>IFERROR( _xlfn.CONCAT(J$2, IF([1]調表!$E18="", "", _xlfn.UNICHAR(HEX2DEC(RIGHT([1]調表!$E18,4))))), "")</f>
        <v>ń</v>
      </c>
      <c r="L17" s="30" t="str">
        <f xml:space="preserve"> IFERROR( _xlfn.CONCAT("l", "u", _xlfn.UNICHAR(HEX2DEC(RIGHT([1]調表!$O6,4))), "n"), "")</f>
        <v>lùn</v>
      </c>
      <c r="M17" s="30" t="str">
        <f xml:space="preserve"> IFERROR( _xlfn.CONCAT("n", "g", "o", _xlfn.UNICHAR(HEX2DEC(RIGHT([1]調表!$O6,4))), "o"), "")</f>
        <v>ngòo</v>
      </c>
    </row>
    <row r="18" spans="1:13" ht="49.5" x14ac:dyDescent="0.25">
      <c r="B18" s="29">
        <v>3</v>
      </c>
      <c r="C18" s="35" t="str">
        <f>IFERROR( _xlfn.CONCAT(D$2, IF([1]調表!$E19="", "", _xlfn.UNICHAR(HEX2DEC(RIGHT([1]調表!$E19,4))))), "")</f>
        <v>ǎ</v>
      </c>
      <c r="D18" s="35" t="str">
        <f>IFERROR( _xlfn.CONCAT(E$2, IF([1]調表!$E19="", "", _xlfn.UNICHAR(HEX2DEC(RIGHT([1]調表!$E19,4))))), "")</f>
        <v>ǐ</v>
      </c>
      <c r="E18" s="35" t="str">
        <f>IFERROR( _xlfn.CONCAT(F$2, IF([1]調表!$E19="", "", _xlfn.UNICHAR(HEX2DEC(RIGHT([1]調表!$E19,4))))), "")</f>
        <v>ǔ</v>
      </c>
      <c r="F18" s="35" t="str">
        <f>IFERROR( _xlfn.CONCAT(G$2, IF([1]調表!$E19="", "", _xlfn.UNICHAR(HEX2DEC(RIGHT([1]調表!$E19,4))))), "")</f>
        <v>ě</v>
      </c>
      <c r="G18" s="35" t="str">
        <f>IFERROR( _xlfn.CONCAT(H$2, IF([1]調表!$E19="", "", _xlfn.UNICHAR(HEX2DEC(RIGHT([1]調表!$E19,4))))), "")</f>
        <v>ǒ</v>
      </c>
      <c r="H18" s="35" t="str">
        <f>IFERROR( _xlfn.CONCAT(I$2, IF([1]調表!$E19="", "", _xlfn.UNICHAR(HEX2DEC(RIGHT([1]調表!$E19,4))))), "")</f>
        <v>m̌</v>
      </c>
      <c r="I18" s="35" t="str">
        <f>IFERROR( _xlfn.CONCAT(J$2, IF([1]調表!$E19="", "", _xlfn.UNICHAR(HEX2DEC(RIGHT([1]調表!$E19,4))))), "")</f>
        <v>ň</v>
      </c>
      <c r="L18" s="30" t="str">
        <f xml:space="preserve"> IFERROR( _xlfn.CONCAT("l", "u", _xlfn.UNICHAR(HEX2DEC(RIGHT([1]調表!$O9,4))), "n"), "")</f>
        <v>lūn</v>
      </c>
      <c r="M18" s="30" t="str">
        <f xml:space="preserve"> IFERROR( _xlfn.CONCAT("n", "g", "o", _xlfn.UNICHAR(HEX2DEC(RIGHT([1]調表!$O9,4))), "o"), "")</f>
        <v>ngōo</v>
      </c>
    </row>
    <row r="19" spans="1:13" ht="49.5" x14ac:dyDescent="0.25">
      <c r="B19" s="29">
        <v>4</v>
      </c>
      <c r="C19" s="35" t="str">
        <f>IFERROR( _xlfn.CONCAT(D$2, IF([1]調表!$E20="", "", _xlfn.UNICHAR(HEX2DEC(RIGHT([1]調表!$E20,4))))), "")</f>
        <v>ǎ</v>
      </c>
      <c r="D19" s="35" t="str">
        <f>IFERROR( _xlfn.CONCAT(E$2, IF([1]調表!$E20="", "", _xlfn.UNICHAR(HEX2DEC(RIGHT([1]調表!$E20,4))))), "")</f>
        <v>ǐ</v>
      </c>
      <c r="E19" s="35" t="str">
        <f>IFERROR( _xlfn.CONCAT(F$2, IF([1]調表!$E20="", "", _xlfn.UNICHAR(HEX2DEC(RIGHT([1]調表!$E20,4))))), "")</f>
        <v>ǔ</v>
      </c>
      <c r="F19" s="35" t="str">
        <f>IFERROR( _xlfn.CONCAT(G$2, IF([1]調表!$E20="", "", _xlfn.UNICHAR(HEX2DEC(RIGHT([1]調表!$E20,4))))), "")</f>
        <v>ě</v>
      </c>
      <c r="G19" s="35" t="str">
        <f>IFERROR( _xlfn.CONCAT(H$2, IF([1]調表!$E20="", "", _xlfn.UNICHAR(HEX2DEC(RIGHT([1]調表!$E20,4))))), "")</f>
        <v>ǒ</v>
      </c>
      <c r="H19" s="35" t="str">
        <f>IFERROR( _xlfn.CONCAT(I$2, IF([1]調表!$E20="", "", _xlfn.UNICHAR(HEX2DEC(RIGHT([1]調表!$E20,4))))), "")</f>
        <v>m̌</v>
      </c>
      <c r="I19" s="35" t="str">
        <f>IFERROR( _xlfn.CONCAT(J$2, IF([1]調表!$E20="", "", _xlfn.UNICHAR(HEX2DEC(RIGHT([1]調表!$E20,4))))), "")</f>
        <v>ň</v>
      </c>
      <c r="L19" s="30" t="str">
        <f xml:space="preserve"> IFERROR( _xlfn.CONCAT("l", "u", _xlfn.UNICHAR(HEX2DEC(RIGHT([1]調表!$O8,4))), "n"), "")</f>
        <v>lún</v>
      </c>
      <c r="M19" s="30" t="str">
        <f xml:space="preserve"> IFERROR( _xlfn.CONCAT("n", "g", "o", _xlfn.UNICHAR(HEX2DEC(RIGHT([1]調表!$O8,4))), "o"), "")</f>
        <v>ngóo</v>
      </c>
    </row>
    <row r="20" spans="1:13" ht="49.5" x14ac:dyDescent="0.25">
      <c r="B20" s="29">
        <v>5</v>
      </c>
      <c r="C20" s="35" t="str">
        <f>IFERROR( _xlfn.CONCAT(D$2, IF([1]調表!$E21="", "", _xlfn.UNICHAR(HEX2DEC(RIGHT([1]調表!$E21,4))))), "")</f>
        <v>à</v>
      </c>
      <c r="D20" s="35" t="str">
        <f>IFERROR( _xlfn.CONCAT(E$2, IF([1]調表!$E21="", "", _xlfn.UNICHAR(HEX2DEC(RIGHT([1]調表!$E21,4))))), "")</f>
        <v>ì</v>
      </c>
      <c r="E20" s="35" t="str">
        <f>IFERROR( _xlfn.CONCAT(F$2, IF([1]調表!$E21="", "", _xlfn.UNICHAR(HEX2DEC(RIGHT([1]調表!$E21,4))))), "")</f>
        <v>ù</v>
      </c>
      <c r="F20" s="35" t="str">
        <f>IFERROR( _xlfn.CONCAT(G$2, IF([1]調表!$E21="", "", _xlfn.UNICHAR(HEX2DEC(RIGHT([1]調表!$E21,4))))), "")</f>
        <v>è</v>
      </c>
      <c r="G20" s="35" t="str">
        <f>IFERROR( _xlfn.CONCAT(H$2, IF([1]調表!$E21="", "", _xlfn.UNICHAR(HEX2DEC(RIGHT([1]調表!$E21,4))))), "")</f>
        <v>ò</v>
      </c>
      <c r="H20" s="35" t="str">
        <f>IFERROR( _xlfn.CONCAT(I$2, IF([1]調表!$E21="", "", _xlfn.UNICHAR(HEX2DEC(RIGHT([1]調表!$E21,4))))), "")</f>
        <v>m̀</v>
      </c>
      <c r="I20" s="35" t="str">
        <f>IFERROR( _xlfn.CONCAT(J$2, IF([1]調表!$E21="", "", _xlfn.UNICHAR(HEX2DEC(RIGHT([1]調表!$E21,4))))), "")</f>
        <v>ǹ</v>
      </c>
      <c r="L20" s="30" t="str">
        <f xml:space="preserve"> IFERROR( _xlfn.CONCAT("l", "u", _xlfn.UNICHAR(HEX2DEC(RIGHT([1]調表!$O11,4))), "n"), "")</f>
        <v>lǔn</v>
      </c>
      <c r="M20" s="30" t="str">
        <f xml:space="preserve"> IFERROR( _xlfn.CONCAT("n", "g", "o", _xlfn.UNICHAR(HEX2DEC(RIGHT([1]調表!$O11,4))), "o"), "")</f>
        <v>ngǒo</v>
      </c>
    </row>
    <row r="21" spans="1:13" ht="49.5" x14ac:dyDescent="0.25">
      <c r="B21" s="29">
        <v>6</v>
      </c>
      <c r="C21" s="35" t="str">
        <f>IFERROR( _xlfn.CONCAT(D$2, IF([1]調表!$E22="", "", _xlfn.UNICHAR(HEX2DEC(RIGHT([1]調表!$E22,4))))), "")</f>
        <v>â</v>
      </c>
      <c r="D21" s="35" t="str">
        <f>IFERROR( _xlfn.CONCAT(E$2, IF([1]調表!$E22="", "", _xlfn.UNICHAR(HEX2DEC(RIGHT([1]調表!$E22,4))))), "")</f>
        <v>î</v>
      </c>
      <c r="E21" s="35" t="str">
        <f>IFERROR( _xlfn.CONCAT(F$2, IF([1]調表!$E22="", "", _xlfn.UNICHAR(HEX2DEC(RIGHT([1]調表!$E22,4))))), "")</f>
        <v>û</v>
      </c>
      <c r="F21" s="35" t="str">
        <f>IFERROR( _xlfn.CONCAT(G$2, IF([1]調表!$E22="", "", _xlfn.UNICHAR(HEX2DEC(RIGHT([1]調表!$E22,4))))), "")</f>
        <v>ê</v>
      </c>
      <c r="G21" s="35" t="str">
        <f>IFERROR( _xlfn.CONCAT(H$2, IF([1]調表!$E22="", "", _xlfn.UNICHAR(HEX2DEC(RIGHT([1]調表!$E22,4))))), "")</f>
        <v>ô</v>
      </c>
      <c r="H21" s="35" t="str">
        <f>IFERROR( _xlfn.CONCAT(I$2, IF([1]調表!$E22="", "", _xlfn.UNICHAR(HEX2DEC(RIGHT([1]調表!$E22,4))))), "")</f>
        <v>m̂</v>
      </c>
      <c r="I21" s="35" t="str">
        <f>IFERROR( _xlfn.CONCAT(J$2, IF([1]調表!$E22="", "", _xlfn.UNICHAR(HEX2DEC(RIGHT([1]調表!$E22,4))))), "")</f>
        <v>n̂</v>
      </c>
      <c r="L21" s="30" t="str">
        <f xml:space="preserve"> IFERROR( _xlfn.CONCAT("l", "u", _xlfn.UNICHAR(HEX2DEC(RIGHT([1]調表!$O5,4))), "n"), "")</f>
        <v>lûn</v>
      </c>
      <c r="M21" s="30" t="str">
        <f xml:space="preserve"> IFERROR( _xlfn.CONCAT("n", "g", "o", _xlfn.UNICHAR(HEX2DEC(RIGHT([1]調表!$O5,4))), "o"), "")</f>
        <v>ngôo</v>
      </c>
    </row>
    <row r="22" spans="1:13" ht="49.5" x14ac:dyDescent="0.25">
      <c r="B22" s="29">
        <v>7</v>
      </c>
      <c r="C22" s="35" t="str">
        <f>IFERROR( _xlfn.CONCAT(D$2, IF([1]調表!$E23="", "", _xlfn.UNICHAR(HEX2DEC(RIGHT([1]調表!$E23,4))))), "")</f>
        <v>ā</v>
      </c>
      <c r="D22" s="35" t="str">
        <f>IFERROR( _xlfn.CONCAT(E$2, IF([1]調表!$E23="", "", _xlfn.UNICHAR(HEX2DEC(RIGHT([1]調表!$E23,4))))), "")</f>
        <v>ī</v>
      </c>
      <c r="E22" s="35" t="str">
        <f>IFERROR( _xlfn.CONCAT(F$2, IF([1]調表!$E23="", "", _xlfn.UNICHAR(HEX2DEC(RIGHT([1]調表!$E23,4))))), "")</f>
        <v>ū</v>
      </c>
      <c r="F22" s="35" t="str">
        <f>IFERROR( _xlfn.CONCAT(G$2, IF([1]調表!$E23="", "", _xlfn.UNICHAR(HEX2DEC(RIGHT([1]調表!$E23,4))))), "")</f>
        <v>ē</v>
      </c>
      <c r="G22" s="35" t="str">
        <f>IFERROR( _xlfn.CONCAT(H$2, IF([1]調表!$E23="", "", _xlfn.UNICHAR(HEX2DEC(RIGHT([1]調表!$E23,4))))), "")</f>
        <v>ō</v>
      </c>
      <c r="H22" s="35" t="str">
        <f>IFERROR( _xlfn.CONCAT(I$2, IF([1]調表!$E23="", "", _xlfn.UNICHAR(HEX2DEC(RIGHT([1]調表!$E23,4))))), "")</f>
        <v>m̄</v>
      </c>
      <c r="I22" s="35" t="str">
        <f>IFERROR( _xlfn.CONCAT(J$2, IF([1]調表!$E23="", "", _xlfn.UNICHAR(HEX2DEC(RIGHT([1]調表!$E23,4))))), "")</f>
        <v>n̄</v>
      </c>
      <c r="L22" s="30" t="str">
        <f xml:space="preserve"> IFERROR( _xlfn.CONCAT("l", "u", _xlfn.UNICHAR(HEX2DEC(RIGHT([1]調表!$O10,4))), "n"), "")</f>
        <v>lún</v>
      </c>
      <c r="M22" s="30" t="str">
        <f xml:space="preserve"> IFERROR( _xlfn.CONCAT("n", "g", "o", _xlfn.UNICHAR(HEX2DEC(RIGHT([1]調表!$O10,4))), "o"), "")</f>
        <v>ngóo</v>
      </c>
    </row>
    <row r="23" spans="1:13" ht="49.5" x14ac:dyDescent="0.25">
      <c r="B23" s="29">
        <v>8</v>
      </c>
      <c r="C23" s="35" t="str">
        <f>IFERROR( _xlfn.CONCAT(D$2, IF([1]調表!$E24="", "", _xlfn.UNICHAR(HEX2DEC(RIGHT([1]調表!$E24,4))))), "")</f>
        <v>á</v>
      </c>
      <c r="D23" s="35" t="str">
        <f>IFERROR( _xlfn.CONCAT(E$2, IF([1]調表!$E24="", "", _xlfn.UNICHAR(HEX2DEC(RIGHT([1]調表!$E24,4))))), "")</f>
        <v>í</v>
      </c>
      <c r="E23" s="35" t="str">
        <f>IFERROR( _xlfn.CONCAT(F$2, IF([1]調表!$E24="", "", _xlfn.UNICHAR(HEX2DEC(RIGHT([1]調表!$E24,4))))), "")</f>
        <v>ú</v>
      </c>
      <c r="F23" s="35" t="str">
        <f>IFERROR( _xlfn.CONCAT(G$2, IF([1]調表!$E24="", "", _xlfn.UNICHAR(HEX2DEC(RIGHT([1]調表!$E24,4))))), "")</f>
        <v>é</v>
      </c>
      <c r="G23" s="35" t="str">
        <f>IFERROR( _xlfn.CONCAT(H$2, IF([1]調表!$E24="", "", _xlfn.UNICHAR(HEX2DEC(RIGHT([1]調表!$E24,4))))), "")</f>
        <v>ó</v>
      </c>
      <c r="H23" s="35" t="str">
        <f>IFERROR( _xlfn.CONCAT(I$2, IF([1]調表!$E24="", "", _xlfn.UNICHAR(HEX2DEC(RIGHT([1]調表!$E24,4))))), "")</f>
        <v>ḿ</v>
      </c>
      <c r="I23" s="35" t="str">
        <f>IFERROR( _xlfn.CONCAT(J$2, IF([1]調表!$E24="", "", _xlfn.UNICHAR(HEX2DEC(RIGHT([1]調表!$E24,4))))), "")</f>
        <v>ń</v>
      </c>
    </row>
    <row r="24" spans="1:13" x14ac:dyDescent="0.25">
      <c r="A24" s="29"/>
    </row>
    <row r="25" spans="1:13" x14ac:dyDescent="0.25">
      <c r="A25" s="29"/>
    </row>
    <row r="28" spans="1:13" x14ac:dyDescent="0.25">
      <c r="C28" s="34" t="s">
        <v>223</v>
      </c>
      <c r="D28" s="34" t="s">
        <v>224</v>
      </c>
      <c r="E28" s="34" t="s">
        <v>225</v>
      </c>
      <c r="F28" s="34" t="s">
        <v>226</v>
      </c>
      <c r="G28" s="34" t="s">
        <v>227</v>
      </c>
      <c r="H28" s="34" t="s">
        <v>228</v>
      </c>
      <c r="I28" s="34" t="s">
        <v>229</v>
      </c>
      <c r="L28" s="30" t="s">
        <v>227</v>
      </c>
      <c r="M28" s="30" t="s">
        <v>227</v>
      </c>
    </row>
    <row r="29" spans="1:13" ht="49.5" x14ac:dyDescent="0.25">
      <c r="B29" s="29">
        <v>1</v>
      </c>
      <c r="C29" s="35" t="str">
        <f>IFERROR( _xlfn.CONCAT(D$2, IF([1]調表!$E28="", "", _xlfn.UNICHAR(HEX2DEC(RIGHT([1]調表!$E28,4))))), "")</f>
        <v>a</v>
      </c>
      <c r="D29" s="35" t="str">
        <f>IFERROR( _xlfn.CONCAT(E$2, IF([1]調表!$E28="", "", _xlfn.UNICHAR(HEX2DEC(RIGHT([1]調表!$E28,4))))), "")</f>
        <v>i</v>
      </c>
      <c r="E29" s="35" t="str">
        <f>IFERROR( _xlfn.CONCAT(F$2, IF([1]調表!$E28="", "", _xlfn.UNICHAR(HEX2DEC(RIGHT([1]調表!$E28,4))))), "")</f>
        <v>u</v>
      </c>
      <c r="F29" s="35" t="str">
        <f>IFERROR( _xlfn.CONCAT(G$2, IF([1]調表!$E28="", "", _xlfn.UNICHAR(HEX2DEC(RIGHT([1]調表!$E28,4))))), "")</f>
        <v>e</v>
      </c>
      <c r="G29" s="35" t="str">
        <f>IFERROR( _xlfn.CONCAT(H$2, IF([1]調表!$E28="", "", _xlfn.UNICHAR(HEX2DEC(RIGHT([1]調表!$E28,4))))), "")</f>
        <v>o</v>
      </c>
      <c r="H29" s="35" t="str">
        <f>IFERROR( _xlfn.CONCAT(I$2, IF([1]調表!$E28="", "", _xlfn.UNICHAR(HEX2DEC(RIGHT([1]調表!$E28,4))))), "")</f>
        <v>m</v>
      </c>
      <c r="I29" s="35" t="str">
        <f>IFERROR( _xlfn.CONCAT(J$2, IF([1]調表!$E28="", "", _xlfn.UNICHAR(HEX2DEC(RIGHT([1]調表!$E28,4))))), "")</f>
        <v>n</v>
      </c>
      <c r="L29" s="31" t="str">
        <f>IFERROR( _xlfn.CONCAT("l", "o", IF([1]調表!$M4="", "", _xlfn.UNICHAR(HEX2DEC(RIGHT([1]調表!$M4,4))))), "")</f>
        <v>lo</v>
      </c>
      <c r="M29" s="31" t="str">
        <f>IFERROR( _xlfn.CONCAT("l", "o", IF([1]調表!$M4="", "", _xlfn.UNICHAR(HEX2DEC(RIGHT([1]調表!$M4,4)))), "r", IF(OR(B29=4, B29=8), "k", "")), "")</f>
        <v>lor</v>
      </c>
    </row>
    <row r="30" spans="1:13" ht="49.5" x14ac:dyDescent="0.25">
      <c r="B30" s="29">
        <v>2</v>
      </c>
      <c r="C30" s="35" t="str">
        <f>IFERROR( _xlfn.CONCAT(D$2, IF([1]調表!$M3="", "", _xlfn.UNICHAR(HEX2DEC(RIGHT([1]調表!$M3,4))))), "")</f>
        <v/>
      </c>
      <c r="D30" s="35" t="str">
        <f>IFERROR( _xlfn.CONCAT(E$2, IF([1]調表!$M3="", "", _xlfn.UNICHAR(HEX2DEC(RIGHT([1]調表!$M3,4))))), "")</f>
        <v/>
      </c>
      <c r="E30" s="35" t="str">
        <f>IFERROR( _xlfn.CONCAT(F$2, IF([1]調表!$M3="", "", _xlfn.UNICHAR(HEX2DEC(RIGHT([1]調表!$M3,4))))), "")</f>
        <v/>
      </c>
      <c r="F30" s="35" t="str">
        <f>IFERROR( _xlfn.CONCAT(G$2, IF([1]調表!$M3="", "", _xlfn.UNICHAR(HEX2DEC(RIGHT([1]調表!$M3,4))))), "")</f>
        <v/>
      </c>
      <c r="G30" s="35" t="str">
        <f>IFERROR( _xlfn.CONCAT(H$2, IF([1]調表!$M3="", "", _xlfn.UNICHAR(HEX2DEC(RIGHT([1]調表!$M3,4))))), "")</f>
        <v/>
      </c>
      <c r="H30" s="35" t="str">
        <f>IFERROR( _xlfn.CONCAT(I$2, IF([1]調表!$M3="", "", _xlfn.UNICHAR(HEX2DEC(RIGHT([1]調表!$M3,4))))), "")</f>
        <v/>
      </c>
      <c r="I30" s="35" t="str">
        <f>IFERROR( _xlfn.CONCAT(J$2, IF([1]調表!$M3="", "", _xlfn.UNICHAR(HEX2DEC(RIGHT([1]調表!$M3,4))))), "")</f>
        <v/>
      </c>
      <c r="L30" s="31" t="str">
        <f>IFERROR( _xlfn.CONCAT("l", "o", IF([1]調表!$M6="", "", _xlfn.UNICHAR(HEX2DEC(RIGHT([1]調表!$M6,4))))), "")</f>
        <v>ló</v>
      </c>
      <c r="M30" s="31" t="str">
        <f>IFERROR( _xlfn.CONCAT("l", "o", IF([1]調表!$M6="", "", _xlfn.UNICHAR(HEX2DEC(RIGHT([1]調表!$M6,4)))), "r", IF(OR(B30=4, B30=8), "k", "")), "")</f>
        <v>lór</v>
      </c>
    </row>
    <row r="31" spans="1:13" ht="49.5" x14ac:dyDescent="0.25">
      <c r="B31" s="29">
        <v>3</v>
      </c>
      <c r="C31" s="35" t="str">
        <f>IFERROR( _xlfn.CONCAT(D$2, IF([1]調表!$M4="", "", _xlfn.UNICHAR(HEX2DEC(RIGHT([1]調表!$M4,4))))), "")</f>
        <v>a</v>
      </c>
      <c r="D31" s="35" t="str">
        <f>IFERROR( _xlfn.CONCAT(E$2, IF([1]調表!$M4="", "", _xlfn.UNICHAR(HEX2DEC(RIGHT([1]調表!$M4,4))))), "")</f>
        <v>i</v>
      </c>
      <c r="E31" s="35" t="str">
        <f>IFERROR( _xlfn.CONCAT(F$2, IF([1]調表!$M4="", "", _xlfn.UNICHAR(HEX2DEC(RIGHT([1]調表!$M4,4))))), "")</f>
        <v>u</v>
      </c>
      <c r="F31" s="35" t="str">
        <f>IFERROR( _xlfn.CONCAT(G$2, IF([1]調表!$M4="", "", _xlfn.UNICHAR(HEX2DEC(RIGHT([1]調表!$M4,4))))), "")</f>
        <v>e</v>
      </c>
      <c r="G31" s="35" t="str">
        <f>IFERROR( _xlfn.CONCAT(H$2, IF([1]調表!$M4="", "", _xlfn.UNICHAR(HEX2DEC(RIGHT([1]調表!$M4,4))))), "")</f>
        <v>o</v>
      </c>
      <c r="H31" s="35" t="str">
        <f>IFERROR( _xlfn.CONCAT(I$2, IF([1]調表!$M4="", "", _xlfn.UNICHAR(HEX2DEC(RIGHT([1]調表!$M4,4))))), "")</f>
        <v>m</v>
      </c>
      <c r="I31" s="35" t="str">
        <f>IFERROR( _xlfn.CONCAT(J$2, IF([1]調表!$M4="", "", _xlfn.UNICHAR(HEX2DEC(RIGHT([1]調表!$M4,4))))), "")</f>
        <v>n</v>
      </c>
      <c r="L31" s="31" t="str">
        <f>IFERROR( _xlfn.CONCAT("l", "o", IF([1]調表!$M7="", "", _xlfn.UNICHAR(HEX2DEC(RIGHT([1]調表!$M7,4))))), "")</f>
        <v>lò</v>
      </c>
      <c r="M31" s="31" t="str">
        <f>IFERROR( _xlfn.CONCAT("l", "o", IF([1]調表!$M7="", "", _xlfn.UNICHAR(HEX2DEC(RIGHT([1]調表!$M7,4)))), "r", IF(OR(B31=4, B31=8), "k", "")), "")</f>
        <v>lòr</v>
      </c>
    </row>
    <row r="32" spans="1:13" ht="49.5" x14ac:dyDescent="0.25">
      <c r="B32" s="29">
        <v>4</v>
      </c>
      <c r="C32" s="35" t="str">
        <f>IFERROR( _xlfn.CONCAT(D$2, IF([1]調表!$M6="", "", _xlfn.UNICHAR(HEX2DEC(RIGHT([1]調表!$M6,4))))), "")</f>
        <v>á</v>
      </c>
      <c r="D32" s="35" t="str">
        <f>IFERROR( _xlfn.CONCAT(E$2, IF([1]調表!$M6="", "", _xlfn.UNICHAR(HEX2DEC(RIGHT([1]調表!$M6,4))))), "")</f>
        <v>í</v>
      </c>
      <c r="E32" s="35" t="str">
        <f>IFERROR( _xlfn.CONCAT(F$2, IF([1]調表!$M6="", "", _xlfn.UNICHAR(HEX2DEC(RIGHT([1]調表!$M6,4))))), "")</f>
        <v>ú</v>
      </c>
      <c r="F32" s="35" t="str">
        <f>IFERROR( _xlfn.CONCAT(G$2, IF([1]調表!$M6="", "", _xlfn.UNICHAR(HEX2DEC(RIGHT([1]調表!$M6,4))))), "")</f>
        <v>é</v>
      </c>
      <c r="G32" s="35" t="str">
        <f>IFERROR( _xlfn.CONCAT(H$2, IF([1]調表!$M6="", "", _xlfn.UNICHAR(HEX2DEC(RIGHT([1]調表!$M6,4))))), "")</f>
        <v>ó</v>
      </c>
      <c r="H32" s="35" t="str">
        <f>IFERROR( _xlfn.CONCAT(I$2, IF([1]調表!$M6="", "", _xlfn.UNICHAR(HEX2DEC(RIGHT([1]調表!$M6,4))))), "")</f>
        <v>ḿ</v>
      </c>
      <c r="I32" s="35" t="str">
        <f>IFERROR( _xlfn.CONCAT(J$2, IF([1]調表!$M6="", "", _xlfn.UNICHAR(HEX2DEC(RIGHT([1]調表!$M6,4))))), "")</f>
        <v>ń</v>
      </c>
      <c r="L32" s="31" t="str">
        <f>IFERROR( _xlfn.CONCAT("l", "o", IF([1]調表!$M8="", "", _xlfn.UNICHAR(HEX2DEC(RIGHT([1]調表!$M8,4)))), "k"), "")</f>
        <v>lók</v>
      </c>
      <c r="M32" s="31" t="str">
        <f>IFERROR( _xlfn.CONCAT("l", "o", IF([1]調表!$M8="", "", _xlfn.UNICHAR(HEX2DEC(RIGHT([1]調表!$M8,4)))), "r", IF(OR(B32=4, B32=8), "k", "")), "")</f>
        <v>lórk</v>
      </c>
    </row>
    <row r="33" spans="2:13" ht="49.5" x14ac:dyDescent="0.25">
      <c r="B33" s="29">
        <v>5</v>
      </c>
      <c r="C33" s="35" t="str">
        <f>IFERROR( _xlfn.CONCAT(D$2, IF([1]調表!$M7="", "", _xlfn.UNICHAR(HEX2DEC(RIGHT([1]調表!$M7,4))))), "")</f>
        <v>à</v>
      </c>
      <c r="D33" s="35" t="str">
        <f>IFERROR( _xlfn.CONCAT(E$2, IF([1]調表!$M7="", "", _xlfn.UNICHAR(HEX2DEC(RIGHT([1]調表!$M7,4))))), "")</f>
        <v>ì</v>
      </c>
      <c r="E33" s="35" t="str">
        <f>IFERROR( _xlfn.CONCAT(F$2, IF([1]調表!$M7="", "", _xlfn.UNICHAR(HEX2DEC(RIGHT([1]調表!$M7,4))))), "")</f>
        <v>ù</v>
      </c>
      <c r="F33" s="35" t="str">
        <f>IFERROR( _xlfn.CONCAT(G$2, IF([1]調表!$M7="", "", _xlfn.UNICHAR(HEX2DEC(RIGHT([1]調表!$M7,4))))), "")</f>
        <v>è</v>
      </c>
      <c r="G33" s="35" t="str">
        <f>IFERROR( _xlfn.CONCAT(H$2, IF([1]調表!$M7="", "", _xlfn.UNICHAR(HEX2DEC(RIGHT([1]調表!$M7,4))))), "")</f>
        <v>ò</v>
      </c>
      <c r="H33" s="35" t="str">
        <f>IFERROR( _xlfn.CONCAT(I$2, IF([1]調表!$M7="", "", _xlfn.UNICHAR(HEX2DEC(RIGHT([1]調表!$M7,4))))), "")</f>
        <v>m̀</v>
      </c>
      <c r="I33" s="35" t="str">
        <f>IFERROR( _xlfn.CONCAT(J$2, IF([1]調表!$M7="", "", _xlfn.UNICHAR(HEX2DEC(RIGHT([1]調表!$M7,4))))), "")</f>
        <v>ǹ</v>
      </c>
      <c r="L33" s="31" t="str">
        <f>IFERROR( _xlfn.CONCAT("l", "o", IF([1]調表!$M9="", "", _xlfn.UNICHAR(HEX2DEC(RIGHT([1]調表!$M9,4))))), "")</f>
        <v>lǒ</v>
      </c>
      <c r="M33" s="31" t="str">
        <f>IFERROR( _xlfn.CONCAT("l", "o", IF([1]調表!$M9="", "", _xlfn.UNICHAR(HEX2DEC(RIGHT([1]調表!$M9,4)))), "r", IF(OR(B33=4, B33=8), "k", "")), "")</f>
        <v>lǒr</v>
      </c>
    </row>
    <row r="34" spans="2:13" ht="49.5" x14ac:dyDescent="0.25">
      <c r="B34" s="29">
        <v>6</v>
      </c>
      <c r="C34" s="35" t="str">
        <f>IFERROR( _xlfn.CONCAT(D$2, IF([1]調表!$M8="", "", _xlfn.UNICHAR(HEX2DEC(RIGHT([1]調表!$M8,4))))), "")</f>
        <v>á</v>
      </c>
      <c r="D34" s="35" t="str">
        <f>IFERROR( _xlfn.CONCAT(E$2, IF([1]調表!$M8="", "", _xlfn.UNICHAR(HEX2DEC(RIGHT([1]調表!$M8,4))))), "")</f>
        <v>í</v>
      </c>
      <c r="E34" s="35" t="str">
        <f>IFERROR( _xlfn.CONCAT(F$2, IF([1]調表!$M8="", "", _xlfn.UNICHAR(HEX2DEC(RIGHT([1]調表!$M8,4))))), "")</f>
        <v>ú</v>
      </c>
      <c r="F34" s="35" t="str">
        <f>IFERROR( _xlfn.CONCAT(G$2, IF([1]調表!$M8="", "", _xlfn.UNICHAR(HEX2DEC(RIGHT([1]調表!$M8,4))))), "")</f>
        <v>é</v>
      </c>
      <c r="G34" s="35" t="str">
        <f>IFERROR( _xlfn.CONCAT(H$2, IF([1]調表!$M8="", "", _xlfn.UNICHAR(HEX2DEC(RIGHT([1]調表!$M8,4))))), "")</f>
        <v>ó</v>
      </c>
      <c r="H34" s="35" t="str">
        <f>IFERROR( _xlfn.CONCAT(I$2, IF([1]調表!$M8="", "", _xlfn.UNICHAR(HEX2DEC(RIGHT([1]調表!$M8,4))))), "")</f>
        <v>ḿ</v>
      </c>
      <c r="I34" s="35" t="str">
        <f>IFERROR( _xlfn.CONCAT(J$2, IF([1]調表!$M8="", "", _xlfn.UNICHAR(HEX2DEC(RIGHT([1]調表!$M8,4))))), "")</f>
        <v>ń</v>
      </c>
      <c r="L34" s="31" t="str">
        <f>IFERROR( _xlfn.CONCAT("l", "o", IF([1]調表!$M11="", "", _xlfn.UNICHAR(HEX2DEC(RIGHT([1]調表!$M11,4))))), "")</f>
        <v>ló</v>
      </c>
      <c r="M34" s="31" t="str">
        <f>IFERROR( _xlfn.CONCAT("l", "o", IF([1]調表!$M11="", "", _xlfn.UNICHAR(HEX2DEC(RIGHT([1]調表!$M11,4)))), "r", IF(OR(B34=4, B34=8), "k", "")), "")</f>
        <v>lór</v>
      </c>
    </row>
    <row r="35" spans="2:13" ht="49.5" x14ac:dyDescent="0.25">
      <c r="B35" s="29">
        <v>7</v>
      </c>
      <c r="C35" s="35" t="str">
        <f>IFERROR( _xlfn.CONCAT(D$2, IF([1]調表!$M9="", "", _xlfn.UNICHAR(HEX2DEC(RIGHT([1]調表!$M9,4))))), "")</f>
        <v>ǎ</v>
      </c>
      <c r="D35" s="35" t="str">
        <f>IFERROR( _xlfn.CONCAT(E$2, IF([1]調表!$M9="", "", _xlfn.UNICHAR(HEX2DEC(RIGHT([1]調表!$M9,4))))), "")</f>
        <v>ǐ</v>
      </c>
      <c r="E35" s="35" t="str">
        <f>IFERROR( _xlfn.CONCAT(F$2, IF([1]調表!$M9="", "", _xlfn.UNICHAR(HEX2DEC(RIGHT([1]調表!$M9,4))))), "")</f>
        <v>ǔ</v>
      </c>
      <c r="F35" s="35" t="str">
        <f>IFERROR( _xlfn.CONCAT(G$2, IF([1]調表!$M9="", "", _xlfn.UNICHAR(HEX2DEC(RIGHT([1]調表!$M9,4))))), "")</f>
        <v>ě</v>
      </c>
      <c r="G35" s="35" t="str">
        <f>IFERROR( _xlfn.CONCAT(H$2, IF([1]調表!$M9="", "", _xlfn.UNICHAR(HEX2DEC(RIGHT([1]調表!$M9,4))))), "")</f>
        <v>ǒ</v>
      </c>
      <c r="H35" s="35" t="str">
        <f>IFERROR( _xlfn.CONCAT(I$2, IF([1]調表!$M9="", "", _xlfn.UNICHAR(HEX2DEC(RIGHT([1]調表!$M9,4))))), "")</f>
        <v>m̌</v>
      </c>
      <c r="I35" s="35" t="str">
        <f>IFERROR( _xlfn.CONCAT(J$2, IF([1]調表!$M9="", "", _xlfn.UNICHAR(HEX2DEC(RIGHT([1]調表!$M9,4))))), "")</f>
        <v>ň</v>
      </c>
      <c r="L35" s="31" t="str">
        <f>IFERROR( _xlfn.CONCAT("l", "o", IF([1]調表!$M5="", "", _xlfn.UNICHAR(HEX2DEC(RIGHT([1]調表!$M5,4))))), "")</f>
        <v>lō</v>
      </c>
      <c r="M35" s="31" t="str">
        <f>IFERROR( _xlfn.CONCAT("l", "o", IF([1]調表!$M5="", "", _xlfn.UNICHAR(HEX2DEC(RIGHT([1]調表!$M5,4)))), "r", IF(OR(B35=4, B35=8), "k", "")), "")</f>
        <v>lōr</v>
      </c>
    </row>
    <row r="36" spans="2:13" ht="49.5" x14ac:dyDescent="0.25">
      <c r="B36" s="29">
        <v>8</v>
      </c>
      <c r="C36" s="35" t="str">
        <f>IFERROR( _xlfn.CONCAT(D$2, IF([1]調表!$M11="", "", _xlfn.UNICHAR(HEX2DEC(RIGHT([1]調表!$M11,4))))), "")</f>
        <v>á</v>
      </c>
      <c r="D36" s="35" t="str">
        <f>IFERROR( _xlfn.CONCAT(E$2, IF([1]調表!$M11="", "", _xlfn.UNICHAR(HEX2DEC(RIGHT([1]調表!$M11,4))))), "")</f>
        <v>í</v>
      </c>
      <c r="E36" s="35" t="str">
        <f>IFERROR( _xlfn.CONCAT(F$2, IF([1]調表!$M11="", "", _xlfn.UNICHAR(HEX2DEC(RIGHT([1]調表!$M11,4))))), "")</f>
        <v>ú</v>
      </c>
      <c r="F36" s="35" t="str">
        <f>IFERROR( _xlfn.CONCAT(G$2, IF([1]調表!$M11="", "", _xlfn.UNICHAR(HEX2DEC(RIGHT([1]調表!$M11,4))))), "")</f>
        <v>é</v>
      </c>
      <c r="G36" s="35" t="str">
        <f>IFERROR( _xlfn.CONCAT(H$2, IF([1]調表!$M11="", "", _xlfn.UNICHAR(HEX2DEC(RIGHT([1]調表!$M11,4))))), "")</f>
        <v>ó</v>
      </c>
      <c r="H36" s="35" t="str">
        <f>IFERROR( _xlfn.CONCAT(I$2, IF([1]調表!$M11="", "", _xlfn.UNICHAR(HEX2DEC(RIGHT([1]調表!$M11,4))))), "")</f>
        <v>ḿ</v>
      </c>
      <c r="I36" s="35" t="str">
        <f>IFERROR( _xlfn.CONCAT(J$2, IF([1]調表!$M11="", "", _xlfn.UNICHAR(HEX2DEC(RIGHT([1]調表!$M11,4))))), "")</f>
        <v>ń</v>
      </c>
      <c r="L36" s="31" t="str">
        <f>IFERROR( _xlfn.CONCAT("l", "o", IF([1]調表!$M10="", "", _xlfn.UNICHAR(HEX2DEC(RIGHT([1]調表!$M10,4)))), "k"), "")</f>
        <v>lo̍k</v>
      </c>
      <c r="M36" s="31" t="str">
        <f>IFERROR( _xlfn.CONCAT("l", "o", IF([1]調表!$M10="", "", _xlfn.UNICHAR(HEX2DEC(RIGHT([1]調表!$M10,4)))), "r", IF(OR(B36=4, B36=8), "k", "")), "")</f>
        <v>lo̍rk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C470-8CC3-4CDE-9E5D-92655DD9F0E1}">
  <dimension ref="B2:C12"/>
  <sheetViews>
    <sheetView workbookViewId="0">
      <selection activeCell="J10" sqref="J10"/>
    </sheetView>
  </sheetViews>
  <sheetFormatPr defaultRowHeight="25.5" x14ac:dyDescent="0.25"/>
  <cols>
    <col min="1" max="1" width="9" style="1"/>
    <col min="2" max="2" width="12" style="1" bestFit="1" customWidth="1"/>
    <col min="3" max="3" width="15.25" style="1" bestFit="1" customWidth="1"/>
    <col min="4" max="16384" width="9" style="1"/>
  </cols>
  <sheetData>
    <row r="2" spans="2:3" x14ac:dyDescent="0.25">
      <c r="B2" s="36" t="s">
        <v>230</v>
      </c>
      <c r="C2" s="37" t="s">
        <v>231</v>
      </c>
    </row>
    <row r="3" spans="2:3" x14ac:dyDescent="0.25">
      <c r="B3" s="38">
        <v>1</v>
      </c>
      <c r="C3" s="39" t="s">
        <v>232</v>
      </c>
    </row>
    <row r="4" spans="2:3" x14ac:dyDescent="0.25">
      <c r="B4" s="38">
        <v>2</v>
      </c>
      <c r="C4" s="39" t="s">
        <v>233</v>
      </c>
    </row>
    <row r="5" spans="2:3" x14ac:dyDescent="0.25">
      <c r="B5" s="38">
        <v>3</v>
      </c>
      <c r="C5" s="39" t="s">
        <v>234</v>
      </c>
    </row>
    <row r="6" spans="2:3" x14ac:dyDescent="0.25">
      <c r="B6" s="38">
        <v>4</v>
      </c>
      <c r="C6" s="39" t="s">
        <v>235</v>
      </c>
    </row>
    <row r="7" spans="2:3" x14ac:dyDescent="0.25">
      <c r="B7" s="38">
        <v>5</v>
      </c>
      <c r="C7" s="39" t="s">
        <v>236</v>
      </c>
    </row>
    <row r="8" spans="2:3" ht="30" x14ac:dyDescent="0.25">
      <c r="B8" s="40">
        <v>6</v>
      </c>
      <c r="C8" s="39" t="s">
        <v>237</v>
      </c>
    </row>
    <row r="9" spans="2:3" x14ac:dyDescent="0.25">
      <c r="B9" s="38">
        <v>7</v>
      </c>
      <c r="C9" s="39" t="s">
        <v>238</v>
      </c>
    </row>
    <row r="10" spans="2:3" x14ac:dyDescent="0.25">
      <c r="B10" s="38">
        <v>8</v>
      </c>
      <c r="C10" s="39" t="s">
        <v>239</v>
      </c>
    </row>
    <row r="11" spans="2:3" x14ac:dyDescent="0.25">
      <c r="B11" s="38">
        <v>9</v>
      </c>
      <c r="C11" s="39" t="s">
        <v>240</v>
      </c>
    </row>
    <row r="12" spans="2:3" x14ac:dyDescent="0.25">
      <c r="B12" s="41">
        <v>0</v>
      </c>
      <c r="C12" s="42" t="s">
        <v>241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14C6-E6F0-4339-91C7-086E0286AB9D}">
  <dimension ref="B2:R17"/>
  <sheetViews>
    <sheetView topLeftCell="A3" workbookViewId="0">
      <selection activeCell="F14" sqref="F14"/>
    </sheetView>
  </sheetViews>
  <sheetFormatPr defaultRowHeight="34.5" x14ac:dyDescent="0.25"/>
  <cols>
    <col min="1" max="1" width="9" style="7"/>
    <col min="2" max="2" width="32.125" style="7" bestFit="1" customWidth="1"/>
    <col min="3" max="6" width="20.125" style="7" customWidth="1"/>
    <col min="7" max="7" width="27.25" style="7" bestFit="1" customWidth="1"/>
    <col min="8" max="8" width="32.125" style="7" bestFit="1" customWidth="1"/>
    <col min="9" max="9" width="9.125" style="7" customWidth="1"/>
    <col min="10" max="10" width="20.75" style="7" bestFit="1" customWidth="1"/>
    <col min="11" max="11" width="16.25" style="7" bestFit="1" customWidth="1"/>
    <col min="12" max="13" width="9" style="7"/>
    <col min="14" max="14" width="23" style="7" bestFit="1" customWidth="1"/>
    <col min="15" max="16" width="8" style="7" customWidth="1"/>
    <col min="17" max="17" width="11.875" style="7" bestFit="1" customWidth="1"/>
    <col min="18" max="18" width="32.375" style="7" bestFit="1" customWidth="1"/>
    <col min="19" max="16384" width="9" style="7"/>
  </cols>
  <sheetData>
    <row r="2" spans="2:18" ht="45.75" x14ac:dyDescent="0.25">
      <c r="B2" s="17" t="s">
        <v>154</v>
      </c>
      <c r="C2" s="18" t="s">
        <v>164</v>
      </c>
      <c r="D2" s="19" t="s">
        <v>166</v>
      </c>
      <c r="E2" s="19" t="s">
        <v>178</v>
      </c>
      <c r="F2" s="11"/>
      <c r="G2" s="18" t="s">
        <v>162</v>
      </c>
      <c r="H2" s="17" t="s">
        <v>154</v>
      </c>
      <c r="I2" s="11"/>
      <c r="J2" s="1" t="s">
        <v>2</v>
      </c>
      <c r="K2" s="1" t="s">
        <v>133</v>
      </c>
      <c r="L2" s="7">
        <f xml:space="preserve"> FIND("(",$K2)</f>
        <v>3</v>
      </c>
      <c r="M2" s="7">
        <f xml:space="preserve"> FIND(")",$K2)</f>
        <v>10</v>
      </c>
      <c r="N2" s="7" t="str">
        <f>MID(K2,L2+1,M2-L2-1)</f>
        <v>U+0301</v>
      </c>
      <c r="O2" s="7">
        <f xml:space="preserve"> FIND("（",$J2)</f>
        <v>3</v>
      </c>
      <c r="P2" s="7">
        <f xml:space="preserve"> FIND("）",$J2)</f>
        <v>6</v>
      </c>
      <c r="Q2" s="7" t="str">
        <f>MID(J2,O2+1,2)</f>
        <v>二聲</v>
      </c>
      <c r="R2" s="7" t="str">
        <f>Q2 &amp; "（" &amp; LEFT(J2,2) &amp; "）"</f>
        <v>二聲（陰上）</v>
      </c>
    </row>
    <row r="3" spans="2:18" x14ac:dyDescent="0.25">
      <c r="B3" s="7" t="s">
        <v>155</v>
      </c>
      <c r="C3" s="7" t="s">
        <v>152</v>
      </c>
      <c r="D3" s="16" t="str">
        <f>_xlfn.CONCAT(C3,_xlfn.UNICHAR(HEX2DEC(RIGHT(B3,4))))</f>
        <v>ã</v>
      </c>
      <c r="G3" s="7">
        <v>771</v>
      </c>
      <c r="H3" s="7" t="str">
        <f xml:space="preserve"> "U+" &amp; DEC2HEX(G3,4)</f>
        <v>U+0303</v>
      </c>
      <c r="J3" s="1" t="s">
        <v>3</v>
      </c>
      <c r="K3" s="1" t="s">
        <v>134</v>
      </c>
      <c r="L3" s="7">
        <f t="shared" ref="L3:L8" si="0" xml:space="preserve"> FIND("(",$K3)</f>
        <v>3</v>
      </c>
      <c r="M3" s="7">
        <f t="shared" ref="M3:M8" si="1" xml:space="preserve"> FIND(")",$K3)</f>
        <v>10</v>
      </c>
      <c r="N3" s="7" t="str">
        <f t="shared" ref="N3:N8" si="2">MID(K3,L3+1,M3-L3-1)</f>
        <v>U+0300</v>
      </c>
      <c r="O3" s="7">
        <f t="shared" ref="O3:O8" si="3" xml:space="preserve"> FIND("（",$J3)</f>
        <v>3</v>
      </c>
      <c r="P3" s="7">
        <f t="shared" ref="P3:P8" si="4" xml:space="preserve"> FIND("）",$J3)</f>
        <v>6</v>
      </c>
      <c r="Q3" s="7" t="str">
        <f t="shared" ref="Q3:Q8" si="5">MID(J3,O3+1,2)</f>
        <v>三聲</v>
      </c>
      <c r="R3" s="7" t="str">
        <f t="shared" ref="R3:R7" si="6">Q3 &amp; "（" &amp; LEFT(J3,2) &amp; "）"</f>
        <v>三聲（陰去）</v>
      </c>
    </row>
    <row r="4" spans="2:18" x14ac:dyDescent="0.25">
      <c r="B4" s="7" t="s">
        <v>157</v>
      </c>
      <c r="C4" s="7" t="s">
        <v>152</v>
      </c>
      <c r="D4" s="16" t="str">
        <f t="shared" ref="D4:D5" si="7">_xlfn.CONCAT(C4,_xlfn.UNICHAR(HEX2DEC(RIGHT(B4,4))))</f>
        <v>aʔ</v>
      </c>
      <c r="G4" s="7">
        <v>660</v>
      </c>
      <c r="H4" s="7" t="str">
        <f xml:space="preserve"> "U+" &amp; DEC2HEX(G4,4)</f>
        <v>U+0294</v>
      </c>
      <c r="J4" s="1" t="s">
        <v>5</v>
      </c>
      <c r="K4" s="1" t="s">
        <v>12</v>
      </c>
      <c r="L4" s="7">
        <f t="shared" si="0"/>
        <v>3</v>
      </c>
      <c r="M4" s="7">
        <f t="shared" si="1"/>
        <v>10</v>
      </c>
      <c r="N4" s="7" t="str">
        <f t="shared" si="2"/>
        <v>U+0302</v>
      </c>
      <c r="O4" s="7">
        <f t="shared" si="3"/>
        <v>3</v>
      </c>
      <c r="P4" s="7">
        <f t="shared" si="4"/>
        <v>6</v>
      </c>
      <c r="Q4" s="7" t="str">
        <f t="shared" si="5"/>
        <v>五聲</v>
      </c>
      <c r="R4" s="7" t="str">
        <f t="shared" si="6"/>
        <v>五聲（陽平）</v>
      </c>
    </row>
    <row r="5" spans="2:18" x14ac:dyDescent="0.25">
      <c r="B5" s="7" t="s">
        <v>163</v>
      </c>
      <c r="C5" s="7" t="s">
        <v>165</v>
      </c>
      <c r="D5" s="16" t="str">
        <f t="shared" si="7"/>
        <v>o͘</v>
      </c>
      <c r="G5" s="7">
        <v>856</v>
      </c>
      <c r="H5" s="7" t="str">
        <f xml:space="preserve"> "U+" &amp; DEC2HEX(G5,4)</f>
        <v>U+0358</v>
      </c>
      <c r="J5" s="1" t="s">
        <v>6</v>
      </c>
      <c r="K5" s="1" t="s">
        <v>13</v>
      </c>
      <c r="L5" s="7">
        <f t="shared" si="0"/>
        <v>3</v>
      </c>
      <c r="M5" s="7">
        <f t="shared" si="1"/>
        <v>10</v>
      </c>
      <c r="N5" s="7" t="str">
        <f t="shared" si="2"/>
        <v>U+030C</v>
      </c>
      <c r="O5" s="7">
        <f t="shared" si="3"/>
        <v>3</v>
      </c>
      <c r="P5" s="7">
        <f t="shared" si="4"/>
        <v>6</v>
      </c>
      <c r="Q5" s="7" t="str">
        <f t="shared" si="5"/>
        <v>六聲</v>
      </c>
      <c r="R5" s="7" t="str">
        <f t="shared" si="6"/>
        <v>六聲（陽上）</v>
      </c>
    </row>
    <row r="6" spans="2:18" x14ac:dyDescent="0.25">
      <c r="J6" s="1" t="s">
        <v>7</v>
      </c>
      <c r="K6" s="1" t="s">
        <v>14</v>
      </c>
      <c r="L6" s="7">
        <f t="shared" si="0"/>
        <v>3</v>
      </c>
      <c r="M6" s="7">
        <f t="shared" si="1"/>
        <v>10</v>
      </c>
      <c r="N6" s="7" t="str">
        <f t="shared" si="2"/>
        <v>U+0304</v>
      </c>
      <c r="O6" s="7">
        <f t="shared" si="3"/>
        <v>3</v>
      </c>
      <c r="P6" s="7">
        <f t="shared" si="4"/>
        <v>6</v>
      </c>
      <c r="Q6" s="7" t="str">
        <f t="shared" si="5"/>
        <v>七聲</v>
      </c>
      <c r="R6" s="7" t="str">
        <f t="shared" si="6"/>
        <v>七聲（陽去）</v>
      </c>
    </row>
    <row r="7" spans="2:18" ht="45.75" x14ac:dyDescent="0.25">
      <c r="B7" s="15" t="s">
        <v>179</v>
      </c>
      <c r="J7" s="1" t="s">
        <v>8</v>
      </c>
      <c r="K7" s="1" t="s">
        <v>15</v>
      </c>
      <c r="L7" s="7">
        <f t="shared" si="0"/>
        <v>4</v>
      </c>
      <c r="M7" s="7">
        <f t="shared" si="1"/>
        <v>11</v>
      </c>
      <c r="N7" s="7" t="str">
        <f t="shared" si="2"/>
        <v>U+030D</v>
      </c>
      <c r="O7" s="7">
        <f t="shared" si="3"/>
        <v>3</v>
      </c>
      <c r="P7" s="7">
        <f t="shared" si="4"/>
        <v>6</v>
      </c>
      <c r="Q7" s="7" t="str">
        <f t="shared" si="5"/>
        <v>八聲</v>
      </c>
      <c r="R7" s="7" t="str">
        <f t="shared" si="6"/>
        <v>八聲（陽入）</v>
      </c>
    </row>
    <row r="8" spans="2:18" ht="13.5" customHeight="1" x14ac:dyDescent="0.25">
      <c r="J8" s="1" t="s">
        <v>9</v>
      </c>
      <c r="K8" s="1" t="s">
        <v>16</v>
      </c>
      <c r="L8" s="7">
        <f t="shared" si="0"/>
        <v>3</v>
      </c>
      <c r="M8" s="7">
        <f t="shared" si="1"/>
        <v>10</v>
      </c>
      <c r="N8" s="7" t="str">
        <f t="shared" si="2"/>
        <v>U+030B</v>
      </c>
      <c r="O8" s="7">
        <f t="shared" si="3"/>
        <v>1</v>
      </c>
      <c r="P8" s="7">
        <f t="shared" si="4"/>
        <v>4</v>
      </c>
      <c r="Q8" s="7" t="str">
        <f t="shared" si="5"/>
        <v>九聲</v>
      </c>
    </row>
    <row r="9" spans="2:18" ht="45.75" x14ac:dyDescent="0.25">
      <c r="B9" s="17" t="s">
        <v>154</v>
      </c>
      <c r="C9" s="18" t="s">
        <v>164</v>
      </c>
      <c r="D9" s="19" t="s">
        <v>166</v>
      </c>
      <c r="E9" s="19" t="s">
        <v>178</v>
      </c>
    </row>
    <row r="10" spans="2:18" x14ac:dyDescent="0.25">
      <c r="B10" s="7" t="s">
        <v>180</v>
      </c>
      <c r="C10" s="7" t="s">
        <v>152</v>
      </c>
      <c r="D10" s="16" t="str">
        <f>_xlfn.CONCAT(C10,_xlfn.UNICHAR(HEX2DEC(RIGHT(B10,4))))</f>
        <v>á</v>
      </c>
      <c r="E10" s="1" t="s">
        <v>187</v>
      </c>
    </row>
    <row r="11" spans="2:18" x14ac:dyDescent="0.25">
      <c r="B11" s="7" t="s">
        <v>181</v>
      </c>
      <c r="C11" s="7" t="s">
        <v>152</v>
      </c>
      <c r="D11" s="16" t="str">
        <f t="shared" ref="D11:D17" si="8">_xlfn.CONCAT(C11,_xlfn.UNICHAR(HEX2DEC(RIGHT(B11,4))))</f>
        <v>à</v>
      </c>
      <c r="E11" s="1" t="s">
        <v>188</v>
      </c>
    </row>
    <row r="12" spans="2:18" x14ac:dyDescent="0.25">
      <c r="B12" s="7" t="s">
        <v>182</v>
      </c>
      <c r="C12" s="7" t="s">
        <v>152</v>
      </c>
      <c r="D12" s="16" t="str">
        <f t="shared" si="8"/>
        <v>â</v>
      </c>
      <c r="E12" s="1" t="s">
        <v>189</v>
      </c>
    </row>
    <row r="13" spans="2:18" x14ac:dyDescent="0.25">
      <c r="B13" s="7" t="s">
        <v>183</v>
      </c>
      <c r="C13" s="7" t="s">
        <v>152</v>
      </c>
      <c r="D13" s="16" t="str">
        <f t="shared" si="8"/>
        <v>ǎ</v>
      </c>
      <c r="E13" s="1" t="s">
        <v>190</v>
      </c>
    </row>
    <row r="14" spans="2:18" x14ac:dyDescent="0.25">
      <c r="B14" s="7" t="s">
        <v>184</v>
      </c>
      <c r="C14" s="7" t="s">
        <v>152</v>
      </c>
      <c r="D14" s="16" t="str">
        <f t="shared" si="8"/>
        <v>ā</v>
      </c>
      <c r="E14" s="1" t="s">
        <v>191</v>
      </c>
    </row>
    <row r="15" spans="2:18" x14ac:dyDescent="0.25">
      <c r="B15" s="7" t="s">
        <v>185</v>
      </c>
      <c r="C15" s="7" t="s">
        <v>152</v>
      </c>
      <c r="D15" s="16" t="str">
        <f t="shared" si="8"/>
        <v>a̍</v>
      </c>
      <c r="E15" s="1" t="s">
        <v>192</v>
      </c>
    </row>
    <row r="16" spans="2:18" x14ac:dyDescent="0.25">
      <c r="B16" s="7" t="s">
        <v>186</v>
      </c>
      <c r="C16" s="7" t="s">
        <v>152</v>
      </c>
      <c r="D16" s="16" t="str">
        <f t="shared" si="8"/>
        <v>a̋</v>
      </c>
      <c r="E16" s="1" t="s">
        <v>8</v>
      </c>
    </row>
    <row r="17" spans="2:5" x14ac:dyDescent="0.25">
      <c r="B17" s="7" t="s">
        <v>186</v>
      </c>
      <c r="C17" s="7" t="s">
        <v>152</v>
      </c>
      <c r="D17" s="16" t="str">
        <f t="shared" si="8"/>
        <v>a̋</v>
      </c>
      <c r="E17" s="1" t="s">
        <v>193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1D6C-42DF-494D-A346-039E570FFD2A}">
  <dimension ref="A1:C14"/>
  <sheetViews>
    <sheetView workbookViewId="0">
      <selection activeCell="A10" sqref="A10"/>
    </sheetView>
  </sheetViews>
  <sheetFormatPr defaultRowHeight="34.5" x14ac:dyDescent="0.25"/>
  <cols>
    <col min="1" max="1" width="31.875" style="8" bestFit="1" customWidth="1"/>
    <col min="2" max="2" width="25.625" style="8" customWidth="1"/>
    <col min="3" max="3" width="32.125" style="7" bestFit="1" customWidth="1"/>
    <col min="4" max="16384" width="9" style="7"/>
  </cols>
  <sheetData>
    <row r="1" spans="1:3" ht="36" x14ac:dyDescent="0.25">
      <c r="A1" s="13" t="s">
        <v>177</v>
      </c>
      <c r="B1" s="8" t="s">
        <v>149</v>
      </c>
      <c r="C1" s="7" t="s">
        <v>154</v>
      </c>
    </row>
    <row r="2" spans="1:3" x14ac:dyDescent="0.25">
      <c r="A2" s="8" t="s">
        <v>147</v>
      </c>
      <c r="B2" s="14">
        <f xml:space="preserve"> _xlfn.UNICODE(A2)</f>
        <v>225</v>
      </c>
      <c r="C2" s="8" t="str">
        <f xml:space="preserve"> "U+" &amp; DEC2HEX(B2,4)</f>
        <v>U+00E1</v>
      </c>
    </row>
    <row r="3" spans="1:3" x14ac:dyDescent="0.25">
      <c r="A3" s="8" t="s">
        <v>148</v>
      </c>
      <c r="B3" s="14">
        <f xml:space="preserve"> _xlfn.UNICODE(A3)</f>
        <v>244</v>
      </c>
      <c r="C3" s="8" t="str">
        <f xml:space="preserve"> "U+" &amp; DEC2HEX(B3,4)</f>
        <v>U+00F4</v>
      </c>
    </row>
    <row r="4" spans="1:3" x14ac:dyDescent="0.25">
      <c r="A4" s="8" t="s">
        <v>159</v>
      </c>
      <c r="B4" s="14">
        <f xml:space="preserve"> _xlfn.UNICODE(A4)</f>
        <v>111</v>
      </c>
      <c r="C4" s="8" t="str">
        <f xml:space="preserve"> "U+" &amp; DEC2HEX(B4,4)</f>
        <v>U+006F</v>
      </c>
    </row>
    <row r="5" spans="1:3" x14ac:dyDescent="0.25">
      <c r="A5" s="8" t="s">
        <v>160</v>
      </c>
      <c r="B5" s="14">
        <f xml:space="preserve"> _xlfn.UNICODE(A5)</f>
        <v>12581</v>
      </c>
      <c r="C5" s="8" t="str">
        <f xml:space="preserve"> "U+" &amp; DEC2HEX(B5,4)</f>
        <v>U+3125</v>
      </c>
    </row>
    <row r="6" spans="1:3" x14ac:dyDescent="0.25">
      <c r="A6" s="8" t="s">
        <v>161</v>
      </c>
      <c r="B6" s="14">
        <f xml:space="preserve"> _xlfn.UNICODE(A6)</f>
        <v>12717</v>
      </c>
      <c r="C6" s="8" t="str">
        <f xml:space="preserve"> "U+" &amp; DEC2HEX(B6,4)</f>
        <v>U+31AD</v>
      </c>
    </row>
    <row r="7" spans="1:3" x14ac:dyDescent="0.25">
      <c r="A7" s="8" t="s">
        <v>173</v>
      </c>
      <c r="B7" s="14">
        <f xml:space="preserve"> _xlfn.UNICODE(A7)</f>
        <v>601</v>
      </c>
      <c r="C7" s="8" t="str">
        <f xml:space="preserve"> "U+" &amp; DEC2HEX(B7,4)</f>
        <v>U+0259</v>
      </c>
    </row>
    <row r="8" spans="1:3" x14ac:dyDescent="0.25">
      <c r="A8" s="8" t="s">
        <v>174</v>
      </c>
      <c r="B8" s="14">
        <f xml:space="preserve"> _xlfn.UNICODE(A8)</f>
        <v>331</v>
      </c>
      <c r="C8" s="8" t="str">
        <f xml:space="preserve"> "U+" &amp; DEC2HEX(B8,4)</f>
        <v>U+014B</v>
      </c>
    </row>
    <row r="9" spans="1:3" x14ac:dyDescent="0.25">
      <c r="B9" s="14"/>
      <c r="C9" s="8"/>
    </row>
    <row r="10" spans="1:3" x14ac:dyDescent="0.25">
      <c r="C10" s="8"/>
    </row>
    <row r="11" spans="1:3" x14ac:dyDescent="0.25">
      <c r="C11" s="8"/>
    </row>
    <row r="12" spans="1:3" x14ac:dyDescent="0.25">
      <c r="C12" s="8"/>
    </row>
    <row r="13" spans="1:3" x14ac:dyDescent="0.25">
      <c r="A13" s="8" t="s">
        <v>172</v>
      </c>
      <c r="B13" s="8" t="s">
        <v>160</v>
      </c>
      <c r="C13" s="8"/>
    </row>
    <row r="14" spans="1:3" x14ac:dyDescent="0.25">
      <c r="A14" s="8" t="s">
        <v>176</v>
      </c>
      <c r="B14" s="8" t="s">
        <v>161</v>
      </c>
      <c r="C14" s="8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770E-8D5A-4C46-9659-8754465EA2E7}">
  <dimension ref="B2:J11"/>
  <sheetViews>
    <sheetView workbookViewId="0">
      <selection activeCell="J9" sqref="J9"/>
    </sheetView>
  </sheetViews>
  <sheetFormatPr defaultRowHeight="34.5" x14ac:dyDescent="0.25"/>
  <cols>
    <col min="1" max="1" width="9" style="7"/>
    <col min="2" max="2" width="32.125" style="8" bestFit="1" customWidth="1"/>
    <col min="3" max="4" width="22.625" style="7" customWidth="1"/>
    <col min="5" max="5" width="21.75" style="7" customWidth="1"/>
    <col min="6" max="9" width="9" style="7"/>
    <col min="10" max="10" width="13.375" style="7" customWidth="1"/>
    <col min="11" max="11" width="20" style="7" bestFit="1" customWidth="1"/>
    <col min="12" max="12" width="10.375" style="7" bestFit="1" customWidth="1"/>
    <col min="13" max="13" width="9" style="7"/>
    <col min="14" max="14" width="32.125" style="7" bestFit="1" customWidth="1"/>
    <col min="15" max="15" width="27.25" style="7" bestFit="1" customWidth="1"/>
    <col min="16" max="17" width="20.125" style="7" customWidth="1"/>
    <col min="18" max="16384" width="9" style="7"/>
  </cols>
  <sheetData>
    <row r="2" spans="2:10" ht="35.25" thickBot="1" x14ac:dyDescent="0.3"/>
    <row r="3" spans="2:10" ht="46.5" thickBot="1" x14ac:dyDescent="0.3">
      <c r="B3" s="7" t="s">
        <v>154</v>
      </c>
      <c r="C3" s="10" t="s">
        <v>164</v>
      </c>
      <c r="D3" s="11" t="s">
        <v>166</v>
      </c>
      <c r="J3" s="26" t="s">
        <v>201</v>
      </c>
    </row>
    <row r="4" spans="2:10" x14ac:dyDescent="0.25">
      <c r="B4" s="7" t="s">
        <v>150</v>
      </c>
      <c r="C4" s="8" t="s">
        <v>151</v>
      </c>
      <c r="D4" s="7" t="str">
        <f>_xlfn.CONCAT(C4,_xlfn.UNICHAR(HEX2DEC(RIGHT(B4,4))))</f>
        <v>ĩ</v>
      </c>
    </row>
    <row r="5" spans="2:10" x14ac:dyDescent="0.25">
      <c r="B5" s="7" t="s">
        <v>150</v>
      </c>
      <c r="C5" s="8" t="s">
        <v>152</v>
      </c>
      <c r="D5" s="7" t="str">
        <f>_xlfn.CONCAT(C5,_xlfn.UNICHAR(HEX2DEC(RIGHT(B5,4))))</f>
        <v>ã</v>
      </c>
    </row>
    <row r="6" spans="2:10" x14ac:dyDescent="0.25">
      <c r="B6" s="7" t="s">
        <v>150</v>
      </c>
      <c r="C6" s="8" t="s">
        <v>153</v>
      </c>
      <c r="D6" s="7" t="str">
        <f>_xlfn.CONCAT(C6,_xlfn.UNICHAR(HEX2DEC(RIGHT(B6,4))))</f>
        <v>ũ</v>
      </c>
    </row>
    <row r="8" spans="2:10" ht="38.25" x14ac:dyDescent="0.25">
      <c r="B8" s="7"/>
      <c r="C8" s="12" t="s">
        <v>169</v>
      </c>
      <c r="D8" s="12" t="s">
        <v>171</v>
      </c>
      <c r="E8" s="12" t="s">
        <v>170</v>
      </c>
    </row>
    <row r="9" spans="2:10" x14ac:dyDescent="0.25">
      <c r="C9" s="7" t="s">
        <v>151</v>
      </c>
      <c r="D9" s="7" t="str">
        <f>D4</f>
        <v>ĩ</v>
      </c>
      <c r="E9" s="7" t="str">
        <f>D9</f>
        <v>ĩ</v>
      </c>
      <c r="G9" s="7" t="str">
        <f>D9 &amp; ", " &amp; D10 &amp; ", " &amp; D11</f>
        <v>ĩ, ĩã, ĩãũ</v>
      </c>
    </row>
    <row r="10" spans="2:10" x14ac:dyDescent="0.25">
      <c r="C10" s="7" t="s">
        <v>167</v>
      </c>
      <c r="D10" s="7" t="str">
        <f xml:space="preserve"> _xlfn.CONCAT(D4,D5)</f>
        <v>ĩã</v>
      </c>
      <c r="E10" s="7" t="str">
        <f xml:space="preserve"> _xlfn.CONCAT("i",D5)</f>
        <v>iã</v>
      </c>
      <c r="G10" s="7" t="str">
        <f>D10 &amp; ", " &amp; E10 &amp; ", " &amp; E11</f>
        <v>ĩã, iã, iãu</v>
      </c>
    </row>
    <row r="11" spans="2:10" ht="36" x14ac:dyDescent="0.25">
      <c r="C11" s="10" t="s">
        <v>168</v>
      </c>
      <c r="D11" s="7" t="str">
        <f xml:space="preserve"> _xlfn.CONCAT(D9,D5,D6)</f>
        <v>ĩãũ</v>
      </c>
      <c r="E11" s="7" t="str">
        <f xml:space="preserve"> _xlfn.CONCAT("i",D5,"u")</f>
        <v>iãu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71D5-EBE5-45CC-B709-0B4283CF68A0}">
  <dimension ref="A1:H17"/>
  <sheetViews>
    <sheetView workbookViewId="0">
      <selection activeCell="A13" sqref="A13"/>
    </sheetView>
  </sheetViews>
  <sheetFormatPr defaultRowHeight="34.5" x14ac:dyDescent="0.25"/>
  <cols>
    <col min="1" max="1" width="31.875" style="8" bestFit="1" customWidth="1"/>
    <col min="2" max="2" width="25.625" style="14" customWidth="1"/>
    <col min="3" max="3" width="32.125" style="8" bestFit="1" customWidth="1"/>
    <col min="4" max="4" width="32.125" style="7" customWidth="1"/>
    <col min="5" max="16384" width="9" style="7"/>
  </cols>
  <sheetData>
    <row r="1" spans="1:8" ht="36" x14ac:dyDescent="0.25">
      <c r="A1" s="13" t="s">
        <v>177</v>
      </c>
      <c r="B1" s="8" t="s">
        <v>149</v>
      </c>
      <c r="C1" s="8" t="s">
        <v>154</v>
      </c>
      <c r="D1" s="7" t="s">
        <v>204</v>
      </c>
    </row>
    <row r="2" spans="1:8" ht="38.25" x14ac:dyDescent="0.25">
      <c r="A2" s="8" t="s">
        <v>202</v>
      </c>
      <c r="B2" s="28">
        <f xml:space="preserve"> _xlfn.UNICODE(A2)</f>
        <v>660</v>
      </c>
      <c r="C2" s="8" t="str">
        <f xml:space="preserve"> "U+" &amp; DEC2HEX(B2,4)</f>
        <v>U+0294</v>
      </c>
      <c r="D2" s="27" t="s">
        <v>205</v>
      </c>
      <c r="G2" s="9" t="s">
        <v>203</v>
      </c>
      <c r="H2" s="7" t="str">
        <f xml:space="preserve"> RIGHT(G2)</f>
        <v>̚</v>
      </c>
    </row>
    <row r="3" spans="1:8" ht="38.25" x14ac:dyDescent="0.25">
      <c r="A3" s="8" t="s">
        <v>220</v>
      </c>
      <c r="B3" s="28">
        <f xml:space="preserve"> _xlfn.UNICODE(A3)</f>
        <v>794</v>
      </c>
      <c r="C3" s="8" t="str">
        <f xml:space="preserve"> "U+" &amp; DEC2HEX(B3,4)</f>
        <v>U+031A</v>
      </c>
      <c r="D3" s="27" t="str">
        <f xml:space="preserve"> "入聲韻尾 " &amp; RIGHT(G2,2)</f>
        <v>入聲韻尾 p̚</v>
      </c>
      <c r="G3" s="9" t="s">
        <v>158</v>
      </c>
      <c r="H3" s="7" t="str">
        <f xml:space="preserve"> RIGHT(G3)</f>
        <v>ʔ</v>
      </c>
    </row>
    <row r="4" spans="1:8" ht="39" thickBot="1" x14ac:dyDescent="0.3">
      <c r="A4" s="8" t="s">
        <v>221</v>
      </c>
      <c r="B4" s="28">
        <f xml:space="preserve"> _xlfn.UNICODE(A4)</f>
        <v>771</v>
      </c>
      <c r="C4" s="8" t="str">
        <f xml:space="preserve"> "U+" &amp; DEC2HEX(B4,4)</f>
        <v>U+0303</v>
      </c>
      <c r="D4" s="27" t="str">
        <f xml:space="preserve"> "鼻音韻母 " &amp; G4</f>
        <v>鼻音韻母 ã</v>
      </c>
      <c r="G4" s="9" t="s">
        <v>156</v>
      </c>
      <c r="H4" s="7" t="str">
        <f xml:space="preserve"> RIGHT(G4)</f>
        <v>̃</v>
      </c>
    </row>
    <row r="5" spans="1:8" ht="35.25" thickBot="1" x14ac:dyDescent="0.3">
      <c r="A5" s="8" t="s">
        <v>208</v>
      </c>
      <c r="B5" s="28">
        <f xml:space="preserve"> _xlfn.UNICODE(A5)</f>
        <v>650</v>
      </c>
      <c r="C5" s="8" t="str">
        <f xml:space="preserve"> "U+" &amp; DEC2HEX(B5,4)</f>
        <v>U+028A</v>
      </c>
      <c r="G5" s="26" t="s">
        <v>206</v>
      </c>
      <c r="H5" s="7" t="str">
        <f xml:space="preserve"> RIGHT(G5)</f>
        <v>ʊ</v>
      </c>
    </row>
    <row r="6" spans="1:8" ht="35.25" thickBot="1" x14ac:dyDescent="0.3">
      <c r="A6" s="8" t="s">
        <v>209</v>
      </c>
      <c r="B6" s="28">
        <f xml:space="preserve"> _xlfn.UNICODE(A6)</f>
        <v>618</v>
      </c>
      <c r="C6" s="8" t="str">
        <f xml:space="preserve"> "U+" &amp; DEC2HEX(B6,4)</f>
        <v>U+026A</v>
      </c>
      <c r="G6" s="26" t="s">
        <v>207</v>
      </c>
      <c r="H6" s="7" t="str">
        <f xml:space="preserve"> RIGHT(G6)</f>
        <v>ɪ</v>
      </c>
    </row>
    <row r="7" spans="1:8" x14ac:dyDescent="0.25">
      <c r="A7" s="8" t="s">
        <v>174</v>
      </c>
      <c r="B7" s="28">
        <f xml:space="preserve"> _xlfn.UNICODE(A7)</f>
        <v>331</v>
      </c>
      <c r="C7" s="8" t="str">
        <f xml:space="preserve"> "U+" &amp; DEC2HEX(B7,4)</f>
        <v>U+014B</v>
      </c>
      <c r="D7" s="8"/>
    </row>
    <row r="8" spans="1:8" x14ac:dyDescent="0.25">
      <c r="A8" s="8" t="s">
        <v>173</v>
      </c>
      <c r="B8" s="28">
        <f xml:space="preserve"> _xlfn.UNICODE(A8)</f>
        <v>601</v>
      </c>
      <c r="C8" s="8" t="str">
        <f xml:space="preserve"> "U+" &amp; DEC2HEX(B8,4)</f>
        <v>U+0259</v>
      </c>
      <c r="D8" s="8"/>
    </row>
    <row r="9" spans="1:8" x14ac:dyDescent="0.25">
      <c r="A9" s="8" t="s">
        <v>210</v>
      </c>
      <c r="B9" s="28">
        <f xml:space="preserve"> _xlfn.UNICODE(A9)</f>
        <v>603</v>
      </c>
      <c r="C9" s="8" t="str">
        <f xml:space="preserve"> "U+" &amp; DEC2HEX(B9,4)</f>
        <v>U+025B</v>
      </c>
      <c r="D9" s="8"/>
      <c r="G9" s="8" t="s">
        <v>172</v>
      </c>
      <c r="H9" s="8" t="s">
        <v>160</v>
      </c>
    </row>
    <row r="10" spans="1:8" x14ac:dyDescent="0.25">
      <c r="A10" s="8" t="s">
        <v>211</v>
      </c>
      <c r="B10" s="28">
        <f xml:space="preserve"> _xlfn.UNICODE(A10)</f>
        <v>596</v>
      </c>
      <c r="C10" s="8" t="str">
        <f xml:space="preserve"> "U+" &amp; DEC2HEX(B10,4)</f>
        <v>U+0254</v>
      </c>
      <c r="D10" s="8"/>
      <c r="G10" s="8" t="s">
        <v>176</v>
      </c>
      <c r="H10" s="8" t="s">
        <v>161</v>
      </c>
    </row>
    <row r="11" spans="1:8" x14ac:dyDescent="0.25">
      <c r="A11" s="8" t="s">
        <v>212</v>
      </c>
      <c r="B11" s="28">
        <f xml:space="preserve"> _xlfn.UNICODE(A11)</f>
        <v>109</v>
      </c>
      <c r="C11" s="8" t="str">
        <f xml:space="preserve"> "U+" &amp; DEC2HEX(B11,4)</f>
        <v>U+006D</v>
      </c>
      <c r="D11" s="8"/>
    </row>
    <row r="12" spans="1:8" x14ac:dyDescent="0.25">
      <c r="A12" s="8" t="s">
        <v>175</v>
      </c>
      <c r="B12" s="28">
        <f xml:space="preserve"> _xlfn.UNICODE(A12)</f>
        <v>331</v>
      </c>
      <c r="C12" s="8" t="str">
        <f xml:space="preserve"> "U+" &amp; DEC2HEX(B12,4)</f>
        <v>U+014B</v>
      </c>
    </row>
    <row r="13" spans="1:8" x14ac:dyDescent="0.25">
      <c r="A13" s="8" t="s">
        <v>222</v>
      </c>
      <c r="B13" s="28">
        <f xml:space="preserve"> _xlfn.UNICODE(A13)</f>
        <v>8319</v>
      </c>
      <c r="C13" s="8" t="str">
        <f xml:space="preserve"> "U+" &amp; DEC2HEX(B13,4)</f>
        <v>U+207F</v>
      </c>
    </row>
    <row r="14" spans="1:8" x14ac:dyDescent="0.25">
      <c r="B14" s="28"/>
    </row>
    <row r="15" spans="1:8" x14ac:dyDescent="0.25">
      <c r="B15" s="28"/>
    </row>
    <row r="16" spans="1:8" x14ac:dyDescent="0.25">
      <c r="A16" s="8" t="s">
        <v>160</v>
      </c>
      <c r="B16" s="28">
        <f xml:space="preserve"> _xlfn.UNICODE(A16)</f>
        <v>12581</v>
      </c>
      <c r="C16" s="8" t="str">
        <f xml:space="preserve"> "U+" &amp; DEC2HEX(B16,4)</f>
        <v>U+3125</v>
      </c>
    </row>
    <row r="17" spans="1:3" x14ac:dyDescent="0.25">
      <c r="A17" s="8" t="s">
        <v>161</v>
      </c>
      <c r="B17" s="28">
        <f xml:space="preserve"> _xlfn.UNICODE(A17)</f>
        <v>12717</v>
      </c>
      <c r="C17" s="8" t="str">
        <f xml:space="preserve"> "U+" &amp; DEC2HEX(B17,4)</f>
        <v>U+31AD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工作表1</vt:lpstr>
      <vt:lpstr>韻母標調</vt:lpstr>
      <vt:lpstr>調符</vt:lpstr>
      <vt:lpstr>元音標調</vt:lpstr>
      <vt:lpstr>調號</vt:lpstr>
      <vt:lpstr>HEX數值</vt:lpstr>
      <vt:lpstr>DEC數值</vt:lpstr>
      <vt:lpstr>鼻音韻母</vt:lpstr>
      <vt:lpstr>字元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2025-03-17T02:57:55Z</dcterms:created>
  <dcterms:modified xsi:type="dcterms:W3CDTF">2026-10-17T13:48:15Z</dcterms:modified>
</cp:coreProperties>
</file>