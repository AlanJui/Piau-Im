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Documents\閩拼方案\"/>
    </mc:Choice>
  </mc:AlternateContent>
  <xr:revisionPtr revIDLastSave="0" documentId="13_ncr:1_{8561675E-EC1A-43F5-B163-56B406715E46}" xr6:coauthVersionLast="47" xr6:coauthVersionMax="47" xr10:uidLastSave="{00000000-0000-0000-0000-000000000000}"/>
  <bookViews>
    <workbookView xWindow="-38520" yWindow="-120" windowWidth="38640" windowHeight="15720" activeTab="2" xr2:uid="{0F36D48A-805D-478F-91C9-45156A452993}"/>
  </bookViews>
  <sheets>
    <sheet name="聲表【閩拼】" sheetId="1" r:id="rId1"/>
    <sheet name="韻表【閩拼】" sheetId="3" r:id="rId2"/>
    <sheet name="調表【閩拼】" sheetId="4" r:id="rId3"/>
    <sheet name="閩南八音【閩拼】" sheetId="5" r:id="rId4"/>
    <sheet name="八音排序表" sheetId="6" r:id="rId5"/>
  </sheets>
  <externalReferences>
    <externalReference r:id="rId6"/>
  </externalReferences>
  <definedNames>
    <definedName name="_xlnm._FilterDatabase" localSheetId="1" hidden="1">韻表【閩拼】!$F$1:$I$87</definedName>
    <definedName name="十五音韻母">#REF!</definedName>
    <definedName name="十五音韻母對照表">#REF!</definedName>
    <definedName name="台羅韻母八音反切">#REF!</definedName>
    <definedName name="白話字韻母八音反切">#REF!</definedName>
    <definedName name="閩拼韻母八音反切">#REF!</definedName>
    <definedName name="聲母碼表">#REF!</definedName>
    <definedName name="韻母對照表">#REF!</definedName>
    <definedName name="韻母碼表">#REF!</definedName>
    <definedName name="顯示注音輸入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23" i="4" l="1"/>
  <c r="I22" i="4"/>
  <c r="H53" i="3"/>
  <c r="H54" i="3" s="1"/>
  <c r="H52" i="3"/>
  <c r="H38" i="3"/>
  <c r="H37" i="3"/>
  <c r="H32" i="3"/>
  <c r="H33" i="3" s="1"/>
  <c r="H27" i="3"/>
  <c r="H22" i="3"/>
  <c r="H21" i="3"/>
  <c r="H19" i="3"/>
  <c r="H14" i="3"/>
  <c r="H13" i="3"/>
  <c r="H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H30" authorId="0" shapeId="0" xr:uid="{074E2F3C-AE31-4840-855C-1051ECC0ECD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en</t>
        </r>
      </text>
    </comment>
    <comment ref="H35" authorId="0" shapeId="0" xr:uid="{05877A0D-4A9E-43FC-892D-09AF02EC6FF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et̚</t>
        </r>
      </text>
    </comment>
    <comment ref="H40" authorId="0" shapeId="0" xr:uid="{153F9DF1-E6EA-4A08-84B2-D7D286A2154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ək̚</t>
        </r>
      </text>
    </comment>
    <comment ref="H45" authorId="0" shapeId="0" xr:uid="{6F8A1AC8-3D1C-4D16-A63C-D2506311D3D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</t>
        </r>
      </text>
    </comment>
    <comment ref="H46" authorId="0" shapeId="0" xr:uid="{A34D1E39-7320-4884-B903-B7BF2790F5B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əʔ/</t>
        </r>
      </text>
    </comment>
    <comment ref="H59" authorId="0" shapeId="0" xr:uid="{ED0DE930-8778-4C28-A10F-116DA0E2A3B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</t>
        </r>
      </text>
    </comment>
    <comment ref="H60" authorId="0" shapeId="0" xr:uid="{9C86ADD2-9494-43BB-A292-E85F888A5D3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əʔ</t>
        </r>
      </text>
    </comment>
  </commentList>
</comments>
</file>

<file path=xl/sharedStrings.xml><?xml version="1.0" encoding="utf-8"?>
<sst xmlns="http://schemas.openxmlformats.org/spreadsheetml/2006/main" count="943" uniqueCount="628">
  <si>
    <t>國際音標</t>
  </si>
  <si>
    <t>十五音</t>
    <phoneticPr fontId="3" type="noConversion"/>
  </si>
  <si>
    <t>方音符號</t>
  </si>
  <si>
    <t>台羅拼音</t>
  </si>
  <si>
    <t>白話字</t>
  </si>
  <si>
    <t>閩拼方案</t>
  </si>
  <si>
    <t>閩拼二式</t>
    <phoneticPr fontId="3" type="noConversion"/>
  </si>
  <si>
    <t>備註</t>
  </si>
  <si>
    <t>台羅拼音</t>
    <phoneticPr fontId="3" type="noConversion"/>
  </si>
  <si>
    <t>p</t>
  </si>
  <si>
    <t>ㄅ</t>
  </si>
  <si>
    <t>b</t>
  </si>
  <si>
    <t>清音</t>
    <phoneticPr fontId="3" type="noConversion"/>
  </si>
  <si>
    <t>柳</t>
  </si>
  <si>
    <t>ㆠ</t>
  </si>
  <si>
    <t>bb</t>
  </si>
  <si>
    <t>濁音</t>
    <phoneticPr fontId="3" type="noConversion"/>
  </si>
  <si>
    <t>耐</t>
  </si>
  <si>
    <t>n</t>
    <phoneticPr fontId="3" type="noConversion"/>
  </si>
  <si>
    <t>pʰ</t>
  </si>
  <si>
    <t>ㄆ</t>
  </si>
  <si>
    <t>ph</t>
  </si>
  <si>
    <t>清音+送氣</t>
    <phoneticPr fontId="3" type="noConversion"/>
  </si>
  <si>
    <t>邊</t>
  </si>
  <si>
    <t>m</t>
  </si>
  <si>
    <t>ㄇ</t>
  </si>
  <si>
    <t>bbn</t>
  </si>
  <si>
    <t>m</t>
    <phoneticPr fontId="3" type="noConversion"/>
  </si>
  <si>
    <t>鼻音</t>
    <phoneticPr fontId="3" type="noConversion"/>
  </si>
  <si>
    <t>求</t>
  </si>
  <si>
    <t>t</t>
  </si>
  <si>
    <t>ㄉ</t>
  </si>
  <si>
    <t>d</t>
  </si>
  <si>
    <t>去</t>
  </si>
  <si>
    <t>tʰ</t>
  </si>
  <si>
    <t>ㄊ</t>
  </si>
  <si>
    <t>th</t>
  </si>
  <si>
    <t>地</t>
  </si>
  <si>
    <t>n</t>
  </si>
  <si>
    <t>ㄋ</t>
  </si>
  <si>
    <t>ln</t>
  </si>
  <si>
    <t>頗</t>
  </si>
  <si>
    <t>l</t>
  </si>
  <si>
    <t>ㄌ</t>
  </si>
  <si>
    <t>他</t>
  </si>
  <si>
    <t>k</t>
  </si>
  <si>
    <t>ㄍ</t>
  </si>
  <si>
    <t>g</t>
  </si>
  <si>
    <t>曾</t>
  </si>
  <si>
    <t>ɡ</t>
  </si>
  <si>
    <t>ㆣ</t>
  </si>
  <si>
    <t>ㄫ</t>
  </si>
  <si>
    <t>gg</t>
  </si>
  <si>
    <t>入</t>
  </si>
  <si>
    <t>j</t>
    <phoneticPr fontId="3" type="noConversion"/>
  </si>
  <si>
    <t>kʰ</t>
  </si>
  <si>
    <t>ㄎ</t>
  </si>
  <si>
    <t>kh</t>
  </si>
  <si>
    <t>時</t>
  </si>
  <si>
    <t>ŋ</t>
  </si>
  <si>
    <t>ng</t>
  </si>
  <si>
    <t>ggn</t>
  </si>
  <si>
    <t>ng</t>
    <phoneticPr fontId="3" type="noConversion"/>
  </si>
  <si>
    <t>英</t>
  </si>
  <si>
    <t>h</t>
  </si>
  <si>
    <t>ㄏ</t>
  </si>
  <si>
    <t>門</t>
  </si>
  <si>
    <t>ʨ</t>
  </si>
  <si>
    <t>ㄐ</t>
    <phoneticPr fontId="3" type="noConversion"/>
  </si>
  <si>
    <t>tsi</t>
  </si>
  <si>
    <t>zi</t>
  </si>
  <si>
    <t>chi</t>
  </si>
  <si>
    <t>ㄐ = ㄗㄧ</t>
    <phoneticPr fontId="3" type="noConversion"/>
  </si>
  <si>
    <t>毛</t>
  </si>
  <si>
    <t>ʥ</t>
  </si>
  <si>
    <t>ㆢ</t>
  </si>
  <si>
    <t>ji</t>
  </si>
  <si>
    <t>jj</t>
    <phoneticPr fontId="3" type="noConversion"/>
  </si>
  <si>
    <t>zzi</t>
  </si>
  <si>
    <t>ㆢ = ㆡㄧ</t>
    <phoneticPr fontId="3" type="noConversion"/>
  </si>
  <si>
    <t>語</t>
  </si>
  <si>
    <t>ʨʰ</t>
  </si>
  <si>
    <t>ㄑ</t>
    <phoneticPr fontId="3" type="noConversion"/>
  </si>
  <si>
    <t>tshi</t>
  </si>
  <si>
    <t>ci</t>
  </si>
  <si>
    <t>chhi</t>
  </si>
  <si>
    <t>ch</t>
    <phoneticPr fontId="3" type="noConversion"/>
  </si>
  <si>
    <t>ㄑ = ㄘㄧ</t>
    <phoneticPr fontId="3" type="noConversion"/>
  </si>
  <si>
    <t>雅</t>
  </si>
  <si>
    <t>ɕ</t>
  </si>
  <si>
    <t>ㄒ</t>
    <phoneticPr fontId="3" type="noConversion"/>
  </si>
  <si>
    <t>si</t>
  </si>
  <si>
    <t>sh</t>
    <phoneticPr fontId="3" type="noConversion"/>
  </si>
  <si>
    <t>ㄒ = ㄙㄧ</t>
    <phoneticPr fontId="3" type="noConversion"/>
  </si>
  <si>
    <t>出</t>
  </si>
  <si>
    <t>ʦ</t>
  </si>
  <si>
    <t>ㄗ</t>
  </si>
  <si>
    <t>ts</t>
  </si>
  <si>
    <t>z</t>
  </si>
  <si>
    <t>ch</t>
  </si>
  <si>
    <t>喜</t>
  </si>
  <si>
    <t>ʣ</t>
  </si>
  <si>
    <t>ㆡ</t>
  </si>
  <si>
    <t>j</t>
  </si>
  <si>
    <t>zz</t>
  </si>
  <si>
    <t>ʦʰ</t>
  </si>
  <si>
    <t>ㄘ</t>
    <phoneticPr fontId="3" type="noConversion"/>
  </si>
  <si>
    <t>tsh</t>
  </si>
  <si>
    <t>c</t>
  </si>
  <si>
    <t>chh</t>
  </si>
  <si>
    <t>s</t>
  </si>
  <si>
    <t>ㄙ</t>
    <phoneticPr fontId="3" type="noConversion"/>
  </si>
  <si>
    <t>ʔ</t>
  </si>
  <si>
    <t>Ø</t>
  </si>
  <si>
    <t>零聲母</t>
    <phoneticPr fontId="3" type="noConversion"/>
  </si>
  <si>
    <t>序號</t>
    <phoneticPr fontId="3" type="noConversion"/>
  </si>
  <si>
    <t>國際音標</t>
    <phoneticPr fontId="3" type="noConversion"/>
  </si>
  <si>
    <t>白話字</t>
    <phoneticPr fontId="3" type="noConversion"/>
  </si>
  <si>
    <t>閩拼方案</t>
    <phoneticPr fontId="3" type="noConversion"/>
  </si>
  <si>
    <t>台語注音二式</t>
    <phoneticPr fontId="3" type="noConversion"/>
  </si>
  <si>
    <t>方音符號</t>
    <phoneticPr fontId="3" type="noConversion"/>
  </si>
  <si>
    <t>附註</t>
    <phoneticPr fontId="3" type="noConversion"/>
  </si>
  <si>
    <t>a</t>
  </si>
  <si>
    <t>a</t>
    <phoneticPr fontId="3" type="noConversion"/>
  </si>
  <si>
    <t>ㄚ</t>
  </si>
  <si>
    <t>膠舒</t>
  </si>
  <si>
    <t>ah</t>
  </si>
  <si>
    <t>aʔ</t>
    <phoneticPr fontId="3" type="noConversion"/>
  </si>
  <si>
    <t xml:space="preserve">ah </t>
  </si>
  <si>
    <t>ㄚㆷ</t>
  </si>
  <si>
    <t>膠促</t>
  </si>
  <si>
    <t>ai</t>
  </si>
  <si>
    <t>aɪ</t>
    <phoneticPr fontId="3" type="noConversion"/>
  </si>
  <si>
    <t xml:space="preserve">ai </t>
  </si>
  <si>
    <t>ㄞ</t>
  </si>
  <si>
    <t>皆舒</t>
  </si>
  <si>
    <t>aih</t>
    <phoneticPr fontId="3" type="noConversion"/>
  </si>
  <si>
    <t>aɪʔ</t>
    <phoneticPr fontId="3" type="noConversion"/>
  </si>
  <si>
    <t>ㄞㆷ</t>
    <phoneticPr fontId="3" type="noConversion"/>
  </si>
  <si>
    <t>皆促</t>
  </si>
  <si>
    <t>ainn</t>
  </si>
  <si>
    <t>ãɪ</t>
    <phoneticPr fontId="3" type="noConversion"/>
  </si>
  <si>
    <t>aiⁿ</t>
  </si>
  <si>
    <t>nai</t>
  </si>
  <si>
    <t>ㆮ</t>
  </si>
  <si>
    <t>閒舒</t>
  </si>
  <si>
    <t>ak</t>
  </si>
  <si>
    <t xml:space="preserve">ak </t>
  </si>
  <si>
    <t>ㄚㆻ</t>
    <phoneticPr fontId="3" type="noConversion"/>
  </si>
  <si>
    <t>江促</t>
  </si>
  <si>
    <t>am</t>
  </si>
  <si>
    <t>am</t>
    <phoneticPr fontId="3" type="noConversion"/>
  </si>
  <si>
    <t xml:space="preserve">am </t>
  </si>
  <si>
    <t>ㆰ</t>
  </si>
  <si>
    <t>甘舒</t>
  </si>
  <si>
    <t>an</t>
  </si>
  <si>
    <t>an</t>
    <phoneticPr fontId="3" type="noConversion"/>
  </si>
  <si>
    <t xml:space="preserve">an </t>
  </si>
  <si>
    <t>ㄢ</t>
  </si>
  <si>
    <t>干舒</t>
  </si>
  <si>
    <t>ang</t>
  </si>
  <si>
    <t>aŋ</t>
    <phoneticPr fontId="3" type="noConversion"/>
  </si>
  <si>
    <t>ㄤ</t>
  </si>
  <si>
    <t>江舒</t>
  </si>
  <si>
    <t>ann</t>
  </si>
  <si>
    <t>ã</t>
    <phoneticPr fontId="3" type="noConversion"/>
  </si>
  <si>
    <t>aⁿ</t>
  </si>
  <si>
    <t>na</t>
  </si>
  <si>
    <t>ㆩ</t>
  </si>
  <si>
    <t>監舒</t>
  </si>
  <si>
    <t>annh</t>
  </si>
  <si>
    <t>ãʔ</t>
    <phoneticPr fontId="3" type="noConversion"/>
  </si>
  <si>
    <t>ahⁿ</t>
  </si>
  <si>
    <t>nah</t>
    <phoneticPr fontId="3" type="noConversion"/>
  </si>
  <si>
    <t>ㆩㆷ</t>
  </si>
  <si>
    <t>監促</t>
  </si>
  <si>
    <t>ap</t>
  </si>
  <si>
    <t xml:space="preserve">ap </t>
  </si>
  <si>
    <t>ㄚㆴ</t>
  </si>
  <si>
    <t>甘促</t>
  </si>
  <si>
    <t>at</t>
  </si>
  <si>
    <t xml:space="preserve">at </t>
  </si>
  <si>
    <t>ㄚㆵ</t>
  </si>
  <si>
    <t>干促</t>
  </si>
  <si>
    <t>au</t>
  </si>
  <si>
    <t>aʊ</t>
    <phoneticPr fontId="3" type="noConversion"/>
  </si>
  <si>
    <t xml:space="preserve">au </t>
  </si>
  <si>
    <t>ao</t>
  </si>
  <si>
    <t>ㄠ</t>
  </si>
  <si>
    <t>交舒</t>
  </si>
  <si>
    <t>auh</t>
  </si>
  <si>
    <t>auʔ</t>
    <phoneticPr fontId="3" type="noConversion"/>
  </si>
  <si>
    <t>aoh</t>
  </si>
  <si>
    <t>ㄠㆷ</t>
    <phoneticPr fontId="3" type="noConversion"/>
  </si>
  <si>
    <t>交促</t>
  </si>
  <si>
    <t>e</t>
  </si>
  <si>
    <t>e</t>
    <phoneticPr fontId="3" type="noConversion"/>
  </si>
  <si>
    <t>ㆤ</t>
  </si>
  <si>
    <t>稽舒</t>
  </si>
  <si>
    <t>ee</t>
    <phoneticPr fontId="3" type="noConversion"/>
  </si>
  <si>
    <t>ɛ</t>
    <phoneticPr fontId="3" type="noConversion"/>
  </si>
  <si>
    <t>ㄝ</t>
    <phoneticPr fontId="3" type="noConversion"/>
  </si>
  <si>
    <t>嘉舒</t>
  </si>
  <si>
    <t>eeh</t>
    <phoneticPr fontId="3" type="noConversion"/>
  </si>
  <si>
    <t>ㄝㆷ</t>
    <phoneticPr fontId="3" type="noConversion"/>
  </si>
  <si>
    <t>嘉促</t>
  </si>
  <si>
    <t>eh</t>
  </si>
  <si>
    <t>eʔ</t>
    <phoneticPr fontId="3" type="noConversion"/>
  </si>
  <si>
    <t>ㆤㆷ</t>
  </si>
  <si>
    <t>伽促</t>
  </si>
  <si>
    <t>ek</t>
    <phoneticPr fontId="3" type="noConversion"/>
  </si>
  <si>
    <t>ㄝㆻ</t>
    <phoneticPr fontId="3" type="noConversion"/>
  </si>
  <si>
    <t>經促</t>
  </si>
  <si>
    <t>eng</t>
    <phoneticPr fontId="3" type="noConversion"/>
  </si>
  <si>
    <t>ㄝㆭ</t>
    <phoneticPr fontId="3" type="noConversion"/>
  </si>
  <si>
    <t>經舒</t>
  </si>
  <si>
    <t>enn</t>
  </si>
  <si>
    <t>ẽ</t>
    <phoneticPr fontId="3" type="noConversion"/>
  </si>
  <si>
    <t>eⁿ</t>
  </si>
  <si>
    <t>ne</t>
  </si>
  <si>
    <t>ㆥ</t>
  </si>
  <si>
    <t>更舒</t>
  </si>
  <si>
    <t>ennh</t>
  </si>
  <si>
    <t>ẽʔ</t>
    <phoneticPr fontId="3" type="noConversion"/>
  </si>
  <si>
    <t>ehⁿ</t>
    <phoneticPr fontId="3" type="noConversion"/>
  </si>
  <si>
    <t>neh</t>
    <phoneticPr fontId="3" type="noConversion"/>
  </si>
  <si>
    <t>ennh</t>
    <phoneticPr fontId="3" type="noConversion"/>
  </si>
  <si>
    <t>ㆥㆷ</t>
    <phoneticPr fontId="3" type="noConversion"/>
  </si>
  <si>
    <t>更促</t>
  </si>
  <si>
    <t>i</t>
  </si>
  <si>
    <t>i</t>
    <phoneticPr fontId="3" type="noConversion"/>
  </si>
  <si>
    <t>ㄧ</t>
  </si>
  <si>
    <t>居舒</t>
  </si>
  <si>
    <t>ia</t>
  </si>
  <si>
    <t>ɪa</t>
    <phoneticPr fontId="3" type="noConversion"/>
  </si>
  <si>
    <t>ㄧㄚ</t>
  </si>
  <si>
    <t>迦舒</t>
  </si>
  <si>
    <t>iah</t>
  </si>
  <si>
    <t>ㄧㄚㆷ</t>
  </si>
  <si>
    <t>迦促</t>
  </si>
  <si>
    <t>iak</t>
  </si>
  <si>
    <t>ɪak̚</t>
    <phoneticPr fontId="3" type="noConversion"/>
  </si>
  <si>
    <t>ㄧㄚㆻ</t>
  </si>
  <si>
    <t>姜促</t>
  </si>
  <si>
    <t>iam</t>
  </si>
  <si>
    <t>ɪam</t>
    <phoneticPr fontId="3" type="noConversion"/>
  </si>
  <si>
    <t>ㄧㆰ</t>
  </si>
  <si>
    <t>兼舒</t>
  </si>
  <si>
    <t>ian</t>
  </si>
  <si>
    <t>ɪan</t>
    <phoneticPr fontId="3" type="noConversion"/>
  </si>
  <si>
    <t>ㄧㄢ</t>
  </si>
  <si>
    <t>堅舒</t>
  </si>
  <si>
    <t>iang</t>
  </si>
  <si>
    <t>ɪaŋ</t>
    <phoneticPr fontId="3" type="noConversion"/>
  </si>
  <si>
    <t>ㄧㄤ</t>
  </si>
  <si>
    <t>姜舒</t>
  </si>
  <si>
    <t>iann</t>
  </si>
  <si>
    <t>iaⁿ</t>
  </si>
  <si>
    <t>nia</t>
  </si>
  <si>
    <t>ㄧㆩ</t>
  </si>
  <si>
    <t>驚舒</t>
  </si>
  <si>
    <t>iannh</t>
  </si>
  <si>
    <t>iahⁿ</t>
    <phoneticPr fontId="3" type="noConversion"/>
  </si>
  <si>
    <t>niah</t>
    <phoneticPr fontId="3" type="noConversion"/>
  </si>
  <si>
    <t>iannh</t>
    <phoneticPr fontId="3" type="noConversion"/>
  </si>
  <si>
    <t>ㄧㆩㆷ</t>
    <phoneticPr fontId="3" type="noConversion"/>
  </si>
  <si>
    <t>驚促</t>
  </si>
  <si>
    <t>iap</t>
  </si>
  <si>
    <t>ɪap̚</t>
    <phoneticPr fontId="3" type="noConversion"/>
  </si>
  <si>
    <t>ㄧㄚㆴ</t>
  </si>
  <si>
    <t>兼促</t>
  </si>
  <si>
    <t>iat</t>
  </si>
  <si>
    <t>ɪat̚</t>
    <phoneticPr fontId="3" type="noConversion"/>
  </si>
  <si>
    <t>ㄧㄚㆵ</t>
  </si>
  <si>
    <t>堅促</t>
  </si>
  <si>
    <t>iau</t>
  </si>
  <si>
    <t>ɪaʊ</t>
    <phoneticPr fontId="3" type="noConversion"/>
  </si>
  <si>
    <t>iao</t>
  </si>
  <si>
    <t>ㄧㄠ</t>
  </si>
  <si>
    <t>嬌舒</t>
  </si>
  <si>
    <t>iauh</t>
  </si>
  <si>
    <t>iaoh</t>
  </si>
  <si>
    <t>ㄧㄠㆷ</t>
  </si>
  <si>
    <t>嬌促</t>
  </si>
  <si>
    <t>iaunn</t>
  </si>
  <si>
    <t>iauⁿ</t>
  </si>
  <si>
    <t>niao</t>
  </si>
  <si>
    <t>ㄧㆯ</t>
  </si>
  <si>
    <t>嘄舒</t>
  </si>
  <si>
    <t>ih</t>
  </si>
  <si>
    <t>iʔ</t>
    <phoneticPr fontId="3" type="noConversion"/>
  </si>
  <si>
    <t>ㄧㆷ</t>
  </si>
  <si>
    <t>居促</t>
  </si>
  <si>
    <t>ik</t>
  </si>
  <si>
    <t>ik̚</t>
    <phoneticPr fontId="3" type="noConversion"/>
  </si>
  <si>
    <t>ik</t>
    <phoneticPr fontId="3" type="noConversion"/>
  </si>
  <si>
    <t>iek</t>
    <phoneticPr fontId="3" type="noConversion"/>
  </si>
  <si>
    <t>ㄧㆻ</t>
  </si>
  <si>
    <t>im</t>
  </si>
  <si>
    <t>im</t>
    <phoneticPr fontId="3" type="noConversion"/>
  </si>
  <si>
    <t>ㄧㆬ</t>
  </si>
  <si>
    <t>金舒</t>
  </si>
  <si>
    <t>in</t>
  </si>
  <si>
    <t>in</t>
    <phoneticPr fontId="3" type="noConversion"/>
  </si>
  <si>
    <t>ㄧㄣ</t>
  </si>
  <si>
    <t>巾舒</t>
  </si>
  <si>
    <t>ing</t>
  </si>
  <si>
    <t>iŋ</t>
    <phoneticPr fontId="3" type="noConversion"/>
  </si>
  <si>
    <t>eng</t>
  </si>
  <si>
    <t>ㄧㄥ</t>
  </si>
  <si>
    <t>inn</t>
  </si>
  <si>
    <t>ĩ</t>
    <phoneticPr fontId="3" type="noConversion"/>
  </si>
  <si>
    <t>iⁿ</t>
  </si>
  <si>
    <t>ni</t>
  </si>
  <si>
    <t>ㆪ</t>
  </si>
  <si>
    <t>梔舒</t>
  </si>
  <si>
    <t>io</t>
  </si>
  <si>
    <t>ɪə</t>
    <phoneticPr fontId="3" type="noConversion"/>
  </si>
  <si>
    <t>ior</t>
  </si>
  <si>
    <t>ㄧㄜ</t>
  </si>
  <si>
    <t>茄舒</t>
  </si>
  <si>
    <t>ioh</t>
  </si>
  <si>
    <t>ɪəʔ</t>
    <phoneticPr fontId="3" type="noConversion"/>
  </si>
  <si>
    <t>iorh</t>
  </si>
  <si>
    <t>ㄧㄜㆷ</t>
  </si>
  <si>
    <t>茄促</t>
  </si>
  <si>
    <t>iok</t>
  </si>
  <si>
    <t>ɪɔk̚</t>
    <phoneticPr fontId="3" type="noConversion"/>
  </si>
  <si>
    <t>iook</t>
  </si>
  <si>
    <t>ㄧㆦㆻ</t>
  </si>
  <si>
    <t>恭促</t>
  </si>
  <si>
    <t>iong</t>
  </si>
  <si>
    <t>ɪɔŋ</t>
    <phoneticPr fontId="3" type="noConversion"/>
  </si>
  <si>
    <t>ㄧㆲ</t>
  </si>
  <si>
    <t>恭舒</t>
  </si>
  <si>
    <t>ionn</t>
    <phoneticPr fontId="3" type="noConversion"/>
  </si>
  <si>
    <t>ɪɔ̃</t>
    <phoneticPr fontId="3" type="noConversion"/>
  </si>
  <si>
    <t>ioⁿ</t>
    <phoneticPr fontId="3" type="noConversion"/>
  </si>
  <si>
    <t>nioo</t>
    <phoneticPr fontId="3" type="noConversion"/>
  </si>
  <si>
    <t>ioonn</t>
    <phoneticPr fontId="3" type="noConversion"/>
  </si>
  <si>
    <t>ㄧㆧ</t>
    <phoneticPr fontId="3" type="noConversion"/>
  </si>
  <si>
    <t>薑舒</t>
  </si>
  <si>
    <t>ip</t>
    <phoneticPr fontId="3" type="noConversion"/>
  </si>
  <si>
    <t>ip̚</t>
    <phoneticPr fontId="3" type="noConversion"/>
  </si>
  <si>
    <t>一ㆴ</t>
    <phoneticPr fontId="3" type="noConversion"/>
  </si>
  <si>
    <t>金促</t>
  </si>
  <si>
    <t>it</t>
    <phoneticPr fontId="3" type="noConversion"/>
  </si>
  <si>
    <t>it̚</t>
    <phoneticPr fontId="3" type="noConversion"/>
  </si>
  <si>
    <t>ㄧㆵ</t>
    <phoneticPr fontId="3" type="noConversion"/>
  </si>
  <si>
    <t>巾促</t>
  </si>
  <si>
    <t>iu</t>
  </si>
  <si>
    <t>ㄧㄨ</t>
  </si>
  <si>
    <t>丩舒</t>
  </si>
  <si>
    <t>iunn</t>
  </si>
  <si>
    <t>iuⁿ</t>
  </si>
  <si>
    <t>niu</t>
  </si>
  <si>
    <t>ㄧㆫ</t>
  </si>
  <si>
    <t>牛舒</t>
  </si>
  <si>
    <t>iunnh</t>
  </si>
  <si>
    <t>iunnh</t>
    <phoneticPr fontId="3" type="noConversion"/>
  </si>
  <si>
    <t>iuhⁿ</t>
    <phoneticPr fontId="3" type="noConversion"/>
  </si>
  <si>
    <t>niuh</t>
    <phoneticPr fontId="3" type="noConversion"/>
  </si>
  <si>
    <t>ㄧㆫㆷ</t>
    <phoneticPr fontId="3" type="noConversion"/>
  </si>
  <si>
    <t>牛促</t>
  </si>
  <si>
    <t>m̩</t>
    <phoneticPr fontId="3" type="noConversion"/>
  </si>
  <si>
    <t>ㆬ</t>
  </si>
  <si>
    <t>姆舒</t>
  </si>
  <si>
    <t>mh</t>
  </si>
  <si>
    <t>m̩ʔ</t>
  </si>
  <si>
    <t>mh</t>
    <phoneticPr fontId="3" type="noConversion"/>
  </si>
  <si>
    <t>ㆬㆷ</t>
    <phoneticPr fontId="3" type="noConversion"/>
  </si>
  <si>
    <t>姆促</t>
  </si>
  <si>
    <t>ŋ̍</t>
  </si>
  <si>
    <t>ㆭ</t>
  </si>
  <si>
    <t>鋼舒</t>
  </si>
  <si>
    <t>ngh</t>
  </si>
  <si>
    <t>ŋ̍ʔ</t>
  </si>
  <si>
    <t>ngh</t>
    <phoneticPr fontId="3" type="noConversion"/>
  </si>
  <si>
    <t>ㆭㆷ</t>
    <phoneticPr fontId="3" type="noConversion"/>
  </si>
  <si>
    <t>鋼促</t>
  </si>
  <si>
    <t>o</t>
  </si>
  <si>
    <t>ə</t>
    <phoneticPr fontId="3" type="noConversion"/>
  </si>
  <si>
    <t>or</t>
  </si>
  <si>
    <t>ㄜ</t>
  </si>
  <si>
    <t>高舒</t>
  </si>
  <si>
    <t>oh</t>
  </si>
  <si>
    <t>əʔ</t>
    <phoneticPr fontId="3" type="noConversion"/>
  </si>
  <si>
    <t>orh</t>
  </si>
  <si>
    <t>ㄜㆷ</t>
  </si>
  <si>
    <t>高促</t>
  </si>
  <si>
    <t>ok</t>
  </si>
  <si>
    <t>ɔk̚</t>
    <phoneticPr fontId="3" type="noConversion"/>
  </si>
  <si>
    <t>ok</t>
    <phoneticPr fontId="3" type="noConversion"/>
  </si>
  <si>
    <t>ook</t>
    <phoneticPr fontId="3" type="noConversion"/>
  </si>
  <si>
    <t>ㆦㆻ</t>
  </si>
  <si>
    <t>公促</t>
  </si>
  <si>
    <t>om</t>
  </si>
  <si>
    <t>ɔm</t>
    <phoneticPr fontId="3" type="noConversion"/>
  </si>
  <si>
    <t>oom</t>
  </si>
  <si>
    <t>ㆱ</t>
  </si>
  <si>
    <t>箴舒</t>
  </si>
  <si>
    <t>ong</t>
  </si>
  <si>
    <t>ɔŋ</t>
    <phoneticPr fontId="3" type="noConversion"/>
  </si>
  <si>
    <t>ㆲ</t>
  </si>
  <si>
    <t>公舒</t>
  </si>
  <si>
    <t>onn</t>
  </si>
  <si>
    <t>ɔ̃</t>
    <phoneticPr fontId="3" type="noConversion"/>
  </si>
  <si>
    <t>oⁿ</t>
    <phoneticPr fontId="24" type="noConversion"/>
  </si>
  <si>
    <t>noo</t>
    <phoneticPr fontId="24" type="noConversion"/>
  </si>
  <si>
    <t>oonn</t>
    <phoneticPr fontId="24" type="noConversion"/>
  </si>
  <si>
    <t>ㆧ</t>
  </si>
  <si>
    <t>姑舒</t>
    <phoneticPr fontId="3" type="noConversion"/>
  </si>
  <si>
    <t>扛停用，以姑代</t>
    <phoneticPr fontId="3" type="noConversion"/>
  </si>
  <si>
    <t>onnh</t>
  </si>
  <si>
    <t>ɔ̃ʔ</t>
    <phoneticPr fontId="3" type="noConversion"/>
  </si>
  <si>
    <t>ohⁿ</t>
    <phoneticPr fontId="3" type="noConversion"/>
  </si>
  <si>
    <t>oonnh</t>
    <phoneticPr fontId="3" type="noConversion"/>
  </si>
  <si>
    <t>ㆧㆷ</t>
  </si>
  <si>
    <t>姑促</t>
    <phoneticPr fontId="3" type="noConversion"/>
  </si>
  <si>
    <t>oo</t>
  </si>
  <si>
    <t>ɔ</t>
    <phoneticPr fontId="3" type="noConversion"/>
  </si>
  <si>
    <t>o͘</t>
  </si>
  <si>
    <t>ㆦ</t>
  </si>
  <si>
    <t>沽舒</t>
  </si>
  <si>
    <t>ooh</t>
  </si>
  <si>
    <t>ɔʔ</t>
    <phoneticPr fontId="3" type="noConversion"/>
  </si>
  <si>
    <t>o͘h</t>
    <phoneticPr fontId="3" type="noConversion"/>
  </si>
  <si>
    <t>ooh</t>
    <phoneticPr fontId="3" type="noConversion"/>
  </si>
  <si>
    <t>ㆦㆷ</t>
    <phoneticPr fontId="3" type="noConversion"/>
  </si>
  <si>
    <t>沽促</t>
  </si>
  <si>
    <t>op</t>
  </si>
  <si>
    <t>ɔp̚</t>
    <phoneticPr fontId="3" type="noConversion"/>
  </si>
  <si>
    <t>oop</t>
  </si>
  <si>
    <t>ㆦㆴ</t>
  </si>
  <si>
    <t>箴促</t>
  </si>
  <si>
    <t>u</t>
  </si>
  <si>
    <t>u</t>
    <phoneticPr fontId="3" type="noConversion"/>
  </si>
  <si>
    <t>ㄨ</t>
  </si>
  <si>
    <t>艍舒</t>
  </si>
  <si>
    <t>ua</t>
  </si>
  <si>
    <t>ua</t>
    <phoneticPr fontId="3" type="noConversion"/>
  </si>
  <si>
    <t>oa</t>
  </si>
  <si>
    <t>ㄨㄚ</t>
  </si>
  <si>
    <t>瓜舒</t>
  </si>
  <si>
    <t>uah</t>
  </si>
  <si>
    <t>uaʔ</t>
    <phoneticPr fontId="3" type="noConversion"/>
  </si>
  <si>
    <t>oah</t>
  </si>
  <si>
    <t>ㄨㄚㆷ</t>
  </si>
  <si>
    <t>瓜促</t>
  </si>
  <si>
    <t>uai</t>
  </si>
  <si>
    <t>uai</t>
    <phoneticPr fontId="3" type="noConversion"/>
  </si>
  <si>
    <t>oai</t>
  </si>
  <si>
    <t>ㄨㄞ</t>
  </si>
  <si>
    <t>乖舒</t>
  </si>
  <si>
    <t>uaih</t>
  </si>
  <si>
    <t>uaiʔ</t>
    <phoneticPr fontId="3" type="noConversion"/>
  </si>
  <si>
    <t>uaih</t>
    <phoneticPr fontId="3" type="noConversion"/>
  </si>
  <si>
    <t>oaih</t>
  </si>
  <si>
    <t>ㄨㄞㆷ</t>
  </si>
  <si>
    <t>乖促</t>
  </si>
  <si>
    <t>uainn</t>
  </si>
  <si>
    <t>uãi</t>
    <phoneticPr fontId="3" type="noConversion"/>
  </si>
  <si>
    <t>oaiⁿ</t>
  </si>
  <si>
    <t>nuai</t>
  </si>
  <si>
    <t>ㄨㆮ</t>
  </si>
  <si>
    <t>閂舒</t>
  </si>
  <si>
    <t>uainnh</t>
  </si>
  <si>
    <t>uãiʔ</t>
    <phoneticPr fontId="3" type="noConversion"/>
  </si>
  <si>
    <t>uainnh</t>
    <phoneticPr fontId="3" type="noConversion"/>
  </si>
  <si>
    <t>oaihⁿ</t>
  </si>
  <si>
    <t>ㄨㆮㆷ</t>
  </si>
  <si>
    <t>閂促</t>
  </si>
  <si>
    <t>uan</t>
  </si>
  <si>
    <t>uan</t>
    <phoneticPr fontId="3" type="noConversion"/>
  </si>
  <si>
    <t>oan</t>
  </si>
  <si>
    <t>ㄨㄢ</t>
  </si>
  <si>
    <t>觀舒</t>
  </si>
  <si>
    <t>uang</t>
  </si>
  <si>
    <t>uaŋ</t>
    <phoneticPr fontId="3" type="noConversion"/>
  </si>
  <si>
    <t>uang</t>
    <phoneticPr fontId="3" type="noConversion"/>
  </si>
  <si>
    <t>oang</t>
  </si>
  <si>
    <t>ㄨㄤ</t>
  </si>
  <si>
    <t>光舒</t>
  </si>
  <si>
    <t>uann</t>
  </si>
  <si>
    <t>uã</t>
    <phoneticPr fontId="3" type="noConversion"/>
  </si>
  <si>
    <t>oaⁿ</t>
  </si>
  <si>
    <t>nua</t>
  </si>
  <si>
    <t>uann</t>
    <phoneticPr fontId="3" type="noConversion"/>
  </si>
  <si>
    <t>ㄨㆩ</t>
  </si>
  <si>
    <t>官舒</t>
  </si>
  <si>
    <t>uat</t>
  </si>
  <si>
    <t>uat̚</t>
    <phoneticPr fontId="3" type="noConversion"/>
  </si>
  <si>
    <t>oat</t>
  </si>
  <si>
    <t>ㄨㄚㆵ</t>
  </si>
  <si>
    <t>觀促</t>
  </si>
  <si>
    <t>ue</t>
  </si>
  <si>
    <t>ue</t>
    <phoneticPr fontId="3" type="noConversion"/>
  </si>
  <si>
    <t>oe</t>
  </si>
  <si>
    <t>ㄨㆤ</t>
  </si>
  <si>
    <t>檜舒</t>
  </si>
  <si>
    <t>ueh</t>
  </si>
  <si>
    <t>ueʔ</t>
    <phoneticPr fontId="3" type="noConversion"/>
  </si>
  <si>
    <t>oeh</t>
  </si>
  <si>
    <t>ㄨㆤㆷ</t>
  </si>
  <si>
    <t>檜促</t>
  </si>
  <si>
    <t>uh</t>
  </si>
  <si>
    <t>uʔ</t>
    <phoneticPr fontId="3" type="noConversion"/>
  </si>
  <si>
    <t>ㄨㆷ</t>
  </si>
  <si>
    <t>艍促</t>
  </si>
  <si>
    <t>ui</t>
  </si>
  <si>
    <t>ui</t>
    <phoneticPr fontId="3" type="noConversion"/>
  </si>
  <si>
    <t>ㄨㄧ</t>
  </si>
  <si>
    <t>規舒</t>
  </si>
  <si>
    <t>uih</t>
  </si>
  <si>
    <t>uiʔ</t>
    <phoneticPr fontId="3" type="noConversion"/>
  </si>
  <si>
    <t>uih</t>
    <phoneticPr fontId="3" type="noConversion"/>
  </si>
  <si>
    <t>ㄨㄧㆷ</t>
    <phoneticPr fontId="3" type="noConversion"/>
  </si>
  <si>
    <t>規促</t>
    <phoneticPr fontId="3" type="noConversion"/>
  </si>
  <si>
    <t>uinn</t>
  </si>
  <si>
    <t>uĩ</t>
    <phoneticPr fontId="3" type="noConversion"/>
  </si>
  <si>
    <t>uinn</t>
    <phoneticPr fontId="3" type="noConversion"/>
  </si>
  <si>
    <t>uiⁿ</t>
  </si>
  <si>
    <t>nui</t>
    <phoneticPr fontId="3" type="noConversion"/>
  </si>
  <si>
    <t>ㄨㆪ</t>
  </si>
  <si>
    <t>褌舒</t>
  </si>
  <si>
    <t>un</t>
  </si>
  <si>
    <t>un</t>
    <phoneticPr fontId="3" type="noConversion"/>
  </si>
  <si>
    <t>ㄨㄣ</t>
  </si>
  <si>
    <t>君舒</t>
  </si>
  <si>
    <t>ut</t>
  </si>
  <si>
    <t>ut̚</t>
    <phoneticPr fontId="3" type="noConversion"/>
  </si>
  <si>
    <t>ㄨㆵ</t>
  </si>
  <si>
    <t>君促</t>
  </si>
  <si>
    <t>調性</t>
    <phoneticPr fontId="3" type="noConversion"/>
  </si>
  <si>
    <t>調值</t>
    <phoneticPr fontId="3" type="noConversion"/>
  </si>
  <si>
    <t>調名</t>
    <phoneticPr fontId="3" type="noConversion"/>
  </si>
  <si>
    <t>台羅調號</t>
    <phoneticPr fontId="3" type="noConversion"/>
  </si>
  <si>
    <t>閩拼調號</t>
    <phoneticPr fontId="3" type="noConversion"/>
  </si>
  <si>
    <t>鍵盤按鍵</t>
  </si>
  <si>
    <t>ā</t>
  </si>
  <si>
    <t>;</t>
    <phoneticPr fontId="3" type="noConversion"/>
  </si>
  <si>
    <t>â</t>
  </si>
  <si>
    <t>-</t>
    <phoneticPr fontId="3" type="noConversion"/>
  </si>
  <si>
    <t>\</t>
    <phoneticPr fontId="3" type="noConversion"/>
  </si>
  <si>
    <t>/</t>
  </si>
  <si>
    <t>à</t>
  </si>
  <si>
    <t>_</t>
  </si>
  <si>
    <t>ǎ</t>
  </si>
  <si>
    <t>[</t>
    <phoneticPr fontId="3" type="noConversion"/>
  </si>
  <si>
    <t>á</t>
  </si>
  <si>
    <t>āh</t>
  </si>
  <si>
    <t>áh</t>
  </si>
  <si>
    <t>]</t>
  </si>
  <si>
    <t>高音調</t>
  </si>
  <si>
    <t>陰平</t>
  </si>
  <si>
    <t>中音調</t>
  </si>
  <si>
    <t>陽去</t>
  </si>
  <si>
    <t>低音調</t>
  </si>
  <si>
    <t>陰去</t>
  </si>
  <si>
    <t>高降調</t>
  </si>
  <si>
    <t>陰聲</t>
  </si>
  <si>
    <t>低升調</t>
  </si>
  <si>
    <t>陽平</t>
  </si>
  <si>
    <t>低促調</t>
  </si>
  <si>
    <t>3ʔ</t>
  </si>
  <si>
    <t>陰入</t>
  </si>
  <si>
    <t>高促調</t>
  </si>
  <si>
    <t>4ʔ</t>
  </si>
  <si>
    <t>陽入</t>
  </si>
  <si>
    <t>a̍h</t>
  </si>
  <si>
    <t>君韻</t>
    <phoneticPr fontId="24" type="noConversion"/>
  </si>
  <si>
    <t>君</t>
    <phoneticPr fontId="24" type="noConversion"/>
  </si>
  <si>
    <t>群</t>
    <phoneticPr fontId="24" type="noConversion"/>
  </si>
  <si>
    <t>滾</t>
    <phoneticPr fontId="24" type="noConversion"/>
  </si>
  <si>
    <t>棍</t>
    <phoneticPr fontId="24" type="noConversion"/>
  </si>
  <si>
    <t>郡</t>
    <phoneticPr fontId="24" type="noConversion"/>
  </si>
  <si>
    <t>骨</t>
    <phoneticPr fontId="24" type="noConversion"/>
  </si>
  <si>
    <t>滑</t>
    <phoneticPr fontId="24" type="noConversion"/>
  </si>
  <si>
    <t>調名</t>
    <phoneticPr fontId="24" type="noConversion"/>
  </si>
  <si>
    <t>陰上</t>
  </si>
  <si>
    <t>調號</t>
    <phoneticPr fontId="24" type="noConversion"/>
  </si>
  <si>
    <t>調值</t>
    <phoneticPr fontId="24" type="noConversion"/>
  </si>
  <si>
    <t>3ʔ</t>
    <phoneticPr fontId="24" type="noConversion"/>
  </si>
  <si>
    <t>4ʔ</t>
    <phoneticPr fontId="24" type="noConversion"/>
  </si>
  <si>
    <t>調性</t>
    <phoneticPr fontId="24" type="noConversion"/>
  </si>
  <si>
    <t>高音調</t>
    <phoneticPr fontId="24" type="noConversion"/>
  </si>
  <si>
    <t>低升調</t>
    <phoneticPr fontId="24" type="noConversion"/>
  </si>
  <si>
    <t>高降調</t>
    <phoneticPr fontId="24" type="noConversion"/>
  </si>
  <si>
    <t>低音調</t>
    <phoneticPr fontId="24" type="noConversion"/>
  </si>
  <si>
    <t>中音調</t>
    <phoneticPr fontId="24" type="noConversion"/>
  </si>
  <si>
    <t>低促調</t>
    <phoneticPr fontId="24" type="noConversion"/>
  </si>
  <si>
    <t>高促調</t>
    <phoneticPr fontId="24" type="noConversion"/>
  </si>
  <si>
    <t>調符</t>
    <phoneticPr fontId="24" type="noConversion"/>
  </si>
  <si>
    <t>ā</t>
  </si>
  <si>
    <t>á</t>
  </si>
  <si>
    <t>ǎ</t>
  </si>
  <si>
    <t>à</t>
  </si>
  <si>
    <t>â</t>
  </si>
  <si>
    <t>āh</t>
  </si>
  <si>
    <t>áh</t>
  </si>
  <si>
    <t>標準版</t>
    <phoneticPr fontId="24" type="noConversion"/>
  </si>
  <si>
    <t>gún</t>
    <phoneticPr fontId="24" type="noConversion"/>
  </si>
  <si>
    <t>gǔn</t>
    <phoneticPr fontId="24" type="noConversion"/>
  </si>
  <si>
    <t>gùn</t>
    <phoneticPr fontId="24" type="noConversion"/>
  </si>
  <si>
    <t>gûn</t>
    <phoneticPr fontId="24" type="noConversion"/>
  </si>
  <si>
    <t>gūt</t>
    <phoneticPr fontId="24" type="noConversion"/>
  </si>
  <si>
    <t>gút</t>
    <phoneticPr fontId="24" type="noConversion"/>
  </si>
  <si>
    <t>數字版</t>
    <phoneticPr fontId="24" type="noConversion"/>
  </si>
  <si>
    <t>gun¹</t>
  </si>
  <si>
    <t>gun²</t>
  </si>
  <si>
    <t>gun³</t>
  </si>
  <si>
    <t>gun⁵</t>
  </si>
  <si>
    <t>gun⁶</t>
  </si>
  <si>
    <t>gut⁷</t>
  </si>
  <si>
    <t>gut⁸</t>
  </si>
  <si>
    <t>ā</t>
    <phoneticPr fontId="24" type="noConversion"/>
  </si>
  <si>
    <t>á</t>
    <phoneticPr fontId="24" type="noConversion"/>
  </si>
  <si>
    <t>ǎ</t>
    <phoneticPr fontId="24" type="noConversion"/>
  </si>
  <si>
    <t>à</t>
    <phoneticPr fontId="24" type="noConversion"/>
  </si>
  <si>
    <t>â</t>
    <phoneticPr fontId="24" type="noConversion"/>
  </si>
  <si>
    <t>āh</t>
    <phoneticPr fontId="24" type="noConversion"/>
  </si>
  <si>
    <t>áh</t>
    <phoneticPr fontId="24" type="noConversion"/>
  </si>
  <si>
    <t>ㄚˊ</t>
  </si>
  <si>
    <t>ㄚ˫</t>
  </si>
  <si>
    <t>ㄚ˪</t>
  </si>
  <si>
    <t>ㄚˋ</t>
  </si>
  <si>
    <t>ㄚㆷ̇</t>
  </si>
  <si>
    <t xml:space="preserve">gūn 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</si>
</sst>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6"/>
      <color theme="1"/>
      <name val="Noto Sans TC Medium"/>
      <family val="2"/>
      <charset val="136"/>
    </font>
    <font>
      <sz val="12"/>
      <color theme="1"/>
      <name val="新細明體"/>
      <family val="2"/>
      <charset val="136"/>
      <scheme val="minor"/>
    </font>
    <font>
      <sz val="16"/>
      <color theme="4"/>
      <name val="Noto Sans TC Medium"/>
      <family val="2"/>
    </font>
    <font>
      <sz val="9"/>
      <name val="Noto Sans TC Medium"/>
      <family val="2"/>
      <charset val="136"/>
    </font>
    <font>
      <sz val="24"/>
      <color theme="1"/>
      <name val="Noto Sans TC Medium"/>
      <family val="2"/>
    </font>
    <font>
      <sz val="24"/>
      <color rgb="FFFF0000"/>
      <name val="Noto Sans TC Medium"/>
      <family val="2"/>
    </font>
    <font>
      <sz val="16"/>
      <color theme="8" tint="0.39997558519241921"/>
      <name val="Noto Sans TC Medium"/>
      <family val="2"/>
      <charset val="136"/>
    </font>
    <font>
      <sz val="16"/>
      <color rgb="FFFF0000"/>
      <name val="Noto Sans TC Medium"/>
      <family val="2"/>
    </font>
    <font>
      <sz val="16"/>
      <color rgb="FFFF0000"/>
      <name val="Noto Sans TC Medium"/>
      <family val="2"/>
      <charset val="136"/>
    </font>
    <font>
      <sz val="24"/>
      <color rgb="FFFF0000"/>
      <name val="Noto Sans TC Medium"/>
      <family val="2"/>
      <charset val="136"/>
    </font>
    <font>
      <sz val="16"/>
      <color theme="8"/>
      <name val="Noto Sans TC Medium"/>
      <family val="2"/>
      <charset val="136"/>
    </font>
    <font>
      <sz val="24"/>
      <color theme="2"/>
      <name val="Noto Sans TC Medium"/>
      <family val="2"/>
    </font>
    <font>
      <sz val="16"/>
      <color theme="2"/>
      <name val="Noto Sans TC Medium"/>
      <family val="2"/>
      <charset val="136"/>
    </font>
    <font>
      <b/>
      <sz val="18"/>
      <color rgb="FF000000"/>
      <name val="微軟正黑體"/>
      <family val="2"/>
      <charset val="136"/>
    </font>
    <font>
      <sz val="18"/>
      <color rgb="FF000000"/>
      <name val="Noto Sans"/>
      <family val="2"/>
    </font>
    <font>
      <sz val="18"/>
      <color theme="8"/>
      <name val="Noto Sans"/>
      <family val="2"/>
    </font>
    <font>
      <b/>
      <sz val="18"/>
      <color rgb="FFC00000"/>
      <name val="Noto Sans"/>
      <family val="2"/>
    </font>
    <font>
      <sz val="18"/>
      <name val="Noto Sans"/>
      <family val="2"/>
    </font>
    <font>
      <sz val="18"/>
      <color rgb="FF000000"/>
      <name val="霞鶩文楷 TC Medium"/>
      <family val="1"/>
      <charset val="136"/>
    </font>
    <font>
      <sz val="18"/>
      <color rgb="FFFF0000"/>
      <name val="霞鶩文楷 TC Medium"/>
      <family val="1"/>
      <charset val="136"/>
    </font>
    <font>
      <sz val="18"/>
      <name val="霞鶩文楷 TC Medium"/>
      <family val="1"/>
      <charset val="136"/>
    </font>
    <font>
      <sz val="18"/>
      <color rgb="FFFF0000"/>
      <name val="Noto Sans TC"/>
      <family val="2"/>
      <charset val="136"/>
    </font>
    <font>
      <b/>
      <sz val="18"/>
      <color rgb="FFFF0000"/>
      <name val="Noto Sans"/>
      <family val="2"/>
    </font>
    <font>
      <sz val="18"/>
      <color rgb="FFFF000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8"/>
      <color rgb="FF000000"/>
      <name val="Noto Sans TC"/>
      <family val="2"/>
      <charset val="136"/>
    </font>
    <font>
      <sz val="18"/>
      <color rgb="FF000000"/>
      <name val="細明體"/>
      <family val="2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8"/>
      <color theme="1"/>
      <name val="Charis SIL"/>
    </font>
    <font>
      <sz val="18"/>
      <color theme="1"/>
      <name val="Noto Sans TC Medium"/>
      <family val="2"/>
      <charset val="136"/>
    </font>
    <font>
      <u/>
      <sz val="16"/>
      <color rgb="FFFF0000"/>
      <name val="Noto Sans TC Medium"/>
      <family val="2"/>
      <charset val="136"/>
    </font>
    <font>
      <sz val="36"/>
      <color theme="1"/>
      <name val="Noto Serif TC Black"/>
      <family val="1"/>
    </font>
    <font>
      <sz val="36"/>
      <color theme="1"/>
      <name val="Charis SIL"/>
    </font>
    <font>
      <sz val="28"/>
      <color rgb="FFC00000"/>
      <name val="標楷體"/>
      <family val="4"/>
      <charset val="136"/>
    </font>
    <font>
      <sz val="26"/>
      <color theme="1"/>
      <name val="Noto Serif TC Black"/>
      <family val="1"/>
    </font>
    <font>
      <b/>
      <sz val="36"/>
      <color theme="8" tint="-0.249977111117893"/>
      <name val="Charis SIL"/>
    </font>
    <font>
      <b/>
      <sz val="36"/>
      <color rgb="FFC00000"/>
      <name val="Charis SIL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 indent="2"/>
    </xf>
    <xf numFmtId="0" fontId="4" fillId="0" borderId="1" xfId="0" applyFont="1" applyBorder="1" applyAlignment="1">
      <alignment horizontal="left" vertical="center" indent="2"/>
    </xf>
    <xf numFmtId="0" fontId="0" fillId="3" borderId="1" xfId="0" applyFill="1" applyBorder="1">
      <alignment vertical="center"/>
    </xf>
    <xf numFmtId="0" fontId="5" fillId="0" borderId="1" xfId="0" applyFont="1" applyBorder="1" applyAlignment="1">
      <alignment horizontal="left" vertical="center" indent="2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4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 indent="2"/>
    </xf>
    <xf numFmtId="0" fontId="10" fillId="5" borderId="1" xfId="0" applyFont="1" applyFill="1" applyBorder="1">
      <alignment vertical="center"/>
    </xf>
    <xf numFmtId="0" fontId="10" fillId="3" borderId="1" xfId="0" applyFont="1" applyFill="1" applyBorder="1">
      <alignment vertical="center"/>
    </xf>
    <xf numFmtId="0" fontId="9" fillId="0" borderId="2" xfId="0" applyFont="1" applyBorder="1" applyAlignment="1">
      <alignment horizontal="left" vertical="center" indent="2"/>
    </xf>
    <xf numFmtId="0" fontId="10" fillId="5" borderId="2" xfId="0" applyFont="1" applyFill="1" applyBorder="1">
      <alignment vertical="center"/>
    </xf>
    <xf numFmtId="0" fontId="10" fillId="3" borderId="2" xfId="0" applyFont="1" applyFill="1" applyBorder="1">
      <alignment vertical="center"/>
    </xf>
    <xf numFmtId="0" fontId="7" fillId="0" borderId="2" xfId="0" applyFont="1" applyBorder="1">
      <alignment vertical="center"/>
    </xf>
    <xf numFmtId="0" fontId="9" fillId="0" borderId="3" xfId="0" applyFont="1" applyBorder="1" applyAlignment="1">
      <alignment horizontal="left" vertical="center" indent="2"/>
    </xf>
    <xf numFmtId="0" fontId="10" fillId="5" borderId="3" xfId="0" applyFont="1" applyFill="1" applyBorder="1">
      <alignment vertical="center"/>
    </xf>
    <xf numFmtId="0" fontId="10" fillId="3" borderId="3" xfId="0" applyFont="1" applyFill="1" applyBorder="1">
      <alignment vertical="center"/>
    </xf>
    <xf numFmtId="0" fontId="7" fillId="0" borderId="3" xfId="0" applyFont="1" applyBorder="1">
      <alignment vertical="center"/>
    </xf>
    <xf numFmtId="0" fontId="10" fillId="0" borderId="1" xfId="0" applyFont="1" applyBorder="1">
      <alignment vertical="center"/>
    </xf>
    <xf numFmtId="0" fontId="11" fillId="0" borderId="1" xfId="0" applyFont="1" applyBorder="1" applyAlignment="1">
      <alignment horizontal="left" vertical="center" indent="2"/>
    </xf>
    <xf numFmtId="0" fontId="12" fillId="0" borderId="1" xfId="0" applyFont="1" applyBorder="1">
      <alignment vertical="center"/>
    </xf>
    <xf numFmtId="0" fontId="12" fillId="3" borderId="1" xfId="0" applyFont="1" applyFill="1" applyBorder="1">
      <alignment vertical="center"/>
    </xf>
    <xf numFmtId="0" fontId="1" fillId="0" borderId="0" xfId="1">
      <alignment vertical="center"/>
    </xf>
    <xf numFmtId="0" fontId="13" fillId="6" borderId="5" xfId="1" applyFont="1" applyFill="1" applyBorder="1" applyAlignment="1">
      <alignment horizontal="center" vertical="center" wrapText="1"/>
    </xf>
    <xf numFmtId="0" fontId="13" fillId="6" borderId="6" xfId="1" applyFont="1" applyFill="1" applyBorder="1" applyAlignment="1">
      <alignment horizontal="center" vertical="center" wrapText="1"/>
    </xf>
    <xf numFmtId="0" fontId="13" fillId="3" borderId="6" xfId="1" applyFont="1" applyFill="1" applyBorder="1" applyAlignment="1">
      <alignment horizontal="center" vertical="center" wrapText="1"/>
    </xf>
    <xf numFmtId="0" fontId="13" fillId="6" borderId="7" xfId="1" applyFont="1" applyFill="1" applyBorder="1" applyAlignment="1">
      <alignment horizontal="center" vertical="center" wrapText="1"/>
    </xf>
    <xf numFmtId="0" fontId="14" fillId="6" borderId="8" xfId="1" applyFont="1" applyFill="1" applyBorder="1" applyAlignment="1">
      <alignment horizontal="left" vertical="center" wrapText="1" indent="1"/>
    </xf>
    <xf numFmtId="0" fontId="17" fillId="7" borderId="4" xfId="1" applyFont="1" applyFill="1" applyBorder="1" applyAlignment="1">
      <alignment horizontal="left" vertical="center" wrapText="1" indent="1"/>
    </xf>
    <xf numFmtId="0" fontId="15" fillId="3" borderId="4" xfId="1" applyFont="1" applyFill="1" applyBorder="1" applyAlignment="1">
      <alignment horizontal="left" vertical="center" wrapText="1" indent="1"/>
    </xf>
    <xf numFmtId="0" fontId="18" fillId="7" borderId="4" xfId="1" applyFont="1" applyFill="1" applyBorder="1" applyAlignment="1">
      <alignment horizontal="left" vertical="center" wrapText="1" indent="1"/>
    </xf>
    <xf numFmtId="0" fontId="14" fillId="6" borderId="4" xfId="1" applyFont="1" applyFill="1" applyBorder="1" applyAlignment="1">
      <alignment horizontal="center" vertical="center" wrapText="1"/>
    </xf>
    <xf numFmtId="0" fontId="16" fillId="3" borderId="4" xfId="1" applyFont="1" applyFill="1" applyBorder="1" applyAlignment="1">
      <alignment horizontal="left" vertical="center" wrapText="1" indent="1"/>
    </xf>
    <xf numFmtId="0" fontId="14" fillId="6" borderId="9" xfId="1" applyFont="1" applyFill="1" applyBorder="1" applyAlignment="1">
      <alignment horizontal="left" vertical="center" wrapText="1" indent="1"/>
    </xf>
    <xf numFmtId="0" fontId="20" fillId="7" borderId="4" xfId="1" applyFont="1" applyFill="1" applyBorder="1" applyAlignment="1">
      <alignment horizontal="left" vertical="center" wrapText="1" indent="1"/>
    </xf>
    <xf numFmtId="0" fontId="21" fillId="4" borderId="4" xfId="1" applyFont="1" applyFill="1" applyBorder="1" applyAlignment="1">
      <alignment horizontal="center" vertical="center" wrapText="1"/>
    </xf>
    <xf numFmtId="0" fontId="22" fillId="7" borderId="4" xfId="1" applyFont="1" applyFill="1" applyBorder="1" applyAlignment="1">
      <alignment horizontal="left" vertical="center" wrapText="1" indent="1"/>
    </xf>
    <xf numFmtId="0" fontId="17" fillId="5" borderId="4" xfId="1" applyFont="1" applyFill="1" applyBorder="1" applyAlignment="1">
      <alignment horizontal="left" vertical="center" wrapText="1" indent="1"/>
    </xf>
    <xf numFmtId="0" fontId="19" fillId="7" borderId="4" xfId="1" applyFont="1" applyFill="1" applyBorder="1" applyAlignment="1">
      <alignment horizontal="left" vertical="center" wrapText="1" indent="1"/>
    </xf>
    <xf numFmtId="0" fontId="23" fillId="4" borderId="4" xfId="1" applyFont="1" applyFill="1" applyBorder="1" applyAlignment="1">
      <alignment horizontal="center" vertical="center" wrapText="1"/>
    </xf>
    <xf numFmtId="0" fontId="25" fillId="6" borderId="4" xfId="1" applyFont="1" applyFill="1" applyBorder="1" applyAlignment="1">
      <alignment horizontal="center" vertical="center" wrapText="1"/>
    </xf>
    <xf numFmtId="0" fontId="26" fillId="6" borderId="9" xfId="1" applyFont="1" applyFill="1" applyBorder="1" applyAlignment="1">
      <alignment horizontal="left" vertical="center" wrapText="1" indent="1"/>
    </xf>
    <xf numFmtId="0" fontId="14" fillId="6" borderId="10" xfId="1" applyFont="1" applyFill="1" applyBorder="1" applyAlignment="1">
      <alignment horizontal="left" vertical="center" wrapText="1" indent="1"/>
    </xf>
    <xf numFmtId="0" fontId="17" fillId="7" borderId="11" xfId="1" applyFont="1" applyFill="1" applyBorder="1" applyAlignment="1">
      <alignment horizontal="left" vertical="center" wrapText="1" indent="1"/>
    </xf>
    <xf numFmtId="0" fontId="15" fillId="3" borderId="11" xfId="1" applyFont="1" applyFill="1" applyBorder="1" applyAlignment="1">
      <alignment horizontal="left" vertical="center" wrapText="1" indent="1"/>
    </xf>
    <xf numFmtId="0" fontId="18" fillId="7" borderId="11" xfId="1" applyFont="1" applyFill="1" applyBorder="1" applyAlignment="1">
      <alignment horizontal="left" vertical="center" wrapText="1" indent="1"/>
    </xf>
    <xf numFmtId="0" fontId="14" fillId="6" borderId="11" xfId="1" applyFont="1" applyFill="1" applyBorder="1" applyAlignment="1">
      <alignment horizontal="center" vertical="center" wrapText="1"/>
    </xf>
    <xf numFmtId="0" fontId="16" fillId="3" borderId="11" xfId="1" applyFont="1" applyFill="1" applyBorder="1" applyAlignment="1">
      <alignment horizontal="left" vertical="center" wrapText="1" indent="1"/>
    </xf>
    <xf numFmtId="0" fontId="14" fillId="6" borderId="12" xfId="1" applyFont="1" applyFill="1" applyBorder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0" fillId="9" borderId="17" xfId="0" applyFill="1" applyBorder="1" applyAlignment="1">
      <alignment horizontal="left" vertical="center" indent="4"/>
    </xf>
    <xf numFmtId="0" fontId="30" fillId="9" borderId="1" xfId="0" applyFont="1" applyFill="1" applyBorder="1" applyAlignment="1">
      <alignment horizontal="left" vertical="center" indent="2"/>
    </xf>
    <xf numFmtId="0" fontId="31" fillId="10" borderId="1" xfId="0" quotePrefix="1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11" borderId="1" xfId="1" applyFont="1" applyFill="1" applyBorder="1" applyAlignment="1">
      <alignment horizontal="distributed" vertical="center" indent="2"/>
    </xf>
    <xf numFmtId="0" fontId="33" fillId="11" borderId="1" xfId="1" applyFont="1" applyFill="1" applyBorder="1" applyAlignment="1">
      <alignment horizontal="center" vertical="center"/>
    </xf>
    <xf numFmtId="0" fontId="33" fillId="0" borderId="1" xfId="1" applyFont="1" applyBorder="1" applyAlignment="1">
      <alignment horizontal="center" vertical="center"/>
    </xf>
    <xf numFmtId="0" fontId="33" fillId="7" borderId="1" xfId="1" applyFont="1" applyFill="1" applyBorder="1" applyAlignment="1">
      <alignment horizontal="center" vertical="center"/>
    </xf>
    <xf numFmtId="0" fontId="34" fillId="0" borderId="1" xfId="1" applyFont="1" applyBorder="1" applyAlignment="1">
      <alignment horizontal="center" vertical="center"/>
    </xf>
    <xf numFmtId="0" fontId="35" fillId="7" borderId="1" xfId="1" applyFont="1" applyFill="1" applyBorder="1" applyAlignment="1">
      <alignment horizontal="center" vertical="center"/>
    </xf>
    <xf numFmtId="0" fontId="33" fillId="11" borderId="1" xfId="1" applyFont="1" applyFill="1" applyBorder="1" applyAlignment="1">
      <alignment horizontal="distributed" vertical="center" indent="1"/>
    </xf>
    <xf numFmtId="0" fontId="36" fillId="3" borderId="1" xfId="1" applyFont="1" applyFill="1" applyBorder="1" applyAlignment="1">
      <alignment horizontal="left" vertical="center" indent="1"/>
    </xf>
    <xf numFmtId="0" fontId="1" fillId="0" borderId="18" xfId="1" applyBorder="1">
      <alignment vertical="center"/>
    </xf>
    <xf numFmtId="0" fontId="1" fillId="0" borderId="0" xfId="1" applyAlignment="1">
      <alignment horizontal="center" vertical="top"/>
    </xf>
    <xf numFmtId="0" fontId="37" fillId="0" borderId="0" xfId="1" applyFont="1" applyAlignment="1">
      <alignment horizontal="center" vertical="top"/>
    </xf>
    <xf numFmtId="0" fontId="38" fillId="0" borderId="0" xfId="1" applyFont="1" applyAlignment="1">
      <alignment horizontal="center" vertical="top"/>
    </xf>
    <xf numFmtId="0" fontId="36" fillId="3" borderId="1" xfId="0" applyFont="1" applyFill="1" applyBorder="1" applyAlignment="1">
      <alignment horizontal="left" vertical="center" indent="1"/>
    </xf>
  </cellXfs>
  <cellStyles count="2">
    <cellStyle name="一般" xfId="0" builtinId="0"/>
    <cellStyle name="一般 4" xfId="1" xr:uid="{AE13AA85-FAA8-44A6-84F6-8D0B6C5D423B}"/>
  </cellStyles>
  <dxfs count="26">
    <dxf>
      <font>
        <b/>
        <i val="0"/>
        <color rgb="FFFF0000"/>
      </font>
    </dxf>
    <dxf>
      <font>
        <b/>
        <sz val="18"/>
        <name val="Charis SIL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8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4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8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微軟正黑體"/>
        <family val="2"/>
        <charset val="136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/>
        <bottom/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微軟正黑體"/>
        <family val="2"/>
        <charset val="136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strike val="0"/>
        <outline val="0"/>
        <shadow val="0"/>
        <u val="none"/>
        <vertAlign val="baseline"/>
        <sz val="18"/>
        <name val="霞鶩文楷 TC Medium"/>
        <family val="1"/>
        <charset val="136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ans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ans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ans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>
        <top style="thin">
          <color theme="0" tint="-0.14999847407452621"/>
        </top>
      </border>
    </dxf>
    <dxf>
      <border>
        <bottom style="thin">
          <color theme="0" tint="-0.14999847407452621"/>
        </bottom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549827</xdr:colOff>
      <xdr:row>10</xdr:row>
      <xdr:rowOff>93279</xdr:rowOff>
    </xdr:from>
    <xdr:to>
      <xdr:col>1</xdr:col>
      <xdr:colOff>797477</xdr:colOff>
      <xdr:row>15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0363FF06-0E79-496E-9999-21D1EB45475F}"/>
            </a:ext>
          </a:extLst>
        </xdr:cNvPr>
        <xdr:cNvGrpSpPr/>
      </xdr:nvGrpSpPr>
      <xdr:grpSpPr>
        <a:xfrm>
          <a:off x="1540427" y="6589329"/>
          <a:ext cx="247650" cy="1754571"/>
          <a:chOff x="1232999" y="4402520"/>
          <a:chExt cx="247650" cy="1872156"/>
        </a:xfrm>
      </xdr:grpSpPr>
      <xdr:sp macro="" textlink="">
        <xdr:nvSpPr>
          <xdr:cNvPr id="3" name="橢圓 2">
            <a:extLst>
              <a:ext uri="{FF2B5EF4-FFF2-40B4-BE49-F238E27FC236}">
                <a16:creationId xmlns:a16="http://schemas.microsoft.com/office/drawing/2014/main" id="{933C21FD-DBEF-D4FC-6C88-B7B11D067652}"/>
              </a:ext>
            </a:extLst>
          </xdr:cNvPr>
          <xdr:cNvSpPr/>
        </xdr:nvSpPr>
        <xdr:spPr>
          <a:xfrm>
            <a:off x="1232999" y="4402520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5</a:t>
            </a:r>
            <a:endParaRPr lang="zh-TW" altLang="en-US" sz="1100"/>
          </a:p>
        </xdr:txBody>
      </xdr:sp>
      <xdr:sp macro="" textlink="">
        <xdr:nvSpPr>
          <xdr:cNvPr id="4" name="橢圓 3">
            <a:extLst>
              <a:ext uri="{FF2B5EF4-FFF2-40B4-BE49-F238E27FC236}">
                <a16:creationId xmlns:a16="http://schemas.microsoft.com/office/drawing/2014/main" id="{E99B3076-D517-AC57-0FED-6BC484123D1E}"/>
              </a:ext>
            </a:extLst>
          </xdr:cNvPr>
          <xdr:cNvSpPr/>
        </xdr:nvSpPr>
        <xdr:spPr>
          <a:xfrm>
            <a:off x="1232999" y="4803227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4</a:t>
            </a:r>
            <a:endParaRPr lang="zh-TW" altLang="en-US" sz="1100"/>
          </a:p>
        </xdr:txBody>
      </xdr:sp>
      <xdr:sp macro="" textlink="">
        <xdr:nvSpPr>
          <xdr:cNvPr id="5" name="橢圓 4">
            <a:extLst>
              <a:ext uri="{FF2B5EF4-FFF2-40B4-BE49-F238E27FC236}">
                <a16:creationId xmlns:a16="http://schemas.microsoft.com/office/drawing/2014/main" id="{30939748-A34D-8A3A-3B52-94F64CBC3C06}"/>
              </a:ext>
            </a:extLst>
          </xdr:cNvPr>
          <xdr:cNvSpPr/>
        </xdr:nvSpPr>
        <xdr:spPr>
          <a:xfrm>
            <a:off x="1232999" y="5211817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3</a:t>
            </a:r>
            <a:endParaRPr lang="zh-TW" altLang="en-US" sz="1100"/>
          </a:p>
        </xdr:txBody>
      </xdr:sp>
      <xdr:sp macro="" textlink="">
        <xdr:nvSpPr>
          <xdr:cNvPr id="6" name="橢圓 5">
            <a:extLst>
              <a:ext uri="{FF2B5EF4-FFF2-40B4-BE49-F238E27FC236}">
                <a16:creationId xmlns:a16="http://schemas.microsoft.com/office/drawing/2014/main" id="{FB69D5A5-4201-402B-30B5-12D2139275CB}"/>
              </a:ext>
            </a:extLst>
          </xdr:cNvPr>
          <xdr:cNvSpPr/>
        </xdr:nvSpPr>
        <xdr:spPr>
          <a:xfrm>
            <a:off x="1232999" y="5619093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2</a:t>
            </a:r>
            <a:endParaRPr lang="zh-TW" altLang="en-US" sz="1100"/>
          </a:p>
        </xdr:txBody>
      </xdr:sp>
      <xdr:sp macro="" textlink="">
        <xdr:nvSpPr>
          <xdr:cNvPr id="7" name="橢圓 6">
            <a:extLst>
              <a:ext uri="{FF2B5EF4-FFF2-40B4-BE49-F238E27FC236}">
                <a16:creationId xmlns:a16="http://schemas.microsoft.com/office/drawing/2014/main" id="{75B7FEBE-86CA-B031-C67A-F1D2DC44D3B6}"/>
              </a:ext>
            </a:extLst>
          </xdr:cNvPr>
          <xdr:cNvSpPr/>
        </xdr:nvSpPr>
        <xdr:spPr>
          <a:xfrm>
            <a:off x="1232999" y="6026369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1</a:t>
            </a:r>
            <a:endParaRPr lang="zh-TW" altLang="en-US" sz="1100"/>
          </a:p>
        </xdr:txBody>
      </xdr:sp>
    </xdr:grpSp>
    <xdr:clientData/>
  </xdr:twoCellAnchor>
  <xdr:twoCellAnchor>
    <xdr:from>
      <xdr:col>2</xdr:col>
      <xdr:colOff>124811</xdr:colOff>
      <xdr:row>12</xdr:row>
      <xdr:rowOff>6569</xdr:rowOff>
    </xdr:from>
    <xdr:to>
      <xdr:col>2</xdr:col>
      <xdr:colOff>1182414</xdr:colOff>
      <xdr:row>12</xdr:row>
      <xdr:rowOff>6569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90780859-7F6A-4DD8-AA5F-6E697011C4C5}"/>
            </a:ext>
          </a:extLst>
        </xdr:cNvPr>
        <xdr:cNvCxnSpPr/>
      </xdr:nvCxnSpPr>
      <xdr:spPr>
        <a:xfrm>
          <a:off x="2772761" y="7121744"/>
          <a:ext cx="1057603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85398</xdr:colOff>
      <xdr:row>10</xdr:row>
      <xdr:rowOff>157657</xdr:rowOff>
    </xdr:from>
    <xdr:to>
      <xdr:col>4</xdr:col>
      <xdr:colOff>1304192</xdr:colOff>
      <xdr:row>13</xdr:row>
      <xdr:rowOff>1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9F61BE78-8C6A-466C-82B1-93B0AF3568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9394" b="51354"/>
        <a:stretch>
          <a:fillRect/>
        </a:stretch>
      </xdr:blipFill>
      <xdr:spPr>
        <a:xfrm>
          <a:off x="5457498" y="6653707"/>
          <a:ext cx="1218794" cy="871044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13</xdr:row>
      <xdr:rowOff>347028</xdr:rowOff>
    </xdr:from>
    <xdr:to>
      <xdr:col>6</xdr:col>
      <xdr:colOff>590550</xdr:colOff>
      <xdr:row>15</xdr:row>
      <xdr:rowOff>9525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4FF1A26E-1EDD-471F-9DDD-D63E01813C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" b="73112"/>
        <a:stretch>
          <a:fillRect/>
        </a:stretch>
      </xdr:blipFill>
      <xdr:spPr>
        <a:xfrm>
          <a:off x="7058025" y="7871778"/>
          <a:ext cx="1933575" cy="481647"/>
        </a:xfrm>
        <a:prstGeom prst="rect">
          <a:avLst/>
        </a:prstGeom>
      </xdr:spPr>
    </xdr:pic>
    <xdr:clientData/>
  </xdr:twoCellAnchor>
  <xdr:twoCellAnchor editAs="oneCell">
    <xdr:from>
      <xdr:col>2</xdr:col>
      <xdr:colOff>1197428</xdr:colOff>
      <xdr:row>11</xdr:row>
      <xdr:rowOff>402979</xdr:rowOff>
    </xdr:from>
    <xdr:to>
      <xdr:col>3</xdr:col>
      <xdr:colOff>1261900</xdr:colOff>
      <xdr:row>15</xdr:row>
      <xdr:rowOff>1358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D010735C-0401-4504-ADF7-1EB233CCA7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11735" t="10768" r="-1" b="-33445"/>
        <a:stretch>
          <a:fillRect/>
        </a:stretch>
      </xdr:blipFill>
      <xdr:spPr>
        <a:xfrm>
          <a:off x="3845378" y="7108579"/>
          <a:ext cx="1426547" cy="1236679"/>
        </a:xfrm>
        <a:prstGeom prst="rect">
          <a:avLst/>
        </a:prstGeom>
      </xdr:spPr>
    </xdr:pic>
    <xdr:clientData/>
  </xdr:twoCellAnchor>
  <xdr:twoCellAnchor>
    <xdr:from>
      <xdr:col>6</xdr:col>
      <xdr:colOff>204952</xdr:colOff>
      <xdr:row>13</xdr:row>
      <xdr:rowOff>1314</xdr:rowOff>
    </xdr:from>
    <xdr:to>
      <xdr:col>6</xdr:col>
      <xdr:colOff>1149569</xdr:colOff>
      <xdr:row>13</xdr:row>
      <xdr:rowOff>1314</xdr:rowOff>
    </xdr:to>
    <xdr:cxnSp macro="">
      <xdr:nvCxnSpPr>
        <xdr:cNvPr id="12" name="直線接點 11">
          <a:extLst>
            <a:ext uri="{FF2B5EF4-FFF2-40B4-BE49-F238E27FC236}">
              <a16:creationId xmlns:a16="http://schemas.microsoft.com/office/drawing/2014/main" id="{83FA4478-3662-47EE-A60D-BA58A03E5901}"/>
            </a:ext>
          </a:extLst>
        </xdr:cNvPr>
        <xdr:cNvCxnSpPr/>
      </xdr:nvCxnSpPr>
      <xdr:spPr>
        <a:xfrm>
          <a:off x="8301202" y="7526064"/>
          <a:ext cx="944617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289035</xdr:colOff>
      <xdr:row>12</xdr:row>
      <xdr:rowOff>243052</xdr:rowOff>
    </xdr:from>
    <xdr:to>
      <xdr:col>7</xdr:col>
      <xdr:colOff>1118847</xdr:colOff>
      <xdr:row>13</xdr:row>
      <xdr:rowOff>264461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935AE24C-B0D6-4160-A3FF-8E699CE1B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360" y="7358227"/>
          <a:ext cx="829812" cy="430984"/>
        </a:xfrm>
        <a:prstGeom prst="rect">
          <a:avLst/>
        </a:prstGeom>
      </xdr:spPr>
    </xdr:pic>
    <xdr:clientData/>
  </xdr:twoCellAnchor>
  <xdr:twoCellAnchor editAs="oneCell">
    <xdr:from>
      <xdr:col>8</xdr:col>
      <xdr:colOff>266163</xdr:colOff>
      <xdr:row>11</xdr:row>
      <xdr:rowOff>257503</xdr:rowOff>
    </xdr:from>
    <xdr:to>
      <xdr:col>8</xdr:col>
      <xdr:colOff>1095975</xdr:colOff>
      <xdr:row>12</xdr:row>
      <xdr:rowOff>276823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B61C9968-B773-4130-A470-E19320E74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6563" y="6963103"/>
          <a:ext cx="829812" cy="4288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549827</xdr:colOff>
      <xdr:row>6</xdr:row>
      <xdr:rowOff>93279</xdr:rowOff>
    </xdr:from>
    <xdr:to>
      <xdr:col>1</xdr:col>
      <xdr:colOff>797477</xdr:colOff>
      <xdr:row>11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77905B48-00B0-4260-A674-9F87A254F745}"/>
            </a:ext>
          </a:extLst>
        </xdr:cNvPr>
        <xdr:cNvGrpSpPr/>
      </xdr:nvGrpSpPr>
      <xdr:grpSpPr>
        <a:xfrm>
          <a:off x="1543148" y="4080172"/>
          <a:ext cx="247650" cy="1743685"/>
          <a:chOff x="1232999" y="4402520"/>
          <a:chExt cx="247650" cy="1872156"/>
        </a:xfrm>
      </xdr:grpSpPr>
      <xdr:sp macro="" textlink="">
        <xdr:nvSpPr>
          <xdr:cNvPr id="3" name="橢圓 2">
            <a:extLst>
              <a:ext uri="{FF2B5EF4-FFF2-40B4-BE49-F238E27FC236}">
                <a16:creationId xmlns:a16="http://schemas.microsoft.com/office/drawing/2014/main" id="{EABCC8E7-1AE4-06A6-E356-83D137EF5EAE}"/>
              </a:ext>
            </a:extLst>
          </xdr:cNvPr>
          <xdr:cNvSpPr/>
        </xdr:nvSpPr>
        <xdr:spPr>
          <a:xfrm>
            <a:off x="1232999" y="4402520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5</a:t>
            </a:r>
            <a:endParaRPr lang="zh-TW" altLang="en-US" sz="1100"/>
          </a:p>
        </xdr:txBody>
      </xdr:sp>
      <xdr:sp macro="" textlink="">
        <xdr:nvSpPr>
          <xdr:cNvPr id="4" name="橢圓 3">
            <a:extLst>
              <a:ext uri="{FF2B5EF4-FFF2-40B4-BE49-F238E27FC236}">
                <a16:creationId xmlns:a16="http://schemas.microsoft.com/office/drawing/2014/main" id="{776CE5D5-6970-8743-448E-2F8BA66CC78B}"/>
              </a:ext>
            </a:extLst>
          </xdr:cNvPr>
          <xdr:cNvSpPr/>
        </xdr:nvSpPr>
        <xdr:spPr>
          <a:xfrm>
            <a:off x="1232999" y="4803227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4</a:t>
            </a:r>
            <a:endParaRPr lang="zh-TW" altLang="en-US" sz="1100"/>
          </a:p>
        </xdr:txBody>
      </xdr:sp>
      <xdr:sp macro="" textlink="">
        <xdr:nvSpPr>
          <xdr:cNvPr id="5" name="橢圓 4">
            <a:extLst>
              <a:ext uri="{FF2B5EF4-FFF2-40B4-BE49-F238E27FC236}">
                <a16:creationId xmlns:a16="http://schemas.microsoft.com/office/drawing/2014/main" id="{7E61FA98-29B4-D4D8-F438-98BA687EDD91}"/>
              </a:ext>
            </a:extLst>
          </xdr:cNvPr>
          <xdr:cNvSpPr/>
        </xdr:nvSpPr>
        <xdr:spPr>
          <a:xfrm>
            <a:off x="1232999" y="5211817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3</a:t>
            </a:r>
            <a:endParaRPr lang="zh-TW" altLang="en-US" sz="1100"/>
          </a:p>
        </xdr:txBody>
      </xdr:sp>
      <xdr:sp macro="" textlink="">
        <xdr:nvSpPr>
          <xdr:cNvPr id="6" name="橢圓 5">
            <a:extLst>
              <a:ext uri="{FF2B5EF4-FFF2-40B4-BE49-F238E27FC236}">
                <a16:creationId xmlns:a16="http://schemas.microsoft.com/office/drawing/2014/main" id="{DF29691E-33E1-695D-48DF-9D28AF27FA7C}"/>
              </a:ext>
            </a:extLst>
          </xdr:cNvPr>
          <xdr:cNvSpPr/>
        </xdr:nvSpPr>
        <xdr:spPr>
          <a:xfrm>
            <a:off x="1232999" y="5619093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2</a:t>
            </a:r>
            <a:endParaRPr lang="zh-TW" altLang="en-US" sz="1100"/>
          </a:p>
        </xdr:txBody>
      </xdr:sp>
      <xdr:sp macro="" textlink="">
        <xdr:nvSpPr>
          <xdr:cNvPr id="7" name="橢圓 6">
            <a:extLst>
              <a:ext uri="{FF2B5EF4-FFF2-40B4-BE49-F238E27FC236}">
                <a16:creationId xmlns:a16="http://schemas.microsoft.com/office/drawing/2014/main" id="{A827B97C-139E-EFCD-68C5-F59EFFB6F7E7}"/>
              </a:ext>
            </a:extLst>
          </xdr:cNvPr>
          <xdr:cNvSpPr/>
        </xdr:nvSpPr>
        <xdr:spPr>
          <a:xfrm>
            <a:off x="1232999" y="6026369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1</a:t>
            </a:r>
            <a:endParaRPr lang="zh-TW" altLang="en-US" sz="1100"/>
          </a:p>
        </xdr:txBody>
      </xdr:sp>
    </xdr:grpSp>
    <xdr:clientData/>
  </xdr:twoCellAnchor>
  <xdr:twoCellAnchor>
    <xdr:from>
      <xdr:col>2</xdr:col>
      <xdr:colOff>124811</xdr:colOff>
      <xdr:row>8</xdr:row>
      <xdr:rowOff>6569</xdr:rowOff>
    </xdr:from>
    <xdr:to>
      <xdr:col>2</xdr:col>
      <xdr:colOff>1182414</xdr:colOff>
      <xdr:row>8</xdr:row>
      <xdr:rowOff>6569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8CA215CB-0AC5-4DE5-AAA8-6A556E0ABB15}"/>
            </a:ext>
          </a:extLst>
        </xdr:cNvPr>
        <xdr:cNvCxnSpPr/>
      </xdr:nvCxnSpPr>
      <xdr:spPr>
        <a:xfrm>
          <a:off x="2772761" y="4607144"/>
          <a:ext cx="1057603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85397</xdr:colOff>
      <xdr:row>6</xdr:row>
      <xdr:rowOff>157657</xdr:rowOff>
    </xdr:from>
    <xdr:to>
      <xdr:col>6</xdr:col>
      <xdr:colOff>81642</xdr:colOff>
      <xdr:row>8</xdr:row>
      <xdr:rowOff>394608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983FA662-DB1C-4568-BF05-08FDAEBB61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2365"/>
        <a:stretch>
          <a:fillRect/>
        </a:stretch>
      </xdr:blipFill>
      <xdr:spPr>
        <a:xfrm>
          <a:off x="7120290" y="4144550"/>
          <a:ext cx="1356959" cy="849272"/>
        </a:xfrm>
        <a:prstGeom prst="rect">
          <a:avLst/>
        </a:prstGeom>
      </xdr:spPr>
    </xdr:pic>
    <xdr:clientData/>
  </xdr:twoCellAnchor>
  <xdr:twoCellAnchor editAs="oneCell">
    <xdr:from>
      <xdr:col>4</xdr:col>
      <xdr:colOff>108857</xdr:colOff>
      <xdr:row>9</xdr:row>
      <xdr:rowOff>355191</xdr:rowOff>
    </xdr:from>
    <xdr:to>
      <xdr:col>5</xdr:col>
      <xdr:colOff>462643</xdr:colOff>
      <xdr:row>11</xdr:row>
      <xdr:rowOff>13607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16830898-45DA-47CC-BADE-9FF7C40FDD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" b="73411"/>
        <a:stretch>
          <a:fillRect/>
        </a:stretch>
      </xdr:blipFill>
      <xdr:spPr>
        <a:xfrm>
          <a:off x="5783036" y="5362620"/>
          <a:ext cx="1714500" cy="474844"/>
        </a:xfrm>
        <a:prstGeom prst="rect">
          <a:avLst/>
        </a:prstGeom>
      </xdr:spPr>
    </xdr:pic>
    <xdr:clientData/>
  </xdr:twoCellAnchor>
  <xdr:twoCellAnchor editAs="oneCell">
    <xdr:from>
      <xdr:col>6</xdr:col>
      <xdr:colOff>122464</xdr:colOff>
      <xdr:row>7</xdr:row>
      <xdr:rowOff>256190</xdr:rowOff>
    </xdr:from>
    <xdr:to>
      <xdr:col>6</xdr:col>
      <xdr:colOff>1357139</xdr:colOff>
      <xdr:row>10</xdr:row>
      <xdr:rowOff>27214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F02D5FF4-5ADE-4C72-9AAB-60D185DB97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7990" b="28300"/>
        <a:stretch>
          <a:fillRect/>
        </a:stretch>
      </xdr:blipFill>
      <xdr:spPr>
        <a:xfrm>
          <a:off x="8218714" y="4447190"/>
          <a:ext cx="1234675" cy="999749"/>
        </a:xfrm>
        <a:prstGeom prst="rect">
          <a:avLst/>
        </a:prstGeom>
      </xdr:spPr>
    </xdr:pic>
    <xdr:clientData/>
  </xdr:twoCellAnchor>
  <xdr:twoCellAnchor>
    <xdr:from>
      <xdr:col>3</xdr:col>
      <xdr:colOff>204952</xdr:colOff>
      <xdr:row>9</xdr:row>
      <xdr:rowOff>1314</xdr:rowOff>
    </xdr:from>
    <xdr:to>
      <xdr:col>3</xdr:col>
      <xdr:colOff>1149569</xdr:colOff>
      <xdr:row>9</xdr:row>
      <xdr:rowOff>1314</xdr:rowOff>
    </xdr:to>
    <xdr:cxnSp macro="">
      <xdr:nvCxnSpPr>
        <xdr:cNvPr id="12" name="直線接點 11">
          <a:extLst>
            <a:ext uri="{FF2B5EF4-FFF2-40B4-BE49-F238E27FC236}">
              <a16:creationId xmlns:a16="http://schemas.microsoft.com/office/drawing/2014/main" id="{A7184C95-0577-4486-8418-7BCF3446F6BD}"/>
            </a:ext>
          </a:extLst>
        </xdr:cNvPr>
        <xdr:cNvCxnSpPr/>
      </xdr:nvCxnSpPr>
      <xdr:spPr>
        <a:xfrm>
          <a:off x="4214977" y="5011464"/>
          <a:ext cx="944617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289035</xdr:colOff>
      <xdr:row>8</xdr:row>
      <xdr:rowOff>243052</xdr:rowOff>
    </xdr:from>
    <xdr:to>
      <xdr:col>7</xdr:col>
      <xdr:colOff>1118847</xdr:colOff>
      <xdr:row>9</xdr:row>
      <xdr:rowOff>264460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904074DA-135D-44BE-9EA4-FC5E8853D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360" y="4843627"/>
          <a:ext cx="829812" cy="430983"/>
        </a:xfrm>
        <a:prstGeom prst="rect">
          <a:avLst/>
        </a:prstGeom>
      </xdr:spPr>
    </xdr:pic>
    <xdr:clientData/>
  </xdr:twoCellAnchor>
  <xdr:twoCellAnchor editAs="oneCell">
    <xdr:from>
      <xdr:col>8</xdr:col>
      <xdr:colOff>284719</xdr:colOff>
      <xdr:row>7</xdr:row>
      <xdr:rowOff>243897</xdr:rowOff>
    </xdr:from>
    <xdr:to>
      <xdr:col>8</xdr:col>
      <xdr:colOff>1114531</xdr:colOff>
      <xdr:row>8</xdr:row>
      <xdr:rowOff>258268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4523123D-DAC1-446E-AEA4-16AD20B65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01755" y="4434897"/>
          <a:ext cx="829812" cy="4225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5</xdr:col>
      <xdr:colOff>816428</xdr:colOff>
      <xdr:row>34</xdr:row>
      <xdr:rowOff>114804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106C3EE4-CF75-4CB2-B60A-CF68CAD79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8077200"/>
          <a:ext cx="6864803" cy="3784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_&#32882;&#38907;&#35519;&#23565;&#29031;&#34920;&#12304;&#38313;&#21335;&#20843;&#38899;&#12305;.xlsx" TargetMode="External"/><Relationship Id="rId2" Type="http://schemas.openxmlformats.org/officeDocument/2006/relationships/externalLinkPath" Target="file:///C:\Users\AlanJui\work\Piau-Im\Documents\_&#32882;&#38907;&#35519;&#23565;&#29031;&#34920;&#12304;&#38313;&#21335;&#20843;&#38899;&#12305;.xlsx" TargetMode="External"/><Relationship Id="rId1" Type="http://schemas.openxmlformats.org/officeDocument/2006/relationships/externalLinkPath" Target="/Users/AlanJui/work/Piau-Im/Documents/_&#32882;&#38907;&#35519;&#23565;&#29031;&#34920;&#12304;&#38313;&#21335;&#20843;&#38899;&#12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閩南八音【閩拼】"/>
      <sheetName val="閩南八音【台羅】"/>
      <sheetName val="八音調性表"/>
      <sheetName val="五度音階表"/>
      <sheetName val="四聲八調定義"/>
      <sheetName val="四聲八調 (君韻)"/>
      <sheetName val="注音聲調表（台羅）"/>
      <sheetName val="閩拼八音聲母表"/>
      <sheetName val="閩拼八音聲母表【十五音】"/>
      <sheetName val="聲母"/>
      <sheetName val="宋人三十六字母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E78F01-6DDB-4202-B10D-31616F3AF9EC}" name="韻母對照表6" displayName="韻母對照表6" ref="A1:I87" totalsRowShown="0" headerRowDxfId="13" headerRowBorderDxfId="24" tableBorderDxfId="25" totalsRowBorderDxfId="23" headerRowCellStyle="一般 4">
  <autoFilter ref="A1:I87" xr:uid="{C40E26AF-4D3B-4E1A-8080-AAAFDBD9F514}"/>
  <tableColumns count="9">
    <tableColumn id="1" xr3:uid="{14449F5B-FA1E-44E1-8303-7460AA309757}" name="序號" dataDxfId="22" dataCellStyle="一般 4">
      <calculatedColumnFormula xml:space="preserve"> ROW() - 3</calculatedColumnFormula>
    </tableColumn>
    <tableColumn id="6" xr3:uid="{B0C979BD-0DBE-46BE-B0FA-3B95FB78A925}" name="閩拼方案" dataDxfId="21" dataCellStyle="一般 4"/>
    <tableColumn id="5" xr3:uid="{AAF889CE-5763-4DC1-88B4-269315BB521E}" name="台語注音二式" dataDxfId="20" dataCellStyle="一般 4"/>
    <tableColumn id="7" xr3:uid="{A4BC7C2C-B4F8-4EF2-A558-2C7AD138C2B9}" name="白話字" dataDxfId="19" dataCellStyle="一般 4"/>
    <tableColumn id="3" xr3:uid="{D8EE4A99-5D27-4C53-8C5C-4DAF56A9DD19}" name="台羅拼音" dataDxfId="18" dataCellStyle="一般 4"/>
    <tableColumn id="8" xr3:uid="{8B3E4CC2-9973-4C35-80AC-64D2BB3A04DE}" name="方音符號" dataDxfId="17"/>
    <tableColumn id="9" xr3:uid="{30923F29-78DA-499B-9B5B-E5853C9AA2FA}" name="十五音" dataDxfId="16" dataCellStyle="一般 4"/>
    <tableColumn id="2" xr3:uid="{D928D6E8-863D-420A-80E7-E1372D808868}" name="國際音標" dataDxfId="15" dataCellStyle="一般 4"/>
    <tableColumn id="10" xr3:uid="{5032A8AE-ACEA-4064-B7C2-4F9224CE0DB3}" name="附註" dataDxfId="14" dataCellStyle="一般 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39E69F-C658-4BE2-878F-F03835BF5B21}" name="音調對照表" displayName="音調對照表" ref="A1:I8" totalsRowShown="0" headerRowDxfId="12" headerRowBorderDxfId="10" tableBorderDxfId="11" totalsRowBorderDxfId="9">
  <autoFilter ref="A1:I8" xr:uid="{9C448E2C-CD3D-4ED2-BDC8-5AB53B6728E4}"/>
  <tableColumns count="9">
    <tableColumn id="1" xr3:uid="{7F9D8757-839E-4E8B-9DC1-A6B72F130AF5}" name="序號" dataDxfId="8"/>
    <tableColumn id="4" xr3:uid="{6221C803-CB29-4380-8D69-821C300055FF}" name="調性" dataDxfId="7"/>
    <tableColumn id="3" xr3:uid="{1B03DB82-61C4-4D0C-9791-6184FF004F4A}" name="調值"/>
    <tableColumn id="2" xr3:uid="{EA076408-A694-4D6E-8587-DC3C0A0B717F}" name="調名" dataDxfId="6"/>
    <tableColumn id="5" xr3:uid="{916EDD7E-916E-420D-BAC6-4C2A821A023C}" name="鍵盤按鍵" dataDxfId="4"/>
    <tableColumn id="10" xr3:uid="{CC942137-EF85-42BF-B808-741E86B4BF79}" name="閩拼調號" dataDxfId="3"/>
    <tableColumn id="9" xr3:uid="{816498D0-07D0-462C-B16F-78DEAD3D284E}" name="閩拼方案" dataDxfId="2"/>
    <tableColumn id="7" xr3:uid="{A1BFD041-258F-4B82-9E7B-866B8810A1D2}" name="台羅拼音" dataDxfId="5"/>
    <tableColumn id="6" xr3:uid="{9709AA07-DCAB-467B-92B9-BAF5DAC4830E}" name="台羅調號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AEDE-51B7-4735-86B7-CA74342CCA51}">
  <dimension ref="A1:J23"/>
  <sheetViews>
    <sheetView zoomScale="80" zoomScaleNormal="80" workbookViewId="0">
      <selection activeCell="D1" sqref="D1"/>
    </sheetView>
  </sheetViews>
  <sheetFormatPr defaultRowHeight="25.5" x14ac:dyDescent="0.5"/>
  <cols>
    <col min="1" max="1" width="6.4140625" customWidth="1"/>
    <col min="2" max="4" width="9.1640625" customWidth="1"/>
    <col min="6" max="8" width="9.1640625" customWidth="1"/>
    <col min="9" max="9" width="8.5" bestFit="1" customWidth="1"/>
    <col min="10" max="10" width="23.08203125" bestFit="1" customWidth="1"/>
  </cols>
  <sheetData>
    <row r="1" spans="1:10" x14ac:dyDescent="0.5">
      <c r="A1" s="1" t="s">
        <v>115</v>
      </c>
      <c r="B1" s="1" t="s">
        <v>5</v>
      </c>
      <c r="C1" s="1" t="s">
        <v>6</v>
      </c>
      <c r="D1" s="1" t="s">
        <v>119</v>
      </c>
      <c r="E1" s="1" t="s">
        <v>4</v>
      </c>
      <c r="F1" s="1" t="s">
        <v>3</v>
      </c>
      <c r="G1" s="1" t="s">
        <v>2</v>
      </c>
      <c r="H1" s="1" t="s">
        <v>1</v>
      </c>
      <c r="I1" s="1" t="s">
        <v>0</v>
      </c>
      <c r="J1" s="1" t="s">
        <v>7</v>
      </c>
    </row>
    <row r="2" spans="1:10" ht="39" x14ac:dyDescent="0.5">
      <c r="A2" s="2">
        <v>1</v>
      </c>
      <c r="B2" s="2" t="s">
        <v>11</v>
      </c>
      <c r="C2" s="2" t="s">
        <v>11</v>
      </c>
      <c r="D2" s="5" t="s">
        <v>11</v>
      </c>
      <c r="E2" s="2" t="s">
        <v>9</v>
      </c>
      <c r="F2" s="2" t="s">
        <v>9</v>
      </c>
      <c r="G2" s="4" t="s">
        <v>10</v>
      </c>
      <c r="H2" s="4" t="s">
        <v>23</v>
      </c>
      <c r="I2" s="3" t="s">
        <v>9</v>
      </c>
      <c r="J2" s="2" t="s">
        <v>12</v>
      </c>
    </row>
    <row r="3" spans="1:10" ht="39" x14ac:dyDescent="0.5">
      <c r="A3" s="2">
        <v>2</v>
      </c>
      <c r="B3" s="2" t="s">
        <v>15</v>
      </c>
      <c r="C3" s="2" t="s">
        <v>15</v>
      </c>
      <c r="D3" s="5" t="s">
        <v>15</v>
      </c>
      <c r="E3" s="2" t="s">
        <v>11</v>
      </c>
      <c r="F3" s="2" t="s">
        <v>11</v>
      </c>
      <c r="G3" s="4" t="s">
        <v>14</v>
      </c>
      <c r="H3" s="4" t="s">
        <v>66</v>
      </c>
      <c r="I3" s="3" t="s">
        <v>11</v>
      </c>
      <c r="J3" s="7" t="s">
        <v>16</v>
      </c>
    </row>
    <row r="4" spans="1:10" ht="39" x14ac:dyDescent="0.5">
      <c r="A4" s="2">
        <v>3</v>
      </c>
      <c r="B4" s="2" t="s">
        <v>9</v>
      </c>
      <c r="C4" s="2" t="s">
        <v>9</v>
      </c>
      <c r="D4" s="5" t="s">
        <v>9</v>
      </c>
      <c r="E4" s="2" t="s">
        <v>21</v>
      </c>
      <c r="F4" s="2" t="s">
        <v>21</v>
      </c>
      <c r="G4" s="4" t="s">
        <v>20</v>
      </c>
      <c r="H4" s="4" t="s">
        <v>41</v>
      </c>
      <c r="I4" s="3" t="s">
        <v>19</v>
      </c>
      <c r="J4" s="2" t="s">
        <v>22</v>
      </c>
    </row>
    <row r="5" spans="1:10" ht="39" x14ac:dyDescent="0.5">
      <c r="A5" s="2">
        <v>4</v>
      </c>
      <c r="B5" s="2" t="s">
        <v>26</v>
      </c>
      <c r="C5" s="9" t="s">
        <v>27</v>
      </c>
      <c r="D5" s="5" t="s">
        <v>24</v>
      </c>
      <c r="E5" s="2" t="s">
        <v>24</v>
      </c>
      <c r="F5" s="2" t="s">
        <v>24</v>
      </c>
      <c r="G5" s="4" t="s">
        <v>25</v>
      </c>
      <c r="H5" s="6" t="s">
        <v>73</v>
      </c>
      <c r="I5" s="3" t="s">
        <v>24</v>
      </c>
      <c r="J5" s="10" t="s">
        <v>28</v>
      </c>
    </row>
    <row r="6" spans="1:10" ht="39" x14ac:dyDescent="0.5">
      <c r="A6" s="2">
        <v>5</v>
      </c>
      <c r="B6" s="2" t="s">
        <v>32</v>
      </c>
      <c r="C6" s="2" t="s">
        <v>32</v>
      </c>
      <c r="D6" s="5" t="s">
        <v>32</v>
      </c>
      <c r="E6" s="2" t="s">
        <v>30</v>
      </c>
      <c r="F6" s="2" t="s">
        <v>30</v>
      </c>
      <c r="G6" s="4" t="s">
        <v>31</v>
      </c>
      <c r="H6" s="4" t="s">
        <v>37</v>
      </c>
      <c r="I6" s="3" t="s">
        <v>30</v>
      </c>
      <c r="J6" s="2"/>
    </row>
    <row r="7" spans="1:10" ht="39" x14ac:dyDescent="0.5">
      <c r="A7" s="2">
        <v>6</v>
      </c>
      <c r="B7" s="2" t="s">
        <v>30</v>
      </c>
      <c r="C7" s="2" t="s">
        <v>30</v>
      </c>
      <c r="D7" s="5" t="s">
        <v>30</v>
      </c>
      <c r="E7" s="2" t="s">
        <v>36</v>
      </c>
      <c r="F7" s="2" t="s">
        <v>36</v>
      </c>
      <c r="G7" s="4" t="s">
        <v>35</v>
      </c>
      <c r="H7" s="4" t="s">
        <v>44</v>
      </c>
      <c r="I7" s="3" t="s">
        <v>34</v>
      </c>
      <c r="J7" s="2" t="s">
        <v>22</v>
      </c>
    </row>
    <row r="8" spans="1:10" ht="39" x14ac:dyDescent="0.5">
      <c r="A8" s="2">
        <v>7</v>
      </c>
      <c r="B8" s="2" t="s">
        <v>40</v>
      </c>
      <c r="C8" s="9" t="s">
        <v>18</v>
      </c>
      <c r="D8" s="5" t="s">
        <v>38</v>
      </c>
      <c r="E8" s="2" t="s">
        <v>38</v>
      </c>
      <c r="F8" s="2" t="s">
        <v>38</v>
      </c>
      <c r="G8" s="4" t="s">
        <v>39</v>
      </c>
      <c r="H8" s="6" t="s">
        <v>17</v>
      </c>
      <c r="I8" s="3" t="s">
        <v>38</v>
      </c>
      <c r="J8" s="10" t="s">
        <v>28</v>
      </c>
    </row>
    <row r="9" spans="1:10" ht="39" x14ac:dyDescent="0.5">
      <c r="A9" s="2">
        <v>8</v>
      </c>
      <c r="B9" s="2" t="s">
        <v>42</v>
      </c>
      <c r="C9" s="2" t="s">
        <v>42</v>
      </c>
      <c r="D9" s="5" t="s">
        <v>42</v>
      </c>
      <c r="E9" s="2" t="s">
        <v>42</v>
      </c>
      <c r="F9" s="2" t="s">
        <v>42</v>
      </c>
      <c r="G9" s="4" t="s">
        <v>43</v>
      </c>
      <c r="H9" s="4" t="s">
        <v>13</v>
      </c>
      <c r="I9" s="3" t="s">
        <v>42</v>
      </c>
      <c r="J9" s="2"/>
    </row>
    <row r="10" spans="1:10" ht="39" x14ac:dyDescent="0.5">
      <c r="A10" s="2">
        <v>9</v>
      </c>
      <c r="B10" s="2" t="s">
        <v>47</v>
      </c>
      <c r="C10" s="2" t="s">
        <v>47</v>
      </c>
      <c r="D10" s="5" t="s">
        <v>47</v>
      </c>
      <c r="E10" s="2" t="s">
        <v>45</v>
      </c>
      <c r="F10" s="2" t="s">
        <v>45</v>
      </c>
      <c r="G10" s="4" t="s">
        <v>46</v>
      </c>
      <c r="H10" s="4" t="s">
        <v>29</v>
      </c>
      <c r="I10" s="3" t="s">
        <v>45</v>
      </c>
      <c r="J10" s="2"/>
    </row>
    <row r="11" spans="1:10" ht="39" x14ac:dyDescent="0.5">
      <c r="A11" s="2">
        <v>10</v>
      </c>
      <c r="B11" s="2" t="s">
        <v>52</v>
      </c>
      <c r="C11" s="2" t="s">
        <v>52</v>
      </c>
      <c r="D11" s="5" t="s">
        <v>52</v>
      </c>
      <c r="E11" s="2" t="s">
        <v>47</v>
      </c>
      <c r="F11" s="2" t="s">
        <v>47</v>
      </c>
      <c r="G11" s="4" t="s">
        <v>50</v>
      </c>
      <c r="H11" s="4" t="s">
        <v>80</v>
      </c>
      <c r="I11" s="3" t="s">
        <v>49</v>
      </c>
      <c r="J11" s="7" t="s">
        <v>16</v>
      </c>
    </row>
    <row r="12" spans="1:10" ht="39" x14ac:dyDescent="0.5">
      <c r="A12" s="2">
        <v>11</v>
      </c>
      <c r="B12" s="2" t="s">
        <v>45</v>
      </c>
      <c r="C12" s="2" t="s">
        <v>45</v>
      </c>
      <c r="D12" s="5" t="s">
        <v>45</v>
      </c>
      <c r="E12" s="2" t="s">
        <v>57</v>
      </c>
      <c r="F12" s="2" t="s">
        <v>57</v>
      </c>
      <c r="G12" s="4" t="s">
        <v>56</v>
      </c>
      <c r="H12" s="4" t="s">
        <v>33</v>
      </c>
      <c r="I12" s="3" t="s">
        <v>55</v>
      </c>
      <c r="J12" s="2" t="s">
        <v>22</v>
      </c>
    </row>
    <row r="13" spans="1:10" ht="39" x14ac:dyDescent="0.5">
      <c r="A13" s="2">
        <v>12</v>
      </c>
      <c r="B13" s="2" t="s">
        <v>61</v>
      </c>
      <c r="C13" s="9" t="s">
        <v>62</v>
      </c>
      <c r="D13" s="5" t="s">
        <v>60</v>
      </c>
      <c r="E13" s="2" t="s">
        <v>60</v>
      </c>
      <c r="F13" s="2" t="s">
        <v>60</v>
      </c>
      <c r="G13" s="4" t="s">
        <v>51</v>
      </c>
      <c r="H13" s="6" t="s">
        <v>88</v>
      </c>
      <c r="I13" s="3" t="s">
        <v>59</v>
      </c>
      <c r="J13" s="10" t="s">
        <v>28</v>
      </c>
    </row>
    <row r="14" spans="1:10" ht="39" x14ac:dyDescent="0.5">
      <c r="A14" s="2">
        <v>13</v>
      </c>
      <c r="B14" s="2" t="s">
        <v>64</v>
      </c>
      <c r="C14" s="2" t="s">
        <v>64</v>
      </c>
      <c r="D14" s="5" t="s">
        <v>64</v>
      </c>
      <c r="E14" s="2" t="s">
        <v>64</v>
      </c>
      <c r="F14" s="2" t="s">
        <v>64</v>
      </c>
      <c r="G14" s="4" t="s">
        <v>65</v>
      </c>
      <c r="H14" s="4" t="s">
        <v>100</v>
      </c>
      <c r="I14" s="3" t="s">
        <v>64</v>
      </c>
      <c r="J14" s="2"/>
    </row>
    <row r="15" spans="1:10" ht="39" x14ac:dyDescent="0.5">
      <c r="A15" s="2">
        <v>14</v>
      </c>
      <c r="B15" s="12" t="s">
        <v>70</v>
      </c>
      <c r="C15" s="12" t="s">
        <v>70</v>
      </c>
      <c r="D15" s="13" t="s">
        <v>54</v>
      </c>
      <c r="E15" s="12" t="s">
        <v>71</v>
      </c>
      <c r="F15" s="12" t="s">
        <v>69</v>
      </c>
      <c r="G15" s="11" t="s">
        <v>68</v>
      </c>
      <c r="H15" s="4" t="s">
        <v>48</v>
      </c>
      <c r="I15" s="3" t="s">
        <v>67</v>
      </c>
      <c r="J15" s="8" t="s">
        <v>72</v>
      </c>
    </row>
    <row r="16" spans="1:10" ht="39" x14ac:dyDescent="0.5">
      <c r="A16" s="2">
        <v>15</v>
      </c>
      <c r="B16" s="15" t="s">
        <v>78</v>
      </c>
      <c r="C16" s="15" t="s">
        <v>78</v>
      </c>
      <c r="D16" s="16" t="s">
        <v>77</v>
      </c>
      <c r="E16" s="15" t="s">
        <v>76</v>
      </c>
      <c r="F16" s="15" t="s">
        <v>76</v>
      </c>
      <c r="G16" s="14" t="s">
        <v>75</v>
      </c>
      <c r="H16" s="4" t="s">
        <v>53</v>
      </c>
      <c r="I16" s="3" t="s">
        <v>74</v>
      </c>
      <c r="J16" s="17" t="s">
        <v>79</v>
      </c>
    </row>
    <row r="17" spans="1:10" ht="39" x14ac:dyDescent="0.5">
      <c r="A17" s="2">
        <v>16</v>
      </c>
      <c r="B17" s="12" t="s">
        <v>84</v>
      </c>
      <c r="C17" s="12" t="s">
        <v>84</v>
      </c>
      <c r="D17" s="13" t="s">
        <v>86</v>
      </c>
      <c r="E17" s="12" t="s">
        <v>85</v>
      </c>
      <c r="F17" s="12" t="s">
        <v>83</v>
      </c>
      <c r="G17" s="11" t="s">
        <v>82</v>
      </c>
      <c r="H17" s="4" t="s">
        <v>94</v>
      </c>
      <c r="I17" s="3" t="s">
        <v>81</v>
      </c>
      <c r="J17" s="8" t="s">
        <v>87</v>
      </c>
    </row>
    <row r="18" spans="1:10" ht="39" x14ac:dyDescent="0.5">
      <c r="A18" s="2">
        <v>17</v>
      </c>
      <c r="B18" s="19" t="s">
        <v>91</v>
      </c>
      <c r="C18" s="19" t="s">
        <v>91</v>
      </c>
      <c r="D18" s="20" t="s">
        <v>92</v>
      </c>
      <c r="E18" s="19" t="s">
        <v>91</v>
      </c>
      <c r="F18" s="19" t="s">
        <v>91</v>
      </c>
      <c r="G18" s="18" t="s">
        <v>90</v>
      </c>
      <c r="H18" s="4" t="s">
        <v>58</v>
      </c>
      <c r="I18" s="3" t="s">
        <v>89</v>
      </c>
      <c r="J18" s="21" t="s">
        <v>93</v>
      </c>
    </row>
    <row r="19" spans="1:10" ht="39" x14ac:dyDescent="0.5">
      <c r="A19" s="2">
        <v>18</v>
      </c>
      <c r="B19" s="2" t="s">
        <v>98</v>
      </c>
      <c r="C19" s="2" t="s">
        <v>98</v>
      </c>
      <c r="D19" s="5" t="s">
        <v>98</v>
      </c>
      <c r="E19" s="2" t="s">
        <v>99</v>
      </c>
      <c r="F19" s="2" t="s">
        <v>97</v>
      </c>
      <c r="G19" s="4" t="s">
        <v>96</v>
      </c>
      <c r="H19" s="6" t="s">
        <v>48</v>
      </c>
      <c r="I19" s="3" t="s">
        <v>95</v>
      </c>
      <c r="J19" s="2"/>
    </row>
    <row r="20" spans="1:10" ht="39" x14ac:dyDescent="0.5">
      <c r="A20" s="22">
        <v>19</v>
      </c>
      <c r="B20" s="2" t="s">
        <v>104</v>
      </c>
      <c r="C20" s="2" t="s">
        <v>104</v>
      </c>
      <c r="D20" s="5" t="s">
        <v>104</v>
      </c>
      <c r="E20" s="2" t="s">
        <v>103</v>
      </c>
      <c r="F20" s="2" t="s">
        <v>103</v>
      </c>
      <c r="G20" s="4" t="s">
        <v>102</v>
      </c>
      <c r="H20" s="6" t="s">
        <v>53</v>
      </c>
      <c r="I20" s="3" t="s">
        <v>101</v>
      </c>
      <c r="J20" s="7" t="s">
        <v>16</v>
      </c>
    </row>
    <row r="21" spans="1:10" ht="39" x14ac:dyDescent="0.5">
      <c r="A21" s="22">
        <v>20</v>
      </c>
      <c r="B21" s="2" t="s">
        <v>108</v>
      </c>
      <c r="C21" s="2" t="s">
        <v>108</v>
      </c>
      <c r="D21" s="5" t="s">
        <v>108</v>
      </c>
      <c r="E21" s="2" t="s">
        <v>109</v>
      </c>
      <c r="F21" s="2" t="s">
        <v>107</v>
      </c>
      <c r="G21" s="4" t="s">
        <v>106</v>
      </c>
      <c r="H21" s="6" t="s">
        <v>94</v>
      </c>
      <c r="I21" s="3" t="s">
        <v>105</v>
      </c>
      <c r="J21" s="2" t="s">
        <v>22</v>
      </c>
    </row>
    <row r="22" spans="1:10" ht="39" x14ac:dyDescent="0.5">
      <c r="A22" s="22">
        <v>21</v>
      </c>
      <c r="B22" s="2" t="s">
        <v>110</v>
      </c>
      <c r="C22" s="2" t="s">
        <v>110</v>
      </c>
      <c r="D22" s="5" t="s">
        <v>110</v>
      </c>
      <c r="E22" s="2" t="s">
        <v>110</v>
      </c>
      <c r="F22" s="2" t="s">
        <v>110</v>
      </c>
      <c r="G22" s="4" t="s">
        <v>111</v>
      </c>
      <c r="H22" s="6" t="s">
        <v>58</v>
      </c>
      <c r="I22" s="3" t="s">
        <v>110</v>
      </c>
      <c r="J22" s="2"/>
    </row>
    <row r="23" spans="1:10" ht="39" x14ac:dyDescent="0.5">
      <c r="A23" s="22">
        <v>22</v>
      </c>
      <c r="B23" s="24" t="s">
        <v>113</v>
      </c>
      <c r="C23" s="24" t="s">
        <v>113</v>
      </c>
      <c r="D23" s="25" t="s">
        <v>113</v>
      </c>
      <c r="E23" s="24" t="s">
        <v>113</v>
      </c>
      <c r="F23" s="24" t="s">
        <v>113</v>
      </c>
      <c r="G23" s="23" t="s">
        <v>113</v>
      </c>
      <c r="H23" s="4" t="s">
        <v>63</v>
      </c>
      <c r="I23" s="3" t="s">
        <v>112</v>
      </c>
      <c r="J23" s="2" t="s">
        <v>114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4A0A-CD2D-43DE-9AD5-9394ABEAA249}">
  <dimension ref="A1:P87"/>
  <sheetViews>
    <sheetView showGridLines="0" workbookViewId="0">
      <pane xSplit="9" ySplit="1" topLeftCell="J2" activePane="bottomRight" state="frozen"/>
      <selection pane="topRight" activeCell="H1" sqref="H1"/>
      <selection pane="bottomLeft" activeCell="A2" sqref="A2"/>
      <selection pane="bottomRight" activeCell="I87" sqref="A1:I87"/>
    </sheetView>
  </sheetViews>
  <sheetFormatPr defaultRowHeight="25.5" x14ac:dyDescent="0.5"/>
  <cols>
    <col min="1" max="1" width="5.83203125" style="26" customWidth="1"/>
    <col min="2" max="2" width="10.58203125" style="26" customWidth="1"/>
    <col min="3" max="3" width="10.58203125" customWidth="1"/>
    <col min="4" max="5" width="10.58203125" style="26" customWidth="1"/>
    <col min="6" max="7" width="10.58203125" customWidth="1"/>
    <col min="8" max="8" width="10.58203125" style="26" customWidth="1"/>
    <col min="9" max="9" width="19.75" customWidth="1"/>
    <col min="10" max="10" width="10.25" style="26" customWidth="1"/>
    <col min="12" max="12" width="10.33203125" style="26" customWidth="1"/>
    <col min="13" max="14" width="10.33203125" customWidth="1"/>
    <col min="15" max="15" width="25.08203125" style="26" customWidth="1"/>
    <col min="16" max="16" width="28.5" customWidth="1"/>
    <col min="17" max="17" width="10.25" style="26" customWidth="1"/>
    <col min="18" max="18" width="5.83203125" style="26" customWidth="1"/>
    <col min="19" max="16384" width="8.6640625" style="26"/>
  </cols>
  <sheetData>
    <row r="1" spans="1:16" ht="48" x14ac:dyDescent="0.5">
      <c r="A1" s="27" t="s">
        <v>115</v>
      </c>
      <c r="B1" s="28" t="s">
        <v>118</v>
      </c>
      <c r="C1" s="28" t="s">
        <v>119</v>
      </c>
      <c r="D1" s="28" t="s">
        <v>117</v>
      </c>
      <c r="E1" s="29" t="s">
        <v>8</v>
      </c>
      <c r="F1" s="28" t="s">
        <v>120</v>
      </c>
      <c r="G1" s="28" t="s">
        <v>1</v>
      </c>
      <c r="H1" s="29" t="s">
        <v>116</v>
      </c>
      <c r="I1" s="30" t="s">
        <v>121</v>
      </c>
      <c r="K1" s="26"/>
      <c r="M1" s="26"/>
      <c r="N1" s="26"/>
      <c r="P1" s="26"/>
    </row>
    <row r="2" spans="1:16" ht="27" x14ac:dyDescent="0.5">
      <c r="A2" s="31">
        <v>1</v>
      </c>
      <c r="B2" s="32" t="s">
        <v>122</v>
      </c>
      <c r="C2" s="32" t="s">
        <v>122</v>
      </c>
      <c r="D2" s="32" t="s">
        <v>122</v>
      </c>
      <c r="E2" s="33" t="s">
        <v>122</v>
      </c>
      <c r="F2" s="34" t="s">
        <v>124</v>
      </c>
      <c r="G2" s="35" t="s">
        <v>125</v>
      </c>
      <c r="H2" s="36" t="s">
        <v>123</v>
      </c>
      <c r="I2" s="37"/>
      <c r="K2" s="26"/>
      <c r="M2" s="26"/>
      <c r="N2" s="26"/>
      <c r="P2" s="26"/>
    </row>
    <row r="3" spans="1:16" ht="27" x14ac:dyDescent="0.5">
      <c r="A3" s="31">
        <v>2</v>
      </c>
      <c r="B3" s="32" t="s">
        <v>126</v>
      </c>
      <c r="C3" s="32" t="s">
        <v>126</v>
      </c>
      <c r="D3" s="32" t="s">
        <v>128</v>
      </c>
      <c r="E3" s="33" t="s">
        <v>126</v>
      </c>
      <c r="F3" s="34" t="s">
        <v>129</v>
      </c>
      <c r="G3" s="35" t="s">
        <v>130</v>
      </c>
      <c r="H3" s="36" t="s">
        <v>127</v>
      </c>
      <c r="I3" s="37"/>
      <c r="K3" s="26"/>
      <c r="M3" s="26"/>
      <c r="N3" s="26"/>
      <c r="P3" s="26"/>
    </row>
    <row r="4" spans="1:16" ht="27" x14ac:dyDescent="0.5">
      <c r="A4" s="31">
        <v>3</v>
      </c>
      <c r="B4" s="32" t="s">
        <v>131</v>
      </c>
      <c r="C4" s="32" t="s">
        <v>131</v>
      </c>
      <c r="D4" s="32" t="s">
        <v>133</v>
      </c>
      <c r="E4" s="33" t="s">
        <v>131</v>
      </c>
      <c r="F4" s="34" t="s">
        <v>134</v>
      </c>
      <c r="G4" s="35" t="s">
        <v>135</v>
      </c>
      <c r="H4" s="36" t="s">
        <v>132</v>
      </c>
      <c r="I4" s="37"/>
      <c r="K4" s="26"/>
      <c r="M4" s="26"/>
      <c r="N4" s="26"/>
      <c r="P4" s="26"/>
    </row>
    <row r="5" spans="1:16" ht="30" x14ac:dyDescent="0.5">
      <c r="A5" s="31">
        <v>4</v>
      </c>
      <c r="B5" s="32" t="s">
        <v>136</v>
      </c>
      <c r="C5" s="32" t="s">
        <v>136</v>
      </c>
      <c r="D5" s="32" t="s">
        <v>136</v>
      </c>
      <c r="E5" s="33" t="s">
        <v>136</v>
      </c>
      <c r="F5" s="38" t="s">
        <v>138</v>
      </c>
      <c r="G5" s="39" t="s">
        <v>139</v>
      </c>
      <c r="H5" s="36" t="s">
        <v>137</v>
      </c>
      <c r="I5" s="37"/>
      <c r="K5" s="26"/>
      <c r="M5" s="26"/>
      <c r="N5" s="26"/>
      <c r="P5" s="26"/>
    </row>
    <row r="6" spans="1:16" ht="27" x14ac:dyDescent="0.5">
      <c r="A6" s="31">
        <v>5</v>
      </c>
      <c r="B6" s="32" t="s">
        <v>143</v>
      </c>
      <c r="C6" s="32" t="s">
        <v>140</v>
      </c>
      <c r="D6" s="32" t="s">
        <v>142</v>
      </c>
      <c r="E6" s="33" t="s">
        <v>140</v>
      </c>
      <c r="F6" s="34" t="s">
        <v>144</v>
      </c>
      <c r="G6" s="35" t="s">
        <v>145</v>
      </c>
      <c r="H6" s="36" t="s">
        <v>141</v>
      </c>
      <c r="I6" s="37"/>
      <c r="K6" s="26"/>
      <c r="M6" s="26"/>
      <c r="N6" s="26"/>
      <c r="P6" s="26"/>
    </row>
    <row r="7" spans="1:16" ht="27" x14ac:dyDescent="0.5">
      <c r="A7" s="31">
        <v>6</v>
      </c>
      <c r="B7" s="32" t="s">
        <v>146</v>
      </c>
      <c r="C7" s="32" t="s">
        <v>146</v>
      </c>
      <c r="D7" s="32" t="s">
        <v>147</v>
      </c>
      <c r="E7" s="33" t="s">
        <v>146</v>
      </c>
      <c r="F7" s="34" t="s">
        <v>148</v>
      </c>
      <c r="G7" s="35" t="s">
        <v>149</v>
      </c>
      <c r="H7" s="36" t="str">
        <f>_xlfn.CONCAT("a","k",_xlfn.UNICHAR(794))</f>
        <v>ak̚</v>
      </c>
      <c r="I7" s="37"/>
      <c r="K7" s="26"/>
      <c r="M7" s="26"/>
      <c r="N7" s="26"/>
      <c r="P7" s="26"/>
    </row>
    <row r="8" spans="1:16" ht="27" x14ac:dyDescent="0.5">
      <c r="A8" s="31">
        <v>7</v>
      </c>
      <c r="B8" s="32" t="s">
        <v>150</v>
      </c>
      <c r="C8" s="32" t="s">
        <v>150</v>
      </c>
      <c r="D8" s="32" t="s">
        <v>152</v>
      </c>
      <c r="E8" s="33" t="s">
        <v>150</v>
      </c>
      <c r="F8" s="34" t="s">
        <v>153</v>
      </c>
      <c r="G8" s="35" t="s">
        <v>154</v>
      </c>
      <c r="H8" s="36" t="s">
        <v>151</v>
      </c>
      <c r="I8" s="37"/>
      <c r="K8" s="26"/>
      <c r="M8" s="26"/>
      <c r="N8" s="26"/>
      <c r="P8" s="26"/>
    </row>
    <row r="9" spans="1:16" ht="27" x14ac:dyDescent="0.5">
      <c r="A9" s="31">
        <v>8</v>
      </c>
      <c r="B9" s="32" t="s">
        <v>155</v>
      </c>
      <c r="C9" s="32" t="s">
        <v>155</v>
      </c>
      <c r="D9" s="32" t="s">
        <v>157</v>
      </c>
      <c r="E9" s="33" t="s">
        <v>155</v>
      </c>
      <c r="F9" s="34" t="s">
        <v>158</v>
      </c>
      <c r="G9" s="35" t="s">
        <v>159</v>
      </c>
      <c r="H9" s="36" t="s">
        <v>156</v>
      </c>
      <c r="I9" s="37"/>
      <c r="K9" s="26"/>
      <c r="M9" s="26"/>
      <c r="N9" s="26"/>
      <c r="P9" s="26"/>
    </row>
    <row r="10" spans="1:16" ht="27" x14ac:dyDescent="0.5">
      <c r="A10" s="31">
        <v>9</v>
      </c>
      <c r="B10" s="32" t="s">
        <v>160</v>
      </c>
      <c r="C10" s="32" t="s">
        <v>160</v>
      </c>
      <c r="D10" s="32" t="s">
        <v>160</v>
      </c>
      <c r="E10" s="33" t="s">
        <v>160</v>
      </c>
      <c r="F10" s="34" t="s">
        <v>162</v>
      </c>
      <c r="G10" s="35" t="s">
        <v>163</v>
      </c>
      <c r="H10" s="36" t="s">
        <v>161</v>
      </c>
      <c r="I10" s="37"/>
      <c r="K10" s="26"/>
      <c r="M10" s="26"/>
      <c r="N10" s="26"/>
      <c r="P10" s="26"/>
    </row>
    <row r="11" spans="1:16" ht="27" x14ac:dyDescent="0.5">
      <c r="A11" s="31">
        <v>10</v>
      </c>
      <c r="B11" s="32" t="s">
        <v>167</v>
      </c>
      <c r="C11" s="32" t="s">
        <v>164</v>
      </c>
      <c r="D11" s="32" t="s">
        <v>166</v>
      </c>
      <c r="E11" s="33" t="s">
        <v>164</v>
      </c>
      <c r="F11" s="34" t="s">
        <v>168</v>
      </c>
      <c r="G11" s="35" t="s">
        <v>169</v>
      </c>
      <c r="H11" s="36" t="s">
        <v>165</v>
      </c>
      <c r="I11" s="37"/>
      <c r="K11" s="26"/>
      <c r="M11" s="26"/>
      <c r="N11" s="26"/>
      <c r="P11" s="26"/>
    </row>
    <row r="12" spans="1:16" ht="27" x14ac:dyDescent="0.5">
      <c r="A12" s="31">
        <v>11</v>
      </c>
      <c r="B12" s="32" t="s">
        <v>173</v>
      </c>
      <c r="C12" s="32" t="s">
        <v>170</v>
      </c>
      <c r="D12" s="32" t="s">
        <v>172</v>
      </c>
      <c r="E12" s="33" t="s">
        <v>170</v>
      </c>
      <c r="F12" s="34" t="s">
        <v>174</v>
      </c>
      <c r="G12" s="35" t="s">
        <v>175</v>
      </c>
      <c r="H12" s="36" t="s">
        <v>171</v>
      </c>
      <c r="I12" s="37"/>
      <c r="K12" s="26"/>
      <c r="M12" s="26"/>
      <c r="N12" s="26"/>
      <c r="P12" s="26"/>
    </row>
    <row r="13" spans="1:16" ht="27" x14ac:dyDescent="0.5">
      <c r="A13" s="31">
        <v>12</v>
      </c>
      <c r="B13" s="32" t="s">
        <v>176</v>
      </c>
      <c r="C13" s="32" t="s">
        <v>176</v>
      </c>
      <c r="D13" s="32" t="s">
        <v>177</v>
      </c>
      <c r="E13" s="33" t="s">
        <v>176</v>
      </c>
      <c r="F13" s="34" t="s">
        <v>178</v>
      </c>
      <c r="G13" s="35" t="s">
        <v>179</v>
      </c>
      <c r="H13" s="36" t="str">
        <f>_xlfn.CONCAT("a","p",_xlfn.UNICHAR(794))</f>
        <v>ap̚</v>
      </c>
      <c r="I13" s="37"/>
      <c r="K13" s="26"/>
      <c r="M13" s="26"/>
      <c r="N13" s="26"/>
      <c r="P13" s="26"/>
    </row>
    <row r="14" spans="1:16" ht="27" x14ac:dyDescent="0.5">
      <c r="A14" s="31">
        <v>13</v>
      </c>
      <c r="B14" s="32" t="s">
        <v>180</v>
      </c>
      <c r="C14" s="32" t="s">
        <v>180</v>
      </c>
      <c r="D14" s="32" t="s">
        <v>181</v>
      </c>
      <c r="E14" s="33" t="s">
        <v>180</v>
      </c>
      <c r="F14" s="34" t="s">
        <v>182</v>
      </c>
      <c r="G14" s="35" t="s">
        <v>183</v>
      </c>
      <c r="H14" s="36" t="str">
        <f>_xlfn.CONCAT("a","t",_xlfn.UNICHAR(794))</f>
        <v>at̚</v>
      </c>
      <c r="I14" s="37"/>
      <c r="K14" s="26"/>
      <c r="M14" s="26"/>
      <c r="N14" s="26"/>
      <c r="P14" s="26"/>
    </row>
    <row r="15" spans="1:16" ht="27" x14ac:dyDescent="0.5">
      <c r="A15" s="31">
        <v>14</v>
      </c>
      <c r="B15" s="40" t="s">
        <v>187</v>
      </c>
      <c r="C15" s="32" t="s">
        <v>184</v>
      </c>
      <c r="D15" s="32" t="s">
        <v>186</v>
      </c>
      <c r="E15" s="33" t="s">
        <v>184</v>
      </c>
      <c r="F15" s="34" t="s">
        <v>188</v>
      </c>
      <c r="G15" s="35" t="s">
        <v>189</v>
      </c>
      <c r="H15" s="36" t="s">
        <v>185</v>
      </c>
      <c r="I15" s="37"/>
      <c r="K15" s="26"/>
      <c r="M15" s="26"/>
      <c r="N15" s="26"/>
      <c r="P15" s="26"/>
    </row>
    <row r="16" spans="1:16" ht="27" x14ac:dyDescent="0.5">
      <c r="A16" s="31">
        <v>15</v>
      </c>
      <c r="B16" s="40" t="s">
        <v>192</v>
      </c>
      <c r="C16" s="32" t="s">
        <v>190</v>
      </c>
      <c r="D16" s="32" t="s">
        <v>190</v>
      </c>
      <c r="E16" s="33" t="s">
        <v>190</v>
      </c>
      <c r="F16" s="34" t="s">
        <v>193</v>
      </c>
      <c r="G16" s="35" t="s">
        <v>194</v>
      </c>
      <c r="H16" s="36" t="s">
        <v>191</v>
      </c>
      <c r="I16" s="37"/>
      <c r="K16" s="26"/>
      <c r="M16" s="26"/>
      <c r="N16" s="26"/>
      <c r="P16" s="26"/>
    </row>
    <row r="17" spans="1:16" ht="27" x14ac:dyDescent="0.5">
      <c r="A17" s="31">
        <v>16</v>
      </c>
      <c r="B17" s="32" t="s">
        <v>195</v>
      </c>
      <c r="C17" s="32" t="s">
        <v>195</v>
      </c>
      <c r="D17" s="32" t="s">
        <v>195</v>
      </c>
      <c r="E17" s="33" t="s">
        <v>195</v>
      </c>
      <c r="F17" s="34" t="s">
        <v>197</v>
      </c>
      <c r="G17" s="35" t="s">
        <v>198</v>
      </c>
      <c r="H17" s="36" t="s">
        <v>196</v>
      </c>
      <c r="I17" s="37"/>
      <c r="K17" s="26"/>
      <c r="M17" s="26"/>
      <c r="N17" s="26"/>
      <c r="P17" s="26"/>
    </row>
    <row r="18" spans="1:16" ht="27" x14ac:dyDescent="0.5">
      <c r="A18" s="31">
        <v>17</v>
      </c>
      <c r="B18" s="41"/>
      <c r="C18" s="41"/>
      <c r="D18" s="41"/>
      <c r="E18" s="33" t="s">
        <v>199</v>
      </c>
      <c r="F18" s="42" t="s">
        <v>201</v>
      </c>
      <c r="G18" s="35" t="s">
        <v>202</v>
      </c>
      <c r="H18" s="36" t="s">
        <v>200</v>
      </c>
      <c r="I18" s="37"/>
      <c r="K18" s="26"/>
      <c r="M18" s="26"/>
      <c r="N18" s="26"/>
      <c r="P18" s="26"/>
    </row>
    <row r="19" spans="1:16" ht="27" x14ac:dyDescent="0.5">
      <c r="A19" s="31">
        <v>18</v>
      </c>
      <c r="B19" s="41"/>
      <c r="C19" s="41"/>
      <c r="D19" s="41"/>
      <c r="E19" s="33" t="s">
        <v>203</v>
      </c>
      <c r="F19" s="42" t="s">
        <v>204</v>
      </c>
      <c r="G19" s="35" t="s">
        <v>205</v>
      </c>
      <c r="H19" s="36" t="str">
        <f xml:space="preserve"> _xlfn.CONCAT(H18, "ʔ")</f>
        <v>ɛʔ</v>
      </c>
      <c r="I19" s="37"/>
      <c r="K19" s="26"/>
      <c r="M19" s="26"/>
      <c r="N19" s="26"/>
      <c r="P19" s="26"/>
    </row>
    <row r="20" spans="1:16" ht="27" x14ac:dyDescent="0.5">
      <c r="A20" s="31">
        <v>19</v>
      </c>
      <c r="B20" s="32" t="s">
        <v>206</v>
      </c>
      <c r="C20" s="32" t="s">
        <v>206</v>
      </c>
      <c r="D20" s="32" t="s">
        <v>206</v>
      </c>
      <c r="E20" s="33" t="s">
        <v>206</v>
      </c>
      <c r="F20" s="34" t="s">
        <v>208</v>
      </c>
      <c r="G20" s="35" t="s">
        <v>209</v>
      </c>
      <c r="H20" s="36" t="s">
        <v>207</v>
      </c>
      <c r="I20" s="37"/>
      <c r="K20" s="26"/>
      <c r="M20" s="26"/>
      <c r="N20" s="26"/>
      <c r="P20" s="26"/>
    </row>
    <row r="21" spans="1:16" ht="27" x14ac:dyDescent="0.5">
      <c r="A21" s="31">
        <v>20</v>
      </c>
      <c r="B21" s="41"/>
      <c r="C21" s="41"/>
      <c r="D21" s="41"/>
      <c r="E21" s="33" t="s">
        <v>210</v>
      </c>
      <c r="F21" s="42" t="s">
        <v>211</v>
      </c>
      <c r="G21" s="43" t="s">
        <v>212</v>
      </c>
      <c r="H21" s="36" t="str">
        <f xml:space="preserve"> _xlfn.CONCAT("ɛ",, "k")</f>
        <v>ɛk</v>
      </c>
      <c r="I21" s="37"/>
      <c r="K21" s="26"/>
      <c r="M21" s="26"/>
      <c r="N21" s="26"/>
      <c r="P21" s="26"/>
    </row>
    <row r="22" spans="1:16" ht="27" x14ac:dyDescent="0.5">
      <c r="A22" s="31">
        <v>21</v>
      </c>
      <c r="B22" s="41"/>
      <c r="C22" s="41"/>
      <c r="D22" s="41"/>
      <c r="E22" s="33" t="s">
        <v>213</v>
      </c>
      <c r="F22" s="42" t="s">
        <v>214</v>
      </c>
      <c r="G22" s="43" t="s">
        <v>215</v>
      </c>
      <c r="H22" s="36" t="str">
        <f xml:space="preserve"> _xlfn.CONCAT("ɛ", "ŋ")</f>
        <v>ɛŋ</v>
      </c>
      <c r="I22" s="37"/>
      <c r="K22" s="26"/>
      <c r="M22" s="26"/>
      <c r="N22" s="26"/>
      <c r="P22" s="26"/>
    </row>
    <row r="23" spans="1:16" ht="27" x14ac:dyDescent="0.5">
      <c r="A23" s="31">
        <v>22</v>
      </c>
      <c r="B23" s="32" t="s">
        <v>219</v>
      </c>
      <c r="C23" s="32" t="s">
        <v>216</v>
      </c>
      <c r="D23" s="32" t="s">
        <v>218</v>
      </c>
      <c r="E23" s="33" t="s">
        <v>216</v>
      </c>
      <c r="F23" s="34" t="s">
        <v>220</v>
      </c>
      <c r="G23" s="35" t="s">
        <v>221</v>
      </c>
      <c r="H23" s="36" t="s">
        <v>217</v>
      </c>
      <c r="I23" s="37"/>
      <c r="K23" s="26"/>
      <c r="M23" s="26"/>
      <c r="N23" s="26"/>
      <c r="P23" s="26"/>
    </row>
    <row r="24" spans="1:16" ht="27" x14ac:dyDescent="0.5">
      <c r="A24" s="31">
        <v>23</v>
      </c>
      <c r="B24" s="32" t="s">
        <v>225</v>
      </c>
      <c r="C24" s="32" t="s">
        <v>226</v>
      </c>
      <c r="D24" s="32" t="s">
        <v>224</v>
      </c>
      <c r="E24" s="33" t="s">
        <v>222</v>
      </c>
      <c r="F24" s="38" t="s">
        <v>227</v>
      </c>
      <c r="G24" s="43" t="s">
        <v>228</v>
      </c>
      <c r="H24" s="36" t="s">
        <v>223</v>
      </c>
      <c r="I24" s="37"/>
      <c r="K24" s="26"/>
      <c r="M24" s="26"/>
      <c r="N24" s="26"/>
      <c r="P24" s="26"/>
    </row>
    <row r="25" spans="1:16" ht="27" x14ac:dyDescent="0.5">
      <c r="A25" s="31">
        <v>24</v>
      </c>
      <c r="B25" s="32" t="s">
        <v>229</v>
      </c>
      <c r="C25" s="32" t="s">
        <v>229</v>
      </c>
      <c r="D25" s="32" t="s">
        <v>229</v>
      </c>
      <c r="E25" s="33" t="s">
        <v>229</v>
      </c>
      <c r="F25" s="34" t="s">
        <v>231</v>
      </c>
      <c r="G25" s="35" t="s">
        <v>232</v>
      </c>
      <c r="H25" s="36" t="s">
        <v>230</v>
      </c>
      <c r="I25" s="37"/>
      <c r="K25" s="26"/>
      <c r="M25" s="26"/>
      <c r="N25" s="26"/>
      <c r="P25" s="26"/>
    </row>
    <row r="26" spans="1:16" ht="27" x14ac:dyDescent="0.5">
      <c r="A26" s="31">
        <v>25</v>
      </c>
      <c r="B26" s="32" t="s">
        <v>233</v>
      </c>
      <c r="C26" s="32" t="s">
        <v>233</v>
      </c>
      <c r="D26" s="32" t="s">
        <v>233</v>
      </c>
      <c r="E26" s="33" t="s">
        <v>233</v>
      </c>
      <c r="F26" s="34" t="s">
        <v>235</v>
      </c>
      <c r="G26" s="35" t="s">
        <v>236</v>
      </c>
      <c r="H26" s="36" t="s">
        <v>234</v>
      </c>
      <c r="I26" s="37"/>
      <c r="K26" s="26"/>
      <c r="M26" s="26"/>
      <c r="N26" s="26"/>
      <c r="P26" s="26"/>
    </row>
    <row r="27" spans="1:16" ht="27" x14ac:dyDescent="0.5">
      <c r="A27" s="31">
        <v>26</v>
      </c>
      <c r="B27" s="32" t="s">
        <v>237</v>
      </c>
      <c r="C27" s="32" t="s">
        <v>237</v>
      </c>
      <c r="D27" s="32" t="s">
        <v>237</v>
      </c>
      <c r="E27" s="33" t="s">
        <v>237</v>
      </c>
      <c r="F27" s="34" t="s">
        <v>238</v>
      </c>
      <c r="G27" s="35" t="s">
        <v>239</v>
      </c>
      <c r="H27" s="36" t="str">
        <f xml:space="preserve"> _xlfn.CONCAT(H26, "ʔ")</f>
        <v>ɪaʔ</v>
      </c>
      <c r="I27" s="37"/>
      <c r="K27" s="26"/>
      <c r="M27" s="26"/>
      <c r="N27" s="26"/>
      <c r="P27" s="26"/>
    </row>
    <row r="28" spans="1:16" ht="27" x14ac:dyDescent="0.5">
      <c r="A28" s="31">
        <v>27</v>
      </c>
      <c r="B28" s="32" t="s">
        <v>240</v>
      </c>
      <c r="C28" s="32" t="s">
        <v>240</v>
      </c>
      <c r="D28" s="32" t="s">
        <v>240</v>
      </c>
      <c r="E28" s="33" t="s">
        <v>240</v>
      </c>
      <c r="F28" s="34" t="s">
        <v>242</v>
      </c>
      <c r="G28" s="35" t="s">
        <v>243</v>
      </c>
      <c r="H28" s="36" t="s">
        <v>241</v>
      </c>
      <c r="I28" s="37"/>
      <c r="K28" s="26"/>
      <c r="M28" s="26"/>
      <c r="N28" s="26"/>
      <c r="P28" s="26"/>
    </row>
    <row r="29" spans="1:16" ht="27" x14ac:dyDescent="0.5">
      <c r="A29" s="31">
        <v>28</v>
      </c>
      <c r="B29" s="32" t="s">
        <v>244</v>
      </c>
      <c r="C29" s="32" t="s">
        <v>244</v>
      </c>
      <c r="D29" s="32" t="s">
        <v>244</v>
      </c>
      <c r="E29" s="33" t="s">
        <v>244</v>
      </c>
      <c r="F29" s="34" t="s">
        <v>246</v>
      </c>
      <c r="G29" s="35" t="s">
        <v>247</v>
      </c>
      <c r="H29" s="36" t="s">
        <v>245</v>
      </c>
      <c r="I29" s="37"/>
      <c r="K29" s="26"/>
      <c r="M29" s="26"/>
      <c r="N29" s="26"/>
      <c r="P29" s="26"/>
    </row>
    <row r="30" spans="1:16" ht="27" x14ac:dyDescent="0.5">
      <c r="A30" s="31">
        <v>29</v>
      </c>
      <c r="B30" s="32" t="s">
        <v>248</v>
      </c>
      <c r="C30" s="32" t="s">
        <v>248</v>
      </c>
      <c r="D30" s="32" t="s">
        <v>248</v>
      </c>
      <c r="E30" s="33" t="s">
        <v>248</v>
      </c>
      <c r="F30" s="34" t="s">
        <v>250</v>
      </c>
      <c r="G30" s="35" t="s">
        <v>251</v>
      </c>
      <c r="H30" s="36" t="s">
        <v>249</v>
      </c>
      <c r="I30" s="37"/>
      <c r="K30" s="26"/>
      <c r="M30" s="26"/>
      <c r="N30" s="26"/>
      <c r="P30" s="26"/>
    </row>
    <row r="31" spans="1:16" ht="27" x14ac:dyDescent="0.5">
      <c r="A31" s="31">
        <v>30</v>
      </c>
      <c r="B31" s="32" t="s">
        <v>252</v>
      </c>
      <c r="C31" s="32" t="s">
        <v>252</v>
      </c>
      <c r="D31" s="32" t="s">
        <v>252</v>
      </c>
      <c r="E31" s="33" t="s">
        <v>252</v>
      </c>
      <c r="F31" s="34" t="s">
        <v>254</v>
      </c>
      <c r="G31" s="35" t="s">
        <v>255</v>
      </c>
      <c r="H31" s="36" t="s">
        <v>253</v>
      </c>
      <c r="I31" s="37"/>
      <c r="K31" s="26"/>
      <c r="M31" s="26"/>
      <c r="N31" s="26"/>
      <c r="P31" s="26"/>
    </row>
    <row r="32" spans="1:16" ht="27" x14ac:dyDescent="0.5">
      <c r="A32" s="31">
        <v>31</v>
      </c>
      <c r="B32" s="32" t="s">
        <v>258</v>
      </c>
      <c r="C32" s="32" t="s">
        <v>256</v>
      </c>
      <c r="D32" s="32" t="s">
        <v>257</v>
      </c>
      <c r="E32" s="33" t="s">
        <v>256</v>
      </c>
      <c r="F32" s="34" t="s">
        <v>259</v>
      </c>
      <c r="G32" s="35" t="s">
        <v>260</v>
      </c>
      <c r="H32" s="36" t="str">
        <f>_xlfn.CONCAT("ɪ", "a", _xlfn.UNICHAR(771), "")</f>
        <v>ɪã</v>
      </c>
      <c r="I32" s="37"/>
      <c r="K32" s="26"/>
      <c r="M32" s="26"/>
      <c r="N32" s="26"/>
      <c r="P32" s="26"/>
    </row>
    <row r="33" spans="1:16" ht="27" x14ac:dyDescent="0.5">
      <c r="A33" s="31">
        <v>32</v>
      </c>
      <c r="B33" s="32" t="s">
        <v>263</v>
      </c>
      <c r="C33" s="32" t="s">
        <v>264</v>
      </c>
      <c r="D33" s="32" t="s">
        <v>262</v>
      </c>
      <c r="E33" s="33" t="s">
        <v>261</v>
      </c>
      <c r="F33" s="38" t="s">
        <v>265</v>
      </c>
      <c r="G33" s="35" t="s">
        <v>266</v>
      </c>
      <c r="H33" s="36" t="str">
        <f xml:space="preserve"> _xlfn.CONCAT(H32, "ʔ")</f>
        <v>ɪãʔ</v>
      </c>
      <c r="I33" s="37"/>
      <c r="K33" s="26"/>
      <c r="M33" s="26"/>
      <c r="N33" s="26"/>
      <c r="P33" s="26"/>
    </row>
    <row r="34" spans="1:16" ht="27" x14ac:dyDescent="0.5">
      <c r="A34" s="31">
        <v>33</v>
      </c>
      <c r="B34" s="32" t="s">
        <v>267</v>
      </c>
      <c r="C34" s="32" t="s">
        <v>267</v>
      </c>
      <c r="D34" s="32" t="s">
        <v>267</v>
      </c>
      <c r="E34" s="33" t="s">
        <v>267</v>
      </c>
      <c r="F34" s="34" t="s">
        <v>269</v>
      </c>
      <c r="G34" s="35" t="s">
        <v>270</v>
      </c>
      <c r="H34" s="36" t="s">
        <v>268</v>
      </c>
      <c r="I34" s="37"/>
      <c r="K34" s="26"/>
      <c r="M34" s="26"/>
      <c r="N34" s="26"/>
      <c r="P34" s="26"/>
    </row>
    <row r="35" spans="1:16" ht="27" x14ac:dyDescent="0.5">
      <c r="A35" s="31">
        <v>34</v>
      </c>
      <c r="B35" s="32" t="s">
        <v>271</v>
      </c>
      <c r="C35" s="32" t="s">
        <v>271</v>
      </c>
      <c r="D35" s="32" t="s">
        <v>271</v>
      </c>
      <c r="E35" s="33" t="s">
        <v>271</v>
      </c>
      <c r="F35" s="34" t="s">
        <v>273</v>
      </c>
      <c r="G35" s="35" t="s">
        <v>274</v>
      </c>
      <c r="H35" s="36" t="s">
        <v>272</v>
      </c>
      <c r="I35" s="37"/>
      <c r="K35" s="26"/>
      <c r="M35" s="26"/>
      <c r="N35" s="26"/>
      <c r="P35" s="26"/>
    </row>
    <row r="36" spans="1:16" ht="27" x14ac:dyDescent="0.5">
      <c r="A36" s="31">
        <v>35</v>
      </c>
      <c r="B36" s="32" t="s">
        <v>277</v>
      </c>
      <c r="C36" s="32" t="s">
        <v>275</v>
      </c>
      <c r="D36" s="32" t="s">
        <v>275</v>
      </c>
      <c r="E36" s="33" t="s">
        <v>275</v>
      </c>
      <c r="F36" s="34" t="s">
        <v>278</v>
      </c>
      <c r="G36" s="35" t="s">
        <v>279</v>
      </c>
      <c r="H36" s="36" t="s">
        <v>276</v>
      </c>
      <c r="I36" s="37"/>
      <c r="K36" s="26"/>
      <c r="M36" s="26"/>
      <c r="N36" s="26"/>
      <c r="P36" s="26"/>
    </row>
    <row r="37" spans="1:16" ht="27" x14ac:dyDescent="0.5">
      <c r="A37" s="31">
        <v>36</v>
      </c>
      <c r="B37" s="32" t="s">
        <v>281</v>
      </c>
      <c r="C37" s="32" t="s">
        <v>280</v>
      </c>
      <c r="D37" s="32" t="s">
        <v>280</v>
      </c>
      <c r="E37" s="33" t="s">
        <v>280</v>
      </c>
      <c r="F37" s="34" t="s">
        <v>282</v>
      </c>
      <c r="G37" s="35" t="s">
        <v>283</v>
      </c>
      <c r="H37" s="36" t="str">
        <f xml:space="preserve"> _xlfn.CONCAT(H36, "ʔ")</f>
        <v>ɪaʊʔ</v>
      </c>
      <c r="I37" s="37"/>
      <c r="K37" s="26"/>
      <c r="M37" s="26"/>
      <c r="N37" s="26"/>
      <c r="P37" s="26"/>
    </row>
    <row r="38" spans="1:16" ht="27" x14ac:dyDescent="0.5">
      <c r="A38" s="31">
        <v>37</v>
      </c>
      <c r="B38" s="32" t="s">
        <v>286</v>
      </c>
      <c r="C38" s="32" t="s">
        <v>284</v>
      </c>
      <c r="D38" s="32" t="s">
        <v>285</v>
      </c>
      <c r="E38" s="33" t="s">
        <v>284</v>
      </c>
      <c r="F38" s="34" t="s">
        <v>287</v>
      </c>
      <c r="G38" s="35" t="s">
        <v>288</v>
      </c>
      <c r="H38" s="36" t="str">
        <f>_xlfn.CONCAT("ɪ", "a", _xlfn.UNICHAR(771), "ʊ")</f>
        <v>ɪãʊ</v>
      </c>
      <c r="I38" s="37"/>
      <c r="K38" s="26"/>
      <c r="M38" s="26"/>
      <c r="N38" s="26"/>
      <c r="P38" s="26"/>
    </row>
    <row r="39" spans="1:16" ht="27" x14ac:dyDescent="0.5">
      <c r="A39" s="31">
        <v>38</v>
      </c>
      <c r="B39" s="32" t="s">
        <v>289</v>
      </c>
      <c r="C39" s="32" t="s">
        <v>289</v>
      </c>
      <c r="D39" s="32" t="s">
        <v>289</v>
      </c>
      <c r="E39" s="33" t="s">
        <v>289</v>
      </c>
      <c r="F39" s="34" t="s">
        <v>291</v>
      </c>
      <c r="G39" s="35" t="s">
        <v>292</v>
      </c>
      <c r="H39" s="36" t="s">
        <v>290</v>
      </c>
      <c r="I39" s="37"/>
      <c r="K39" s="26"/>
      <c r="M39" s="26"/>
      <c r="N39" s="26"/>
      <c r="P39" s="26"/>
    </row>
    <row r="40" spans="1:16" ht="27" x14ac:dyDescent="0.5">
      <c r="A40" s="31">
        <v>39</v>
      </c>
      <c r="B40" s="32" t="s">
        <v>295</v>
      </c>
      <c r="C40" s="32" t="s">
        <v>296</v>
      </c>
      <c r="D40" s="32" t="s">
        <v>210</v>
      </c>
      <c r="E40" s="33" t="s">
        <v>293</v>
      </c>
      <c r="F40" s="34" t="s">
        <v>297</v>
      </c>
      <c r="G40" s="35" t="s">
        <v>212</v>
      </c>
      <c r="H40" s="36" t="s">
        <v>294</v>
      </c>
      <c r="I40" s="37"/>
      <c r="K40" s="26"/>
      <c r="M40" s="26"/>
      <c r="N40" s="26"/>
      <c r="P40" s="26"/>
    </row>
    <row r="41" spans="1:16" ht="27" x14ac:dyDescent="0.5">
      <c r="A41" s="31">
        <v>40</v>
      </c>
      <c r="B41" s="32" t="s">
        <v>298</v>
      </c>
      <c r="C41" s="32" t="s">
        <v>298</v>
      </c>
      <c r="D41" s="32" t="s">
        <v>298</v>
      </c>
      <c r="E41" s="33" t="s">
        <v>298</v>
      </c>
      <c r="F41" s="34" t="s">
        <v>300</v>
      </c>
      <c r="G41" s="35" t="s">
        <v>301</v>
      </c>
      <c r="H41" s="36" t="s">
        <v>299</v>
      </c>
      <c r="I41" s="37"/>
      <c r="K41" s="26"/>
      <c r="M41" s="26"/>
      <c r="N41" s="26"/>
      <c r="P41" s="26"/>
    </row>
    <row r="42" spans="1:16" ht="27" x14ac:dyDescent="0.5">
      <c r="A42" s="31">
        <v>41</v>
      </c>
      <c r="B42" s="32" t="s">
        <v>302</v>
      </c>
      <c r="C42" s="32" t="s">
        <v>302</v>
      </c>
      <c r="D42" s="32" t="s">
        <v>302</v>
      </c>
      <c r="E42" s="33" t="s">
        <v>302</v>
      </c>
      <c r="F42" s="34" t="s">
        <v>304</v>
      </c>
      <c r="G42" s="35" t="s">
        <v>305</v>
      </c>
      <c r="H42" s="36" t="s">
        <v>303</v>
      </c>
      <c r="I42" s="37"/>
      <c r="K42" s="26"/>
      <c r="M42" s="26"/>
      <c r="N42" s="26"/>
      <c r="P42" s="26"/>
    </row>
    <row r="43" spans="1:16" ht="27" x14ac:dyDescent="0.5">
      <c r="A43" s="31">
        <v>42</v>
      </c>
      <c r="B43" s="32" t="s">
        <v>306</v>
      </c>
      <c r="C43" s="32" t="s">
        <v>306</v>
      </c>
      <c r="D43" s="32" t="s">
        <v>308</v>
      </c>
      <c r="E43" s="33" t="s">
        <v>306</v>
      </c>
      <c r="F43" s="34" t="s">
        <v>309</v>
      </c>
      <c r="G43" s="35" t="s">
        <v>215</v>
      </c>
      <c r="H43" s="36" t="s">
        <v>307</v>
      </c>
      <c r="I43" s="37"/>
      <c r="K43" s="26"/>
      <c r="M43" s="26"/>
      <c r="N43" s="26"/>
      <c r="P43" s="26"/>
    </row>
    <row r="44" spans="1:16" ht="27" x14ac:dyDescent="0.5">
      <c r="A44" s="31">
        <v>43</v>
      </c>
      <c r="B44" s="32" t="s">
        <v>313</v>
      </c>
      <c r="C44" s="32" t="s">
        <v>310</v>
      </c>
      <c r="D44" s="32" t="s">
        <v>312</v>
      </c>
      <c r="E44" s="33" t="s">
        <v>310</v>
      </c>
      <c r="F44" s="34" t="s">
        <v>314</v>
      </c>
      <c r="G44" s="35" t="s">
        <v>315</v>
      </c>
      <c r="H44" s="36" t="s">
        <v>311</v>
      </c>
      <c r="I44" s="37"/>
      <c r="K44" s="26"/>
      <c r="M44" s="26"/>
      <c r="N44" s="26"/>
      <c r="P44" s="26"/>
    </row>
    <row r="45" spans="1:16" ht="27" x14ac:dyDescent="0.5">
      <c r="A45" s="31">
        <v>44</v>
      </c>
      <c r="B45" s="32" t="s">
        <v>316</v>
      </c>
      <c r="C45" s="32" t="s">
        <v>318</v>
      </c>
      <c r="D45" s="32" t="s">
        <v>316</v>
      </c>
      <c r="E45" s="33" t="s">
        <v>316</v>
      </c>
      <c r="F45" s="34" t="s">
        <v>319</v>
      </c>
      <c r="G45" s="35" t="s">
        <v>320</v>
      </c>
      <c r="H45" s="36" t="s">
        <v>317</v>
      </c>
      <c r="I45" s="37"/>
      <c r="K45" s="26"/>
      <c r="M45" s="26"/>
      <c r="N45" s="26"/>
      <c r="P45" s="26"/>
    </row>
    <row r="46" spans="1:16" ht="27" x14ac:dyDescent="0.5">
      <c r="A46" s="31">
        <v>45</v>
      </c>
      <c r="B46" s="32" t="s">
        <v>321</v>
      </c>
      <c r="C46" s="32" t="s">
        <v>323</v>
      </c>
      <c r="D46" s="32" t="s">
        <v>321</v>
      </c>
      <c r="E46" s="33" t="s">
        <v>321</v>
      </c>
      <c r="F46" s="34" t="s">
        <v>324</v>
      </c>
      <c r="G46" s="35" t="s">
        <v>325</v>
      </c>
      <c r="H46" s="36" t="s">
        <v>322</v>
      </c>
      <c r="I46" s="37"/>
      <c r="K46" s="26"/>
      <c r="M46" s="26"/>
      <c r="N46" s="26"/>
      <c r="P46" s="26"/>
    </row>
    <row r="47" spans="1:16" ht="27" x14ac:dyDescent="0.5">
      <c r="A47" s="31">
        <v>46</v>
      </c>
      <c r="B47" s="32" t="s">
        <v>326</v>
      </c>
      <c r="C47" s="32" t="s">
        <v>328</v>
      </c>
      <c r="D47" s="32" t="s">
        <v>326</v>
      </c>
      <c r="E47" s="33" t="s">
        <v>326</v>
      </c>
      <c r="F47" s="34" t="s">
        <v>329</v>
      </c>
      <c r="G47" s="35" t="s">
        <v>330</v>
      </c>
      <c r="H47" s="36" t="s">
        <v>327</v>
      </c>
      <c r="I47" s="37"/>
      <c r="K47" s="26"/>
      <c r="M47" s="26"/>
      <c r="N47" s="26"/>
      <c r="P47" s="26"/>
    </row>
    <row r="48" spans="1:16" ht="27" x14ac:dyDescent="0.5">
      <c r="A48" s="31">
        <v>47</v>
      </c>
      <c r="B48" s="32" t="s">
        <v>331</v>
      </c>
      <c r="C48" s="32" t="s">
        <v>331</v>
      </c>
      <c r="D48" s="32" t="s">
        <v>331</v>
      </c>
      <c r="E48" s="33" t="s">
        <v>331</v>
      </c>
      <c r="F48" s="34" t="s">
        <v>333</v>
      </c>
      <c r="G48" s="35" t="s">
        <v>334</v>
      </c>
      <c r="H48" s="36" t="s">
        <v>332</v>
      </c>
      <c r="I48" s="37"/>
      <c r="K48" s="26"/>
      <c r="M48" s="26"/>
      <c r="N48" s="26"/>
      <c r="P48" s="26"/>
    </row>
    <row r="49" spans="1:16" ht="27" x14ac:dyDescent="0.5">
      <c r="A49" s="31">
        <v>48</v>
      </c>
      <c r="B49" s="32" t="s">
        <v>338</v>
      </c>
      <c r="C49" s="32" t="s">
        <v>339</v>
      </c>
      <c r="D49" s="32" t="s">
        <v>337</v>
      </c>
      <c r="E49" s="33" t="s">
        <v>335</v>
      </c>
      <c r="F49" s="34" t="s">
        <v>340</v>
      </c>
      <c r="G49" s="35" t="s">
        <v>341</v>
      </c>
      <c r="H49" s="36" t="s">
        <v>336</v>
      </c>
      <c r="I49" s="37"/>
      <c r="K49" s="26"/>
      <c r="M49" s="26"/>
      <c r="N49" s="26"/>
      <c r="P49" s="26"/>
    </row>
    <row r="50" spans="1:16" ht="27" x14ac:dyDescent="0.5">
      <c r="A50" s="31">
        <v>49</v>
      </c>
      <c r="B50" s="32" t="s">
        <v>342</v>
      </c>
      <c r="C50" s="32" t="s">
        <v>342</v>
      </c>
      <c r="D50" s="32" t="s">
        <v>342</v>
      </c>
      <c r="E50" s="33" t="s">
        <v>342</v>
      </c>
      <c r="F50" s="34" t="s">
        <v>344</v>
      </c>
      <c r="G50" s="35" t="s">
        <v>345</v>
      </c>
      <c r="H50" s="36" t="s">
        <v>343</v>
      </c>
      <c r="I50" s="37"/>
      <c r="K50" s="26"/>
      <c r="M50" s="26"/>
      <c r="N50" s="26"/>
      <c r="P50" s="26"/>
    </row>
    <row r="51" spans="1:16" ht="27" x14ac:dyDescent="0.5">
      <c r="A51" s="31">
        <v>50</v>
      </c>
      <c r="B51" s="32" t="s">
        <v>346</v>
      </c>
      <c r="C51" s="32" t="s">
        <v>346</v>
      </c>
      <c r="D51" s="32" t="s">
        <v>346</v>
      </c>
      <c r="E51" s="33" t="s">
        <v>346</v>
      </c>
      <c r="F51" s="34" t="s">
        <v>348</v>
      </c>
      <c r="G51" s="35" t="s">
        <v>349</v>
      </c>
      <c r="H51" s="36" t="s">
        <v>347</v>
      </c>
      <c r="I51" s="37"/>
      <c r="K51" s="26"/>
      <c r="M51" s="26"/>
      <c r="N51" s="26"/>
      <c r="P51" s="26"/>
    </row>
    <row r="52" spans="1:16" ht="27" x14ac:dyDescent="0.5">
      <c r="A52" s="31">
        <v>51</v>
      </c>
      <c r="B52" s="32" t="s">
        <v>350</v>
      </c>
      <c r="C52" s="32" t="s">
        <v>350</v>
      </c>
      <c r="D52" s="32" t="s">
        <v>350</v>
      </c>
      <c r="E52" s="33" t="s">
        <v>350</v>
      </c>
      <c r="F52" s="34" t="s">
        <v>351</v>
      </c>
      <c r="G52" s="35" t="s">
        <v>352</v>
      </c>
      <c r="H52" s="36" t="str">
        <f>_xlfn.CONCAT("ɪ", "u")</f>
        <v>ɪu</v>
      </c>
      <c r="I52" s="37"/>
      <c r="K52" s="26"/>
      <c r="M52" s="26"/>
      <c r="N52" s="26"/>
      <c r="P52" s="26"/>
    </row>
    <row r="53" spans="1:16" ht="27" x14ac:dyDescent="0.5">
      <c r="A53" s="31">
        <v>52</v>
      </c>
      <c r="B53" s="32" t="s">
        <v>355</v>
      </c>
      <c r="C53" s="32" t="s">
        <v>353</v>
      </c>
      <c r="D53" s="32" t="s">
        <v>354</v>
      </c>
      <c r="E53" s="33" t="s">
        <v>353</v>
      </c>
      <c r="F53" s="34" t="s">
        <v>356</v>
      </c>
      <c r="G53" s="35" t="s">
        <v>357</v>
      </c>
      <c r="H53" s="36" t="str">
        <f>_xlfn.CONCAT("ɪ", "u", _xlfn.UNICHAR(771), "")</f>
        <v>ɪũ</v>
      </c>
      <c r="I53" s="37"/>
      <c r="K53" s="26"/>
      <c r="M53" s="26"/>
      <c r="N53" s="26"/>
      <c r="P53" s="26"/>
    </row>
    <row r="54" spans="1:16" ht="30" x14ac:dyDescent="0.5">
      <c r="A54" s="31">
        <v>53</v>
      </c>
      <c r="B54" s="32" t="s">
        <v>361</v>
      </c>
      <c r="C54" s="32" t="s">
        <v>359</v>
      </c>
      <c r="D54" s="32" t="s">
        <v>360</v>
      </c>
      <c r="E54" s="33" t="s">
        <v>358</v>
      </c>
      <c r="F54" s="38" t="s">
        <v>362</v>
      </c>
      <c r="G54" s="39" t="s">
        <v>363</v>
      </c>
      <c r="H54" s="36" t="str">
        <f xml:space="preserve"> _xlfn.CONCAT(LEFT(H53,1), MID(H53,2,1), _xlfn.UNICHAR(771), "ʔ")</f>
        <v>ɪũʔ</v>
      </c>
      <c r="I54" s="37"/>
      <c r="K54" s="26"/>
      <c r="M54" s="26"/>
      <c r="N54" s="26"/>
      <c r="P54" s="26"/>
    </row>
    <row r="55" spans="1:16" ht="27" x14ac:dyDescent="0.5">
      <c r="A55" s="31">
        <v>54</v>
      </c>
      <c r="B55" s="32" t="s">
        <v>24</v>
      </c>
      <c r="C55" s="32" t="s">
        <v>24</v>
      </c>
      <c r="D55" s="32" t="s">
        <v>24</v>
      </c>
      <c r="E55" s="33" t="s">
        <v>24</v>
      </c>
      <c r="F55" s="38" t="s">
        <v>365</v>
      </c>
      <c r="G55" s="35" t="s">
        <v>366</v>
      </c>
      <c r="H55" s="36" t="s">
        <v>364</v>
      </c>
      <c r="I55" s="37"/>
      <c r="K55" s="26"/>
      <c r="M55" s="26"/>
      <c r="N55" s="26"/>
      <c r="P55" s="26"/>
    </row>
    <row r="56" spans="1:16" ht="27" x14ac:dyDescent="0.5">
      <c r="A56" s="31">
        <v>55</v>
      </c>
      <c r="B56" s="32" t="s">
        <v>369</v>
      </c>
      <c r="C56" s="32" t="s">
        <v>369</v>
      </c>
      <c r="D56" s="32" t="s">
        <v>369</v>
      </c>
      <c r="E56" s="33" t="s">
        <v>367</v>
      </c>
      <c r="F56" s="38" t="s">
        <v>370</v>
      </c>
      <c r="G56" s="43" t="s">
        <v>371</v>
      </c>
      <c r="H56" s="36" t="s">
        <v>368</v>
      </c>
      <c r="I56" s="37"/>
      <c r="K56" s="26"/>
      <c r="M56" s="26"/>
      <c r="N56" s="26"/>
      <c r="P56" s="26"/>
    </row>
    <row r="57" spans="1:16" ht="27" x14ac:dyDescent="0.5">
      <c r="A57" s="31">
        <v>56</v>
      </c>
      <c r="B57" s="32" t="s">
        <v>60</v>
      </c>
      <c r="C57" s="32" t="s">
        <v>60</v>
      </c>
      <c r="D57" s="32" t="s">
        <v>60</v>
      </c>
      <c r="E57" s="33" t="s">
        <v>60</v>
      </c>
      <c r="F57" s="38" t="s">
        <v>373</v>
      </c>
      <c r="G57" s="35" t="s">
        <v>374</v>
      </c>
      <c r="H57" s="36" t="s">
        <v>372</v>
      </c>
      <c r="I57" s="37"/>
      <c r="K57" s="26"/>
      <c r="M57" s="26"/>
      <c r="N57" s="26"/>
      <c r="P57" s="26"/>
    </row>
    <row r="58" spans="1:16" ht="27" x14ac:dyDescent="0.5">
      <c r="A58" s="31">
        <v>57</v>
      </c>
      <c r="B58" s="32" t="s">
        <v>377</v>
      </c>
      <c r="C58" s="32" t="s">
        <v>377</v>
      </c>
      <c r="D58" s="32" t="s">
        <v>377</v>
      </c>
      <c r="E58" s="33" t="s">
        <v>375</v>
      </c>
      <c r="F58" s="38" t="s">
        <v>378</v>
      </c>
      <c r="G58" s="43" t="s">
        <v>379</v>
      </c>
      <c r="H58" s="36" t="s">
        <v>376</v>
      </c>
      <c r="I58" s="37"/>
      <c r="K58" s="26"/>
      <c r="M58" s="26"/>
      <c r="N58" s="26"/>
      <c r="P58" s="26"/>
    </row>
    <row r="59" spans="1:16" ht="27" x14ac:dyDescent="0.5">
      <c r="A59" s="31">
        <v>58</v>
      </c>
      <c r="B59" s="32" t="s">
        <v>380</v>
      </c>
      <c r="C59" s="32" t="s">
        <v>382</v>
      </c>
      <c r="D59" s="32" t="s">
        <v>380</v>
      </c>
      <c r="E59" s="33" t="s">
        <v>380</v>
      </c>
      <c r="F59" s="38" t="s">
        <v>383</v>
      </c>
      <c r="G59" s="35" t="s">
        <v>384</v>
      </c>
      <c r="H59" s="36" t="s">
        <v>381</v>
      </c>
      <c r="I59" s="37"/>
      <c r="K59" s="26"/>
      <c r="M59" s="26"/>
      <c r="N59" s="26"/>
      <c r="P59" s="26"/>
    </row>
    <row r="60" spans="1:16" ht="27" x14ac:dyDescent="0.5">
      <c r="A60" s="31">
        <v>59</v>
      </c>
      <c r="B60" s="32" t="s">
        <v>385</v>
      </c>
      <c r="C60" s="32" t="s">
        <v>387</v>
      </c>
      <c r="D60" s="32" t="s">
        <v>385</v>
      </c>
      <c r="E60" s="33" t="s">
        <v>385</v>
      </c>
      <c r="F60" s="38" t="s">
        <v>388</v>
      </c>
      <c r="G60" s="35" t="s">
        <v>389</v>
      </c>
      <c r="H60" s="36" t="s">
        <v>386</v>
      </c>
      <c r="I60" s="37"/>
      <c r="K60" s="26"/>
      <c r="M60" s="26"/>
      <c r="N60" s="26"/>
      <c r="P60" s="26"/>
    </row>
    <row r="61" spans="1:16" ht="27" x14ac:dyDescent="0.5">
      <c r="A61" s="31">
        <v>60</v>
      </c>
      <c r="B61" s="32" t="s">
        <v>392</v>
      </c>
      <c r="C61" s="32" t="s">
        <v>393</v>
      </c>
      <c r="D61" s="32" t="s">
        <v>390</v>
      </c>
      <c r="E61" s="33" t="s">
        <v>390</v>
      </c>
      <c r="F61" s="38" t="s">
        <v>394</v>
      </c>
      <c r="G61" s="35" t="s">
        <v>395</v>
      </c>
      <c r="H61" s="36" t="s">
        <v>391</v>
      </c>
      <c r="I61" s="37"/>
      <c r="K61" s="26"/>
      <c r="M61" s="26"/>
      <c r="N61" s="26"/>
      <c r="P61" s="26"/>
    </row>
    <row r="62" spans="1:16" ht="27" x14ac:dyDescent="0.5">
      <c r="A62" s="31">
        <v>61</v>
      </c>
      <c r="B62" s="32" t="s">
        <v>396</v>
      </c>
      <c r="C62" s="32" t="s">
        <v>398</v>
      </c>
      <c r="D62" s="32" t="s">
        <v>396</v>
      </c>
      <c r="E62" s="33" t="s">
        <v>396</v>
      </c>
      <c r="F62" s="38" t="s">
        <v>399</v>
      </c>
      <c r="G62" s="35" t="s">
        <v>400</v>
      </c>
      <c r="H62" s="36" t="s">
        <v>397</v>
      </c>
      <c r="I62" s="37"/>
      <c r="K62" s="26"/>
      <c r="M62" s="26"/>
      <c r="N62" s="26"/>
      <c r="P62" s="26"/>
    </row>
    <row r="63" spans="1:16" ht="27" x14ac:dyDescent="0.5">
      <c r="A63" s="31">
        <v>62</v>
      </c>
      <c r="B63" s="32" t="s">
        <v>401</v>
      </c>
      <c r="C63" s="32" t="s">
        <v>401</v>
      </c>
      <c r="D63" s="32" t="s">
        <v>401</v>
      </c>
      <c r="E63" s="33" t="s">
        <v>401</v>
      </c>
      <c r="F63" s="38" t="s">
        <v>403</v>
      </c>
      <c r="G63" s="35" t="s">
        <v>404</v>
      </c>
      <c r="H63" s="36" t="s">
        <v>402</v>
      </c>
      <c r="I63" s="37"/>
      <c r="K63" s="26"/>
      <c r="M63" s="26"/>
      <c r="N63" s="26"/>
      <c r="P63" s="26"/>
    </row>
    <row r="64" spans="1:16" ht="30" x14ac:dyDescent="0.5">
      <c r="A64" s="31">
        <v>63</v>
      </c>
      <c r="B64" s="32" t="s">
        <v>408</v>
      </c>
      <c r="C64" s="32" t="s">
        <v>409</v>
      </c>
      <c r="D64" s="32" t="s">
        <v>407</v>
      </c>
      <c r="E64" s="33" t="s">
        <v>405</v>
      </c>
      <c r="F64" s="38" t="s">
        <v>410</v>
      </c>
      <c r="G64" s="44" t="s">
        <v>411</v>
      </c>
      <c r="H64" s="36" t="s">
        <v>406</v>
      </c>
      <c r="I64" s="45" t="s">
        <v>412</v>
      </c>
      <c r="K64" s="26"/>
      <c r="M64" s="26"/>
      <c r="N64" s="26"/>
      <c r="P64" s="26"/>
    </row>
    <row r="65" spans="1:16" ht="30" x14ac:dyDescent="0.5">
      <c r="A65" s="31">
        <v>64</v>
      </c>
      <c r="B65" s="32" t="s">
        <v>361</v>
      </c>
      <c r="C65" s="32" t="s">
        <v>416</v>
      </c>
      <c r="D65" s="32" t="s">
        <v>415</v>
      </c>
      <c r="E65" s="33" t="s">
        <v>413</v>
      </c>
      <c r="F65" s="38" t="s">
        <v>417</v>
      </c>
      <c r="G65" s="44" t="s">
        <v>418</v>
      </c>
      <c r="H65" s="36" t="s">
        <v>414</v>
      </c>
      <c r="I65" s="45" t="s">
        <v>412</v>
      </c>
      <c r="K65" s="26"/>
      <c r="M65" s="26"/>
      <c r="N65" s="26"/>
      <c r="P65" s="26"/>
    </row>
    <row r="66" spans="1:16" ht="27" x14ac:dyDescent="0.5">
      <c r="A66" s="31">
        <v>65</v>
      </c>
      <c r="B66" s="32" t="s">
        <v>419</v>
      </c>
      <c r="C66" s="32" t="s">
        <v>419</v>
      </c>
      <c r="D66" s="32" t="s">
        <v>421</v>
      </c>
      <c r="E66" s="33" t="s">
        <v>419</v>
      </c>
      <c r="F66" s="38" t="s">
        <v>422</v>
      </c>
      <c r="G66" s="35" t="s">
        <v>423</v>
      </c>
      <c r="H66" s="36" t="s">
        <v>420</v>
      </c>
      <c r="I66" s="37"/>
      <c r="K66" s="26"/>
      <c r="M66" s="26"/>
      <c r="N66" s="26"/>
      <c r="P66" s="26"/>
    </row>
    <row r="67" spans="1:16" ht="30" x14ac:dyDescent="0.5">
      <c r="A67" s="31">
        <v>66</v>
      </c>
      <c r="B67" s="32" t="s">
        <v>427</v>
      </c>
      <c r="C67" s="32" t="s">
        <v>427</v>
      </c>
      <c r="D67" s="32" t="s">
        <v>426</v>
      </c>
      <c r="E67" s="33" t="s">
        <v>424</v>
      </c>
      <c r="F67" s="38" t="s">
        <v>428</v>
      </c>
      <c r="G67" s="39" t="s">
        <v>429</v>
      </c>
      <c r="H67" s="36" t="s">
        <v>425</v>
      </c>
      <c r="I67" s="37"/>
      <c r="K67" s="26"/>
      <c r="M67" s="26"/>
      <c r="N67" s="26"/>
      <c r="P67" s="26"/>
    </row>
    <row r="68" spans="1:16" ht="27" x14ac:dyDescent="0.5">
      <c r="A68" s="31">
        <v>67</v>
      </c>
      <c r="B68" s="32" t="s">
        <v>430</v>
      </c>
      <c r="C68" s="40" t="s">
        <v>432</v>
      </c>
      <c r="D68" s="32" t="s">
        <v>430</v>
      </c>
      <c r="E68" s="33" t="s">
        <v>430</v>
      </c>
      <c r="F68" s="34" t="s">
        <v>433</v>
      </c>
      <c r="G68" s="35" t="s">
        <v>434</v>
      </c>
      <c r="H68" s="36" t="s">
        <v>431</v>
      </c>
      <c r="I68" s="37"/>
      <c r="K68" s="26"/>
      <c r="M68" s="26"/>
      <c r="N68" s="26"/>
      <c r="P68" s="26"/>
    </row>
    <row r="69" spans="1:16" ht="27" x14ac:dyDescent="0.5">
      <c r="A69" s="31">
        <v>68</v>
      </c>
      <c r="B69" s="32" t="s">
        <v>435</v>
      </c>
      <c r="C69" s="32" t="s">
        <v>435</v>
      </c>
      <c r="D69" s="32" t="s">
        <v>435</v>
      </c>
      <c r="E69" s="33" t="s">
        <v>435</v>
      </c>
      <c r="F69" s="34" t="s">
        <v>437</v>
      </c>
      <c r="G69" s="35" t="s">
        <v>438</v>
      </c>
      <c r="H69" s="36" t="s">
        <v>436</v>
      </c>
      <c r="I69" s="37"/>
      <c r="K69" s="26"/>
      <c r="M69" s="26"/>
      <c r="N69" s="26"/>
      <c r="P69" s="26"/>
    </row>
    <row r="70" spans="1:16" ht="27" x14ac:dyDescent="0.5">
      <c r="A70" s="31">
        <v>69</v>
      </c>
      <c r="B70" s="32" t="s">
        <v>439</v>
      </c>
      <c r="C70" s="32" t="s">
        <v>439</v>
      </c>
      <c r="D70" s="32" t="s">
        <v>441</v>
      </c>
      <c r="E70" s="33" t="s">
        <v>439</v>
      </c>
      <c r="F70" s="34" t="s">
        <v>442</v>
      </c>
      <c r="G70" s="35" t="s">
        <v>443</v>
      </c>
      <c r="H70" s="36" t="s">
        <v>440</v>
      </c>
      <c r="I70" s="37"/>
      <c r="K70" s="26"/>
      <c r="M70" s="26"/>
      <c r="N70" s="26"/>
      <c r="P70" s="26"/>
    </row>
    <row r="71" spans="1:16" ht="27" x14ac:dyDescent="0.5">
      <c r="A71" s="31">
        <v>70</v>
      </c>
      <c r="B71" s="32" t="s">
        <v>444</v>
      </c>
      <c r="C71" s="32" t="s">
        <v>444</v>
      </c>
      <c r="D71" s="32" t="s">
        <v>446</v>
      </c>
      <c r="E71" s="33" t="s">
        <v>444</v>
      </c>
      <c r="F71" s="34" t="s">
        <v>447</v>
      </c>
      <c r="G71" s="35" t="s">
        <v>448</v>
      </c>
      <c r="H71" s="36" t="s">
        <v>445</v>
      </c>
      <c r="I71" s="37"/>
      <c r="K71" s="26"/>
      <c r="M71" s="26"/>
      <c r="N71" s="26"/>
      <c r="P71" s="26"/>
    </row>
    <row r="72" spans="1:16" ht="27" x14ac:dyDescent="0.5">
      <c r="A72" s="31">
        <v>71</v>
      </c>
      <c r="B72" s="32" t="s">
        <v>449</v>
      </c>
      <c r="C72" s="32" t="s">
        <v>449</v>
      </c>
      <c r="D72" s="32" t="s">
        <v>451</v>
      </c>
      <c r="E72" s="33" t="s">
        <v>449</v>
      </c>
      <c r="F72" s="34" t="s">
        <v>452</v>
      </c>
      <c r="G72" s="35" t="s">
        <v>453</v>
      </c>
      <c r="H72" s="36" t="s">
        <v>450</v>
      </c>
      <c r="I72" s="37"/>
      <c r="K72" s="26"/>
      <c r="M72" s="26"/>
      <c r="N72" s="26"/>
      <c r="P72" s="26"/>
    </row>
    <row r="73" spans="1:16" ht="27" x14ac:dyDescent="0.5">
      <c r="A73" s="31">
        <v>72</v>
      </c>
      <c r="B73" s="32" t="s">
        <v>456</v>
      </c>
      <c r="C73" s="41" t="s">
        <v>456</v>
      </c>
      <c r="D73" s="32" t="s">
        <v>457</v>
      </c>
      <c r="E73" s="33" t="s">
        <v>454</v>
      </c>
      <c r="F73" s="34" t="s">
        <v>458</v>
      </c>
      <c r="G73" s="35" t="s">
        <v>459</v>
      </c>
      <c r="H73" s="36" t="s">
        <v>455</v>
      </c>
      <c r="I73" s="37"/>
      <c r="K73" s="26"/>
      <c r="M73" s="26"/>
      <c r="N73" s="26"/>
      <c r="P73" s="26"/>
    </row>
    <row r="74" spans="1:16" ht="27" x14ac:dyDescent="0.5">
      <c r="A74" s="31">
        <v>73</v>
      </c>
      <c r="B74" s="32" t="s">
        <v>463</v>
      </c>
      <c r="C74" s="32" t="s">
        <v>460</v>
      </c>
      <c r="D74" s="32" t="s">
        <v>462</v>
      </c>
      <c r="E74" s="33" t="s">
        <v>460</v>
      </c>
      <c r="F74" s="34" t="s">
        <v>464</v>
      </c>
      <c r="G74" s="35" t="s">
        <v>465</v>
      </c>
      <c r="H74" s="36" t="s">
        <v>461</v>
      </c>
      <c r="I74" s="37"/>
      <c r="K74" s="26"/>
      <c r="M74" s="26"/>
      <c r="N74" s="26"/>
      <c r="P74" s="26"/>
    </row>
    <row r="75" spans="1:16" ht="27" x14ac:dyDescent="0.5">
      <c r="A75" s="31">
        <v>74</v>
      </c>
      <c r="B75" s="32" t="s">
        <v>468</v>
      </c>
      <c r="C75" s="32" t="s">
        <v>468</v>
      </c>
      <c r="D75" s="32" t="s">
        <v>469</v>
      </c>
      <c r="E75" s="33" t="s">
        <v>466</v>
      </c>
      <c r="F75" s="34" t="s">
        <v>470</v>
      </c>
      <c r="G75" s="35" t="s">
        <v>471</v>
      </c>
      <c r="H75" s="36" t="s">
        <v>467</v>
      </c>
      <c r="I75" s="37"/>
      <c r="K75" s="26"/>
      <c r="M75" s="26"/>
      <c r="N75" s="26"/>
      <c r="P75" s="26"/>
    </row>
    <row r="76" spans="1:16" ht="27" x14ac:dyDescent="0.5">
      <c r="A76" s="31">
        <v>75</v>
      </c>
      <c r="B76" s="32" t="s">
        <v>472</v>
      </c>
      <c r="C76" s="32" t="s">
        <v>472</v>
      </c>
      <c r="D76" s="32" t="s">
        <v>474</v>
      </c>
      <c r="E76" s="33" t="s">
        <v>472</v>
      </c>
      <c r="F76" s="34" t="s">
        <v>475</v>
      </c>
      <c r="G76" s="35" t="s">
        <v>476</v>
      </c>
      <c r="H76" s="36" t="s">
        <v>473</v>
      </c>
      <c r="I76" s="37"/>
      <c r="K76" s="26"/>
      <c r="M76" s="26"/>
      <c r="N76" s="26"/>
      <c r="P76" s="26"/>
    </row>
    <row r="77" spans="1:16" ht="27" x14ac:dyDescent="0.5">
      <c r="A77" s="31">
        <v>76</v>
      </c>
      <c r="B77" s="32" t="s">
        <v>479</v>
      </c>
      <c r="C77" s="32" t="s">
        <v>479</v>
      </c>
      <c r="D77" s="32" t="s">
        <v>480</v>
      </c>
      <c r="E77" s="33" t="s">
        <v>477</v>
      </c>
      <c r="F77" s="34" t="s">
        <v>481</v>
      </c>
      <c r="G77" s="35" t="s">
        <v>482</v>
      </c>
      <c r="H77" s="36" t="s">
        <v>478</v>
      </c>
      <c r="I77" s="37"/>
      <c r="K77" s="26"/>
      <c r="M77" s="26"/>
      <c r="N77" s="26"/>
      <c r="P77" s="26"/>
    </row>
    <row r="78" spans="1:16" ht="27" x14ac:dyDescent="0.5">
      <c r="A78" s="31">
        <v>77</v>
      </c>
      <c r="B78" s="32" t="s">
        <v>486</v>
      </c>
      <c r="C78" s="32" t="s">
        <v>487</v>
      </c>
      <c r="D78" s="32" t="s">
        <v>485</v>
      </c>
      <c r="E78" s="33" t="s">
        <v>483</v>
      </c>
      <c r="F78" s="34" t="s">
        <v>488</v>
      </c>
      <c r="G78" s="35" t="s">
        <v>489</v>
      </c>
      <c r="H78" s="36" t="s">
        <v>484</v>
      </c>
      <c r="I78" s="37"/>
      <c r="K78" s="26"/>
      <c r="M78" s="26"/>
      <c r="N78" s="26"/>
      <c r="P78" s="26"/>
    </row>
    <row r="79" spans="1:16" ht="27" x14ac:dyDescent="0.5">
      <c r="A79" s="31">
        <v>78</v>
      </c>
      <c r="B79" s="32" t="s">
        <v>490</v>
      </c>
      <c r="C79" s="32" t="s">
        <v>490</v>
      </c>
      <c r="D79" s="32" t="s">
        <v>492</v>
      </c>
      <c r="E79" s="33" t="s">
        <v>490</v>
      </c>
      <c r="F79" s="34" t="s">
        <v>493</v>
      </c>
      <c r="G79" s="35" t="s">
        <v>494</v>
      </c>
      <c r="H79" s="36" t="s">
        <v>491</v>
      </c>
      <c r="I79" s="37"/>
      <c r="K79" s="26"/>
      <c r="M79" s="26"/>
      <c r="N79" s="26"/>
      <c r="P79" s="26"/>
    </row>
    <row r="80" spans="1:16" ht="27" x14ac:dyDescent="0.5">
      <c r="A80" s="31">
        <v>79</v>
      </c>
      <c r="B80" s="32" t="s">
        <v>495</v>
      </c>
      <c r="C80" s="32" t="s">
        <v>495</v>
      </c>
      <c r="D80" s="32" t="s">
        <v>497</v>
      </c>
      <c r="E80" s="33" t="s">
        <v>495</v>
      </c>
      <c r="F80" s="34" t="s">
        <v>498</v>
      </c>
      <c r="G80" s="35" t="s">
        <v>499</v>
      </c>
      <c r="H80" s="36" t="s">
        <v>496</v>
      </c>
      <c r="I80" s="37"/>
      <c r="K80" s="26"/>
      <c r="M80" s="26"/>
      <c r="N80" s="26"/>
      <c r="P80" s="26"/>
    </row>
    <row r="81" spans="1:16" ht="27" x14ac:dyDescent="0.5">
      <c r="A81" s="31">
        <v>80</v>
      </c>
      <c r="B81" s="32" t="s">
        <v>500</v>
      </c>
      <c r="C81" s="32" t="s">
        <v>500</v>
      </c>
      <c r="D81" s="32" t="s">
        <v>502</v>
      </c>
      <c r="E81" s="33" t="s">
        <v>500</v>
      </c>
      <c r="F81" s="34" t="s">
        <v>503</v>
      </c>
      <c r="G81" s="35" t="s">
        <v>504</v>
      </c>
      <c r="H81" s="36" t="s">
        <v>501</v>
      </c>
      <c r="I81" s="37"/>
      <c r="K81" s="26"/>
      <c r="M81" s="26"/>
      <c r="N81" s="26"/>
      <c r="P81" s="26"/>
    </row>
    <row r="82" spans="1:16" ht="27" x14ac:dyDescent="0.5">
      <c r="A82" s="31">
        <v>81</v>
      </c>
      <c r="B82" s="32" t="s">
        <v>505</v>
      </c>
      <c r="C82" s="32" t="s">
        <v>505</v>
      </c>
      <c r="D82" s="32" t="s">
        <v>505</v>
      </c>
      <c r="E82" s="33" t="s">
        <v>505</v>
      </c>
      <c r="F82" s="34" t="s">
        <v>507</v>
      </c>
      <c r="G82" s="35" t="s">
        <v>508</v>
      </c>
      <c r="H82" s="36" t="s">
        <v>506</v>
      </c>
      <c r="I82" s="37"/>
      <c r="K82" s="26"/>
      <c r="M82" s="26"/>
      <c r="N82" s="26"/>
      <c r="P82" s="26"/>
    </row>
    <row r="83" spans="1:16" ht="27" x14ac:dyDescent="0.5">
      <c r="A83" s="31">
        <v>82</v>
      </c>
      <c r="B83" s="32" t="s">
        <v>509</v>
      </c>
      <c r="C83" s="32" t="s">
        <v>510</v>
      </c>
      <c r="D83" s="32" t="s">
        <v>509</v>
      </c>
      <c r="E83" s="33" t="s">
        <v>509</v>
      </c>
      <c r="F83" s="34" t="s">
        <v>511</v>
      </c>
      <c r="G83" s="35" t="s">
        <v>512</v>
      </c>
      <c r="H83" s="36" t="s">
        <v>510</v>
      </c>
      <c r="I83" s="37"/>
      <c r="K83" s="26"/>
      <c r="M83" s="26"/>
      <c r="N83" s="26"/>
      <c r="P83" s="26"/>
    </row>
    <row r="84" spans="1:16" ht="27" x14ac:dyDescent="0.5">
      <c r="A84" s="31">
        <v>83</v>
      </c>
      <c r="B84" s="32" t="s">
        <v>515</v>
      </c>
      <c r="C84" s="32" t="s">
        <v>515</v>
      </c>
      <c r="D84" s="32" t="s">
        <v>515</v>
      </c>
      <c r="E84" s="33" t="s">
        <v>513</v>
      </c>
      <c r="F84" s="38" t="s">
        <v>516</v>
      </c>
      <c r="G84" s="43" t="s">
        <v>517</v>
      </c>
      <c r="H84" s="36" t="s">
        <v>514</v>
      </c>
      <c r="I84" s="37"/>
      <c r="K84" s="26"/>
      <c r="M84" s="26"/>
      <c r="N84" s="26"/>
      <c r="P84" s="26"/>
    </row>
    <row r="85" spans="1:16" ht="27" x14ac:dyDescent="0.5">
      <c r="A85" s="31">
        <v>84</v>
      </c>
      <c r="B85" s="32" t="s">
        <v>522</v>
      </c>
      <c r="C85" s="32" t="s">
        <v>520</v>
      </c>
      <c r="D85" s="32" t="s">
        <v>521</v>
      </c>
      <c r="E85" s="33" t="s">
        <v>518</v>
      </c>
      <c r="F85" s="34" t="s">
        <v>523</v>
      </c>
      <c r="G85" s="35" t="s">
        <v>524</v>
      </c>
      <c r="H85" s="36" t="s">
        <v>519</v>
      </c>
      <c r="I85" s="37"/>
      <c r="K85" s="26"/>
      <c r="M85" s="26"/>
      <c r="N85" s="26"/>
      <c r="P85" s="26"/>
    </row>
    <row r="86" spans="1:16" ht="27" x14ac:dyDescent="0.5">
      <c r="A86" s="31">
        <v>85</v>
      </c>
      <c r="B86" s="32" t="s">
        <v>525</v>
      </c>
      <c r="C86" s="32" t="s">
        <v>525</v>
      </c>
      <c r="D86" s="32" t="s">
        <v>525</v>
      </c>
      <c r="E86" s="33" t="s">
        <v>525</v>
      </c>
      <c r="F86" s="34" t="s">
        <v>527</v>
      </c>
      <c r="G86" s="35" t="s">
        <v>528</v>
      </c>
      <c r="H86" s="36" t="s">
        <v>526</v>
      </c>
      <c r="I86" s="37"/>
      <c r="K86" s="26"/>
      <c r="M86" s="26"/>
      <c r="N86" s="26"/>
      <c r="P86" s="26"/>
    </row>
    <row r="87" spans="1:16" ht="27" x14ac:dyDescent="0.5">
      <c r="A87" s="46">
        <v>86</v>
      </c>
      <c r="B87" s="47" t="s">
        <v>529</v>
      </c>
      <c r="C87" s="47" t="s">
        <v>529</v>
      </c>
      <c r="D87" s="47" t="s">
        <v>529</v>
      </c>
      <c r="E87" s="48" t="s">
        <v>529</v>
      </c>
      <c r="F87" s="49" t="s">
        <v>531</v>
      </c>
      <c r="G87" s="50" t="s">
        <v>532</v>
      </c>
      <c r="H87" s="51" t="s">
        <v>530</v>
      </c>
      <c r="I87" s="52"/>
      <c r="K87" s="26"/>
      <c r="M87" s="26"/>
      <c r="N87" s="26"/>
      <c r="P87" s="26"/>
    </row>
  </sheetData>
  <phoneticPr fontId="3" type="noConversion"/>
  <conditionalFormatting sqref="D16:D87 B16:C65 B5:D6 B10:D12 B68:C69 B82:C84 B86:C87 B2:D2">
    <cfRule type="expression" dxfId="0" priority="2">
      <formula>$D2&lt;&gt;$E2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D692-4C83-4E83-9FA1-A7D0B7BB3B75}">
  <dimension ref="A1:M23"/>
  <sheetViews>
    <sheetView tabSelected="1" workbookViewId="0">
      <selection activeCell="G15" sqref="G15"/>
    </sheetView>
  </sheetViews>
  <sheetFormatPr defaultRowHeight="25.5" x14ac:dyDescent="0.5"/>
  <cols>
    <col min="1" max="1" width="7.6640625" style="53" bestFit="1" customWidth="1"/>
    <col min="3" max="3" width="8.1640625" style="53" customWidth="1"/>
    <col min="5" max="5" width="9" style="53" customWidth="1"/>
    <col min="6" max="7" width="9.4140625" style="53" customWidth="1"/>
    <col min="8" max="8" width="9.4140625" customWidth="1"/>
    <col min="9" max="9" width="9.4140625" style="53" customWidth="1"/>
    <col min="12" max="13" width="8.6640625" style="53"/>
  </cols>
  <sheetData>
    <row r="1" spans="1:13" x14ac:dyDescent="0.5">
      <c r="A1" s="54" t="s">
        <v>115</v>
      </c>
      <c r="B1" s="55" t="s">
        <v>533</v>
      </c>
      <c r="C1" s="55" t="s">
        <v>534</v>
      </c>
      <c r="D1" s="55" t="s">
        <v>535</v>
      </c>
      <c r="E1" s="55" t="s">
        <v>538</v>
      </c>
      <c r="F1" s="56" t="s">
        <v>537</v>
      </c>
      <c r="G1" s="55" t="s">
        <v>118</v>
      </c>
      <c r="H1" s="55" t="s">
        <v>8</v>
      </c>
      <c r="I1" s="55" t="s">
        <v>536</v>
      </c>
      <c r="L1" s="26"/>
      <c r="M1" s="26"/>
    </row>
    <row r="2" spans="1:13" ht="34.5" x14ac:dyDescent="0.5">
      <c r="A2" s="57">
        <v>1</v>
      </c>
      <c r="B2" s="58" t="s">
        <v>553</v>
      </c>
      <c r="C2" s="58">
        <v>44</v>
      </c>
      <c r="D2" s="58" t="s">
        <v>554</v>
      </c>
      <c r="E2" s="62" t="s">
        <v>540</v>
      </c>
      <c r="F2" s="60">
        <v>1</v>
      </c>
      <c r="G2" s="61" t="s">
        <v>539</v>
      </c>
      <c r="H2" s="59" t="s">
        <v>122</v>
      </c>
      <c r="I2" s="5">
        <v>1</v>
      </c>
      <c r="L2" s="26"/>
      <c r="M2" s="26"/>
    </row>
    <row r="3" spans="1:13" ht="34.5" x14ac:dyDescent="0.5">
      <c r="A3" s="57">
        <v>2</v>
      </c>
      <c r="B3" s="58" t="s">
        <v>555</v>
      </c>
      <c r="C3" s="58">
        <v>33</v>
      </c>
      <c r="D3" s="58" t="s">
        <v>556</v>
      </c>
      <c r="E3" s="62" t="s">
        <v>542</v>
      </c>
      <c r="F3" s="60">
        <v>6</v>
      </c>
      <c r="G3" s="61" t="s">
        <v>541</v>
      </c>
      <c r="H3" s="59" t="s">
        <v>539</v>
      </c>
      <c r="I3" s="5">
        <v>7</v>
      </c>
      <c r="L3" s="26"/>
      <c r="M3" s="26"/>
    </row>
    <row r="4" spans="1:13" ht="34.5" x14ac:dyDescent="0.5">
      <c r="A4" s="57">
        <v>3</v>
      </c>
      <c r="B4" s="58" t="s">
        <v>557</v>
      </c>
      <c r="C4" s="58">
        <v>21</v>
      </c>
      <c r="D4" s="58" t="s">
        <v>558</v>
      </c>
      <c r="E4" s="63" t="s">
        <v>546</v>
      </c>
      <c r="F4" s="60">
        <v>5</v>
      </c>
      <c r="G4" s="61" t="s">
        <v>545</v>
      </c>
      <c r="H4" s="59" t="s">
        <v>545</v>
      </c>
      <c r="I4" s="5">
        <v>3</v>
      </c>
      <c r="L4" s="26"/>
      <c r="M4" s="26"/>
    </row>
    <row r="5" spans="1:13" ht="34.5" x14ac:dyDescent="0.5">
      <c r="A5" s="57">
        <v>4</v>
      </c>
      <c r="B5" s="58" t="s">
        <v>559</v>
      </c>
      <c r="C5" s="58">
        <v>53</v>
      </c>
      <c r="D5" s="58" t="s">
        <v>560</v>
      </c>
      <c r="E5" s="63" t="s">
        <v>543</v>
      </c>
      <c r="F5" s="60">
        <v>3</v>
      </c>
      <c r="G5" s="61" t="s">
        <v>547</v>
      </c>
      <c r="H5" s="59" t="s">
        <v>549</v>
      </c>
      <c r="I5" s="5">
        <v>2</v>
      </c>
      <c r="L5" s="26"/>
      <c r="M5" s="26"/>
    </row>
    <row r="6" spans="1:13" ht="34.5" x14ac:dyDescent="0.5">
      <c r="A6" s="57">
        <v>5</v>
      </c>
      <c r="B6" s="58" t="s">
        <v>561</v>
      </c>
      <c r="C6" s="58">
        <v>24</v>
      </c>
      <c r="D6" s="58" t="s">
        <v>562</v>
      </c>
      <c r="E6" s="63" t="s">
        <v>544</v>
      </c>
      <c r="F6" s="60">
        <v>2</v>
      </c>
      <c r="G6" s="61" t="s">
        <v>549</v>
      </c>
      <c r="H6" s="59" t="s">
        <v>547</v>
      </c>
      <c r="I6" s="5">
        <v>5</v>
      </c>
      <c r="L6" s="26"/>
      <c r="M6" s="26"/>
    </row>
    <row r="7" spans="1:13" ht="34.5" x14ac:dyDescent="0.5">
      <c r="A7" s="57">
        <v>6</v>
      </c>
      <c r="B7" s="58" t="s">
        <v>563</v>
      </c>
      <c r="C7" s="64" t="s">
        <v>564</v>
      </c>
      <c r="D7" s="58" t="s">
        <v>565</v>
      </c>
      <c r="E7" s="63" t="s">
        <v>548</v>
      </c>
      <c r="F7" s="60">
        <v>7</v>
      </c>
      <c r="G7" s="61" t="s">
        <v>550</v>
      </c>
      <c r="H7" s="59" t="s">
        <v>126</v>
      </c>
      <c r="I7" s="5">
        <v>4</v>
      </c>
      <c r="L7" s="26"/>
      <c r="M7" s="26"/>
    </row>
    <row r="8" spans="1:13" ht="34.5" x14ac:dyDescent="0.5">
      <c r="A8" s="57">
        <v>7</v>
      </c>
      <c r="B8" s="58" t="s">
        <v>566</v>
      </c>
      <c r="C8" s="64" t="s">
        <v>567</v>
      </c>
      <c r="D8" s="58" t="s">
        <v>568</v>
      </c>
      <c r="E8" s="63" t="s">
        <v>552</v>
      </c>
      <c r="F8" s="60">
        <v>8</v>
      </c>
      <c r="G8" s="61" t="s">
        <v>551</v>
      </c>
      <c r="H8" s="59" t="s">
        <v>569</v>
      </c>
      <c r="I8" s="5">
        <v>8</v>
      </c>
      <c r="L8" s="26"/>
      <c r="M8" s="26"/>
    </row>
    <row r="9" spans="1:13" x14ac:dyDescent="0.5">
      <c r="L9" s="26"/>
      <c r="M9" s="26"/>
    </row>
    <row r="10" spans="1:13" x14ac:dyDescent="0.5">
      <c r="L10" s="26"/>
      <c r="M10" s="26"/>
    </row>
    <row r="11" spans="1:13" x14ac:dyDescent="0.5">
      <c r="L11" s="26"/>
      <c r="M11" s="26"/>
    </row>
    <row r="12" spans="1:13" x14ac:dyDescent="0.5">
      <c r="L12" s="26"/>
      <c r="M12" s="26"/>
    </row>
    <row r="13" spans="1:13" x14ac:dyDescent="0.5">
      <c r="C13"/>
      <c r="E13"/>
      <c r="F13"/>
      <c r="G13"/>
      <c r="L13" s="26"/>
      <c r="M13" s="26"/>
    </row>
    <row r="21" spans="1:9" x14ac:dyDescent="0.5">
      <c r="A21"/>
    </row>
    <row r="22" spans="1:9" x14ac:dyDescent="0.5">
      <c r="A22"/>
      <c r="C22"/>
      <c r="E22"/>
      <c r="F22"/>
      <c r="G22"/>
      <c r="I22" t="str">
        <f xml:space="preserve"> IFERROR( _xlfn.CONCAT("l", "u", _xlfn.UNICHAR(HEX2DEC(RIGHT(#REF!,4))), "n"), "")</f>
        <v/>
      </c>
    </row>
    <row r="23" spans="1:9" x14ac:dyDescent="0.5">
      <c r="A23"/>
      <c r="C23"/>
      <c r="E23"/>
      <c r="F23"/>
      <c r="G23"/>
      <c r="I23" t="str">
        <f xml:space="preserve"> IFERROR( _xlfn.CONCAT("l", "u", _xlfn.UNICHAR(HEX2DEC(RIGHT(#REF!,4))), "n"), "")</f>
        <v/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EF27A-58FF-49CD-A49A-D8A65256E62D}">
  <dimension ref="B2:I18"/>
  <sheetViews>
    <sheetView showGridLines="0" zoomScaleNormal="100" workbookViewId="0">
      <selection activeCell="O8" sqref="O8"/>
    </sheetView>
  </sheetViews>
  <sheetFormatPr defaultRowHeight="16.5" x14ac:dyDescent="0.5"/>
  <cols>
    <col min="1" max="1" width="8.6640625" style="26"/>
    <col min="2" max="2" width="17.1640625" style="26" customWidth="1"/>
    <col min="3" max="9" width="11.9140625" style="26" customWidth="1"/>
    <col min="10" max="16384" width="8.6640625" style="26"/>
  </cols>
  <sheetData>
    <row r="2" spans="2:9" ht="57.75" x14ac:dyDescent="0.5">
      <c r="B2" s="65" t="s">
        <v>570</v>
      </c>
      <c r="C2" s="66" t="s">
        <v>571</v>
      </c>
      <c r="D2" s="66" t="s">
        <v>572</v>
      </c>
      <c r="E2" s="66" t="s">
        <v>573</v>
      </c>
      <c r="F2" s="66" t="s">
        <v>574</v>
      </c>
      <c r="G2" s="66" t="s">
        <v>575</v>
      </c>
      <c r="H2" s="66" t="s">
        <v>576</v>
      </c>
      <c r="I2" s="66" t="s">
        <v>577</v>
      </c>
    </row>
    <row r="3" spans="2:9" ht="57.75" x14ac:dyDescent="0.5">
      <c r="B3" s="65" t="s">
        <v>578</v>
      </c>
      <c r="C3" s="67" t="s">
        <v>554</v>
      </c>
      <c r="D3" s="67" t="s">
        <v>562</v>
      </c>
      <c r="E3" s="67" t="s">
        <v>579</v>
      </c>
      <c r="F3" s="67" t="s">
        <v>558</v>
      </c>
      <c r="G3" s="67" t="s">
        <v>556</v>
      </c>
      <c r="H3" s="67" t="s">
        <v>565</v>
      </c>
      <c r="I3" s="67" t="s">
        <v>568</v>
      </c>
    </row>
    <row r="4" spans="2:9" ht="57.75" x14ac:dyDescent="0.5">
      <c r="B4" s="65" t="s">
        <v>580</v>
      </c>
      <c r="C4" s="68">
        <v>1</v>
      </c>
      <c r="D4" s="68">
        <v>2</v>
      </c>
      <c r="E4" s="68">
        <v>3</v>
      </c>
      <c r="F4" s="68">
        <v>5</v>
      </c>
      <c r="G4" s="68">
        <v>6</v>
      </c>
      <c r="H4" s="68">
        <v>7</v>
      </c>
      <c r="I4" s="68">
        <v>8</v>
      </c>
    </row>
    <row r="5" spans="2:9" ht="66" x14ac:dyDescent="0.5">
      <c r="B5" s="65" t="s">
        <v>581</v>
      </c>
      <c r="C5" s="69">
        <v>44</v>
      </c>
      <c r="D5" s="69">
        <v>24</v>
      </c>
      <c r="E5" s="69">
        <v>53</v>
      </c>
      <c r="F5" s="69">
        <v>21</v>
      </c>
      <c r="G5" s="69">
        <v>33</v>
      </c>
      <c r="H5" s="69" t="s">
        <v>582</v>
      </c>
      <c r="I5" s="69" t="s">
        <v>583</v>
      </c>
    </row>
    <row r="6" spans="2:9" ht="57.75" x14ac:dyDescent="0.5">
      <c r="B6" s="65" t="s">
        <v>584</v>
      </c>
      <c r="C6" s="70" t="s">
        <v>585</v>
      </c>
      <c r="D6" s="70" t="s">
        <v>586</v>
      </c>
      <c r="E6" s="70" t="s">
        <v>587</v>
      </c>
      <c r="F6" s="70" t="s">
        <v>588</v>
      </c>
      <c r="G6" s="70" t="s">
        <v>589</v>
      </c>
      <c r="H6" s="70" t="s">
        <v>590</v>
      </c>
      <c r="I6" s="70" t="s">
        <v>591</v>
      </c>
    </row>
    <row r="7" spans="2:9" ht="66" x14ac:dyDescent="0.5">
      <c r="B7" s="71" t="s">
        <v>592</v>
      </c>
      <c r="C7" s="69" t="s">
        <v>593</v>
      </c>
      <c r="D7" s="69" t="s">
        <v>594</v>
      </c>
      <c r="E7" s="69" t="s">
        <v>595</v>
      </c>
      <c r="F7" s="69" t="s">
        <v>596</v>
      </c>
      <c r="G7" s="69" t="s">
        <v>597</v>
      </c>
      <c r="H7" s="69" t="s">
        <v>598</v>
      </c>
      <c r="I7" s="69" t="s">
        <v>599</v>
      </c>
    </row>
    <row r="8" spans="2:9" ht="57.75" x14ac:dyDescent="0.5">
      <c r="B8" s="71" t="s">
        <v>600</v>
      </c>
      <c r="C8" s="77" t="s">
        <v>627</v>
      </c>
      <c r="D8" s="72" t="s">
        <v>601</v>
      </c>
      <c r="E8" s="72" t="s">
        <v>602</v>
      </c>
      <c r="F8" s="72" t="s">
        <v>603</v>
      </c>
      <c r="G8" s="72" t="s">
        <v>604</v>
      </c>
      <c r="H8" s="72" t="s">
        <v>605</v>
      </c>
      <c r="I8" s="72" t="s">
        <v>606</v>
      </c>
    </row>
    <row r="9" spans="2:9" ht="57.75" x14ac:dyDescent="0.5">
      <c r="B9" s="71" t="s">
        <v>607</v>
      </c>
      <c r="C9" s="72" t="s">
        <v>608</v>
      </c>
      <c r="D9" s="72" t="s">
        <v>609</v>
      </c>
      <c r="E9" s="72" t="s">
        <v>610</v>
      </c>
      <c r="F9" s="72" t="s">
        <v>611</v>
      </c>
      <c r="G9" s="72" t="s">
        <v>612</v>
      </c>
      <c r="H9" s="72" t="s">
        <v>613</v>
      </c>
      <c r="I9" s="72" t="s">
        <v>614</v>
      </c>
    </row>
    <row r="12" spans="2:9" ht="32.25" customHeight="1" x14ac:dyDescent="0.5">
      <c r="B12" s="73"/>
      <c r="C12" s="73"/>
      <c r="D12" s="73"/>
      <c r="E12" s="73"/>
      <c r="F12" s="73"/>
      <c r="G12" s="73"/>
      <c r="H12" s="73"/>
      <c r="I12" s="73"/>
    </row>
    <row r="13" spans="2:9" ht="32.25" customHeight="1" x14ac:dyDescent="0.5">
      <c r="B13" s="73"/>
      <c r="C13" s="73"/>
      <c r="D13" s="73"/>
      <c r="E13" s="73"/>
      <c r="F13" s="73"/>
      <c r="G13" s="73"/>
      <c r="H13" s="73"/>
      <c r="I13" s="73"/>
    </row>
    <row r="14" spans="2:9" ht="32.25" customHeight="1" x14ac:dyDescent="0.5">
      <c r="B14" s="73"/>
      <c r="C14" s="73"/>
      <c r="D14" s="73"/>
      <c r="E14" s="73"/>
      <c r="F14" s="73"/>
      <c r="G14" s="73"/>
      <c r="H14" s="73"/>
      <c r="I14" s="73"/>
    </row>
    <row r="15" spans="2:9" ht="32.25" customHeight="1" x14ac:dyDescent="0.5">
      <c r="B15" s="73"/>
      <c r="C15" s="73"/>
      <c r="D15" s="73"/>
      <c r="E15" s="73"/>
      <c r="F15" s="73"/>
      <c r="G15" s="73"/>
      <c r="H15" s="73"/>
      <c r="I15" s="73"/>
    </row>
    <row r="16" spans="2:9" s="74" customFormat="1" ht="51.75" customHeight="1" x14ac:dyDescent="0.5">
      <c r="C16" s="75" t="s">
        <v>615</v>
      </c>
      <c r="D16" s="75" t="s">
        <v>616</v>
      </c>
      <c r="E16" s="75" t="s">
        <v>617</v>
      </c>
      <c r="F16" s="75" t="s">
        <v>618</v>
      </c>
      <c r="G16" s="75" t="s">
        <v>619</v>
      </c>
      <c r="H16" s="75" t="s">
        <v>620</v>
      </c>
      <c r="I16" s="75" t="s">
        <v>621</v>
      </c>
    </row>
    <row r="17" spans="3:9" s="74" customFormat="1" ht="51.75" customHeight="1" x14ac:dyDescent="0.5">
      <c r="C17" s="76" t="s">
        <v>124</v>
      </c>
      <c r="D17" s="76" t="s">
        <v>622</v>
      </c>
      <c r="E17" s="76" t="s">
        <v>623</v>
      </c>
      <c r="F17" s="76" t="s">
        <v>624</v>
      </c>
      <c r="G17" s="76" t="s">
        <v>625</v>
      </c>
      <c r="H17" s="76" t="s">
        <v>129</v>
      </c>
      <c r="I17" s="76" t="s">
        <v>626</v>
      </c>
    </row>
    <row r="18" spans="3:9" ht="40.5" customHeight="1" x14ac:dyDescent="0.5"/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B9FC6-71D2-435F-B1D7-5524027631BB}">
  <dimension ref="B2:I14"/>
  <sheetViews>
    <sheetView showGridLines="0" topLeftCell="A3" zoomScale="70" zoomScaleNormal="70" workbookViewId="0">
      <selection activeCell="B2" sqref="B2:I13"/>
    </sheetView>
  </sheetViews>
  <sheetFormatPr defaultRowHeight="16.5" x14ac:dyDescent="0.5"/>
  <cols>
    <col min="1" max="1" width="8.6640625" style="26"/>
    <col min="2" max="2" width="17.1640625" style="26" customWidth="1"/>
    <col min="3" max="9" width="11.9140625" style="26" customWidth="1"/>
    <col min="10" max="16384" width="8.6640625" style="26"/>
  </cols>
  <sheetData>
    <row r="2" spans="2:9" ht="57.75" x14ac:dyDescent="0.5">
      <c r="B2" s="65" t="s">
        <v>580</v>
      </c>
      <c r="C2" s="66">
        <v>1</v>
      </c>
      <c r="D2" s="66">
        <v>6</v>
      </c>
      <c r="E2" s="66">
        <v>5</v>
      </c>
      <c r="F2" s="66">
        <v>3</v>
      </c>
      <c r="G2" s="66">
        <v>2</v>
      </c>
      <c r="H2" s="66">
        <v>7</v>
      </c>
      <c r="I2" s="66">
        <v>8</v>
      </c>
    </row>
    <row r="3" spans="2:9" ht="57.75" x14ac:dyDescent="0.5">
      <c r="B3" s="65" t="s">
        <v>578</v>
      </c>
      <c r="C3" s="67" t="s">
        <v>554</v>
      </c>
      <c r="D3" s="67" t="s">
        <v>556</v>
      </c>
      <c r="E3" s="67" t="s">
        <v>558</v>
      </c>
      <c r="F3" s="67" t="s">
        <v>579</v>
      </c>
      <c r="G3" s="67" t="s">
        <v>562</v>
      </c>
      <c r="H3" s="67" t="s">
        <v>565</v>
      </c>
      <c r="I3" s="67" t="s">
        <v>568</v>
      </c>
    </row>
    <row r="4" spans="2:9" ht="57.75" x14ac:dyDescent="0.5">
      <c r="B4" s="65" t="s">
        <v>584</v>
      </c>
      <c r="C4" s="70" t="s">
        <v>585</v>
      </c>
      <c r="D4" s="70" t="s">
        <v>589</v>
      </c>
      <c r="E4" s="70" t="s">
        <v>588</v>
      </c>
      <c r="F4" s="70" t="s">
        <v>587</v>
      </c>
      <c r="G4" s="70" t="s">
        <v>586</v>
      </c>
      <c r="H4" s="70" t="s">
        <v>590</v>
      </c>
      <c r="I4" s="70" t="s">
        <v>591</v>
      </c>
    </row>
    <row r="5" spans="2:9" ht="66" x14ac:dyDescent="0.5">
      <c r="B5" s="65" t="s">
        <v>581</v>
      </c>
      <c r="C5" s="69">
        <v>44</v>
      </c>
      <c r="D5" s="69">
        <v>33</v>
      </c>
      <c r="E5" s="69">
        <v>21</v>
      </c>
      <c r="F5" s="69">
        <v>53</v>
      </c>
      <c r="G5" s="69">
        <v>24</v>
      </c>
      <c r="H5" s="69" t="s">
        <v>564</v>
      </c>
      <c r="I5" s="69" t="s">
        <v>567</v>
      </c>
    </row>
    <row r="6" spans="2:9" ht="57.75" x14ac:dyDescent="0.5">
      <c r="B6" s="65" t="s">
        <v>570</v>
      </c>
      <c r="C6" s="67" t="s">
        <v>571</v>
      </c>
      <c r="D6" s="67" t="s">
        <v>575</v>
      </c>
      <c r="E6" s="67" t="s">
        <v>574</v>
      </c>
      <c r="F6" s="67" t="s">
        <v>573</v>
      </c>
      <c r="G6" s="67" t="s">
        <v>572</v>
      </c>
      <c r="H6" s="67" t="s">
        <v>576</v>
      </c>
      <c r="I6" s="67" t="s">
        <v>577</v>
      </c>
    </row>
    <row r="8" spans="2:9" ht="32.25" customHeight="1" x14ac:dyDescent="0.5">
      <c r="B8" s="73"/>
      <c r="C8" s="73"/>
      <c r="D8" s="73"/>
      <c r="E8" s="73"/>
      <c r="F8" s="73"/>
      <c r="G8" s="73"/>
      <c r="H8" s="73"/>
      <c r="I8" s="73"/>
    </row>
    <row r="9" spans="2:9" ht="32.25" customHeight="1" x14ac:dyDescent="0.5">
      <c r="B9" s="73"/>
      <c r="C9" s="73"/>
      <c r="D9" s="73"/>
      <c r="E9" s="73"/>
      <c r="F9" s="73"/>
      <c r="G9" s="73"/>
      <c r="H9" s="73"/>
      <c r="I9" s="73"/>
    </row>
    <row r="10" spans="2:9" ht="32.25" customHeight="1" x14ac:dyDescent="0.5">
      <c r="B10" s="73"/>
      <c r="C10" s="73"/>
      <c r="D10" s="73"/>
      <c r="E10" s="73"/>
      <c r="F10" s="73"/>
      <c r="G10" s="73"/>
      <c r="H10" s="73"/>
      <c r="I10" s="73"/>
    </row>
    <row r="11" spans="2:9" ht="32.25" customHeight="1" x14ac:dyDescent="0.5">
      <c r="B11" s="73"/>
      <c r="C11" s="73"/>
      <c r="D11" s="73"/>
      <c r="E11" s="73"/>
      <c r="F11" s="73"/>
      <c r="G11" s="73"/>
      <c r="H11" s="73"/>
      <c r="I11" s="73"/>
    </row>
    <row r="12" spans="2:9" s="74" customFormat="1" ht="51.75" customHeight="1" x14ac:dyDescent="0.5">
      <c r="C12" s="75" t="s">
        <v>615</v>
      </c>
      <c r="D12" s="75" t="s">
        <v>619</v>
      </c>
      <c r="E12" s="75" t="s">
        <v>618</v>
      </c>
      <c r="F12" s="75" t="s">
        <v>617</v>
      </c>
      <c r="G12" s="75" t="s">
        <v>616</v>
      </c>
      <c r="H12" s="75" t="s">
        <v>620</v>
      </c>
      <c r="I12" s="75" t="s">
        <v>621</v>
      </c>
    </row>
    <row r="13" spans="2:9" s="74" customFormat="1" ht="51.75" customHeight="1" x14ac:dyDescent="0.5">
      <c r="C13" s="76" t="s">
        <v>124</v>
      </c>
      <c r="D13" s="76" t="s">
        <v>625</v>
      </c>
      <c r="E13" s="76" t="s">
        <v>624</v>
      </c>
      <c r="F13" s="76" t="s">
        <v>623</v>
      </c>
      <c r="G13" s="76" t="s">
        <v>622</v>
      </c>
      <c r="H13" s="76" t="s">
        <v>129</v>
      </c>
      <c r="I13" s="76" t="s">
        <v>626</v>
      </c>
    </row>
    <row r="14" spans="2:9" ht="40.5" customHeight="1" x14ac:dyDescent="0.5"/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聲表【閩拼】</vt:lpstr>
      <vt:lpstr>韻表【閩拼】</vt:lpstr>
      <vt:lpstr>調表【閩拼】</vt:lpstr>
      <vt:lpstr>閩南八音【閩拼】</vt:lpstr>
      <vt:lpstr>八音排序表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2026-10-18T02:52:31Z</dcterms:created>
  <dcterms:modified xsi:type="dcterms:W3CDTF">2026-10-18T06:17:48Z</dcterms:modified>
</cp:coreProperties>
</file>