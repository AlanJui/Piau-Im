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"/>
    </mc:Choice>
  </mc:AlternateContent>
  <xr:revisionPtr revIDLastSave="0" documentId="13_ncr:1_{FEF89AF6-9A0C-46C6-BBCC-F367AA913061}" xr6:coauthVersionLast="47" xr6:coauthVersionMax="47" xr10:uidLastSave="{00000000-0000-0000-0000-000000000000}"/>
  <bookViews>
    <workbookView xWindow="-38520" yWindow="-120" windowWidth="38640" windowHeight="15720" tabRatio="673" activeTab="3" xr2:uid="{BD087EFD-0EA9-4677-AB62-D11AE02F8C6C}"/>
  </bookViews>
  <sheets>
    <sheet name="閩南八音【閩拼】" sheetId="21" r:id="rId1"/>
    <sheet name="閩南八音【台羅】" sheetId="26" r:id="rId2"/>
    <sheet name="八音調性表" sheetId="19" r:id="rId3"/>
    <sheet name="五度音階表" sheetId="18" r:id="rId4"/>
    <sheet name="四聲八調定義" sheetId="5" r:id="rId5"/>
    <sheet name="四聲八調 (君韻)" sheetId="11" r:id="rId6"/>
    <sheet name="注音聲調表（台羅）" sheetId="20" r:id="rId7"/>
    <sheet name="閩拼八音聲母表" sheetId="22" r:id="rId8"/>
    <sheet name="閩拼八音聲母表【十五音】" sheetId="25" r:id="rId9"/>
    <sheet name="聲母" sheetId="24" r:id="rId10"/>
    <sheet name="宋人三十六字母表" sheetId="23" r:id="rId11"/>
  </sheets>
  <externalReferences>
    <externalReference r:id="rId12"/>
  </externalReferences>
  <definedNames>
    <definedName name="十五音韻母">#REF!</definedName>
    <definedName name="十五音韻母對照表">#REF!</definedName>
    <definedName name="台羅韻母八音反切">#REF!</definedName>
    <definedName name="白話字韻母八音反切">#REF!</definedName>
    <definedName name="閩拼韻母八音反切">#REF!</definedName>
    <definedName name="聲母碼表">#REF!</definedName>
    <definedName name="韻母對照表">#REF!</definedName>
    <definedName name="韻母碼表">#REF!</definedName>
    <definedName name="顯示注音輸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2" l="1" a="1"/>
  <c r="F34" i="22" s="1"/>
  <c r="U19" i="20" l="1"/>
  <c r="M19" i="20"/>
  <c r="M18" i="20"/>
  <c r="M17" i="20"/>
  <c r="M16" i="20"/>
  <c r="M15" i="20"/>
  <c r="M14" i="20"/>
  <c r="M13" i="20"/>
  <c r="S15" i="20"/>
  <c r="S16" i="20"/>
  <c r="S17" i="20"/>
  <c r="S14" i="20"/>
  <c r="P19" i="20"/>
  <c r="P18" i="20" l="1"/>
  <c r="U18" i="20" s="1"/>
  <c r="P13" i="20"/>
  <c r="U13" i="20" s="1"/>
  <c r="O15" i="20"/>
  <c r="O16" i="20"/>
  <c r="O17" i="20"/>
  <c r="O18" i="20"/>
  <c r="O19" i="20"/>
  <c r="P15" i="20"/>
  <c r="U15" i="20" s="1"/>
  <c r="P16" i="20"/>
  <c r="U16" i="20" s="1"/>
  <c r="P17" i="20"/>
  <c r="U17" i="20" s="1"/>
  <c r="P14" i="20"/>
  <c r="U14" i="20" s="1"/>
  <c r="S13" i="20"/>
  <c r="S9" i="20"/>
  <c r="S5" i="20"/>
  <c r="S6" i="20"/>
  <c r="S4" i="20"/>
  <c r="S8" i="20"/>
  <c r="N7" i="20"/>
  <c r="Q7" i="20" s="1"/>
  <c r="Q6" i="20"/>
  <c r="P6" i="20"/>
  <c r="O6" i="20"/>
  <c r="M4" i="20"/>
  <c r="U4" i="20" s="1"/>
  <c r="M5" i="20"/>
  <c r="U5" i="20" s="1"/>
  <c r="M6" i="20"/>
  <c r="U6" i="20" s="1"/>
  <c r="M7" i="20"/>
  <c r="M8" i="20"/>
  <c r="U8" i="20" s="1"/>
  <c r="M9" i="20"/>
  <c r="U9" i="20" s="1"/>
  <c r="M3" i="20"/>
  <c r="U3" i="20" s="1"/>
  <c r="P4" i="20"/>
  <c r="P24" i="20"/>
  <c r="P5" i="20"/>
  <c r="P8" i="20"/>
  <c r="P9" i="20"/>
  <c r="P25" i="20"/>
  <c r="Q25" i="20"/>
  <c r="O25" i="20"/>
  <c r="M25" i="20"/>
  <c r="P3" i="20"/>
  <c r="S3" i="20"/>
  <c r="M24" i="20"/>
  <c r="J9" i="20"/>
  <c r="J8" i="20"/>
  <c r="J7" i="20"/>
  <c r="J6" i="20"/>
  <c r="J5" i="20"/>
  <c r="J4" i="20"/>
  <c r="J3" i="20"/>
  <c r="Q9" i="20"/>
  <c r="O9" i="20"/>
  <c r="Q5" i="20"/>
  <c r="O5" i="20"/>
  <c r="Q24" i="20"/>
  <c r="O24" i="20"/>
  <c r="Q4" i="20"/>
  <c r="O4" i="20"/>
  <c r="Q3" i="20"/>
  <c r="O3" i="20"/>
  <c r="S21" i="20"/>
  <c r="U21" i="20" s="1"/>
  <c r="J21" i="20"/>
  <c r="S19" i="20"/>
  <c r="J19" i="20"/>
  <c r="S18" i="20"/>
  <c r="J18" i="20"/>
  <c r="J14" i="20"/>
  <c r="J15" i="20"/>
  <c r="Q23" i="20"/>
  <c r="P23" i="20"/>
  <c r="O23" i="20"/>
  <c r="S23" i="20"/>
  <c r="U23" i="20" s="1"/>
  <c r="J16" i="20"/>
  <c r="J17" i="20"/>
  <c r="O14" i="20"/>
  <c r="J13" i="20"/>
  <c r="S7" i="20" l="1"/>
  <c r="U7" i="20" s="1"/>
  <c r="O7" i="20"/>
  <c r="P7" i="2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<sst xmlns="http://schemas.openxmlformats.org/spreadsheetml/2006/main" count="1325" uniqueCount="597">
  <si>
    <t>滑</t>
    <phoneticPr fontId="2" type="noConversion"/>
  </si>
  <si>
    <t>郡</t>
    <phoneticPr fontId="2" type="noConversion"/>
  </si>
  <si>
    <t>滾</t>
    <phoneticPr fontId="2" type="noConversion"/>
  </si>
  <si>
    <t>群</t>
    <phoneticPr fontId="2" type="noConversion"/>
  </si>
  <si>
    <t>陽</t>
    <phoneticPr fontId="2" type="noConversion"/>
  </si>
  <si>
    <t>骨</t>
    <phoneticPr fontId="2" type="noConversion"/>
  </si>
  <si>
    <t>棍</t>
    <phoneticPr fontId="2" type="noConversion"/>
  </si>
  <si>
    <t>君</t>
    <phoneticPr fontId="2" type="noConversion"/>
  </si>
  <si>
    <t>陰</t>
    <phoneticPr fontId="2" type="noConversion"/>
  </si>
  <si>
    <t>入</t>
    <phoneticPr fontId="2" type="noConversion"/>
  </si>
  <si>
    <t>去</t>
    <phoneticPr fontId="2" type="noConversion"/>
  </si>
  <si>
    <t>上</t>
    <phoneticPr fontId="2" type="noConversion"/>
  </si>
  <si>
    <t>平</t>
    <phoneticPr fontId="2" type="noConversion"/>
  </si>
  <si>
    <t>陰平</t>
  </si>
  <si>
    <t>陰上</t>
  </si>
  <si>
    <t>陰去</t>
  </si>
  <si>
    <t>陰入</t>
  </si>
  <si>
    <t>陽平</t>
  </si>
  <si>
    <t>陽上</t>
  </si>
  <si>
    <t>陽去</t>
  </si>
  <si>
    <t>陽入</t>
  </si>
  <si>
    <t>【台羅八聲調】</t>
    <phoneticPr fontId="2" type="noConversion"/>
  </si>
  <si>
    <t>陰平
（1）</t>
    <phoneticPr fontId="2" type="noConversion"/>
  </si>
  <si>
    <t>陰上
（2）</t>
    <phoneticPr fontId="2" type="noConversion"/>
  </si>
  <si>
    <t>陰去
（3）</t>
    <phoneticPr fontId="2" type="noConversion"/>
  </si>
  <si>
    <t>陰入
（4）</t>
    <phoneticPr fontId="2" type="noConversion"/>
  </si>
  <si>
    <t>陽平
（5）</t>
    <phoneticPr fontId="2" type="noConversion"/>
  </si>
  <si>
    <t>陽上
（6）</t>
    <phoneticPr fontId="2" type="noConversion"/>
  </si>
  <si>
    <t>陽去
（7）</t>
    <phoneticPr fontId="2" type="noConversion"/>
  </si>
  <si>
    <t>陽入
（8）</t>
    <phoneticPr fontId="2" type="noConversion"/>
  </si>
  <si>
    <t>【閩拼八聲調】</t>
    <phoneticPr fontId="2" type="noConversion"/>
  </si>
  <si>
    <t>陽平
（2）</t>
    <phoneticPr fontId="2" type="noConversion"/>
  </si>
  <si>
    <t>陰上
（3）</t>
    <phoneticPr fontId="2" type="noConversion"/>
  </si>
  <si>
    <t>陽上
（4）</t>
    <phoneticPr fontId="2" type="noConversion"/>
  </si>
  <si>
    <t>陰去
（5）</t>
    <phoneticPr fontId="2" type="noConversion"/>
  </si>
  <si>
    <t>陽去
（6）</t>
    <phoneticPr fontId="2" type="noConversion"/>
  </si>
  <si>
    <t>陰入
（7）</t>
    <phoneticPr fontId="2" type="noConversion"/>
  </si>
  <si>
    <t>時</t>
  </si>
  <si>
    <t>下</t>
    <phoneticPr fontId="2" type="noConversion"/>
  </si>
  <si>
    <t>上平</t>
  </si>
  <si>
    <t>上上</t>
  </si>
  <si>
    <t>上去</t>
  </si>
  <si>
    <t>上入</t>
  </si>
  <si>
    <t>下平</t>
  </si>
  <si>
    <t>下上</t>
  </si>
  <si>
    <t>下去</t>
  </si>
  <si>
    <t>下入</t>
  </si>
  <si>
    <t>君
（1）</t>
    <phoneticPr fontId="2" type="noConversion"/>
  </si>
  <si>
    <t>滾
（2）</t>
    <phoneticPr fontId="2" type="noConversion"/>
  </si>
  <si>
    <t>棍
（3）</t>
    <phoneticPr fontId="2" type="noConversion"/>
  </si>
  <si>
    <t>骨
（4）</t>
    <phoneticPr fontId="2" type="noConversion"/>
  </si>
  <si>
    <t>群
（5）</t>
    <phoneticPr fontId="2" type="noConversion"/>
  </si>
  <si>
    <t>滾
（6）</t>
    <phoneticPr fontId="2" type="noConversion"/>
  </si>
  <si>
    <t>郡
（7）</t>
    <phoneticPr fontId="2" type="noConversion"/>
  </si>
  <si>
    <t>滑
（8）</t>
    <phoneticPr fontId="2" type="noConversion"/>
  </si>
  <si>
    <t>群
（2）</t>
    <phoneticPr fontId="2" type="noConversion"/>
  </si>
  <si>
    <t>滾
（3）</t>
    <phoneticPr fontId="2" type="noConversion"/>
  </si>
  <si>
    <t>滾
（4）</t>
    <phoneticPr fontId="2" type="noConversion"/>
  </si>
  <si>
    <t>棍
（5）</t>
    <phoneticPr fontId="2" type="noConversion"/>
  </si>
  <si>
    <t>郡
（6）</t>
    <phoneticPr fontId="2" type="noConversion"/>
  </si>
  <si>
    <t>骨
（7）</t>
    <phoneticPr fontId="2" type="noConversion"/>
  </si>
  <si>
    <t>ㄚˋ</t>
  </si>
  <si>
    <t>ㄚ</t>
  </si>
  <si>
    <t>a</t>
  </si>
  <si>
    <t>á</t>
  </si>
  <si>
    <t>à</t>
  </si>
  <si>
    <t>ah</t>
  </si>
  <si>
    <t>â</t>
  </si>
  <si>
    <t>ā</t>
  </si>
  <si>
    <t>a̍h</t>
  </si>
  <si>
    <t>調號</t>
    <phoneticPr fontId="2" type="noConversion"/>
  </si>
  <si>
    <t>調符</t>
    <phoneticPr fontId="2" type="noConversion"/>
  </si>
  <si>
    <t>調名</t>
    <phoneticPr fontId="2" type="noConversion"/>
  </si>
  <si>
    <t>ǎ</t>
    <phoneticPr fontId="2" type="noConversion"/>
  </si>
  <si>
    <t xml:space="preserve">kun </t>
    <phoneticPr fontId="2" type="noConversion"/>
  </si>
  <si>
    <t>kún</t>
    <phoneticPr fontId="2" type="noConversion"/>
  </si>
  <si>
    <t>kùn</t>
    <phoneticPr fontId="2" type="noConversion"/>
  </si>
  <si>
    <t xml:space="preserve">kut </t>
    <phoneticPr fontId="2" type="noConversion"/>
  </si>
  <si>
    <t xml:space="preserve">kûn </t>
    <phoneticPr fontId="2" type="noConversion"/>
  </si>
  <si>
    <t>kūn</t>
    <phoneticPr fontId="2" type="noConversion"/>
  </si>
  <si>
    <t xml:space="preserve">ku̍t </t>
    <phoneticPr fontId="2" type="noConversion"/>
  </si>
  <si>
    <r>
      <t>kun</t>
    </r>
    <r>
      <rPr>
        <sz val="36"/>
        <color theme="0" tint="-0.14999847407452621"/>
        <rFont val="Noto Serif TC Black"/>
        <family val="1"/>
      </rPr>
      <t>1</t>
    </r>
    <phoneticPr fontId="2" type="noConversion"/>
  </si>
  <si>
    <t>kun2</t>
    <phoneticPr fontId="2" type="noConversion"/>
  </si>
  <si>
    <t>kun3</t>
    <phoneticPr fontId="2" type="noConversion"/>
  </si>
  <si>
    <r>
      <t>kut</t>
    </r>
    <r>
      <rPr>
        <sz val="36"/>
        <color theme="0" tint="-0.14999847407452621"/>
        <rFont val="Noto Serif TC Black"/>
        <family val="1"/>
      </rPr>
      <t>4</t>
    </r>
    <phoneticPr fontId="2" type="noConversion"/>
  </si>
  <si>
    <t>kun5</t>
    <phoneticPr fontId="2" type="noConversion"/>
  </si>
  <si>
    <t>kun7</t>
    <phoneticPr fontId="2" type="noConversion"/>
  </si>
  <si>
    <t>kut8</t>
    <phoneticPr fontId="2" type="noConversion"/>
  </si>
  <si>
    <t>四聲</t>
    <phoneticPr fontId="2" type="noConversion"/>
  </si>
  <si>
    <t>漢字</t>
    <phoneticPr fontId="2" type="noConversion"/>
  </si>
  <si>
    <t>調值</t>
    <phoneticPr fontId="2" type="noConversion"/>
  </si>
  <si>
    <t>kun1</t>
  </si>
  <si>
    <t>ā</t>
    <phoneticPr fontId="2" type="noConversion"/>
  </si>
  <si>
    <t>āh</t>
    <phoneticPr fontId="2" type="noConversion"/>
  </si>
  <si>
    <t>á</t>
    <phoneticPr fontId="2" type="noConversion"/>
  </si>
  <si>
    <t>â</t>
    <phoneticPr fontId="2" type="noConversion"/>
  </si>
  <si>
    <t>◌̋ U+030B</t>
  </si>
  <si>
    <t>]</t>
    <phoneticPr fontId="2" type="noConversion"/>
  </si>
  <si>
    <t>高促調</t>
    <phoneticPr fontId="2" type="noConversion"/>
  </si>
  <si>
    <t>[</t>
    <phoneticPr fontId="2" type="noConversion"/>
  </si>
  <si>
    <t>低促調</t>
    <phoneticPr fontId="2" type="noConversion"/>
  </si>
  <si>
    <t>◌̄ U+0304</t>
  </si>
  <si>
    <t>-</t>
    <phoneticPr fontId="2" type="noConversion"/>
  </si>
  <si>
    <t>中音調</t>
    <phoneticPr fontId="2" type="noConversion"/>
  </si>
  <si>
    <t>◌̌ U+030C</t>
  </si>
  <si>
    <t>_</t>
    <phoneticPr fontId="2" type="noConversion"/>
  </si>
  <si>
    <t>低音調</t>
    <phoneticPr fontId="2" type="noConversion"/>
  </si>
  <si>
    <t>◌̂ U+0302</t>
  </si>
  <si>
    <t>\</t>
    <phoneticPr fontId="2" type="noConversion"/>
  </si>
  <si>
    <t>高降調</t>
    <phoneticPr fontId="2" type="noConversion"/>
  </si>
  <si>
    <t>/</t>
    <phoneticPr fontId="2" type="noConversion"/>
  </si>
  <si>
    <t>低升調</t>
    <phoneticPr fontId="2" type="noConversion"/>
  </si>
  <si>
    <t>;</t>
    <phoneticPr fontId="2" type="noConversion"/>
  </si>
  <si>
    <t>高音調</t>
    <phoneticPr fontId="2" type="noConversion"/>
  </si>
  <si>
    <t>按鍵輸入</t>
    <phoneticPr fontId="22" type="noConversion"/>
  </si>
  <si>
    <t>聲調按鍵</t>
    <phoneticPr fontId="2" type="noConversion"/>
  </si>
  <si>
    <t>輕聲(ㄚㆷ˙)</t>
  </si>
  <si>
    <t>ㄚㆷ˙</t>
    <phoneticPr fontId="2" type="noConversion"/>
  </si>
  <si>
    <t>啊</t>
    <phoneticPr fontId="2" type="noConversion"/>
  </si>
  <si>
    <t>輕聲調</t>
  </si>
  <si>
    <t>輕聲 ㄚㆷ˙</t>
  </si>
  <si>
    <t>陽入(ㄚㆷ́)</t>
  </si>
  <si>
    <t>高促調</t>
  </si>
  <si>
    <t>陰入(ㄚㆷ̄)</t>
  </si>
  <si>
    <r>
      <t>◌</t>
    </r>
    <r>
      <rPr>
        <u/>
        <sz val="12"/>
        <color theme="10"/>
        <rFont val="Arial"/>
        <family val="2"/>
        <charset val="254"/>
      </rPr>
      <t>̍</t>
    </r>
    <r>
      <rPr>
        <u/>
        <sz val="12"/>
        <color theme="10"/>
        <rFont val="Noto Sans TC Medium"/>
        <family val="2"/>
      </rPr>
      <t> U+030D</t>
    </r>
    <phoneticPr fontId="2" type="noConversion"/>
  </si>
  <si>
    <t>低促調</t>
  </si>
  <si>
    <t>陽去(ㄚ̂)</t>
  </si>
  <si>
    <t>中音調</t>
  </si>
  <si>
    <t>陰去(ㄚ̀)</t>
  </si>
  <si>
    <t>低音調</t>
  </si>
  <si>
    <t>陽上(ㄚ̄)</t>
  </si>
  <si>
    <t>陽上 ㄚ̄</t>
  </si>
  <si>
    <t>陰上(ㄚ̌)</t>
  </si>
  <si>
    <t>高降調</t>
  </si>
  <si>
    <t>陽平(ㄚ́)</t>
  </si>
  <si>
    <t>◌̀ U+0300</t>
  </si>
  <si>
    <t>低升調</t>
  </si>
  <si>
    <t>陰平(ㄚ̄)</t>
  </si>
  <si>
    <t>◌́ U+0301</t>
  </si>
  <si>
    <t>:</t>
    <phoneticPr fontId="2" type="noConversion"/>
  </si>
  <si>
    <t>高音調</t>
  </si>
  <si>
    <t>方音符號</t>
    <phoneticPr fontId="22" type="noConversion"/>
  </si>
  <si>
    <t>W 調名</t>
    <phoneticPr fontId="2" type="noConversion"/>
  </si>
  <si>
    <t>四聲八調</t>
    <phoneticPr fontId="2" type="noConversion"/>
  </si>
  <si>
    <t>閩拼調號</t>
  </si>
  <si>
    <t>ah0</t>
  </si>
  <si>
    <t>ㄍㄨㄣˊ</t>
    <phoneticPr fontId="2" type="noConversion"/>
  </si>
  <si>
    <t>ㄍㄨㄣ</t>
    <phoneticPr fontId="2" type="noConversion"/>
  </si>
  <si>
    <t>ㄍㄨㄣˋ</t>
    <phoneticPr fontId="2" type="noConversion"/>
  </si>
  <si>
    <t>ㄍㄨㄣ˪</t>
    <phoneticPr fontId="2" type="noConversion"/>
  </si>
  <si>
    <t>ㄍㄨㄣ˫</t>
    <phoneticPr fontId="2" type="noConversion"/>
  </si>
  <si>
    <t>ㄍㄨㆵ˙</t>
    <phoneticPr fontId="2" type="noConversion"/>
  </si>
  <si>
    <t>ㄍㄨㆵ</t>
    <phoneticPr fontId="2" type="noConversion"/>
  </si>
  <si>
    <r>
      <rPr>
        <sz val="36"/>
        <color theme="1"/>
        <rFont val="Noto Serif TC Black"/>
        <family val="1"/>
      </rPr>
      <t>ǎ</t>
    </r>
    <phoneticPr fontId="2" type="noConversion"/>
  </si>
  <si>
    <t>君韻</t>
    <phoneticPr fontId="2" type="noConversion"/>
  </si>
  <si>
    <t>八音</t>
    <phoneticPr fontId="2" type="noConversion"/>
  </si>
  <si>
    <t>標準版</t>
    <phoneticPr fontId="2" type="noConversion"/>
  </si>
  <si>
    <t>數字版</t>
    <phoneticPr fontId="2" type="noConversion"/>
  </si>
  <si>
    <t>漢字</t>
    <phoneticPr fontId="2" type="noConversion"/>
  </si>
  <si>
    <r>
      <t>kun</t>
    </r>
    <r>
      <rPr>
        <sz val="36"/>
        <color theme="0" tint="-0.14999847407452621"/>
        <rFont val="Charis SIL"/>
      </rPr>
      <t>1</t>
    </r>
    <phoneticPr fontId="2" type="noConversion"/>
  </si>
  <si>
    <r>
      <t>kut</t>
    </r>
    <r>
      <rPr>
        <sz val="36"/>
        <color theme="0" tint="-0.14999847407452621"/>
        <rFont val="Charis SIL"/>
      </rPr>
      <t>4</t>
    </r>
    <phoneticPr fontId="2" type="noConversion"/>
  </si>
  <si>
    <t>台羅音標</t>
    <phoneticPr fontId="24" type="noConversion"/>
  </si>
  <si>
    <t>台羅調號</t>
    <phoneticPr fontId="2" type="noConversion"/>
  </si>
  <si>
    <t>kut4</t>
    <phoneticPr fontId="2" type="noConversion"/>
  </si>
  <si>
    <t>kun</t>
    <phoneticPr fontId="2" type="noConversion"/>
  </si>
  <si>
    <t>kùn</t>
    <phoneticPr fontId="2" type="noConversion"/>
  </si>
  <si>
    <t>kún</t>
    <phoneticPr fontId="2" type="noConversion"/>
  </si>
  <si>
    <t>kûn</t>
    <phoneticPr fontId="2" type="noConversion"/>
  </si>
  <si>
    <t>kut</t>
    <phoneticPr fontId="2" type="noConversion"/>
  </si>
  <si>
    <t>ku̍t</t>
    <phoneticPr fontId="2" type="noConversion"/>
  </si>
  <si>
    <r>
      <t>ku</t>
    </r>
    <r>
      <rPr>
        <sz val="24"/>
        <color theme="1"/>
        <rFont val="Noto Sans TC"/>
        <family val="2"/>
        <charset val="136"/>
      </rPr>
      <t>̄</t>
    </r>
    <r>
      <rPr>
        <sz val="24"/>
        <color theme="1"/>
        <rFont val="Charis SIL"/>
      </rPr>
      <t>n</t>
    </r>
    <phoneticPr fontId="2" type="noConversion"/>
  </si>
  <si>
    <t>台羅拼音</t>
    <phoneticPr fontId="24" type="noConversion"/>
  </si>
  <si>
    <t>陰平 a</t>
  </si>
  <si>
    <t>陽去 ā</t>
  </si>
  <si>
    <t>陰去 à</t>
  </si>
  <si>
    <t>陰上 á</t>
  </si>
  <si>
    <t>陽平 â</t>
  </si>
  <si>
    <t>陰入 ah</t>
  </si>
  <si>
    <t>陽入 a̍h</t>
  </si>
  <si>
    <t>U+02EA</t>
    <phoneticPr fontId="2" type="noConversion"/>
  </si>
  <si>
    <t>U+02EB</t>
    <phoneticPr fontId="2" type="noConversion"/>
  </si>
  <si>
    <t>U+0307</t>
    <phoneticPr fontId="2" type="noConversion"/>
  </si>
  <si>
    <t>U+02CB</t>
    <phoneticPr fontId="2" type="noConversion"/>
  </si>
  <si>
    <t>U+02CA</t>
    <phoneticPr fontId="2" type="noConversion"/>
  </si>
  <si>
    <t>陰平 ㄚ</t>
  </si>
  <si>
    <t>陽去 ㄚ˫</t>
  </si>
  <si>
    <t>陰去 ㄚ˪</t>
  </si>
  <si>
    <t>陰上 ㄚˋ</t>
  </si>
  <si>
    <t>陽平 ㄚˊ</t>
  </si>
  <si>
    <t>陰入 ㄚㆷ</t>
  </si>
  <si>
    <t>陽入 ㄚㆷ̇</t>
  </si>
  <si>
    <t>調性</t>
    <phoneticPr fontId="2" type="noConversion"/>
  </si>
  <si>
    <t>ㄚ˫</t>
  </si>
  <si>
    <t>ㄚ˪</t>
  </si>
  <si>
    <t>ㄚˊ</t>
  </si>
  <si>
    <t>ㄚㆷ</t>
  </si>
  <si>
    <t>ㄚㆷ̇</t>
  </si>
  <si>
    <t>ǎ</t>
  </si>
  <si>
    <t>à</t>
    <phoneticPr fontId="2" type="noConversion"/>
  </si>
  <si>
    <t>āh</t>
  </si>
  <si>
    <t>áh</t>
  </si>
  <si>
    <t>áh</t>
    <phoneticPr fontId="2" type="noConversion"/>
  </si>
  <si>
    <t>gún</t>
    <phoneticPr fontId="2" type="noConversion"/>
  </si>
  <si>
    <t>gǔn</t>
    <phoneticPr fontId="2" type="noConversion"/>
  </si>
  <si>
    <t>gùn</t>
    <phoneticPr fontId="2" type="noConversion"/>
  </si>
  <si>
    <t>gûn</t>
    <phoneticPr fontId="2" type="noConversion"/>
  </si>
  <si>
    <t>gūt</t>
    <phoneticPr fontId="2" type="noConversion"/>
  </si>
  <si>
    <t>gút</t>
    <phoneticPr fontId="2" type="noConversion"/>
  </si>
  <si>
    <t>雙唇音</t>
  </si>
  <si>
    <t>舌尖前音</t>
    <phoneticPr fontId="2" type="noConversion"/>
  </si>
  <si>
    <t>舌尖中音</t>
    <phoneticPr fontId="2" type="noConversion"/>
  </si>
  <si>
    <t>舌根音</t>
    <phoneticPr fontId="2" type="noConversion"/>
  </si>
  <si>
    <t>㗋塞音</t>
    <phoneticPr fontId="2" type="noConversion"/>
  </si>
  <si>
    <t>上脣。下脣</t>
    <phoneticPr fontId="2" type="noConversion"/>
  </si>
  <si>
    <t>舌尖。上齒背</t>
    <phoneticPr fontId="2" type="noConversion"/>
  </si>
  <si>
    <t>舌尖。上齒齦</t>
    <phoneticPr fontId="2" type="noConversion"/>
  </si>
  <si>
    <t>舌根軟顎</t>
    <phoneticPr fontId="52" type="noConversion"/>
  </si>
  <si>
    <t>氣管咽頭</t>
    <phoneticPr fontId="52" type="noConversion"/>
  </si>
  <si>
    <t>清音</t>
  </si>
  <si>
    <t>濁音</t>
  </si>
  <si>
    <t>清塞音/塞擦音（不送氣）</t>
    <phoneticPr fontId="52" type="noConversion"/>
  </si>
  <si>
    <t>清塞音/塞擦音（送氣）</t>
    <phoneticPr fontId="52" type="noConversion"/>
  </si>
  <si>
    <t>鼻音</t>
    <phoneticPr fontId="53" type="noConversion"/>
  </si>
  <si>
    <t>邊音</t>
    <phoneticPr fontId="53" type="noConversion"/>
  </si>
  <si>
    <t>擦音</t>
    <phoneticPr fontId="53" type="noConversion"/>
  </si>
  <si>
    <t>鼻音</t>
  </si>
  <si>
    <t>門</t>
  </si>
  <si>
    <t>m</t>
  </si>
  <si>
    <t>柳</t>
  </si>
  <si>
    <t>n</t>
  </si>
  <si>
    <t>語</t>
  </si>
  <si>
    <t>ng</t>
  </si>
  <si>
    <t>邊</t>
  </si>
  <si>
    <t>p</t>
  </si>
  <si>
    <t>b</t>
  </si>
  <si>
    <t>頗</t>
  </si>
  <si>
    <t>ph</t>
  </si>
  <si>
    <t>毛</t>
    <phoneticPr fontId="52" type="noConversion"/>
  </si>
  <si>
    <t>ㄅ</t>
  </si>
  <si>
    <t>ㆠ</t>
  </si>
  <si>
    <t>ㄇ</t>
  </si>
  <si>
    <t>m</t>
    <phoneticPr fontId="53" type="noConversion"/>
  </si>
  <si>
    <t>ㄋ</t>
  </si>
  <si>
    <t>n</t>
    <phoneticPr fontId="53" type="noConversion"/>
  </si>
  <si>
    <t>ㄫ</t>
  </si>
  <si>
    <t>ng</t>
    <phoneticPr fontId="53" type="noConversion"/>
  </si>
  <si>
    <t>bb</t>
  </si>
  <si>
    <t>ㄆ</t>
  </si>
  <si>
    <t>塞音</t>
  </si>
  <si>
    <t>不送氣</t>
  </si>
  <si>
    <t>地</t>
  </si>
  <si>
    <t>t</t>
    <phoneticPr fontId="52" type="noConversion"/>
  </si>
  <si>
    <t>求</t>
  </si>
  <si>
    <t>k</t>
    <phoneticPr fontId="52" type="noConversion"/>
  </si>
  <si>
    <t>g</t>
  </si>
  <si>
    <t>英</t>
  </si>
  <si>
    <t>Ø</t>
    <phoneticPr fontId="52" type="noConversion"/>
  </si>
  <si>
    <t>他</t>
  </si>
  <si>
    <t>th</t>
    <phoneticPr fontId="52" type="noConversion"/>
  </si>
  <si>
    <t>耐</t>
    <phoneticPr fontId="52" type="noConversion"/>
  </si>
  <si>
    <t>l</t>
    <phoneticPr fontId="52" type="noConversion"/>
  </si>
  <si>
    <t>ㄉ</t>
  </si>
  <si>
    <t>ㄊ</t>
  </si>
  <si>
    <t>d</t>
    <phoneticPr fontId="52" type="noConversion"/>
  </si>
  <si>
    <t>ㄍ</t>
  </si>
  <si>
    <t>g</t>
    <phoneticPr fontId="52" type="noConversion"/>
  </si>
  <si>
    <t>ㆣ</t>
  </si>
  <si>
    <t>gg</t>
  </si>
  <si>
    <t>Ø</t>
    <phoneticPr fontId="53" type="noConversion"/>
  </si>
  <si>
    <t>ㄌ</t>
  </si>
  <si>
    <t>送氣</t>
  </si>
  <si>
    <t>去</t>
  </si>
  <si>
    <t>kh</t>
    <phoneticPr fontId="52" type="noConversion"/>
  </si>
  <si>
    <t>雅</t>
    <phoneticPr fontId="52" type="noConversion"/>
  </si>
  <si>
    <t>ㄎ</t>
  </si>
  <si>
    <t>塞擦音</t>
  </si>
  <si>
    <t>曾</t>
  </si>
  <si>
    <t>tsi</t>
    <phoneticPr fontId="52" type="noConversion"/>
  </si>
  <si>
    <t>入</t>
  </si>
  <si>
    <t>ji</t>
  </si>
  <si>
    <t>ts</t>
    <phoneticPr fontId="52" type="noConversion"/>
  </si>
  <si>
    <t>j</t>
  </si>
  <si>
    <t>喜</t>
  </si>
  <si>
    <t>h</t>
    <phoneticPr fontId="52" type="noConversion"/>
  </si>
  <si>
    <t>ㄏ</t>
  </si>
  <si>
    <t>ㄐ</t>
  </si>
  <si>
    <t>ji</t>
    <phoneticPr fontId="52" type="noConversion"/>
  </si>
  <si>
    <t>ㆢ</t>
  </si>
  <si>
    <t>jji</t>
    <phoneticPr fontId="52" type="noConversion"/>
  </si>
  <si>
    <t>ㄗ</t>
  </si>
  <si>
    <t>z</t>
    <phoneticPr fontId="52" type="noConversion"/>
  </si>
  <si>
    <t>ㆡ</t>
  </si>
  <si>
    <t>zz</t>
    <phoneticPr fontId="52" type="noConversion"/>
  </si>
  <si>
    <t>ㄏ</t>
    <phoneticPr fontId="2" type="noConversion"/>
  </si>
  <si>
    <t>h</t>
    <phoneticPr fontId="53" type="noConversion"/>
  </si>
  <si>
    <t>ㄑ</t>
  </si>
  <si>
    <t>出</t>
  </si>
  <si>
    <t>tshi</t>
    <phoneticPr fontId="52" type="noConversion"/>
  </si>
  <si>
    <t>tsh</t>
    <phoneticPr fontId="52" type="noConversion"/>
  </si>
  <si>
    <t>ㄘ</t>
  </si>
  <si>
    <t>ㄙ</t>
  </si>
  <si>
    <t>chi</t>
    <phoneticPr fontId="52" type="noConversion"/>
  </si>
  <si>
    <t>c</t>
    <phoneticPr fontId="52" type="noConversion"/>
  </si>
  <si>
    <t>擦音</t>
  </si>
  <si>
    <t>si</t>
    <phoneticPr fontId="52" type="noConversion"/>
  </si>
  <si>
    <t>s</t>
    <phoneticPr fontId="52" type="noConversion"/>
  </si>
  <si>
    <t>ㄒ</t>
  </si>
  <si>
    <t>shi</t>
    <phoneticPr fontId="52" type="noConversion"/>
  </si>
  <si>
    <t>s</t>
    <phoneticPr fontId="53" type="noConversion"/>
  </si>
  <si>
    <t>邊音</t>
  </si>
  <si>
    <t>l</t>
  </si>
  <si>
    <t>l</t>
    <phoneticPr fontId="53" type="noConversion"/>
  </si>
  <si>
    <t>發音部位
舊名</t>
    <phoneticPr fontId="2" type="noConversion"/>
  </si>
  <si>
    <t>發音部位
新名</t>
    <phoneticPr fontId="2" type="noConversion"/>
  </si>
  <si>
    <t>發音方法</t>
    <phoneticPr fontId="2" type="noConversion"/>
  </si>
  <si>
    <r>
      <t>改用</t>
    </r>
    <r>
      <rPr>
        <b/>
        <sz val="24"/>
        <rFont val="Arial"/>
        <family val="2"/>
      </rPr>
      <t>台羅拼音</t>
    </r>
    <r>
      <rPr>
        <sz val="24"/>
        <rFont val="Arial"/>
        <family val="2"/>
      </rPr>
      <t>來對應與舉例： </t>
    </r>
  </si>
  <si>
    <t>全清</t>
    <phoneticPr fontId="2" type="noConversion"/>
  </si>
  <si>
    <t>次清</t>
    <phoneticPr fontId="2" type="noConversion"/>
  </si>
  <si>
    <t>全濁</t>
    <phoneticPr fontId="2" type="noConversion"/>
  </si>
  <si>
    <t>次濁（清濁）</t>
    <phoneticPr fontId="2" type="noConversion"/>
  </si>
  <si>
    <t>唇音</t>
  </si>
  <si>
    <t>重唇</t>
    <phoneticPr fontId="2" type="noConversion"/>
  </si>
  <si>
    <t>雙唇</t>
    <phoneticPr fontId="2" type="noConversion"/>
  </si>
  <si>
    <t>[p]</t>
    <phoneticPr fontId="2" type="noConversion"/>
  </si>
  <si>
    <t>幫</t>
    <phoneticPr fontId="2" type="noConversion"/>
  </si>
  <si>
    <r>
      <t xml:space="preserve"> [p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  <scheme val="minor"/>
      </rPr>
      <t>]</t>
    </r>
    <phoneticPr fontId="2" type="noConversion"/>
  </si>
  <si>
    <t>滂</t>
    <phoneticPr fontId="2" type="noConversion"/>
  </si>
  <si>
    <t xml:space="preserve"> [b]</t>
    <phoneticPr fontId="2" type="noConversion"/>
  </si>
  <si>
    <t>並</t>
    <phoneticPr fontId="2" type="noConversion"/>
  </si>
  <si>
    <t xml:space="preserve"> [m]</t>
    <phoneticPr fontId="2" type="noConversion"/>
  </si>
  <si>
    <t>明</t>
    <phoneticPr fontId="2" type="noConversion"/>
  </si>
  <si>
    <r>
      <t>1. 輕唇音（脣齒音）</t>
    </r>
    <r>
      <rPr>
        <sz val="24"/>
        <rFont val="Arial"/>
        <family val="2"/>
      </rPr>
      <t> </t>
    </r>
  </si>
  <si>
    <t>邊</t>
    <phoneticPr fontId="2" type="noConversion"/>
  </si>
  <si>
    <t>頗</t>
    <phoneticPr fontId="2" type="noConversion"/>
  </si>
  <si>
    <t>門</t>
    <phoneticPr fontId="2" type="noConversion"/>
  </si>
  <si>
    <t>ㄇ</t>
    <phoneticPr fontId="2" type="noConversion"/>
  </si>
  <si>
    <t>毛</t>
    <phoneticPr fontId="2" type="noConversion"/>
  </si>
  <si>
    <r>
      <t>[f] 非 / [fʰ] 敷 / [v] 奉</t>
    </r>
    <r>
      <rPr>
        <sz val="24"/>
        <rFont val="Arial"/>
        <family val="2"/>
      </rPr>
      <t> </t>
    </r>
  </si>
  <si>
    <t>輕唇</t>
    <phoneticPr fontId="2" type="noConversion"/>
  </si>
  <si>
    <t>唇齒</t>
    <phoneticPr fontId="2" type="noConversion"/>
  </si>
  <si>
    <t>[f]</t>
    <phoneticPr fontId="2" type="noConversion"/>
  </si>
  <si>
    <t>非</t>
    <phoneticPr fontId="2" type="noConversion"/>
  </si>
  <si>
    <r>
      <t>[f</t>
    </r>
    <r>
      <rPr>
        <sz val="28"/>
        <color theme="1"/>
        <rFont val="Segoe UI"/>
        <family val="1"/>
        <charset val="1"/>
      </rPr>
      <t>ʰ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</si>
  <si>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敷</t>
    <phoneticPr fontId="2" type="noConversion"/>
  </si>
  <si>
    <t>[v]</t>
    <phoneticPr fontId="2" type="noConversion"/>
  </si>
  <si>
    <t>奉</t>
    <phoneticPr fontId="2" type="noConversion"/>
  </si>
  <si>
    <r>
      <rPr>
        <sz val="28"/>
        <color theme="1"/>
        <rFont val="細明體"/>
        <family val="1"/>
        <charset val="136"/>
      </rPr>
      <t>[</t>
    </r>
    <r>
      <rPr>
        <sz val="28"/>
        <color theme="1"/>
        <rFont val="Segoe UI"/>
        <family val="1"/>
        <charset val="1"/>
      </rPr>
      <t>ɱ</t>
    </r>
    <r>
      <rPr>
        <sz val="28"/>
        <color theme="1"/>
        <rFont val="細明體"/>
        <family val="1"/>
        <charset val="136"/>
      </rPr>
      <t>]</t>
    </r>
    <phoneticPr fontId="2" type="noConversion"/>
  </si>
  <si>
    <t>微</t>
    <phoneticPr fontId="2" type="noConversion"/>
  </si>
  <si>
    <r>
      <t>台羅拼音：</t>
    </r>
    <r>
      <rPr>
        <sz val="24"/>
        <rFont val="Arial"/>
        <family val="2"/>
      </rPr>
      <t xml:space="preserve"> 台語歷史上沒有發展出唇齒擦音 [f]，所以這些字在台羅中大都回歸到重唇音（雙唇音），對應 </t>
    </r>
    <r>
      <rPr>
        <b/>
        <sz val="24"/>
        <rFont val="Arial"/>
        <family val="2"/>
      </rPr>
      <t>p</t>
    </r>
    <r>
      <rPr>
        <sz val="24"/>
        <rFont val="Arial"/>
        <family val="2"/>
      </rPr>
      <t xml:space="preserve">（不送氣清音）或 </t>
    </r>
    <r>
      <rPr>
        <b/>
        <sz val="24"/>
        <rFont val="Arial"/>
        <family val="2"/>
      </rPr>
      <t>ph</t>
    </r>
    <r>
      <rPr>
        <sz val="24"/>
        <rFont val="Arial"/>
        <family val="2"/>
      </rPr>
      <t>（送氣清音）。 </t>
    </r>
  </si>
  <si>
    <r>
      <rPr>
        <sz val="12"/>
        <color theme="7" tint="-0.249977111117893"/>
        <rFont val="Noto Sans TC"/>
        <family val="2"/>
        <charset val="136"/>
      </rPr>
      <t>ㆠ</t>
    </r>
    <r>
      <rPr>
        <sz val="12"/>
        <color theme="7" tint="-0.249977111117893"/>
        <rFont val="新細明體"/>
        <family val="1"/>
        <scheme val="minor"/>
      </rPr>
      <t>（文）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ㄇ（白）</t>
    </r>
    <phoneticPr fontId="2" type="noConversion"/>
  </si>
  <si>
    <t>門（文）
毛（白）</t>
    <phoneticPr fontId="2" type="noConversion"/>
  </si>
  <si>
    <r>
      <t>舉例：</t>
    </r>
    <r>
      <rPr>
        <sz val="24"/>
        <rFont val="Arial"/>
        <family val="2"/>
      </rPr>
      <t> </t>
    </r>
  </si>
  <si>
    <t>舌音</t>
    <phoneticPr fontId="2" type="noConversion"/>
  </si>
  <si>
    <t>舌頭</t>
    <phoneticPr fontId="2" type="noConversion"/>
  </si>
  <si>
    <t>舌尖中</t>
    <phoneticPr fontId="2" type="noConversion"/>
  </si>
  <si>
    <t xml:space="preserve"> [t]</t>
    <phoneticPr fontId="2" type="noConversion"/>
  </si>
  <si>
    <t>端</t>
    <phoneticPr fontId="2" type="noConversion"/>
  </si>
  <si>
    <r>
      <t xml:space="preserve"> [t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</rPr>
      <t>]</t>
    </r>
    <phoneticPr fontId="2" type="noConversion"/>
  </si>
  <si>
    <t>透</t>
    <phoneticPr fontId="2" type="noConversion"/>
  </si>
  <si>
    <t>[d]</t>
    <phoneticPr fontId="2" type="noConversion"/>
  </si>
  <si>
    <t>定</t>
    <phoneticPr fontId="2" type="noConversion"/>
  </si>
  <si>
    <t xml:space="preserve"> [n]</t>
    <phoneticPr fontId="2" type="noConversion"/>
  </si>
  <si>
    <t>泥</t>
    <phoneticPr fontId="2" type="noConversion"/>
  </si>
  <si>
    <r>
      <t xml:space="preserve">「非」：台羅 </t>
    </r>
    <r>
      <rPr>
        <b/>
        <sz val="24"/>
        <rFont val="Arial"/>
        <family val="2"/>
      </rPr>
      <t>hui</t>
    </r>
    <r>
      <rPr>
        <sz val="24"/>
        <rFont val="Arial"/>
        <family val="2"/>
      </rPr>
      <t xml:space="preserve">（特別的讀法）/ 類似字「副」讀 </t>
    </r>
    <r>
      <rPr>
        <b/>
        <sz val="24"/>
        <rFont val="Arial"/>
        <family val="2"/>
      </rPr>
      <t>phù</t>
    </r>
    <r>
      <rPr>
        <sz val="24"/>
        <rFont val="Arial"/>
        <family val="2"/>
      </rPr>
      <t>。 </t>
    </r>
  </si>
  <si>
    <t>地</t>
    <phoneticPr fontId="2" type="noConversion"/>
  </si>
  <si>
    <t>他</t>
    <phoneticPr fontId="2" type="noConversion"/>
  </si>
  <si>
    <t>ㄊ（平）
ㄉ（仄）</t>
    <phoneticPr fontId="2" type="noConversion"/>
  </si>
  <si>
    <t>他
地</t>
    <phoneticPr fontId="2" type="noConversion"/>
  </si>
  <si>
    <t>耐</t>
    <phoneticPr fontId="2" type="noConversion"/>
  </si>
  <si>
    <r>
      <t xml:space="preserve">「敷」：台羅 </t>
    </r>
    <r>
      <rPr>
        <b/>
        <sz val="24"/>
        <rFont val="Arial"/>
        <family val="2"/>
      </rPr>
      <t>phu</t>
    </r>
    <r>
      <rPr>
        <sz val="24"/>
        <rFont val="Arial"/>
        <family val="2"/>
      </rPr>
      <t>，例如「敷藥 (phu-io̍h)」。 </t>
    </r>
  </si>
  <si>
    <t>舌上</t>
    <phoneticPr fontId="2" type="noConversion"/>
  </si>
  <si>
    <t>舌尖後</t>
    <phoneticPr fontId="2" type="noConversion"/>
  </si>
  <si>
    <r>
      <t>[</t>
    </r>
    <r>
      <rPr>
        <sz val="28"/>
        <color theme="1"/>
        <rFont val="Segoe UI"/>
        <family val="1"/>
        <charset val="1"/>
      </rPr>
      <t>ʈ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</si>
  <si>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知</t>
    <phoneticPr fontId="2" type="noConversion"/>
  </si>
  <si>
    <r>
      <t>[</t>
    </r>
    <r>
      <rPr>
        <sz val="28"/>
        <color theme="1"/>
        <rFont val="Segoe UI"/>
        <family val="1"/>
        <charset val="1"/>
      </rPr>
      <t>ʈʰ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</si>
  <si>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徹</t>
    <phoneticPr fontId="2" type="noConversion"/>
  </si>
  <si>
    <r>
      <t xml:space="preserve"> [</t>
    </r>
    <r>
      <rPr>
        <sz val="28"/>
        <color theme="1"/>
        <rFont val="Segoe UI"/>
        <family val="1"/>
        <charset val="1"/>
      </rPr>
      <t>ɖ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</si>
  <si>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澄</t>
    <phoneticPr fontId="2" type="noConversion"/>
  </si>
  <si>
    <r>
      <t>[</t>
    </r>
    <r>
      <rPr>
        <sz val="28"/>
        <color theme="1"/>
        <rFont val="Segoe UI"/>
        <family val="1"/>
        <charset val="1"/>
      </rPr>
      <t>ɳ</t>
    </r>
    <r>
      <rPr>
        <sz val="28"/>
        <color theme="1"/>
        <rFont val="新細明體"/>
        <family val="1"/>
        <scheme val="minor"/>
      </rPr>
      <t>]</t>
    </r>
    <phoneticPr fontId="2" type="noConversion"/>
  </si>
  <si>
    <t>娘</t>
    <phoneticPr fontId="2" type="noConversion"/>
  </si>
  <si>
    <r>
      <t xml:space="preserve">「奉」：台羅 </t>
    </r>
    <r>
      <rPr>
        <b/>
        <sz val="24"/>
        <rFont val="Arial"/>
        <family val="2"/>
      </rPr>
      <t>pōng</t>
    </r>
    <r>
      <rPr>
        <sz val="24"/>
        <rFont val="Arial"/>
        <family val="2"/>
      </rPr>
      <t>，例如「奉敬 (pōng-kìng)」。 </t>
    </r>
  </si>
  <si>
    <t>ㄗ
ㄘ</t>
    <phoneticPr fontId="2" type="noConversion"/>
  </si>
  <si>
    <t>曾
出</t>
    <phoneticPr fontId="2" type="noConversion"/>
  </si>
  <si>
    <t>耐</t>
  </si>
  <si>
    <r>
      <t>[ɱ] 微</t>
    </r>
    <r>
      <rPr>
        <sz val="24"/>
        <rFont val="Arial"/>
        <family val="2"/>
      </rPr>
      <t> </t>
    </r>
  </si>
  <si>
    <t>齒音</t>
    <phoneticPr fontId="2" type="noConversion"/>
  </si>
  <si>
    <t>齒頭</t>
    <phoneticPr fontId="2" type="noConversion"/>
  </si>
  <si>
    <t>舌尖前</t>
    <phoneticPr fontId="2" type="noConversion"/>
  </si>
  <si>
    <t>[ʦ]</t>
    <phoneticPr fontId="2" type="noConversion"/>
  </si>
  <si>
    <t>精</t>
    <phoneticPr fontId="2" type="noConversion"/>
  </si>
  <si>
    <t xml:space="preserve"> [ʦʰ]</t>
    <phoneticPr fontId="2" type="noConversion"/>
  </si>
  <si>
    <t>清</t>
    <phoneticPr fontId="2" type="noConversion"/>
  </si>
  <si>
    <t xml:space="preserve"> [ʣ]</t>
    <phoneticPr fontId="2" type="noConversion"/>
  </si>
  <si>
    <t>從</t>
    <phoneticPr fontId="2" type="noConversion"/>
  </si>
  <si>
    <r>
      <t>台羅拼音：</t>
    </r>
    <r>
      <rPr>
        <sz val="24"/>
        <rFont val="Arial"/>
        <family val="2"/>
      </rPr>
      <t xml:space="preserve"> 在台語中完美保留了鼻音特徵，對應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 xml:space="preserve"> 的發音。 </t>
    </r>
  </si>
  <si>
    <t>曾</t>
    <phoneticPr fontId="2" type="noConversion"/>
  </si>
  <si>
    <t>出</t>
    <phoneticPr fontId="2" type="noConversion"/>
  </si>
  <si>
    <r>
      <t>舉例：</t>
    </r>
    <r>
      <rPr>
        <sz val="24"/>
        <rFont val="Arial"/>
        <family val="2"/>
      </rPr>
      <t xml:space="preserve"> 「微」台羅 </t>
    </r>
    <r>
      <rPr>
        <b/>
        <sz val="24"/>
        <rFont val="Arial"/>
        <family val="2"/>
      </rPr>
      <t>bî</t>
    </r>
    <r>
      <rPr>
        <sz val="24"/>
        <rFont val="Arial"/>
        <family val="2"/>
      </rPr>
      <t xml:space="preserve">（文讀）/「無」台羅 </t>
    </r>
    <r>
      <rPr>
        <b/>
        <sz val="24"/>
        <rFont val="Arial"/>
        <family val="2"/>
      </rPr>
      <t>bô</t>
    </r>
    <r>
      <rPr>
        <sz val="24"/>
        <rFont val="Arial"/>
        <family val="2"/>
      </rPr>
      <t xml:space="preserve">；但在白讀音中，微母字常對應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>，例如「目 (ba̍k/mats)」或「微 (mî)」。 </t>
    </r>
  </si>
  <si>
    <t xml:space="preserve"> [s]</t>
    <phoneticPr fontId="2" type="noConversion"/>
  </si>
  <si>
    <t>心</t>
    <phoneticPr fontId="2" type="noConversion"/>
  </si>
  <si>
    <t>[z]</t>
    <phoneticPr fontId="2" type="noConversion"/>
  </si>
  <si>
    <t>邪</t>
    <phoneticPr fontId="2" type="noConversion"/>
  </si>
  <si>
    <t>ㄙ</t>
    <phoneticPr fontId="2" type="noConversion"/>
  </si>
  <si>
    <t>時</t>
    <phoneticPr fontId="2" type="noConversion"/>
  </si>
  <si>
    <t>ㄙ
ㄗ
ㆡ</t>
    <phoneticPr fontId="2" type="noConversion"/>
  </si>
  <si>
    <t>時
曾
入</t>
    <phoneticPr fontId="2" type="noConversion"/>
  </si>
  <si>
    <r>
      <t>2. 舌上音（捲舌音 ➡️ 台語轉為舌尖前/中音）</t>
    </r>
    <r>
      <rPr>
        <sz val="24"/>
        <rFont val="Arial"/>
        <family val="2"/>
      </rPr>
      <t> </t>
    </r>
  </si>
  <si>
    <t>正齒</t>
    <phoneticPr fontId="2" type="noConversion"/>
  </si>
  <si>
    <t>舌面前</t>
    <phoneticPr fontId="2" type="noConversion"/>
  </si>
  <si>
    <t xml:space="preserve"> [ʨ]</t>
    <phoneticPr fontId="2" type="noConversion"/>
  </si>
  <si>
    <t>照</t>
    <phoneticPr fontId="2" type="noConversion"/>
  </si>
  <si>
    <t xml:space="preserve"> [ʨʰ]</t>
    <phoneticPr fontId="2" type="noConversion"/>
  </si>
  <si>
    <t>穿</t>
    <phoneticPr fontId="2" type="noConversion"/>
  </si>
  <si>
    <t xml:space="preserve"> [ʥ]</t>
    <phoneticPr fontId="2" type="noConversion"/>
  </si>
  <si>
    <t>牀</t>
    <phoneticPr fontId="2" type="noConversion"/>
  </si>
  <si>
    <t>台語沒有華語的捲舌音（zh, ch, sh, r），中古漢語的捲舌音在台語裡一律讀作舌尖音。 </t>
  </si>
  <si>
    <t>止</t>
    <phoneticPr fontId="2" type="noConversion"/>
  </si>
  <si>
    <t>且</t>
    <phoneticPr fontId="2" type="noConversion"/>
  </si>
  <si>
    <r>
      <t>[ʈ] 知</t>
    </r>
    <r>
      <rPr>
        <sz val="24"/>
        <rFont val="Arial"/>
        <family val="2"/>
      </rPr>
      <t> </t>
    </r>
  </si>
  <si>
    <t xml:space="preserve"> [ɕ]</t>
    <phoneticPr fontId="2" type="noConversion"/>
  </si>
  <si>
    <t>審</t>
    <phoneticPr fontId="2" type="noConversion"/>
  </si>
  <si>
    <t>[ʑ]</t>
    <phoneticPr fontId="2" type="noConversion"/>
  </si>
  <si>
    <t>禪</t>
    <phoneticPr fontId="2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</si>
  <si>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>（不送氣清音）。 </t>
    </r>
  </si>
  <si>
    <r>
      <t xml:space="preserve">ㄙ
ㄗ
</t>
    </r>
    <r>
      <rPr>
        <sz val="12"/>
        <color theme="7" tint="-0.249977111117893"/>
        <rFont val="Noto Sans TC"/>
        <family val="2"/>
        <charset val="136"/>
      </rPr>
      <t>ㄘ</t>
    </r>
    <phoneticPr fontId="2" type="noConversion"/>
  </si>
  <si>
    <t>時
曾
出</t>
    <phoneticPr fontId="2" type="noConversion"/>
  </si>
  <si>
    <r>
      <t>舉例：</t>
    </r>
    <r>
      <rPr>
        <sz val="24"/>
        <rFont val="Arial"/>
        <family val="2"/>
      </rPr>
      <t xml:space="preserve"> 「知」台羅 </t>
    </r>
    <r>
      <rPr>
        <b/>
        <sz val="24"/>
        <rFont val="Arial"/>
        <family val="2"/>
      </rPr>
      <t>tsi</t>
    </r>
    <r>
      <rPr>
        <sz val="24"/>
        <rFont val="Arial"/>
        <family val="2"/>
      </rPr>
      <t xml:space="preserve">，例如「知影 (tsi-iann)」；「張」台羅 </t>
    </r>
    <r>
      <rPr>
        <b/>
        <sz val="24"/>
        <rFont val="Arial"/>
        <family val="2"/>
      </rPr>
      <t>tiunn</t>
    </r>
    <r>
      <rPr>
        <sz val="24"/>
        <rFont val="Arial"/>
        <family val="2"/>
      </rPr>
      <t>。 </t>
    </r>
  </si>
  <si>
    <t>牙音</t>
    <phoneticPr fontId="2" type="noConversion"/>
  </si>
  <si>
    <t>舌根</t>
    <phoneticPr fontId="2" type="noConversion"/>
  </si>
  <si>
    <t xml:space="preserve"> [k]</t>
    <phoneticPr fontId="2" type="noConversion"/>
  </si>
  <si>
    <t>見</t>
    <phoneticPr fontId="2" type="noConversion"/>
  </si>
  <si>
    <t xml:space="preserve"> [kʰ]</t>
    <phoneticPr fontId="2" type="noConversion"/>
  </si>
  <si>
    <t>溪</t>
    <phoneticPr fontId="2" type="noConversion"/>
  </si>
  <si>
    <t xml:space="preserve"> [g]</t>
    <phoneticPr fontId="2" type="noConversion"/>
  </si>
  <si>
    <t xml:space="preserve"> [ŋ]</t>
    <phoneticPr fontId="2" type="noConversion"/>
  </si>
  <si>
    <t>疑</t>
    <phoneticPr fontId="2" type="noConversion"/>
  </si>
  <si>
    <r>
      <t>[ʈʰ] 徹</t>
    </r>
    <r>
      <rPr>
        <sz val="24"/>
        <rFont val="Arial"/>
        <family val="2"/>
      </rPr>
      <t> </t>
    </r>
  </si>
  <si>
    <t>ㄍ</t>
    <phoneticPr fontId="2" type="noConversion"/>
  </si>
  <si>
    <t>求</t>
    <phoneticPr fontId="2" type="noConversion"/>
  </si>
  <si>
    <t>ㆣ</t>
    <phoneticPr fontId="2" type="noConversion"/>
  </si>
  <si>
    <t>語</t>
    <phoneticPr fontId="2" type="noConversion"/>
  </si>
  <si>
    <t>雅</t>
    <phoneticPr fontId="2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</si>
  <si>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（送氣清音）。 </t>
    </r>
  </si>
  <si>
    <t>喉音</t>
  </si>
  <si>
    <t>[ʔ]</t>
    <phoneticPr fontId="2" type="noConversion"/>
  </si>
  <si>
    <t>影</t>
    <phoneticPr fontId="2" type="noConversion"/>
  </si>
  <si>
    <r>
      <t>舉例：</t>
    </r>
    <r>
      <rPr>
        <sz val="24"/>
        <rFont val="Arial"/>
        <family val="2"/>
      </rPr>
      <t xml:space="preserve"> 「徹」台羅 </t>
    </r>
    <r>
      <rPr>
        <b/>
        <sz val="24"/>
        <rFont val="Arial"/>
        <family val="2"/>
      </rPr>
      <t>thiat</t>
    </r>
    <r>
      <rPr>
        <sz val="24"/>
        <rFont val="Arial"/>
        <family val="2"/>
      </rPr>
      <t xml:space="preserve">；「出」台羅 </t>
    </r>
    <r>
      <rPr>
        <b/>
        <sz val="24"/>
        <rFont val="Arial"/>
        <family val="2"/>
      </rPr>
      <t>tshut</t>
    </r>
    <r>
      <rPr>
        <sz val="24"/>
        <rFont val="Arial"/>
        <family val="2"/>
      </rPr>
      <t>，例如「出來 (tshut-lâi)」。 </t>
    </r>
  </si>
  <si>
    <t>Ø</t>
    <phoneticPr fontId="2" type="noConversion"/>
  </si>
  <si>
    <t>英</t>
    <phoneticPr fontId="2" type="noConversion"/>
  </si>
  <si>
    <r>
      <t>[ɖ] 澄</t>
    </r>
    <r>
      <rPr>
        <sz val="24"/>
        <rFont val="Arial"/>
        <family val="2"/>
      </rPr>
      <t> </t>
    </r>
  </si>
  <si>
    <t>[x]</t>
    <phoneticPr fontId="2" type="noConversion"/>
  </si>
  <si>
    <t>曉</t>
    <phoneticPr fontId="2" type="noConversion"/>
  </si>
  <si>
    <r>
      <rPr>
        <sz val="28"/>
        <color theme="1"/>
        <rFont val="Noto Sans TC Black"/>
        <family val="2"/>
        <charset val="136"/>
      </rPr>
      <t>[</t>
    </r>
    <r>
      <rPr>
        <sz val="28"/>
        <color theme="1"/>
        <rFont val="Charis SIL"/>
      </rPr>
      <t>ɣ</t>
    </r>
    <r>
      <rPr>
        <sz val="28"/>
        <color theme="1"/>
        <rFont val="Noto Sans TC Black"/>
        <family val="2"/>
        <charset val="136"/>
      </rPr>
      <t>]</t>
    </r>
    <phoneticPr fontId="2" type="noConversion"/>
  </si>
  <si>
    <t>匣</t>
    <phoneticPr fontId="2" type="noConversion"/>
  </si>
  <si>
    <r>
      <t>台羅拼音：</t>
    </r>
    <r>
      <rPr>
        <sz val="24"/>
        <rFont val="Arial"/>
        <family val="2"/>
      </rPr>
      <t xml:space="preserve"> 中古全濁音在台語依平仄清化，演變為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。 </t>
    </r>
  </si>
  <si>
    <r>
      <t xml:space="preserve">ㄏ（文）
</t>
    </r>
    <r>
      <rPr>
        <sz val="12"/>
        <color theme="7" tint="-0.249977111117893"/>
        <rFont val="Noto Sans TC"/>
        <family val="2"/>
        <charset val="136"/>
      </rPr>
      <t>ㆣ</t>
    </r>
    <r>
      <rPr>
        <sz val="12"/>
        <color theme="7" tint="-0.249977111117893"/>
        <rFont val="新細明體"/>
        <family val="1"/>
        <charset val="136"/>
        <scheme val="minor"/>
      </rPr>
      <t>（白）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ㄍ（白）</t>
    </r>
    <phoneticPr fontId="2" type="noConversion"/>
  </si>
  <si>
    <t>喜
語
求</t>
    <phoneticPr fontId="2" type="noConversion"/>
  </si>
  <si>
    <r>
      <t>舉例：</t>
    </r>
    <r>
      <rPr>
        <sz val="24"/>
        <rFont val="Arial"/>
        <family val="2"/>
      </rPr>
      <t xml:space="preserve"> 「茶」台羅 </t>
    </r>
    <r>
      <rPr>
        <b/>
        <sz val="24"/>
        <rFont val="Arial"/>
        <family val="2"/>
      </rPr>
      <t>tê</t>
    </r>
    <r>
      <rPr>
        <sz val="24"/>
        <rFont val="Arial"/>
        <family val="2"/>
      </rPr>
      <t xml:space="preserve">（澄母平聲轉 th/tsh）；「治」台羅 </t>
    </r>
    <r>
      <rPr>
        <b/>
        <sz val="24"/>
        <rFont val="Arial"/>
        <family val="2"/>
      </rPr>
      <t>tī</t>
    </r>
    <r>
      <rPr>
        <sz val="24"/>
        <rFont val="Arial"/>
        <family val="2"/>
      </rPr>
      <t>（澄母仄聲轉 ts）。 </t>
    </r>
  </si>
  <si>
    <t>半元音</t>
    <phoneticPr fontId="2" type="noConversion"/>
  </si>
  <si>
    <t>[j]</t>
    <phoneticPr fontId="2" type="noConversion"/>
  </si>
  <si>
    <t>喻</t>
    <phoneticPr fontId="2" type="noConversion"/>
  </si>
  <si>
    <r>
      <t>[ɳ] 娘</t>
    </r>
    <r>
      <rPr>
        <sz val="24"/>
        <rFont val="Arial"/>
        <family val="2"/>
      </rPr>
      <t> </t>
    </r>
  </si>
  <si>
    <t>零聲母帶介音</t>
    <phoneticPr fontId="2" type="noConversion"/>
  </si>
  <si>
    <t>i 或
ia/iu</t>
    <phoneticPr fontId="2" type="noConversion"/>
  </si>
  <si>
    <r>
      <t>台羅拼音：</t>
    </r>
    <r>
      <rPr>
        <sz val="24"/>
        <rFont val="Arial"/>
        <family val="2"/>
      </rPr>
      <t xml:space="preserve"> 與泥母合併，對應 </t>
    </r>
    <r>
      <rPr>
        <b/>
        <sz val="24"/>
        <rFont val="Arial"/>
        <family val="2"/>
      </rPr>
      <t>n</t>
    </r>
    <r>
      <rPr>
        <sz val="24"/>
        <rFont val="Arial"/>
        <family val="2"/>
      </rPr>
      <t xml:space="preserve"> 的發音。 </t>
    </r>
  </si>
  <si>
    <t>半舌音</t>
    <phoneticPr fontId="2" type="noConversion"/>
  </si>
  <si>
    <t>[l]</t>
    <phoneticPr fontId="2" type="noConversion"/>
  </si>
  <si>
    <t>來</t>
    <phoneticPr fontId="2" type="noConversion"/>
  </si>
  <si>
    <r>
      <t>舉例：</t>
    </r>
    <r>
      <rPr>
        <sz val="24"/>
        <rFont val="Arial"/>
        <family val="2"/>
      </rPr>
      <t xml:space="preserve"> 「娘」台羅 </t>
    </r>
    <r>
      <rPr>
        <b/>
        <sz val="24"/>
        <rFont val="Arial"/>
        <family val="2"/>
      </rPr>
      <t>niû</t>
    </r>
    <r>
      <rPr>
        <sz val="24"/>
        <rFont val="Arial"/>
        <family val="2"/>
      </rPr>
      <t xml:space="preserve">，例如「阿娘 (a-niû)」；「鈕」台羅 </t>
    </r>
    <r>
      <rPr>
        <b/>
        <sz val="24"/>
        <rFont val="Arial"/>
        <family val="2"/>
      </rPr>
      <t>liú/niú</t>
    </r>
    <r>
      <rPr>
        <sz val="24"/>
        <rFont val="Arial"/>
        <family val="2"/>
      </rPr>
      <t>。 </t>
    </r>
  </si>
  <si>
    <t>柳</t>
    <phoneticPr fontId="2" type="noConversion"/>
  </si>
  <si>
    <t>半齒音</t>
    <phoneticPr fontId="2" type="noConversion"/>
  </si>
  <si>
    <t xml:space="preserve"> [ɲʑ]</t>
    <phoneticPr fontId="2" type="noConversion"/>
  </si>
  <si>
    <t>日</t>
    <phoneticPr fontId="2" type="noConversion"/>
  </si>
  <si>
    <r>
      <t>3. 舌頭音（齒齦音）</t>
    </r>
    <r>
      <rPr>
        <sz val="24"/>
        <rFont val="Arial"/>
        <family val="2"/>
      </rPr>
      <t> </t>
    </r>
  </si>
  <si>
    <r>
      <t>[d] 定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</si>
  <si>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這是台語最具優勢的地方！中古全濁音 [d]，在台語平聲演變為送氣 </t>
    </r>
    <r>
      <rPr>
        <b/>
        <sz val="24"/>
        <rFont val="Arial"/>
        <family val="2"/>
      </rPr>
      <t>th</t>
    </r>
    <r>
      <rPr>
        <sz val="24"/>
        <rFont val="Arial"/>
        <family val="2"/>
      </rPr>
      <t xml:space="preserve">，仄聲演變為不送氣 </t>
    </r>
    <r>
      <rPr>
        <b/>
        <sz val="24"/>
        <rFont val="Arial"/>
        <family val="2"/>
      </rPr>
      <t>t</t>
    </r>
    <r>
      <rPr>
        <sz val="24"/>
        <rFont val="Arial"/>
        <family val="2"/>
      </rPr>
      <t>。 </t>
    </r>
  </si>
  <si>
    <r>
      <t xml:space="preserve">平聲轉 th：「頭」台羅 </t>
    </r>
    <r>
      <rPr>
        <b/>
        <sz val="24"/>
        <rFont val="Arial"/>
        <family val="2"/>
      </rPr>
      <t>thâu</t>
    </r>
    <r>
      <rPr>
        <sz val="24"/>
        <rFont val="Arial"/>
        <family val="2"/>
      </rPr>
      <t xml:space="preserve">（頭殼）、「天」台羅 </t>
    </r>
    <r>
      <rPr>
        <b/>
        <sz val="24"/>
        <rFont val="Arial"/>
        <family val="2"/>
      </rPr>
      <t>thian</t>
    </r>
    <r>
      <rPr>
        <sz val="24"/>
        <rFont val="Arial"/>
        <family val="2"/>
      </rPr>
      <t>。 </t>
    </r>
  </si>
  <si>
    <r>
      <t xml:space="preserve">仄聲轉 t：「地」台羅 </t>
    </r>
    <r>
      <rPr>
        <b/>
        <sz val="24"/>
        <rFont val="Arial"/>
        <family val="2"/>
      </rPr>
      <t>tē</t>
    </r>
    <r>
      <rPr>
        <sz val="24"/>
        <rFont val="Arial"/>
        <family val="2"/>
      </rPr>
      <t xml:space="preserve">（土地）、「大」台羅 </t>
    </r>
    <r>
      <rPr>
        <b/>
        <sz val="24"/>
        <rFont val="Arial"/>
        <family val="2"/>
      </rPr>
      <t>tuā/tāi</t>
    </r>
    <r>
      <rPr>
        <sz val="24"/>
        <rFont val="Arial"/>
        <family val="2"/>
      </rPr>
      <t>（大人）。 </t>
    </r>
  </si>
  <si>
    <r>
      <t>4. 齒音（擦音）</t>
    </r>
    <r>
      <rPr>
        <sz val="24"/>
        <rFont val="Arial"/>
        <family val="2"/>
      </rPr>
      <t> </t>
    </r>
  </si>
  <si>
    <r>
      <t>[z] 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</si>
  <si>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現代台語主要演變為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ts/j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</si>
  <si>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「俗」台羅 </t>
    </r>
    <r>
      <rPr>
        <b/>
        <sz val="24"/>
        <rFont val="Arial"/>
        <family val="2"/>
      </rPr>
      <t>sio̍k</t>
    </r>
    <r>
      <rPr>
        <sz val="24"/>
        <rFont val="Arial"/>
        <family val="2"/>
      </rPr>
      <t xml:space="preserve">（便宜）；「詞」台羅 </t>
    </r>
    <r>
      <rPr>
        <b/>
        <sz val="24"/>
        <rFont val="Arial"/>
        <family val="2"/>
      </rPr>
      <t>sû</t>
    </r>
    <r>
      <rPr>
        <sz val="24"/>
        <rFont val="Arial"/>
        <family val="2"/>
      </rPr>
      <t xml:space="preserve">；「徐」台羅 </t>
    </r>
    <r>
      <rPr>
        <b/>
        <sz val="24"/>
        <rFont val="Arial"/>
        <family val="2"/>
      </rPr>
      <t>tshî/sî</t>
    </r>
    <r>
      <rPr>
        <sz val="24"/>
        <rFont val="Arial"/>
        <family val="2"/>
      </rPr>
      <t>。 </t>
    </r>
  </si>
  <si>
    <r>
      <t>[ʑ] 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</si>
  <si>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</si>
  <si>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「是」台羅 </t>
    </r>
    <r>
      <rPr>
        <b/>
        <sz val="24"/>
        <rFont val="Arial"/>
        <family val="2"/>
      </rPr>
      <t>sī</t>
    </r>
    <r>
      <rPr>
        <sz val="24"/>
        <rFont val="Arial"/>
        <family val="2"/>
      </rPr>
      <t xml:space="preserve">（是毋是）；「常」台羅 </t>
    </r>
    <r>
      <rPr>
        <b/>
        <sz val="24"/>
        <rFont val="Arial"/>
        <family val="2"/>
      </rPr>
      <t>siông</t>
    </r>
    <r>
      <rPr>
        <sz val="24"/>
        <rFont val="Arial"/>
        <family val="2"/>
      </rPr>
      <t xml:space="preserve">；「時」台羅 </t>
    </r>
    <r>
      <rPr>
        <b/>
        <sz val="24"/>
        <rFont val="Arial"/>
        <family val="2"/>
      </rPr>
      <t>sî</t>
    </r>
    <r>
      <rPr>
        <sz val="24"/>
        <rFont val="Arial"/>
        <family val="2"/>
      </rPr>
      <t>。 </t>
    </r>
  </si>
  <si>
    <r>
      <t>5. 牙喉音、半元音、半齒音</t>
    </r>
    <r>
      <rPr>
        <sz val="24"/>
        <rFont val="Arial"/>
        <family val="2"/>
      </rPr>
      <t> </t>
    </r>
  </si>
  <si>
    <r>
      <t>[ɣ] 匣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</si>
  <si>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在台語中文讀音常對應 </t>
    </r>
    <r>
      <rPr>
        <b/>
        <sz val="24"/>
        <rFont val="Arial"/>
        <family val="2"/>
      </rPr>
      <t>h</t>
    </r>
    <r>
      <rPr>
        <sz val="24"/>
        <rFont val="Arial"/>
        <family val="2"/>
      </rPr>
      <t xml:space="preserve">，白讀音有時會保留軟顎濁音的痕跡而讀作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k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</si>
  <si>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「紅」台羅 </t>
    </r>
    <r>
      <rPr>
        <b/>
        <sz val="24"/>
        <rFont val="Arial"/>
        <family val="2"/>
      </rPr>
      <t>âng</t>
    </r>
    <r>
      <rPr>
        <sz val="24"/>
        <rFont val="Arial"/>
        <family val="2"/>
      </rPr>
      <t xml:space="preserve">（轉零聲母）/ </t>
    </r>
    <r>
      <rPr>
        <b/>
        <sz val="24"/>
        <rFont val="Arial"/>
        <family val="2"/>
      </rPr>
      <t>hông</t>
    </r>
    <r>
      <rPr>
        <sz val="24"/>
        <rFont val="Arial"/>
        <family val="2"/>
      </rPr>
      <t xml:space="preserve">；「河」台羅 </t>
    </r>
    <r>
      <rPr>
        <b/>
        <sz val="24"/>
        <rFont val="Arial"/>
        <family val="2"/>
      </rPr>
      <t>hô</t>
    </r>
    <r>
      <rPr>
        <sz val="24"/>
        <rFont val="Arial"/>
        <family val="2"/>
      </rPr>
      <t xml:space="preserve">；「寒」台羅 </t>
    </r>
    <r>
      <rPr>
        <b/>
        <sz val="24"/>
        <rFont val="Arial"/>
        <family val="2"/>
      </rPr>
      <t>hân</t>
    </r>
    <r>
      <rPr>
        <sz val="24"/>
        <rFont val="Arial"/>
        <family val="2"/>
      </rPr>
      <t>。 </t>
    </r>
  </si>
  <si>
    <r>
      <t>[j] 喻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</si>
  <si>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對應台羅的 </t>
    </r>
    <r>
      <rPr>
        <b/>
        <sz val="24"/>
        <rFont val="Arial"/>
        <family val="2"/>
      </rPr>
      <t>i</t>
    </r>
    <r>
      <rPr>
        <sz val="24"/>
        <rFont val="Arial"/>
        <family val="2"/>
      </rPr>
      <t xml:space="preserve">（零聲母帶介音）或 </t>
    </r>
    <r>
      <rPr>
        <b/>
        <sz val="24"/>
        <rFont val="Arial"/>
        <family val="2"/>
      </rPr>
      <t>iâ/iû</t>
    </r>
    <r>
      <rPr>
        <sz val="24"/>
        <rFont val="Arial"/>
        <family val="2"/>
      </rPr>
      <t xml:space="preserve"> 等發音。 </t>
    </r>
  </si>
  <si>
    <r>
      <t>舉例：</t>
    </r>
    <r>
      <rPr>
        <sz val="24"/>
        <rFont val="Arial"/>
        <family val="2"/>
      </rPr>
      <t xml:space="preserve"> 「喻」台羅 </t>
    </r>
    <r>
      <rPr>
        <b/>
        <sz val="24"/>
        <rFont val="Arial"/>
        <family val="2"/>
      </rPr>
      <t>jū/gū</t>
    </r>
    <r>
      <rPr>
        <sz val="24"/>
        <rFont val="Arial"/>
        <family val="2"/>
      </rPr>
      <t xml:space="preserve">；「雨」台羅 </t>
    </r>
    <r>
      <rPr>
        <b/>
        <sz val="24"/>
        <rFont val="Arial"/>
        <family val="2"/>
      </rPr>
      <t>hōo/ú</t>
    </r>
    <r>
      <rPr>
        <sz val="24"/>
        <rFont val="Arial"/>
        <family val="2"/>
      </rPr>
      <t xml:space="preserve">；「夜」台羅 </t>
    </r>
    <r>
      <rPr>
        <b/>
        <sz val="24"/>
        <rFont val="Arial"/>
        <family val="2"/>
      </rPr>
      <t>iā</t>
    </r>
    <r>
      <rPr>
        <sz val="24"/>
        <rFont val="Arial"/>
        <family val="2"/>
      </rPr>
      <t>（暗夜）。 </t>
    </r>
  </si>
  <si>
    <r>
      <t>[ɲʑ] 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</si>
  <si>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完美對應台羅的 </t>
    </r>
    <r>
      <rPr>
        <b/>
        <sz val="24"/>
        <rFont val="Arial"/>
        <family val="2"/>
      </rPr>
      <t>j</t>
    </r>
    <r>
      <rPr>
        <sz val="24"/>
        <rFont val="Arial"/>
        <family val="2"/>
      </rPr>
      <t xml:space="preserve">（濁齒齦擦音/近音，中南部偏向讀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l</t>
    </r>
    <r>
      <rPr>
        <sz val="24"/>
        <rFont val="Arial"/>
        <family val="2"/>
      </rPr>
      <t>）。 </t>
    </r>
  </si>
  <si>
    <r>
      <t>舉例：</t>
    </r>
    <r>
      <rPr>
        <sz val="24"/>
        <rFont val="Arial"/>
        <family val="2"/>
      </rPr>
      <t xml:space="preserve"> 「日」台羅 </t>
    </r>
    <r>
      <rPr>
        <b/>
        <sz val="24"/>
        <rFont val="Arial"/>
        <family val="2"/>
      </rPr>
      <t>ji̍t</t>
    </r>
    <r>
      <rPr>
        <sz val="24"/>
        <rFont val="Arial"/>
        <family val="2"/>
      </rPr>
      <t xml:space="preserve">（日頭）；「肉」台羅 </t>
    </r>
    <r>
      <rPr>
        <b/>
        <sz val="24"/>
        <rFont val="Arial"/>
        <family val="2"/>
      </rPr>
      <t>bah</t>
    </r>
    <r>
      <rPr>
        <sz val="24"/>
        <rFont val="Arial"/>
        <family val="2"/>
      </rPr>
      <t xml:space="preserve">（特殊白讀）/ </t>
    </r>
    <r>
      <rPr>
        <b/>
        <sz val="24"/>
        <rFont val="Arial"/>
        <family val="2"/>
      </rPr>
      <t>jio̍k</t>
    </r>
    <r>
      <rPr>
        <sz val="24"/>
        <rFont val="Arial"/>
        <family val="2"/>
      </rPr>
      <t xml:space="preserve">（文讀）；「人」台羅 </t>
    </r>
    <r>
      <rPr>
        <b/>
        <sz val="24"/>
        <rFont val="Arial"/>
        <family val="2"/>
      </rPr>
      <t>jîn</t>
    </r>
    <r>
      <rPr>
        <sz val="24"/>
        <rFont val="Arial"/>
        <family val="2"/>
      </rPr>
      <t>（人類）。 </t>
    </r>
  </si>
  <si>
    <t>發音部位</t>
    <phoneticPr fontId="2" type="noConversion"/>
  </si>
  <si>
    <t>清塞音或塞擦音</t>
    <phoneticPr fontId="2" type="noConversion"/>
  </si>
  <si>
    <t>濁音</t>
    <phoneticPr fontId="2" type="noConversion"/>
  </si>
  <si>
    <t>鼻音</t>
    <phoneticPr fontId="2" type="noConversion"/>
  </si>
  <si>
    <t>擦音</t>
    <phoneticPr fontId="2" type="noConversion"/>
  </si>
  <si>
    <t>邊音</t>
    <phoneticPr fontId="2" type="noConversion"/>
  </si>
  <si>
    <t>不送氣</t>
    <phoneticPr fontId="2" type="noConversion"/>
  </si>
  <si>
    <t>送氣</t>
    <phoneticPr fontId="2" type="noConversion"/>
  </si>
  <si>
    <t xml:space="preserve"> /p/</t>
    <phoneticPr fontId="2" type="noConversion"/>
  </si>
  <si>
    <t>b</t>
    <phoneticPr fontId="2" type="noConversion"/>
  </si>
  <si>
    <t xml:space="preserve"> /pʰ/</t>
  </si>
  <si>
    <t>p</t>
    <phoneticPr fontId="2" type="noConversion"/>
  </si>
  <si>
    <t xml:space="preserve"> /b/</t>
  </si>
  <si>
    <t>bb</t>
    <phoneticPr fontId="2" type="noConversion"/>
  </si>
  <si>
    <t xml:space="preserve"> /m/</t>
  </si>
  <si>
    <t>m</t>
    <phoneticPr fontId="2" type="noConversion"/>
  </si>
  <si>
    <t/>
  </si>
  <si>
    <t>舌尖音</t>
  </si>
  <si>
    <t xml:space="preserve"> /t/</t>
  </si>
  <si>
    <t>d</t>
    <phoneticPr fontId="2" type="noConversion"/>
  </si>
  <si>
    <t xml:space="preserve"> /tʰ/</t>
  </si>
  <si>
    <t>t</t>
    <phoneticPr fontId="2" type="noConversion"/>
  </si>
  <si>
    <t xml:space="preserve"> /n/</t>
  </si>
  <si>
    <t>n</t>
    <phoneticPr fontId="2" type="noConversion"/>
  </si>
  <si>
    <t xml:space="preserve"> /l/</t>
  </si>
  <si>
    <t>l</t>
    <phoneticPr fontId="2" type="noConversion"/>
  </si>
  <si>
    <t>舌齒音</t>
  </si>
  <si>
    <t xml:space="preserve"> /ʦ/</t>
  </si>
  <si>
    <t>z</t>
    <phoneticPr fontId="2" type="noConversion"/>
  </si>
  <si>
    <t xml:space="preserve"> /ʦʰ/</t>
  </si>
  <si>
    <t>c</t>
    <phoneticPr fontId="2" type="noConversion"/>
  </si>
  <si>
    <t xml:space="preserve"> /ʣ/</t>
  </si>
  <si>
    <t>j</t>
    <phoneticPr fontId="2" type="noConversion"/>
  </si>
  <si>
    <t xml:space="preserve"> /s/</t>
  </si>
  <si>
    <t>s</t>
    <phoneticPr fontId="2" type="noConversion"/>
  </si>
  <si>
    <t>熱</t>
    <phoneticPr fontId="2" type="noConversion"/>
  </si>
  <si>
    <t>齦顎音</t>
  </si>
  <si>
    <t xml:space="preserve"> /ʨ/</t>
  </si>
  <si>
    <t>zz(i)</t>
    <phoneticPr fontId="2" type="noConversion"/>
  </si>
  <si>
    <t xml:space="preserve"> /ʨʰ/</t>
  </si>
  <si>
    <t>ch(i)</t>
    <phoneticPr fontId="2" type="noConversion"/>
  </si>
  <si>
    <t xml:space="preserve"> /ʥ/</t>
  </si>
  <si>
    <t>jj(i)</t>
    <phoneticPr fontId="2" type="noConversion"/>
  </si>
  <si>
    <t xml:space="preserve"> /ɕ/</t>
  </si>
  <si>
    <t>sh(i)</t>
    <phoneticPr fontId="2" type="noConversion"/>
  </si>
  <si>
    <t>舌根音</t>
  </si>
  <si>
    <t xml:space="preserve"> /k/</t>
  </si>
  <si>
    <t>g</t>
    <phoneticPr fontId="2" type="noConversion"/>
  </si>
  <si>
    <t xml:space="preserve"> /kʰ/</t>
  </si>
  <si>
    <t>k</t>
    <phoneticPr fontId="2" type="noConversion"/>
  </si>
  <si>
    <t xml:space="preserve"> /g/</t>
  </si>
  <si>
    <t>gg</t>
    <phoneticPr fontId="2" type="noConversion"/>
  </si>
  <si>
    <t xml:space="preserve"> /ŋ/</t>
  </si>
  <si>
    <t>ng</t>
    <phoneticPr fontId="2" type="noConversion"/>
  </si>
  <si>
    <t xml:space="preserve"> /h/</t>
  </si>
  <si>
    <t>h</t>
    <phoneticPr fontId="2" type="noConversion"/>
  </si>
  <si>
    <t>喜</t>
    <phoneticPr fontId="2" type="noConversion"/>
  </si>
  <si>
    <t>零聲母</t>
  </si>
  <si>
    <t>零聲母</t>
    <phoneticPr fontId="2" type="noConversion"/>
  </si>
  <si>
    <t>ʔ</t>
  </si>
  <si>
    <t>邊</t>
    <phoneticPr fontId="52" type="noConversion"/>
  </si>
  <si>
    <t>b</t>
    <phoneticPr fontId="52" type="noConversion"/>
  </si>
  <si>
    <t>bbn</t>
    <phoneticPr fontId="52" type="noConversion"/>
  </si>
  <si>
    <t>門</t>
    <phoneticPr fontId="52" type="noConversion"/>
  </si>
  <si>
    <t>bb</t>
    <phoneticPr fontId="52" type="noConversion"/>
  </si>
  <si>
    <t>ln</t>
    <phoneticPr fontId="52" type="noConversion"/>
  </si>
  <si>
    <t>ggn</t>
    <phoneticPr fontId="52" type="noConversion"/>
  </si>
  <si>
    <t>地</t>
    <phoneticPr fontId="52" type="noConversion"/>
  </si>
  <si>
    <t>求</t>
    <phoneticPr fontId="52" type="noConversion"/>
  </si>
  <si>
    <t>語</t>
    <phoneticPr fontId="52" type="noConversion"/>
  </si>
  <si>
    <t>gg</t>
    <phoneticPr fontId="52" type="noConversion"/>
  </si>
  <si>
    <t>英</t>
    <phoneticPr fontId="52" type="noConversion"/>
  </si>
  <si>
    <t>p</t>
    <phoneticPr fontId="52" type="noConversion"/>
  </si>
  <si>
    <t>頗</t>
    <phoneticPr fontId="52" type="noConversion"/>
  </si>
  <si>
    <t>曾</t>
    <phoneticPr fontId="52" type="noConversion"/>
  </si>
  <si>
    <t>zzi</t>
    <phoneticPr fontId="52" type="noConversion"/>
  </si>
  <si>
    <t>入</t>
    <phoneticPr fontId="52" type="noConversion"/>
  </si>
  <si>
    <t>zi</t>
    <phoneticPr fontId="52" type="noConversion"/>
  </si>
  <si>
    <t>ci</t>
    <phoneticPr fontId="52" type="noConversion"/>
  </si>
  <si>
    <t>出</t>
    <phoneticPr fontId="52" type="noConversion"/>
  </si>
  <si>
    <t>時</t>
    <phoneticPr fontId="52" type="noConversion"/>
  </si>
  <si>
    <t>他</t>
    <phoneticPr fontId="52" type="noConversion"/>
  </si>
  <si>
    <t>柳</t>
    <phoneticPr fontId="53" type="noConversion"/>
  </si>
  <si>
    <t>去</t>
    <phoneticPr fontId="52" type="noConversion"/>
  </si>
  <si>
    <t>喜</t>
    <phoneticPr fontId="52" type="noConversion"/>
  </si>
  <si>
    <t>pʰ</t>
    <phoneticPr fontId="52" type="noConversion"/>
  </si>
  <si>
    <t>ʣ</t>
    <phoneticPr fontId="52" type="noConversion"/>
  </si>
  <si>
    <t>ʦʰ</t>
    <phoneticPr fontId="52" type="noConversion"/>
  </si>
  <si>
    <t>ʥ</t>
    <phoneticPr fontId="52" type="noConversion"/>
  </si>
  <si>
    <t>ʨ</t>
    <phoneticPr fontId="52" type="noConversion"/>
  </si>
  <si>
    <t>ʨʰ</t>
    <phoneticPr fontId="52" type="noConversion"/>
  </si>
  <si>
    <t>ɕ</t>
    <phoneticPr fontId="52" type="noConversion"/>
  </si>
  <si>
    <t>3ʔ</t>
    <phoneticPr fontId="2" type="noConversion"/>
  </si>
  <si>
    <t>4ʔ</t>
    <phoneticPr fontId="2" type="noConversion"/>
  </si>
  <si>
    <t>gun¹</t>
  </si>
  <si>
    <t>gun²</t>
  </si>
  <si>
    <t>gun³</t>
  </si>
  <si>
    <t>gun⁵</t>
  </si>
  <si>
    <t>gun⁶</t>
  </si>
  <si>
    <t>gut⁷</t>
  </si>
  <si>
    <t>gut⁸</t>
  </si>
  <si>
    <t xml:space="preserve">gūn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</si>
</sst>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[ &quot;@&quot; ]&quot;"/>
    <numFmt numFmtId="177" formatCode="&quot;[&quot;@&quot;]&quot;"/>
  </numFmts>
  <fonts count="106">
    <font>
      <sz val="12"/>
      <color theme="1"/>
      <name val="新細明體"/>
      <family val="2"/>
      <charset val="136"/>
      <scheme val="minor"/>
    </font>
    <font>
      <b/>
      <sz val="36"/>
      <color theme="1"/>
      <name val="霞鶩文楷 TC"/>
      <family val="1"/>
      <charset val="136"/>
    </font>
    <font>
      <sz val="9"/>
      <name val="新細明體"/>
      <family val="2"/>
      <charset val="136"/>
      <scheme val="minor"/>
    </font>
    <font>
      <b/>
      <sz val="20"/>
      <color rgb="FFFF0000"/>
      <name val="Arial"/>
      <family val="2"/>
    </font>
    <font>
      <b/>
      <sz val="36"/>
      <color theme="4"/>
      <name val="Noto Serif TC Black"/>
      <family val="1"/>
      <charset val="136"/>
    </font>
    <font>
      <b/>
      <sz val="36"/>
      <color theme="8"/>
      <name val="Noto Serif TC Black"/>
      <family val="1"/>
      <charset val="136"/>
    </font>
    <font>
      <b/>
      <sz val="36"/>
      <color theme="0" tint="-0.34998626667073579"/>
      <name val="Noto Serif TC Black"/>
      <family val="1"/>
      <charset val="136"/>
    </font>
    <font>
      <b/>
      <sz val="22"/>
      <color theme="0" tint="-0.34998626667073579"/>
      <name val="Noto Serif TC Black"/>
      <family val="1"/>
      <charset val="136"/>
    </font>
    <font>
      <b/>
      <sz val="36"/>
      <color theme="5" tint="0.39997558519241921"/>
      <name val="Noto Serif TC Black"/>
      <family val="1"/>
      <charset val="136"/>
    </font>
    <font>
      <b/>
      <sz val="22"/>
      <color theme="5" tint="0.39997558519241921"/>
      <name val="Noto Serif TC Black"/>
      <family val="1"/>
      <charset val="136"/>
    </font>
    <font>
      <b/>
      <sz val="36"/>
      <color theme="1"/>
      <name val="Noto Serif TC Black"/>
      <family val="1"/>
      <charset val="136"/>
    </font>
    <font>
      <sz val="16"/>
      <color rgb="FF000000"/>
      <name val="新細明體"/>
      <family val="1"/>
      <charset val="136"/>
      <scheme val="minor"/>
    </font>
    <font>
      <sz val="36"/>
      <color rgb="FF000000"/>
      <name val="Noto Serif TC Black"/>
      <family val="1"/>
      <charset val="136"/>
    </font>
    <font>
      <sz val="36"/>
      <color theme="1"/>
      <name val="Noto Serif TC Black"/>
      <family val="1"/>
    </font>
    <font>
      <sz val="36"/>
      <color theme="0" tint="-0.14999847407452621"/>
      <name val="Noto Serif TC Black"/>
      <family val="1"/>
    </font>
    <font>
      <b/>
      <sz val="22"/>
      <color theme="8"/>
      <name val="Noto Serif TC Black"/>
      <family val="1"/>
      <charset val="136"/>
    </font>
    <font>
      <b/>
      <sz val="16"/>
      <color theme="0"/>
      <name val="Noto Sans TC Medium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6"/>
      <color theme="1"/>
      <name val="Noto Sans TC"/>
      <family val="2"/>
      <charset val="136"/>
    </font>
    <font>
      <sz val="16"/>
      <color theme="1"/>
      <name val="Noto Serif TC Black"/>
      <family val="1"/>
      <charset val="136"/>
    </font>
    <font>
      <sz val="18"/>
      <color theme="1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18"/>
      <color theme="1"/>
      <name val="Noto Serif TC Black"/>
      <family val="1"/>
      <charset val="136"/>
    </font>
    <font>
      <sz val="20"/>
      <color theme="1"/>
      <name val="Noto Sans TC"/>
      <family val="2"/>
      <charset val="136"/>
    </font>
    <font>
      <sz val="10"/>
      <color rgb="FF000000"/>
      <name val="新細明體"/>
      <family val="1"/>
      <charset val="136"/>
      <scheme val="minor"/>
    </font>
    <font>
      <sz val="20"/>
      <color theme="1"/>
      <name val="Noto Sans TC Medium"/>
      <family val="2"/>
    </font>
    <font>
      <b/>
      <sz val="36"/>
      <color rgb="FFFF0000"/>
      <name val="Noto Serif TC Black"/>
      <family val="1"/>
      <charset val="136"/>
    </font>
    <font>
      <u/>
      <sz val="12"/>
      <color theme="10"/>
      <name val="Noto Sans TC Medium"/>
      <family val="2"/>
    </font>
    <font>
      <sz val="18"/>
      <color theme="1"/>
      <name val="Noto Serif TC Black"/>
      <family val="1"/>
    </font>
    <font>
      <u/>
      <sz val="12"/>
      <color theme="10"/>
      <name val="Arial"/>
      <family val="2"/>
      <charset val="254"/>
    </font>
    <font>
      <sz val="36"/>
      <color theme="1"/>
      <name val="Charis SIL"/>
    </font>
    <font>
      <sz val="36"/>
      <color theme="7"/>
      <name val="Charis SIL"/>
    </font>
    <font>
      <sz val="36"/>
      <color theme="0" tint="-0.14999847407452621"/>
      <name val="Charis SIL"/>
    </font>
    <font>
      <sz val="24"/>
      <color theme="1"/>
      <name val="Charis SIL"/>
    </font>
    <font>
      <sz val="24"/>
      <color theme="1"/>
      <name val="Noto Sans TC"/>
      <family val="2"/>
      <charset val="136"/>
    </font>
    <font>
      <sz val="18"/>
      <color theme="1"/>
      <name val="Charis SIL"/>
    </font>
    <font>
      <sz val="18"/>
      <color theme="1"/>
      <name val="霞鶩文楷等寬 TC Medium"/>
      <family val="3"/>
      <charset val="136"/>
    </font>
    <font>
      <sz val="18"/>
      <color theme="1"/>
      <name val="Noto Sans HK"/>
      <family val="2"/>
      <charset val="136"/>
    </font>
    <font>
      <sz val="16"/>
      <color theme="1"/>
      <name val="霞鶩文楷等寬 TC Medium"/>
      <family val="3"/>
      <charset val="136"/>
    </font>
    <font>
      <sz val="12"/>
      <color rgb="FF0C0301"/>
      <name val="Noto Sans TC Medium"/>
      <family val="2"/>
      <charset val="136"/>
    </font>
    <font>
      <b/>
      <sz val="36"/>
      <color theme="0"/>
      <name val="Noto Serif TC Black"/>
      <family val="1"/>
    </font>
    <font>
      <b/>
      <sz val="36"/>
      <color rgb="FFFFFFCC"/>
      <name val="Noto Serif TC Black"/>
      <family val="1"/>
      <charset val="136"/>
    </font>
    <font>
      <b/>
      <sz val="36"/>
      <color rgb="FFFFFFCC"/>
      <name val="Noto Serif TC Black"/>
      <family val="1"/>
    </font>
    <font>
      <sz val="28"/>
      <color rgb="FFC00000"/>
      <name val="標楷體"/>
      <family val="4"/>
      <charset val="136"/>
    </font>
    <font>
      <b/>
      <sz val="36"/>
      <color rgb="FFC00000"/>
      <name val="Charis SIL"/>
    </font>
    <font>
      <b/>
      <sz val="36"/>
      <color theme="8" tint="-0.249977111117893"/>
      <name val="Charis SIL"/>
    </font>
    <font>
      <sz val="26"/>
      <color theme="1"/>
      <name val="Noto Serif TC Black"/>
      <family val="1"/>
    </font>
    <font>
      <sz val="18"/>
      <color rgb="FF0070C0"/>
      <name val="Noto Sans TC Medium"/>
      <family val="2"/>
      <charset val="136"/>
    </font>
    <font>
      <sz val="18"/>
      <color rgb="FF0070C0"/>
      <name val="Noto Sans HK"/>
      <family val="2"/>
      <charset val="136"/>
    </font>
    <font>
      <sz val="9"/>
      <name val="cwTeX 仿宋體"/>
      <family val="3"/>
      <charset val="136"/>
    </font>
    <font>
      <sz val="9"/>
      <name val="Noto Sans TC"/>
      <family val="2"/>
      <charset val="136"/>
    </font>
    <font>
      <sz val="18"/>
      <color rgb="FF1155CC"/>
      <name val="Noto Sans TC Medium"/>
      <family val="2"/>
      <charset val="136"/>
    </font>
    <font>
      <b/>
      <sz val="26"/>
      <color theme="9"/>
      <name val="Charis SIL"/>
    </font>
    <font>
      <sz val="10"/>
      <color rgb="FF000000"/>
      <name val="蘋方-繁 標準體"/>
      <charset val="136"/>
    </font>
    <font>
      <sz val="36"/>
      <color rgb="FFFF0000"/>
      <name val="Noto Serif TC Black"/>
      <family val="1"/>
      <charset val="136"/>
    </font>
    <font>
      <sz val="22"/>
      <color rgb="FF000000"/>
      <name val="Noto Sans HK"/>
      <family val="2"/>
      <charset val="136"/>
    </font>
    <font>
      <sz val="24"/>
      <color rgb="FFC00000"/>
      <name val="Noto Sans TC Black"/>
      <family val="2"/>
      <charset val="136"/>
    </font>
    <font>
      <sz val="32"/>
      <color rgb="FFC00000"/>
      <name val="Noto Sans TC Black"/>
      <family val="2"/>
      <charset val="136"/>
    </font>
    <font>
      <b/>
      <sz val="26"/>
      <color rgb="FF0070C0"/>
      <name val="Charis SIL"/>
    </font>
    <font>
      <sz val="14"/>
      <color rgb="FF999999"/>
      <name val="蘋方-繁 標準體"/>
      <charset val="136"/>
    </font>
    <font>
      <b/>
      <sz val="28"/>
      <color theme="9"/>
      <name val="Charis SIL"/>
    </font>
    <font>
      <b/>
      <sz val="28"/>
      <color rgb="FF0070C0"/>
      <name val="Charis SIL"/>
    </font>
    <font>
      <sz val="18"/>
      <color rgb="FF000000"/>
      <name val="Noto Sans HK"/>
      <family val="2"/>
      <charset val="136"/>
    </font>
    <font>
      <sz val="18"/>
      <color rgb="FF000000"/>
      <name val="Noto Sans TC Medium"/>
      <family val="2"/>
      <charset val="136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8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sz val="24"/>
      <name val="Arial"/>
      <family val="2"/>
    </font>
    <font>
      <b/>
      <sz val="24"/>
      <name val="Arial"/>
      <family val="2"/>
    </font>
    <font>
      <b/>
      <sz val="16"/>
      <color theme="1"/>
      <name val="Noto Serif TC Black"/>
      <family val="1"/>
      <charset val="136"/>
    </font>
    <font>
      <sz val="24"/>
      <name val="Times New Roman"/>
      <family val="1"/>
    </font>
    <font>
      <b/>
      <sz val="20"/>
      <color rgb="FF0C0301"/>
      <name val="Noto Serif TC Black"/>
      <family val="1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Charis SIL"/>
    </font>
    <font>
      <sz val="28"/>
      <color theme="8" tint="-0.249977111117893"/>
      <name val="Noto Sans TC Black"/>
      <family val="2"/>
      <charset val="136"/>
    </font>
    <font>
      <sz val="28"/>
      <color theme="1"/>
      <name val="Times New Roman"/>
      <family val="1"/>
      <charset val="1"/>
    </font>
    <font>
      <sz val="28"/>
      <color theme="1"/>
      <name val="新細明體"/>
      <family val="1"/>
      <charset val="136"/>
      <scheme val="minor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36"/>
      <color theme="9" tint="-0.249977111117893"/>
      <name val="吳守禮標楷台語破音01"/>
      <family val="3"/>
      <charset val="136"/>
    </font>
    <font>
      <sz val="28"/>
      <color theme="1"/>
      <name val="Segoe UI"/>
      <family val="1"/>
      <charset val="1"/>
    </font>
    <font>
      <sz val="28"/>
      <color theme="1"/>
      <name val="新細明體"/>
      <family val="1"/>
      <scheme val="minor"/>
    </font>
    <font>
      <sz val="28"/>
      <color theme="1"/>
      <name val="細明體"/>
      <family val="1"/>
      <charset val="136"/>
    </font>
    <font>
      <sz val="12"/>
      <color theme="7" tint="-0.249977111117893"/>
      <name val="新細明體"/>
      <family val="2"/>
      <charset val="136"/>
      <scheme val="minor"/>
    </font>
    <font>
      <sz val="12"/>
      <color theme="7" tint="-0.249977111117893"/>
      <name val="Noto Sans TC"/>
      <family val="2"/>
      <charset val="136"/>
    </font>
    <font>
      <sz val="12"/>
      <color theme="7" tint="-0.249977111117893"/>
      <name val="新細明體"/>
      <family val="1"/>
      <scheme val="minor"/>
    </font>
    <font>
      <sz val="12"/>
      <color theme="9" tint="-0.249977111117893"/>
      <name val="吳守禮標楷台語注音"/>
      <family val="3"/>
      <charset val="136"/>
    </font>
    <font>
      <sz val="28"/>
      <color theme="1"/>
      <name val="新細明體"/>
      <family val="1"/>
      <charset val="136"/>
    </font>
    <font>
      <sz val="14"/>
      <color theme="9" tint="-0.249977111117893"/>
      <name val="吳守禮標楷台語注音"/>
      <family val="3"/>
      <charset val="136"/>
    </font>
    <font>
      <sz val="24"/>
      <color theme="7" tint="-0.249977111117893"/>
      <name val="Noto Sans TC"/>
      <family val="2"/>
      <charset val="136"/>
    </font>
    <font>
      <sz val="28"/>
      <color theme="1"/>
      <name val="Charis SIL"/>
      <family val="2"/>
      <charset val="136"/>
    </font>
    <font>
      <sz val="28"/>
      <color theme="1"/>
      <name val="Noto Sans TC Black"/>
      <family val="2"/>
      <charset val="136"/>
    </font>
    <font>
      <sz val="12"/>
      <color theme="7" tint="-0.249977111117893"/>
      <name val="新細明體"/>
      <family val="1"/>
      <charset val="136"/>
      <scheme val="minor"/>
    </font>
    <font>
      <sz val="16"/>
      <color theme="9" tint="-0.249977111117893"/>
      <name val="吳守禮標楷台語注音"/>
      <family val="3"/>
      <charset val="136"/>
    </font>
    <font>
      <b/>
      <sz val="20"/>
      <color theme="5" tint="0.39997558519241921"/>
      <name val="Noto Serif TC Black"/>
      <family val="1"/>
      <charset val="136"/>
    </font>
    <font>
      <sz val="28"/>
      <color rgb="FFC00000"/>
      <name val="Arial"/>
      <family val="2"/>
    </font>
    <font>
      <b/>
      <sz val="28"/>
      <color rgb="FF0070C0"/>
      <name val="Noto Serif TC Black"/>
      <family val="1"/>
    </font>
    <font>
      <sz val="28"/>
      <color rgb="FF000000"/>
      <name val="Noto Serif TC Black"/>
      <family val="1"/>
      <charset val="136"/>
    </font>
    <font>
      <sz val="28"/>
      <color rgb="FF000000"/>
      <name val="Noto Serif TC Black"/>
      <family val="1"/>
    </font>
    <font>
      <sz val="28"/>
      <color rgb="FFC00000"/>
      <name val="Noto Sans TC Medium"/>
      <family val="2"/>
      <charset val="136"/>
    </font>
    <font>
      <b/>
      <sz val="24"/>
      <color theme="9"/>
      <name val="Charis SIL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45066682943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1" fillId="0" borderId="0"/>
    <xf numFmtId="0" fontId="17" fillId="0" borderId="0" applyNumberFormat="0" applyFill="0" applyBorder="0" applyAlignment="0" applyProtection="0">
      <alignment vertical="center"/>
    </xf>
    <xf numFmtId="0" fontId="18" fillId="0" borderId="0"/>
    <xf numFmtId="0" fontId="19" fillId="0" borderId="0">
      <alignment vertical="center"/>
    </xf>
    <xf numFmtId="0" fontId="19" fillId="0" borderId="0">
      <alignment vertical="center"/>
    </xf>
    <xf numFmtId="0" fontId="27" fillId="0" borderId="0"/>
  </cellStyleXfs>
  <cellXfs count="23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3" fillId="0" borderId="0" xfId="0" applyFont="1">
      <alignment vertical="center"/>
    </xf>
    <xf numFmtId="0" fontId="13" fillId="0" borderId="14" xfId="0" applyFont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23" fillId="9" borderId="14" xfId="5" applyFont="1" applyFill="1" applyBorder="1" applyAlignment="1">
      <alignment horizontal="center" vertical="center"/>
    </xf>
    <xf numFmtId="0" fontId="25" fillId="10" borderId="14" xfId="4" applyFont="1" applyFill="1" applyBorder="1" applyAlignment="1">
      <alignment horizontal="left" vertical="center"/>
    </xf>
    <xf numFmtId="0" fontId="29" fillId="10" borderId="14" xfId="3" applyFont="1" applyFill="1" applyBorder="1" applyAlignment="1">
      <alignment horizontal="center" vertical="center"/>
    </xf>
    <xf numFmtId="0" fontId="25" fillId="10" borderId="14" xfId="4" applyFont="1" applyFill="1" applyBorder="1" applyAlignment="1">
      <alignment horizontal="center" vertical="center"/>
    </xf>
    <xf numFmtId="0" fontId="20" fillId="10" borderId="14" xfId="4" applyFont="1" applyFill="1" applyBorder="1" applyAlignment="1">
      <alignment horizontal="center" vertical="center"/>
    </xf>
    <xf numFmtId="0" fontId="31" fillId="7" borderId="14" xfId="4" applyFont="1" applyFill="1" applyBorder="1" applyAlignment="1">
      <alignment horizontal="center" vertical="center"/>
    </xf>
    <xf numFmtId="0" fontId="31" fillId="11" borderId="14" xfId="4" applyFont="1" applyFill="1" applyBorder="1" applyAlignment="1">
      <alignment horizontal="center" vertical="center"/>
    </xf>
    <xf numFmtId="0" fontId="25" fillId="11" borderId="14" xfId="4" applyFont="1" applyFill="1" applyBorder="1" applyAlignment="1">
      <alignment horizontal="center" vertical="center"/>
    </xf>
    <xf numFmtId="0" fontId="28" fillId="10" borderId="14" xfId="6" applyFont="1" applyFill="1" applyBorder="1" applyAlignment="1">
      <alignment horizontal="left" vertical="center" indent="1"/>
    </xf>
    <xf numFmtId="0" fontId="28" fillId="7" borderId="14" xfId="6" applyFont="1" applyFill="1" applyBorder="1" applyAlignment="1">
      <alignment horizontal="left" vertical="center" indent="1"/>
    </xf>
    <xf numFmtId="0" fontId="31" fillId="11" borderId="14" xfId="4" applyFont="1" applyFill="1" applyBorder="1" applyAlignment="1">
      <alignment horizontal="left" vertical="center" indent="1"/>
    </xf>
    <xf numFmtId="0" fontId="26" fillId="10" borderId="14" xfId="5" applyFont="1" applyFill="1" applyBorder="1" applyAlignment="1">
      <alignment horizontal="left" vertical="center" indent="1"/>
    </xf>
    <xf numFmtId="0" fontId="33" fillId="0" borderId="14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0" xfId="0" applyAlignment="1">
      <alignment horizontal="center" vertical="top"/>
    </xf>
    <xf numFmtId="0" fontId="13" fillId="5" borderId="14" xfId="0" applyFont="1" applyFill="1" applyBorder="1" applyAlignment="1">
      <alignment horizontal="distributed" vertical="center"/>
    </xf>
    <xf numFmtId="0" fontId="13" fillId="5" borderId="14" xfId="0" applyFont="1" applyFill="1" applyBorder="1" applyAlignment="1">
      <alignment horizontal="distributed" vertical="center" indent="1"/>
    </xf>
    <xf numFmtId="0" fontId="34" fillId="0" borderId="14" xfId="0" applyFont="1" applyBorder="1" applyAlignment="1">
      <alignment horizontal="center" vertical="center"/>
    </xf>
    <xf numFmtId="0" fontId="33" fillId="2" borderId="14" xfId="0" applyFont="1" applyFill="1" applyBorder="1" applyAlignment="1">
      <alignment horizontal="left" vertical="center"/>
    </xf>
    <xf numFmtId="0" fontId="28" fillId="10" borderId="14" xfId="6" applyFont="1" applyFill="1" applyBorder="1" applyAlignment="1">
      <alignment horizontal="center" vertical="center"/>
    </xf>
    <xf numFmtId="0" fontId="28" fillId="7" borderId="14" xfId="6" applyFont="1" applyFill="1" applyBorder="1" applyAlignment="1">
      <alignment horizontal="center" vertical="center"/>
    </xf>
    <xf numFmtId="0" fontId="25" fillId="10" borderId="14" xfId="4" applyFont="1" applyFill="1" applyBorder="1" applyAlignment="1">
      <alignment horizontal="distributed" vertical="center" indent="1"/>
    </xf>
    <xf numFmtId="0" fontId="31" fillId="7" borderId="14" xfId="4" applyFont="1" applyFill="1" applyBorder="1" applyAlignment="1">
      <alignment horizontal="distributed" vertical="center" indent="1"/>
    </xf>
    <xf numFmtId="0" fontId="31" fillId="11" borderId="14" xfId="4" applyFont="1" applyFill="1" applyBorder="1" applyAlignment="1">
      <alignment horizontal="distributed" vertical="center" indent="1"/>
    </xf>
    <xf numFmtId="0" fontId="31" fillId="7" borderId="14" xfId="4" applyFont="1" applyFill="1" applyBorder="1" applyAlignment="1">
      <alignment horizontal="left" vertical="center" indent="1"/>
    </xf>
    <xf numFmtId="0" fontId="31" fillId="7" borderId="14" xfId="4" quotePrefix="1" applyFont="1" applyFill="1" applyBorder="1" applyAlignment="1">
      <alignment horizontal="center" vertical="center"/>
    </xf>
    <xf numFmtId="0" fontId="25" fillId="10" borderId="14" xfId="4" quotePrefix="1" applyFont="1" applyFill="1" applyBorder="1" applyAlignment="1">
      <alignment horizontal="center" vertical="center"/>
    </xf>
    <xf numFmtId="0" fontId="36" fillId="10" borderId="14" xfId="5" applyFont="1" applyFill="1" applyBorder="1" applyAlignment="1">
      <alignment horizontal="left" vertical="center" indent="1"/>
    </xf>
    <xf numFmtId="0" fontId="36" fillId="7" borderId="14" xfId="5" applyFont="1" applyFill="1" applyBorder="1" applyAlignment="1">
      <alignment horizontal="left" vertical="center" indent="1"/>
    </xf>
    <xf numFmtId="0" fontId="38" fillId="10" borderId="14" xfId="4" applyFont="1" applyFill="1" applyBorder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40" fillId="10" borderId="14" xfId="4" applyFont="1" applyFill="1" applyBorder="1" applyAlignment="1">
      <alignment horizontal="distributed" vertical="center" indent="1"/>
    </xf>
    <xf numFmtId="0" fontId="40" fillId="7" borderId="14" xfId="4" applyFont="1" applyFill="1" applyBorder="1" applyAlignment="1">
      <alignment horizontal="distributed" vertical="center" indent="1"/>
    </xf>
    <xf numFmtId="0" fontId="39" fillId="10" borderId="14" xfId="4" applyFont="1" applyFill="1" applyBorder="1" applyAlignment="1">
      <alignment horizontal="left" vertical="center" indent="1"/>
    </xf>
    <xf numFmtId="0" fontId="39" fillId="7" borderId="14" xfId="4" applyFont="1" applyFill="1" applyBorder="1" applyAlignment="1">
      <alignment horizontal="left" vertical="center" indent="1"/>
    </xf>
    <xf numFmtId="0" fontId="41" fillId="10" borderId="14" xfId="5" applyFont="1" applyFill="1" applyBorder="1" applyAlignment="1">
      <alignment horizontal="left" vertical="center" indent="1"/>
    </xf>
    <xf numFmtId="0" fontId="41" fillId="7" borderId="14" xfId="5" applyFont="1" applyFill="1" applyBorder="1" applyAlignment="1">
      <alignment horizontal="left" vertical="center" indent="1"/>
    </xf>
    <xf numFmtId="0" fontId="30" fillId="3" borderId="18" xfId="2" applyFont="1" applyFill="1" applyBorder="1" applyAlignment="1">
      <alignment horizontal="center" vertical="center" wrapText="1"/>
    </xf>
    <xf numFmtId="0" fontId="42" fillId="3" borderId="18" xfId="0" applyFont="1" applyFill="1" applyBorder="1" applyAlignment="1">
      <alignment horizontal="center" vertical="center" wrapText="1"/>
    </xf>
    <xf numFmtId="0" fontId="39" fillId="10" borderId="14" xfId="4" applyFont="1" applyFill="1" applyBorder="1" applyAlignment="1">
      <alignment horizontal="left" vertical="center"/>
    </xf>
    <xf numFmtId="0" fontId="38" fillId="10" borderId="14" xfId="4" applyFont="1" applyFill="1" applyBorder="1" applyAlignment="1">
      <alignment horizontal="left" vertical="center" indent="1"/>
    </xf>
    <xf numFmtId="0" fontId="38" fillId="7" borderId="14" xfId="4" applyFont="1" applyFill="1" applyBorder="1" applyAlignment="1">
      <alignment horizontal="left" vertical="center" indent="1"/>
    </xf>
    <xf numFmtId="0" fontId="43" fillId="10" borderId="14" xfId="3" applyFont="1" applyFill="1" applyBorder="1" applyAlignment="1">
      <alignment horizontal="center" vertical="center"/>
    </xf>
    <xf numFmtId="0" fontId="43" fillId="7" borderId="14" xfId="3" quotePrefix="1" applyFont="1" applyFill="1" applyBorder="1" applyAlignment="1">
      <alignment horizontal="center" vertical="center"/>
    </xf>
    <xf numFmtId="0" fontId="43" fillId="10" borderId="14" xfId="3" quotePrefix="1" applyFont="1" applyFill="1" applyBorder="1" applyAlignment="1">
      <alignment horizontal="center" vertical="center"/>
    </xf>
    <xf numFmtId="0" fontId="44" fillId="10" borderId="14" xfId="3" applyFont="1" applyFill="1" applyBorder="1" applyAlignment="1">
      <alignment horizontal="center" vertical="center"/>
    </xf>
    <xf numFmtId="0" fontId="45" fillId="7" borderId="14" xfId="3" quotePrefix="1" applyFont="1" applyFill="1" applyBorder="1" applyAlignment="1">
      <alignment horizontal="center" vertical="center"/>
    </xf>
    <xf numFmtId="0" fontId="45" fillId="10" borderId="14" xfId="3" quotePrefix="1" applyFont="1" applyFill="1" applyBorder="1" applyAlignment="1">
      <alignment horizontal="center" vertical="center"/>
    </xf>
    <xf numFmtId="0" fontId="45" fillId="10" borderId="14" xfId="3" applyFont="1" applyFill="1" applyBorder="1" applyAlignment="1">
      <alignment horizontal="center" vertical="center"/>
    </xf>
    <xf numFmtId="0" fontId="46" fillId="4" borderId="14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distributed" vertical="center" indent="2"/>
    </xf>
    <xf numFmtId="0" fontId="47" fillId="0" borderId="0" xfId="0" applyFont="1" applyAlignment="1">
      <alignment horizontal="center" vertical="top"/>
    </xf>
    <xf numFmtId="0" fontId="48" fillId="0" borderId="0" xfId="0" applyFont="1" applyAlignment="1">
      <alignment horizontal="center" vertical="top"/>
    </xf>
    <xf numFmtId="0" fontId="49" fillId="2" borderId="14" xfId="0" applyFont="1" applyFill="1" applyBorder="1" applyAlignment="1">
      <alignment horizontal="left" vertical="center" indent="1"/>
    </xf>
    <xf numFmtId="0" fontId="50" fillId="0" borderId="0" xfId="3" applyFont="1" applyAlignment="1">
      <alignment horizontal="center" vertical="center" textRotation="255"/>
    </xf>
    <xf numFmtId="0" fontId="50" fillId="0" borderId="0" xfId="3" applyFont="1"/>
    <xf numFmtId="0" fontId="51" fillId="0" borderId="0" xfId="3" applyFont="1"/>
    <xf numFmtId="0" fontId="56" fillId="0" borderId="0" xfId="3" applyFont="1"/>
    <xf numFmtId="0" fontId="58" fillId="0" borderId="0" xfId="3" applyFont="1"/>
    <xf numFmtId="0" fontId="59" fillId="0" borderId="0" xfId="3" applyFont="1" applyAlignment="1">
      <alignment horizontal="center" vertical="center"/>
    </xf>
    <xf numFmtId="0" fontId="65" fillId="0" borderId="0" xfId="3" applyFont="1"/>
    <xf numFmtId="0" fontId="66" fillId="0" borderId="0" xfId="3" applyFont="1"/>
    <xf numFmtId="0" fontId="67" fillId="0" borderId="0" xfId="0" applyFont="1">
      <alignment vertical="center"/>
    </xf>
    <xf numFmtId="0" fontId="68" fillId="0" borderId="0" xfId="0" applyFont="1" applyAlignment="1">
      <alignment horizontal="center" vertical="center"/>
    </xf>
    <xf numFmtId="0" fontId="68" fillId="0" borderId="0" xfId="0" applyFont="1">
      <alignment vertical="center"/>
    </xf>
    <xf numFmtId="0" fontId="36" fillId="0" borderId="0" xfId="0" applyFont="1">
      <alignment vertical="center"/>
    </xf>
    <xf numFmtId="0" fontId="69" fillId="0" borderId="0" xfId="0" applyFont="1">
      <alignment vertical="center"/>
    </xf>
    <xf numFmtId="0" fontId="72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78" fillId="2" borderId="23" xfId="0" applyFont="1" applyFill="1" applyBorder="1" applyAlignment="1">
      <alignment horizontal="center" vertical="center"/>
    </xf>
    <xf numFmtId="0" fontId="79" fillId="2" borderId="24" xfId="0" applyFont="1" applyFill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82" fillId="2" borderId="26" xfId="0" applyFont="1" applyFill="1" applyBorder="1" applyAlignment="1">
      <alignment horizontal="center" vertical="center"/>
    </xf>
    <xf numFmtId="0" fontId="83" fillId="2" borderId="27" xfId="0" applyFont="1" applyFill="1" applyBorder="1" applyAlignment="1">
      <alignment horizontal="center" vertical="center"/>
    </xf>
    <xf numFmtId="0" fontId="84" fillId="2" borderId="27" xfId="0" applyFont="1" applyFill="1" applyBorder="1" applyAlignment="1">
      <alignment horizontal="center" vertical="center"/>
    </xf>
    <xf numFmtId="0" fontId="78" fillId="0" borderId="23" xfId="0" applyFont="1" applyBorder="1" applyAlignment="1">
      <alignment horizontal="center" vertical="center"/>
    </xf>
    <xf numFmtId="0" fontId="79" fillId="0" borderId="24" xfId="0" applyFont="1" applyBorder="1" applyAlignment="1">
      <alignment horizontal="center" vertical="center"/>
    </xf>
    <xf numFmtId="0" fontId="82" fillId="15" borderId="26" xfId="0" applyFont="1" applyFill="1" applyBorder="1" applyAlignment="1">
      <alignment horizontal="center" vertical="center"/>
    </xf>
    <xf numFmtId="0" fontId="83" fillId="15" borderId="27" xfId="0" applyFont="1" applyFill="1" applyBorder="1" applyAlignment="1">
      <alignment horizontal="center" vertical="center"/>
    </xf>
    <xf numFmtId="0" fontId="88" fillId="15" borderId="26" xfId="0" applyFont="1" applyFill="1" applyBorder="1" applyAlignment="1">
      <alignment horizontal="center" vertical="center" wrapText="1"/>
    </xf>
    <xf numFmtId="0" fontId="91" fillId="15" borderId="27" xfId="0" applyFont="1" applyFill="1" applyBorder="1" applyAlignment="1">
      <alignment horizontal="center" vertical="center" wrapText="1"/>
    </xf>
    <xf numFmtId="0" fontId="93" fillId="15" borderId="27" xfId="0" applyFont="1" applyFill="1" applyBorder="1" applyAlignment="1">
      <alignment horizontal="center" vertical="center" wrapText="1"/>
    </xf>
    <xf numFmtId="0" fontId="82" fillId="0" borderId="26" xfId="0" applyFont="1" applyBorder="1" applyAlignment="1">
      <alignment horizontal="center" vertical="center"/>
    </xf>
    <xf numFmtId="0" fontId="83" fillId="0" borderId="27" xfId="0" applyFont="1" applyBorder="1" applyAlignment="1">
      <alignment horizontal="center" vertical="center"/>
    </xf>
    <xf numFmtId="0" fontId="94" fillId="2" borderId="26" xfId="0" applyFont="1" applyFill="1" applyBorder="1" applyAlignment="1">
      <alignment horizontal="center" vertical="center"/>
    </xf>
    <xf numFmtId="0" fontId="95" fillId="0" borderId="23" xfId="0" applyFont="1" applyBorder="1" applyAlignment="1">
      <alignment horizontal="center" vertical="center"/>
    </xf>
    <xf numFmtId="0" fontId="98" fillId="15" borderId="27" xfId="0" applyFont="1" applyFill="1" applyBorder="1" applyAlignment="1">
      <alignment horizontal="center" vertical="center" wrapText="1"/>
    </xf>
    <xf numFmtId="0" fontId="86" fillId="0" borderId="23" xfId="0" applyFont="1" applyBorder="1" applyAlignment="1">
      <alignment horizontal="center" vertical="center"/>
    </xf>
    <xf numFmtId="176" fontId="100" fillId="0" borderId="23" xfId="0" applyNumberFormat="1" applyFont="1" applyBorder="1" applyAlignment="1">
      <alignment horizontal="center" vertical="center"/>
    </xf>
    <xf numFmtId="0" fontId="82" fillId="6" borderId="26" xfId="0" applyFont="1" applyFill="1" applyBorder="1" applyAlignment="1">
      <alignment horizontal="center" vertical="center"/>
    </xf>
    <xf numFmtId="0" fontId="104" fillId="0" borderId="46" xfId="3" applyFont="1" applyBorder="1" applyAlignment="1">
      <alignment horizontal="center" vertical="center"/>
    </xf>
    <xf numFmtId="0" fontId="104" fillId="0" borderId="47" xfId="3" applyFont="1" applyBorder="1" applyAlignment="1">
      <alignment horizontal="center" vertical="center"/>
    </xf>
    <xf numFmtId="0" fontId="104" fillId="0" borderId="11" xfId="3" applyFont="1" applyBorder="1" applyAlignment="1">
      <alignment horizontal="center" vertical="center"/>
    </xf>
    <xf numFmtId="0" fontId="104" fillId="0" borderId="48" xfId="3" applyFont="1" applyBorder="1" applyAlignment="1">
      <alignment horizontal="center" vertical="center"/>
    </xf>
    <xf numFmtId="0" fontId="101" fillId="0" borderId="43" xfId="3" applyFont="1" applyBorder="1" applyAlignment="1">
      <alignment horizontal="center" vertical="center"/>
    </xf>
    <xf numFmtId="0" fontId="101" fillId="0" borderId="44" xfId="3" applyFont="1" applyBorder="1" applyAlignment="1">
      <alignment horizontal="center" vertical="center"/>
    </xf>
    <xf numFmtId="0" fontId="101" fillId="0" borderId="45" xfId="3" applyFont="1" applyBorder="1" applyAlignment="1">
      <alignment horizontal="center" vertical="center"/>
    </xf>
    <xf numFmtId="0" fontId="101" fillId="0" borderId="13" xfId="3" applyFont="1" applyBorder="1" applyAlignment="1">
      <alignment horizontal="center" vertical="center"/>
    </xf>
    <xf numFmtId="0" fontId="104" fillId="14" borderId="31" xfId="3" applyFont="1" applyFill="1" applyBorder="1" applyAlignment="1">
      <alignment horizontal="center" vertical="center"/>
    </xf>
    <xf numFmtId="0" fontId="104" fillId="14" borderId="32" xfId="3" applyFont="1" applyFill="1" applyBorder="1" applyAlignment="1">
      <alignment horizontal="center" vertical="center"/>
    </xf>
    <xf numFmtId="0" fontId="104" fillId="14" borderId="34" xfId="3" applyFont="1" applyFill="1" applyBorder="1" applyAlignment="1">
      <alignment horizontal="center" vertical="center"/>
    </xf>
    <xf numFmtId="0" fontId="104" fillId="14" borderId="35" xfId="3" applyFont="1" applyFill="1" applyBorder="1" applyAlignment="1">
      <alignment horizontal="center" vertical="center"/>
    </xf>
    <xf numFmtId="0" fontId="101" fillId="14" borderId="32" xfId="3" applyFont="1" applyFill="1" applyBorder="1" applyAlignment="1">
      <alignment horizontal="center" vertical="center"/>
    </xf>
    <xf numFmtId="0" fontId="101" fillId="14" borderId="33" xfId="3" applyFont="1" applyFill="1" applyBorder="1" applyAlignment="1">
      <alignment horizontal="center" vertical="center"/>
    </xf>
    <xf numFmtId="0" fontId="101" fillId="14" borderId="35" xfId="3" applyFont="1" applyFill="1" applyBorder="1" applyAlignment="1">
      <alignment horizontal="center" vertical="center"/>
    </xf>
    <xf numFmtId="0" fontId="101" fillId="14" borderId="36" xfId="3" applyFont="1" applyFill="1" applyBorder="1" applyAlignment="1">
      <alignment horizontal="center" vertical="center"/>
    </xf>
    <xf numFmtId="0" fontId="102" fillId="0" borderId="7" xfId="3" applyFont="1" applyBorder="1" applyAlignment="1">
      <alignment horizontal="center" vertical="center"/>
    </xf>
    <xf numFmtId="0" fontId="102" fillId="0" borderId="40" xfId="3" applyFont="1" applyBorder="1" applyAlignment="1">
      <alignment horizontal="center" vertical="center"/>
    </xf>
    <xf numFmtId="0" fontId="102" fillId="0" borderId="41" xfId="3" applyFont="1" applyBorder="1" applyAlignment="1">
      <alignment horizontal="center" vertical="center"/>
    </xf>
    <xf numFmtId="0" fontId="102" fillId="0" borderId="42" xfId="3" applyFont="1" applyBorder="1" applyAlignment="1">
      <alignment horizontal="center" vertical="center"/>
    </xf>
    <xf numFmtId="177" fontId="105" fillId="4" borderId="37" xfId="3" applyNumberFormat="1" applyFont="1" applyFill="1" applyBorder="1" applyAlignment="1">
      <alignment horizontal="center" vertical="center"/>
    </xf>
    <xf numFmtId="177" fontId="105" fillId="4" borderId="8" xfId="3" applyNumberFormat="1" applyFont="1" applyFill="1" applyBorder="1" applyAlignment="1">
      <alignment horizontal="center" vertical="center"/>
    </xf>
    <xf numFmtId="177" fontId="105" fillId="4" borderId="38" xfId="3" applyNumberFormat="1" applyFont="1" applyFill="1" applyBorder="1" applyAlignment="1">
      <alignment horizontal="center" vertical="center"/>
    </xf>
    <xf numFmtId="177" fontId="105" fillId="4" borderId="39" xfId="3" applyNumberFormat="1" applyFont="1" applyFill="1" applyBorder="1" applyAlignment="1">
      <alignment horizontal="center" vertical="center"/>
    </xf>
    <xf numFmtId="0" fontId="102" fillId="14" borderId="28" xfId="3" applyFont="1" applyFill="1" applyBorder="1" applyAlignment="1">
      <alignment horizontal="center" vertical="center"/>
    </xf>
    <xf numFmtId="0" fontId="103" fillId="14" borderId="29" xfId="3" applyFont="1" applyFill="1" applyBorder="1" applyAlignment="1">
      <alignment horizontal="center" vertical="center"/>
    </xf>
    <xf numFmtId="0" fontId="103" fillId="14" borderId="31" xfId="3" applyFont="1" applyFill="1" applyBorder="1" applyAlignment="1">
      <alignment horizontal="center" vertical="center"/>
    </xf>
    <xf numFmtId="0" fontId="103" fillId="14" borderId="32" xfId="3" applyFont="1" applyFill="1" applyBorder="1" applyAlignment="1">
      <alignment horizontal="center" vertical="center"/>
    </xf>
    <xf numFmtId="177" fontId="105" fillId="14" borderId="29" xfId="3" applyNumberFormat="1" applyFont="1" applyFill="1" applyBorder="1" applyAlignment="1">
      <alignment horizontal="center" vertical="center"/>
    </xf>
    <xf numFmtId="177" fontId="105" fillId="14" borderId="30" xfId="3" applyNumberFormat="1" applyFont="1" applyFill="1" applyBorder="1" applyAlignment="1">
      <alignment horizontal="center" vertical="center"/>
    </xf>
    <xf numFmtId="177" fontId="105" fillId="14" borderId="32" xfId="3" applyNumberFormat="1" applyFont="1" applyFill="1" applyBorder="1" applyAlignment="1">
      <alignment horizontal="center" vertical="center"/>
    </xf>
    <xf numFmtId="177" fontId="105" fillId="14" borderId="33" xfId="3" applyNumberFormat="1" applyFont="1" applyFill="1" applyBorder="1" applyAlignment="1">
      <alignment horizontal="center" vertical="center"/>
    </xf>
    <xf numFmtId="0" fontId="61" fillId="0" borderId="0" xfId="3" applyFont="1" applyAlignment="1">
      <alignment horizontal="center" vertical="center"/>
    </xf>
    <xf numFmtId="0" fontId="61" fillId="0" borderId="10" xfId="3" applyFont="1" applyBorder="1" applyAlignment="1">
      <alignment horizontal="center" vertical="center"/>
    </xf>
    <xf numFmtId="0" fontId="61" fillId="0" borderId="12" xfId="3" applyFont="1" applyBorder="1" applyAlignment="1">
      <alignment horizontal="center" vertical="center"/>
    </xf>
    <xf numFmtId="0" fontId="61" fillId="0" borderId="13" xfId="3" applyFont="1" applyBorder="1" applyAlignment="1">
      <alignment horizontal="center" vertical="center"/>
    </xf>
    <xf numFmtId="0" fontId="60" fillId="14" borderId="9" xfId="3" applyFont="1" applyFill="1" applyBorder="1" applyAlignment="1">
      <alignment horizontal="center" vertical="center"/>
    </xf>
    <xf numFmtId="0" fontId="60" fillId="14" borderId="0" xfId="3" applyFont="1" applyFill="1" applyAlignment="1">
      <alignment horizontal="center" vertical="center"/>
    </xf>
    <xf numFmtId="0" fontId="60" fillId="14" borderId="11" xfId="3" applyFont="1" applyFill="1" applyBorder="1" applyAlignment="1">
      <alignment horizontal="center" vertical="center"/>
    </xf>
    <xf numFmtId="0" fontId="60" fillId="14" borderId="12" xfId="3" applyFont="1" applyFill="1" applyBorder="1" applyAlignment="1">
      <alignment horizontal="center" vertical="center"/>
    </xf>
    <xf numFmtId="0" fontId="61" fillId="14" borderId="0" xfId="3" applyFont="1" applyFill="1" applyAlignment="1">
      <alignment horizontal="center" vertical="center"/>
    </xf>
    <xf numFmtId="0" fontId="61" fillId="14" borderId="10" xfId="3" applyFont="1" applyFill="1" applyBorder="1" applyAlignment="1">
      <alignment horizontal="center" vertical="center"/>
    </xf>
    <xf numFmtId="0" fontId="61" fillId="14" borderId="12" xfId="3" applyFont="1" applyFill="1" applyBorder="1" applyAlignment="1">
      <alignment horizontal="center" vertical="center"/>
    </xf>
    <xf numFmtId="0" fontId="61" fillId="14" borderId="13" xfId="3" applyFont="1" applyFill="1" applyBorder="1" applyAlignment="1">
      <alignment horizontal="center" vertical="center"/>
    </xf>
    <xf numFmtId="0" fontId="54" fillId="13" borderId="14" xfId="3" applyFont="1" applyFill="1" applyBorder="1" applyAlignment="1">
      <alignment horizontal="center" vertical="center" textRotation="255"/>
    </xf>
    <xf numFmtId="0" fontId="60" fillId="0" borderId="9" xfId="3" applyFont="1" applyBorder="1" applyAlignment="1">
      <alignment horizontal="center" vertical="center"/>
    </xf>
    <xf numFmtId="0" fontId="60" fillId="0" borderId="0" xfId="3" applyFont="1" applyAlignment="1">
      <alignment horizontal="center" vertical="center"/>
    </xf>
    <xf numFmtId="0" fontId="60" fillId="0" borderId="11" xfId="3" applyFont="1" applyBorder="1" applyAlignment="1">
      <alignment horizontal="center" vertical="center"/>
    </xf>
    <xf numFmtId="0" fontId="60" fillId="0" borderId="12" xfId="3" applyFont="1" applyBorder="1" applyAlignment="1">
      <alignment horizontal="center" vertical="center"/>
    </xf>
    <xf numFmtId="0" fontId="55" fillId="14" borderId="6" xfId="3" applyFont="1" applyFill="1" applyBorder="1" applyAlignment="1">
      <alignment horizontal="center" vertical="center"/>
    </xf>
    <xf numFmtId="0" fontId="55" fillId="14" borderId="8" xfId="3" applyFont="1" applyFill="1" applyBorder="1" applyAlignment="1">
      <alignment horizontal="center" vertical="center"/>
    </xf>
    <xf numFmtId="0" fontId="55" fillId="14" borderId="0" xfId="3" applyFont="1" applyFill="1" applyAlignment="1">
      <alignment horizontal="center" vertical="center"/>
    </xf>
    <xf numFmtId="0" fontId="55" fillId="14" borderId="10" xfId="3" applyFont="1" applyFill="1" applyBorder="1" applyAlignment="1">
      <alignment horizontal="center" vertical="center"/>
    </xf>
    <xf numFmtId="0" fontId="55" fillId="0" borderId="6" xfId="3" applyFont="1" applyBorder="1" applyAlignment="1">
      <alignment horizontal="center" vertical="center"/>
    </xf>
    <xf numFmtId="0" fontId="55" fillId="0" borderId="8" xfId="3" applyFont="1" applyBorder="1" applyAlignment="1">
      <alignment horizontal="center" vertical="center"/>
    </xf>
    <xf numFmtId="0" fontId="55" fillId="0" borderId="0" xfId="3" applyFont="1" applyAlignment="1">
      <alignment horizontal="center" vertical="center"/>
    </xf>
    <xf numFmtId="0" fontId="55" fillId="0" borderId="10" xfId="3" applyFont="1" applyBorder="1" applyAlignment="1">
      <alignment horizontal="center" vertical="center"/>
    </xf>
    <xf numFmtId="0" fontId="12" fillId="14" borderId="7" xfId="3" applyFont="1" applyFill="1" applyBorder="1" applyAlignment="1">
      <alignment horizontal="center"/>
    </xf>
    <xf numFmtId="0" fontId="12" fillId="14" borderId="6" xfId="3" applyFont="1" applyFill="1" applyBorder="1" applyAlignment="1">
      <alignment horizontal="center"/>
    </xf>
    <xf numFmtId="0" fontId="12" fillId="14" borderId="9" xfId="3" applyFont="1" applyFill="1" applyBorder="1" applyAlignment="1">
      <alignment horizontal="center"/>
    </xf>
    <xf numFmtId="0" fontId="12" fillId="14" borderId="0" xfId="3" applyFont="1" applyFill="1" applyAlignment="1">
      <alignment horizontal="center"/>
    </xf>
    <xf numFmtId="0" fontId="12" fillId="0" borderId="7" xfId="3" applyFont="1" applyBorder="1" applyAlignment="1">
      <alignment horizontal="center"/>
    </xf>
    <xf numFmtId="0" fontId="12" fillId="0" borderId="6" xfId="3" applyFont="1" applyBorder="1" applyAlignment="1">
      <alignment horizontal="center"/>
    </xf>
    <xf numFmtId="0" fontId="12" fillId="0" borderId="9" xfId="3" applyFont="1" applyBorder="1" applyAlignment="1">
      <alignment horizontal="center"/>
    </xf>
    <xf numFmtId="0" fontId="12" fillId="0" borderId="0" xfId="3" applyFont="1" applyAlignment="1">
      <alignment horizontal="center"/>
    </xf>
    <xf numFmtId="0" fontId="62" fillId="0" borderId="9" xfId="3" applyFont="1" applyBorder="1" applyAlignment="1">
      <alignment horizontal="center" vertical="top"/>
    </xf>
    <xf numFmtId="0" fontId="62" fillId="0" borderId="0" xfId="3" applyFont="1" applyAlignment="1">
      <alignment horizontal="center" vertical="top"/>
    </xf>
    <xf numFmtId="0" fontId="62" fillId="0" borderId="11" xfId="3" applyFont="1" applyBorder="1" applyAlignment="1">
      <alignment horizontal="center" vertical="top"/>
    </xf>
    <xf numFmtId="0" fontId="62" fillId="0" borderId="12" xfId="3" applyFont="1" applyBorder="1" applyAlignment="1">
      <alignment horizontal="center" vertical="top"/>
    </xf>
    <xf numFmtId="0" fontId="57" fillId="14" borderId="7" xfId="3" applyFont="1" applyFill="1" applyBorder="1" applyAlignment="1">
      <alignment horizontal="center"/>
    </xf>
    <xf numFmtId="0" fontId="57" fillId="14" borderId="6" xfId="3" applyFont="1" applyFill="1" applyBorder="1" applyAlignment="1">
      <alignment horizontal="center"/>
    </xf>
    <xf numFmtId="0" fontId="57" fillId="14" borderId="9" xfId="3" applyFont="1" applyFill="1" applyBorder="1" applyAlignment="1">
      <alignment horizontal="center"/>
    </xf>
    <xf numFmtId="0" fontId="57" fillId="14" borderId="0" xfId="3" applyFont="1" applyFill="1" applyAlignment="1">
      <alignment horizontal="center"/>
    </xf>
    <xf numFmtId="0" fontId="54" fillId="13" borderId="17" xfId="3" applyFont="1" applyFill="1" applyBorder="1" applyAlignment="1">
      <alignment horizontal="center" vertical="center" textRotation="255"/>
    </xf>
    <xf numFmtId="0" fontId="50" fillId="12" borderId="14" xfId="3" applyFont="1" applyFill="1" applyBorder="1" applyAlignment="1">
      <alignment horizontal="center" vertical="center"/>
    </xf>
    <xf numFmtId="0" fontId="64" fillId="0" borderId="0" xfId="3" applyFont="1" applyAlignment="1">
      <alignment horizontal="center" vertical="center"/>
    </xf>
    <xf numFmtId="0" fontId="64" fillId="0" borderId="10" xfId="3" applyFont="1" applyBorder="1" applyAlignment="1">
      <alignment horizontal="center" vertical="center"/>
    </xf>
    <xf numFmtId="0" fontId="64" fillId="0" borderId="12" xfId="3" applyFont="1" applyBorder="1" applyAlignment="1">
      <alignment horizontal="center" vertical="center"/>
    </xf>
    <xf numFmtId="0" fontId="64" fillId="0" borderId="13" xfId="3" applyFont="1" applyBorder="1" applyAlignment="1">
      <alignment horizontal="center" vertical="center"/>
    </xf>
    <xf numFmtId="0" fontId="63" fillId="0" borderId="6" xfId="3" applyFont="1" applyBorder="1" applyAlignment="1">
      <alignment horizontal="center" vertical="center"/>
    </xf>
    <xf numFmtId="0" fontId="63" fillId="0" borderId="8" xfId="3" applyFont="1" applyBorder="1" applyAlignment="1">
      <alignment horizontal="center" vertical="center"/>
    </xf>
    <xf numFmtId="0" fontId="63" fillId="0" borderId="0" xfId="3" applyFont="1" applyAlignment="1">
      <alignment horizontal="center" vertical="center"/>
    </xf>
    <xf numFmtId="0" fontId="63" fillId="0" borderId="10" xfId="3" applyFont="1" applyBorder="1" applyAlignment="1">
      <alignment horizontal="center" vertical="center"/>
    </xf>
    <xf numFmtId="0" fontId="76" fillId="8" borderId="20" xfId="0" applyFont="1" applyFill="1" applyBorder="1" applyAlignment="1">
      <alignment horizontal="distributed" vertical="distributed" indent="1"/>
    </xf>
    <xf numFmtId="0" fontId="76" fillId="8" borderId="22" xfId="0" applyFont="1" applyFill="1" applyBorder="1" applyAlignment="1">
      <alignment horizontal="distributed" vertical="distributed" indent="1"/>
    </xf>
    <xf numFmtId="0" fontId="99" fillId="8" borderId="20" xfId="0" applyFont="1" applyFill="1" applyBorder="1" applyAlignment="1">
      <alignment horizontal="distributed" vertical="center" indent="1"/>
    </xf>
    <xf numFmtId="0" fontId="99" fillId="8" borderId="22" xfId="0" applyFont="1" applyFill="1" applyBorder="1" applyAlignment="1">
      <alignment horizontal="distributed" vertical="center" indent="1"/>
    </xf>
    <xf numFmtId="0" fontId="70" fillId="8" borderId="7" xfId="0" applyFont="1" applyFill="1" applyBorder="1" applyAlignment="1">
      <alignment horizontal="center" vertical="center"/>
    </xf>
    <xf numFmtId="0" fontId="70" fillId="8" borderId="8" xfId="0" applyFont="1" applyFill="1" applyBorder="1" applyAlignment="1">
      <alignment horizontal="center" vertical="center"/>
    </xf>
    <xf numFmtId="0" fontId="70" fillId="8" borderId="11" xfId="0" applyFont="1" applyFill="1" applyBorder="1" applyAlignment="1">
      <alignment horizontal="center" vertical="center"/>
    </xf>
    <xf numFmtId="0" fontId="70" fillId="8" borderId="13" xfId="0" applyFont="1" applyFill="1" applyBorder="1" applyAlignment="1">
      <alignment horizontal="center" vertical="center"/>
    </xf>
    <xf numFmtId="0" fontId="71" fillId="8" borderId="17" xfId="0" applyFont="1" applyFill="1" applyBorder="1" applyAlignment="1">
      <alignment horizontal="center" vertical="center"/>
    </xf>
    <xf numFmtId="0" fontId="71" fillId="8" borderId="21" xfId="0" applyFont="1" applyFill="1" applyBorder="1" applyAlignment="1">
      <alignment horizontal="center" vertical="center"/>
    </xf>
    <xf numFmtId="0" fontId="71" fillId="8" borderId="16" xfId="0" applyFont="1" applyFill="1" applyBorder="1" applyAlignment="1">
      <alignment horizontal="center" vertical="center"/>
    </xf>
    <xf numFmtId="0" fontId="74" fillId="8" borderId="7" xfId="0" applyFont="1" applyFill="1" applyBorder="1" applyAlignment="1">
      <alignment horizontal="center" vertical="center"/>
    </xf>
    <xf numFmtId="0" fontId="74" fillId="8" borderId="8" xfId="0" applyFont="1" applyFill="1" applyBorder="1" applyAlignment="1">
      <alignment horizontal="center" vertical="center"/>
    </xf>
    <xf numFmtId="0" fontId="74" fillId="8" borderId="11" xfId="0" applyFont="1" applyFill="1" applyBorder="1" applyAlignment="1">
      <alignment horizontal="center" vertical="center"/>
    </xf>
    <xf numFmtId="0" fontId="74" fillId="8" borderId="13" xfId="0" applyFont="1" applyFill="1" applyBorder="1" applyAlignment="1">
      <alignment horizontal="center" vertical="center"/>
    </xf>
    <xf numFmtId="0" fontId="74" fillId="8" borderId="17" xfId="0" applyFont="1" applyFill="1" applyBorder="1" applyAlignment="1">
      <alignment horizontal="center" vertical="center"/>
    </xf>
    <xf numFmtId="0" fontId="74" fillId="8" borderId="16" xfId="0" applyFont="1" applyFill="1" applyBorder="1" applyAlignment="1">
      <alignment horizontal="center" vertical="center"/>
    </xf>
    <xf numFmtId="0" fontId="76" fillId="8" borderId="7" xfId="0" applyFont="1" applyFill="1" applyBorder="1" applyAlignment="1">
      <alignment horizontal="distributed" vertical="distributed" indent="2"/>
    </xf>
    <xf numFmtId="0" fontId="76" fillId="8" borderId="8" xfId="0" applyFont="1" applyFill="1" applyBorder="1" applyAlignment="1">
      <alignment horizontal="distributed" vertical="distributed" indent="2"/>
    </xf>
    <xf numFmtId="0" fontId="76" fillId="8" borderId="11" xfId="0" applyFont="1" applyFill="1" applyBorder="1" applyAlignment="1">
      <alignment horizontal="distributed" vertical="distributed" indent="2"/>
    </xf>
    <xf numFmtId="0" fontId="76" fillId="8" borderId="13" xfId="0" applyFont="1" applyFill="1" applyBorder="1" applyAlignment="1">
      <alignment horizontal="distributed" vertical="distributed" indent="2"/>
    </xf>
    <xf numFmtId="0" fontId="76" fillId="8" borderId="9" xfId="0" applyFont="1" applyFill="1" applyBorder="1" applyAlignment="1">
      <alignment horizontal="distributed" vertical="distributed" indent="2"/>
    </xf>
    <xf numFmtId="0" fontId="76" fillId="8" borderId="10" xfId="0" applyFont="1" applyFill="1" applyBorder="1" applyAlignment="1">
      <alignment horizontal="distributed" vertical="distributed" indent="2"/>
    </xf>
    <xf numFmtId="0" fontId="76" fillId="8" borderId="20" xfId="0" applyFont="1" applyFill="1" applyBorder="1" applyAlignment="1">
      <alignment horizontal="center" vertical="distributed" textRotation="255" indent="1"/>
    </xf>
    <xf numFmtId="0" fontId="76" fillId="8" borderId="25" xfId="0" applyFont="1" applyFill="1" applyBorder="1" applyAlignment="1">
      <alignment horizontal="center" vertical="distributed" textRotation="255" indent="1"/>
    </xf>
    <xf numFmtId="0" fontId="76" fillId="8" borderId="22" xfId="0" applyFont="1" applyFill="1" applyBorder="1" applyAlignment="1">
      <alignment horizontal="center" vertical="distributed" textRotation="255" indent="1"/>
    </xf>
    <xf numFmtId="0" fontId="77" fillId="8" borderId="20" xfId="0" applyFont="1" applyFill="1" applyBorder="1" applyAlignment="1">
      <alignment horizontal="distributed" vertical="center" indent="1"/>
    </xf>
    <xf numFmtId="0" fontId="77" fillId="8" borderId="25" xfId="0" applyFont="1" applyFill="1" applyBorder="1" applyAlignment="1">
      <alignment horizontal="distributed" vertical="center" indent="1"/>
    </xf>
    <xf numFmtId="0" fontId="77" fillId="8" borderId="22" xfId="0" applyFont="1" applyFill="1" applyBorder="1" applyAlignment="1">
      <alignment horizontal="distributed" vertical="center" indent="1"/>
    </xf>
    <xf numFmtId="0" fontId="76" fillId="8" borderId="25" xfId="0" applyFont="1" applyFill="1" applyBorder="1" applyAlignment="1">
      <alignment horizontal="distributed" vertical="distributed" indent="1"/>
    </xf>
    <xf numFmtId="0" fontId="76" fillId="8" borderId="20" xfId="0" applyFont="1" applyFill="1" applyBorder="1" applyAlignment="1">
      <alignment horizontal="center" vertical="distributed" textRotation="255" indent="2"/>
    </xf>
    <xf numFmtId="0" fontId="76" fillId="8" borderId="25" xfId="0" applyFont="1" applyFill="1" applyBorder="1" applyAlignment="1">
      <alignment horizontal="center" vertical="distributed" textRotation="255" indent="2"/>
    </xf>
    <xf numFmtId="0" fontId="76" fillId="8" borderId="22" xfId="0" applyFont="1" applyFill="1" applyBorder="1" applyAlignment="1">
      <alignment horizontal="center" vertical="distributed" textRotation="255" indent="2"/>
    </xf>
    <xf numFmtId="0" fontId="70" fillId="8" borderId="7" xfId="0" applyFont="1" applyFill="1" applyBorder="1" applyAlignment="1">
      <alignment horizontal="center" vertical="center" wrapText="1"/>
    </xf>
    <xf numFmtId="0" fontId="70" fillId="8" borderId="20" xfId="0" applyFont="1" applyFill="1" applyBorder="1" applyAlignment="1">
      <alignment horizontal="center" vertical="center" wrapText="1"/>
    </xf>
    <xf numFmtId="0" fontId="70" fillId="8" borderId="22" xfId="0" applyFont="1" applyFill="1" applyBorder="1" applyAlignment="1">
      <alignment horizontal="center" vertical="center"/>
    </xf>
    <xf numFmtId="0" fontId="71" fillId="8" borderId="17" xfId="0" applyFont="1" applyFill="1" applyBorder="1" applyAlignment="1">
      <alignment horizontal="distributed" vertical="center" indent="2"/>
    </xf>
    <xf numFmtId="0" fontId="0" fillId="0" borderId="21" xfId="0" applyBorder="1" applyAlignment="1">
      <alignment horizontal="distributed" vertical="center" indent="2"/>
    </xf>
    <xf numFmtId="0" fontId="0" fillId="0" borderId="16" xfId="0" applyBorder="1" applyAlignment="1">
      <alignment horizontal="distributed" vertical="center" indent="2"/>
    </xf>
  </cellXfs>
  <cellStyles count="7">
    <cellStyle name="一般" xfId="0" builtinId="0"/>
    <cellStyle name="一般 2" xfId="1" xr:uid="{9BCE4600-258B-4453-A56E-494838A00B4F}"/>
    <cellStyle name="一般 2 2" xfId="3" xr:uid="{65C1BD10-A683-42DE-A052-D4F80CCCC492}"/>
    <cellStyle name="一般 3" xfId="5" xr:uid="{527E1A65-B96F-494F-B146-F253C5DE157A}"/>
    <cellStyle name="一般 4 2" xfId="6" xr:uid="{B9E5393E-D3D2-4D90-9360-BA826638429F}"/>
    <cellStyle name="一般 5" xfId="4" xr:uid="{3851D085-8AE1-4016-8D02-811506D4B003}"/>
    <cellStyle name="超連結" xfId="2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10</xdr:row>
      <xdr:rowOff>93279</xdr:rowOff>
    </xdr:from>
    <xdr:to>
      <xdr:col>1</xdr:col>
      <xdr:colOff>797477</xdr:colOff>
      <xdr:row>15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60EA0C22-B70D-40D3-8B40-084FB5A6F03E}"/>
            </a:ext>
          </a:extLst>
        </xdr:cNvPr>
        <xdr:cNvGrpSpPr/>
      </xdr:nvGrpSpPr>
      <xdr:grpSpPr>
        <a:xfrm>
          <a:off x="1235627" y="6589329"/>
          <a:ext cx="247650" cy="1754571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2ACDA682-D158-3588-6A21-D76C6715BD17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2A7B94D7-7F38-F062-1FEA-969BC5F86666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989390EF-C146-DF2E-566F-C573EA4CB1A4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290429FE-F801-BA6E-CF52-2DE2AD7091BD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8C8827E9-FEA8-9B96-13D3-03B7C1C720CB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12</xdr:row>
      <xdr:rowOff>6569</xdr:rowOff>
    </xdr:from>
    <xdr:to>
      <xdr:col>2</xdr:col>
      <xdr:colOff>1182414</xdr:colOff>
      <xdr:row>12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2199FCF4-112D-428F-BED7-FFE29D6E36CF}"/>
            </a:ext>
          </a:extLst>
        </xdr:cNvPr>
        <xdr:cNvCxnSpPr/>
      </xdr:nvCxnSpPr>
      <xdr:spPr>
        <a:xfrm>
          <a:off x="2772761" y="10055444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85398</xdr:colOff>
      <xdr:row>10</xdr:row>
      <xdr:rowOff>157657</xdr:rowOff>
    </xdr:from>
    <xdr:to>
      <xdr:col>4</xdr:col>
      <xdr:colOff>1304192</xdr:colOff>
      <xdr:row>13</xdr:row>
      <xdr:rowOff>1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42027C9F-3E7A-4990-84B0-9F8E35FF4C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9394" b="51354"/>
        <a:stretch>
          <a:fillRect/>
        </a:stretch>
      </xdr:blipFill>
      <xdr:spPr>
        <a:xfrm>
          <a:off x="5463360" y="6649311"/>
          <a:ext cx="1218794" cy="875440"/>
        </a:xfrm>
        <a:prstGeom prst="rect">
          <a:avLst/>
        </a:prstGeom>
      </xdr:spPr>
    </xdr:pic>
    <xdr:clientData/>
  </xdr:twoCellAnchor>
  <xdr:twoCellAnchor editAs="oneCell">
    <xdr:from>
      <xdr:col>5</xdr:col>
      <xdr:colOff>183930</xdr:colOff>
      <xdr:row>12</xdr:row>
      <xdr:rowOff>327978</xdr:rowOff>
    </xdr:from>
    <xdr:to>
      <xdr:col>5</xdr:col>
      <xdr:colOff>1326930</xdr:colOff>
      <xdr:row>14</xdr:row>
      <xdr:rowOff>401174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375BC48-9372-42A0-AE3C-AEE23F69EF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6918105" y="10376853"/>
          <a:ext cx="1143000" cy="892346"/>
        </a:xfrm>
        <a:prstGeom prst="rect">
          <a:avLst/>
        </a:prstGeom>
      </xdr:spPr>
    </xdr:pic>
    <xdr:clientData/>
  </xdr:twoCellAnchor>
  <xdr:twoCellAnchor editAs="oneCell">
    <xdr:from>
      <xdr:col>2</xdr:col>
      <xdr:colOff>1197428</xdr:colOff>
      <xdr:row>11</xdr:row>
      <xdr:rowOff>402979</xdr:rowOff>
    </xdr:from>
    <xdr:to>
      <xdr:col>3</xdr:col>
      <xdr:colOff>1261900</xdr:colOff>
      <xdr:row>15</xdr:row>
      <xdr:rowOff>1358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5D4652F6-550C-415D-BFB6-9FCE35D8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11735" t="10768" r="-1" b="-33445"/>
        <a:stretch>
          <a:fillRect/>
        </a:stretch>
      </xdr:blipFill>
      <xdr:spPr>
        <a:xfrm>
          <a:off x="3849774" y="7107114"/>
          <a:ext cx="1427280" cy="1239609"/>
        </a:xfrm>
        <a:prstGeom prst="rect">
          <a:avLst/>
        </a:prstGeom>
      </xdr:spPr>
    </xdr:pic>
    <xdr:clientData/>
  </xdr:twoCellAnchor>
  <xdr:twoCellAnchor>
    <xdr:from>
      <xdr:col>6</xdr:col>
      <xdr:colOff>204952</xdr:colOff>
      <xdr:row>13</xdr:row>
      <xdr:rowOff>1314</xdr:rowOff>
    </xdr:from>
    <xdr:to>
      <xdr:col>6</xdr:col>
      <xdr:colOff>1149569</xdr:colOff>
      <xdr:row>13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4B67C7DB-5C64-4D64-A4D9-5F4D34C1F322}"/>
            </a:ext>
          </a:extLst>
        </xdr:cNvPr>
        <xdr:cNvCxnSpPr/>
      </xdr:nvCxnSpPr>
      <xdr:spPr>
        <a:xfrm>
          <a:off x="8301202" y="1045976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289035</xdr:colOff>
      <xdr:row>12</xdr:row>
      <xdr:rowOff>243052</xdr:rowOff>
    </xdr:from>
    <xdr:to>
      <xdr:col>7</xdr:col>
      <xdr:colOff>1118847</xdr:colOff>
      <xdr:row>13</xdr:row>
      <xdr:rowOff>264461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A880CF5C-7128-4614-99CF-EE1541776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360" y="10291927"/>
          <a:ext cx="829812" cy="430984"/>
        </a:xfrm>
        <a:prstGeom prst="rect">
          <a:avLst/>
        </a:prstGeom>
      </xdr:spPr>
    </xdr:pic>
    <xdr:clientData/>
  </xdr:twoCellAnchor>
  <xdr:twoCellAnchor editAs="oneCell">
    <xdr:from>
      <xdr:col>8</xdr:col>
      <xdr:colOff>266163</xdr:colOff>
      <xdr:row>11</xdr:row>
      <xdr:rowOff>257503</xdr:rowOff>
    </xdr:from>
    <xdr:to>
      <xdr:col>8</xdr:col>
      <xdr:colOff>1095975</xdr:colOff>
      <xdr:row>12</xdr:row>
      <xdr:rowOff>276823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F2D2C597-3683-4373-A58B-3AC3E5B5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2708" y="6976958"/>
          <a:ext cx="829812" cy="4262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6</xdr:row>
      <xdr:rowOff>93279</xdr:rowOff>
    </xdr:from>
    <xdr:to>
      <xdr:col>1</xdr:col>
      <xdr:colOff>797477</xdr:colOff>
      <xdr:row>11</xdr:row>
      <xdr:rowOff>0</xdr:rowOff>
    </xdr:to>
    <xdr:grpSp>
      <xdr:nvGrpSpPr>
        <xdr:cNvPr id="2" name="群組 1">
          <a:extLst>
            <a:ext uri="{FF2B5EF4-FFF2-40B4-BE49-F238E27FC236}">
              <a16:creationId xmlns:a16="http://schemas.microsoft.com/office/drawing/2014/main" id="{CD401D8F-928E-4BD6-8E18-C87A4A029E04}"/>
            </a:ext>
          </a:extLst>
        </xdr:cNvPr>
        <xdr:cNvGrpSpPr/>
      </xdr:nvGrpSpPr>
      <xdr:grpSpPr>
        <a:xfrm>
          <a:off x="1230184" y="4080172"/>
          <a:ext cx="247650" cy="1743685"/>
          <a:chOff x="1232999" y="4402520"/>
          <a:chExt cx="247650" cy="1872156"/>
        </a:xfrm>
      </xdr:grpSpPr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B030F3D1-6062-C25E-F22C-479B06735E75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5BC48757-B0AB-9C47-614A-326E2E6147D6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9E4C176E-76D6-23B7-5453-FDB4CE0DA542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D1A5B2AA-EB2F-5D9D-188E-37F9CF2E7AB9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7" name="橢圓 6">
            <a:extLst>
              <a:ext uri="{FF2B5EF4-FFF2-40B4-BE49-F238E27FC236}">
                <a16:creationId xmlns:a16="http://schemas.microsoft.com/office/drawing/2014/main" id="{A3EC06D6-BA80-718D-1CF8-2DB96E8D8BBA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8</xdr:row>
      <xdr:rowOff>6569</xdr:rowOff>
    </xdr:from>
    <xdr:to>
      <xdr:col>2</xdr:col>
      <xdr:colOff>1182414</xdr:colOff>
      <xdr:row>8</xdr:row>
      <xdr:rowOff>6569</xdr:rowOff>
    </xdr:to>
    <xdr:cxnSp macro="">
      <xdr:nvCxnSpPr>
        <xdr:cNvPr id="8" name="直線接點 7">
          <a:extLst>
            <a:ext uri="{FF2B5EF4-FFF2-40B4-BE49-F238E27FC236}">
              <a16:creationId xmlns:a16="http://schemas.microsoft.com/office/drawing/2014/main" id="{9F5FE29D-1886-48DB-A38E-AC93908A9010}"/>
            </a:ext>
          </a:extLst>
        </xdr:cNvPr>
        <xdr:cNvCxnSpPr/>
      </xdr:nvCxnSpPr>
      <xdr:spPr>
        <a:xfrm>
          <a:off x="2772761" y="4083269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85398</xdr:colOff>
      <xdr:row>6</xdr:row>
      <xdr:rowOff>157656</xdr:rowOff>
    </xdr:from>
    <xdr:to>
      <xdr:col>5</xdr:col>
      <xdr:colOff>1228398</xdr:colOff>
      <xdr:row>11</xdr:row>
      <xdr:rowOff>103575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0AA4B95E-19B9-493C-A97C-DD145F5E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8041" y="3300906"/>
          <a:ext cx="1143000" cy="1782883"/>
        </a:xfrm>
        <a:prstGeom prst="rect">
          <a:avLst/>
        </a:prstGeom>
      </xdr:spPr>
    </xdr:pic>
    <xdr:clientData/>
  </xdr:twoCellAnchor>
  <xdr:twoCellAnchor editAs="oneCell">
    <xdr:from>
      <xdr:col>4</xdr:col>
      <xdr:colOff>183930</xdr:colOff>
      <xdr:row>8</xdr:row>
      <xdr:rowOff>327978</xdr:rowOff>
    </xdr:from>
    <xdr:to>
      <xdr:col>4</xdr:col>
      <xdr:colOff>1326930</xdr:colOff>
      <xdr:row>10</xdr:row>
      <xdr:rowOff>401173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90E6C5B3-A492-4E6E-AF06-788EFB0FA8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5545144" y="5131299"/>
          <a:ext cx="1143000" cy="889624"/>
        </a:xfrm>
        <a:prstGeom prst="rect">
          <a:avLst/>
        </a:prstGeom>
      </xdr:spPr>
    </xdr:pic>
    <xdr:clientData/>
  </xdr:twoCellAnchor>
  <xdr:twoCellAnchor editAs="oneCell">
    <xdr:from>
      <xdr:col>6</xdr:col>
      <xdr:colOff>122464</xdr:colOff>
      <xdr:row>7</xdr:row>
      <xdr:rowOff>256190</xdr:rowOff>
    </xdr:from>
    <xdr:to>
      <xdr:col>6</xdr:col>
      <xdr:colOff>1357139</xdr:colOff>
      <xdr:row>10</xdr:row>
      <xdr:rowOff>27214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2EFAB92-B919-4F68-8D01-0330C8FC3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7990" b="28300"/>
        <a:stretch>
          <a:fillRect/>
        </a:stretch>
      </xdr:blipFill>
      <xdr:spPr>
        <a:xfrm>
          <a:off x="8205107" y="4447190"/>
          <a:ext cx="1234675" cy="995667"/>
        </a:xfrm>
        <a:prstGeom prst="rect">
          <a:avLst/>
        </a:prstGeom>
      </xdr:spPr>
    </xdr:pic>
    <xdr:clientData/>
  </xdr:twoCellAnchor>
  <xdr:twoCellAnchor>
    <xdr:from>
      <xdr:col>3</xdr:col>
      <xdr:colOff>204952</xdr:colOff>
      <xdr:row>9</xdr:row>
      <xdr:rowOff>1314</xdr:rowOff>
    </xdr:from>
    <xdr:to>
      <xdr:col>3</xdr:col>
      <xdr:colOff>1149569</xdr:colOff>
      <xdr:row>9</xdr:row>
      <xdr:rowOff>1314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8D34CBEF-5628-463B-B396-CB5B5FB2E509}"/>
            </a:ext>
          </a:extLst>
        </xdr:cNvPr>
        <xdr:cNvCxnSpPr/>
      </xdr:nvCxnSpPr>
      <xdr:spPr>
        <a:xfrm>
          <a:off x="9663277" y="4487589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289035</xdr:colOff>
      <xdr:row>8</xdr:row>
      <xdr:rowOff>243052</xdr:rowOff>
    </xdr:from>
    <xdr:to>
      <xdr:col>7</xdr:col>
      <xdr:colOff>1118847</xdr:colOff>
      <xdr:row>9</xdr:row>
      <xdr:rowOff>264460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1B320D10-B2C2-4300-BC22-F623D9350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3210" y="4319752"/>
          <a:ext cx="829812" cy="430984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6</xdr:row>
      <xdr:rowOff>67004</xdr:rowOff>
    </xdr:from>
    <xdr:to>
      <xdr:col>8</xdr:col>
      <xdr:colOff>1087316</xdr:colOff>
      <xdr:row>7</xdr:row>
      <xdr:rowOff>285482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7DC6FF02-03E7-4756-BE22-FF34E1190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7904" y="3524579"/>
          <a:ext cx="829812" cy="4280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5</xdr:col>
      <xdr:colOff>816428</xdr:colOff>
      <xdr:row>21</xdr:row>
      <xdr:rowOff>536625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9113BFE1-D0FC-2C2B-9D22-8F08CA5C2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0357" y="8055429"/>
          <a:ext cx="6858000" cy="37887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549827</xdr:colOff>
      <xdr:row>9</xdr:row>
      <xdr:rowOff>93279</xdr:rowOff>
    </xdr:from>
    <xdr:to>
      <xdr:col>1</xdr:col>
      <xdr:colOff>797477</xdr:colOff>
      <xdr:row>14</xdr:row>
      <xdr:rowOff>126124</xdr:rowOff>
    </xdr:to>
    <xdr:grpSp>
      <xdr:nvGrpSpPr>
        <xdr:cNvPr id="7" name="群組 6">
          <a:extLst>
            <a:ext uri="{FF2B5EF4-FFF2-40B4-BE49-F238E27FC236}">
              <a16:creationId xmlns:a16="http://schemas.microsoft.com/office/drawing/2014/main" id="{B89CDD61-C14C-80B7-C7C7-690D1A1BBF5C}"/>
            </a:ext>
          </a:extLst>
        </xdr:cNvPr>
        <xdr:cNvGrpSpPr/>
      </xdr:nvGrpSpPr>
      <xdr:grpSpPr>
        <a:xfrm>
          <a:off x="1230184" y="6080422"/>
          <a:ext cx="247650" cy="1869809"/>
          <a:chOff x="1232999" y="4402520"/>
          <a:chExt cx="247650" cy="1872156"/>
        </a:xfrm>
      </xdr:grpSpPr>
      <xdr:sp macro="" textlink="">
        <xdr:nvSpPr>
          <xdr:cNvPr id="2" name="橢圓 1">
            <a:extLst>
              <a:ext uri="{FF2B5EF4-FFF2-40B4-BE49-F238E27FC236}">
                <a16:creationId xmlns:a16="http://schemas.microsoft.com/office/drawing/2014/main" id="{E2076183-1464-B182-2BFA-E7AFEF13DCE5}"/>
              </a:ext>
            </a:extLst>
          </xdr:cNvPr>
          <xdr:cNvSpPr/>
        </xdr:nvSpPr>
        <xdr:spPr>
          <a:xfrm>
            <a:off x="1232999" y="4402520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5</a:t>
            </a:r>
            <a:endParaRPr lang="zh-TW" altLang="en-US" sz="1100"/>
          </a:p>
        </xdr:txBody>
      </xdr:sp>
      <xdr:sp macro="" textlink="">
        <xdr:nvSpPr>
          <xdr:cNvPr id="3" name="橢圓 2">
            <a:extLst>
              <a:ext uri="{FF2B5EF4-FFF2-40B4-BE49-F238E27FC236}">
                <a16:creationId xmlns:a16="http://schemas.microsoft.com/office/drawing/2014/main" id="{D716B88B-3D13-F385-668F-E4D9C17F7884}"/>
              </a:ext>
            </a:extLst>
          </xdr:cNvPr>
          <xdr:cNvSpPr/>
        </xdr:nvSpPr>
        <xdr:spPr>
          <a:xfrm>
            <a:off x="1232999" y="480322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4</a:t>
            </a:r>
            <a:endParaRPr lang="zh-TW" altLang="en-US" sz="1100"/>
          </a:p>
        </xdr:txBody>
      </xdr:sp>
      <xdr:sp macro="" textlink="">
        <xdr:nvSpPr>
          <xdr:cNvPr id="4" name="橢圓 3">
            <a:extLst>
              <a:ext uri="{FF2B5EF4-FFF2-40B4-BE49-F238E27FC236}">
                <a16:creationId xmlns:a16="http://schemas.microsoft.com/office/drawing/2014/main" id="{0BDCE40E-FEAC-7CD9-D70B-91E4EDC6DD4B}"/>
              </a:ext>
            </a:extLst>
          </xdr:cNvPr>
          <xdr:cNvSpPr/>
        </xdr:nvSpPr>
        <xdr:spPr>
          <a:xfrm>
            <a:off x="1232999" y="5211817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3</a:t>
            </a:r>
            <a:endParaRPr lang="zh-TW" altLang="en-US" sz="1100"/>
          </a:p>
        </xdr:txBody>
      </xdr:sp>
      <xdr:sp macro="" textlink="">
        <xdr:nvSpPr>
          <xdr:cNvPr id="5" name="橢圓 4">
            <a:extLst>
              <a:ext uri="{FF2B5EF4-FFF2-40B4-BE49-F238E27FC236}">
                <a16:creationId xmlns:a16="http://schemas.microsoft.com/office/drawing/2014/main" id="{26545084-70DD-5CDC-7436-265EB4555923}"/>
              </a:ext>
            </a:extLst>
          </xdr:cNvPr>
          <xdr:cNvSpPr/>
        </xdr:nvSpPr>
        <xdr:spPr>
          <a:xfrm>
            <a:off x="1232999" y="5619093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2</a:t>
            </a:r>
            <a:endParaRPr lang="zh-TW" altLang="en-US" sz="1100"/>
          </a:p>
        </xdr:txBody>
      </xdr:sp>
      <xdr:sp macro="" textlink="">
        <xdr:nvSpPr>
          <xdr:cNvPr id="6" name="橢圓 5">
            <a:extLst>
              <a:ext uri="{FF2B5EF4-FFF2-40B4-BE49-F238E27FC236}">
                <a16:creationId xmlns:a16="http://schemas.microsoft.com/office/drawing/2014/main" id="{3A13228F-D70A-11CF-289B-5859EB1D4DC3}"/>
              </a:ext>
            </a:extLst>
          </xdr:cNvPr>
          <xdr:cNvSpPr/>
        </xdr:nvSpPr>
        <xdr:spPr>
          <a:xfrm>
            <a:off x="1232999" y="6026369"/>
            <a:ext cx="247650" cy="248307"/>
          </a:xfrm>
          <a:prstGeom prst="ellips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 anchorCtr="1"/>
          <a:lstStyle/>
          <a:p>
            <a:pPr algn="l"/>
            <a:r>
              <a:rPr lang="en-US" altLang="zh-TW" sz="1100"/>
              <a:t>1</a:t>
            </a:r>
            <a:endParaRPr lang="zh-TW" altLang="en-US" sz="1100"/>
          </a:p>
        </xdr:txBody>
      </xdr:sp>
    </xdr:grpSp>
    <xdr:clientData/>
  </xdr:twoCellAnchor>
  <xdr:twoCellAnchor>
    <xdr:from>
      <xdr:col>2</xdr:col>
      <xdr:colOff>124811</xdr:colOff>
      <xdr:row>11</xdr:row>
      <xdr:rowOff>6569</xdr:rowOff>
    </xdr:from>
    <xdr:to>
      <xdr:col>2</xdr:col>
      <xdr:colOff>1182414</xdr:colOff>
      <xdr:row>11</xdr:row>
      <xdr:rowOff>6569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2B42E8DC-80D8-3DC6-F7C3-DF2046249E26}"/>
            </a:ext>
          </a:extLst>
        </xdr:cNvPr>
        <xdr:cNvCxnSpPr/>
      </xdr:nvCxnSpPr>
      <xdr:spPr>
        <a:xfrm>
          <a:off x="2167759" y="4933293"/>
          <a:ext cx="1057603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85398</xdr:colOff>
      <xdr:row>9</xdr:row>
      <xdr:rowOff>157656</xdr:rowOff>
    </xdr:from>
    <xdr:to>
      <xdr:col>3</xdr:col>
      <xdr:colOff>1228398</xdr:colOff>
      <xdr:row>14</xdr:row>
      <xdr:rowOff>103575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82BC4FE0-467E-5D60-0905-98848459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8122" y="4466897"/>
          <a:ext cx="1143000" cy="1785230"/>
        </a:xfrm>
        <a:prstGeom prst="rect">
          <a:avLst/>
        </a:prstGeom>
      </xdr:spPr>
    </xdr:pic>
    <xdr:clientData/>
  </xdr:twoCellAnchor>
  <xdr:twoCellAnchor editAs="oneCell">
    <xdr:from>
      <xdr:col>4</xdr:col>
      <xdr:colOff>143108</xdr:colOff>
      <xdr:row>11</xdr:row>
      <xdr:rowOff>327981</xdr:rowOff>
    </xdr:from>
    <xdr:to>
      <xdr:col>4</xdr:col>
      <xdr:colOff>1286108</xdr:colOff>
      <xdr:row>13</xdr:row>
      <xdr:rowOff>401176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B4D068A-CAF4-4434-F034-B41B4375E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" b="50185"/>
        <a:stretch>
          <a:fillRect/>
        </a:stretch>
      </xdr:blipFill>
      <xdr:spPr>
        <a:xfrm>
          <a:off x="5504322" y="6927445"/>
          <a:ext cx="1143000" cy="889624"/>
        </a:xfrm>
        <a:prstGeom prst="rect">
          <a:avLst/>
        </a:prstGeom>
      </xdr:spPr>
    </xdr:pic>
    <xdr:clientData/>
  </xdr:twoCellAnchor>
  <xdr:twoCellAnchor editAs="oneCell">
    <xdr:from>
      <xdr:col>5</xdr:col>
      <xdr:colOff>466396</xdr:colOff>
      <xdr:row>10</xdr:row>
      <xdr:rowOff>256190</xdr:rowOff>
    </xdr:from>
    <xdr:to>
      <xdr:col>7</xdr:col>
      <xdr:colOff>118901</xdr:colOff>
      <xdr:row>14</xdr:row>
      <xdr:rowOff>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219F5B33-F3F7-8A45-2F42-1D7AFA8F9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28300"/>
        <a:stretch>
          <a:fillRect/>
        </a:stretch>
      </xdr:blipFill>
      <xdr:spPr>
        <a:xfrm>
          <a:off x="6588672" y="4775638"/>
          <a:ext cx="2372056" cy="1372914"/>
        </a:xfrm>
        <a:prstGeom prst="rect">
          <a:avLst/>
        </a:prstGeom>
      </xdr:spPr>
    </xdr:pic>
    <xdr:clientData/>
  </xdr:twoCellAnchor>
  <xdr:twoCellAnchor>
    <xdr:from>
      <xdr:col>7</xdr:col>
      <xdr:colOff>204952</xdr:colOff>
      <xdr:row>12</xdr:row>
      <xdr:rowOff>1314</xdr:rowOff>
    </xdr:from>
    <xdr:to>
      <xdr:col>7</xdr:col>
      <xdr:colOff>1149569</xdr:colOff>
      <xdr:row>12</xdr:row>
      <xdr:rowOff>1314</xdr:rowOff>
    </xdr:to>
    <xdr:cxnSp macro="">
      <xdr:nvCxnSpPr>
        <xdr:cNvPr id="27" name="直線接點 26">
          <a:extLst>
            <a:ext uri="{FF2B5EF4-FFF2-40B4-BE49-F238E27FC236}">
              <a16:creationId xmlns:a16="http://schemas.microsoft.com/office/drawing/2014/main" id="{4B48BF0C-BEFF-4E95-9AC6-3FB32B4D3D5E}"/>
            </a:ext>
          </a:extLst>
        </xdr:cNvPr>
        <xdr:cNvCxnSpPr/>
      </xdr:nvCxnSpPr>
      <xdr:spPr>
        <a:xfrm>
          <a:off x="10406555" y="5335314"/>
          <a:ext cx="944617" cy="0"/>
        </a:xfrm>
        <a:prstGeom prst="line">
          <a:avLst/>
        </a:prstGeom>
        <a:ln w="7620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289035</xdr:colOff>
      <xdr:row>11</xdr:row>
      <xdr:rowOff>243052</xdr:rowOff>
    </xdr:from>
    <xdr:to>
      <xdr:col>5</xdr:col>
      <xdr:colOff>1118847</xdr:colOff>
      <xdr:row>12</xdr:row>
      <xdr:rowOff>264460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05D1FD97-11A0-C223-9E66-837E47503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1311" y="5169776"/>
          <a:ext cx="829812" cy="428685"/>
        </a:xfrm>
        <a:prstGeom prst="rect">
          <a:avLst/>
        </a:prstGeom>
      </xdr:spPr>
    </xdr:pic>
    <xdr:clientData/>
  </xdr:twoCellAnchor>
  <xdr:twoCellAnchor editAs="oneCell">
    <xdr:from>
      <xdr:col>8</xdr:col>
      <xdr:colOff>257504</xdr:colOff>
      <xdr:row>9</xdr:row>
      <xdr:rowOff>67004</xdr:rowOff>
    </xdr:from>
    <xdr:to>
      <xdr:col>8</xdr:col>
      <xdr:colOff>1087316</xdr:colOff>
      <xdr:row>10</xdr:row>
      <xdr:rowOff>285482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6E98075-6180-4DDA-AA6D-EAE1C173B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8883" y="4376245"/>
          <a:ext cx="829812" cy="4286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6</xdr:col>
      <xdr:colOff>626619</xdr:colOff>
      <xdr:row>40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929FC42-88AD-4405-BDBC-2BEA8E70C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402425"/>
          <a:ext cx="5341494" cy="29183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ime-tlpa/docs/101_&#32882;&#38907;&#35519;&#23565;&#29031;&#34920;.xlsx" TargetMode="External"/><Relationship Id="rId2" Type="http://schemas.openxmlformats.org/officeDocument/2006/relationships/externalLinkPath" Target="file:///C:\Users\AlanJui\work\rime-tlpa\docs\101_&#32882;&#38907;&#35519;&#23565;&#29031;&#34920;.xlsx" TargetMode="External"/><Relationship Id="rId1" Type="http://schemas.openxmlformats.org/officeDocument/2006/relationships/externalLinkPath" Target="/Users/AlanJui/work/rime-tlpa/docs/101_&#32882;&#38907;&#35519;&#23565;&#2903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工作表1"/>
      <sheetName val="輸入工具"/>
      <sheetName val="輸入工具 (閩拼方案)"/>
      <sheetName val="輸入工具 (台語注音二式)"/>
      <sheetName val="輸入工具 (台語音標)"/>
      <sheetName val="輸入工具 (台羅拼音)"/>
      <sheetName val="輸入工具 (白話字)"/>
      <sheetName val="【聲】聲母對照表"/>
      <sheetName val="【聲】聲母排序表"/>
      <sheetName val="【韻】韻母對照表"/>
      <sheetName val="【調】韻母標調"/>
      <sheetName val="台語注音二式轉方音符號"/>
      <sheetName val="台語注音二式轉換"/>
      <sheetName val="IPA音節表"/>
      <sheetName val="【十五音】韻母對照表"/>
      <sheetName val="十五音韻母"/>
      <sheetName val="馬重奇韻母50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 t="str">
            <v>l</v>
          </cell>
          <cell r="G2" t="str">
            <v>l</v>
          </cell>
        </row>
        <row r="3">
          <cell r="C3" t="str">
            <v>p</v>
          </cell>
          <cell r="G3" t="str">
            <v>b</v>
          </cell>
        </row>
        <row r="4">
          <cell r="C4" t="str">
            <v>k</v>
          </cell>
          <cell r="G4" t="str">
            <v>g</v>
          </cell>
        </row>
        <row r="5">
          <cell r="C5" t="str">
            <v>kʰ</v>
          </cell>
          <cell r="G5" t="str">
            <v>k</v>
          </cell>
        </row>
        <row r="6">
          <cell r="C6" t="str">
            <v>t</v>
          </cell>
          <cell r="G6" t="str">
            <v>d</v>
          </cell>
        </row>
        <row r="7">
          <cell r="C7" t="str">
            <v>pʰ</v>
          </cell>
          <cell r="G7" t="str">
            <v>p</v>
          </cell>
        </row>
        <row r="8">
          <cell r="C8" t="str">
            <v>tʰ</v>
          </cell>
          <cell r="G8" t="str">
            <v>t</v>
          </cell>
        </row>
        <row r="9">
          <cell r="C9" t="str">
            <v>ʦ</v>
          </cell>
          <cell r="G9" t="str">
            <v>z</v>
          </cell>
        </row>
        <row r="10">
          <cell r="C10" t="str">
            <v>ʣ</v>
          </cell>
          <cell r="G10" t="str">
            <v>zz</v>
          </cell>
        </row>
        <row r="11">
          <cell r="C11" t="str">
            <v>s</v>
          </cell>
          <cell r="G11" t="str">
            <v>s</v>
          </cell>
        </row>
        <row r="12">
          <cell r="C12"/>
          <cell r="G12"/>
        </row>
        <row r="13">
          <cell r="C13" t="str">
            <v>b</v>
          </cell>
          <cell r="G13" t="str">
            <v>bb</v>
          </cell>
        </row>
        <row r="14">
          <cell r="C14" t="str">
            <v>ɡ</v>
          </cell>
          <cell r="G14" t="str">
            <v>gg</v>
          </cell>
        </row>
        <row r="15">
          <cell r="C15" t="str">
            <v>ʦʰ</v>
          </cell>
          <cell r="G15" t="str">
            <v>c</v>
          </cell>
        </row>
        <row r="16">
          <cell r="C16" t="str">
            <v>h</v>
          </cell>
          <cell r="G16" t="str">
            <v>h</v>
          </cell>
        </row>
        <row r="17">
          <cell r="C17" t="str">
            <v>m</v>
          </cell>
          <cell r="G17" t="str">
            <v>bbn</v>
          </cell>
        </row>
        <row r="18">
          <cell r="C18" t="str">
            <v>n</v>
          </cell>
          <cell r="G18" t="str">
            <v>ln</v>
          </cell>
        </row>
        <row r="19">
          <cell r="C19" t="str">
            <v>ŋ</v>
          </cell>
          <cell r="G19" t="str">
            <v>ggn</v>
          </cell>
        </row>
        <row r="20">
          <cell r="C20" t="str">
            <v>ʥ</v>
          </cell>
          <cell r="G20" t="str">
            <v>zzi</v>
          </cell>
        </row>
        <row r="21">
          <cell r="C21" t="str">
            <v>ʨ</v>
          </cell>
          <cell r="G21" t="str">
            <v>zi</v>
          </cell>
        </row>
        <row r="22">
          <cell r="C22" t="str">
            <v>ʨʰ</v>
          </cell>
          <cell r="G22" t="str">
            <v>ci</v>
          </cell>
        </row>
        <row r="23">
          <cell r="C23" t="str">
            <v>ɕ</v>
          </cell>
          <cell r="G23" t="str">
            <v>si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zi-hi.com/sp/uni/030C" TargetMode="External"/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0" TargetMode="External"/><Relationship Id="rId12" Type="http://schemas.openxmlformats.org/officeDocument/2006/relationships/hyperlink" Target="https://zi-hi.com/sp/uni/0301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1" TargetMode="External"/><Relationship Id="rId11" Type="http://schemas.openxmlformats.org/officeDocument/2006/relationships/hyperlink" Target="https://zi-hi.com/sp/uni/030B" TargetMode="External"/><Relationship Id="rId5" Type="http://schemas.openxmlformats.org/officeDocument/2006/relationships/hyperlink" Target="https://zi-hi.com/sp/uni/030D" TargetMode="External"/><Relationship Id="rId10" Type="http://schemas.openxmlformats.org/officeDocument/2006/relationships/hyperlink" Target="https://zi-hi.com/sp/uni/030D" TargetMode="External"/><Relationship Id="rId4" Type="http://schemas.openxmlformats.org/officeDocument/2006/relationships/hyperlink" Target="https://zi-hi.com/sp/uni/0304" TargetMode="External"/><Relationship Id="rId9" Type="http://schemas.openxmlformats.org/officeDocument/2006/relationships/hyperlink" Target="https://zi-hi.com/sp/uni/030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9A44-D5BB-4339-8FDF-923080AD1616}">
  <dimension ref="B2:I18"/>
  <sheetViews>
    <sheetView showGridLines="0" topLeftCell="A6" zoomScaleNormal="100" workbookViewId="0">
      <selection activeCell="C8" sqref="C8"/>
    </sheetView>
  </sheetViews>
  <sheetFormatPr defaultRowHeight="16.5"/>
  <cols>
    <col min="2" max="2" width="25.75" customWidth="1"/>
    <col min="3" max="9" width="17.875" customWidth="1"/>
  </cols>
  <sheetData>
    <row r="2" spans="2:9" ht="57.75">
      <c r="B2" s="76" t="s">
        <v>154</v>
      </c>
      <c r="C2" s="18" t="s">
        <v>7</v>
      </c>
      <c r="D2" s="18" t="s">
        <v>3</v>
      </c>
      <c r="E2" s="18" t="s">
        <v>2</v>
      </c>
      <c r="F2" s="18" t="s">
        <v>6</v>
      </c>
      <c r="G2" s="18" t="s">
        <v>1</v>
      </c>
      <c r="H2" s="18" t="s">
        <v>5</v>
      </c>
      <c r="I2" s="18" t="s">
        <v>0</v>
      </c>
    </row>
    <row r="3" spans="2:9" ht="57.75">
      <c r="B3" s="76" t="s">
        <v>72</v>
      </c>
      <c r="C3" s="17" t="s">
        <v>13</v>
      </c>
      <c r="D3" s="17" t="s">
        <v>17</v>
      </c>
      <c r="E3" s="17" t="s">
        <v>14</v>
      </c>
      <c r="F3" s="17" t="s">
        <v>15</v>
      </c>
      <c r="G3" s="17" t="s">
        <v>19</v>
      </c>
      <c r="H3" s="17" t="s">
        <v>16</v>
      </c>
      <c r="I3" s="17" t="s">
        <v>20</v>
      </c>
    </row>
    <row r="4" spans="2:9" ht="57.75">
      <c r="B4" s="76" t="s">
        <v>70</v>
      </c>
      <c r="C4" s="21">
        <v>1</v>
      </c>
      <c r="D4" s="21">
        <v>2</v>
      </c>
      <c r="E4" s="21">
        <v>3</v>
      </c>
      <c r="F4" s="21">
        <v>5</v>
      </c>
      <c r="G4" s="21">
        <v>6</v>
      </c>
      <c r="H4" s="21">
        <v>7</v>
      </c>
      <c r="I4" s="21">
        <v>8</v>
      </c>
    </row>
    <row r="5" spans="2:9" ht="66">
      <c r="B5" s="76" t="s">
        <v>90</v>
      </c>
      <c r="C5" s="38">
        <v>44</v>
      </c>
      <c r="D5" s="38">
        <v>24</v>
      </c>
      <c r="E5" s="38">
        <v>53</v>
      </c>
      <c r="F5" s="38">
        <v>21</v>
      </c>
      <c r="G5" s="38">
        <v>33</v>
      </c>
      <c r="H5" s="38" t="s">
        <v>587</v>
      </c>
      <c r="I5" s="38" t="s">
        <v>588</v>
      </c>
    </row>
    <row r="6" spans="2:9" ht="57.75">
      <c r="B6" s="76" t="s">
        <v>191</v>
      </c>
      <c r="C6" s="75" t="s">
        <v>113</v>
      </c>
      <c r="D6" s="75" t="s">
        <v>111</v>
      </c>
      <c r="E6" s="75" t="s">
        <v>109</v>
      </c>
      <c r="F6" s="75" t="s">
        <v>106</v>
      </c>
      <c r="G6" s="75" t="s">
        <v>103</v>
      </c>
      <c r="H6" s="75" t="s">
        <v>100</v>
      </c>
      <c r="I6" s="75" t="s">
        <v>98</v>
      </c>
    </row>
    <row r="7" spans="2:9" ht="66">
      <c r="B7" s="42" t="s">
        <v>71</v>
      </c>
      <c r="C7" s="38" t="s">
        <v>68</v>
      </c>
      <c r="D7" s="38" t="s">
        <v>64</v>
      </c>
      <c r="E7" s="38" t="s">
        <v>197</v>
      </c>
      <c r="F7" s="38" t="s">
        <v>65</v>
      </c>
      <c r="G7" s="38" t="s">
        <v>67</v>
      </c>
      <c r="H7" s="38" t="s">
        <v>199</v>
      </c>
      <c r="I7" s="38" t="s">
        <v>200</v>
      </c>
    </row>
    <row r="8" spans="2:9" ht="57.75">
      <c r="B8" s="42" t="s">
        <v>156</v>
      </c>
      <c r="C8" s="79" t="s">
        <v>596</v>
      </c>
      <c r="D8" s="79" t="s">
        <v>202</v>
      </c>
      <c r="E8" s="79" t="s">
        <v>203</v>
      </c>
      <c r="F8" s="79" t="s">
        <v>204</v>
      </c>
      <c r="G8" s="79" t="s">
        <v>205</v>
      </c>
      <c r="H8" s="79" t="s">
        <v>206</v>
      </c>
      <c r="I8" s="79" t="s">
        <v>207</v>
      </c>
    </row>
    <row r="9" spans="2:9" ht="57.75">
      <c r="B9" s="42" t="s">
        <v>157</v>
      </c>
      <c r="C9" s="79" t="s">
        <v>589</v>
      </c>
      <c r="D9" s="79" t="s">
        <v>590</v>
      </c>
      <c r="E9" s="79" t="s">
        <v>591</v>
      </c>
      <c r="F9" s="79" t="s">
        <v>592</v>
      </c>
      <c r="G9" s="79" t="s">
        <v>593</v>
      </c>
      <c r="H9" s="79" t="s">
        <v>594</v>
      </c>
      <c r="I9" s="79" t="s">
        <v>595</v>
      </c>
    </row>
    <row r="12" spans="2:9" ht="32.25" customHeight="1">
      <c r="B12" s="39"/>
      <c r="C12" s="39"/>
      <c r="D12" s="39"/>
      <c r="E12" s="39"/>
      <c r="F12" s="39"/>
      <c r="G12" s="39"/>
      <c r="H12" s="39"/>
      <c r="I12" s="39"/>
    </row>
    <row r="13" spans="2:9" ht="32.25" customHeight="1">
      <c r="B13" s="39"/>
      <c r="C13" s="39"/>
      <c r="D13" s="39"/>
      <c r="E13" s="39"/>
      <c r="F13" s="39"/>
      <c r="G13" s="39"/>
      <c r="H13" s="39"/>
      <c r="I13" s="39"/>
    </row>
    <row r="14" spans="2:9" ht="32.25" customHeight="1">
      <c r="B14" s="39"/>
      <c r="C14" s="39"/>
      <c r="D14" s="39"/>
      <c r="E14" s="39"/>
      <c r="F14" s="39"/>
      <c r="G14" s="39"/>
      <c r="H14" s="39"/>
      <c r="I14" s="39"/>
    </row>
    <row r="15" spans="2:9" ht="32.25" customHeight="1">
      <c r="B15" s="39"/>
      <c r="C15" s="39"/>
      <c r="D15" s="39"/>
      <c r="E15" s="39"/>
      <c r="F15" s="39"/>
      <c r="G15" s="39"/>
      <c r="H15" s="39"/>
      <c r="I15" s="39"/>
    </row>
    <row r="16" spans="2:9" s="40" customFormat="1" ht="51.75" customHeight="1">
      <c r="C16" s="78" t="s">
        <v>92</v>
      </c>
      <c r="D16" s="78" t="s">
        <v>94</v>
      </c>
      <c r="E16" s="78" t="s">
        <v>73</v>
      </c>
      <c r="F16" s="78" t="s">
        <v>198</v>
      </c>
      <c r="G16" s="78" t="s">
        <v>95</v>
      </c>
      <c r="H16" s="78" t="s">
        <v>93</v>
      </c>
      <c r="I16" s="78" t="s">
        <v>201</v>
      </c>
    </row>
    <row r="17" spans="3:9" s="40" customFormat="1" ht="51.75" customHeight="1">
      <c r="C17" s="77" t="s">
        <v>62</v>
      </c>
      <c r="D17" s="77" t="s">
        <v>194</v>
      </c>
      <c r="E17" s="77" t="s">
        <v>192</v>
      </c>
      <c r="F17" s="77" t="s">
        <v>193</v>
      </c>
      <c r="G17" s="77" t="s">
        <v>61</v>
      </c>
      <c r="H17" s="77" t="s">
        <v>195</v>
      </c>
      <c r="I17" s="77" t="s">
        <v>196</v>
      </c>
    </row>
    <row r="18" spans="3:9" ht="40.5" customHeight="1"/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11E2F-B81A-4A4C-90EB-C33303F52178}">
  <dimension ref="B2:F14"/>
  <sheetViews>
    <sheetView showGridLines="0" zoomScaleNormal="100" workbookViewId="0">
      <selection activeCell="I6" sqref="I6"/>
    </sheetView>
  </sheetViews>
  <sheetFormatPr defaultRowHeight="16.5"/>
  <cols>
    <col min="2" max="2" width="28" customWidth="1"/>
    <col min="3" max="5" width="21.25" bestFit="1" customWidth="1"/>
    <col min="6" max="6" width="19.25" bestFit="1" customWidth="1"/>
  </cols>
  <sheetData>
    <row r="2" spans="2:6" ht="57.75">
      <c r="B2" s="42" t="s">
        <v>155</v>
      </c>
      <c r="C2" s="18" t="s">
        <v>13</v>
      </c>
      <c r="D2" s="18" t="s">
        <v>14</v>
      </c>
      <c r="E2" s="18" t="s">
        <v>15</v>
      </c>
      <c r="F2" s="18" t="s">
        <v>16</v>
      </c>
    </row>
    <row r="3" spans="2:6" ht="57.75">
      <c r="B3" s="42" t="s">
        <v>70</v>
      </c>
      <c r="C3" s="17">
        <v>1</v>
      </c>
      <c r="D3" s="17">
        <v>2</v>
      </c>
      <c r="E3" s="17">
        <v>3</v>
      </c>
      <c r="F3" s="17">
        <v>4</v>
      </c>
    </row>
    <row r="4" spans="2:6" ht="66">
      <c r="B4" s="42" t="s">
        <v>71</v>
      </c>
      <c r="C4" s="38" t="s">
        <v>63</v>
      </c>
      <c r="D4" s="38" t="s">
        <v>64</v>
      </c>
      <c r="E4" s="38" t="s">
        <v>65</v>
      </c>
      <c r="F4" s="38" t="s">
        <v>66</v>
      </c>
    </row>
    <row r="5" spans="2:6" ht="57.75">
      <c r="B5" s="42" t="s">
        <v>156</v>
      </c>
      <c r="C5" s="20" t="s">
        <v>74</v>
      </c>
      <c r="D5" s="20" t="s">
        <v>75</v>
      </c>
      <c r="E5" s="20" t="s">
        <v>76</v>
      </c>
      <c r="F5" s="20" t="s">
        <v>77</v>
      </c>
    </row>
    <row r="6" spans="2:6" ht="57.75">
      <c r="B6" s="42" t="s">
        <v>157</v>
      </c>
      <c r="C6" s="20" t="s">
        <v>81</v>
      </c>
      <c r="D6" s="20" t="s">
        <v>82</v>
      </c>
      <c r="E6" s="20" t="s">
        <v>83</v>
      </c>
      <c r="F6" s="20" t="s">
        <v>84</v>
      </c>
    </row>
    <row r="7" spans="2:6" ht="57.75">
      <c r="B7" s="42" t="s">
        <v>89</v>
      </c>
      <c r="C7" s="20" t="s">
        <v>7</v>
      </c>
      <c r="D7" s="20" t="s">
        <v>2</v>
      </c>
      <c r="E7" s="20" t="s">
        <v>6</v>
      </c>
      <c r="F7" s="20" t="s">
        <v>5</v>
      </c>
    </row>
    <row r="8" spans="2:6" ht="57.75">
      <c r="B8" s="16"/>
      <c r="C8" s="16"/>
      <c r="D8" s="16"/>
      <c r="E8" s="16"/>
      <c r="F8" s="16"/>
    </row>
    <row r="9" spans="2:6" ht="57.75">
      <c r="B9" s="42" t="s">
        <v>155</v>
      </c>
      <c r="C9" s="18" t="s">
        <v>17</v>
      </c>
      <c r="D9" s="18" t="s">
        <v>18</v>
      </c>
      <c r="E9" s="18" t="s">
        <v>19</v>
      </c>
      <c r="F9" s="18" t="s">
        <v>20</v>
      </c>
    </row>
    <row r="10" spans="2:6" ht="57.75">
      <c r="B10" s="42" t="s">
        <v>70</v>
      </c>
      <c r="C10" s="17">
        <v>5</v>
      </c>
      <c r="D10" s="17">
        <v>6</v>
      </c>
      <c r="E10" s="17">
        <v>7</v>
      </c>
      <c r="F10" s="17">
        <v>8</v>
      </c>
    </row>
    <row r="11" spans="2:6" ht="66">
      <c r="B11" s="42" t="s">
        <v>71</v>
      </c>
      <c r="C11" s="38" t="s">
        <v>67</v>
      </c>
      <c r="D11" s="38" t="s">
        <v>153</v>
      </c>
      <c r="E11" s="38" t="s">
        <v>68</v>
      </c>
      <c r="F11" s="38" t="s">
        <v>69</v>
      </c>
    </row>
    <row r="12" spans="2:6" ht="57.75">
      <c r="B12" s="42" t="s">
        <v>156</v>
      </c>
      <c r="C12" s="20" t="s">
        <v>78</v>
      </c>
      <c r="D12" s="19"/>
      <c r="E12" s="20" t="s">
        <v>79</v>
      </c>
      <c r="F12" s="20" t="s">
        <v>80</v>
      </c>
    </row>
    <row r="13" spans="2:6" ht="57.75">
      <c r="B13" s="42" t="s">
        <v>157</v>
      </c>
      <c r="C13" s="20" t="s">
        <v>85</v>
      </c>
      <c r="D13" s="19"/>
      <c r="E13" s="20" t="s">
        <v>86</v>
      </c>
      <c r="F13" s="20" t="s">
        <v>87</v>
      </c>
    </row>
    <row r="14" spans="2:6" ht="57.75">
      <c r="B14" s="42" t="s">
        <v>89</v>
      </c>
      <c r="C14" s="20" t="s">
        <v>3</v>
      </c>
      <c r="D14" s="19"/>
      <c r="E14" s="20" t="s">
        <v>1</v>
      </c>
      <c r="F14" s="20" t="s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07CA-A434-4461-9685-CB5893A762C5}">
  <dimension ref="B1:P30"/>
  <sheetViews>
    <sheetView showGridLines="0" zoomScale="70" zoomScaleNormal="70" workbookViewId="0">
      <selection activeCell="H19" sqref="H19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1" spans="2:16">
      <c r="M1" t="s">
        <v>195</v>
      </c>
    </row>
    <row r="2" spans="2:16" ht="57.75">
      <c r="B2" s="76" t="s">
        <v>70</v>
      </c>
      <c r="C2" s="18">
        <v>1</v>
      </c>
      <c r="D2" s="18">
        <v>6</v>
      </c>
      <c r="E2" s="18">
        <v>5</v>
      </c>
      <c r="F2" s="18">
        <v>3</v>
      </c>
      <c r="G2" s="18">
        <v>2</v>
      </c>
      <c r="H2" s="18">
        <v>7</v>
      </c>
      <c r="I2" s="18">
        <v>8</v>
      </c>
      <c r="M2" t="s">
        <v>193</v>
      </c>
    </row>
    <row r="3" spans="2:16" ht="57.75">
      <c r="B3" s="76" t="s">
        <v>72</v>
      </c>
      <c r="C3" s="17" t="s">
        <v>13</v>
      </c>
      <c r="D3" s="17" t="s">
        <v>19</v>
      </c>
      <c r="E3" s="17" t="s">
        <v>15</v>
      </c>
      <c r="F3" s="17" t="s">
        <v>14</v>
      </c>
      <c r="G3" s="17" t="s">
        <v>17</v>
      </c>
      <c r="H3" s="17" t="s">
        <v>16</v>
      </c>
      <c r="I3" s="17" t="s">
        <v>20</v>
      </c>
      <c r="M3" t="s">
        <v>192</v>
      </c>
    </row>
    <row r="4" spans="2:16" ht="57.75">
      <c r="B4" s="76" t="s">
        <v>191</v>
      </c>
      <c r="C4" s="75" t="s">
        <v>113</v>
      </c>
      <c r="D4" s="75" t="s">
        <v>103</v>
      </c>
      <c r="E4" s="75" t="s">
        <v>106</v>
      </c>
      <c r="F4" s="75" t="s">
        <v>109</v>
      </c>
      <c r="G4" s="75" t="s">
        <v>111</v>
      </c>
      <c r="H4" s="75" t="s">
        <v>100</v>
      </c>
      <c r="I4" s="75" t="s">
        <v>98</v>
      </c>
      <c r="M4" t="s">
        <v>194</v>
      </c>
    </row>
    <row r="5" spans="2:16" ht="66">
      <c r="B5" s="76" t="s">
        <v>90</v>
      </c>
      <c r="C5" s="38">
        <v>44</v>
      </c>
      <c r="D5" s="38">
        <v>33</v>
      </c>
      <c r="E5" s="38">
        <v>31</v>
      </c>
      <c r="F5" s="38">
        <v>51</v>
      </c>
      <c r="G5" s="38">
        <v>24</v>
      </c>
      <c r="H5" s="38">
        <v>30</v>
      </c>
      <c r="I5" s="38">
        <v>50</v>
      </c>
      <c r="M5" t="s">
        <v>61</v>
      </c>
    </row>
    <row r="6" spans="2:16" ht="57.75">
      <c r="B6" s="76" t="s">
        <v>154</v>
      </c>
      <c r="C6" s="17" t="s">
        <v>7</v>
      </c>
      <c r="D6" s="17" t="s">
        <v>1</v>
      </c>
      <c r="E6" s="17" t="s">
        <v>6</v>
      </c>
      <c r="F6" s="17" t="s">
        <v>2</v>
      </c>
      <c r="G6" s="17" t="s">
        <v>3</v>
      </c>
      <c r="H6" s="17" t="s">
        <v>5</v>
      </c>
      <c r="I6" s="17" t="s">
        <v>0</v>
      </c>
      <c r="M6" t="s">
        <v>62</v>
      </c>
    </row>
    <row r="7" spans="2:16">
      <c r="M7" t="s">
        <v>196</v>
      </c>
    </row>
    <row r="8" spans="2:16" ht="32.25" customHeight="1">
      <c r="B8" s="39"/>
      <c r="C8" s="39"/>
      <c r="D8" s="39"/>
      <c r="E8" s="39"/>
      <c r="F8" s="39"/>
      <c r="G8" s="39"/>
      <c r="H8" s="39"/>
      <c r="I8" s="39"/>
    </row>
    <row r="9" spans="2:16" ht="32.25" customHeight="1">
      <c r="B9" s="39"/>
      <c r="C9" s="39"/>
      <c r="D9" s="39"/>
      <c r="E9" s="39"/>
      <c r="F9" s="39"/>
      <c r="G9" s="39"/>
      <c r="H9" s="39"/>
      <c r="I9" s="39"/>
    </row>
    <row r="10" spans="2:16" ht="32.25" customHeight="1">
      <c r="B10" s="39"/>
      <c r="C10" s="39"/>
      <c r="D10" s="39"/>
      <c r="E10" s="39"/>
      <c r="F10" s="39"/>
      <c r="G10" s="39"/>
      <c r="H10" s="39"/>
      <c r="I10" s="39"/>
    </row>
    <row r="11" spans="2:16" ht="32.25" customHeight="1">
      <c r="B11" s="39"/>
      <c r="C11" s="39"/>
      <c r="D11" s="39"/>
      <c r="E11" s="39"/>
      <c r="F11" s="39"/>
      <c r="G11" s="39"/>
      <c r="H11" s="39"/>
      <c r="I11" s="39"/>
    </row>
    <row r="12" spans="2:16" s="40" customFormat="1" ht="51.75" customHeight="1">
      <c r="C12" s="78" t="s">
        <v>92</v>
      </c>
      <c r="D12" s="78" t="s">
        <v>95</v>
      </c>
      <c r="E12" s="78" t="s">
        <v>198</v>
      </c>
      <c r="F12" s="78" t="s">
        <v>73</v>
      </c>
      <c r="G12" s="78" t="s">
        <v>94</v>
      </c>
      <c r="H12" s="78" t="s">
        <v>93</v>
      </c>
      <c r="I12" s="78" t="s">
        <v>201</v>
      </c>
      <c r="L12"/>
      <c r="M12"/>
      <c r="N12"/>
      <c r="O12"/>
      <c r="P12"/>
    </row>
    <row r="13" spans="2:16" s="40" customFormat="1" ht="51.75" customHeight="1">
      <c r="C13" s="77" t="s">
        <v>62</v>
      </c>
      <c r="D13" s="77" t="s">
        <v>61</v>
      </c>
      <c r="E13" s="77" t="s">
        <v>193</v>
      </c>
      <c r="F13" s="77" t="s">
        <v>192</v>
      </c>
      <c r="G13" s="77" t="s">
        <v>194</v>
      </c>
      <c r="H13" s="77" t="s">
        <v>195</v>
      </c>
      <c r="I13" s="77" t="s">
        <v>196</v>
      </c>
      <c r="L13"/>
      <c r="M13"/>
      <c r="N13"/>
      <c r="O13"/>
      <c r="P13"/>
    </row>
    <row r="14" spans="2:16" ht="40.5" customHeight="1"/>
    <row r="18" spans="12:16" ht="57.75">
      <c r="L18" s="42" t="s">
        <v>155</v>
      </c>
      <c r="M18" s="18" t="s">
        <v>13</v>
      </c>
      <c r="N18" s="18" t="s">
        <v>14</v>
      </c>
      <c r="O18" s="18" t="s">
        <v>15</v>
      </c>
      <c r="P18" s="18" t="s">
        <v>16</v>
      </c>
    </row>
    <row r="19" spans="12:16" ht="57.75">
      <c r="L19" s="42" t="s">
        <v>70</v>
      </c>
      <c r="M19" s="17">
        <v>1</v>
      </c>
      <c r="N19" s="17">
        <v>2</v>
      </c>
      <c r="O19" s="17">
        <v>3</v>
      </c>
      <c r="P19" s="17">
        <v>4</v>
      </c>
    </row>
    <row r="20" spans="12:16" ht="66">
      <c r="L20" s="42" t="s">
        <v>71</v>
      </c>
      <c r="M20" s="38" t="s">
        <v>63</v>
      </c>
      <c r="N20" s="38" t="s">
        <v>64</v>
      </c>
      <c r="O20" s="38" t="s">
        <v>65</v>
      </c>
      <c r="P20" s="38" t="s">
        <v>66</v>
      </c>
    </row>
    <row r="21" spans="12:16" ht="57.75">
      <c r="L21" s="42" t="s">
        <v>156</v>
      </c>
      <c r="M21" s="20" t="s">
        <v>74</v>
      </c>
      <c r="N21" s="20" t="s">
        <v>75</v>
      </c>
      <c r="O21" s="20" t="s">
        <v>76</v>
      </c>
      <c r="P21" s="20" t="s">
        <v>77</v>
      </c>
    </row>
    <row r="22" spans="12:16" ht="57.75">
      <c r="L22" s="42" t="s">
        <v>157</v>
      </c>
      <c r="M22" s="20" t="s">
        <v>81</v>
      </c>
      <c r="N22" s="20" t="s">
        <v>82</v>
      </c>
      <c r="O22" s="20" t="s">
        <v>83</v>
      </c>
      <c r="P22" s="20" t="s">
        <v>84</v>
      </c>
    </row>
    <row r="23" spans="12:16" ht="57.75">
      <c r="L23" s="42" t="s">
        <v>158</v>
      </c>
      <c r="M23" s="20" t="s">
        <v>7</v>
      </c>
      <c r="N23" s="20" t="s">
        <v>2</v>
      </c>
      <c r="O23" s="20" t="s">
        <v>6</v>
      </c>
      <c r="P23" s="20" t="s">
        <v>5</v>
      </c>
    </row>
    <row r="24" spans="12:16" ht="57.75">
      <c r="L24" s="16"/>
      <c r="M24" s="16"/>
      <c r="N24" s="16"/>
      <c r="O24" s="16"/>
      <c r="P24" s="16"/>
    </row>
    <row r="25" spans="12:16" ht="57.75">
      <c r="L25" s="42" t="s">
        <v>155</v>
      </c>
      <c r="M25" s="18" t="s">
        <v>17</v>
      </c>
      <c r="N25" s="18" t="s">
        <v>18</v>
      </c>
      <c r="O25" s="18" t="s">
        <v>19</v>
      </c>
      <c r="P25" s="18" t="s">
        <v>20</v>
      </c>
    </row>
    <row r="26" spans="12:16" ht="57.75">
      <c r="L26" s="42" t="s">
        <v>70</v>
      </c>
      <c r="M26" s="17">
        <v>5</v>
      </c>
      <c r="N26" s="17">
        <v>6</v>
      </c>
      <c r="O26" s="17">
        <v>7</v>
      </c>
      <c r="P26" s="17">
        <v>8</v>
      </c>
    </row>
    <row r="27" spans="12:16" ht="66">
      <c r="L27" s="42" t="s">
        <v>71</v>
      </c>
      <c r="M27" s="38" t="s">
        <v>67</v>
      </c>
      <c r="N27" s="38" t="s">
        <v>153</v>
      </c>
      <c r="O27" s="38" t="s">
        <v>68</v>
      </c>
      <c r="P27" s="38" t="s">
        <v>69</v>
      </c>
    </row>
    <row r="28" spans="12:16" ht="57.75">
      <c r="L28" s="42" t="s">
        <v>156</v>
      </c>
      <c r="M28" s="20" t="s">
        <v>78</v>
      </c>
      <c r="N28" s="19"/>
      <c r="O28" s="20" t="s">
        <v>79</v>
      </c>
      <c r="P28" s="20" t="s">
        <v>80</v>
      </c>
    </row>
    <row r="29" spans="12:16" ht="57.75">
      <c r="L29" s="42" t="s">
        <v>157</v>
      </c>
      <c r="M29" s="20" t="s">
        <v>85</v>
      </c>
      <c r="N29" s="19"/>
      <c r="O29" s="20" t="s">
        <v>86</v>
      </c>
      <c r="P29" s="20" t="s">
        <v>87</v>
      </c>
    </row>
    <row r="30" spans="12:16" ht="57.75">
      <c r="L30" s="42" t="s">
        <v>158</v>
      </c>
      <c r="M30" s="20" t="s">
        <v>3</v>
      </c>
      <c r="N30" s="19"/>
      <c r="O30" s="20" t="s">
        <v>1</v>
      </c>
      <c r="P30" s="20" t="s">
        <v>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9A1D0-80D0-466C-A9D7-971A34BD952D}">
  <dimension ref="B3:P31"/>
  <sheetViews>
    <sheetView showGridLines="0" tabSelected="1" zoomScale="70" zoomScaleNormal="70" workbookViewId="0">
      <selection activeCell="F22" sqref="F22"/>
    </sheetView>
  </sheetViews>
  <sheetFormatPr defaultRowHeight="16.5"/>
  <cols>
    <col min="2" max="2" width="25.75" customWidth="1"/>
    <col min="3" max="9" width="17.875" customWidth="1"/>
    <col min="12" max="12" width="28" customWidth="1"/>
    <col min="13" max="15" width="21.25" bestFit="1" customWidth="1"/>
    <col min="16" max="16" width="19.25" bestFit="1" customWidth="1"/>
  </cols>
  <sheetData>
    <row r="3" spans="2:9" ht="57.75">
      <c r="B3" s="41" t="s">
        <v>154</v>
      </c>
      <c r="C3" s="18" t="s">
        <v>7</v>
      </c>
      <c r="D3" s="18" t="s">
        <v>2</v>
      </c>
      <c r="E3" s="18" t="s">
        <v>6</v>
      </c>
      <c r="F3" s="18" t="s">
        <v>5</v>
      </c>
      <c r="G3" s="18" t="s">
        <v>3</v>
      </c>
      <c r="H3" s="18" t="s">
        <v>1</v>
      </c>
      <c r="I3" s="18" t="s">
        <v>0</v>
      </c>
    </row>
    <row r="4" spans="2:9" ht="57.75">
      <c r="B4" s="41" t="s">
        <v>72</v>
      </c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19</v>
      </c>
      <c r="I4" s="17" t="s">
        <v>20</v>
      </c>
    </row>
    <row r="5" spans="2:9" ht="57.75">
      <c r="B5" s="41" t="s">
        <v>70</v>
      </c>
      <c r="C5" s="21">
        <v>1</v>
      </c>
      <c r="D5" s="21">
        <v>2</v>
      </c>
      <c r="E5" s="21">
        <v>3</v>
      </c>
      <c r="F5" s="21">
        <v>4</v>
      </c>
      <c r="G5" s="21">
        <v>5</v>
      </c>
      <c r="H5" s="21">
        <v>7</v>
      </c>
      <c r="I5" s="21">
        <v>8</v>
      </c>
    </row>
    <row r="6" spans="2:9" ht="66">
      <c r="B6" s="41" t="s">
        <v>71</v>
      </c>
      <c r="C6" s="38" t="s">
        <v>63</v>
      </c>
      <c r="D6" s="38" t="s">
        <v>64</v>
      </c>
      <c r="E6" s="38" t="s">
        <v>65</v>
      </c>
      <c r="F6" s="38" t="s">
        <v>66</v>
      </c>
      <c r="G6" s="38" t="s">
        <v>67</v>
      </c>
      <c r="H6" s="38" t="s">
        <v>68</v>
      </c>
      <c r="I6" s="38" t="s">
        <v>69</v>
      </c>
    </row>
    <row r="7" spans="2:9" ht="66">
      <c r="B7" s="41" t="s">
        <v>156</v>
      </c>
      <c r="C7" s="44" t="s">
        <v>74</v>
      </c>
      <c r="D7" s="44" t="s">
        <v>75</v>
      </c>
      <c r="E7" s="44" t="s">
        <v>76</v>
      </c>
      <c r="F7" s="44" t="s">
        <v>77</v>
      </c>
      <c r="G7" s="44" t="s">
        <v>78</v>
      </c>
      <c r="H7" s="44" t="s">
        <v>79</v>
      </c>
      <c r="I7" s="44" t="s">
        <v>80</v>
      </c>
    </row>
    <row r="8" spans="2:9" ht="66">
      <c r="B8" s="41" t="s">
        <v>157</v>
      </c>
      <c r="C8" s="44" t="s">
        <v>159</v>
      </c>
      <c r="D8" s="44" t="s">
        <v>82</v>
      </c>
      <c r="E8" s="44" t="s">
        <v>83</v>
      </c>
      <c r="F8" s="44" t="s">
        <v>160</v>
      </c>
      <c r="G8" s="44" t="s">
        <v>85</v>
      </c>
      <c r="H8" s="44" t="s">
        <v>86</v>
      </c>
      <c r="I8" s="44" t="s">
        <v>87</v>
      </c>
    </row>
    <row r="9" spans="2:9" ht="66">
      <c r="B9" s="41" t="s">
        <v>90</v>
      </c>
      <c r="C9" s="43">
        <v>44</v>
      </c>
      <c r="D9" s="43">
        <v>51</v>
      </c>
      <c r="E9" s="43">
        <v>31</v>
      </c>
      <c r="F9" s="43">
        <v>30</v>
      </c>
      <c r="G9" s="43">
        <v>24</v>
      </c>
      <c r="H9" s="43">
        <v>33</v>
      </c>
      <c r="I9" s="43">
        <v>50</v>
      </c>
    </row>
    <row r="11" spans="2:9" ht="32.25" customHeight="1">
      <c r="B11" s="39"/>
      <c r="C11" s="39"/>
      <c r="D11" s="39"/>
      <c r="E11" s="39"/>
      <c r="F11" s="39"/>
      <c r="G11" s="39"/>
      <c r="H11" s="39"/>
      <c r="I11" s="39"/>
    </row>
    <row r="12" spans="2:9" ht="32.25" customHeight="1">
      <c r="B12" s="39"/>
      <c r="C12" s="39"/>
      <c r="D12" s="39"/>
      <c r="E12" s="39"/>
      <c r="F12" s="39"/>
      <c r="G12" s="39"/>
      <c r="H12" s="39"/>
      <c r="I12" s="39"/>
    </row>
    <row r="13" spans="2:9" ht="32.25" customHeight="1">
      <c r="B13" s="39"/>
      <c r="C13" s="39"/>
      <c r="D13" s="39"/>
      <c r="E13" s="39"/>
      <c r="F13" s="39"/>
      <c r="G13" s="39"/>
      <c r="H13" s="39"/>
      <c r="I13" s="39"/>
    </row>
    <row r="14" spans="2:9" ht="32.25" customHeight="1">
      <c r="B14" s="39"/>
      <c r="C14" s="39"/>
      <c r="D14" s="39"/>
      <c r="E14" s="39"/>
      <c r="F14" s="39"/>
      <c r="G14" s="39"/>
      <c r="H14" s="39"/>
      <c r="I14" s="39"/>
    </row>
    <row r="19" spans="12:16" ht="57.75">
      <c r="L19" s="42" t="s">
        <v>155</v>
      </c>
      <c r="M19" s="18" t="s">
        <v>13</v>
      </c>
      <c r="N19" s="18" t="s">
        <v>14</v>
      </c>
      <c r="O19" s="18" t="s">
        <v>15</v>
      </c>
      <c r="P19" s="18" t="s">
        <v>16</v>
      </c>
    </row>
    <row r="20" spans="12:16" ht="57.75">
      <c r="L20" s="42" t="s">
        <v>70</v>
      </c>
      <c r="M20" s="17">
        <v>1</v>
      </c>
      <c r="N20" s="17">
        <v>2</v>
      </c>
      <c r="O20" s="17">
        <v>3</v>
      </c>
      <c r="P20" s="17">
        <v>4</v>
      </c>
    </row>
    <row r="21" spans="12:16" ht="66">
      <c r="L21" s="42" t="s">
        <v>71</v>
      </c>
      <c r="M21" s="38" t="s">
        <v>63</v>
      </c>
      <c r="N21" s="38" t="s">
        <v>64</v>
      </c>
      <c r="O21" s="38" t="s">
        <v>65</v>
      </c>
      <c r="P21" s="38" t="s">
        <v>66</v>
      </c>
    </row>
    <row r="22" spans="12:16" ht="57.75">
      <c r="L22" s="42" t="s">
        <v>156</v>
      </c>
      <c r="M22" s="20" t="s">
        <v>74</v>
      </c>
      <c r="N22" s="20" t="s">
        <v>75</v>
      </c>
      <c r="O22" s="20" t="s">
        <v>76</v>
      </c>
      <c r="P22" s="20" t="s">
        <v>77</v>
      </c>
    </row>
    <row r="23" spans="12:16" ht="57.75">
      <c r="L23" s="42" t="s">
        <v>157</v>
      </c>
      <c r="M23" s="20" t="s">
        <v>81</v>
      </c>
      <c r="N23" s="20" t="s">
        <v>82</v>
      </c>
      <c r="O23" s="20" t="s">
        <v>83</v>
      </c>
      <c r="P23" s="20" t="s">
        <v>84</v>
      </c>
    </row>
    <row r="24" spans="12:16" ht="57.75">
      <c r="L24" s="42" t="s">
        <v>158</v>
      </c>
      <c r="M24" s="20" t="s">
        <v>7</v>
      </c>
      <c r="N24" s="20" t="s">
        <v>2</v>
      </c>
      <c r="O24" s="20" t="s">
        <v>6</v>
      </c>
      <c r="P24" s="20" t="s">
        <v>5</v>
      </c>
    </row>
    <row r="25" spans="12:16" ht="57.75">
      <c r="L25" s="16"/>
      <c r="M25" s="16"/>
      <c r="N25" s="16"/>
      <c r="O25" s="16"/>
      <c r="P25" s="16"/>
    </row>
    <row r="26" spans="12:16" ht="57.75">
      <c r="L26" s="42" t="s">
        <v>155</v>
      </c>
      <c r="M26" s="18" t="s">
        <v>17</v>
      </c>
      <c r="N26" s="18" t="s">
        <v>18</v>
      </c>
      <c r="O26" s="18" t="s">
        <v>19</v>
      </c>
      <c r="P26" s="18" t="s">
        <v>20</v>
      </c>
    </row>
    <row r="27" spans="12:16" ht="57.75">
      <c r="L27" s="42" t="s">
        <v>70</v>
      </c>
      <c r="M27" s="17">
        <v>5</v>
      </c>
      <c r="N27" s="17">
        <v>6</v>
      </c>
      <c r="O27" s="17">
        <v>7</v>
      </c>
      <c r="P27" s="17">
        <v>8</v>
      </c>
    </row>
    <row r="28" spans="12:16" ht="66">
      <c r="L28" s="42" t="s">
        <v>71</v>
      </c>
      <c r="M28" s="38" t="s">
        <v>67</v>
      </c>
      <c r="N28" s="38" t="s">
        <v>153</v>
      </c>
      <c r="O28" s="38" t="s">
        <v>68</v>
      </c>
      <c r="P28" s="38" t="s">
        <v>69</v>
      </c>
    </row>
    <row r="29" spans="12:16" ht="57.75">
      <c r="L29" s="42" t="s">
        <v>156</v>
      </c>
      <c r="M29" s="20" t="s">
        <v>78</v>
      </c>
      <c r="N29" s="19"/>
      <c r="O29" s="20" t="s">
        <v>79</v>
      </c>
      <c r="P29" s="20" t="s">
        <v>80</v>
      </c>
    </row>
    <row r="30" spans="12:16" ht="57.75">
      <c r="L30" s="42" t="s">
        <v>157</v>
      </c>
      <c r="M30" s="20" t="s">
        <v>85</v>
      </c>
      <c r="N30" s="19"/>
      <c r="O30" s="20" t="s">
        <v>86</v>
      </c>
      <c r="P30" s="20" t="s">
        <v>87</v>
      </c>
    </row>
    <row r="31" spans="12:16" ht="57.75">
      <c r="L31" s="42" t="s">
        <v>158</v>
      </c>
      <c r="M31" s="20" t="s">
        <v>3</v>
      </c>
      <c r="N31" s="19"/>
      <c r="O31" s="20" t="s">
        <v>1</v>
      </c>
      <c r="P31" s="20" t="s">
        <v>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333-A6A4-4CDE-B425-9D17B282ACB7}">
  <dimension ref="B1:R17"/>
  <sheetViews>
    <sheetView showGridLines="0" topLeftCell="A9" zoomScale="136" zoomScaleNormal="136" workbookViewId="0">
      <selection activeCell="X5" sqref="X5"/>
    </sheetView>
  </sheetViews>
  <sheetFormatPr defaultRowHeight="50.25"/>
  <cols>
    <col min="1" max="5" width="9" style="1"/>
    <col min="6" max="6" width="10.25" style="1" bestFit="1" customWidth="1"/>
    <col min="7" max="7" width="9" style="1"/>
    <col min="8" max="12" width="12.125" style="1" customWidth="1"/>
    <col min="13" max="13" width="9" style="1"/>
    <col min="14" max="18" width="12.125" style="1" customWidth="1"/>
    <col min="19" max="16384" width="9" style="1"/>
  </cols>
  <sheetData>
    <row r="1" spans="2:18" ht="10.5" customHeight="1"/>
    <row r="2" spans="2:18" ht="57.75">
      <c r="H2" s="15" t="s">
        <v>21</v>
      </c>
      <c r="I2" s="15"/>
      <c r="J2" s="15"/>
      <c r="K2" s="15"/>
      <c r="L2" s="15"/>
      <c r="M2" s="15"/>
      <c r="N2" s="15" t="s">
        <v>30</v>
      </c>
      <c r="O2" s="15"/>
      <c r="P2" s="15"/>
      <c r="Q2" s="15"/>
    </row>
    <row r="3" spans="2:18" s="4" customFormat="1" ht="57.75">
      <c r="B3" s="6"/>
      <c r="C3" s="7" t="s">
        <v>12</v>
      </c>
      <c r="D3" s="7" t="s">
        <v>11</v>
      </c>
      <c r="E3" s="7" t="s">
        <v>10</v>
      </c>
      <c r="F3" s="8" t="s">
        <v>9</v>
      </c>
      <c r="H3" s="6"/>
      <c r="I3" s="7" t="s">
        <v>12</v>
      </c>
      <c r="J3" s="7" t="s">
        <v>11</v>
      </c>
      <c r="K3" s="7" t="s">
        <v>10</v>
      </c>
      <c r="L3" s="8" t="s">
        <v>9</v>
      </c>
      <c r="N3" s="6"/>
      <c r="O3" s="7" t="s">
        <v>12</v>
      </c>
      <c r="P3" s="7" t="s">
        <v>11</v>
      </c>
      <c r="Q3" s="7" t="s">
        <v>10</v>
      </c>
      <c r="R3" s="8" t="s">
        <v>9</v>
      </c>
    </row>
    <row r="4" spans="2:18" s="4" customFormat="1" ht="69">
      <c r="B4" s="11" t="s">
        <v>8</v>
      </c>
      <c r="C4" s="9" t="s">
        <v>13</v>
      </c>
      <c r="D4" s="9" t="s">
        <v>14</v>
      </c>
      <c r="E4" s="9" t="s">
        <v>15</v>
      </c>
      <c r="F4" s="9" t="s">
        <v>16</v>
      </c>
      <c r="H4" s="11" t="s">
        <v>8</v>
      </c>
      <c r="I4" s="13" t="s">
        <v>22</v>
      </c>
      <c r="J4" s="13" t="s">
        <v>23</v>
      </c>
      <c r="K4" s="13" t="s">
        <v>24</v>
      </c>
      <c r="L4" s="13" t="s">
        <v>25</v>
      </c>
      <c r="N4" s="11" t="s">
        <v>8</v>
      </c>
      <c r="O4" s="13" t="s">
        <v>22</v>
      </c>
      <c r="P4" s="13" t="s">
        <v>32</v>
      </c>
      <c r="Q4" s="13" t="s">
        <v>34</v>
      </c>
      <c r="R4" s="13" t="s">
        <v>36</v>
      </c>
    </row>
    <row r="5" spans="2:18" s="4" customFormat="1" ht="69">
      <c r="B5" s="12" t="s">
        <v>4</v>
      </c>
      <c r="C5" s="10" t="s">
        <v>17</v>
      </c>
      <c r="D5" s="10" t="s">
        <v>18</v>
      </c>
      <c r="E5" s="10" t="s">
        <v>19</v>
      </c>
      <c r="F5" s="10" t="s">
        <v>20</v>
      </c>
      <c r="H5" s="22" t="s">
        <v>4</v>
      </c>
      <c r="I5" s="14" t="s">
        <v>26</v>
      </c>
      <c r="J5" s="14" t="s">
        <v>27</v>
      </c>
      <c r="K5" s="14" t="s">
        <v>28</v>
      </c>
      <c r="L5" s="14" t="s">
        <v>29</v>
      </c>
      <c r="N5" s="12" t="s">
        <v>4</v>
      </c>
      <c r="O5" s="14" t="s">
        <v>31</v>
      </c>
      <c r="P5" s="14" t="s">
        <v>33</v>
      </c>
      <c r="Q5" s="14" t="s">
        <v>35</v>
      </c>
      <c r="R5" s="14" t="s">
        <v>29</v>
      </c>
    </row>
    <row r="6" spans="2:18" ht="50.25" customHeight="1">
      <c r="B6" s="5"/>
      <c r="C6" s="3"/>
      <c r="D6" s="3"/>
      <c r="E6" s="3"/>
      <c r="F6" s="3"/>
    </row>
    <row r="7" spans="2:18" s="2" customFormat="1" ht="42" customHeight="1">
      <c r="B7" s="6"/>
      <c r="C7" s="7" t="s">
        <v>12</v>
      </c>
      <c r="D7" s="7" t="s">
        <v>11</v>
      </c>
      <c r="E7" s="7" t="s">
        <v>10</v>
      </c>
      <c r="F7" s="8" t="s">
        <v>9</v>
      </c>
      <c r="H7" s="23" t="s">
        <v>88</v>
      </c>
      <c r="I7" s="7" t="s">
        <v>12</v>
      </c>
      <c r="J7" s="7" t="s">
        <v>11</v>
      </c>
      <c r="K7" s="7" t="s">
        <v>10</v>
      </c>
      <c r="L7" s="8" t="s">
        <v>9</v>
      </c>
    </row>
    <row r="8" spans="2:18" ht="57.75">
      <c r="B8" s="11" t="s">
        <v>11</v>
      </c>
      <c r="C8" s="9" t="s">
        <v>39</v>
      </c>
      <c r="D8" s="9" t="s">
        <v>40</v>
      </c>
      <c r="E8" s="9" t="s">
        <v>41</v>
      </c>
      <c r="F8" s="9" t="s">
        <v>42</v>
      </c>
    </row>
    <row r="9" spans="2:18" ht="57.75">
      <c r="B9" s="12" t="s">
        <v>38</v>
      </c>
      <c r="C9" s="10" t="s">
        <v>43</v>
      </c>
      <c r="D9" s="10" t="s">
        <v>44</v>
      </c>
      <c r="E9" s="10" t="s">
        <v>45</v>
      </c>
      <c r="F9" s="10" t="s">
        <v>46</v>
      </c>
    </row>
    <row r="11" spans="2:18" ht="57.75">
      <c r="B11" s="4"/>
      <c r="C11" s="7" t="s">
        <v>12</v>
      </c>
      <c r="D11" s="7" t="s">
        <v>11</v>
      </c>
      <c r="E11" s="7" t="s">
        <v>10</v>
      </c>
      <c r="F11" s="8" t="s">
        <v>9</v>
      </c>
    </row>
    <row r="12" spans="2:18" ht="57.75">
      <c r="B12" s="11" t="s">
        <v>8</v>
      </c>
      <c r="C12" s="9" t="s">
        <v>13</v>
      </c>
      <c r="D12" s="9" t="s">
        <v>14</v>
      </c>
      <c r="E12" s="9" t="s">
        <v>15</v>
      </c>
      <c r="F12" s="9" t="s">
        <v>16</v>
      </c>
    </row>
    <row r="13" spans="2:18" ht="57.75">
      <c r="B13" s="12" t="s">
        <v>4</v>
      </c>
      <c r="C13" s="10" t="s">
        <v>17</v>
      </c>
      <c r="D13" s="10" t="s">
        <v>18</v>
      </c>
      <c r="E13" s="10" t="s">
        <v>19</v>
      </c>
      <c r="F13" s="10" t="s">
        <v>20</v>
      </c>
    </row>
    <row r="14" spans="2:18" ht="57.75">
      <c r="B14" s="5"/>
      <c r="C14" s="3"/>
      <c r="D14" s="3"/>
      <c r="E14" s="3"/>
      <c r="F14" s="3"/>
    </row>
    <row r="15" spans="2:18" ht="57.75">
      <c r="B15" s="4"/>
      <c r="C15" s="7" t="s">
        <v>12</v>
      </c>
      <c r="D15" s="7" t="s">
        <v>11</v>
      </c>
      <c r="E15" s="7" t="s">
        <v>10</v>
      </c>
      <c r="F15" s="8" t="s">
        <v>9</v>
      </c>
    </row>
    <row r="16" spans="2:18" ht="57.75">
      <c r="B16" s="11" t="s">
        <v>11</v>
      </c>
      <c r="C16" s="9" t="s">
        <v>39</v>
      </c>
      <c r="D16" s="9" t="s">
        <v>40</v>
      </c>
      <c r="E16" s="9" t="s">
        <v>41</v>
      </c>
      <c r="F16" s="9" t="s">
        <v>42</v>
      </c>
    </row>
    <row r="17" spans="2:6" ht="57.75">
      <c r="B17" s="12" t="s">
        <v>38</v>
      </c>
      <c r="C17" s="10" t="s">
        <v>43</v>
      </c>
      <c r="D17" s="10" t="s">
        <v>44</v>
      </c>
      <c r="E17" s="10" t="s">
        <v>45</v>
      </c>
      <c r="F17" s="10" t="s">
        <v>46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792C-0003-4594-9C9D-B47167582E32}">
  <dimension ref="B1:L7"/>
  <sheetViews>
    <sheetView showGridLines="0" zoomScale="136" zoomScaleNormal="136" workbookViewId="0">
      <selection activeCell="J8" sqref="J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15" t="s">
        <v>21</v>
      </c>
      <c r="C2" s="15"/>
      <c r="D2" s="15"/>
      <c r="E2" s="15"/>
      <c r="F2" s="15"/>
      <c r="G2" s="15"/>
      <c r="H2" s="15" t="s">
        <v>30</v>
      </c>
      <c r="I2" s="15"/>
      <c r="J2" s="15"/>
      <c r="K2" s="15"/>
    </row>
    <row r="3" spans="2:12" s="4" customFormat="1" ht="57.75">
      <c r="B3" s="6"/>
      <c r="C3" s="7" t="s">
        <v>12</v>
      </c>
      <c r="D3" s="7" t="s">
        <v>11</v>
      </c>
      <c r="E3" s="7" t="s">
        <v>10</v>
      </c>
      <c r="F3" s="8" t="s">
        <v>9</v>
      </c>
      <c r="H3" s="6"/>
      <c r="I3" s="7" t="s">
        <v>12</v>
      </c>
      <c r="J3" s="7" t="s">
        <v>11</v>
      </c>
      <c r="K3" s="7" t="s">
        <v>10</v>
      </c>
      <c r="L3" s="8" t="s">
        <v>9</v>
      </c>
    </row>
    <row r="4" spans="2:12" s="4" customFormat="1" ht="69">
      <c r="B4" s="11" t="s">
        <v>8</v>
      </c>
      <c r="C4" s="13" t="s">
        <v>47</v>
      </c>
      <c r="D4" s="13" t="s">
        <v>48</v>
      </c>
      <c r="E4" s="13" t="s">
        <v>49</v>
      </c>
      <c r="F4" s="13" t="s">
        <v>50</v>
      </c>
      <c r="H4" s="11" t="s">
        <v>8</v>
      </c>
      <c r="I4" s="13" t="s">
        <v>47</v>
      </c>
      <c r="J4" s="13" t="s">
        <v>56</v>
      </c>
      <c r="K4" s="13" t="s">
        <v>58</v>
      </c>
      <c r="L4" s="13" t="s">
        <v>60</v>
      </c>
    </row>
    <row r="5" spans="2:12" s="4" customFormat="1" ht="69">
      <c r="B5" s="12" t="s">
        <v>4</v>
      </c>
      <c r="C5" s="14" t="s">
        <v>51</v>
      </c>
      <c r="D5" s="14" t="s">
        <v>52</v>
      </c>
      <c r="E5" s="14" t="s">
        <v>53</v>
      </c>
      <c r="F5" s="14" t="s">
        <v>54</v>
      </c>
      <c r="H5" s="12" t="s">
        <v>4</v>
      </c>
      <c r="I5" s="14" t="s">
        <v>55</v>
      </c>
      <c r="J5" s="14" t="s">
        <v>57</v>
      </c>
      <c r="K5" s="14" t="s">
        <v>59</v>
      </c>
      <c r="L5" s="14" t="s">
        <v>54</v>
      </c>
    </row>
    <row r="6" spans="2:12" ht="50.25" customHeight="1"/>
    <row r="7" spans="2:12" s="2" customFormat="1" ht="42" customHeight="1"/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A6BF-751D-4854-A6EA-8C523673D718}">
  <dimension ref="B2:W25"/>
  <sheetViews>
    <sheetView showGridLines="0" zoomScale="85" zoomScaleNormal="85" workbookViewId="0">
      <selection activeCell="P13" sqref="P13:P19"/>
    </sheetView>
  </sheetViews>
  <sheetFormatPr defaultRowHeight="23.25"/>
  <cols>
    <col min="1" max="1" width="5.5" customWidth="1"/>
    <col min="2" max="5" width="13.625" customWidth="1"/>
    <col min="6" max="6" width="15.5" customWidth="1"/>
    <col min="7" max="11" width="13.625" customWidth="1"/>
    <col min="13" max="13" width="9" style="56"/>
    <col min="21" max="21" width="27" customWidth="1"/>
    <col min="23" max="23" width="12.25" bestFit="1" customWidth="1"/>
  </cols>
  <sheetData>
    <row r="2" spans="2:23" ht="25.5">
      <c r="B2" s="26" t="s">
        <v>89</v>
      </c>
      <c r="C2" s="26" t="s">
        <v>161</v>
      </c>
      <c r="D2" s="26" t="s">
        <v>162</v>
      </c>
      <c r="E2" s="25" t="s">
        <v>144</v>
      </c>
      <c r="F2" s="25" t="s">
        <v>155</v>
      </c>
      <c r="G2" s="25" t="s">
        <v>142</v>
      </c>
      <c r="H2" s="25" t="s">
        <v>90</v>
      </c>
      <c r="I2" s="26" t="s">
        <v>115</v>
      </c>
      <c r="J2" s="25" t="s">
        <v>114</v>
      </c>
      <c r="K2" s="26" t="s">
        <v>171</v>
      </c>
    </row>
    <row r="3" spans="2:23" ht="57.75">
      <c r="B3" s="68" t="s">
        <v>7</v>
      </c>
      <c r="C3" s="34" t="s">
        <v>91</v>
      </c>
      <c r="D3" s="45">
        <v>1</v>
      </c>
      <c r="E3" s="45">
        <v>1</v>
      </c>
      <c r="F3" s="66" t="s">
        <v>172</v>
      </c>
      <c r="G3" s="57" t="s">
        <v>140</v>
      </c>
      <c r="H3" s="29">
        <v>44</v>
      </c>
      <c r="I3" s="29" t="s">
        <v>112</v>
      </c>
      <c r="J3" s="53" t="str">
        <f t="shared" ref="J3:J9" si="0" xml:space="preserve"> IF(OR(D3=4,D3=8), LEFT(C3,3) &amp; I3, LEFT(C3,3) &amp; I3)</f>
        <v>kun;</v>
      </c>
      <c r="K3" s="53" t="s">
        <v>164</v>
      </c>
      <c r="M3" s="56" t="str">
        <f>LEFT(W3,2)</f>
        <v>陰平</v>
      </c>
      <c r="N3" s="63" t="s">
        <v>138</v>
      </c>
      <c r="O3" s="24">
        <f t="shared" ref="O3" si="1" xml:space="preserve"> IFERROR( HEX2DEC(RIGHT(N3,4)), "")</f>
        <v>769</v>
      </c>
      <c r="P3" s="24" t="str">
        <f xml:space="preserve"> IFERROR( _xlfn.CONCAT("a", _xlfn.UNICHAR(HEX2DEC(RIGHT(N3,4)))), "")</f>
        <v>á</v>
      </c>
      <c r="Q3" s="24" t="str">
        <f xml:space="preserve"> IFERROR( _xlfn.CONCAT("t", "o", _xlfn.UNICHAR(HEX2DEC(RIGHT(N3,4))), "ng"), "")</f>
        <v>tóng</v>
      </c>
      <c r="S3" s="55" t="str">
        <f xml:space="preserve"> _xlfn.CONCAT("a" )</f>
        <v>a</v>
      </c>
      <c r="U3" s="59" t="str">
        <f xml:space="preserve"> _xlfn.CONCAT( M3, " ", S3,)</f>
        <v>陰平 a</v>
      </c>
      <c r="W3" t="s">
        <v>137</v>
      </c>
    </row>
    <row r="4" spans="2:23" ht="57.75">
      <c r="B4" s="69" t="s">
        <v>3</v>
      </c>
      <c r="C4" s="35" t="s">
        <v>86</v>
      </c>
      <c r="D4" s="46">
        <v>7</v>
      </c>
      <c r="E4" s="46">
        <v>6</v>
      </c>
      <c r="F4" s="67" t="s">
        <v>173</v>
      </c>
      <c r="G4" s="58" t="s">
        <v>127</v>
      </c>
      <c r="H4" s="31">
        <v>33</v>
      </c>
      <c r="I4" s="51" t="s">
        <v>102</v>
      </c>
      <c r="J4" s="54" t="str">
        <f t="shared" si="0"/>
        <v>kun-</v>
      </c>
      <c r="K4" s="54" t="s">
        <v>170</v>
      </c>
      <c r="M4" s="56" t="str">
        <f t="shared" ref="M4:M9" si="2">LEFT(W4,2)</f>
        <v>陽去</v>
      </c>
      <c r="N4" s="63" t="s">
        <v>101</v>
      </c>
      <c r="O4" s="24">
        <f xml:space="preserve"> IFERROR( HEX2DEC(RIGHT(N4,4)), "")</f>
        <v>772</v>
      </c>
      <c r="P4" s="24" t="str">
        <f t="shared" ref="P4:P9" si="3" xml:space="preserve"> IFERROR( _xlfn.CONCAT("a", _xlfn.UNICHAR(HEX2DEC(RIGHT(N4,4)))), "")</f>
        <v>ā</v>
      </c>
      <c r="Q4" s="24" t="str">
        <f xml:space="preserve"> IFERROR( _xlfn.CONCAT("t", "o", _xlfn.UNICHAR(HEX2DEC(RIGHT("U+0304",4))), "ng"), "")</f>
        <v>tōng</v>
      </c>
      <c r="S4" s="55" t="str">
        <f xml:space="preserve"> _xlfn.CONCAT("a",_xlfn.UNICHAR(HEX2DEC(RIGHT(N4,4))))</f>
        <v>ā</v>
      </c>
      <c r="U4" s="59" t="str">
        <f t="shared" ref="U4:U9" si="4" xml:space="preserve"> _xlfn.CONCAT( M4, " ", S4,)</f>
        <v>陽去 ā</v>
      </c>
      <c r="W4" t="s">
        <v>126</v>
      </c>
    </row>
    <row r="5" spans="2:23" ht="57.75">
      <c r="B5" s="70" t="s">
        <v>6</v>
      </c>
      <c r="C5" s="34" t="s">
        <v>83</v>
      </c>
      <c r="D5" s="45">
        <v>3</v>
      </c>
      <c r="E5" s="45">
        <v>5</v>
      </c>
      <c r="F5" s="66" t="s">
        <v>174</v>
      </c>
      <c r="G5" s="57" t="s">
        <v>129</v>
      </c>
      <c r="H5" s="29">
        <v>31</v>
      </c>
      <c r="I5" s="29" t="s">
        <v>105</v>
      </c>
      <c r="J5" s="53" t="str">
        <f t="shared" si="0"/>
        <v>kun_</v>
      </c>
      <c r="K5" s="53" t="s">
        <v>165</v>
      </c>
      <c r="M5" s="56" t="str">
        <f t="shared" si="2"/>
        <v>陰去</v>
      </c>
      <c r="N5" s="63" t="s">
        <v>135</v>
      </c>
      <c r="O5" s="24">
        <f xml:space="preserve"> IFERROR( HEX2DEC(RIGHT(N5,4)), "")</f>
        <v>768</v>
      </c>
      <c r="P5" s="24" t="str">
        <f xml:space="preserve"> IFERROR( _xlfn.CONCAT("a", _xlfn.UNICHAR(HEX2DEC(RIGHT(N5,4)))), "")</f>
        <v>à</v>
      </c>
      <c r="Q5" s="24" t="str">
        <f xml:space="preserve"> IFERROR( _xlfn.CONCAT("t", "o", _xlfn.UNICHAR(HEX2DEC(RIGHT(N5,4))), "ng"), "")</f>
        <v>tòng</v>
      </c>
      <c r="S5" s="55" t="str">
        <f t="shared" ref="S5:S7" si="5" xml:space="preserve"> _xlfn.CONCAT("a",_xlfn.UNICHAR(HEX2DEC(RIGHT(N5,4))))</f>
        <v>à</v>
      </c>
      <c r="U5" s="59" t="str">
        <f t="shared" si="4"/>
        <v>陰去 à</v>
      </c>
      <c r="W5" t="s">
        <v>128</v>
      </c>
    </row>
    <row r="6" spans="2:23" ht="57.75">
      <c r="B6" s="69" t="s">
        <v>2</v>
      </c>
      <c r="C6" s="35" t="s">
        <v>82</v>
      </c>
      <c r="D6" s="46">
        <v>2</v>
      </c>
      <c r="E6" s="46">
        <v>3</v>
      </c>
      <c r="F6" s="67" t="s">
        <v>175</v>
      </c>
      <c r="G6" s="58" t="s">
        <v>133</v>
      </c>
      <c r="H6" s="31">
        <v>51</v>
      </c>
      <c r="I6" s="31" t="s">
        <v>108</v>
      </c>
      <c r="J6" s="54" t="str">
        <f t="shared" si="0"/>
        <v>kun\</v>
      </c>
      <c r="K6" s="54" t="s">
        <v>166</v>
      </c>
      <c r="M6" s="56" t="str">
        <f t="shared" si="2"/>
        <v>陰上</v>
      </c>
      <c r="N6" s="63" t="s">
        <v>138</v>
      </c>
      <c r="O6" s="24">
        <f t="shared" ref="O6" si="6" xml:space="preserve"> IFERROR( HEX2DEC(RIGHT(N6,4)), "")</f>
        <v>769</v>
      </c>
      <c r="P6" s="24" t="str">
        <f t="shared" ref="P6" si="7" xml:space="preserve"> IFERROR( _xlfn.CONCAT("o", _xlfn.UNICHAR(HEX2DEC(RIGHT(N6,4)))), "")</f>
        <v>ó</v>
      </c>
      <c r="Q6" s="24" t="str">
        <f xml:space="preserve"> IFERROR( _xlfn.CONCAT("t", "o", _xlfn.UNICHAR(HEX2DEC(RIGHT(N6,4))), "ng"), "")</f>
        <v>tóng</v>
      </c>
      <c r="S6" s="55" t="str">
        <f t="shared" si="5"/>
        <v>á</v>
      </c>
      <c r="U6" s="59" t="str">
        <f t="shared" si="4"/>
        <v>陰上 á</v>
      </c>
      <c r="W6" t="s">
        <v>132</v>
      </c>
    </row>
    <row r="7" spans="2:23" ht="57.75">
      <c r="B7" s="68" t="s">
        <v>3</v>
      </c>
      <c r="C7" s="34" t="s">
        <v>85</v>
      </c>
      <c r="D7" s="45">
        <v>5</v>
      </c>
      <c r="E7" s="45">
        <v>2</v>
      </c>
      <c r="F7" s="66" t="s">
        <v>176</v>
      </c>
      <c r="G7" s="57" t="s">
        <v>136</v>
      </c>
      <c r="H7" s="29">
        <v>14</v>
      </c>
      <c r="I7" s="52" t="s">
        <v>110</v>
      </c>
      <c r="J7" s="53" t="str">
        <f t="shared" si="0"/>
        <v>kun/</v>
      </c>
      <c r="K7" s="53" t="s">
        <v>167</v>
      </c>
      <c r="M7" s="56" t="str">
        <f t="shared" si="2"/>
        <v>陽平</v>
      </c>
      <c r="N7" s="63" t="str">
        <f xml:space="preserve"> _xlfn.CONCAT("◌̀",CHAR(10), _xlfn.UNICHAR(HEX2DEC(RIGHT("U+0302",4))), "U+0302")</f>
        <v>◌̀
̂U+0302</v>
      </c>
      <c r="O7" s="24">
        <f xml:space="preserve"> IFERROR( HEX2DEC(RIGHT(N7,4)), "")</f>
        <v>770</v>
      </c>
      <c r="P7" s="24" t="str">
        <f xml:space="preserve"> IFERROR( _xlfn.CONCAT("a", _xlfn.UNICHAR(HEX2DEC(RIGHT(N7,4)))), "")</f>
        <v>â</v>
      </c>
      <c r="Q7" s="24" t="str">
        <f xml:space="preserve"> IFERROR( _xlfn.CONCAT("t", "o", _xlfn.UNICHAR(HEX2DEC(RIGHT(N7,4))), "ng"), "")</f>
        <v>tông</v>
      </c>
      <c r="S7" s="55" t="str">
        <f t="shared" si="5"/>
        <v>â</v>
      </c>
      <c r="U7" s="59" t="str">
        <f t="shared" si="4"/>
        <v>陽平 â</v>
      </c>
      <c r="W7" t="s">
        <v>134</v>
      </c>
    </row>
    <row r="8" spans="2:23" ht="57.75">
      <c r="B8" s="69" t="s">
        <v>5</v>
      </c>
      <c r="C8" s="35" t="s">
        <v>163</v>
      </c>
      <c r="D8" s="46">
        <v>4</v>
      </c>
      <c r="E8" s="46">
        <v>7</v>
      </c>
      <c r="F8" s="67" t="s">
        <v>177</v>
      </c>
      <c r="G8" s="58" t="s">
        <v>125</v>
      </c>
      <c r="H8" s="31">
        <v>30</v>
      </c>
      <c r="I8" s="31" t="s">
        <v>99</v>
      </c>
      <c r="J8" s="54" t="str">
        <f t="shared" si="0"/>
        <v>kut[</v>
      </c>
      <c r="K8" s="54" t="s">
        <v>168</v>
      </c>
      <c r="M8" s="56" t="str">
        <f t="shared" si="2"/>
        <v>陰入</v>
      </c>
      <c r="P8" s="24" t="str">
        <f t="shared" si="3"/>
        <v/>
      </c>
      <c r="S8" s="55" t="str">
        <f xml:space="preserve"> _xlfn.CONCAT("a", "h")</f>
        <v>ah</v>
      </c>
      <c r="U8" s="59" t="str">
        <f t="shared" si="4"/>
        <v>陰入 ah</v>
      </c>
      <c r="W8" t="s">
        <v>123</v>
      </c>
    </row>
    <row r="9" spans="2:23" ht="57.75">
      <c r="B9" s="68" t="s">
        <v>0</v>
      </c>
      <c r="C9" s="34" t="s">
        <v>87</v>
      </c>
      <c r="D9" s="45">
        <v>8</v>
      </c>
      <c r="E9" s="45">
        <v>8</v>
      </c>
      <c r="F9" s="66" t="s">
        <v>178</v>
      </c>
      <c r="G9" s="57" t="s">
        <v>122</v>
      </c>
      <c r="H9" s="29">
        <v>50</v>
      </c>
      <c r="I9" s="29" t="s">
        <v>97</v>
      </c>
      <c r="J9" s="53" t="str">
        <f t="shared" si="0"/>
        <v>kut]</v>
      </c>
      <c r="K9" s="53" t="s">
        <v>169</v>
      </c>
      <c r="M9" s="56" t="str">
        <f t="shared" si="2"/>
        <v>陽入</v>
      </c>
      <c r="N9" s="63" t="s">
        <v>124</v>
      </c>
      <c r="O9" s="24">
        <f xml:space="preserve"> IFERROR( HEX2DEC(RIGHT(N9,4)), "")</f>
        <v>781</v>
      </c>
      <c r="P9" s="24" t="str">
        <f t="shared" si="3"/>
        <v>a̍</v>
      </c>
      <c r="Q9" s="24" t="str">
        <f xml:space="preserve"> IFERROR( _xlfn.CONCAT("t", "o", _xlfn.UNICHAR(HEX2DEC(RIGHT(N9,4))), "ng"), "")</f>
        <v>to̍ng</v>
      </c>
      <c r="S9" s="55" t="str">
        <f xml:space="preserve"> _xlfn.CONCAT("a",_xlfn.UNICHAR(HEX2DEC(RIGHT(N9,4))), "h")</f>
        <v>a̍h</v>
      </c>
      <c r="U9" s="59" t="str">
        <f t="shared" si="4"/>
        <v>陽入 a̍h</v>
      </c>
      <c r="W9" t="s">
        <v>121</v>
      </c>
    </row>
    <row r="10" spans="2:23" ht="16.5">
      <c r="M10"/>
    </row>
    <row r="12" spans="2:23" ht="25.5">
      <c r="B12" s="26" t="s">
        <v>89</v>
      </c>
      <c r="C12" s="26" t="s">
        <v>161</v>
      </c>
      <c r="D12" s="26" t="s">
        <v>162</v>
      </c>
      <c r="E12" s="25" t="s">
        <v>144</v>
      </c>
      <c r="F12" s="25" t="s">
        <v>143</v>
      </c>
      <c r="G12" s="25" t="s">
        <v>142</v>
      </c>
      <c r="H12" s="25" t="s">
        <v>90</v>
      </c>
      <c r="I12" s="26" t="s">
        <v>115</v>
      </c>
      <c r="J12" s="25" t="s">
        <v>114</v>
      </c>
      <c r="K12" s="25" t="s">
        <v>141</v>
      </c>
    </row>
    <row r="13" spans="2:23" ht="57.75">
      <c r="B13" s="71" t="s">
        <v>7</v>
      </c>
      <c r="C13" s="34" t="s">
        <v>91</v>
      </c>
      <c r="D13" s="45">
        <v>1</v>
      </c>
      <c r="E13" s="45">
        <v>1</v>
      </c>
      <c r="F13" s="59" t="s">
        <v>184</v>
      </c>
      <c r="G13" s="47" t="s">
        <v>140</v>
      </c>
      <c r="H13" s="29">
        <v>44</v>
      </c>
      <c r="I13" s="29" t="s">
        <v>139</v>
      </c>
      <c r="J13" s="61" t="str">
        <f xml:space="preserve"> _xlfn.CONCAT(K13, I13)</f>
        <v>ㄍㄨㄣ:</v>
      </c>
      <c r="K13" s="61" t="s">
        <v>147</v>
      </c>
      <c r="M13" s="56" t="str">
        <f>LEFT(W13,2)</f>
        <v>陰平</v>
      </c>
      <c r="N13" s="63"/>
      <c r="P13" s="65" t="str">
        <f xml:space="preserve"> _xlfn.CONCAT("ㄚ")</f>
        <v>ㄚ</v>
      </c>
      <c r="S13" s="65" t="str">
        <f xml:space="preserve"> _xlfn.CONCAT("ㄚ",)</f>
        <v>ㄚ</v>
      </c>
      <c r="U13" s="65" t="str">
        <f t="shared" ref="U13:U19" si="8" xml:space="preserve"> _xlfn.CONCAT( LEFT(M13,2), " ", P13,)</f>
        <v>陰平 ㄚ</v>
      </c>
      <c r="W13" t="s">
        <v>137</v>
      </c>
    </row>
    <row r="14" spans="2:23" ht="57.75">
      <c r="B14" s="72" t="s">
        <v>3</v>
      </c>
      <c r="C14" s="35" t="s">
        <v>86</v>
      </c>
      <c r="D14" s="46">
        <v>7</v>
      </c>
      <c r="E14" s="46">
        <v>6</v>
      </c>
      <c r="F14" s="60" t="s">
        <v>185</v>
      </c>
      <c r="G14" s="48" t="s">
        <v>127</v>
      </c>
      <c r="H14" s="31">
        <v>33</v>
      </c>
      <c r="I14" s="31">
        <v>5</v>
      </c>
      <c r="J14" s="62" t="str">
        <f xml:space="preserve"> _xlfn.CONCAT( LEFT( K14, LEN(K14)-1), I14)</f>
        <v>ㄍㄨㄣ5</v>
      </c>
      <c r="K14" s="62" t="s">
        <v>150</v>
      </c>
      <c r="M14" s="56" t="str">
        <f t="shared" ref="M14:M19" si="9">LEFT(W14,2)</f>
        <v>陽去</v>
      </c>
      <c r="N14" s="63" t="s">
        <v>180</v>
      </c>
      <c r="O14" s="24">
        <f t="shared" ref="O14:O19" si="10" xml:space="preserve"> IFERROR( HEX2DEC(RIGHT(N14,4)), "")</f>
        <v>747</v>
      </c>
      <c r="P14" s="65" t="str">
        <f xml:space="preserve"> IFERROR( _xlfn.CONCAT("ㄚ", _xlfn.UNICHAR(HEX2DEC(RIGHT(N14,4)))), "")</f>
        <v>ㄚ˫</v>
      </c>
      <c r="S14" s="65" t="str">
        <f xml:space="preserve"> _xlfn.CONCAT("ㄚ",_xlfn.UNICHAR(HEX2DEC(RIGHT(N14,4))))</f>
        <v>ㄚ˫</v>
      </c>
      <c r="U14" s="65" t="str">
        <f t="shared" si="8"/>
        <v>陽去 ㄚ˫</v>
      </c>
      <c r="W14" t="s">
        <v>126</v>
      </c>
    </row>
    <row r="15" spans="2:23" ht="57.75">
      <c r="B15" s="73" t="s">
        <v>6</v>
      </c>
      <c r="C15" s="34" t="s">
        <v>83</v>
      </c>
      <c r="D15" s="45">
        <v>3</v>
      </c>
      <c r="E15" s="45">
        <v>5</v>
      </c>
      <c r="F15" s="59" t="s">
        <v>186</v>
      </c>
      <c r="G15" s="47" t="s">
        <v>129</v>
      </c>
      <c r="H15" s="29">
        <v>31</v>
      </c>
      <c r="I15" s="29">
        <v>3</v>
      </c>
      <c r="J15" s="61" t="str">
        <f xml:space="preserve"> _xlfn.CONCAT( LEFT( K15, LEN(K15)-1), I15)</f>
        <v>ㄍㄨㄣ3</v>
      </c>
      <c r="K15" s="61" t="s">
        <v>149</v>
      </c>
      <c r="M15" s="56" t="str">
        <f t="shared" si="9"/>
        <v>陰去</v>
      </c>
      <c r="N15" s="63" t="s">
        <v>179</v>
      </c>
      <c r="O15" s="24">
        <f t="shared" si="10"/>
        <v>746</v>
      </c>
      <c r="P15" s="65" t="str">
        <f t="shared" ref="P15:P17" si="11" xml:space="preserve"> IFERROR( _xlfn.CONCAT("ㄚ", _xlfn.UNICHAR(HEX2DEC(RIGHT(N15,4)))), "")</f>
        <v>ㄚ˪</v>
      </c>
      <c r="S15" s="65" t="str">
        <f t="shared" ref="S15:S17" si="12" xml:space="preserve"> _xlfn.CONCAT("ㄚ",_xlfn.UNICHAR(HEX2DEC(RIGHT(N15,4))))</f>
        <v>ㄚ˪</v>
      </c>
      <c r="U15" s="65" t="str">
        <f t="shared" si="8"/>
        <v>陰去 ㄚ˪</v>
      </c>
      <c r="W15" t="s">
        <v>128</v>
      </c>
    </row>
    <row r="16" spans="2:23" ht="57.75">
      <c r="B16" s="72" t="s">
        <v>2</v>
      </c>
      <c r="C16" s="35" t="s">
        <v>82</v>
      </c>
      <c r="D16" s="46">
        <v>2</v>
      </c>
      <c r="E16" s="46">
        <v>3</v>
      </c>
      <c r="F16" s="60" t="s">
        <v>187</v>
      </c>
      <c r="G16" s="48" t="s">
        <v>133</v>
      </c>
      <c r="H16" s="31">
        <v>51</v>
      </c>
      <c r="I16" s="31">
        <v>4</v>
      </c>
      <c r="J16" s="62" t="str">
        <f xml:space="preserve"> _xlfn.CONCAT( LEFT( K16, LEN(K16)-1), I16)</f>
        <v>ㄍㄨㄣ4</v>
      </c>
      <c r="K16" s="62" t="s">
        <v>148</v>
      </c>
      <c r="M16" s="56" t="str">
        <f t="shared" si="9"/>
        <v>陰上</v>
      </c>
      <c r="N16" s="64" t="s">
        <v>182</v>
      </c>
      <c r="O16" s="24">
        <f t="shared" si="10"/>
        <v>715</v>
      </c>
      <c r="P16" s="65" t="str">
        <f t="shared" si="11"/>
        <v>ㄚˋ</v>
      </c>
      <c r="S16" s="65" t="str">
        <f t="shared" si="12"/>
        <v>ㄚˋ</v>
      </c>
      <c r="U16" s="65" t="str">
        <f t="shared" si="8"/>
        <v>陰上 ㄚˋ</v>
      </c>
      <c r="W16" t="s">
        <v>132</v>
      </c>
    </row>
    <row r="17" spans="2:23" ht="57.75">
      <c r="B17" s="74" t="s">
        <v>3</v>
      </c>
      <c r="C17" s="34" t="s">
        <v>85</v>
      </c>
      <c r="D17" s="45">
        <v>5</v>
      </c>
      <c r="E17" s="45">
        <v>2</v>
      </c>
      <c r="F17" s="59" t="s">
        <v>188</v>
      </c>
      <c r="G17" s="47" t="s">
        <v>136</v>
      </c>
      <c r="H17" s="29">
        <v>14</v>
      </c>
      <c r="I17" s="29">
        <v>6</v>
      </c>
      <c r="J17" s="61" t="str">
        <f xml:space="preserve"> _xlfn.CONCAT( LEFT( K17, LEN(K17)-1), I17)</f>
        <v>ㄍㄨㄣ6</v>
      </c>
      <c r="K17" s="61" t="s">
        <v>146</v>
      </c>
      <c r="M17" s="56" t="str">
        <f t="shared" si="9"/>
        <v>陽平</v>
      </c>
      <c r="N17" s="63" t="s">
        <v>183</v>
      </c>
      <c r="O17" s="24">
        <f t="shared" si="10"/>
        <v>714</v>
      </c>
      <c r="P17" s="65" t="str">
        <f t="shared" si="11"/>
        <v>ㄚˊ</v>
      </c>
      <c r="S17" s="65" t="str">
        <f t="shared" si="12"/>
        <v>ㄚˊ</v>
      </c>
      <c r="U17" s="65" t="str">
        <f t="shared" si="8"/>
        <v>陽平 ㄚˊ</v>
      </c>
      <c r="W17" t="s">
        <v>134</v>
      </c>
    </row>
    <row r="18" spans="2:23" ht="57.75">
      <c r="B18" s="72" t="s">
        <v>5</v>
      </c>
      <c r="C18" s="35" t="s">
        <v>163</v>
      </c>
      <c r="D18" s="46">
        <v>4</v>
      </c>
      <c r="E18" s="46">
        <v>7</v>
      </c>
      <c r="F18" s="60" t="s">
        <v>189</v>
      </c>
      <c r="G18" s="48" t="s">
        <v>125</v>
      </c>
      <c r="H18" s="31">
        <v>30</v>
      </c>
      <c r="I18" s="31" t="s">
        <v>99</v>
      </c>
      <c r="J18" s="62" t="str">
        <f xml:space="preserve"> _xlfn.CONCAT( LEFT( K18, LEN(K18)), I18)</f>
        <v>ㄍㄨㆵ[</v>
      </c>
      <c r="K18" s="62" t="s">
        <v>152</v>
      </c>
      <c r="M18" s="56" t="str">
        <f t="shared" si="9"/>
        <v>陰入</v>
      </c>
      <c r="N18" s="63"/>
      <c r="O18" s="24">
        <f t="shared" si="10"/>
        <v>0</v>
      </c>
      <c r="P18" s="65" t="str">
        <f xml:space="preserve"> _xlfn.CONCAT("ㄚ", "ㆷ")</f>
        <v>ㄚㆷ</v>
      </c>
      <c r="S18" s="65" t="str">
        <f xml:space="preserve"> _xlfn.CONCAT("ㄚ", "ㆷ", _xlfn.UNICHAR(HEX2DEC(RIGHT("U+0304",4))))</f>
        <v>ㄚㆷ̄</v>
      </c>
      <c r="U18" s="65" t="str">
        <f t="shared" si="8"/>
        <v>陰入 ㄚㆷ</v>
      </c>
      <c r="W18" t="s">
        <v>123</v>
      </c>
    </row>
    <row r="19" spans="2:23" ht="57.75">
      <c r="B19" s="74" t="s">
        <v>0</v>
      </c>
      <c r="C19" s="34" t="s">
        <v>87</v>
      </c>
      <c r="D19" s="45">
        <v>8</v>
      </c>
      <c r="E19" s="45">
        <v>8</v>
      </c>
      <c r="F19" s="59" t="s">
        <v>190</v>
      </c>
      <c r="G19" s="47" t="s">
        <v>122</v>
      </c>
      <c r="H19" s="29">
        <v>50</v>
      </c>
      <c r="I19" s="29" t="s">
        <v>97</v>
      </c>
      <c r="J19" s="61" t="str">
        <f xml:space="preserve"> _xlfn.CONCAT( LEFT( K19, LEN(K19)-1), I19)</f>
        <v>ㄍㄨㆵ]</v>
      </c>
      <c r="K19" s="61" t="s">
        <v>151</v>
      </c>
      <c r="M19" s="56" t="str">
        <f t="shared" si="9"/>
        <v>陽入</v>
      </c>
      <c r="N19" s="63" t="s">
        <v>181</v>
      </c>
      <c r="O19" s="24">
        <f t="shared" si="10"/>
        <v>775</v>
      </c>
      <c r="P19" s="65" t="str">
        <f xml:space="preserve"> _xlfn.CONCAT("ㄚ", "ㆷ", _xlfn.UNICHAR(HEX2DEC(RIGHT(N19,4))))</f>
        <v>ㄚㆷ̇</v>
      </c>
      <c r="S19" s="65" t="str">
        <f xml:space="preserve"> _xlfn.CONCAT("ㄚ", "ㆷ", _xlfn.UNICHAR(HEX2DEC(RIGHT("U+0301",4))))</f>
        <v>ㄚㆷ́</v>
      </c>
      <c r="U19" s="65" t="str">
        <f t="shared" si="8"/>
        <v>陽入 ㄚㆷ̇</v>
      </c>
      <c r="W19" t="s">
        <v>121</v>
      </c>
    </row>
    <row r="20" spans="2:23" ht="52.5" customHeight="1"/>
    <row r="21" spans="2:23" ht="57.75">
      <c r="B21" s="28" t="s">
        <v>118</v>
      </c>
      <c r="C21" s="34" t="s">
        <v>145</v>
      </c>
      <c r="D21" s="34"/>
      <c r="E21" s="30">
        <v>0</v>
      </c>
      <c r="F21" s="27" t="s">
        <v>120</v>
      </c>
      <c r="G21" s="27" t="s">
        <v>119</v>
      </c>
      <c r="H21" s="29">
        <v>20</v>
      </c>
      <c r="I21" s="29">
        <v>7</v>
      </c>
      <c r="J21" s="37" t="str">
        <f xml:space="preserve"> _xlfn.CONCAT( LEFT( K21, LEN(K21)-1), I21)</f>
        <v>ㄚㆷ7</v>
      </c>
      <c r="K21" s="37" t="s">
        <v>117</v>
      </c>
      <c r="S21" s="27" t="str">
        <f xml:space="preserve"> _xlfn.CONCAT("ㄚ", "ㆷ", _xlfn.UNICHAR(HEX2DEC(RIGHT("U+02D9",4))))</f>
        <v>ㄚㆷ˙</v>
      </c>
      <c r="U21" s="27" t="str">
        <f xml:space="preserve"> _xlfn.CONCAT( LEFT(F21,2), " ", S21,)</f>
        <v>輕聲 ㄚㆷ˙</v>
      </c>
      <c r="W21" t="s">
        <v>116</v>
      </c>
    </row>
    <row r="23" spans="2:23" ht="42">
      <c r="B23" s="33"/>
      <c r="C23" s="36"/>
      <c r="D23" s="46">
        <v>6</v>
      </c>
      <c r="E23" s="32"/>
      <c r="F23" s="50" t="s">
        <v>131</v>
      </c>
      <c r="G23" s="49"/>
      <c r="H23" s="32"/>
      <c r="I23" s="32"/>
      <c r="J23" s="36"/>
      <c r="K23" s="36"/>
      <c r="N23" s="63" t="s">
        <v>107</v>
      </c>
      <c r="O23" s="24">
        <f xml:space="preserve"> IFERROR( HEX2DEC(RIGHT(N23,4)), "")</f>
        <v>770</v>
      </c>
      <c r="P23" s="24" t="str">
        <f xml:space="preserve"> IFERROR( _xlfn.CONCAT("o", _xlfn.UNICHAR(HEX2DEC(RIGHT(N23,4)))), "")</f>
        <v>ô</v>
      </c>
      <c r="Q23" s="24" t="str">
        <f xml:space="preserve"> IFERROR( _xlfn.CONCAT("t", "o", _xlfn.UNICHAR(HEX2DEC(RIGHT(N23,4))), "ng"), "")</f>
        <v>tông</v>
      </c>
      <c r="S23" s="27" t="str">
        <f xml:space="preserve"> _xlfn.CONCAT("ㄚ",_xlfn.UNICHAR(HEX2DEC(RIGHT("U+0304",4))))</f>
        <v>ㄚ̄</v>
      </c>
      <c r="U23" s="27" t="str">
        <f xml:space="preserve"> _xlfn.CONCAT( LEFT(F23,2), " ", S23,)</f>
        <v>陽上 ㄚ̄</v>
      </c>
      <c r="W23" t="s">
        <v>130</v>
      </c>
    </row>
    <row r="24" spans="2:23" ht="42">
      <c r="M24" s="56" t="str">
        <f>LEFT(F5,2)</f>
        <v>陰去</v>
      </c>
      <c r="N24" s="63" t="s">
        <v>104</v>
      </c>
      <c r="O24" s="24">
        <f xml:space="preserve"> IFERROR( HEX2DEC(RIGHT(N24,4)), "")</f>
        <v>780</v>
      </c>
      <c r="P24" s="24" t="str">
        <f xml:space="preserve"> IFERROR( _xlfn.CONCAT("a", _xlfn.UNICHAR(HEX2DEC(RIGHT(N24,4)))), "")</f>
        <v>ǎ</v>
      </c>
      <c r="Q24" s="24" t="str">
        <f xml:space="preserve"> IFERROR( _xlfn.CONCAT("t", "o", _xlfn.UNICHAR(HEX2DEC(RIGHT(N24,4))), "ng"), "")</f>
        <v>tǒng</v>
      </c>
    </row>
    <row r="25" spans="2:23" ht="52.5" customHeight="1">
      <c r="M25" s="56" t="str">
        <f>LEFT(F25,2)</f>
        <v/>
      </c>
      <c r="N25" s="63" t="s">
        <v>96</v>
      </c>
      <c r="O25" s="24">
        <f t="shared" ref="O25" si="13" xml:space="preserve"> IFERROR( HEX2DEC(RIGHT(N25,4)), "")</f>
        <v>779</v>
      </c>
      <c r="P25" s="24" t="str">
        <f xml:space="preserve"> IFERROR( _xlfn.CONCAT("a", _xlfn.UNICHAR(HEX2DEC(RIGHT(N25,4)))), "")</f>
        <v>a̋</v>
      </c>
      <c r="Q25" s="24" t="str">
        <f xml:space="preserve"> IFERROR( _xlfn.CONCAT("t", "o", _xlfn.UNICHAR(HEX2DEC(RIGHT(N25,4))), "ng"), "")</f>
        <v>tőng</v>
      </c>
    </row>
  </sheetData>
  <phoneticPr fontId="2" type="noConversion"/>
  <hyperlinks>
    <hyperlink ref="N14" r:id="rId1" display="https://zi-hi.com/sp/uni/0301" xr:uid="{E8C9F2FC-74CF-4EB1-AE75-B05DAFD78A99}"/>
    <hyperlink ref="N17" r:id="rId2" display="https://zi-hi.com/sp/uni/0300" xr:uid="{05C67D14-8384-448C-B4C4-4584A72CE03E}"/>
    <hyperlink ref="N23" r:id="rId3" display="https://zi-hi.com/sp/uni/0302" xr:uid="{1D65DD10-3D25-463F-B478-131E93F6557E}"/>
    <hyperlink ref="N15" r:id="rId4" display="https://zi-hi.com/sp/uni/0304" xr:uid="{D1E01BCA-2DFB-4F7F-A2AA-2234371F57FC}"/>
    <hyperlink ref="N19" r:id="rId5" display="https://zi-hi.com/sp/uni/030D" xr:uid="{07084769-F64C-4A01-843B-686107D4AD8B}"/>
    <hyperlink ref="N3" r:id="rId6" display="https://zi-hi.com/sp/uni/0301" xr:uid="{195401EA-7CBF-479D-A87D-AF7FB5E69550}"/>
    <hyperlink ref="N5" r:id="rId7" display="https://zi-hi.com/sp/uni/0300" xr:uid="{DAB8D865-6662-458A-8B5C-629DD8C6C699}"/>
    <hyperlink ref="N24" r:id="rId8" display="https://zi-hi.com/sp/uni/030C" xr:uid="{8A847724-D91A-4EE6-8296-BC39F54628C0}"/>
    <hyperlink ref="N4" r:id="rId9" display="https://zi-hi.com/sp/uni/0304" xr:uid="{5D52BE63-F40E-409C-829B-2CB0764FB611}"/>
    <hyperlink ref="N9" r:id="rId10" display="https://zi-hi.com/sp/uni/030D" xr:uid="{578F4790-72F5-4E61-B356-2EE5912C1A56}"/>
    <hyperlink ref="N25" r:id="rId11" display="https://zi-hi.com/sp/uni/030B" xr:uid="{AC49E67E-8BF4-4565-8E4D-B5642E07DB57}"/>
    <hyperlink ref="N6" r:id="rId12" display="https://zi-hi.com/sp/uni/0301" xr:uid="{A7D3EDA1-8C95-405C-973C-ADF4DABFC703}"/>
  </hyperlinks>
  <pageMargins left="0.7" right="0.7" top="0.75" bottom="0.75" header="0.3" footer="0.3"/>
  <ignoredErrors>
    <ignoredError sqref="J18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EFA2-9FA7-4974-A6D1-371DB17926CB}">
  <sheetPr>
    <tabColor theme="9" tint="0.39997558519241921"/>
    <pageSetUpPr fitToPage="1"/>
  </sheetPr>
  <dimension ref="B2:BR34"/>
  <sheetViews>
    <sheetView zoomScale="60" zoomScaleNormal="60" workbookViewId="0">
      <selection activeCell="R52" sqref="R52"/>
    </sheetView>
  </sheetViews>
  <sheetFormatPr defaultColWidth="13" defaultRowHeight="30"/>
  <cols>
    <col min="1" max="1" width="2.75" style="83" customWidth="1"/>
    <col min="2" max="3" width="5.375" style="87" customWidth="1"/>
    <col min="4" max="39" width="5.625" style="83" customWidth="1"/>
    <col min="40" max="41" width="13" style="83"/>
    <col min="42" max="65" width="8.375" style="83" customWidth="1"/>
    <col min="66" max="67" width="13" style="83"/>
    <col min="68" max="68" width="13" style="86"/>
    <col min="69" max="69" width="21.375" style="83" bestFit="1" customWidth="1"/>
    <col min="70" max="16384" width="13" style="83"/>
  </cols>
  <sheetData>
    <row r="2" spans="2:70" s="81" customFormat="1" ht="29.25" customHeight="1">
      <c r="B2" s="80"/>
      <c r="C2" s="80"/>
      <c r="D2" s="190" t="s">
        <v>208</v>
      </c>
      <c r="E2" s="190"/>
      <c r="F2" s="190"/>
      <c r="G2" s="190"/>
      <c r="H2" s="190"/>
      <c r="I2" s="190"/>
      <c r="J2" s="190"/>
      <c r="K2" s="190"/>
      <c r="L2" s="190" t="s">
        <v>209</v>
      </c>
      <c r="M2" s="190"/>
      <c r="N2" s="190"/>
      <c r="O2" s="190"/>
      <c r="P2" s="190"/>
      <c r="Q2" s="190"/>
      <c r="R2" s="190"/>
      <c r="S2" s="190"/>
      <c r="T2" s="190" t="s">
        <v>210</v>
      </c>
      <c r="U2" s="190"/>
      <c r="V2" s="190"/>
      <c r="W2" s="190"/>
      <c r="X2" s="190"/>
      <c r="Y2" s="190"/>
      <c r="Z2" s="190"/>
      <c r="AA2" s="190"/>
      <c r="AB2" s="190" t="s">
        <v>211</v>
      </c>
      <c r="AC2" s="190"/>
      <c r="AD2" s="190"/>
      <c r="AE2" s="190"/>
      <c r="AF2" s="190"/>
      <c r="AG2" s="190"/>
      <c r="AH2" s="190"/>
      <c r="AI2" s="190"/>
      <c r="AJ2" s="190" t="s">
        <v>212</v>
      </c>
      <c r="AK2" s="190"/>
      <c r="AL2" s="190"/>
      <c r="AM2" s="190"/>
      <c r="BP2" s="82"/>
    </row>
    <row r="3" spans="2:70" s="81" customFormat="1" ht="29.25" customHeight="1">
      <c r="B3" s="80"/>
      <c r="C3" s="80"/>
      <c r="D3" s="190" t="s">
        <v>213</v>
      </c>
      <c r="E3" s="190"/>
      <c r="F3" s="190"/>
      <c r="G3" s="190"/>
      <c r="H3" s="190"/>
      <c r="I3" s="190"/>
      <c r="J3" s="190"/>
      <c r="K3" s="190"/>
      <c r="L3" s="190" t="s">
        <v>214</v>
      </c>
      <c r="M3" s="190"/>
      <c r="N3" s="190"/>
      <c r="O3" s="190"/>
      <c r="P3" s="190"/>
      <c r="Q3" s="190"/>
      <c r="R3" s="190"/>
      <c r="S3" s="190"/>
      <c r="T3" s="190" t="s">
        <v>215</v>
      </c>
      <c r="U3" s="190"/>
      <c r="V3" s="190"/>
      <c r="W3" s="190"/>
      <c r="X3" s="190"/>
      <c r="Y3" s="190"/>
      <c r="Z3" s="190"/>
      <c r="AA3" s="190"/>
      <c r="AB3" s="190" t="s">
        <v>216</v>
      </c>
      <c r="AC3" s="190"/>
      <c r="AD3" s="190"/>
      <c r="AE3" s="190"/>
      <c r="AF3" s="190"/>
      <c r="AG3" s="190"/>
      <c r="AH3" s="190"/>
      <c r="AI3" s="190"/>
      <c r="AJ3" s="190" t="s">
        <v>217</v>
      </c>
      <c r="AK3" s="190"/>
      <c r="AL3" s="190"/>
      <c r="AM3" s="190"/>
      <c r="BP3" s="82"/>
    </row>
    <row r="4" spans="2:70" s="81" customFormat="1" ht="29.25" customHeight="1">
      <c r="B4" s="80"/>
      <c r="C4" s="80"/>
      <c r="D4" s="190" t="s">
        <v>218</v>
      </c>
      <c r="E4" s="190"/>
      <c r="F4" s="190"/>
      <c r="G4" s="190"/>
      <c r="H4" s="190" t="s">
        <v>219</v>
      </c>
      <c r="I4" s="190"/>
      <c r="J4" s="190"/>
      <c r="K4" s="190"/>
      <c r="L4" s="190" t="s">
        <v>218</v>
      </c>
      <c r="M4" s="190"/>
      <c r="N4" s="190"/>
      <c r="O4" s="190"/>
      <c r="P4" s="190" t="s">
        <v>219</v>
      </c>
      <c r="Q4" s="190"/>
      <c r="R4" s="190"/>
      <c r="S4" s="190"/>
      <c r="T4" s="190" t="s">
        <v>218</v>
      </c>
      <c r="U4" s="190"/>
      <c r="V4" s="190"/>
      <c r="W4" s="190"/>
      <c r="X4" s="190" t="s">
        <v>219</v>
      </c>
      <c r="Y4" s="190"/>
      <c r="Z4" s="190"/>
      <c r="AA4" s="190"/>
      <c r="AB4" s="190" t="s">
        <v>218</v>
      </c>
      <c r="AC4" s="190"/>
      <c r="AD4" s="190"/>
      <c r="AE4" s="190"/>
      <c r="AF4" s="190" t="s">
        <v>219</v>
      </c>
      <c r="AG4" s="190"/>
      <c r="AH4" s="190"/>
      <c r="AI4" s="190"/>
      <c r="AJ4" s="190" t="s">
        <v>218</v>
      </c>
      <c r="AK4" s="190"/>
      <c r="AL4" s="190"/>
      <c r="AM4" s="190"/>
      <c r="AP4" s="190" t="s">
        <v>220</v>
      </c>
      <c r="AQ4" s="190"/>
      <c r="AR4" s="190"/>
      <c r="AS4" s="190"/>
      <c r="AT4" s="190" t="s">
        <v>219</v>
      </c>
      <c r="AU4" s="190"/>
      <c r="AV4" s="190"/>
      <c r="AW4" s="190"/>
      <c r="AX4" s="190" t="s">
        <v>221</v>
      </c>
      <c r="AY4" s="190"/>
      <c r="AZ4" s="190"/>
      <c r="BA4" s="190"/>
      <c r="BB4" s="190" t="s">
        <v>222</v>
      </c>
      <c r="BC4" s="190"/>
      <c r="BD4" s="190"/>
      <c r="BE4" s="190"/>
      <c r="BF4" s="190" t="s">
        <v>223</v>
      </c>
      <c r="BG4" s="190"/>
      <c r="BH4" s="190"/>
      <c r="BI4" s="190"/>
      <c r="BJ4" s="190" t="s">
        <v>224</v>
      </c>
      <c r="BK4" s="190"/>
      <c r="BL4" s="190"/>
      <c r="BM4" s="190"/>
      <c r="BP4" s="82"/>
    </row>
    <row r="5" spans="2:70" ht="33" customHeight="1">
      <c r="B5" s="160" t="s">
        <v>225</v>
      </c>
      <c r="C5" s="160"/>
      <c r="D5" s="132"/>
      <c r="E5" s="133"/>
      <c r="F5" s="136"/>
      <c r="G5" s="137"/>
      <c r="H5" s="140" t="s">
        <v>557</v>
      </c>
      <c r="I5" s="141"/>
      <c r="J5" s="144" t="s">
        <v>227</v>
      </c>
      <c r="K5" s="145"/>
      <c r="L5" s="132"/>
      <c r="M5" s="133"/>
      <c r="N5" s="136"/>
      <c r="O5" s="137"/>
      <c r="P5" s="140"/>
      <c r="Q5" s="141"/>
      <c r="R5" s="144"/>
      <c r="S5" s="145"/>
      <c r="T5" s="132"/>
      <c r="U5" s="133"/>
      <c r="V5" s="136"/>
      <c r="W5" s="137"/>
      <c r="X5" s="140" t="s">
        <v>560</v>
      </c>
      <c r="Y5" s="141"/>
      <c r="Z5" s="144" t="s">
        <v>229</v>
      </c>
      <c r="AA5" s="145"/>
      <c r="AB5" s="132"/>
      <c r="AC5" s="133"/>
      <c r="AD5" s="136"/>
      <c r="AE5" s="137"/>
      <c r="AF5" s="140" t="s">
        <v>561</v>
      </c>
      <c r="AG5" s="141"/>
      <c r="AH5" s="144" t="s">
        <v>231</v>
      </c>
      <c r="AI5" s="145"/>
      <c r="AJ5" s="132"/>
      <c r="AK5" s="133"/>
      <c r="AL5" s="136"/>
      <c r="AM5" s="137"/>
      <c r="AP5" s="177" t="s">
        <v>232</v>
      </c>
      <c r="AQ5" s="178"/>
      <c r="AR5" s="169" t="s">
        <v>233</v>
      </c>
      <c r="AS5" s="170"/>
      <c r="AT5" s="173" t="s">
        <v>226</v>
      </c>
      <c r="AU5" s="174"/>
      <c r="AV5" s="165" t="s">
        <v>234</v>
      </c>
      <c r="AW5" s="166"/>
      <c r="AX5" s="177" t="s">
        <v>235</v>
      </c>
      <c r="AY5" s="178"/>
      <c r="AZ5" s="169" t="s">
        <v>236</v>
      </c>
      <c r="BA5" s="170"/>
      <c r="BB5" s="185" t="s">
        <v>237</v>
      </c>
      <c r="BC5" s="186"/>
      <c r="BD5" s="165" t="s">
        <v>227</v>
      </c>
      <c r="BE5" s="166"/>
      <c r="BF5" s="177"/>
      <c r="BG5" s="178"/>
      <c r="BH5" s="169"/>
      <c r="BI5" s="170"/>
      <c r="BJ5" s="173"/>
      <c r="BK5" s="174"/>
      <c r="BL5" s="165"/>
      <c r="BM5" s="166"/>
      <c r="BP5" s="84">
        <v>1</v>
      </c>
      <c r="BQ5" s="85" t="s">
        <v>238</v>
      </c>
      <c r="BR5" s="81"/>
    </row>
    <row r="6" spans="2:70" ht="33" customHeight="1">
      <c r="B6" s="160"/>
      <c r="C6" s="160"/>
      <c r="D6" s="134"/>
      <c r="E6" s="135"/>
      <c r="F6" s="138"/>
      <c r="G6" s="139"/>
      <c r="H6" s="142"/>
      <c r="I6" s="143"/>
      <c r="J6" s="146"/>
      <c r="K6" s="147"/>
      <c r="L6" s="134"/>
      <c r="M6" s="135"/>
      <c r="N6" s="138"/>
      <c r="O6" s="139"/>
      <c r="P6" s="142"/>
      <c r="Q6" s="143"/>
      <c r="R6" s="146"/>
      <c r="S6" s="147"/>
      <c r="T6" s="134"/>
      <c r="U6" s="135"/>
      <c r="V6" s="138"/>
      <c r="W6" s="139"/>
      <c r="X6" s="142"/>
      <c r="Y6" s="143"/>
      <c r="Z6" s="146"/>
      <c r="AA6" s="147"/>
      <c r="AB6" s="134"/>
      <c r="AC6" s="135"/>
      <c r="AD6" s="138"/>
      <c r="AE6" s="139"/>
      <c r="AF6" s="142"/>
      <c r="AG6" s="143"/>
      <c r="AH6" s="146"/>
      <c r="AI6" s="147"/>
      <c r="AJ6" s="134"/>
      <c r="AK6" s="135"/>
      <c r="AL6" s="138"/>
      <c r="AM6" s="139"/>
      <c r="AP6" s="179"/>
      <c r="AQ6" s="180"/>
      <c r="AR6" s="171"/>
      <c r="AS6" s="172"/>
      <c r="AT6" s="175"/>
      <c r="AU6" s="176"/>
      <c r="AV6" s="167"/>
      <c r="AW6" s="168"/>
      <c r="AX6" s="179"/>
      <c r="AY6" s="180"/>
      <c r="AZ6" s="171"/>
      <c r="BA6" s="172"/>
      <c r="BB6" s="187"/>
      <c r="BC6" s="188"/>
      <c r="BD6" s="167"/>
      <c r="BE6" s="168"/>
      <c r="BF6" s="179"/>
      <c r="BG6" s="180"/>
      <c r="BH6" s="171"/>
      <c r="BI6" s="172"/>
      <c r="BJ6" s="175"/>
      <c r="BK6" s="176"/>
      <c r="BL6" s="167"/>
      <c r="BM6" s="168"/>
      <c r="BP6" s="84">
        <v>2</v>
      </c>
      <c r="BQ6" s="85" t="s">
        <v>239</v>
      </c>
      <c r="BR6" s="81"/>
    </row>
    <row r="7" spans="2:70" ht="33" customHeight="1">
      <c r="B7" s="160"/>
      <c r="C7" s="160"/>
      <c r="D7" s="116"/>
      <c r="E7" s="117"/>
      <c r="F7" s="120"/>
      <c r="G7" s="121"/>
      <c r="H7" s="124" t="s">
        <v>240</v>
      </c>
      <c r="I7" s="125"/>
      <c r="J7" s="128" t="s">
        <v>237</v>
      </c>
      <c r="K7" s="129"/>
      <c r="L7" s="116"/>
      <c r="M7" s="117"/>
      <c r="N7" s="120"/>
      <c r="O7" s="121"/>
      <c r="P7" s="124"/>
      <c r="Q7" s="125"/>
      <c r="R7" s="128"/>
      <c r="S7" s="129"/>
      <c r="T7" s="116"/>
      <c r="U7" s="117"/>
      <c r="V7" s="120"/>
      <c r="W7" s="121"/>
      <c r="X7" s="124" t="s">
        <v>242</v>
      </c>
      <c r="Y7" s="125"/>
      <c r="Z7" s="128" t="s">
        <v>259</v>
      </c>
      <c r="AA7" s="129"/>
      <c r="AB7" s="116"/>
      <c r="AC7" s="117"/>
      <c r="AD7" s="120"/>
      <c r="AE7" s="121"/>
      <c r="AF7" s="124" t="s">
        <v>244</v>
      </c>
      <c r="AG7" s="125"/>
      <c r="AH7" s="128" t="s">
        <v>273</v>
      </c>
      <c r="AI7" s="129"/>
      <c r="AJ7" s="116"/>
      <c r="AK7" s="117"/>
      <c r="AL7" s="120"/>
      <c r="AM7" s="121"/>
      <c r="AP7" s="161" t="s">
        <v>238</v>
      </c>
      <c r="AQ7" s="162"/>
      <c r="AR7" s="148" t="s">
        <v>234</v>
      </c>
      <c r="AS7" s="149"/>
      <c r="AT7" s="152" t="s">
        <v>239</v>
      </c>
      <c r="AU7" s="153"/>
      <c r="AV7" s="156" t="s">
        <v>246</v>
      </c>
      <c r="AW7" s="157"/>
      <c r="AX7" s="161" t="s">
        <v>247</v>
      </c>
      <c r="AY7" s="162"/>
      <c r="AZ7" s="148" t="s">
        <v>233</v>
      </c>
      <c r="BA7" s="149"/>
      <c r="BB7" s="152" t="s">
        <v>240</v>
      </c>
      <c r="BC7" s="153"/>
      <c r="BD7" s="156" t="s">
        <v>241</v>
      </c>
      <c r="BE7" s="157"/>
      <c r="BF7" s="161"/>
      <c r="BG7" s="162"/>
      <c r="BH7" s="148"/>
      <c r="BI7" s="149"/>
      <c r="BJ7" s="152"/>
      <c r="BK7" s="153"/>
      <c r="BL7" s="156"/>
      <c r="BM7" s="157"/>
      <c r="BP7" s="84">
        <v>3</v>
      </c>
      <c r="BQ7" s="85" t="s">
        <v>247</v>
      </c>
      <c r="BR7" s="81"/>
    </row>
    <row r="8" spans="2:70" ht="33" customHeight="1">
      <c r="B8" s="160"/>
      <c r="C8" s="160"/>
      <c r="D8" s="118"/>
      <c r="E8" s="119"/>
      <c r="F8" s="122"/>
      <c r="G8" s="123"/>
      <c r="H8" s="126"/>
      <c r="I8" s="127"/>
      <c r="J8" s="130"/>
      <c r="K8" s="131"/>
      <c r="L8" s="118"/>
      <c r="M8" s="119"/>
      <c r="N8" s="122"/>
      <c r="O8" s="123"/>
      <c r="P8" s="126"/>
      <c r="Q8" s="127"/>
      <c r="R8" s="130"/>
      <c r="S8" s="131"/>
      <c r="T8" s="118"/>
      <c r="U8" s="119"/>
      <c r="V8" s="122"/>
      <c r="W8" s="123"/>
      <c r="X8" s="126"/>
      <c r="Y8" s="127"/>
      <c r="Z8" s="130"/>
      <c r="AA8" s="131"/>
      <c r="AB8" s="118"/>
      <c r="AC8" s="119"/>
      <c r="AD8" s="122"/>
      <c r="AE8" s="123"/>
      <c r="AF8" s="126"/>
      <c r="AG8" s="127"/>
      <c r="AH8" s="130"/>
      <c r="AI8" s="131"/>
      <c r="AJ8" s="118"/>
      <c r="AK8" s="119"/>
      <c r="AL8" s="122"/>
      <c r="AM8" s="123"/>
      <c r="AP8" s="163"/>
      <c r="AQ8" s="164"/>
      <c r="AR8" s="150"/>
      <c r="AS8" s="151"/>
      <c r="AT8" s="154"/>
      <c r="AU8" s="155"/>
      <c r="AV8" s="158"/>
      <c r="AW8" s="159"/>
      <c r="AX8" s="163"/>
      <c r="AY8" s="164"/>
      <c r="AZ8" s="150"/>
      <c r="BA8" s="151"/>
      <c r="BB8" s="154"/>
      <c r="BC8" s="155"/>
      <c r="BD8" s="158"/>
      <c r="BE8" s="159"/>
      <c r="BF8" s="163"/>
      <c r="BG8" s="164"/>
      <c r="BH8" s="150"/>
      <c r="BI8" s="151"/>
      <c r="BJ8" s="154"/>
      <c r="BK8" s="155"/>
      <c r="BL8" s="158"/>
      <c r="BM8" s="159"/>
      <c r="BP8" s="84">
        <v>4</v>
      </c>
      <c r="BQ8" s="85" t="s">
        <v>240</v>
      </c>
      <c r="BR8" s="81"/>
    </row>
    <row r="9" spans="2:70" ht="33" customHeight="1">
      <c r="B9" s="160" t="s">
        <v>248</v>
      </c>
      <c r="C9" s="189" t="s">
        <v>249</v>
      </c>
      <c r="D9" s="132" t="s">
        <v>556</v>
      </c>
      <c r="E9" s="133"/>
      <c r="F9" s="136" t="s">
        <v>567</v>
      </c>
      <c r="G9" s="137"/>
      <c r="H9" s="140" t="s">
        <v>559</v>
      </c>
      <c r="I9" s="141"/>
      <c r="J9" s="144" t="s">
        <v>234</v>
      </c>
      <c r="K9" s="145"/>
      <c r="L9" s="132"/>
      <c r="M9" s="133"/>
      <c r="N9" s="136"/>
      <c r="O9" s="137"/>
      <c r="P9" s="140"/>
      <c r="Q9" s="141"/>
      <c r="R9" s="144"/>
      <c r="S9" s="145"/>
      <c r="T9" s="132" t="s">
        <v>263</v>
      </c>
      <c r="U9" s="133"/>
      <c r="V9" s="136" t="s">
        <v>251</v>
      </c>
      <c r="W9" s="137"/>
      <c r="X9" s="140"/>
      <c r="Y9" s="141"/>
      <c r="Z9" s="144"/>
      <c r="AA9" s="145"/>
      <c r="AB9" s="132" t="s">
        <v>265</v>
      </c>
      <c r="AC9" s="133"/>
      <c r="AD9" s="136" t="s">
        <v>253</v>
      </c>
      <c r="AE9" s="137"/>
      <c r="AF9" s="140" t="s">
        <v>565</v>
      </c>
      <c r="AG9" s="141"/>
      <c r="AH9" s="144" t="s">
        <v>254</v>
      </c>
      <c r="AI9" s="145"/>
      <c r="AJ9" s="132" t="s">
        <v>256</v>
      </c>
      <c r="AK9" s="133"/>
      <c r="AL9" s="136" t="s">
        <v>256</v>
      </c>
      <c r="AM9" s="137"/>
      <c r="AP9" s="177" t="s">
        <v>250</v>
      </c>
      <c r="AQ9" s="178"/>
      <c r="AR9" s="169" t="s">
        <v>251</v>
      </c>
      <c r="AS9" s="170"/>
      <c r="AT9" s="173"/>
      <c r="AU9" s="174"/>
      <c r="AV9" s="165"/>
      <c r="AW9" s="166"/>
      <c r="AX9" s="177" t="s">
        <v>257</v>
      </c>
      <c r="AY9" s="178"/>
      <c r="AZ9" s="169" t="s">
        <v>258</v>
      </c>
      <c r="BA9" s="170"/>
      <c r="BB9" s="185" t="s">
        <v>259</v>
      </c>
      <c r="BC9" s="186"/>
      <c r="BD9" s="165" t="s">
        <v>229</v>
      </c>
      <c r="BE9" s="166"/>
      <c r="BF9" s="177" t="s">
        <v>228</v>
      </c>
      <c r="BG9" s="178"/>
      <c r="BH9" s="169" t="s">
        <v>260</v>
      </c>
      <c r="BI9" s="170"/>
      <c r="BJ9" s="173"/>
      <c r="BK9" s="174"/>
      <c r="BL9" s="165"/>
      <c r="BM9" s="166"/>
      <c r="BP9" s="84">
        <v>5</v>
      </c>
      <c r="BQ9" s="85" t="s">
        <v>261</v>
      </c>
      <c r="BR9" s="81"/>
    </row>
    <row r="10" spans="2:70" ht="33" customHeight="1">
      <c r="B10" s="160"/>
      <c r="C10" s="189"/>
      <c r="D10" s="134"/>
      <c r="E10" s="135"/>
      <c r="F10" s="138"/>
      <c r="G10" s="139"/>
      <c r="H10" s="142"/>
      <c r="I10" s="143"/>
      <c r="J10" s="146"/>
      <c r="K10" s="147"/>
      <c r="L10" s="134"/>
      <c r="M10" s="135"/>
      <c r="N10" s="138"/>
      <c r="O10" s="139"/>
      <c r="P10" s="142"/>
      <c r="Q10" s="143"/>
      <c r="R10" s="146"/>
      <c r="S10" s="147"/>
      <c r="T10" s="134"/>
      <c r="U10" s="135"/>
      <c r="V10" s="138"/>
      <c r="W10" s="139"/>
      <c r="X10" s="142"/>
      <c r="Y10" s="143"/>
      <c r="Z10" s="146"/>
      <c r="AA10" s="147"/>
      <c r="AB10" s="134"/>
      <c r="AC10" s="135"/>
      <c r="AD10" s="138"/>
      <c r="AE10" s="139"/>
      <c r="AF10" s="142"/>
      <c r="AG10" s="143"/>
      <c r="AH10" s="146"/>
      <c r="AI10" s="147"/>
      <c r="AJ10" s="134"/>
      <c r="AK10" s="135"/>
      <c r="AL10" s="138"/>
      <c r="AM10" s="139"/>
      <c r="AP10" s="179"/>
      <c r="AQ10" s="180"/>
      <c r="AR10" s="171"/>
      <c r="AS10" s="172"/>
      <c r="AT10" s="175"/>
      <c r="AU10" s="176"/>
      <c r="AV10" s="167"/>
      <c r="AW10" s="168"/>
      <c r="AX10" s="179"/>
      <c r="AY10" s="180"/>
      <c r="AZ10" s="171"/>
      <c r="BA10" s="172"/>
      <c r="BB10" s="187"/>
      <c r="BC10" s="188"/>
      <c r="BD10" s="167"/>
      <c r="BE10" s="168"/>
      <c r="BF10" s="179"/>
      <c r="BG10" s="180"/>
      <c r="BH10" s="171"/>
      <c r="BI10" s="172"/>
      <c r="BJ10" s="175"/>
      <c r="BK10" s="176"/>
      <c r="BL10" s="167"/>
      <c r="BM10" s="168"/>
      <c r="BP10" s="84">
        <v>6</v>
      </c>
      <c r="BQ10" s="85" t="s">
        <v>262</v>
      </c>
      <c r="BR10" s="81"/>
    </row>
    <row r="11" spans="2:70" ht="33" customHeight="1">
      <c r="B11" s="160"/>
      <c r="C11" s="189"/>
      <c r="D11" s="116" t="s">
        <v>238</v>
      </c>
      <c r="E11" s="117"/>
      <c r="F11" s="120" t="s">
        <v>555</v>
      </c>
      <c r="G11" s="121"/>
      <c r="H11" s="124" t="s">
        <v>239</v>
      </c>
      <c r="I11" s="125"/>
      <c r="J11" s="128" t="s">
        <v>558</v>
      </c>
      <c r="K11" s="129"/>
      <c r="L11" s="116"/>
      <c r="M11" s="117"/>
      <c r="N11" s="120"/>
      <c r="O11" s="121"/>
      <c r="P11" s="124"/>
      <c r="Q11" s="125"/>
      <c r="R11" s="128"/>
      <c r="S11" s="129"/>
      <c r="T11" s="116" t="s">
        <v>261</v>
      </c>
      <c r="U11" s="117"/>
      <c r="V11" s="120" t="s">
        <v>562</v>
      </c>
      <c r="W11" s="121"/>
      <c r="X11" s="124"/>
      <c r="Y11" s="125"/>
      <c r="Z11" s="128"/>
      <c r="AA11" s="129"/>
      <c r="AB11" s="116" t="s">
        <v>264</v>
      </c>
      <c r="AC11" s="117"/>
      <c r="AD11" s="120" t="s">
        <v>563</v>
      </c>
      <c r="AE11" s="121"/>
      <c r="AF11" s="124" t="s">
        <v>266</v>
      </c>
      <c r="AG11" s="125"/>
      <c r="AH11" s="128" t="s">
        <v>564</v>
      </c>
      <c r="AI11" s="129"/>
      <c r="AJ11" s="116" t="s">
        <v>268</v>
      </c>
      <c r="AK11" s="117"/>
      <c r="AL11" s="120" t="s">
        <v>566</v>
      </c>
      <c r="AM11" s="121"/>
      <c r="AP11" s="161" t="s">
        <v>261</v>
      </c>
      <c r="AQ11" s="162"/>
      <c r="AR11" s="148" t="s">
        <v>263</v>
      </c>
      <c r="AS11" s="149"/>
      <c r="AT11" s="152"/>
      <c r="AU11" s="153"/>
      <c r="AV11" s="156"/>
      <c r="AW11" s="157"/>
      <c r="AX11" s="161" t="s">
        <v>262</v>
      </c>
      <c r="AY11" s="162"/>
      <c r="AZ11" s="148" t="s">
        <v>251</v>
      </c>
      <c r="BA11" s="149"/>
      <c r="BB11" s="152" t="s">
        <v>242</v>
      </c>
      <c r="BC11" s="153"/>
      <c r="BD11" s="156" t="s">
        <v>243</v>
      </c>
      <c r="BE11" s="157"/>
      <c r="BF11" s="161" t="s">
        <v>269</v>
      </c>
      <c r="BG11" s="162"/>
      <c r="BH11" s="148" t="s">
        <v>260</v>
      </c>
      <c r="BI11" s="149"/>
      <c r="BJ11" s="152"/>
      <c r="BK11" s="153"/>
      <c r="BL11" s="156"/>
      <c r="BM11" s="157"/>
      <c r="BP11" s="84">
        <v>7</v>
      </c>
      <c r="BQ11" s="85" t="s">
        <v>242</v>
      </c>
      <c r="BR11" s="81"/>
    </row>
    <row r="12" spans="2:70" ht="33" customHeight="1">
      <c r="B12" s="160"/>
      <c r="C12" s="189"/>
      <c r="D12" s="118"/>
      <c r="E12" s="119"/>
      <c r="F12" s="122"/>
      <c r="G12" s="123"/>
      <c r="H12" s="126"/>
      <c r="I12" s="127"/>
      <c r="J12" s="130"/>
      <c r="K12" s="131"/>
      <c r="L12" s="118"/>
      <c r="M12" s="119"/>
      <c r="N12" s="122"/>
      <c r="O12" s="123"/>
      <c r="P12" s="126"/>
      <c r="Q12" s="127"/>
      <c r="R12" s="130"/>
      <c r="S12" s="131"/>
      <c r="T12" s="118"/>
      <c r="U12" s="119"/>
      <c r="V12" s="122"/>
      <c r="W12" s="123"/>
      <c r="X12" s="126"/>
      <c r="Y12" s="127"/>
      <c r="Z12" s="130"/>
      <c r="AA12" s="131"/>
      <c r="AB12" s="118"/>
      <c r="AC12" s="119"/>
      <c r="AD12" s="122"/>
      <c r="AE12" s="123"/>
      <c r="AF12" s="126"/>
      <c r="AG12" s="127"/>
      <c r="AH12" s="130"/>
      <c r="AI12" s="131"/>
      <c r="AJ12" s="118"/>
      <c r="AK12" s="119"/>
      <c r="AL12" s="122"/>
      <c r="AM12" s="123"/>
      <c r="AP12" s="163"/>
      <c r="AQ12" s="164"/>
      <c r="AR12" s="150"/>
      <c r="AS12" s="151"/>
      <c r="AT12" s="154"/>
      <c r="AU12" s="155"/>
      <c r="AV12" s="158"/>
      <c r="AW12" s="159"/>
      <c r="AX12" s="163"/>
      <c r="AY12" s="164"/>
      <c r="AZ12" s="150"/>
      <c r="BA12" s="151"/>
      <c r="BB12" s="154"/>
      <c r="BC12" s="155"/>
      <c r="BD12" s="158"/>
      <c r="BE12" s="159"/>
      <c r="BF12" s="163"/>
      <c r="BG12" s="164"/>
      <c r="BH12" s="150"/>
      <c r="BI12" s="151"/>
      <c r="BJ12" s="154"/>
      <c r="BK12" s="155"/>
      <c r="BL12" s="158"/>
      <c r="BM12" s="159"/>
      <c r="BP12" s="84">
        <v>8</v>
      </c>
      <c r="BQ12" s="85" t="s">
        <v>269</v>
      </c>
      <c r="BR12" s="81"/>
    </row>
    <row r="13" spans="2:70" ht="33" customHeight="1">
      <c r="B13" s="160"/>
      <c r="C13" s="160" t="s">
        <v>270</v>
      </c>
      <c r="D13" s="132" t="s">
        <v>567</v>
      </c>
      <c r="E13" s="133"/>
      <c r="F13" s="136" t="s">
        <v>580</v>
      </c>
      <c r="G13" s="137"/>
      <c r="H13" s="140"/>
      <c r="I13" s="141"/>
      <c r="J13" s="144"/>
      <c r="K13" s="145"/>
      <c r="L13" s="132"/>
      <c r="M13" s="133"/>
      <c r="N13" s="136"/>
      <c r="O13" s="137"/>
      <c r="P13" s="140"/>
      <c r="Q13" s="141"/>
      <c r="R13" s="144"/>
      <c r="S13" s="145"/>
      <c r="T13" s="132" t="s">
        <v>251</v>
      </c>
      <c r="U13" s="133"/>
      <c r="V13" s="136" t="s">
        <v>258</v>
      </c>
      <c r="W13" s="137"/>
      <c r="X13" s="140"/>
      <c r="Y13" s="141"/>
      <c r="Z13" s="144"/>
      <c r="AA13" s="145"/>
      <c r="AB13" s="132" t="s">
        <v>253</v>
      </c>
      <c r="AC13" s="133"/>
      <c r="AD13" s="136" t="s">
        <v>272</v>
      </c>
      <c r="AE13" s="137"/>
      <c r="AF13" s="140"/>
      <c r="AG13" s="141"/>
      <c r="AH13" s="144"/>
      <c r="AI13" s="145"/>
      <c r="AJ13" s="132"/>
      <c r="AK13" s="133"/>
      <c r="AL13" s="136"/>
      <c r="AM13" s="137"/>
      <c r="AP13" s="177" t="s">
        <v>252</v>
      </c>
      <c r="AQ13" s="178"/>
      <c r="AR13" s="169" t="s">
        <v>253</v>
      </c>
      <c r="AS13" s="170"/>
      <c r="AT13" s="173" t="s">
        <v>230</v>
      </c>
      <c r="AU13" s="174"/>
      <c r="AV13" s="165" t="s">
        <v>254</v>
      </c>
      <c r="AW13" s="166"/>
      <c r="AX13" s="177" t="s">
        <v>271</v>
      </c>
      <c r="AY13" s="178"/>
      <c r="AZ13" s="169" t="s">
        <v>272</v>
      </c>
      <c r="BA13" s="170"/>
      <c r="BB13" s="185" t="s">
        <v>273</v>
      </c>
      <c r="BC13" s="186"/>
      <c r="BD13" s="165" t="s">
        <v>231</v>
      </c>
      <c r="BE13" s="166"/>
      <c r="BF13" s="177"/>
      <c r="BG13" s="178"/>
      <c r="BH13" s="169"/>
      <c r="BI13" s="170"/>
      <c r="BJ13" s="173"/>
      <c r="BK13" s="174"/>
      <c r="BL13" s="165"/>
      <c r="BM13" s="166"/>
      <c r="BP13" s="84">
        <v>9</v>
      </c>
      <c r="BQ13" s="85" t="s">
        <v>264</v>
      </c>
      <c r="BR13" s="81"/>
    </row>
    <row r="14" spans="2:70" ht="33" customHeight="1">
      <c r="B14" s="160"/>
      <c r="C14" s="160"/>
      <c r="D14" s="134"/>
      <c r="E14" s="135"/>
      <c r="F14" s="138"/>
      <c r="G14" s="139"/>
      <c r="H14" s="142"/>
      <c r="I14" s="143"/>
      <c r="J14" s="146"/>
      <c r="K14" s="147"/>
      <c r="L14" s="134"/>
      <c r="M14" s="135"/>
      <c r="N14" s="138"/>
      <c r="O14" s="139"/>
      <c r="P14" s="142"/>
      <c r="Q14" s="143"/>
      <c r="R14" s="146"/>
      <c r="S14" s="147"/>
      <c r="T14" s="134"/>
      <c r="U14" s="135"/>
      <c r="V14" s="138"/>
      <c r="W14" s="139"/>
      <c r="X14" s="142"/>
      <c r="Y14" s="143"/>
      <c r="Z14" s="146"/>
      <c r="AA14" s="147"/>
      <c r="AB14" s="134"/>
      <c r="AC14" s="135"/>
      <c r="AD14" s="138"/>
      <c r="AE14" s="139"/>
      <c r="AF14" s="142"/>
      <c r="AG14" s="143"/>
      <c r="AH14" s="146"/>
      <c r="AI14" s="147"/>
      <c r="AJ14" s="134"/>
      <c r="AK14" s="135"/>
      <c r="AL14" s="138"/>
      <c r="AM14" s="139"/>
      <c r="AP14" s="179"/>
      <c r="AQ14" s="180"/>
      <c r="AR14" s="171"/>
      <c r="AS14" s="172"/>
      <c r="AT14" s="175"/>
      <c r="AU14" s="176"/>
      <c r="AV14" s="167"/>
      <c r="AW14" s="168"/>
      <c r="AX14" s="179"/>
      <c r="AY14" s="180"/>
      <c r="AZ14" s="171"/>
      <c r="BA14" s="172"/>
      <c r="BB14" s="187"/>
      <c r="BC14" s="188"/>
      <c r="BD14" s="167"/>
      <c r="BE14" s="168"/>
      <c r="BF14" s="179"/>
      <c r="BG14" s="180"/>
      <c r="BH14" s="171"/>
      <c r="BI14" s="172"/>
      <c r="BJ14" s="175"/>
      <c r="BK14" s="176"/>
      <c r="BL14" s="167"/>
      <c r="BM14" s="168"/>
      <c r="BP14" s="84">
        <v>10</v>
      </c>
      <c r="BQ14" s="85" t="s">
        <v>266</v>
      </c>
      <c r="BR14" s="81"/>
    </row>
    <row r="15" spans="2:70" ht="33" customHeight="1">
      <c r="B15" s="160"/>
      <c r="C15" s="160"/>
      <c r="D15" s="116" t="s">
        <v>247</v>
      </c>
      <c r="E15" s="117"/>
      <c r="F15" s="120" t="s">
        <v>568</v>
      </c>
      <c r="G15" s="121"/>
      <c r="H15" s="124"/>
      <c r="I15" s="125"/>
      <c r="J15" s="128"/>
      <c r="K15" s="129"/>
      <c r="L15" s="116"/>
      <c r="M15" s="117"/>
      <c r="N15" s="120"/>
      <c r="O15" s="121"/>
      <c r="P15" s="124"/>
      <c r="Q15" s="125"/>
      <c r="R15" s="128"/>
      <c r="S15" s="129"/>
      <c r="T15" s="116" t="s">
        <v>262</v>
      </c>
      <c r="U15" s="117"/>
      <c r="V15" s="120" t="s">
        <v>576</v>
      </c>
      <c r="W15" s="121"/>
      <c r="X15" s="124"/>
      <c r="Y15" s="125"/>
      <c r="Z15" s="128"/>
      <c r="AA15" s="129"/>
      <c r="AB15" s="116" t="s">
        <v>274</v>
      </c>
      <c r="AC15" s="117"/>
      <c r="AD15" s="120" t="s">
        <v>578</v>
      </c>
      <c r="AE15" s="121"/>
      <c r="AF15" s="124"/>
      <c r="AG15" s="125"/>
      <c r="AH15" s="128"/>
      <c r="AI15" s="129"/>
      <c r="AJ15" s="116"/>
      <c r="AK15" s="117"/>
      <c r="AL15" s="120"/>
      <c r="AM15" s="121"/>
      <c r="AP15" s="161" t="s">
        <v>264</v>
      </c>
      <c r="AQ15" s="162"/>
      <c r="AR15" s="148" t="s">
        <v>265</v>
      </c>
      <c r="AS15" s="149"/>
      <c r="AT15" s="152" t="s">
        <v>266</v>
      </c>
      <c r="AU15" s="153"/>
      <c r="AV15" s="156" t="s">
        <v>267</v>
      </c>
      <c r="AW15" s="157"/>
      <c r="AX15" s="161" t="s">
        <v>274</v>
      </c>
      <c r="AY15" s="162"/>
      <c r="AZ15" s="148" t="s">
        <v>253</v>
      </c>
      <c r="BA15" s="149"/>
      <c r="BB15" s="152" t="s">
        <v>244</v>
      </c>
      <c r="BC15" s="153"/>
      <c r="BD15" s="156" t="s">
        <v>245</v>
      </c>
      <c r="BE15" s="157"/>
      <c r="BF15" s="161"/>
      <c r="BG15" s="162"/>
      <c r="BH15" s="148"/>
      <c r="BI15" s="149"/>
      <c r="BJ15" s="152"/>
      <c r="BK15" s="153"/>
      <c r="BL15" s="156"/>
      <c r="BM15" s="157"/>
      <c r="BP15" s="84">
        <v>11</v>
      </c>
      <c r="BQ15" s="85" t="s">
        <v>274</v>
      </c>
      <c r="BR15" s="81"/>
    </row>
    <row r="16" spans="2:70" ht="33" customHeight="1">
      <c r="B16" s="160"/>
      <c r="C16" s="160"/>
      <c r="D16" s="118"/>
      <c r="E16" s="119"/>
      <c r="F16" s="122"/>
      <c r="G16" s="123"/>
      <c r="H16" s="126"/>
      <c r="I16" s="127"/>
      <c r="J16" s="130"/>
      <c r="K16" s="131"/>
      <c r="L16" s="118"/>
      <c r="M16" s="119"/>
      <c r="N16" s="122"/>
      <c r="O16" s="123"/>
      <c r="P16" s="126"/>
      <c r="Q16" s="127"/>
      <c r="R16" s="130"/>
      <c r="S16" s="131"/>
      <c r="T16" s="118"/>
      <c r="U16" s="119"/>
      <c r="V16" s="122"/>
      <c r="W16" s="123"/>
      <c r="X16" s="126"/>
      <c r="Y16" s="127"/>
      <c r="Z16" s="130"/>
      <c r="AA16" s="131"/>
      <c r="AB16" s="118"/>
      <c r="AC16" s="119"/>
      <c r="AD16" s="122"/>
      <c r="AE16" s="123"/>
      <c r="AF16" s="126"/>
      <c r="AG16" s="127"/>
      <c r="AH16" s="130"/>
      <c r="AI16" s="131"/>
      <c r="AJ16" s="118"/>
      <c r="AK16" s="119"/>
      <c r="AL16" s="122"/>
      <c r="AM16" s="123"/>
      <c r="AP16" s="163"/>
      <c r="AQ16" s="164"/>
      <c r="AR16" s="150"/>
      <c r="AS16" s="151"/>
      <c r="AT16" s="154"/>
      <c r="AU16" s="155"/>
      <c r="AV16" s="158"/>
      <c r="AW16" s="159"/>
      <c r="AX16" s="163"/>
      <c r="AY16" s="164"/>
      <c r="AZ16" s="150"/>
      <c r="BA16" s="151"/>
      <c r="BB16" s="154"/>
      <c r="BC16" s="155"/>
      <c r="BD16" s="158"/>
      <c r="BE16" s="159"/>
      <c r="BF16" s="163"/>
      <c r="BG16" s="164"/>
      <c r="BH16" s="150"/>
      <c r="BI16" s="151"/>
      <c r="BJ16" s="154"/>
      <c r="BK16" s="155"/>
      <c r="BL16" s="158"/>
      <c r="BM16" s="159"/>
      <c r="BP16" s="84">
        <v>12</v>
      </c>
      <c r="BQ16" s="85" t="s">
        <v>244</v>
      </c>
      <c r="BR16" s="81"/>
    </row>
    <row r="17" spans="2:70" ht="33" customHeight="1">
      <c r="B17" s="160" t="s">
        <v>275</v>
      </c>
      <c r="C17" s="160" t="s">
        <v>249</v>
      </c>
      <c r="D17" s="132"/>
      <c r="E17" s="133"/>
      <c r="F17" s="136"/>
      <c r="G17" s="137"/>
      <c r="H17" s="140"/>
      <c r="I17" s="141"/>
      <c r="J17" s="144"/>
      <c r="K17" s="145"/>
      <c r="L17" s="132" t="s">
        <v>572</v>
      </c>
      <c r="M17" s="133"/>
      <c r="N17" s="136" t="s">
        <v>584</v>
      </c>
      <c r="O17" s="137"/>
      <c r="P17" s="140" t="s">
        <v>570</v>
      </c>
      <c r="Q17" s="141"/>
      <c r="R17" s="144" t="s">
        <v>583</v>
      </c>
      <c r="S17" s="145"/>
      <c r="T17" s="132" t="s">
        <v>290</v>
      </c>
      <c r="U17" s="133"/>
      <c r="V17" s="136" t="s">
        <v>280</v>
      </c>
      <c r="W17" s="137"/>
      <c r="X17" s="140" t="s">
        <v>292</v>
      </c>
      <c r="Y17" s="141"/>
      <c r="Z17" s="144" t="s">
        <v>581</v>
      </c>
      <c r="AA17" s="145"/>
      <c r="AB17" s="132"/>
      <c r="AC17" s="133"/>
      <c r="AD17" s="136"/>
      <c r="AE17" s="137"/>
      <c r="AF17" s="140"/>
      <c r="AG17" s="141"/>
      <c r="AH17" s="144"/>
      <c r="AI17" s="145"/>
      <c r="AJ17" s="132"/>
      <c r="AK17" s="133"/>
      <c r="AL17" s="136"/>
      <c r="AM17" s="137"/>
      <c r="AP17" s="177"/>
      <c r="AQ17" s="178"/>
      <c r="AR17" s="169"/>
      <c r="AS17" s="170"/>
      <c r="AT17" s="173"/>
      <c r="AU17" s="174"/>
      <c r="AV17" s="165"/>
      <c r="AW17" s="166"/>
      <c r="AX17" s="177"/>
      <c r="AY17" s="178"/>
      <c r="AZ17" s="169"/>
      <c r="BA17" s="170"/>
      <c r="BB17" s="173"/>
      <c r="BC17" s="174"/>
      <c r="BD17" s="165"/>
      <c r="BE17" s="166"/>
      <c r="BF17" s="177"/>
      <c r="BG17" s="178"/>
      <c r="BH17" s="169"/>
      <c r="BI17" s="170"/>
      <c r="BJ17" s="173" t="s">
        <v>282</v>
      </c>
      <c r="BK17" s="174"/>
      <c r="BL17" s="165" t="s">
        <v>283</v>
      </c>
      <c r="BM17" s="166"/>
      <c r="BP17" s="84">
        <v>13</v>
      </c>
      <c r="BQ17" s="85" t="s">
        <v>284</v>
      </c>
      <c r="BR17" s="81"/>
    </row>
    <row r="18" spans="2:70" ht="33" customHeight="1">
      <c r="B18" s="160"/>
      <c r="C18" s="160"/>
      <c r="D18" s="134"/>
      <c r="E18" s="135"/>
      <c r="F18" s="138"/>
      <c r="G18" s="139"/>
      <c r="H18" s="142"/>
      <c r="I18" s="143"/>
      <c r="J18" s="146"/>
      <c r="K18" s="147"/>
      <c r="L18" s="134"/>
      <c r="M18" s="135"/>
      <c r="N18" s="138"/>
      <c r="O18" s="139"/>
      <c r="P18" s="142"/>
      <c r="Q18" s="143"/>
      <c r="R18" s="146"/>
      <c r="S18" s="147"/>
      <c r="T18" s="134"/>
      <c r="U18" s="135"/>
      <c r="V18" s="138"/>
      <c r="W18" s="139"/>
      <c r="X18" s="142"/>
      <c r="Y18" s="143"/>
      <c r="Z18" s="146"/>
      <c r="AA18" s="147"/>
      <c r="AB18" s="134"/>
      <c r="AC18" s="135"/>
      <c r="AD18" s="138"/>
      <c r="AE18" s="139"/>
      <c r="AF18" s="142"/>
      <c r="AG18" s="143"/>
      <c r="AH18" s="146"/>
      <c r="AI18" s="147"/>
      <c r="AJ18" s="134"/>
      <c r="AK18" s="135"/>
      <c r="AL18" s="138"/>
      <c r="AM18" s="139"/>
      <c r="AP18" s="179"/>
      <c r="AQ18" s="180"/>
      <c r="AR18" s="171"/>
      <c r="AS18" s="172"/>
      <c r="AT18" s="175"/>
      <c r="AU18" s="176"/>
      <c r="AV18" s="167"/>
      <c r="AW18" s="168"/>
      <c r="AX18" s="179"/>
      <c r="AY18" s="180"/>
      <c r="AZ18" s="171"/>
      <c r="BA18" s="172"/>
      <c r="BB18" s="175"/>
      <c r="BC18" s="176"/>
      <c r="BD18" s="167"/>
      <c r="BE18" s="168"/>
      <c r="BF18" s="179"/>
      <c r="BG18" s="180"/>
      <c r="BH18" s="171"/>
      <c r="BI18" s="172"/>
      <c r="BJ18" s="175"/>
      <c r="BK18" s="176"/>
      <c r="BL18" s="167"/>
      <c r="BM18" s="168"/>
      <c r="BP18" s="84">
        <v>14</v>
      </c>
      <c r="BQ18" s="85" t="s">
        <v>285</v>
      </c>
      <c r="BR18" s="81"/>
    </row>
    <row r="19" spans="2:70" ht="33" customHeight="1">
      <c r="B19" s="160"/>
      <c r="C19" s="160"/>
      <c r="D19" s="116"/>
      <c r="E19" s="117"/>
      <c r="F19" s="120"/>
      <c r="G19" s="121"/>
      <c r="H19" s="124"/>
      <c r="I19" s="125"/>
      <c r="J19" s="128"/>
      <c r="K19" s="129"/>
      <c r="L19" s="116" t="s">
        <v>285</v>
      </c>
      <c r="M19" s="117"/>
      <c r="N19" s="120" t="s">
        <v>569</v>
      </c>
      <c r="O19" s="121"/>
      <c r="P19" s="124" t="s">
        <v>287</v>
      </c>
      <c r="Q19" s="125"/>
      <c r="R19" s="128" t="s">
        <v>571</v>
      </c>
      <c r="S19" s="129"/>
      <c r="T19" s="116" t="s">
        <v>289</v>
      </c>
      <c r="U19" s="117"/>
      <c r="V19" s="120" t="s">
        <v>569</v>
      </c>
      <c r="W19" s="121"/>
      <c r="X19" s="124" t="s">
        <v>291</v>
      </c>
      <c r="Y19" s="125"/>
      <c r="Z19" s="128" t="s">
        <v>571</v>
      </c>
      <c r="AA19" s="129"/>
      <c r="AB19" s="116"/>
      <c r="AC19" s="117"/>
      <c r="AD19" s="120"/>
      <c r="AE19" s="121"/>
      <c r="AF19" s="124"/>
      <c r="AG19" s="125"/>
      <c r="AH19" s="128"/>
      <c r="AI19" s="129"/>
      <c r="AJ19" s="116"/>
      <c r="AK19" s="117"/>
      <c r="AL19" s="120"/>
      <c r="AM19" s="121"/>
      <c r="AP19" s="181"/>
      <c r="AQ19" s="182"/>
      <c r="AR19" s="148"/>
      <c r="AS19" s="149"/>
      <c r="AT19" s="152"/>
      <c r="AU19" s="153"/>
      <c r="AV19" s="156"/>
      <c r="AW19" s="157"/>
      <c r="AX19" s="181"/>
      <c r="AY19" s="182"/>
      <c r="AZ19" s="148"/>
      <c r="BA19" s="149"/>
      <c r="BB19" s="152"/>
      <c r="BC19" s="153"/>
      <c r="BD19" s="156"/>
      <c r="BE19" s="157"/>
      <c r="BF19" s="181"/>
      <c r="BG19" s="182"/>
      <c r="BH19" s="148"/>
      <c r="BI19" s="149"/>
      <c r="BJ19" s="152" t="s">
        <v>293</v>
      </c>
      <c r="BK19" s="153"/>
      <c r="BL19" s="156" t="s">
        <v>294</v>
      </c>
      <c r="BM19" s="157"/>
      <c r="BP19" s="84">
        <v>15</v>
      </c>
      <c r="BQ19" s="85" t="s">
        <v>295</v>
      </c>
      <c r="BR19" s="81"/>
    </row>
    <row r="20" spans="2:70" ht="33" customHeight="1">
      <c r="B20" s="160"/>
      <c r="C20" s="160"/>
      <c r="D20" s="118"/>
      <c r="E20" s="119"/>
      <c r="F20" s="122"/>
      <c r="G20" s="123"/>
      <c r="H20" s="126"/>
      <c r="I20" s="127"/>
      <c r="J20" s="130"/>
      <c r="K20" s="131"/>
      <c r="L20" s="118"/>
      <c r="M20" s="119"/>
      <c r="N20" s="122"/>
      <c r="O20" s="123"/>
      <c r="P20" s="126"/>
      <c r="Q20" s="127"/>
      <c r="R20" s="130"/>
      <c r="S20" s="131"/>
      <c r="T20" s="118"/>
      <c r="U20" s="119"/>
      <c r="V20" s="122"/>
      <c r="W20" s="123"/>
      <c r="X20" s="126"/>
      <c r="Y20" s="127"/>
      <c r="Z20" s="130"/>
      <c r="AA20" s="131"/>
      <c r="AB20" s="118"/>
      <c r="AC20" s="119"/>
      <c r="AD20" s="122"/>
      <c r="AE20" s="123"/>
      <c r="AF20" s="126"/>
      <c r="AG20" s="127"/>
      <c r="AH20" s="130"/>
      <c r="AI20" s="131"/>
      <c r="AJ20" s="118"/>
      <c r="AK20" s="119"/>
      <c r="AL20" s="122"/>
      <c r="AM20" s="123"/>
      <c r="AP20" s="183"/>
      <c r="AQ20" s="184"/>
      <c r="AR20" s="150"/>
      <c r="AS20" s="151"/>
      <c r="AT20" s="154"/>
      <c r="AU20" s="155"/>
      <c r="AV20" s="158"/>
      <c r="AW20" s="159"/>
      <c r="AX20" s="183"/>
      <c r="AY20" s="184"/>
      <c r="AZ20" s="150"/>
      <c r="BA20" s="151"/>
      <c r="BB20" s="154"/>
      <c r="BC20" s="155"/>
      <c r="BD20" s="158"/>
      <c r="BE20" s="159"/>
      <c r="BF20" s="183"/>
      <c r="BG20" s="184"/>
      <c r="BH20" s="150"/>
      <c r="BI20" s="151"/>
      <c r="BJ20" s="154"/>
      <c r="BK20" s="155"/>
      <c r="BL20" s="158"/>
      <c r="BM20" s="159"/>
      <c r="BP20" s="84">
        <v>16</v>
      </c>
      <c r="BQ20" s="85" t="s">
        <v>289</v>
      </c>
      <c r="BR20" s="81"/>
    </row>
    <row r="21" spans="2:70" ht="33" customHeight="1">
      <c r="B21" s="160"/>
      <c r="C21" s="160" t="s">
        <v>270</v>
      </c>
      <c r="D21" s="132"/>
      <c r="E21" s="133"/>
      <c r="F21" s="136"/>
      <c r="G21" s="137"/>
      <c r="H21" s="140"/>
      <c r="I21" s="141"/>
      <c r="J21" s="144"/>
      <c r="K21" s="145"/>
      <c r="L21" s="132" t="s">
        <v>573</v>
      </c>
      <c r="M21" s="133"/>
      <c r="N21" s="136" t="s">
        <v>585</v>
      </c>
      <c r="O21" s="137"/>
      <c r="P21" s="140"/>
      <c r="Q21" s="141"/>
      <c r="R21" s="144"/>
      <c r="S21" s="145"/>
      <c r="T21" s="132" t="s">
        <v>302</v>
      </c>
      <c r="U21" s="133"/>
      <c r="V21" s="136" t="s">
        <v>582</v>
      </c>
      <c r="W21" s="137"/>
      <c r="X21" s="140"/>
      <c r="Y21" s="141"/>
      <c r="Z21" s="144"/>
      <c r="AA21" s="145"/>
      <c r="AB21" s="132"/>
      <c r="AC21" s="133"/>
      <c r="AD21" s="136"/>
      <c r="AE21" s="137"/>
      <c r="AF21" s="140"/>
      <c r="AG21" s="141"/>
      <c r="AH21" s="144"/>
      <c r="AI21" s="145"/>
      <c r="AJ21" s="132"/>
      <c r="AK21" s="133"/>
      <c r="AL21" s="136"/>
      <c r="AM21" s="137"/>
      <c r="AP21" s="177" t="s">
        <v>276</v>
      </c>
      <c r="AQ21" s="178"/>
      <c r="AR21" s="169" t="s">
        <v>277</v>
      </c>
      <c r="AS21" s="170"/>
      <c r="AT21" s="173"/>
      <c r="AU21" s="174"/>
      <c r="AV21" s="165"/>
      <c r="AW21" s="166"/>
      <c r="AX21" s="177" t="s">
        <v>296</v>
      </c>
      <c r="AY21" s="178"/>
      <c r="AZ21" s="169" t="s">
        <v>297</v>
      </c>
      <c r="BA21" s="170"/>
      <c r="BB21" s="173"/>
      <c r="BC21" s="174"/>
      <c r="BD21" s="165"/>
      <c r="BE21" s="166"/>
      <c r="BF21" s="177"/>
      <c r="BG21" s="178"/>
      <c r="BH21" s="169"/>
      <c r="BI21" s="170"/>
      <c r="BJ21" s="173"/>
      <c r="BK21" s="174"/>
      <c r="BL21" s="165"/>
      <c r="BM21" s="166"/>
      <c r="BP21" s="84">
        <v>17</v>
      </c>
      <c r="BQ21" s="85" t="s">
        <v>299</v>
      </c>
      <c r="BR21" s="81"/>
    </row>
    <row r="22" spans="2:70" ht="33" customHeight="1">
      <c r="B22" s="160"/>
      <c r="C22" s="160"/>
      <c r="D22" s="134"/>
      <c r="E22" s="135"/>
      <c r="F22" s="138"/>
      <c r="G22" s="139"/>
      <c r="H22" s="142"/>
      <c r="I22" s="143"/>
      <c r="J22" s="146"/>
      <c r="K22" s="147"/>
      <c r="L22" s="134"/>
      <c r="M22" s="135"/>
      <c r="N22" s="138"/>
      <c r="O22" s="139"/>
      <c r="P22" s="142"/>
      <c r="Q22" s="143"/>
      <c r="R22" s="146"/>
      <c r="S22" s="147"/>
      <c r="T22" s="134"/>
      <c r="U22" s="135"/>
      <c r="V22" s="138"/>
      <c r="W22" s="139"/>
      <c r="X22" s="142"/>
      <c r="Y22" s="143"/>
      <c r="Z22" s="146"/>
      <c r="AA22" s="147"/>
      <c r="AB22" s="134"/>
      <c r="AC22" s="135"/>
      <c r="AD22" s="138"/>
      <c r="AE22" s="139"/>
      <c r="AF22" s="142"/>
      <c r="AG22" s="143"/>
      <c r="AH22" s="146"/>
      <c r="AI22" s="147"/>
      <c r="AJ22" s="134"/>
      <c r="AK22" s="135"/>
      <c r="AL22" s="138"/>
      <c r="AM22" s="139"/>
      <c r="AP22" s="179"/>
      <c r="AQ22" s="180"/>
      <c r="AR22" s="171"/>
      <c r="AS22" s="172"/>
      <c r="AT22" s="175"/>
      <c r="AU22" s="176"/>
      <c r="AV22" s="167"/>
      <c r="AW22" s="168"/>
      <c r="AX22" s="179"/>
      <c r="AY22" s="180"/>
      <c r="AZ22" s="171"/>
      <c r="BA22" s="172"/>
      <c r="BB22" s="175"/>
      <c r="BC22" s="176"/>
      <c r="BD22" s="167"/>
      <c r="BE22" s="168"/>
      <c r="BF22" s="179"/>
      <c r="BG22" s="180"/>
      <c r="BH22" s="171"/>
      <c r="BI22" s="172"/>
      <c r="BJ22" s="175"/>
      <c r="BK22" s="176"/>
      <c r="BL22" s="167"/>
      <c r="BM22" s="168"/>
      <c r="BP22" s="84">
        <v>18</v>
      </c>
      <c r="BQ22" s="85" t="s">
        <v>300</v>
      </c>
      <c r="BR22" s="81"/>
    </row>
    <row r="23" spans="2:70" ht="33" customHeight="1">
      <c r="B23" s="160"/>
      <c r="C23" s="160"/>
      <c r="D23" s="116"/>
      <c r="E23" s="117"/>
      <c r="F23" s="120"/>
      <c r="G23" s="121"/>
      <c r="H23" s="124"/>
      <c r="I23" s="125"/>
      <c r="J23" s="128"/>
      <c r="K23" s="129"/>
      <c r="L23" s="116" t="s">
        <v>295</v>
      </c>
      <c r="M23" s="117"/>
      <c r="N23" s="120" t="s">
        <v>574</v>
      </c>
      <c r="O23" s="121"/>
      <c r="P23" s="124"/>
      <c r="Q23" s="125"/>
      <c r="R23" s="128"/>
      <c r="S23" s="129"/>
      <c r="T23" s="116" t="s">
        <v>299</v>
      </c>
      <c r="U23" s="117"/>
      <c r="V23" s="120" t="s">
        <v>574</v>
      </c>
      <c r="W23" s="121"/>
      <c r="X23" s="124"/>
      <c r="Y23" s="125"/>
      <c r="Z23" s="128"/>
      <c r="AA23" s="129"/>
      <c r="AB23" s="116"/>
      <c r="AC23" s="117"/>
      <c r="AD23" s="120"/>
      <c r="AE23" s="121"/>
      <c r="AF23" s="124"/>
      <c r="AG23" s="125"/>
      <c r="AH23" s="128"/>
      <c r="AI23" s="129"/>
      <c r="AJ23" s="116"/>
      <c r="AK23" s="117"/>
      <c r="AL23" s="120"/>
      <c r="AM23" s="121"/>
      <c r="AP23" s="161" t="s">
        <v>285</v>
      </c>
      <c r="AQ23" s="162"/>
      <c r="AR23" s="148" t="s">
        <v>286</v>
      </c>
      <c r="AS23" s="149"/>
      <c r="AT23" s="152"/>
      <c r="AU23" s="153"/>
      <c r="AV23" s="156"/>
      <c r="AW23" s="157"/>
      <c r="AX23" s="161" t="s">
        <v>295</v>
      </c>
      <c r="AY23" s="162"/>
      <c r="AZ23" s="148" t="s">
        <v>301</v>
      </c>
      <c r="BA23" s="149"/>
      <c r="BB23" s="152"/>
      <c r="BC23" s="153"/>
      <c r="BD23" s="156"/>
      <c r="BE23" s="157"/>
      <c r="BF23" s="161"/>
      <c r="BG23" s="162"/>
      <c r="BH23" s="148"/>
      <c r="BI23" s="149"/>
      <c r="BJ23" s="152"/>
      <c r="BK23" s="153"/>
      <c r="BL23" s="156"/>
      <c r="BM23" s="157"/>
      <c r="BR23" s="81"/>
    </row>
    <row r="24" spans="2:70" ht="33" customHeight="1">
      <c r="B24" s="160"/>
      <c r="C24" s="160"/>
      <c r="D24" s="118"/>
      <c r="E24" s="119"/>
      <c r="F24" s="122"/>
      <c r="G24" s="123"/>
      <c r="H24" s="126"/>
      <c r="I24" s="127"/>
      <c r="J24" s="130"/>
      <c r="K24" s="131"/>
      <c r="L24" s="118"/>
      <c r="M24" s="119"/>
      <c r="N24" s="122"/>
      <c r="O24" s="123"/>
      <c r="P24" s="126"/>
      <c r="Q24" s="127"/>
      <c r="R24" s="130"/>
      <c r="S24" s="131"/>
      <c r="T24" s="118"/>
      <c r="U24" s="119"/>
      <c r="V24" s="122"/>
      <c r="W24" s="123"/>
      <c r="X24" s="126"/>
      <c r="Y24" s="127"/>
      <c r="Z24" s="130"/>
      <c r="AA24" s="131"/>
      <c r="AB24" s="118"/>
      <c r="AC24" s="119"/>
      <c r="AD24" s="122"/>
      <c r="AE24" s="123"/>
      <c r="AF24" s="126"/>
      <c r="AG24" s="127"/>
      <c r="AH24" s="130"/>
      <c r="AI24" s="131"/>
      <c r="AJ24" s="118"/>
      <c r="AK24" s="119"/>
      <c r="AL24" s="122"/>
      <c r="AM24" s="123"/>
      <c r="AP24" s="163"/>
      <c r="AQ24" s="164"/>
      <c r="AR24" s="150"/>
      <c r="AS24" s="151"/>
      <c r="AT24" s="154"/>
      <c r="AU24" s="155"/>
      <c r="AV24" s="158"/>
      <c r="AW24" s="159"/>
      <c r="AX24" s="163"/>
      <c r="AY24" s="164"/>
      <c r="AZ24" s="150"/>
      <c r="BA24" s="151"/>
      <c r="BB24" s="154"/>
      <c r="BC24" s="155"/>
      <c r="BD24" s="158"/>
      <c r="BE24" s="159"/>
      <c r="BF24" s="163"/>
      <c r="BG24" s="164"/>
      <c r="BH24" s="150"/>
      <c r="BI24" s="151"/>
      <c r="BJ24" s="154"/>
      <c r="BK24" s="155"/>
      <c r="BL24" s="158"/>
      <c r="BM24" s="159"/>
      <c r="BR24" s="81"/>
    </row>
    <row r="25" spans="2:70" ht="33" customHeight="1">
      <c r="B25" s="160" t="s">
        <v>303</v>
      </c>
      <c r="C25" s="160"/>
      <c r="D25" s="132"/>
      <c r="E25" s="133"/>
      <c r="F25" s="136"/>
      <c r="G25" s="137"/>
      <c r="H25" s="140"/>
      <c r="I25" s="141"/>
      <c r="J25" s="144"/>
      <c r="K25" s="145"/>
      <c r="L25" s="132" t="s">
        <v>304</v>
      </c>
      <c r="M25" s="133"/>
      <c r="N25" s="136" t="s">
        <v>586</v>
      </c>
      <c r="O25" s="137"/>
      <c r="P25" s="140"/>
      <c r="Q25" s="141"/>
      <c r="R25" s="144"/>
      <c r="S25" s="145"/>
      <c r="T25" s="132" t="s">
        <v>305</v>
      </c>
      <c r="U25" s="133"/>
      <c r="V25" s="136" t="s">
        <v>305</v>
      </c>
      <c r="W25" s="137"/>
      <c r="X25" s="140"/>
      <c r="Y25" s="141"/>
      <c r="Z25" s="144"/>
      <c r="AA25" s="145"/>
      <c r="AB25" s="132"/>
      <c r="AC25" s="133"/>
      <c r="AD25" s="136"/>
      <c r="AE25" s="137"/>
      <c r="AF25" s="140"/>
      <c r="AG25" s="141"/>
      <c r="AH25" s="144"/>
      <c r="AI25" s="145"/>
      <c r="AJ25" s="132" t="s">
        <v>283</v>
      </c>
      <c r="AK25" s="133"/>
      <c r="AL25" s="136" t="s">
        <v>283</v>
      </c>
      <c r="AM25" s="137"/>
      <c r="AP25" s="177" t="s">
        <v>276</v>
      </c>
      <c r="AQ25" s="178"/>
      <c r="AR25" s="169" t="s">
        <v>280</v>
      </c>
      <c r="AS25" s="170"/>
      <c r="AT25" s="173"/>
      <c r="AU25" s="174"/>
      <c r="AV25" s="165"/>
      <c r="AW25" s="166"/>
      <c r="AX25" s="177" t="s">
        <v>296</v>
      </c>
      <c r="AY25" s="178"/>
      <c r="AZ25" s="169" t="s">
        <v>298</v>
      </c>
      <c r="BA25" s="170"/>
      <c r="BB25" s="173"/>
      <c r="BC25" s="174"/>
      <c r="BD25" s="165"/>
      <c r="BE25" s="166"/>
      <c r="BF25" s="177"/>
      <c r="BG25" s="178"/>
      <c r="BH25" s="169"/>
      <c r="BI25" s="170"/>
      <c r="BJ25" s="173" t="s">
        <v>37</v>
      </c>
      <c r="BK25" s="174"/>
      <c r="BL25" s="165" t="s">
        <v>305</v>
      </c>
      <c r="BM25" s="166"/>
      <c r="BR25" s="81"/>
    </row>
    <row r="26" spans="2:70" ht="33" customHeight="1">
      <c r="B26" s="160"/>
      <c r="C26" s="160"/>
      <c r="D26" s="134"/>
      <c r="E26" s="135"/>
      <c r="F26" s="138"/>
      <c r="G26" s="139"/>
      <c r="H26" s="142"/>
      <c r="I26" s="143"/>
      <c r="J26" s="146"/>
      <c r="K26" s="147"/>
      <c r="L26" s="134"/>
      <c r="M26" s="135"/>
      <c r="N26" s="138"/>
      <c r="O26" s="139"/>
      <c r="P26" s="142"/>
      <c r="Q26" s="143"/>
      <c r="R26" s="146"/>
      <c r="S26" s="147"/>
      <c r="T26" s="134"/>
      <c r="U26" s="135"/>
      <c r="V26" s="138"/>
      <c r="W26" s="139"/>
      <c r="X26" s="142"/>
      <c r="Y26" s="143"/>
      <c r="Z26" s="146"/>
      <c r="AA26" s="147"/>
      <c r="AB26" s="134"/>
      <c r="AC26" s="135"/>
      <c r="AD26" s="138"/>
      <c r="AE26" s="139"/>
      <c r="AF26" s="142"/>
      <c r="AG26" s="143"/>
      <c r="AH26" s="146"/>
      <c r="AI26" s="147"/>
      <c r="AJ26" s="134"/>
      <c r="AK26" s="135"/>
      <c r="AL26" s="138"/>
      <c r="AM26" s="139"/>
      <c r="AP26" s="179"/>
      <c r="AQ26" s="180"/>
      <c r="AR26" s="171"/>
      <c r="AS26" s="172"/>
      <c r="AT26" s="175"/>
      <c r="AU26" s="176"/>
      <c r="AV26" s="167"/>
      <c r="AW26" s="168"/>
      <c r="AX26" s="179"/>
      <c r="AY26" s="180"/>
      <c r="AZ26" s="171"/>
      <c r="BA26" s="172"/>
      <c r="BB26" s="175"/>
      <c r="BC26" s="176"/>
      <c r="BD26" s="167"/>
      <c r="BE26" s="168"/>
      <c r="BF26" s="179"/>
      <c r="BG26" s="180"/>
      <c r="BH26" s="171"/>
      <c r="BI26" s="172"/>
      <c r="BJ26" s="175"/>
      <c r="BK26" s="176"/>
      <c r="BL26" s="167"/>
      <c r="BM26" s="168"/>
      <c r="BR26" s="81"/>
    </row>
    <row r="27" spans="2:70" ht="33" customHeight="1">
      <c r="B27" s="160"/>
      <c r="C27" s="160"/>
      <c r="D27" s="116"/>
      <c r="E27" s="117"/>
      <c r="F27" s="120"/>
      <c r="G27" s="121"/>
      <c r="H27" s="124"/>
      <c r="I27" s="125"/>
      <c r="J27" s="128"/>
      <c r="K27" s="129"/>
      <c r="L27" s="116" t="s">
        <v>306</v>
      </c>
      <c r="M27" s="117"/>
      <c r="N27" s="120" t="s">
        <v>575</v>
      </c>
      <c r="O27" s="121"/>
      <c r="P27" s="124"/>
      <c r="Q27" s="125"/>
      <c r="R27" s="128"/>
      <c r="S27" s="129"/>
      <c r="T27" s="116" t="s">
        <v>300</v>
      </c>
      <c r="U27" s="117"/>
      <c r="V27" s="120" t="s">
        <v>575</v>
      </c>
      <c r="W27" s="121"/>
      <c r="X27" s="124"/>
      <c r="Y27" s="125"/>
      <c r="Z27" s="128"/>
      <c r="AA27" s="129"/>
      <c r="AB27" s="116"/>
      <c r="AC27" s="117"/>
      <c r="AD27" s="120"/>
      <c r="AE27" s="121"/>
      <c r="AF27" s="124"/>
      <c r="AG27" s="125"/>
      <c r="AH27" s="128"/>
      <c r="AI27" s="129"/>
      <c r="AJ27" s="116" t="s">
        <v>284</v>
      </c>
      <c r="AK27" s="117"/>
      <c r="AL27" s="120" t="s">
        <v>579</v>
      </c>
      <c r="AM27" s="121"/>
      <c r="AP27" s="161" t="s">
        <v>289</v>
      </c>
      <c r="AQ27" s="162"/>
      <c r="AR27" s="148" t="s">
        <v>290</v>
      </c>
      <c r="AS27" s="149"/>
      <c r="AT27" s="152"/>
      <c r="AU27" s="153"/>
      <c r="AV27" s="156"/>
      <c r="AW27" s="157"/>
      <c r="AX27" s="161" t="s">
        <v>299</v>
      </c>
      <c r="AY27" s="162"/>
      <c r="AZ27" s="148" t="s">
        <v>302</v>
      </c>
      <c r="BA27" s="149"/>
      <c r="BB27" s="152"/>
      <c r="BC27" s="153"/>
      <c r="BD27" s="156"/>
      <c r="BE27" s="157"/>
      <c r="BF27" s="161"/>
      <c r="BG27" s="162"/>
      <c r="BH27" s="148"/>
      <c r="BI27" s="149"/>
      <c r="BJ27" s="152" t="s">
        <v>300</v>
      </c>
      <c r="BK27" s="153"/>
      <c r="BL27" s="156" t="s">
        <v>308</v>
      </c>
      <c r="BM27" s="157"/>
      <c r="BR27" s="81"/>
    </row>
    <row r="28" spans="2:70" ht="33" customHeight="1">
      <c r="B28" s="160"/>
      <c r="C28" s="160"/>
      <c r="D28" s="118"/>
      <c r="E28" s="119"/>
      <c r="F28" s="122"/>
      <c r="G28" s="123"/>
      <c r="H28" s="126"/>
      <c r="I28" s="127"/>
      <c r="J28" s="130"/>
      <c r="K28" s="131"/>
      <c r="L28" s="118"/>
      <c r="M28" s="119"/>
      <c r="N28" s="122"/>
      <c r="O28" s="123"/>
      <c r="P28" s="126"/>
      <c r="Q28" s="127"/>
      <c r="R28" s="130"/>
      <c r="S28" s="131"/>
      <c r="T28" s="118"/>
      <c r="U28" s="119"/>
      <c r="V28" s="122"/>
      <c r="W28" s="123"/>
      <c r="X28" s="126"/>
      <c r="Y28" s="127"/>
      <c r="Z28" s="130"/>
      <c r="AA28" s="131"/>
      <c r="AB28" s="118"/>
      <c r="AC28" s="119"/>
      <c r="AD28" s="122"/>
      <c r="AE28" s="123"/>
      <c r="AF28" s="126"/>
      <c r="AG28" s="127"/>
      <c r="AH28" s="130"/>
      <c r="AI28" s="131"/>
      <c r="AJ28" s="118"/>
      <c r="AK28" s="119"/>
      <c r="AL28" s="122"/>
      <c r="AM28" s="123"/>
      <c r="AP28" s="163"/>
      <c r="AQ28" s="164"/>
      <c r="AR28" s="150"/>
      <c r="AS28" s="151"/>
      <c r="AT28" s="154"/>
      <c r="AU28" s="155"/>
      <c r="AV28" s="158"/>
      <c r="AW28" s="159"/>
      <c r="AX28" s="163"/>
      <c r="AY28" s="164"/>
      <c r="AZ28" s="150"/>
      <c r="BA28" s="151"/>
      <c r="BB28" s="154"/>
      <c r="BC28" s="155"/>
      <c r="BD28" s="158"/>
      <c r="BE28" s="159"/>
      <c r="BF28" s="163"/>
      <c r="BG28" s="164"/>
      <c r="BH28" s="150"/>
      <c r="BI28" s="151"/>
      <c r="BJ28" s="154"/>
      <c r="BK28" s="155"/>
      <c r="BL28" s="158"/>
      <c r="BM28" s="159"/>
      <c r="BR28" s="81"/>
    </row>
    <row r="29" spans="2:70" ht="33" customHeight="1">
      <c r="B29" s="160" t="s">
        <v>309</v>
      </c>
      <c r="C29" s="160"/>
      <c r="D29" s="132"/>
      <c r="E29" s="133"/>
      <c r="F29" s="136"/>
      <c r="G29" s="137"/>
      <c r="H29" s="140"/>
      <c r="I29" s="141"/>
      <c r="J29" s="144"/>
      <c r="K29" s="145"/>
      <c r="L29" s="132"/>
      <c r="M29" s="133"/>
      <c r="N29" s="136"/>
      <c r="O29" s="137"/>
      <c r="P29" s="140"/>
      <c r="Q29" s="141"/>
      <c r="R29" s="144"/>
      <c r="S29" s="145"/>
      <c r="T29" s="132"/>
      <c r="U29" s="133"/>
      <c r="V29" s="136"/>
      <c r="W29" s="137"/>
      <c r="X29" s="140" t="s">
        <v>260</v>
      </c>
      <c r="Y29" s="141"/>
      <c r="Z29" s="144" t="s">
        <v>310</v>
      </c>
      <c r="AA29" s="145"/>
      <c r="AB29" s="132"/>
      <c r="AC29" s="133"/>
      <c r="AD29" s="136"/>
      <c r="AE29" s="137"/>
      <c r="AF29" s="140"/>
      <c r="AG29" s="141"/>
      <c r="AH29" s="144"/>
      <c r="AI29" s="145"/>
      <c r="AJ29" s="132"/>
      <c r="AK29" s="133"/>
      <c r="AL29" s="136"/>
      <c r="AM29" s="137"/>
      <c r="BR29" s="81"/>
    </row>
    <row r="30" spans="2:70" ht="33" customHeight="1">
      <c r="B30" s="160"/>
      <c r="C30" s="160"/>
      <c r="D30" s="134"/>
      <c r="E30" s="135"/>
      <c r="F30" s="138"/>
      <c r="G30" s="139"/>
      <c r="H30" s="142"/>
      <c r="I30" s="143"/>
      <c r="J30" s="146"/>
      <c r="K30" s="147"/>
      <c r="L30" s="134"/>
      <c r="M30" s="135"/>
      <c r="N30" s="138"/>
      <c r="O30" s="139"/>
      <c r="P30" s="142"/>
      <c r="Q30" s="143"/>
      <c r="R30" s="146"/>
      <c r="S30" s="147"/>
      <c r="T30" s="134"/>
      <c r="U30" s="135"/>
      <c r="V30" s="138"/>
      <c r="W30" s="139"/>
      <c r="X30" s="142"/>
      <c r="Y30" s="143"/>
      <c r="Z30" s="146"/>
      <c r="AA30" s="147"/>
      <c r="AB30" s="134"/>
      <c r="AC30" s="135"/>
      <c r="AD30" s="138"/>
      <c r="AE30" s="139"/>
      <c r="AF30" s="142"/>
      <c r="AG30" s="143"/>
      <c r="AH30" s="146"/>
      <c r="AI30" s="147"/>
      <c r="AJ30" s="134"/>
      <c r="AK30" s="135"/>
      <c r="AL30" s="138"/>
      <c r="AM30" s="139"/>
      <c r="BR30" s="81"/>
    </row>
    <row r="31" spans="2:70" ht="33" customHeight="1">
      <c r="B31" s="160"/>
      <c r="C31" s="160"/>
      <c r="D31" s="116"/>
      <c r="E31" s="117"/>
      <c r="F31" s="120"/>
      <c r="G31" s="121"/>
      <c r="H31" s="124"/>
      <c r="I31" s="125"/>
      <c r="J31" s="128"/>
      <c r="K31" s="129"/>
      <c r="L31" s="116"/>
      <c r="M31" s="117"/>
      <c r="N31" s="120"/>
      <c r="O31" s="121"/>
      <c r="P31" s="124"/>
      <c r="Q31" s="125"/>
      <c r="R31" s="128"/>
      <c r="S31" s="129"/>
      <c r="T31" s="116"/>
      <c r="U31" s="117"/>
      <c r="V31" s="120"/>
      <c r="W31" s="121"/>
      <c r="X31" s="124" t="s">
        <v>269</v>
      </c>
      <c r="Y31" s="125"/>
      <c r="Z31" s="128" t="s">
        <v>577</v>
      </c>
      <c r="AA31" s="129"/>
      <c r="AB31" s="116"/>
      <c r="AC31" s="117"/>
      <c r="AD31" s="120"/>
      <c r="AE31" s="121"/>
      <c r="AF31" s="124"/>
      <c r="AG31" s="125"/>
      <c r="AH31" s="128"/>
      <c r="AI31" s="129"/>
      <c r="AJ31" s="116"/>
      <c r="AK31" s="117"/>
      <c r="AL31" s="120"/>
      <c r="AM31" s="121"/>
      <c r="BR31" s="81"/>
    </row>
    <row r="32" spans="2:70" ht="33" customHeight="1">
      <c r="B32" s="160"/>
      <c r="C32" s="160"/>
      <c r="D32" s="118"/>
      <c r="E32" s="119"/>
      <c r="F32" s="122"/>
      <c r="G32" s="123"/>
      <c r="H32" s="126"/>
      <c r="I32" s="127"/>
      <c r="J32" s="130"/>
      <c r="K32" s="131"/>
      <c r="L32" s="118"/>
      <c r="M32" s="119"/>
      <c r="N32" s="122"/>
      <c r="O32" s="123"/>
      <c r="P32" s="126"/>
      <c r="Q32" s="127"/>
      <c r="R32" s="130"/>
      <c r="S32" s="131"/>
      <c r="T32" s="118"/>
      <c r="U32" s="119"/>
      <c r="V32" s="122"/>
      <c r="W32" s="123"/>
      <c r="X32" s="126"/>
      <c r="Y32" s="127"/>
      <c r="Z32" s="130"/>
      <c r="AA32" s="131"/>
      <c r="AB32" s="118"/>
      <c r="AC32" s="119"/>
      <c r="AD32" s="122"/>
      <c r="AE32" s="123"/>
      <c r="AF32" s="126"/>
      <c r="AG32" s="127"/>
      <c r="AH32" s="130"/>
      <c r="AI32" s="131"/>
      <c r="AJ32" s="118"/>
      <c r="AK32" s="119"/>
      <c r="AL32" s="122"/>
      <c r="AM32" s="123"/>
      <c r="BR32" s="81"/>
    </row>
    <row r="34" spans="6:6">
      <c r="F34" s="83" t="str" cm="1">
        <f t="array" ref="F34" xml:space="preserve"> INDEX([1]【聲】聲母對照表!$C$2:$C$23, MATCH(TRUE, EXACT(D9,[1]【聲】聲母對照表!$G$2:$G$23),0))</f>
        <v>p</v>
      </c>
    </row>
  </sheetData>
  <mergeCells count="430">
    <mergeCell ref="D2:K2"/>
    <mergeCell ref="L2:S2"/>
    <mergeCell ref="T2:AA2"/>
    <mergeCell ref="AB2:AI2"/>
    <mergeCell ref="AJ2:AM2"/>
    <mergeCell ref="D3:K3"/>
    <mergeCell ref="L3:S3"/>
    <mergeCell ref="T3:AA3"/>
    <mergeCell ref="AB3:AI3"/>
    <mergeCell ref="AJ3:AM3"/>
    <mergeCell ref="BB4:BE4"/>
    <mergeCell ref="BF4:BI4"/>
    <mergeCell ref="BJ4:BM4"/>
    <mergeCell ref="B5:C8"/>
    <mergeCell ref="D5:E6"/>
    <mergeCell ref="F5:G6"/>
    <mergeCell ref="H5:I6"/>
    <mergeCell ref="J5:K6"/>
    <mergeCell ref="L5:M6"/>
    <mergeCell ref="N5:O6"/>
    <mergeCell ref="AB4:AE4"/>
    <mergeCell ref="AF4:AI4"/>
    <mergeCell ref="AJ4:AM4"/>
    <mergeCell ref="AP4:AS4"/>
    <mergeCell ref="AT4:AW4"/>
    <mergeCell ref="AX4:BA4"/>
    <mergeCell ref="D4:G4"/>
    <mergeCell ref="H4:K4"/>
    <mergeCell ref="L4:O4"/>
    <mergeCell ref="P4:S4"/>
    <mergeCell ref="T4:W4"/>
    <mergeCell ref="X4:AA4"/>
    <mergeCell ref="AB5:AC6"/>
    <mergeCell ref="AD5:AE6"/>
    <mergeCell ref="AF5:AG6"/>
    <mergeCell ref="AH5:AI6"/>
    <mergeCell ref="AJ5:AK6"/>
    <mergeCell ref="AL5:AM6"/>
    <mergeCell ref="P5:Q6"/>
    <mergeCell ref="R5:S6"/>
    <mergeCell ref="T5:U6"/>
    <mergeCell ref="V5:W6"/>
    <mergeCell ref="X5:Y6"/>
    <mergeCell ref="Z5:AA6"/>
    <mergeCell ref="BB5:BC6"/>
    <mergeCell ref="BD5:BE6"/>
    <mergeCell ref="BF5:BG6"/>
    <mergeCell ref="BH5:BI6"/>
    <mergeCell ref="BJ5:BK6"/>
    <mergeCell ref="BL5:BM6"/>
    <mergeCell ref="AP5:AQ6"/>
    <mergeCell ref="AR5:AS6"/>
    <mergeCell ref="AT5:AU6"/>
    <mergeCell ref="AV5:AW6"/>
    <mergeCell ref="AX5:AY6"/>
    <mergeCell ref="AZ5:BA6"/>
    <mergeCell ref="V7:W8"/>
    <mergeCell ref="X7:Y8"/>
    <mergeCell ref="Z7:AA8"/>
    <mergeCell ref="D7:E8"/>
    <mergeCell ref="F7:G8"/>
    <mergeCell ref="H7:I8"/>
    <mergeCell ref="J7:K8"/>
    <mergeCell ref="L7:M8"/>
    <mergeCell ref="N7:O8"/>
    <mergeCell ref="F9:G10"/>
    <mergeCell ref="H9:I10"/>
    <mergeCell ref="J9:K10"/>
    <mergeCell ref="BB7:BC8"/>
    <mergeCell ref="BD7:BE8"/>
    <mergeCell ref="BF7:BG8"/>
    <mergeCell ref="BH7:BI8"/>
    <mergeCell ref="BJ7:BK8"/>
    <mergeCell ref="BL7:BM8"/>
    <mergeCell ref="AP7:AQ8"/>
    <mergeCell ref="AR7:AS8"/>
    <mergeCell ref="AT7:AU8"/>
    <mergeCell ref="AV7:AW8"/>
    <mergeCell ref="AX7:AY8"/>
    <mergeCell ref="AZ7:BA8"/>
    <mergeCell ref="AB7:AC8"/>
    <mergeCell ref="AD7:AE8"/>
    <mergeCell ref="AF7:AG8"/>
    <mergeCell ref="AH7:AI8"/>
    <mergeCell ref="AJ7:AK8"/>
    <mergeCell ref="AL7:AM8"/>
    <mergeCell ref="P7:Q8"/>
    <mergeCell ref="R7:S8"/>
    <mergeCell ref="T7:U8"/>
    <mergeCell ref="AT9:AU10"/>
    <mergeCell ref="AV9:AW10"/>
    <mergeCell ref="X9:Y10"/>
    <mergeCell ref="Z9:AA10"/>
    <mergeCell ref="AB9:AC10"/>
    <mergeCell ref="AD9:AE10"/>
    <mergeCell ref="AF9:AG10"/>
    <mergeCell ref="AH9:AI10"/>
    <mergeCell ref="L9:M10"/>
    <mergeCell ref="N9:O10"/>
    <mergeCell ref="P9:Q10"/>
    <mergeCell ref="R9:S10"/>
    <mergeCell ref="T9:U10"/>
    <mergeCell ref="V9:W10"/>
    <mergeCell ref="X11:Y12"/>
    <mergeCell ref="Z11:AA12"/>
    <mergeCell ref="AB11:AC12"/>
    <mergeCell ref="AD11:AE12"/>
    <mergeCell ref="BJ9:BK10"/>
    <mergeCell ref="BL9:BM10"/>
    <mergeCell ref="D11:E12"/>
    <mergeCell ref="F11:G12"/>
    <mergeCell ref="H11:I12"/>
    <mergeCell ref="J11:K12"/>
    <mergeCell ref="L11:M12"/>
    <mergeCell ref="N11:O12"/>
    <mergeCell ref="P11:Q12"/>
    <mergeCell ref="R11:S12"/>
    <mergeCell ref="AX9:AY10"/>
    <mergeCell ref="AZ9:BA10"/>
    <mergeCell ref="BB9:BC10"/>
    <mergeCell ref="BD9:BE10"/>
    <mergeCell ref="BF9:BG10"/>
    <mergeCell ref="BH9:BI10"/>
    <mergeCell ref="AJ9:AK10"/>
    <mergeCell ref="AL9:AM10"/>
    <mergeCell ref="AP9:AQ10"/>
    <mergeCell ref="AR9:AS10"/>
    <mergeCell ref="BF11:BG12"/>
    <mergeCell ref="BH11:BI12"/>
    <mergeCell ref="BJ11:BK12"/>
    <mergeCell ref="BL11:BM12"/>
    <mergeCell ref="C13:C16"/>
    <mergeCell ref="D13:E14"/>
    <mergeCell ref="F13:G14"/>
    <mergeCell ref="H13:I14"/>
    <mergeCell ref="J13:K14"/>
    <mergeCell ref="L13:M14"/>
    <mergeCell ref="AT11:AU12"/>
    <mergeCell ref="AV11:AW12"/>
    <mergeCell ref="AX11:AY12"/>
    <mergeCell ref="AZ11:BA12"/>
    <mergeCell ref="BB11:BC12"/>
    <mergeCell ref="BD11:BE12"/>
    <mergeCell ref="AF11:AG12"/>
    <mergeCell ref="AH11:AI12"/>
    <mergeCell ref="AJ11:AK12"/>
    <mergeCell ref="AL11:AM12"/>
    <mergeCell ref="AP11:AQ12"/>
    <mergeCell ref="AR11:AS12"/>
    <mergeCell ref="T11:U12"/>
    <mergeCell ref="V11:W12"/>
    <mergeCell ref="AD13:AE14"/>
    <mergeCell ref="AF13:AG14"/>
    <mergeCell ref="AH13:AI14"/>
    <mergeCell ref="AJ13:AK14"/>
    <mergeCell ref="N13:O14"/>
    <mergeCell ref="P13:Q14"/>
    <mergeCell ref="R13:S14"/>
    <mergeCell ref="T13:U14"/>
    <mergeCell ref="V13:W14"/>
    <mergeCell ref="X13:Y14"/>
    <mergeCell ref="BL13:BM14"/>
    <mergeCell ref="D15:E16"/>
    <mergeCell ref="F15:G16"/>
    <mergeCell ref="H15:I16"/>
    <mergeCell ref="J15:K16"/>
    <mergeCell ref="L15:M16"/>
    <mergeCell ref="N15:O16"/>
    <mergeCell ref="P15:Q16"/>
    <mergeCell ref="R15:S16"/>
    <mergeCell ref="T15:U16"/>
    <mergeCell ref="AZ13:BA14"/>
    <mergeCell ref="BB13:BC14"/>
    <mergeCell ref="BD13:BE14"/>
    <mergeCell ref="BF13:BG14"/>
    <mergeCell ref="BH13:BI14"/>
    <mergeCell ref="BJ13:BK14"/>
    <mergeCell ref="AL13:AM14"/>
    <mergeCell ref="AP13:AQ14"/>
    <mergeCell ref="AR13:AS14"/>
    <mergeCell ref="AT13:AU14"/>
    <mergeCell ref="AV13:AW14"/>
    <mergeCell ref="AX13:AY14"/>
    <mergeCell ref="Z13:AA14"/>
    <mergeCell ref="AB13:AC14"/>
    <mergeCell ref="B17:B24"/>
    <mergeCell ref="C17:C20"/>
    <mergeCell ref="D17:E18"/>
    <mergeCell ref="F17:G18"/>
    <mergeCell ref="H17:I18"/>
    <mergeCell ref="J17:K18"/>
    <mergeCell ref="L17:M18"/>
    <mergeCell ref="AV15:AW16"/>
    <mergeCell ref="AX15:AY16"/>
    <mergeCell ref="AH15:AI16"/>
    <mergeCell ref="AJ15:AK16"/>
    <mergeCell ref="AL15:AM16"/>
    <mergeCell ref="AP15:AQ16"/>
    <mergeCell ref="AR15:AS16"/>
    <mergeCell ref="AT15:AU16"/>
    <mergeCell ref="V15:W16"/>
    <mergeCell ref="X15:Y16"/>
    <mergeCell ref="Z15:AA16"/>
    <mergeCell ref="AB15:AC16"/>
    <mergeCell ref="AD15:AE16"/>
    <mergeCell ref="AF15:AG16"/>
    <mergeCell ref="B9:B16"/>
    <mergeCell ref="C9:C12"/>
    <mergeCell ref="D9:E10"/>
    <mergeCell ref="N17:O18"/>
    <mergeCell ref="P17:Q18"/>
    <mergeCell ref="R17:S18"/>
    <mergeCell ref="T17:U18"/>
    <mergeCell ref="V17:W18"/>
    <mergeCell ref="X17:Y18"/>
    <mergeCell ref="BH15:BI16"/>
    <mergeCell ref="BJ15:BK16"/>
    <mergeCell ref="BL15:BM16"/>
    <mergeCell ref="AZ15:BA16"/>
    <mergeCell ref="BB15:BC16"/>
    <mergeCell ref="BD15:BE16"/>
    <mergeCell ref="BF15:BG16"/>
    <mergeCell ref="AP17:AQ18"/>
    <mergeCell ref="AR17:AS18"/>
    <mergeCell ref="AT17:AU18"/>
    <mergeCell ref="AV17:AW18"/>
    <mergeCell ref="AX17:AY18"/>
    <mergeCell ref="Z17:AA18"/>
    <mergeCell ref="AB17:AC18"/>
    <mergeCell ref="AD17:AE18"/>
    <mergeCell ref="AF17:AG18"/>
    <mergeCell ref="AH17:AI18"/>
    <mergeCell ref="AJ17:AK18"/>
    <mergeCell ref="AT19:AU20"/>
    <mergeCell ref="V19:W20"/>
    <mergeCell ref="X19:Y20"/>
    <mergeCell ref="Z19:AA20"/>
    <mergeCell ref="AB19:AC20"/>
    <mergeCell ref="AD19:AE20"/>
    <mergeCell ref="AF19:AG20"/>
    <mergeCell ref="BL17:BM18"/>
    <mergeCell ref="D19:E20"/>
    <mergeCell ref="F19:G20"/>
    <mergeCell ref="H19:I20"/>
    <mergeCell ref="J19:K20"/>
    <mergeCell ref="L19:M20"/>
    <mergeCell ref="N19:O20"/>
    <mergeCell ref="P19:Q20"/>
    <mergeCell ref="R19:S20"/>
    <mergeCell ref="T19:U20"/>
    <mergeCell ref="AZ17:BA18"/>
    <mergeCell ref="BB17:BC18"/>
    <mergeCell ref="BD17:BE18"/>
    <mergeCell ref="BF17:BG18"/>
    <mergeCell ref="BH17:BI18"/>
    <mergeCell ref="BJ17:BK18"/>
    <mergeCell ref="AL17:AM18"/>
    <mergeCell ref="V21:W22"/>
    <mergeCell ref="X21:Y22"/>
    <mergeCell ref="Z21:AA22"/>
    <mergeCell ref="BH19:BI20"/>
    <mergeCell ref="BJ19:BK20"/>
    <mergeCell ref="BL19:BM20"/>
    <mergeCell ref="C21:C24"/>
    <mergeCell ref="D21:E22"/>
    <mergeCell ref="F21:G22"/>
    <mergeCell ref="H21:I22"/>
    <mergeCell ref="J21:K22"/>
    <mergeCell ref="L21:M22"/>
    <mergeCell ref="N21:O22"/>
    <mergeCell ref="AV19:AW20"/>
    <mergeCell ref="AX19:AY20"/>
    <mergeCell ref="AZ19:BA20"/>
    <mergeCell ref="BB19:BC20"/>
    <mergeCell ref="BD19:BE20"/>
    <mergeCell ref="BF19:BG20"/>
    <mergeCell ref="AH19:AI20"/>
    <mergeCell ref="AJ19:AK20"/>
    <mergeCell ref="AL19:AM20"/>
    <mergeCell ref="AP19:AQ20"/>
    <mergeCell ref="AR19:AS20"/>
    <mergeCell ref="J23:K24"/>
    <mergeCell ref="L23:M24"/>
    <mergeCell ref="N23:O24"/>
    <mergeCell ref="BB21:BC22"/>
    <mergeCell ref="BD21:BE22"/>
    <mergeCell ref="BF21:BG22"/>
    <mergeCell ref="BH21:BI22"/>
    <mergeCell ref="BJ21:BK22"/>
    <mergeCell ref="BL21:BM22"/>
    <mergeCell ref="AP21:AQ22"/>
    <mergeCell ref="AR21:AS22"/>
    <mergeCell ref="AT21:AU22"/>
    <mergeCell ref="AV21:AW22"/>
    <mergeCell ref="AX21:AY22"/>
    <mergeCell ref="AZ21:BA22"/>
    <mergeCell ref="AB21:AC22"/>
    <mergeCell ref="AD21:AE22"/>
    <mergeCell ref="AF21:AG22"/>
    <mergeCell ref="AH21:AI22"/>
    <mergeCell ref="AJ21:AK22"/>
    <mergeCell ref="AL21:AM22"/>
    <mergeCell ref="P21:Q22"/>
    <mergeCell ref="R21:S22"/>
    <mergeCell ref="T21:U22"/>
    <mergeCell ref="BH23:BI24"/>
    <mergeCell ref="BJ23:BK24"/>
    <mergeCell ref="BL23:BM24"/>
    <mergeCell ref="AP23:AQ24"/>
    <mergeCell ref="AR23:AS24"/>
    <mergeCell ref="AT23:AU24"/>
    <mergeCell ref="AV23:AW24"/>
    <mergeCell ref="AX23:AY24"/>
    <mergeCell ref="AZ23:BA24"/>
    <mergeCell ref="B25:C28"/>
    <mergeCell ref="D25:E26"/>
    <mergeCell ref="F25:G26"/>
    <mergeCell ref="H25:I26"/>
    <mergeCell ref="J25:K26"/>
    <mergeCell ref="L25:M26"/>
    <mergeCell ref="BB23:BC24"/>
    <mergeCell ref="BD23:BE24"/>
    <mergeCell ref="BF23:BG24"/>
    <mergeCell ref="AB23:AC24"/>
    <mergeCell ref="AD23:AE24"/>
    <mergeCell ref="AF23:AG24"/>
    <mergeCell ref="AH23:AI24"/>
    <mergeCell ref="AJ23:AK24"/>
    <mergeCell ref="AL23:AM24"/>
    <mergeCell ref="P23:Q24"/>
    <mergeCell ref="R23:S24"/>
    <mergeCell ref="T23:U24"/>
    <mergeCell ref="V23:W24"/>
    <mergeCell ref="X23:Y24"/>
    <mergeCell ref="Z23:AA24"/>
    <mergeCell ref="D23:E24"/>
    <mergeCell ref="F23:G24"/>
    <mergeCell ref="H23:I24"/>
    <mergeCell ref="AV25:AW26"/>
    <mergeCell ref="AX25:AY26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Z27:AA28"/>
    <mergeCell ref="AB27:AC28"/>
    <mergeCell ref="AD27:AE28"/>
    <mergeCell ref="AF27:AG28"/>
    <mergeCell ref="BL25:BM26"/>
    <mergeCell ref="D27:E28"/>
    <mergeCell ref="F27:G28"/>
    <mergeCell ref="H27:I28"/>
    <mergeCell ref="J27:K28"/>
    <mergeCell ref="L27:M28"/>
    <mergeCell ref="N27:O28"/>
    <mergeCell ref="P27:Q28"/>
    <mergeCell ref="R27:S28"/>
    <mergeCell ref="T27:U28"/>
    <mergeCell ref="AZ25:BA26"/>
    <mergeCell ref="BB25:BC26"/>
    <mergeCell ref="BD25:BE26"/>
    <mergeCell ref="BF25:BG26"/>
    <mergeCell ref="BH25:BI26"/>
    <mergeCell ref="BJ25:BK26"/>
    <mergeCell ref="AL25:AM26"/>
    <mergeCell ref="AP25:AQ26"/>
    <mergeCell ref="AR25:AS26"/>
    <mergeCell ref="AT25:AU26"/>
    <mergeCell ref="BH27:BI28"/>
    <mergeCell ref="BJ27:BK28"/>
    <mergeCell ref="BL27:BM28"/>
    <mergeCell ref="B29:C32"/>
    <mergeCell ref="D29:E30"/>
    <mergeCell ref="F29:G30"/>
    <mergeCell ref="H29:I30"/>
    <mergeCell ref="J29:K30"/>
    <mergeCell ref="L29:M30"/>
    <mergeCell ref="N29:O30"/>
    <mergeCell ref="AV27:AW28"/>
    <mergeCell ref="AX27:AY28"/>
    <mergeCell ref="AZ27:BA28"/>
    <mergeCell ref="BB27:BC28"/>
    <mergeCell ref="BD27:BE28"/>
    <mergeCell ref="BF27:BG28"/>
    <mergeCell ref="AH27:AI28"/>
    <mergeCell ref="AJ27:AK28"/>
    <mergeCell ref="AL27:AM28"/>
    <mergeCell ref="AP27:AQ28"/>
    <mergeCell ref="AR27:AS28"/>
    <mergeCell ref="AT27:AU28"/>
    <mergeCell ref="V27:W28"/>
    <mergeCell ref="X27:Y28"/>
    <mergeCell ref="AH29:AI30"/>
    <mergeCell ref="AJ29:AK30"/>
    <mergeCell ref="AL29:AM30"/>
    <mergeCell ref="P29:Q30"/>
    <mergeCell ref="R29:S30"/>
    <mergeCell ref="T29:U30"/>
    <mergeCell ref="V29:W30"/>
    <mergeCell ref="X29:Y30"/>
    <mergeCell ref="Z29:AA30"/>
    <mergeCell ref="D31:E32"/>
    <mergeCell ref="F31:G32"/>
    <mergeCell ref="H31:I32"/>
    <mergeCell ref="J31:K32"/>
    <mergeCell ref="L31:M32"/>
    <mergeCell ref="N31:O32"/>
    <mergeCell ref="AB29:AC30"/>
    <mergeCell ref="AD29:AE30"/>
    <mergeCell ref="AF29:AG30"/>
    <mergeCell ref="AB31:AC32"/>
    <mergeCell ref="AD31:AE32"/>
    <mergeCell ref="AF31:AG32"/>
    <mergeCell ref="AH31:AI32"/>
    <mergeCell ref="AJ31:AK32"/>
    <mergeCell ref="AL31:AM32"/>
    <mergeCell ref="P31:Q32"/>
    <mergeCell ref="R31:S32"/>
    <mergeCell ref="T31:U32"/>
    <mergeCell ref="V31:W32"/>
    <mergeCell ref="X31:Y32"/>
    <mergeCell ref="Z31:AA32"/>
  </mergeCells>
  <phoneticPr fontId="5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3B03-BEB9-4C27-A0E4-BA2854B639B5}">
  <sheetPr>
    <tabColor theme="9" tint="0.39997558519241921"/>
    <pageSetUpPr fitToPage="1"/>
  </sheetPr>
  <dimension ref="B2:BR32"/>
  <sheetViews>
    <sheetView zoomScale="60" zoomScaleNormal="60" workbookViewId="0">
      <selection activeCell="H5" sqref="H5:I6"/>
    </sheetView>
  </sheetViews>
  <sheetFormatPr defaultColWidth="13" defaultRowHeight="30"/>
  <cols>
    <col min="1" max="1" width="2.75" style="83" customWidth="1"/>
    <col min="2" max="3" width="5.375" style="87" customWidth="1"/>
    <col min="4" max="39" width="4.125" style="83" customWidth="1"/>
    <col min="40" max="41" width="13" style="83"/>
    <col min="42" max="65" width="8.375" style="83" customWidth="1"/>
    <col min="66" max="67" width="13" style="83"/>
    <col min="68" max="68" width="13" style="86"/>
    <col min="69" max="69" width="21.375" style="83" bestFit="1" customWidth="1"/>
    <col min="70" max="16384" width="13" style="83"/>
  </cols>
  <sheetData>
    <row r="2" spans="2:70" s="81" customFormat="1" ht="29.25" customHeight="1">
      <c r="B2" s="80"/>
      <c r="C2" s="80"/>
      <c r="D2" s="190" t="s">
        <v>208</v>
      </c>
      <c r="E2" s="190"/>
      <c r="F2" s="190"/>
      <c r="G2" s="190"/>
      <c r="H2" s="190"/>
      <c r="I2" s="190"/>
      <c r="J2" s="190"/>
      <c r="K2" s="190"/>
      <c r="L2" s="190" t="s">
        <v>209</v>
      </c>
      <c r="M2" s="190"/>
      <c r="N2" s="190"/>
      <c r="O2" s="190"/>
      <c r="P2" s="190"/>
      <c r="Q2" s="190"/>
      <c r="R2" s="190"/>
      <c r="S2" s="190"/>
      <c r="T2" s="190" t="s">
        <v>210</v>
      </c>
      <c r="U2" s="190"/>
      <c r="V2" s="190"/>
      <c r="W2" s="190"/>
      <c r="X2" s="190"/>
      <c r="Y2" s="190"/>
      <c r="Z2" s="190"/>
      <c r="AA2" s="190"/>
      <c r="AB2" s="190" t="s">
        <v>211</v>
      </c>
      <c r="AC2" s="190"/>
      <c r="AD2" s="190"/>
      <c r="AE2" s="190"/>
      <c r="AF2" s="190"/>
      <c r="AG2" s="190"/>
      <c r="AH2" s="190"/>
      <c r="AI2" s="190"/>
      <c r="AJ2" s="190" t="s">
        <v>212</v>
      </c>
      <c r="AK2" s="190"/>
      <c r="AL2" s="190"/>
      <c r="AM2" s="190"/>
      <c r="BP2" s="82"/>
    </row>
    <row r="3" spans="2:70" s="81" customFormat="1" ht="29.25" customHeight="1">
      <c r="B3" s="80"/>
      <c r="C3" s="80"/>
      <c r="D3" s="190" t="s">
        <v>213</v>
      </c>
      <c r="E3" s="190"/>
      <c r="F3" s="190"/>
      <c r="G3" s="190"/>
      <c r="H3" s="190"/>
      <c r="I3" s="190"/>
      <c r="J3" s="190"/>
      <c r="K3" s="190"/>
      <c r="L3" s="190" t="s">
        <v>214</v>
      </c>
      <c r="M3" s="190"/>
      <c r="N3" s="190"/>
      <c r="O3" s="190"/>
      <c r="P3" s="190"/>
      <c r="Q3" s="190"/>
      <c r="R3" s="190"/>
      <c r="S3" s="190"/>
      <c r="T3" s="190" t="s">
        <v>215</v>
      </c>
      <c r="U3" s="190"/>
      <c r="V3" s="190"/>
      <c r="W3" s="190"/>
      <c r="X3" s="190"/>
      <c r="Y3" s="190"/>
      <c r="Z3" s="190"/>
      <c r="AA3" s="190"/>
      <c r="AB3" s="190" t="s">
        <v>216</v>
      </c>
      <c r="AC3" s="190"/>
      <c r="AD3" s="190"/>
      <c r="AE3" s="190"/>
      <c r="AF3" s="190"/>
      <c r="AG3" s="190"/>
      <c r="AH3" s="190"/>
      <c r="AI3" s="190"/>
      <c r="AJ3" s="190" t="s">
        <v>217</v>
      </c>
      <c r="AK3" s="190"/>
      <c r="AL3" s="190"/>
      <c r="AM3" s="190"/>
      <c r="BP3" s="82"/>
    </row>
    <row r="4" spans="2:70" s="81" customFormat="1" ht="29.25" customHeight="1">
      <c r="B4" s="80"/>
      <c r="C4" s="80"/>
      <c r="D4" s="190" t="s">
        <v>218</v>
      </c>
      <c r="E4" s="190"/>
      <c r="F4" s="190"/>
      <c r="G4" s="190"/>
      <c r="H4" s="190" t="s">
        <v>219</v>
      </c>
      <c r="I4" s="190"/>
      <c r="J4" s="190"/>
      <c r="K4" s="190"/>
      <c r="L4" s="190" t="s">
        <v>218</v>
      </c>
      <c r="M4" s="190"/>
      <c r="N4" s="190"/>
      <c r="O4" s="190"/>
      <c r="P4" s="190" t="s">
        <v>219</v>
      </c>
      <c r="Q4" s="190"/>
      <c r="R4" s="190"/>
      <c r="S4" s="190"/>
      <c r="T4" s="190" t="s">
        <v>218</v>
      </c>
      <c r="U4" s="190"/>
      <c r="V4" s="190"/>
      <c r="W4" s="190"/>
      <c r="X4" s="190" t="s">
        <v>219</v>
      </c>
      <c r="Y4" s="190"/>
      <c r="Z4" s="190"/>
      <c r="AA4" s="190"/>
      <c r="AB4" s="190" t="s">
        <v>218</v>
      </c>
      <c r="AC4" s="190"/>
      <c r="AD4" s="190"/>
      <c r="AE4" s="190"/>
      <c r="AF4" s="190" t="s">
        <v>219</v>
      </c>
      <c r="AG4" s="190"/>
      <c r="AH4" s="190"/>
      <c r="AI4" s="190"/>
      <c r="AJ4" s="190" t="s">
        <v>218</v>
      </c>
      <c r="AK4" s="190"/>
      <c r="AL4" s="190"/>
      <c r="AM4" s="190"/>
      <c r="AP4" s="190" t="s">
        <v>220</v>
      </c>
      <c r="AQ4" s="190"/>
      <c r="AR4" s="190"/>
      <c r="AS4" s="190"/>
      <c r="AT4" s="190" t="s">
        <v>219</v>
      </c>
      <c r="AU4" s="190"/>
      <c r="AV4" s="190"/>
      <c r="AW4" s="190"/>
      <c r="AX4" s="190" t="s">
        <v>221</v>
      </c>
      <c r="AY4" s="190"/>
      <c r="AZ4" s="190"/>
      <c r="BA4" s="190"/>
      <c r="BB4" s="190" t="s">
        <v>222</v>
      </c>
      <c r="BC4" s="190"/>
      <c r="BD4" s="190"/>
      <c r="BE4" s="190"/>
      <c r="BF4" s="190" t="s">
        <v>223</v>
      </c>
      <c r="BG4" s="190"/>
      <c r="BH4" s="190"/>
      <c r="BI4" s="190"/>
      <c r="BJ4" s="190" t="s">
        <v>224</v>
      </c>
      <c r="BK4" s="190"/>
      <c r="BL4" s="190"/>
      <c r="BM4" s="190"/>
      <c r="BP4" s="82"/>
    </row>
    <row r="5" spans="2:70" ht="33" customHeight="1">
      <c r="B5" s="160" t="s">
        <v>225</v>
      </c>
      <c r="C5" s="160"/>
      <c r="D5" s="177"/>
      <c r="E5" s="178"/>
      <c r="F5" s="169"/>
      <c r="G5" s="170"/>
      <c r="H5" s="173" t="s">
        <v>226</v>
      </c>
      <c r="I5" s="174"/>
      <c r="J5" s="165" t="s">
        <v>227</v>
      </c>
      <c r="K5" s="166"/>
      <c r="L5" s="177"/>
      <c r="M5" s="178"/>
      <c r="N5" s="169"/>
      <c r="O5" s="170"/>
      <c r="P5" s="173"/>
      <c r="Q5" s="174"/>
      <c r="R5" s="165"/>
      <c r="S5" s="166"/>
      <c r="T5" s="177"/>
      <c r="U5" s="178"/>
      <c r="V5" s="169"/>
      <c r="W5" s="170"/>
      <c r="X5" s="173" t="s">
        <v>228</v>
      </c>
      <c r="Y5" s="174"/>
      <c r="Z5" s="165" t="s">
        <v>229</v>
      </c>
      <c r="AA5" s="166"/>
      <c r="AB5" s="177"/>
      <c r="AC5" s="178"/>
      <c r="AD5" s="169"/>
      <c r="AE5" s="170"/>
      <c r="AF5" s="173" t="s">
        <v>230</v>
      </c>
      <c r="AG5" s="174"/>
      <c r="AH5" s="165" t="s">
        <v>231</v>
      </c>
      <c r="AI5" s="166"/>
      <c r="AJ5" s="177"/>
      <c r="AK5" s="178"/>
      <c r="AL5" s="169"/>
      <c r="AM5" s="170"/>
      <c r="AP5" s="177" t="s">
        <v>232</v>
      </c>
      <c r="AQ5" s="178"/>
      <c r="AR5" s="169" t="s">
        <v>233</v>
      </c>
      <c r="AS5" s="170"/>
      <c r="AT5" s="173" t="s">
        <v>226</v>
      </c>
      <c r="AU5" s="174"/>
      <c r="AV5" s="165" t="s">
        <v>234</v>
      </c>
      <c r="AW5" s="166"/>
      <c r="AX5" s="177" t="s">
        <v>235</v>
      </c>
      <c r="AY5" s="178"/>
      <c r="AZ5" s="169" t="s">
        <v>236</v>
      </c>
      <c r="BA5" s="170"/>
      <c r="BB5" s="185" t="s">
        <v>237</v>
      </c>
      <c r="BC5" s="186"/>
      <c r="BD5" s="165" t="s">
        <v>227</v>
      </c>
      <c r="BE5" s="166"/>
      <c r="BF5" s="177"/>
      <c r="BG5" s="178"/>
      <c r="BH5" s="169"/>
      <c r="BI5" s="170"/>
      <c r="BJ5" s="173"/>
      <c r="BK5" s="174"/>
      <c r="BL5" s="165"/>
      <c r="BM5" s="166"/>
      <c r="BP5" s="84">
        <v>1</v>
      </c>
      <c r="BQ5" s="85" t="s">
        <v>238</v>
      </c>
      <c r="BR5" s="81"/>
    </row>
    <row r="6" spans="2:70" ht="33" customHeight="1">
      <c r="B6" s="160"/>
      <c r="C6" s="160"/>
      <c r="D6" s="179"/>
      <c r="E6" s="180"/>
      <c r="F6" s="171"/>
      <c r="G6" s="172"/>
      <c r="H6" s="175"/>
      <c r="I6" s="176"/>
      <c r="J6" s="167"/>
      <c r="K6" s="168"/>
      <c r="L6" s="179"/>
      <c r="M6" s="180"/>
      <c r="N6" s="171"/>
      <c r="O6" s="172"/>
      <c r="P6" s="175"/>
      <c r="Q6" s="176"/>
      <c r="R6" s="167"/>
      <c r="S6" s="168"/>
      <c r="T6" s="179"/>
      <c r="U6" s="180"/>
      <c r="V6" s="171"/>
      <c r="W6" s="172"/>
      <c r="X6" s="175"/>
      <c r="Y6" s="176"/>
      <c r="Z6" s="167"/>
      <c r="AA6" s="168"/>
      <c r="AB6" s="179"/>
      <c r="AC6" s="180"/>
      <c r="AD6" s="171"/>
      <c r="AE6" s="172"/>
      <c r="AF6" s="175"/>
      <c r="AG6" s="176"/>
      <c r="AH6" s="167"/>
      <c r="AI6" s="168"/>
      <c r="AJ6" s="179"/>
      <c r="AK6" s="180"/>
      <c r="AL6" s="171"/>
      <c r="AM6" s="172"/>
      <c r="AP6" s="179"/>
      <c r="AQ6" s="180"/>
      <c r="AR6" s="171"/>
      <c r="AS6" s="172"/>
      <c r="AT6" s="175"/>
      <c r="AU6" s="176"/>
      <c r="AV6" s="167"/>
      <c r="AW6" s="168"/>
      <c r="AX6" s="179"/>
      <c r="AY6" s="180"/>
      <c r="AZ6" s="171"/>
      <c r="BA6" s="172"/>
      <c r="BB6" s="187"/>
      <c r="BC6" s="188"/>
      <c r="BD6" s="167"/>
      <c r="BE6" s="168"/>
      <c r="BF6" s="179"/>
      <c r="BG6" s="180"/>
      <c r="BH6" s="171"/>
      <c r="BI6" s="172"/>
      <c r="BJ6" s="175"/>
      <c r="BK6" s="176"/>
      <c r="BL6" s="167"/>
      <c r="BM6" s="168"/>
      <c r="BP6" s="84">
        <v>2</v>
      </c>
      <c r="BQ6" s="85" t="s">
        <v>239</v>
      </c>
      <c r="BR6" s="81"/>
    </row>
    <row r="7" spans="2:70" ht="33" customHeight="1">
      <c r="B7" s="160"/>
      <c r="C7" s="160"/>
      <c r="D7" s="161"/>
      <c r="E7" s="162"/>
      <c r="F7" s="148"/>
      <c r="G7" s="149"/>
      <c r="H7" s="152" t="s">
        <v>240</v>
      </c>
      <c r="I7" s="153"/>
      <c r="J7" s="156" t="s">
        <v>241</v>
      </c>
      <c r="K7" s="157"/>
      <c r="L7" s="161"/>
      <c r="M7" s="162"/>
      <c r="N7" s="148"/>
      <c r="O7" s="149"/>
      <c r="P7" s="152"/>
      <c r="Q7" s="153"/>
      <c r="R7" s="156"/>
      <c r="S7" s="157"/>
      <c r="T7" s="161"/>
      <c r="U7" s="162"/>
      <c r="V7" s="148"/>
      <c r="W7" s="149"/>
      <c r="X7" s="152" t="s">
        <v>242</v>
      </c>
      <c r="Y7" s="153"/>
      <c r="Z7" s="156" t="s">
        <v>243</v>
      </c>
      <c r="AA7" s="157"/>
      <c r="AB7" s="161"/>
      <c r="AC7" s="162"/>
      <c r="AD7" s="148"/>
      <c r="AE7" s="149"/>
      <c r="AF7" s="152" t="s">
        <v>244</v>
      </c>
      <c r="AG7" s="153"/>
      <c r="AH7" s="156" t="s">
        <v>245</v>
      </c>
      <c r="AI7" s="157"/>
      <c r="AJ7" s="181"/>
      <c r="AK7" s="182"/>
      <c r="AL7" s="148"/>
      <c r="AM7" s="149"/>
      <c r="AP7" s="161" t="s">
        <v>238</v>
      </c>
      <c r="AQ7" s="162"/>
      <c r="AR7" s="148" t="s">
        <v>234</v>
      </c>
      <c r="AS7" s="149"/>
      <c r="AT7" s="152" t="s">
        <v>239</v>
      </c>
      <c r="AU7" s="153"/>
      <c r="AV7" s="156" t="s">
        <v>246</v>
      </c>
      <c r="AW7" s="157"/>
      <c r="AX7" s="161" t="s">
        <v>247</v>
      </c>
      <c r="AY7" s="162"/>
      <c r="AZ7" s="148" t="s">
        <v>233</v>
      </c>
      <c r="BA7" s="149"/>
      <c r="BB7" s="152" t="s">
        <v>240</v>
      </c>
      <c r="BC7" s="153"/>
      <c r="BD7" s="156" t="s">
        <v>241</v>
      </c>
      <c r="BE7" s="157"/>
      <c r="BF7" s="161"/>
      <c r="BG7" s="162"/>
      <c r="BH7" s="148"/>
      <c r="BI7" s="149"/>
      <c r="BJ7" s="152"/>
      <c r="BK7" s="153"/>
      <c r="BL7" s="156"/>
      <c r="BM7" s="157"/>
      <c r="BP7" s="84">
        <v>3</v>
      </c>
      <c r="BQ7" s="85" t="s">
        <v>247</v>
      </c>
      <c r="BR7" s="81"/>
    </row>
    <row r="8" spans="2:70" ht="33" customHeight="1">
      <c r="B8" s="160"/>
      <c r="C8" s="160"/>
      <c r="D8" s="163"/>
      <c r="E8" s="164"/>
      <c r="F8" s="150"/>
      <c r="G8" s="151"/>
      <c r="H8" s="154"/>
      <c r="I8" s="155"/>
      <c r="J8" s="158"/>
      <c r="K8" s="159"/>
      <c r="L8" s="163"/>
      <c r="M8" s="164"/>
      <c r="N8" s="150"/>
      <c r="O8" s="151"/>
      <c r="P8" s="154"/>
      <c r="Q8" s="155"/>
      <c r="R8" s="158"/>
      <c r="S8" s="159"/>
      <c r="T8" s="163"/>
      <c r="U8" s="164"/>
      <c r="V8" s="150"/>
      <c r="W8" s="151"/>
      <c r="X8" s="154"/>
      <c r="Y8" s="155"/>
      <c r="Z8" s="158"/>
      <c r="AA8" s="159"/>
      <c r="AB8" s="163"/>
      <c r="AC8" s="164"/>
      <c r="AD8" s="150"/>
      <c r="AE8" s="151"/>
      <c r="AF8" s="154"/>
      <c r="AG8" s="155"/>
      <c r="AH8" s="158"/>
      <c r="AI8" s="159"/>
      <c r="AJ8" s="183"/>
      <c r="AK8" s="184"/>
      <c r="AL8" s="150"/>
      <c r="AM8" s="151"/>
      <c r="AP8" s="163"/>
      <c r="AQ8" s="164"/>
      <c r="AR8" s="150"/>
      <c r="AS8" s="151"/>
      <c r="AT8" s="154"/>
      <c r="AU8" s="155"/>
      <c r="AV8" s="158"/>
      <c r="AW8" s="159"/>
      <c r="AX8" s="163"/>
      <c r="AY8" s="164"/>
      <c r="AZ8" s="150"/>
      <c r="BA8" s="151"/>
      <c r="BB8" s="154"/>
      <c r="BC8" s="155"/>
      <c r="BD8" s="158"/>
      <c r="BE8" s="159"/>
      <c r="BF8" s="163"/>
      <c r="BG8" s="164"/>
      <c r="BH8" s="150"/>
      <c r="BI8" s="151"/>
      <c r="BJ8" s="154"/>
      <c r="BK8" s="155"/>
      <c r="BL8" s="158"/>
      <c r="BM8" s="159"/>
      <c r="BP8" s="84">
        <v>4</v>
      </c>
      <c r="BQ8" s="85" t="s">
        <v>240</v>
      </c>
      <c r="BR8" s="81"/>
    </row>
    <row r="9" spans="2:70" ht="33" customHeight="1">
      <c r="B9" s="160" t="s">
        <v>248</v>
      </c>
      <c r="C9" s="189" t="s">
        <v>249</v>
      </c>
      <c r="D9" s="177" t="s">
        <v>232</v>
      </c>
      <c r="E9" s="178"/>
      <c r="F9" s="169" t="s">
        <v>233</v>
      </c>
      <c r="G9" s="170"/>
      <c r="H9" s="173" t="s">
        <v>226</v>
      </c>
      <c r="I9" s="174"/>
      <c r="J9" s="165" t="s">
        <v>234</v>
      </c>
      <c r="K9" s="166"/>
      <c r="L9" s="177"/>
      <c r="M9" s="178"/>
      <c r="N9" s="169"/>
      <c r="O9" s="170"/>
      <c r="P9" s="173"/>
      <c r="Q9" s="174"/>
      <c r="R9" s="165"/>
      <c r="S9" s="166"/>
      <c r="T9" s="177" t="s">
        <v>250</v>
      </c>
      <c r="U9" s="178"/>
      <c r="V9" s="169" t="s">
        <v>251</v>
      </c>
      <c r="W9" s="170"/>
      <c r="X9" s="173"/>
      <c r="Y9" s="174"/>
      <c r="Z9" s="165"/>
      <c r="AA9" s="166"/>
      <c r="AB9" s="177" t="s">
        <v>252</v>
      </c>
      <c r="AC9" s="178"/>
      <c r="AD9" s="169" t="s">
        <v>253</v>
      </c>
      <c r="AE9" s="170"/>
      <c r="AF9" s="173" t="s">
        <v>230</v>
      </c>
      <c r="AG9" s="174"/>
      <c r="AH9" s="165" t="s">
        <v>254</v>
      </c>
      <c r="AI9" s="166"/>
      <c r="AJ9" s="177" t="s">
        <v>255</v>
      </c>
      <c r="AK9" s="178"/>
      <c r="AL9" s="195" t="s">
        <v>256</v>
      </c>
      <c r="AM9" s="196"/>
      <c r="AP9" s="177" t="s">
        <v>250</v>
      </c>
      <c r="AQ9" s="178"/>
      <c r="AR9" s="169" t="s">
        <v>251</v>
      </c>
      <c r="AS9" s="170"/>
      <c r="AT9" s="173"/>
      <c r="AU9" s="174"/>
      <c r="AV9" s="165"/>
      <c r="AW9" s="166"/>
      <c r="AX9" s="177" t="s">
        <v>257</v>
      </c>
      <c r="AY9" s="178"/>
      <c r="AZ9" s="169" t="s">
        <v>258</v>
      </c>
      <c r="BA9" s="170"/>
      <c r="BB9" s="185" t="s">
        <v>259</v>
      </c>
      <c r="BC9" s="186"/>
      <c r="BD9" s="165" t="s">
        <v>229</v>
      </c>
      <c r="BE9" s="166"/>
      <c r="BF9" s="177" t="s">
        <v>228</v>
      </c>
      <c r="BG9" s="178"/>
      <c r="BH9" s="169" t="s">
        <v>260</v>
      </c>
      <c r="BI9" s="170"/>
      <c r="BJ9" s="173"/>
      <c r="BK9" s="174"/>
      <c r="BL9" s="165"/>
      <c r="BM9" s="166"/>
      <c r="BP9" s="84">
        <v>5</v>
      </c>
      <c r="BQ9" s="85" t="s">
        <v>261</v>
      </c>
      <c r="BR9" s="81"/>
    </row>
    <row r="10" spans="2:70" ht="33" customHeight="1">
      <c r="B10" s="160"/>
      <c r="C10" s="189"/>
      <c r="D10" s="179"/>
      <c r="E10" s="180"/>
      <c r="F10" s="171"/>
      <c r="G10" s="172"/>
      <c r="H10" s="175"/>
      <c r="I10" s="176"/>
      <c r="J10" s="167"/>
      <c r="K10" s="168"/>
      <c r="L10" s="179"/>
      <c r="M10" s="180"/>
      <c r="N10" s="171"/>
      <c r="O10" s="172"/>
      <c r="P10" s="175"/>
      <c r="Q10" s="176"/>
      <c r="R10" s="167"/>
      <c r="S10" s="168"/>
      <c r="T10" s="179"/>
      <c r="U10" s="180"/>
      <c r="V10" s="171"/>
      <c r="W10" s="172"/>
      <c r="X10" s="175"/>
      <c r="Y10" s="176"/>
      <c r="Z10" s="167"/>
      <c r="AA10" s="168"/>
      <c r="AB10" s="179"/>
      <c r="AC10" s="180"/>
      <c r="AD10" s="171"/>
      <c r="AE10" s="172"/>
      <c r="AF10" s="175"/>
      <c r="AG10" s="176"/>
      <c r="AH10" s="167"/>
      <c r="AI10" s="168"/>
      <c r="AJ10" s="179"/>
      <c r="AK10" s="180"/>
      <c r="AL10" s="197"/>
      <c r="AM10" s="198"/>
      <c r="AP10" s="179"/>
      <c r="AQ10" s="180"/>
      <c r="AR10" s="171"/>
      <c r="AS10" s="172"/>
      <c r="AT10" s="175"/>
      <c r="AU10" s="176"/>
      <c r="AV10" s="167"/>
      <c r="AW10" s="168"/>
      <c r="AX10" s="179"/>
      <c r="AY10" s="180"/>
      <c r="AZ10" s="171"/>
      <c r="BA10" s="172"/>
      <c r="BB10" s="187"/>
      <c r="BC10" s="188"/>
      <c r="BD10" s="167"/>
      <c r="BE10" s="168"/>
      <c r="BF10" s="179"/>
      <c r="BG10" s="180"/>
      <c r="BH10" s="171"/>
      <c r="BI10" s="172"/>
      <c r="BJ10" s="175"/>
      <c r="BK10" s="176"/>
      <c r="BL10" s="167"/>
      <c r="BM10" s="168"/>
      <c r="BP10" s="84">
        <v>6</v>
      </c>
      <c r="BQ10" s="85" t="s">
        <v>262</v>
      </c>
      <c r="BR10" s="81"/>
    </row>
    <row r="11" spans="2:70" ht="33" customHeight="1">
      <c r="B11" s="160"/>
      <c r="C11" s="189"/>
      <c r="D11" s="161" t="s">
        <v>238</v>
      </c>
      <c r="E11" s="162"/>
      <c r="F11" s="148" t="s">
        <v>234</v>
      </c>
      <c r="G11" s="149"/>
      <c r="H11" s="152" t="s">
        <v>239</v>
      </c>
      <c r="I11" s="153"/>
      <c r="J11" s="156" t="s">
        <v>246</v>
      </c>
      <c r="K11" s="157"/>
      <c r="L11" s="161"/>
      <c r="M11" s="162"/>
      <c r="N11" s="148"/>
      <c r="O11" s="149"/>
      <c r="P11" s="152"/>
      <c r="Q11" s="153"/>
      <c r="R11" s="156"/>
      <c r="S11" s="157"/>
      <c r="T11" s="161" t="s">
        <v>261</v>
      </c>
      <c r="U11" s="162"/>
      <c r="V11" s="148" t="s">
        <v>263</v>
      </c>
      <c r="W11" s="149"/>
      <c r="X11" s="152"/>
      <c r="Y11" s="153"/>
      <c r="Z11" s="156"/>
      <c r="AA11" s="157"/>
      <c r="AB11" s="161" t="s">
        <v>264</v>
      </c>
      <c r="AC11" s="162"/>
      <c r="AD11" s="148" t="s">
        <v>265</v>
      </c>
      <c r="AE11" s="149"/>
      <c r="AF11" s="152" t="s">
        <v>266</v>
      </c>
      <c r="AG11" s="153"/>
      <c r="AH11" s="156" t="s">
        <v>267</v>
      </c>
      <c r="AI11" s="157"/>
      <c r="AJ11" s="161" t="s">
        <v>268</v>
      </c>
      <c r="AK11" s="162"/>
      <c r="AL11" s="191" t="s">
        <v>256</v>
      </c>
      <c r="AM11" s="192"/>
      <c r="AP11" s="161" t="s">
        <v>261</v>
      </c>
      <c r="AQ11" s="162"/>
      <c r="AR11" s="148" t="s">
        <v>263</v>
      </c>
      <c r="AS11" s="149"/>
      <c r="AT11" s="152"/>
      <c r="AU11" s="153"/>
      <c r="AV11" s="156"/>
      <c r="AW11" s="157"/>
      <c r="AX11" s="161" t="s">
        <v>262</v>
      </c>
      <c r="AY11" s="162"/>
      <c r="AZ11" s="148" t="s">
        <v>251</v>
      </c>
      <c r="BA11" s="149"/>
      <c r="BB11" s="152" t="s">
        <v>242</v>
      </c>
      <c r="BC11" s="153"/>
      <c r="BD11" s="156" t="s">
        <v>243</v>
      </c>
      <c r="BE11" s="157"/>
      <c r="BF11" s="161" t="s">
        <v>269</v>
      </c>
      <c r="BG11" s="162"/>
      <c r="BH11" s="148" t="s">
        <v>260</v>
      </c>
      <c r="BI11" s="149"/>
      <c r="BJ11" s="152"/>
      <c r="BK11" s="153"/>
      <c r="BL11" s="156"/>
      <c r="BM11" s="157"/>
      <c r="BP11" s="84">
        <v>7</v>
      </c>
      <c r="BQ11" s="85" t="s">
        <v>242</v>
      </c>
      <c r="BR11" s="81"/>
    </row>
    <row r="12" spans="2:70" ht="33" customHeight="1">
      <c r="B12" s="160"/>
      <c r="C12" s="189"/>
      <c r="D12" s="163"/>
      <c r="E12" s="164"/>
      <c r="F12" s="150"/>
      <c r="G12" s="151"/>
      <c r="H12" s="154"/>
      <c r="I12" s="155"/>
      <c r="J12" s="158"/>
      <c r="K12" s="159"/>
      <c r="L12" s="163"/>
      <c r="M12" s="164"/>
      <c r="N12" s="150"/>
      <c r="O12" s="151"/>
      <c r="P12" s="154"/>
      <c r="Q12" s="155"/>
      <c r="R12" s="158"/>
      <c r="S12" s="159"/>
      <c r="T12" s="163"/>
      <c r="U12" s="164"/>
      <c r="V12" s="150"/>
      <c r="W12" s="151"/>
      <c r="X12" s="154"/>
      <c r="Y12" s="155"/>
      <c r="Z12" s="158"/>
      <c r="AA12" s="159"/>
      <c r="AB12" s="163"/>
      <c r="AC12" s="164"/>
      <c r="AD12" s="150"/>
      <c r="AE12" s="151"/>
      <c r="AF12" s="154"/>
      <c r="AG12" s="155"/>
      <c r="AH12" s="158"/>
      <c r="AI12" s="159"/>
      <c r="AJ12" s="163"/>
      <c r="AK12" s="164"/>
      <c r="AL12" s="193"/>
      <c r="AM12" s="194"/>
      <c r="AP12" s="163"/>
      <c r="AQ12" s="164"/>
      <c r="AR12" s="150"/>
      <c r="AS12" s="151"/>
      <c r="AT12" s="154"/>
      <c r="AU12" s="155"/>
      <c r="AV12" s="158"/>
      <c r="AW12" s="159"/>
      <c r="AX12" s="163"/>
      <c r="AY12" s="164"/>
      <c r="AZ12" s="150"/>
      <c r="BA12" s="151"/>
      <c r="BB12" s="154"/>
      <c r="BC12" s="155"/>
      <c r="BD12" s="158"/>
      <c r="BE12" s="159"/>
      <c r="BF12" s="163"/>
      <c r="BG12" s="164"/>
      <c r="BH12" s="150"/>
      <c r="BI12" s="151"/>
      <c r="BJ12" s="154"/>
      <c r="BK12" s="155"/>
      <c r="BL12" s="158"/>
      <c r="BM12" s="159"/>
      <c r="BP12" s="84">
        <v>8</v>
      </c>
      <c r="BQ12" s="85" t="s">
        <v>269</v>
      </c>
      <c r="BR12" s="81"/>
    </row>
    <row r="13" spans="2:70" ht="33" customHeight="1">
      <c r="B13" s="160"/>
      <c r="C13" s="160" t="s">
        <v>270</v>
      </c>
      <c r="D13" s="177" t="s">
        <v>235</v>
      </c>
      <c r="E13" s="178"/>
      <c r="F13" s="169" t="s">
        <v>236</v>
      </c>
      <c r="G13" s="170"/>
      <c r="H13" s="173"/>
      <c r="I13" s="174"/>
      <c r="J13" s="165"/>
      <c r="K13" s="166"/>
      <c r="L13" s="177"/>
      <c r="M13" s="178"/>
      <c r="N13" s="169"/>
      <c r="O13" s="170"/>
      <c r="P13" s="173"/>
      <c r="Q13" s="174"/>
      <c r="R13" s="165"/>
      <c r="S13" s="166"/>
      <c r="T13" s="177" t="s">
        <v>257</v>
      </c>
      <c r="U13" s="178"/>
      <c r="V13" s="169" t="s">
        <v>258</v>
      </c>
      <c r="W13" s="170"/>
      <c r="X13" s="173"/>
      <c r="Y13" s="174"/>
      <c r="Z13" s="165"/>
      <c r="AA13" s="166"/>
      <c r="AB13" s="177" t="s">
        <v>271</v>
      </c>
      <c r="AC13" s="178"/>
      <c r="AD13" s="169" t="s">
        <v>272</v>
      </c>
      <c r="AE13" s="170"/>
      <c r="AF13" s="173"/>
      <c r="AG13" s="174"/>
      <c r="AH13" s="165"/>
      <c r="AI13" s="166"/>
      <c r="AJ13" s="177"/>
      <c r="AK13" s="178"/>
      <c r="AL13" s="195"/>
      <c r="AM13" s="196"/>
      <c r="AP13" s="177" t="s">
        <v>252</v>
      </c>
      <c r="AQ13" s="178"/>
      <c r="AR13" s="169" t="s">
        <v>253</v>
      </c>
      <c r="AS13" s="170"/>
      <c r="AT13" s="173" t="s">
        <v>230</v>
      </c>
      <c r="AU13" s="174"/>
      <c r="AV13" s="165" t="s">
        <v>254</v>
      </c>
      <c r="AW13" s="166"/>
      <c r="AX13" s="177" t="s">
        <v>271</v>
      </c>
      <c r="AY13" s="178"/>
      <c r="AZ13" s="169" t="s">
        <v>272</v>
      </c>
      <c r="BA13" s="170"/>
      <c r="BB13" s="185" t="s">
        <v>273</v>
      </c>
      <c r="BC13" s="186"/>
      <c r="BD13" s="165" t="s">
        <v>231</v>
      </c>
      <c r="BE13" s="166"/>
      <c r="BF13" s="177"/>
      <c r="BG13" s="178"/>
      <c r="BH13" s="169"/>
      <c r="BI13" s="170"/>
      <c r="BJ13" s="173"/>
      <c r="BK13" s="174"/>
      <c r="BL13" s="165"/>
      <c r="BM13" s="166"/>
      <c r="BP13" s="84">
        <v>9</v>
      </c>
      <c r="BQ13" s="85" t="s">
        <v>264</v>
      </c>
      <c r="BR13" s="81"/>
    </row>
    <row r="14" spans="2:70" ht="33" customHeight="1">
      <c r="B14" s="160"/>
      <c r="C14" s="160"/>
      <c r="D14" s="179"/>
      <c r="E14" s="180"/>
      <c r="F14" s="171"/>
      <c r="G14" s="172"/>
      <c r="H14" s="175"/>
      <c r="I14" s="176"/>
      <c r="J14" s="167"/>
      <c r="K14" s="168"/>
      <c r="L14" s="179"/>
      <c r="M14" s="180"/>
      <c r="N14" s="171"/>
      <c r="O14" s="172"/>
      <c r="P14" s="175"/>
      <c r="Q14" s="176"/>
      <c r="R14" s="167"/>
      <c r="S14" s="168"/>
      <c r="T14" s="179"/>
      <c r="U14" s="180"/>
      <c r="V14" s="171"/>
      <c r="W14" s="172"/>
      <c r="X14" s="175"/>
      <c r="Y14" s="176"/>
      <c r="Z14" s="167"/>
      <c r="AA14" s="168"/>
      <c r="AB14" s="179"/>
      <c r="AC14" s="180"/>
      <c r="AD14" s="171"/>
      <c r="AE14" s="172"/>
      <c r="AF14" s="175"/>
      <c r="AG14" s="176"/>
      <c r="AH14" s="167"/>
      <c r="AI14" s="168"/>
      <c r="AJ14" s="179"/>
      <c r="AK14" s="180"/>
      <c r="AL14" s="197"/>
      <c r="AM14" s="198"/>
      <c r="AP14" s="179"/>
      <c r="AQ14" s="180"/>
      <c r="AR14" s="171"/>
      <c r="AS14" s="172"/>
      <c r="AT14" s="175"/>
      <c r="AU14" s="176"/>
      <c r="AV14" s="167"/>
      <c r="AW14" s="168"/>
      <c r="AX14" s="179"/>
      <c r="AY14" s="180"/>
      <c r="AZ14" s="171"/>
      <c r="BA14" s="172"/>
      <c r="BB14" s="187"/>
      <c r="BC14" s="188"/>
      <c r="BD14" s="167"/>
      <c r="BE14" s="168"/>
      <c r="BF14" s="179"/>
      <c r="BG14" s="180"/>
      <c r="BH14" s="171"/>
      <c r="BI14" s="172"/>
      <c r="BJ14" s="175"/>
      <c r="BK14" s="176"/>
      <c r="BL14" s="167"/>
      <c r="BM14" s="168"/>
      <c r="BP14" s="84">
        <v>10</v>
      </c>
      <c r="BQ14" s="85" t="s">
        <v>266</v>
      </c>
      <c r="BR14" s="81"/>
    </row>
    <row r="15" spans="2:70" ht="33" customHeight="1">
      <c r="B15" s="160"/>
      <c r="C15" s="160"/>
      <c r="D15" s="161" t="s">
        <v>247</v>
      </c>
      <c r="E15" s="162"/>
      <c r="F15" s="148" t="s">
        <v>233</v>
      </c>
      <c r="G15" s="149"/>
      <c r="H15" s="152"/>
      <c r="I15" s="153"/>
      <c r="J15" s="156"/>
      <c r="K15" s="157"/>
      <c r="L15" s="161"/>
      <c r="M15" s="162"/>
      <c r="N15" s="148"/>
      <c r="O15" s="149"/>
      <c r="P15" s="152"/>
      <c r="Q15" s="153"/>
      <c r="R15" s="156"/>
      <c r="S15" s="157"/>
      <c r="T15" s="161" t="s">
        <v>262</v>
      </c>
      <c r="U15" s="162"/>
      <c r="V15" s="148" t="s">
        <v>251</v>
      </c>
      <c r="W15" s="149"/>
      <c r="X15" s="152"/>
      <c r="Y15" s="153"/>
      <c r="Z15" s="156"/>
      <c r="AA15" s="157"/>
      <c r="AB15" s="161" t="s">
        <v>274</v>
      </c>
      <c r="AC15" s="162"/>
      <c r="AD15" s="148" t="s">
        <v>253</v>
      </c>
      <c r="AE15" s="149"/>
      <c r="AF15" s="152"/>
      <c r="AG15" s="153"/>
      <c r="AH15" s="156"/>
      <c r="AI15" s="157"/>
      <c r="AJ15" s="161"/>
      <c r="AK15" s="162"/>
      <c r="AL15" s="191"/>
      <c r="AM15" s="192"/>
      <c r="AP15" s="161" t="s">
        <v>264</v>
      </c>
      <c r="AQ15" s="162"/>
      <c r="AR15" s="148" t="s">
        <v>265</v>
      </c>
      <c r="AS15" s="149"/>
      <c r="AT15" s="152" t="s">
        <v>266</v>
      </c>
      <c r="AU15" s="153"/>
      <c r="AV15" s="156" t="s">
        <v>267</v>
      </c>
      <c r="AW15" s="157"/>
      <c r="AX15" s="161" t="s">
        <v>274</v>
      </c>
      <c r="AY15" s="162"/>
      <c r="AZ15" s="148" t="s">
        <v>253</v>
      </c>
      <c r="BA15" s="149"/>
      <c r="BB15" s="152" t="s">
        <v>244</v>
      </c>
      <c r="BC15" s="153"/>
      <c r="BD15" s="156" t="s">
        <v>245</v>
      </c>
      <c r="BE15" s="157"/>
      <c r="BF15" s="161"/>
      <c r="BG15" s="162"/>
      <c r="BH15" s="148"/>
      <c r="BI15" s="149"/>
      <c r="BJ15" s="152"/>
      <c r="BK15" s="153"/>
      <c r="BL15" s="156"/>
      <c r="BM15" s="157"/>
      <c r="BP15" s="84">
        <v>11</v>
      </c>
      <c r="BQ15" s="85" t="s">
        <v>274</v>
      </c>
      <c r="BR15" s="81"/>
    </row>
    <row r="16" spans="2:70" ht="33" customHeight="1">
      <c r="B16" s="160"/>
      <c r="C16" s="160"/>
      <c r="D16" s="163"/>
      <c r="E16" s="164"/>
      <c r="F16" s="150"/>
      <c r="G16" s="151"/>
      <c r="H16" s="154"/>
      <c r="I16" s="155"/>
      <c r="J16" s="158"/>
      <c r="K16" s="159"/>
      <c r="L16" s="163"/>
      <c r="M16" s="164"/>
      <c r="N16" s="150"/>
      <c r="O16" s="151"/>
      <c r="P16" s="154"/>
      <c r="Q16" s="155"/>
      <c r="R16" s="158"/>
      <c r="S16" s="159"/>
      <c r="T16" s="163"/>
      <c r="U16" s="164"/>
      <c r="V16" s="150"/>
      <c r="W16" s="151"/>
      <c r="X16" s="154"/>
      <c r="Y16" s="155"/>
      <c r="Z16" s="158"/>
      <c r="AA16" s="159"/>
      <c r="AB16" s="163"/>
      <c r="AC16" s="164"/>
      <c r="AD16" s="150"/>
      <c r="AE16" s="151"/>
      <c r="AF16" s="154"/>
      <c r="AG16" s="155"/>
      <c r="AH16" s="158"/>
      <c r="AI16" s="159"/>
      <c r="AJ16" s="163"/>
      <c r="AK16" s="164"/>
      <c r="AL16" s="193"/>
      <c r="AM16" s="194"/>
      <c r="AP16" s="163"/>
      <c r="AQ16" s="164"/>
      <c r="AR16" s="150"/>
      <c r="AS16" s="151"/>
      <c r="AT16" s="154"/>
      <c r="AU16" s="155"/>
      <c r="AV16" s="158"/>
      <c r="AW16" s="159"/>
      <c r="AX16" s="163"/>
      <c r="AY16" s="164"/>
      <c r="AZ16" s="150"/>
      <c r="BA16" s="151"/>
      <c r="BB16" s="154"/>
      <c r="BC16" s="155"/>
      <c r="BD16" s="158"/>
      <c r="BE16" s="159"/>
      <c r="BF16" s="163"/>
      <c r="BG16" s="164"/>
      <c r="BH16" s="150"/>
      <c r="BI16" s="151"/>
      <c r="BJ16" s="154"/>
      <c r="BK16" s="155"/>
      <c r="BL16" s="158"/>
      <c r="BM16" s="159"/>
      <c r="BP16" s="84">
        <v>12</v>
      </c>
      <c r="BQ16" s="85" t="s">
        <v>244</v>
      </c>
      <c r="BR16" s="81"/>
    </row>
    <row r="17" spans="2:70" ht="33" customHeight="1">
      <c r="B17" s="160" t="s">
        <v>275</v>
      </c>
      <c r="C17" s="160" t="s">
        <v>249</v>
      </c>
      <c r="D17" s="177"/>
      <c r="E17" s="178"/>
      <c r="F17" s="169"/>
      <c r="G17" s="170"/>
      <c r="H17" s="173"/>
      <c r="I17" s="174"/>
      <c r="J17" s="165"/>
      <c r="K17" s="166"/>
      <c r="L17" s="177" t="s">
        <v>276</v>
      </c>
      <c r="M17" s="178"/>
      <c r="N17" s="169" t="s">
        <v>277</v>
      </c>
      <c r="O17" s="170"/>
      <c r="P17" s="173" t="s">
        <v>278</v>
      </c>
      <c r="Q17" s="174"/>
      <c r="R17" s="165" t="s">
        <v>279</v>
      </c>
      <c r="S17" s="166"/>
      <c r="T17" s="177" t="s">
        <v>276</v>
      </c>
      <c r="U17" s="178"/>
      <c r="V17" s="169" t="s">
        <v>280</v>
      </c>
      <c r="W17" s="170"/>
      <c r="X17" s="173" t="s">
        <v>278</v>
      </c>
      <c r="Y17" s="174"/>
      <c r="Z17" s="165" t="s">
        <v>281</v>
      </c>
      <c r="AA17" s="166"/>
      <c r="AB17" s="177"/>
      <c r="AC17" s="178"/>
      <c r="AD17" s="169"/>
      <c r="AE17" s="170"/>
      <c r="AF17" s="173"/>
      <c r="AG17" s="174"/>
      <c r="AH17" s="165"/>
      <c r="AI17" s="166"/>
      <c r="AJ17" s="177"/>
      <c r="AK17" s="178"/>
      <c r="AL17" s="195"/>
      <c r="AM17" s="196"/>
      <c r="AP17" s="177"/>
      <c r="AQ17" s="178"/>
      <c r="AR17" s="169"/>
      <c r="AS17" s="170"/>
      <c r="AT17" s="173"/>
      <c r="AU17" s="174"/>
      <c r="AV17" s="165"/>
      <c r="AW17" s="166"/>
      <c r="AX17" s="177"/>
      <c r="AY17" s="178"/>
      <c r="AZ17" s="169"/>
      <c r="BA17" s="170"/>
      <c r="BB17" s="173"/>
      <c r="BC17" s="174"/>
      <c r="BD17" s="165"/>
      <c r="BE17" s="166"/>
      <c r="BF17" s="177"/>
      <c r="BG17" s="178"/>
      <c r="BH17" s="169"/>
      <c r="BI17" s="170"/>
      <c r="BJ17" s="173" t="s">
        <v>282</v>
      </c>
      <c r="BK17" s="174"/>
      <c r="BL17" s="165" t="s">
        <v>283</v>
      </c>
      <c r="BM17" s="166"/>
      <c r="BP17" s="84">
        <v>13</v>
      </c>
      <c r="BQ17" s="85" t="s">
        <v>284</v>
      </c>
      <c r="BR17" s="81"/>
    </row>
    <row r="18" spans="2:70" ht="33" customHeight="1">
      <c r="B18" s="160"/>
      <c r="C18" s="160"/>
      <c r="D18" s="179"/>
      <c r="E18" s="180"/>
      <c r="F18" s="171"/>
      <c r="G18" s="172"/>
      <c r="H18" s="175"/>
      <c r="I18" s="176"/>
      <c r="J18" s="167"/>
      <c r="K18" s="168"/>
      <c r="L18" s="179"/>
      <c r="M18" s="180"/>
      <c r="N18" s="171"/>
      <c r="O18" s="172"/>
      <c r="P18" s="175"/>
      <c r="Q18" s="176"/>
      <c r="R18" s="167"/>
      <c r="S18" s="168"/>
      <c r="T18" s="179"/>
      <c r="U18" s="180"/>
      <c r="V18" s="171"/>
      <c r="W18" s="172"/>
      <c r="X18" s="175"/>
      <c r="Y18" s="176"/>
      <c r="Z18" s="167"/>
      <c r="AA18" s="168"/>
      <c r="AB18" s="179"/>
      <c r="AC18" s="180"/>
      <c r="AD18" s="171"/>
      <c r="AE18" s="172"/>
      <c r="AF18" s="175"/>
      <c r="AG18" s="176"/>
      <c r="AH18" s="167"/>
      <c r="AI18" s="168"/>
      <c r="AJ18" s="179"/>
      <c r="AK18" s="180"/>
      <c r="AL18" s="197"/>
      <c r="AM18" s="198"/>
      <c r="AP18" s="179"/>
      <c r="AQ18" s="180"/>
      <c r="AR18" s="171"/>
      <c r="AS18" s="172"/>
      <c r="AT18" s="175"/>
      <c r="AU18" s="176"/>
      <c r="AV18" s="167"/>
      <c r="AW18" s="168"/>
      <c r="AX18" s="179"/>
      <c r="AY18" s="180"/>
      <c r="AZ18" s="171"/>
      <c r="BA18" s="172"/>
      <c r="BB18" s="175"/>
      <c r="BC18" s="176"/>
      <c r="BD18" s="167"/>
      <c r="BE18" s="168"/>
      <c r="BF18" s="179"/>
      <c r="BG18" s="180"/>
      <c r="BH18" s="171"/>
      <c r="BI18" s="172"/>
      <c r="BJ18" s="175"/>
      <c r="BK18" s="176"/>
      <c r="BL18" s="167"/>
      <c r="BM18" s="168"/>
      <c r="BP18" s="84">
        <v>14</v>
      </c>
      <c r="BQ18" s="85" t="s">
        <v>285</v>
      </c>
      <c r="BR18" s="81"/>
    </row>
    <row r="19" spans="2:70" ht="33" customHeight="1">
      <c r="B19" s="160"/>
      <c r="C19" s="160"/>
      <c r="D19" s="181"/>
      <c r="E19" s="182"/>
      <c r="F19" s="148"/>
      <c r="G19" s="149"/>
      <c r="H19" s="152"/>
      <c r="I19" s="153"/>
      <c r="J19" s="156"/>
      <c r="K19" s="157"/>
      <c r="L19" s="161" t="s">
        <v>285</v>
      </c>
      <c r="M19" s="162"/>
      <c r="N19" s="148" t="s">
        <v>286</v>
      </c>
      <c r="O19" s="149"/>
      <c r="P19" s="152" t="s">
        <v>287</v>
      </c>
      <c r="Q19" s="153"/>
      <c r="R19" s="156" t="s">
        <v>288</v>
      </c>
      <c r="S19" s="157"/>
      <c r="T19" s="161" t="s">
        <v>289</v>
      </c>
      <c r="U19" s="162"/>
      <c r="V19" s="148" t="s">
        <v>290</v>
      </c>
      <c r="W19" s="149"/>
      <c r="X19" s="152" t="s">
        <v>291</v>
      </c>
      <c r="Y19" s="153"/>
      <c r="Z19" s="156" t="s">
        <v>292</v>
      </c>
      <c r="AA19" s="157"/>
      <c r="AB19" s="181"/>
      <c r="AC19" s="182"/>
      <c r="AD19" s="148"/>
      <c r="AE19" s="149"/>
      <c r="AF19" s="152"/>
      <c r="AG19" s="153"/>
      <c r="AH19" s="156"/>
      <c r="AI19" s="157"/>
      <c r="AJ19" s="161"/>
      <c r="AK19" s="162"/>
      <c r="AL19" s="191"/>
      <c r="AM19" s="192"/>
      <c r="AP19" s="181"/>
      <c r="AQ19" s="182"/>
      <c r="AR19" s="148"/>
      <c r="AS19" s="149"/>
      <c r="AT19" s="152"/>
      <c r="AU19" s="153"/>
      <c r="AV19" s="156"/>
      <c r="AW19" s="157"/>
      <c r="AX19" s="181"/>
      <c r="AY19" s="182"/>
      <c r="AZ19" s="148"/>
      <c r="BA19" s="149"/>
      <c r="BB19" s="152"/>
      <c r="BC19" s="153"/>
      <c r="BD19" s="156"/>
      <c r="BE19" s="157"/>
      <c r="BF19" s="181"/>
      <c r="BG19" s="182"/>
      <c r="BH19" s="148"/>
      <c r="BI19" s="149"/>
      <c r="BJ19" s="152" t="s">
        <v>293</v>
      </c>
      <c r="BK19" s="153"/>
      <c r="BL19" s="156" t="s">
        <v>294</v>
      </c>
      <c r="BM19" s="157"/>
      <c r="BP19" s="84">
        <v>15</v>
      </c>
      <c r="BQ19" s="85" t="s">
        <v>295</v>
      </c>
      <c r="BR19" s="81"/>
    </row>
    <row r="20" spans="2:70" ht="33" customHeight="1">
      <c r="B20" s="160"/>
      <c r="C20" s="160"/>
      <c r="D20" s="183"/>
      <c r="E20" s="184"/>
      <c r="F20" s="150"/>
      <c r="G20" s="151"/>
      <c r="H20" s="154"/>
      <c r="I20" s="155"/>
      <c r="J20" s="158"/>
      <c r="K20" s="159"/>
      <c r="L20" s="163"/>
      <c r="M20" s="164"/>
      <c r="N20" s="150"/>
      <c r="O20" s="151"/>
      <c r="P20" s="154"/>
      <c r="Q20" s="155"/>
      <c r="R20" s="158"/>
      <c r="S20" s="159"/>
      <c r="T20" s="163"/>
      <c r="U20" s="164"/>
      <c r="V20" s="150"/>
      <c r="W20" s="151"/>
      <c r="X20" s="154"/>
      <c r="Y20" s="155"/>
      <c r="Z20" s="158"/>
      <c r="AA20" s="159"/>
      <c r="AB20" s="183"/>
      <c r="AC20" s="184"/>
      <c r="AD20" s="150"/>
      <c r="AE20" s="151"/>
      <c r="AF20" s="154"/>
      <c r="AG20" s="155"/>
      <c r="AH20" s="158"/>
      <c r="AI20" s="159"/>
      <c r="AJ20" s="163"/>
      <c r="AK20" s="164"/>
      <c r="AL20" s="193"/>
      <c r="AM20" s="194"/>
      <c r="AP20" s="183"/>
      <c r="AQ20" s="184"/>
      <c r="AR20" s="150"/>
      <c r="AS20" s="151"/>
      <c r="AT20" s="154"/>
      <c r="AU20" s="155"/>
      <c r="AV20" s="158"/>
      <c r="AW20" s="159"/>
      <c r="AX20" s="183"/>
      <c r="AY20" s="184"/>
      <c r="AZ20" s="150"/>
      <c r="BA20" s="151"/>
      <c r="BB20" s="154"/>
      <c r="BC20" s="155"/>
      <c r="BD20" s="158"/>
      <c r="BE20" s="159"/>
      <c r="BF20" s="183"/>
      <c r="BG20" s="184"/>
      <c r="BH20" s="150"/>
      <c r="BI20" s="151"/>
      <c r="BJ20" s="154"/>
      <c r="BK20" s="155"/>
      <c r="BL20" s="158"/>
      <c r="BM20" s="159"/>
      <c r="BP20" s="84">
        <v>16</v>
      </c>
      <c r="BQ20" s="85" t="s">
        <v>289</v>
      </c>
      <c r="BR20" s="81"/>
    </row>
    <row r="21" spans="2:70" ht="33" customHeight="1">
      <c r="B21" s="160"/>
      <c r="C21" s="160" t="s">
        <v>270</v>
      </c>
      <c r="D21" s="177"/>
      <c r="E21" s="178"/>
      <c r="F21" s="169"/>
      <c r="G21" s="170"/>
      <c r="H21" s="173"/>
      <c r="I21" s="174"/>
      <c r="J21" s="165"/>
      <c r="K21" s="166"/>
      <c r="L21" s="177" t="s">
        <v>296</v>
      </c>
      <c r="M21" s="178"/>
      <c r="N21" s="169" t="s">
        <v>297</v>
      </c>
      <c r="O21" s="170"/>
      <c r="P21" s="173"/>
      <c r="Q21" s="174"/>
      <c r="R21" s="165"/>
      <c r="S21" s="166"/>
      <c r="T21" s="177" t="s">
        <v>296</v>
      </c>
      <c r="U21" s="178"/>
      <c r="V21" s="169" t="s">
        <v>298</v>
      </c>
      <c r="W21" s="170"/>
      <c r="X21" s="173"/>
      <c r="Y21" s="174"/>
      <c r="Z21" s="165"/>
      <c r="AA21" s="166"/>
      <c r="AB21" s="177"/>
      <c r="AC21" s="178"/>
      <c r="AD21" s="169"/>
      <c r="AE21" s="170"/>
      <c r="AF21" s="173"/>
      <c r="AG21" s="174"/>
      <c r="AH21" s="165"/>
      <c r="AI21" s="166"/>
      <c r="AJ21" s="177"/>
      <c r="AK21" s="178"/>
      <c r="AL21" s="195"/>
      <c r="AM21" s="196"/>
      <c r="AP21" s="177" t="s">
        <v>276</v>
      </c>
      <c r="AQ21" s="178"/>
      <c r="AR21" s="169" t="s">
        <v>277</v>
      </c>
      <c r="AS21" s="170"/>
      <c r="AT21" s="173"/>
      <c r="AU21" s="174"/>
      <c r="AV21" s="165"/>
      <c r="AW21" s="166"/>
      <c r="AX21" s="177" t="s">
        <v>296</v>
      </c>
      <c r="AY21" s="178"/>
      <c r="AZ21" s="169" t="s">
        <v>297</v>
      </c>
      <c r="BA21" s="170"/>
      <c r="BB21" s="173"/>
      <c r="BC21" s="174"/>
      <c r="BD21" s="165"/>
      <c r="BE21" s="166"/>
      <c r="BF21" s="177"/>
      <c r="BG21" s="178"/>
      <c r="BH21" s="169"/>
      <c r="BI21" s="170"/>
      <c r="BJ21" s="173"/>
      <c r="BK21" s="174"/>
      <c r="BL21" s="165"/>
      <c r="BM21" s="166"/>
      <c r="BP21" s="84">
        <v>17</v>
      </c>
      <c r="BQ21" s="85" t="s">
        <v>299</v>
      </c>
      <c r="BR21" s="81"/>
    </row>
    <row r="22" spans="2:70" ht="33" customHeight="1">
      <c r="B22" s="160"/>
      <c r="C22" s="160"/>
      <c r="D22" s="179"/>
      <c r="E22" s="180"/>
      <c r="F22" s="171"/>
      <c r="G22" s="172"/>
      <c r="H22" s="175"/>
      <c r="I22" s="176"/>
      <c r="J22" s="167"/>
      <c r="K22" s="168"/>
      <c r="L22" s="179"/>
      <c r="M22" s="180"/>
      <c r="N22" s="171"/>
      <c r="O22" s="172"/>
      <c r="P22" s="175"/>
      <c r="Q22" s="176"/>
      <c r="R22" s="167"/>
      <c r="S22" s="168"/>
      <c r="T22" s="179"/>
      <c r="U22" s="180"/>
      <c r="V22" s="171"/>
      <c r="W22" s="172"/>
      <c r="X22" s="175"/>
      <c r="Y22" s="176"/>
      <c r="Z22" s="167"/>
      <c r="AA22" s="168"/>
      <c r="AB22" s="179"/>
      <c r="AC22" s="180"/>
      <c r="AD22" s="171"/>
      <c r="AE22" s="172"/>
      <c r="AF22" s="175"/>
      <c r="AG22" s="176"/>
      <c r="AH22" s="167"/>
      <c r="AI22" s="168"/>
      <c r="AJ22" s="179"/>
      <c r="AK22" s="180"/>
      <c r="AL22" s="197"/>
      <c r="AM22" s="198"/>
      <c r="AP22" s="179"/>
      <c r="AQ22" s="180"/>
      <c r="AR22" s="171"/>
      <c r="AS22" s="172"/>
      <c r="AT22" s="175"/>
      <c r="AU22" s="176"/>
      <c r="AV22" s="167"/>
      <c r="AW22" s="168"/>
      <c r="AX22" s="179"/>
      <c r="AY22" s="180"/>
      <c r="AZ22" s="171"/>
      <c r="BA22" s="172"/>
      <c r="BB22" s="175"/>
      <c r="BC22" s="176"/>
      <c r="BD22" s="167"/>
      <c r="BE22" s="168"/>
      <c r="BF22" s="179"/>
      <c r="BG22" s="180"/>
      <c r="BH22" s="171"/>
      <c r="BI22" s="172"/>
      <c r="BJ22" s="175"/>
      <c r="BK22" s="176"/>
      <c r="BL22" s="167"/>
      <c r="BM22" s="168"/>
      <c r="BP22" s="84">
        <v>18</v>
      </c>
      <c r="BQ22" s="85" t="s">
        <v>300</v>
      </c>
      <c r="BR22" s="81"/>
    </row>
    <row r="23" spans="2:70" ht="33" customHeight="1">
      <c r="B23" s="160"/>
      <c r="C23" s="160"/>
      <c r="D23" s="181"/>
      <c r="E23" s="182"/>
      <c r="F23" s="148"/>
      <c r="G23" s="149"/>
      <c r="H23" s="152"/>
      <c r="I23" s="153"/>
      <c r="J23" s="156"/>
      <c r="K23" s="157"/>
      <c r="L23" s="161" t="s">
        <v>295</v>
      </c>
      <c r="M23" s="162"/>
      <c r="N23" s="148" t="s">
        <v>301</v>
      </c>
      <c r="O23" s="149"/>
      <c r="P23" s="152"/>
      <c r="Q23" s="153"/>
      <c r="R23" s="156"/>
      <c r="S23" s="157"/>
      <c r="T23" s="161" t="s">
        <v>299</v>
      </c>
      <c r="U23" s="162"/>
      <c r="V23" s="148" t="s">
        <v>302</v>
      </c>
      <c r="W23" s="149"/>
      <c r="X23" s="152"/>
      <c r="Y23" s="153"/>
      <c r="Z23" s="156"/>
      <c r="AA23" s="157"/>
      <c r="AB23" s="181"/>
      <c r="AC23" s="182"/>
      <c r="AD23" s="148"/>
      <c r="AE23" s="149"/>
      <c r="AF23" s="152"/>
      <c r="AG23" s="153"/>
      <c r="AH23" s="156"/>
      <c r="AI23" s="157"/>
      <c r="AJ23" s="161"/>
      <c r="AK23" s="162"/>
      <c r="AL23" s="191"/>
      <c r="AM23" s="192"/>
      <c r="AP23" s="161" t="s">
        <v>285</v>
      </c>
      <c r="AQ23" s="162"/>
      <c r="AR23" s="148" t="s">
        <v>286</v>
      </c>
      <c r="AS23" s="149"/>
      <c r="AT23" s="152"/>
      <c r="AU23" s="153"/>
      <c r="AV23" s="156"/>
      <c r="AW23" s="157"/>
      <c r="AX23" s="161" t="s">
        <v>295</v>
      </c>
      <c r="AY23" s="162"/>
      <c r="AZ23" s="148" t="s">
        <v>301</v>
      </c>
      <c r="BA23" s="149"/>
      <c r="BB23" s="152"/>
      <c r="BC23" s="153"/>
      <c r="BD23" s="156"/>
      <c r="BE23" s="157"/>
      <c r="BF23" s="161"/>
      <c r="BG23" s="162"/>
      <c r="BH23" s="148"/>
      <c r="BI23" s="149"/>
      <c r="BJ23" s="152"/>
      <c r="BK23" s="153"/>
      <c r="BL23" s="156"/>
      <c r="BM23" s="157"/>
      <c r="BR23" s="81"/>
    </row>
    <row r="24" spans="2:70" ht="33" customHeight="1">
      <c r="B24" s="160"/>
      <c r="C24" s="160"/>
      <c r="D24" s="183"/>
      <c r="E24" s="184"/>
      <c r="F24" s="150"/>
      <c r="G24" s="151"/>
      <c r="H24" s="154"/>
      <c r="I24" s="155"/>
      <c r="J24" s="158"/>
      <c r="K24" s="159"/>
      <c r="L24" s="163"/>
      <c r="M24" s="164"/>
      <c r="N24" s="150"/>
      <c r="O24" s="151"/>
      <c r="P24" s="154"/>
      <c r="Q24" s="155"/>
      <c r="R24" s="158"/>
      <c r="S24" s="159"/>
      <c r="T24" s="163"/>
      <c r="U24" s="164"/>
      <c r="V24" s="150"/>
      <c r="W24" s="151"/>
      <c r="X24" s="154"/>
      <c r="Y24" s="155"/>
      <c r="Z24" s="158"/>
      <c r="AA24" s="159"/>
      <c r="AB24" s="183"/>
      <c r="AC24" s="184"/>
      <c r="AD24" s="150"/>
      <c r="AE24" s="151"/>
      <c r="AF24" s="154"/>
      <c r="AG24" s="155"/>
      <c r="AH24" s="158"/>
      <c r="AI24" s="159"/>
      <c r="AJ24" s="163"/>
      <c r="AK24" s="164"/>
      <c r="AL24" s="193"/>
      <c r="AM24" s="194"/>
      <c r="AP24" s="163"/>
      <c r="AQ24" s="164"/>
      <c r="AR24" s="150"/>
      <c r="AS24" s="151"/>
      <c r="AT24" s="154"/>
      <c r="AU24" s="155"/>
      <c r="AV24" s="158"/>
      <c r="AW24" s="159"/>
      <c r="AX24" s="163"/>
      <c r="AY24" s="164"/>
      <c r="AZ24" s="150"/>
      <c r="BA24" s="151"/>
      <c r="BB24" s="154"/>
      <c r="BC24" s="155"/>
      <c r="BD24" s="158"/>
      <c r="BE24" s="159"/>
      <c r="BF24" s="163"/>
      <c r="BG24" s="164"/>
      <c r="BH24" s="150"/>
      <c r="BI24" s="151"/>
      <c r="BJ24" s="154"/>
      <c r="BK24" s="155"/>
      <c r="BL24" s="158"/>
      <c r="BM24" s="159"/>
      <c r="BR24" s="81"/>
    </row>
    <row r="25" spans="2:70" ht="33" customHeight="1">
      <c r="B25" s="160" t="s">
        <v>303</v>
      </c>
      <c r="C25" s="160"/>
      <c r="D25" s="177"/>
      <c r="E25" s="178"/>
      <c r="F25" s="169"/>
      <c r="G25" s="170"/>
      <c r="H25" s="173"/>
      <c r="I25" s="174"/>
      <c r="J25" s="165"/>
      <c r="K25" s="166"/>
      <c r="L25" s="177" t="s">
        <v>37</v>
      </c>
      <c r="M25" s="178"/>
      <c r="N25" s="169" t="s">
        <v>304</v>
      </c>
      <c r="O25" s="170"/>
      <c r="P25" s="173"/>
      <c r="Q25" s="174"/>
      <c r="R25" s="165"/>
      <c r="S25" s="166"/>
      <c r="T25" s="177" t="s">
        <v>37</v>
      </c>
      <c r="U25" s="178"/>
      <c r="V25" s="169" t="s">
        <v>305</v>
      </c>
      <c r="W25" s="170"/>
      <c r="X25" s="173"/>
      <c r="Y25" s="174"/>
      <c r="Z25" s="165"/>
      <c r="AA25" s="166"/>
      <c r="AB25" s="177"/>
      <c r="AC25" s="178"/>
      <c r="AD25" s="169"/>
      <c r="AE25" s="170"/>
      <c r="AF25" s="173"/>
      <c r="AG25" s="174"/>
      <c r="AH25" s="165"/>
      <c r="AI25" s="166"/>
      <c r="AJ25" s="177" t="s">
        <v>282</v>
      </c>
      <c r="AK25" s="178"/>
      <c r="AL25" s="195" t="s">
        <v>283</v>
      </c>
      <c r="AM25" s="196"/>
      <c r="AP25" s="177" t="s">
        <v>276</v>
      </c>
      <c r="AQ25" s="178"/>
      <c r="AR25" s="169" t="s">
        <v>280</v>
      </c>
      <c r="AS25" s="170"/>
      <c r="AT25" s="173"/>
      <c r="AU25" s="174"/>
      <c r="AV25" s="165"/>
      <c r="AW25" s="166"/>
      <c r="AX25" s="177" t="s">
        <v>296</v>
      </c>
      <c r="AY25" s="178"/>
      <c r="AZ25" s="169" t="s">
        <v>298</v>
      </c>
      <c r="BA25" s="170"/>
      <c r="BB25" s="173"/>
      <c r="BC25" s="174"/>
      <c r="BD25" s="165"/>
      <c r="BE25" s="166"/>
      <c r="BF25" s="177"/>
      <c r="BG25" s="178"/>
      <c r="BH25" s="169"/>
      <c r="BI25" s="170"/>
      <c r="BJ25" s="173" t="s">
        <v>37</v>
      </c>
      <c r="BK25" s="174"/>
      <c r="BL25" s="165" t="s">
        <v>305</v>
      </c>
      <c r="BM25" s="166"/>
      <c r="BR25" s="81"/>
    </row>
    <row r="26" spans="2:70" ht="33" customHeight="1">
      <c r="B26" s="160"/>
      <c r="C26" s="160"/>
      <c r="D26" s="179"/>
      <c r="E26" s="180"/>
      <c r="F26" s="171"/>
      <c r="G26" s="172"/>
      <c r="H26" s="175"/>
      <c r="I26" s="176"/>
      <c r="J26" s="167"/>
      <c r="K26" s="168"/>
      <c r="L26" s="179"/>
      <c r="M26" s="180"/>
      <c r="N26" s="171"/>
      <c r="O26" s="172"/>
      <c r="P26" s="175"/>
      <c r="Q26" s="176"/>
      <c r="R26" s="167"/>
      <c r="S26" s="168"/>
      <c r="T26" s="179"/>
      <c r="U26" s="180"/>
      <c r="V26" s="171"/>
      <c r="W26" s="172"/>
      <c r="X26" s="175"/>
      <c r="Y26" s="176"/>
      <c r="Z26" s="167"/>
      <c r="AA26" s="168"/>
      <c r="AB26" s="179"/>
      <c r="AC26" s="180"/>
      <c r="AD26" s="171"/>
      <c r="AE26" s="172"/>
      <c r="AF26" s="175"/>
      <c r="AG26" s="176"/>
      <c r="AH26" s="167"/>
      <c r="AI26" s="168"/>
      <c r="AJ26" s="179"/>
      <c r="AK26" s="180"/>
      <c r="AL26" s="197"/>
      <c r="AM26" s="198"/>
      <c r="AP26" s="179"/>
      <c r="AQ26" s="180"/>
      <c r="AR26" s="171"/>
      <c r="AS26" s="172"/>
      <c r="AT26" s="175"/>
      <c r="AU26" s="176"/>
      <c r="AV26" s="167"/>
      <c r="AW26" s="168"/>
      <c r="AX26" s="179"/>
      <c r="AY26" s="180"/>
      <c r="AZ26" s="171"/>
      <c r="BA26" s="172"/>
      <c r="BB26" s="175"/>
      <c r="BC26" s="176"/>
      <c r="BD26" s="167"/>
      <c r="BE26" s="168"/>
      <c r="BF26" s="179"/>
      <c r="BG26" s="180"/>
      <c r="BH26" s="171"/>
      <c r="BI26" s="172"/>
      <c r="BJ26" s="175"/>
      <c r="BK26" s="176"/>
      <c r="BL26" s="167"/>
      <c r="BM26" s="168"/>
      <c r="BR26" s="81"/>
    </row>
    <row r="27" spans="2:70" ht="33" customHeight="1">
      <c r="B27" s="160"/>
      <c r="C27" s="160"/>
      <c r="D27" s="181"/>
      <c r="E27" s="182"/>
      <c r="F27" s="148"/>
      <c r="G27" s="149"/>
      <c r="H27" s="152"/>
      <c r="I27" s="153"/>
      <c r="J27" s="156"/>
      <c r="K27" s="157"/>
      <c r="L27" s="161" t="s">
        <v>306</v>
      </c>
      <c r="M27" s="162"/>
      <c r="N27" s="148" t="s">
        <v>307</v>
      </c>
      <c r="O27" s="149"/>
      <c r="P27" s="152"/>
      <c r="Q27" s="153"/>
      <c r="R27" s="156"/>
      <c r="S27" s="157"/>
      <c r="T27" s="161" t="s">
        <v>300</v>
      </c>
      <c r="U27" s="162"/>
      <c r="V27" s="148" t="s">
        <v>305</v>
      </c>
      <c r="W27" s="149"/>
      <c r="X27" s="152"/>
      <c r="Y27" s="153"/>
      <c r="Z27" s="156"/>
      <c r="AA27" s="157"/>
      <c r="AB27" s="181"/>
      <c r="AC27" s="182"/>
      <c r="AD27" s="148"/>
      <c r="AE27" s="149"/>
      <c r="AF27" s="152"/>
      <c r="AG27" s="153"/>
      <c r="AH27" s="156"/>
      <c r="AI27" s="157"/>
      <c r="AJ27" s="161" t="s">
        <v>284</v>
      </c>
      <c r="AK27" s="162"/>
      <c r="AL27" s="191" t="s">
        <v>283</v>
      </c>
      <c r="AM27" s="192"/>
      <c r="AP27" s="161" t="s">
        <v>289</v>
      </c>
      <c r="AQ27" s="162"/>
      <c r="AR27" s="148" t="s">
        <v>290</v>
      </c>
      <c r="AS27" s="149"/>
      <c r="AT27" s="152"/>
      <c r="AU27" s="153"/>
      <c r="AV27" s="156"/>
      <c r="AW27" s="157"/>
      <c r="AX27" s="161" t="s">
        <v>299</v>
      </c>
      <c r="AY27" s="162"/>
      <c r="AZ27" s="148" t="s">
        <v>302</v>
      </c>
      <c r="BA27" s="149"/>
      <c r="BB27" s="152"/>
      <c r="BC27" s="153"/>
      <c r="BD27" s="156"/>
      <c r="BE27" s="157"/>
      <c r="BF27" s="161"/>
      <c r="BG27" s="162"/>
      <c r="BH27" s="148"/>
      <c r="BI27" s="149"/>
      <c r="BJ27" s="152" t="s">
        <v>300</v>
      </c>
      <c r="BK27" s="153"/>
      <c r="BL27" s="156" t="s">
        <v>308</v>
      </c>
      <c r="BM27" s="157"/>
      <c r="BR27" s="81"/>
    </row>
    <row r="28" spans="2:70" ht="33" customHeight="1">
      <c r="B28" s="160"/>
      <c r="C28" s="160"/>
      <c r="D28" s="183"/>
      <c r="E28" s="184"/>
      <c r="F28" s="150"/>
      <c r="G28" s="151"/>
      <c r="H28" s="154"/>
      <c r="I28" s="155"/>
      <c r="J28" s="158"/>
      <c r="K28" s="159"/>
      <c r="L28" s="163"/>
      <c r="M28" s="164"/>
      <c r="N28" s="150"/>
      <c r="O28" s="151"/>
      <c r="P28" s="154"/>
      <c r="Q28" s="155"/>
      <c r="R28" s="158"/>
      <c r="S28" s="159"/>
      <c r="T28" s="163"/>
      <c r="U28" s="164"/>
      <c r="V28" s="150"/>
      <c r="W28" s="151"/>
      <c r="X28" s="154"/>
      <c r="Y28" s="155"/>
      <c r="Z28" s="158"/>
      <c r="AA28" s="159"/>
      <c r="AB28" s="183"/>
      <c r="AC28" s="184"/>
      <c r="AD28" s="150"/>
      <c r="AE28" s="151"/>
      <c r="AF28" s="154"/>
      <c r="AG28" s="155"/>
      <c r="AH28" s="158"/>
      <c r="AI28" s="159"/>
      <c r="AJ28" s="163"/>
      <c r="AK28" s="164"/>
      <c r="AL28" s="193"/>
      <c r="AM28" s="194"/>
      <c r="AP28" s="163"/>
      <c r="AQ28" s="164"/>
      <c r="AR28" s="150"/>
      <c r="AS28" s="151"/>
      <c r="AT28" s="154"/>
      <c r="AU28" s="155"/>
      <c r="AV28" s="158"/>
      <c r="AW28" s="159"/>
      <c r="AX28" s="163"/>
      <c r="AY28" s="164"/>
      <c r="AZ28" s="150"/>
      <c r="BA28" s="151"/>
      <c r="BB28" s="154"/>
      <c r="BC28" s="155"/>
      <c r="BD28" s="158"/>
      <c r="BE28" s="159"/>
      <c r="BF28" s="163"/>
      <c r="BG28" s="164"/>
      <c r="BH28" s="150"/>
      <c r="BI28" s="151"/>
      <c r="BJ28" s="154"/>
      <c r="BK28" s="155"/>
      <c r="BL28" s="158"/>
      <c r="BM28" s="159"/>
      <c r="BR28" s="81"/>
    </row>
    <row r="29" spans="2:70" ht="33" customHeight="1">
      <c r="B29" s="160" t="s">
        <v>309</v>
      </c>
      <c r="C29" s="160"/>
      <c r="D29" s="177"/>
      <c r="E29" s="178"/>
      <c r="F29" s="169"/>
      <c r="G29" s="170"/>
      <c r="H29" s="173"/>
      <c r="I29" s="174"/>
      <c r="J29" s="165"/>
      <c r="K29" s="166"/>
      <c r="L29" s="177"/>
      <c r="M29" s="178"/>
      <c r="N29" s="169"/>
      <c r="O29" s="170"/>
      <c r="P29" s="173"/>
      <c r="Q29" s="174"/>
      <c r="R29" s="165"/>
      <c r="S29" s="166"/>
      <c r="T29" s="177"/>
      <c r="U29" s="178"/>
      <c r="V29" s="169"/>
      <c r="W29" s="170"/>
      <c r="X29" s="173" t="s">
        <v>228</v>
      </c>
      <c r="Y29" s="174"/>
      <c r="Z29" s="165" t="s">
        <v>310</v>
      </c>
      <c r="AA29" s="166"/>
      <c r="AB29" s="177"/>
      <c r="AC29" s="178"/>
      <c r="AD29" s="169"/>
      <c r="AE29" s="170"/>
      <c r="AF29" s="173"/>
      <c r="AG29" s="174"/>
      <c r="AH29" s="165"/>
      <c r="AI29" s="166"/>
      <c r="AJ29" s="177"/>
      <c r="AK29" s="178"/>
      <c r="AL29" s="169"/>
      <c r="AM29" s="170"/>
      <c r="BR29" s="81"/>
    </row>
    <row r="30" spans="2:70" ht="33" customHeight="1">
      <c r="B30" s="160"/>
      <c r="C30" s="160"/>
      <c r="D30" s="179"/>
      <c r="E30" s="180"/>
      <c r="F30" s="171"/>
      <c r="G30" s="172"/>
      <c r="H30" s="175"/>
      <c r="I30" s="176"/>
      <c r="J30" s="167"/>
      <c r="K30" s="168"/>
      <c r="L30" s="179"/>
      <c r="M30" s="180"/>
      <c r="N30" s="171"/>
      <c r="O30" s="172"/>
      <c r="P30" s="175"/>
      <c r="Q30" s="176"/>
      <c r="R30" s="167"/>
      <c r="S30" s="168"/>
      <c r="T30" s="179"/>
      <c r="U30" s="180"/>
      <c r="V30" s="171"/>
      <c r="W30" s="172"/>
      <c r="X30" s="175"/>
      <c r="Y30" s="176"/>
      <c r="Z30" s="167"/>
      <c r="AA30" s="168"/>
      <c r="AB30" s="179"/>
      <c r="AC30" s="180"/>
      <c r="AD30" s="171"/>
      <c r="AE30" s="172"/>
      <c r="AF30" s="175"/>
      <c r="AG30" s="176"/>
      <c r="AH30" s="167"/>
      <c r="AI30" s="168"/>
      <c r="AJ30" s="179"/>
      <c r="AK30" s="180"/>
      <c r="AL30" s="171"/>
      <c r="AM30" s="172"/>
      <c r="BR30" s="81"/>
    </row>
    <row r="31" spans="2:70" ht="33" customHeight="1">
      <c r="B31" s="160"/>
      <c r="C31" s="160"/>
      <c r="D31" s="181"/>
      <c r="E31" s="182"/>
      <c r="F31" s="148"/>
      <c r="G31" s="149"/>
      <c r="H31" s="152"/>
      <c r="I31" s="153"/>
      <c r="J31" s="156"/>
      <c r="K31" s="157"/>
      <c r="L31" s="181"/>
      <c r="M31" s="182"/>
      <c r="N31" s="148"/>
      <c r="O31" s="149"/>
      <c r="P31" s="152"/>
      <c r="Q31" s="153"/>
      <c r="R31" s="156"/>
      <c r="S31" s="157"/>
      <c r="T31" s="181"/>
      <c r="U31" s="182"/>
      <c r="V31" s="148"/>
      <c r="W31" s="149"/>
      <c r="X31" s="152" t="s">
        <v>269</v>
      </c>
      <c r="Y31" s="153"/>
      <c r="Z31" s="156" t="s">
        <v>311</v>
      </c>
      <c r="AA31" s="157"/>
      <c r="AB31" s="181"/>
      <c r="AC31" s="182"/>
      <c r="AD31" s="148"/>
      <c r="AE31" s="149"/>
      <c r="AF31" s="152"/>
      <c r="AG31" s="153"/>
      <c r="AH31" s="156"/>
      <c r="AI31" s="157"/>
      <c r="AJ31" s="181"/>
      <c r="AK31" s="182"/>
      <c r="AL31" s="148"/>
      <c r="AM31" s="149"/>
      <c r="BR31" s="81"/>
    </row>
    <row r="32" spans="2:70" ht="33" customHeight="1">
      <c r="B32" s="160"/>
      <c r="C32" s="160"/>
      <c r="D32" s="183"/>
      <c r="E32" s="184"/>
      <c r="F32" s="150"/>
      <c r="G32" s="151"/>
      <c r="H32" s="154"/>
      <c r="I32" s="155"/>
      <c r="J32" s="158"/>
      <c r="K32" s="159"/>
      <c r="L32" s="183"/>
      <c r="M32" s="184"/>
      <c r="N32" s="150"/>
      <c r="O32" s="151"/>
      <c r="P32" s="154"/>
      <c r="Q32" s="155"/>
      <c r="R32" s="158"/>
      <c r="S32" s="159"/>
      <c r="T32" s="183"/>
      <c r="U32" s="184"/>
      <c r="V32" s="150"/>
      <c r="W32" s="151"/>
      <c r="X32" s="154"/>
      <c r="Y32" s="155"/>
      <c r="Z32" s="158"/>
      <c r="AA32" s="159"/>
      <c r="AB32" s="183"/>
      <c r="AC32" s="184"/>
      <c r="AD32" s="150"/>
      <c r="AE32" s="151"/>
      <c r="AF32" s="154"/>
      <c r="AG32" s="155"/>
      <c r="AH32" s="158"/>
      <c r="AI32" s="159"/>
      <c r="AJ32" s="183"/>
      <c r="AK32" s="184"/>
      <c r="AL32" s="150"/>
      <c r="AM32" s="151"/>
      <c r="BR32" s="81"/>
    </row>
  </sheetData>
  <mergeCells count="430">
    <mergeCell ref="D2:K2"/>
    <mergeCell ref="L2:S2"/>
    <mergeCell ref="T2:AA2"/>
    <mergeCell ref="AB2:AI2"/>
    <mergeCell ref="AJ2:AM2"/>
    <mergeCell ref="D3:K3"/>
    <mergeCell ref="L3:S3"/>
    <mergeCell ref="T3:AA3"/>
    <mergeCell ref="AB3:AI3"/>
    <mergeCell ref="AJ3:AM3"/>
    <mergeCell ref="BB4:BE4"/>
    <mergeCell ref="BF4:BI4"/>
    <mergeCell ref="BJ4:BM4"/>
    <mergeCell ref="B5:C8"/>
    <mergeCell ref="D5:E6"/>
    <mergeCell ref="F5:G6"/>
    <mergeCell ref="H5:I6"/>
    <mergeCell ref="J5:K6"/>
    <mergeCell ref="L5:M6"/>
    <mergeCell ref="N5:O6"/>
    <mergeCell ref="AB4:AE4"/>
    <mergeCell ref="AF4:AI4"/>
    <mergeCell ref="AJ4:AM4"/>
    <mergeCell ref="AP4:AS4"/>
    <mergeCell ref="AT4:AW4"/>
    <mergeCell ref="AX4:BA4"/>
    <mergeCell ref="D4:G4"/>
    <mergeCell ref="H4:K4"/>
    <mergeCell ref="L4:O4"/>
    <mergeCell ref="P4:S4"/>
    <mergeCell ref="T4:W4"/>
    <mergeCell ref="X4:AA4"/>
    <mergeCell ref="AB5:AC6"/>
    <mergeCell ref="AD5:AE6"/>
    <mergeCell ref="AF5:AG6"/>
    <mergeCell ref="AH5:AI6"/>
    <mergeCell ref="AJ5:AK6"/>
    <mergeCell ref="AL5:AM6"/>
    <mergeCell ref="P5:Q6"/>
    <mergeCell ref="R5:S6"/>
    <mergeCell ref="T5:U6"/>
    <mergeCell ref="V5:W6"/>
    <mergeCell ref="X5:Y6"/>
    <mergeCell ref="Z5:AA6"/>
    <mergeCell ref="BB5:BC6"/>
    <mergeCell ref="BD5:BE6"/>
    <mergeCell ref="BF5:BG6"/>
    <mergeCell ref="BH5:BI6"/>
    <mergeCell ref="BJ5:BK6"/>
    <mergeCell ref="BL5:BM6"/>
    <mergeCell ref="AP5:AQ6"/>
    <mergeCell ref="AR5:AS6"/>
    <mergeCell ref="AT5:AU6"/>
    <mergeCell ref="AV5:AW6"/>
    <mergeCell ref="AX5:AY6"/>
    <mergeCell ref="AZ5:BA6"/>
    <mergeCell ref="V7:W8"/>
    <mergeCell ref="X7:Y8"/>
    <mergeCell ref="Z7:AA8"/>
    <mergeCell ref="D7:E8"/>
    <mergeCell ref="F7:G8"/>
    <mergeCell ref="H7:I8"/>
    <mergeCell ref="J7:K8"/>
    <mergeCell ref="L7:M8"/>
    <mergeCell ref="N7:O8"/>
    <mergeCell ref="F9:G10"/>
    <mergeCell ref="H9:I10"/>
    <mergeCell ref="J9:K10"/>
    <mergeCell ref="BB7:BC8"/>
    <mergeCell ref="BD7:BE8"/>
    <mergeCell ref="BF7:BG8"/>
    <mergeCell ref="BH7:BI8"/>
    <mergeCell ref="BJ7:BK8"/>
    <mergeCell ref="BL7:BM8"/>
    <mergeCell ref="AP7:AQ8"/>
    <mergeCell ref="AR7:AS8"/>
    <mergeCell ref="AT7:AU8"/>
    <mergeCell ref="AV7:AW8"/>
    <mergeCell ref="AX7:AY8"/>
    <mergeCell ref="AZ7:BA8"/>
    <mergeCell ref="AB7:AC8"/>
    <mergeCell ref="AD7:AE8"/>
    <mergeCell ref="AF7:AG8"/>
    <mergeCell ref="AH7:AI8"/>
    <mergeCell ref="AJ7:AK8"/>
    <mergeCell ref="AL7:AM8"/>
    <mergeCell ref="P7:Q8"/>
    <mergeCell ref="R7:S8"/>
    <mergeCell ref="T7:U8"/>
    <mergeCell ref="AT9:AU10"/>
    <mergeCell ref="AV9:AW10"/>
    <mergeCell ref="X9:Y10"/>
    <mergeCell ref="Z9:AA10"/>
    <mergeCell ref="AB9:AC10"/>
    <mergeCell ref="AD9:AE10"/>
    <mergeCell ref="AF9:AG10"/>
    <mergeCell ref="AH9:AI10"/>
    <mergeCell ref="L9:M10"/>
    <mergeCell ref="N9:O10"/>
    <mergeCell ref="P9:Q10"/>
    <mergeCell ref="R9:S10"/>
    <mergeCell ref="T9:U10"/>
    <mergeCell ref="V9:W10"/>
    <mergeCell ref="X11:Y12"/>
    <mergeCell ref="Z11:AA12"/>
    <mergeCell ref="AB11:AC12"/>
    <mergeCell ref="AD11:AE12"/>
    <mergeCell ref="BJ9:BK10"/>
    <mergeCell ref="BL9:BM10"/>
    <mergeCell ref="D11:E12"/>
    <mergeCell ref="F11:G12"/>
    <mergeCell ref="H11:I12"/>
    <mergeCell ref="J11:K12"/>
    <mergeCell ref="L11:M12"/>
    <mergeCell ref="N11:O12"/>
    <mergeCell ref="P11:Q12"/>
    <mergeCell ref="R11:S12"/>
    <mergeCell ref="AX9:AY10"/>
    <mergeCell ref="AZ9:BA10"/>
    <mergeCell ref="BB9:BC10"/>
    <mergeCell ref="BD9:BE10"/>
    <mergeCell ref="BF9:BG10"/>
    <mergeCell ref="BH9:BI10"/>
    <mergeCell ref="AJ9:AK10"/>
    <mergeCell ref="AL9:AM10"/>
    <mergeCell ref="AP9:AQ10"/>
    <mergeCell ref="AR9:AS10"/>
    <mergeCell ref="BF11:BG12"/>
    <mergeCell ref="BH11:BI12"/>
    <mergeCell ref="BJ11:BK12"/>
    <mergeCell ref="BL11:BM12"/>
    <mergeCell ref="C13:C16"/>
    <mergeCell ref="D13:E14"/>
    <mergeCell ref="F13:G14"/>
    <mergeCell ref="H13:I14"/>
    <mergeCell ref="J13:K14"/>
    <mergeCell ref="L13:M14"/>
    <mergeCell ref="AT11:AU12"/>
    <mergeCell ref="AV11:AW12"/>
    <mergeCell ref="AX11:AY12"/>
    <mergeCell ref="AZ11:BA12"/>
    <mergeCell ref="BB11:BC12"/>
    <mergeCell ref="BD11:BE12"/>
    <mergeCell ref="AF11:AG12"/>
    <mergeCell ref="AH11:AI12"/>
    <mergeCell ref="AJ11:AK12"/>
    <mergeCell ref="AL11:AM12"/>
    <mergeCell ref="AP11:AQ12"/>
    <mergeCell ref="AR11:AS12"/>
    <mergeCell ref="T11:U12"/>
    <mergeCell ref="V11:W12"/>
    <mergeCell ref="AD13:AE14"/>
    <mergeCell ref="AF13:AG14"/>
    <mergeCell ref="AH13:AI14"/>
    <mergeCell ref="AJ13:AK14"/>
    <mergeCell ref="N13:O14"/>
    <mergeCell ref="P13:Q14"/>
    <mergeCell ref="R13:S14"/>
    <mergeCell ref="T13:U14"/>
    <mergeCell ref="V13:W14"/>
    <mergeCell ref="X13:Y14"/>
    <mergeCell ref="BL13:BM14"/>
    <mergeCell ref="D15:E16"/>
    <mergeCell ref="F15:G16"/>
    <mergeCell ref="H15:I16"/>
    <mergeCell ref="J15:K16"/>
    <mergeCell ref="L15:M16"/>
    <mergeCell ref="N15:O16"/>
    <mergeCell ref="P15:Q16"/>
    <mergeCell ref="R15:S16"/>
    <mergeCell ref="T15:U16"/>
    <mergeCell ref="AZ13:BA14"/>
    <mergeCell ref="BB13:BC14"/>
    <mergeCell ref="BD13:BE14"/>
    <mergeCell ref="BF13:BG14"/>
    <mergeCell ref="BH13:BI14"/>
    <mergeCell ref="BJ13:BK14"/>
    <mergeCell ref="AL13:AM14"/>
    <mergeCell ref="AP13:AQ14"/>
    <mergeCell ref="AR13:AS14"/>
    <mergeCell ref="AT13:AU14"/>
    <mergeCell ref="AV13:AW14"/>
    <mergeCell ref="AX13:AY14"/>
    <mergeCell ref="Z13:AA14"/>
    <mergeCell ref="AB13:AC14"/>
    <mergeCell ref="B17:B24"/>
    <mergeCell ref="C17:C20"/>
    <mergeCell ref="D17:E18"/>
    <mergeCell ref="F17:G18"/>
    <mergeCell ref="H17:I18"/>
    <mergeCell ref="J17:K18"/>
    <mergeCell ref="L17:M18"/>
    <mergeCell ref="AV15:AW16"/>
    <mergeCell ref="AX15:AY16"/>
    <mergeCell ref="AH15:AI16"/>
    <mergeCell ref="AJ15:AK16"/>
    <mergeCell ref="AL15:AM16"/>
    <mergeCell ref="AP15:AQ16"/>
    <mergeCell ref="AR15:AS16"/>
    <mergeCell ref="AT15:AU16"/>
    <mergeCell ref="V15:W16"/>
    <mergeCell ref="X15:Y16"/>
    <mergeCell ref="Z15:AA16"/>
    <mergeCell ref="AB15:AC16"/>
    <mergeCell ref="AD15:AE16"/>
    <mergeCell ref="AF15:AG16"/>
    <mergeCell ref="B9:B16"/>
    <mergeCell ref="C9:C12"/>
    <mergeCell ref="D9:E10"/>
    <mergeCell ref="N17:O18"/>
    <mergeCell ref="P17:Q18"/>
    <mergeCell ref="R17:S18"/>
    <mergeCell ref="T17:U18"/>
    <mergeCell ref="V17:W18"/>
    <mergeCell ref="X17:Y18"/>
    <mergeCell ref="BH15:BI16"/>
    <mergeCell ref="BJ15:BK16"/>
    <mergeCell ref="BL15:BM16"/>
    <mergeCell ref="AZ15:BA16"/>
    <mergeCell ref="BB15:BC16"/>
    <mergeCell ref="BD15:BE16"/>
    <mergeCell ref="BF15:BG16"/>
    <mergeCell ref="AP17:AQ18"/>
    <mergeCell ref="AR17:AS18"/>
    <mergeCell ref="AT17:AU18"/>
    <mergeCell ref="AV17:AW18"/>
    <mergeCell ref="AX17:AY18"/>
    <mergeCell ref="Z17:AA18"/>
    <mergeCell ref="AB17:AC18"/>
    <mergeCell ref="AD17:AE18"/>
    <mergeCell ref="AF17:AG18"/>
    <mergeCell ref="AH17:AI18"/>
    <mergeCell ref="AJ17:AK18"/>
    <mergeCell ref="AT19:AU20"/>
    <mergeCell ref="V19:W20"/>
    <mergeCell ref="X19:Y20"/>
    <mergeCell ref="Z19:AA20"/>
    <mergeCell ref="AB19:AC20"/>
    <mergeCell ref="AD19:AE20"/>
    <mergeCell ref="AF19:AG20"/>
    <mergeCell ref="BL17:BM18"/>
    <mergeCell ref="D19:E20"/>
    <mergeCell ref="F19:G20"/>
    <mergeCell ref="H19:I20"/>
    <mergeCell ref="J19:K20"/>
    <mergeCell ref="L19:M20"/>
    <mergeCell ref="N19:O20"/>
    <mergeCell ref="P19:Q20"/>
    <mergeCell ref="R19:S20"/>
    <mergeCell ref="T19:U20"/>
    <mergeCell ref="AZ17:BA18"/>
    <mergeCell ref="BB17:BC18"/>
    <mergeCell ref="BD17:BE18"/>
    <mergeCell ref="BF17:BG18"/>
    <mergeCell ref="BH17:BI18"/>
    <mergeCell ref="BJ17:BK18"/>
    <mergeCell ref="AL17:AM18"/>
    <mergeCell ref="V21:W22"/>
    <mergeCell ref="X21:Y22"/>
    <mergeCell ref="Z21:AA22"/>
    <mergeCell ref="BH19:BI20"/>
    <mergeCell ref="BJ19:BK20"/>
    <mergeCell ref="BL19:BM20"/>
    <mergeCell ref="C21:C24"/>
    <mergeCell ref="D21:E22"/>
    <mergeCell ref="F21:G22"/>
    <mergeCell ref="H21:I22"/>
    <mergeCell ref="J21:K22"/>
    <mergeCell ref="L21:M22"/>
    <mergeCell ref="N21:O22"/>
    <mergeCell ref="AV19:AW20"/>
    <mergeCell ref="AX19:AY20"/>
    <mergeCell ref="AZ19:BA20"/>
    <mergeCell ref="BB19:BC20"/>
    <mergeCell ref="BD19:BE20"/>
    <mergeCell ref="BF19:BG20"/>
    <mergeCell ref="AH19:AI20"/>
    <mergeCell ref="AJ19:AK20"/>
    <mergeCell ref="AL19:AM20"/>
    <mergeCell ref="AP19:AQ20"/>
    <mergeCell ref="AR19:AS20"/>
    <mergeCell ref="J23:K24"/>
    <mergeCell ref="L23:M24"/>
    <mergeCell ref="N23:O24"/>
    <mergeCell ref="BB21:BC22"/>
    <mergeCell ref="BD21:BE22"/>
    <mergeCell ref="BF21:BG22"/>
    <mergeCell ref="BH21:BI22"/>
    <mergeCell ref="BJ21:BK22"/>
    <mergeCell ref="BL21:BM22"/>
    <mergeCell ref="AP21:AQ22"/>
    <mergeCell ref="AR21:AS22"/>
    <mergeCell ref="AT21:AU22"/>
    <mergeCell ref="AV21:AW22"/>
    <mergeCell ref="AX21:AY22"/>
    <mergeCell ref="AZ21:BA22"/>
    <mergeCell ref="AB21:AC22"/>
    <mergeCell ref="AD21:AE22"/>
    <mergeCell ref="AF21:AG22"/>
    <mergeCell ref="AH21:AI22"/>
    <mergeCell ref="AJ21:AK22"/>
    <mergeCell ref="AL21:AM22"/>
    <mergeCell ref="P21:Q22"/>
    <mergeCell ref="R21:S22"/>
    <mergeCell ref="T21:U22"/>
    <mergeCell ref="BH23:BI24"/>
    <mergeCell ref="BJ23:BK24"/>
    <mergeCell ref="BL23:BM24"/>
    <mergeCell ref="AP23:AQ24"/>
    <mergeCell ref="AR23:AS24"/>
    <mergeCell ref="AT23:AU24"/>
    <mergeCell ref="AV23:AW24"/>
    <mergeCell ref="AX23:AY24"/>
    <mergeCell ref="AZ23:BA24"/>
    <mergeCell ref="B25:C28"/>
    <mergeCell ref="D25:E26"/>
    <mergeCell ref="F25:G26"/>
    <mergeCell ref="H25:I26"/>
    <mergeCell ref="J25:K26"/>
    <mergeCell ref="L25:M26"/>
    <mergeCell ref="BB23:BC24"/>
    <mergeCell ref="BD23:BE24"/>
    <mergeCell ref="BF23:BG24"/>
    <mergeCell ref="AB23:AC24"/>
    <mergeCell ref="AD23:AE24"/>
    <mergeCell ref="AF23:AG24"/>
    <mergeCell ref="AH23:AI24"/>
    <mergeCell ref="AJ23:AK24"/>
    <mergeCell ref="AL23:AM24"/>
    <mergeCell ref="P23:Q24"/>
    <mergeCell ref="R23:S24"/>
    <mergeCell ref="T23:U24"/>
    <mergeCell ref="V23:W24"/>
    <mergeCell ref="X23:Y24"/>
    <mergeCell ref="Z23:AA24"/>
    <mergeCell ref="D23:E24"/>
    <mergeCell ref="F23:G24"/>
    <mergeCell ref="H23:I24"/>
    <mergeCell ref="AV25:AW26"/>
    <mergeCell ref="AX25:AY26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Z27:AA28"/>
    <mergeCell ref="AB27:AC28"/>
    <mergeCell ref="AD27:AE28"/>
    <mergeCell ref="AF27:AG28"/>
    <mergeCell ref="BL25:BM26"/>
    <mergeCell ref="D27:E28"/>
    <mergeCell ref="F27:G28"/>
    <mergeCell ref="H27:I28"/>
    <mergeCell ref="J27:K28"/>
    <mergeCell ref="L27:M28"/>
    <mergeCell ref="N27:O28"/>
    <mergeCell ref="P27:Q28"/>
    <mergeCell ref="R27:S28"/>
    <mergeCell ref="T27:U28"/>
    <mergeCell ref="AZ25:BA26"/>
    <mergeCell ref="BB25:BC26"/>
    <mergeCell ref="BD25:BE26"/>
    <mergeCell ref="BF25:BG26"/>
    <mergeCell ref="BH25:BI26"/>
    <mergeCell ref="BJ25:BK26"/>
    <mergeCell ref="AL25:AM26"/>
    <mergeCell ref="AP25:AQ26"/>
    <mergeCell ref="AR25:AS26"/>
    <mergeCell ref="AT25:AU26"/>
    <mergeCell ref="BH27:BI28"/>
    <mergeCell ref="BJ27:BK28"/>
    <mergeCell ref="BL27:BM28"/>
    <mergeCell ref="B29:C32"/>
    <mergeCell ref="D29:E30"/>
    <mergeCell ref="F29:G30"/>
    <mergeCell ref="H29:I30"/>
    <mergeCell ref="J29:K30"/>
    <mergeCell ref="L29:M30"/>
    <mergeCell ref="N29:O30"/>
    <mergeCell ref="AV27:AW28"/>
    <mergeCell ref="AX27:AY28"/>
    <mergeCell ref="AZ27:BA28"/>
    <mergeCell ref="BB27:BC28"/>
    <mergeCell ref="BD27:BE28"/>
    <mergeCell ref="BF27:BG28"/>
    <mergeCell ref="AH27:AI28"/>
    <mergeCell ref="AJ27:AK28"/>
    <mergeCell ref="AL27:AM28"/>
    <mergeCell ref="AP27:AQ28"/>
    <mergeCell ref="AR27:AS28"/>
    <mergeCell ref="AT27:AU28"/>
    <mergeCell ref="V27:W28"/>
    <mergeCell ref="X27:Y28"/>
    <mergeCell ref="AH29:AI30"/>
    <mergeCell ref="AJ29:AK30"/>
    <mergeCell ref="AL29:AM30"/>
    <mergeCell ref="P29:Q30"/>
    <mergeCell ref="R29:S30"/>
    <mergeCell ref="T29:U30"/>
    <mergeCell ref="V29:W30"/>
    <mergeCell ref="X29:Y30"/>
    <mergeCell ref="Z29:AA30"/>
    <mergeCell ref="D31:E32"/>
    <mergeCell ref="F31:G32"/>
    <mergeCell ref="H31:I32"/>
    <mergeCell ref="J31:K32"/>
    <mergeCell ref="L31:M32"/>
    <mergeCell ref="N31:O32"/>
    <mergeCell ref="AB29:AC30"/>
    <mergeCell ref="AD29:AE30"/>
    <mergeCell ref="AF29:AG30"/>
    <mergeCell ref="AB31:AC32"/>
    <mergeCell ref="AD31:AE32"/>
    <mergeCell ref="AF31:AG32"/>
    <mergeCell ref="AH31:AI32"/>
    <mergeCell ref="AJ31:AK32"/>
    <mergeCell ref="AL31:AM32"/>
    <mergeCell ref="P31:Q32"/>
    <mergeCell ref="R31:S32"/>
    <mergeCell ref="T31:U32"/>
    <mergeCell ref="V31:W32"/>
    <mergeCell ref="X31:Y32"/>
    <mergeCell ref="Z31:AA32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1CA3-0C4C-49CE-987A-0A236FD210E4}">
  <dimension ref="B1:S17"/>
  <sheetViews>
    <sheetView showGridLines="0" zoomScale="70" zoomScaleNormal="70" workbookViewId="0">
      <selection activeCell="Y12" sqref="Y12"/>
    </sheetView>
  </sheetViews>
  <sheetFormatPr defaultRowHeight="32.25" outlineLevelCol="1"/>
  <cols>
    <col min="2" max="2" width="20" style="88" customWidth="1"/>
    <col min="3" max="3" width="18.5" style="88" customWidth="1" outlineLevel="1"/>
    <col min="4" max="15" width="11" style="89" customWidth="1"/>
    <col min="16" max="18" width="9" style="90"/>
  </cols>
  <sheetData>
    <row r="1" spans="2:19" ht="10.5" customHeight="1"/>
    <row r="2" spans="2:19" ht="39">
      <c r="B2" s="203" t="s">
        <v>495</v>
      </c>
      <c r="C2" s="204"/>
      <c r="D2" s="207" t="s">
        <v>496</v>
      </c>
      <c r="E2" s="208"/>
      <c r="F2" s="208"/>
      <c r="G2" s="209"/>
      <c r="H2" s="210" t="s">
        <v>497</v>
      </c>
      <c r="I2" s="211"/>
      <c r="J2" s="210" t="s">
        <v>498</v>
      </c>
      <c r="K2" s="211"/>
      <c r="L2" s="210" t="s">
        <v>499</v>
      </c>
      <c r="M2" s="211"/>
      <c r="N2" s="210" t="s">
        <v>500</v>
      </c>
      <c r="O2" s="211"/>
    </row>
    <row r="3" spans="2:19" ht="32.25" customHeight="1">
      <c r="B3" s="205"/>
      <c r="C3" s="206"/>
      <c r="D3" s="214" t="s">
        <v>501</v>
      </c>
      <c r="E3" s="215"/>
      <c r="F3" s="214" t="s">
        <v>502</v>
      </c>
      <c r="G3" s="215"/>
      <c r="H3" s="212"/>
      <c r="I3" s="213"/>
      <c r="J3" s="212"/>
      <c r="K3" s="213"/>
      <c r="L3" s="212"/>
      <c r="M3" s="213"/>
      <c r="N3" s="212"/>
      <c r="O3" s="213"/>
    </row>
    <row r="4" spans="2:19" ht="45.75">
      <c r="B4" s="199" t="s">
        <v>320</v>
      </c>
      <c r="C4" s="201" t="s">
        <v>320</v>
      </c>
      <c r="D4" s="113" t="s">
        <v>503</v>
      </c>
      <c r="E4" s="102" t="s">
        <v>504</v>
      </c>
      <c r="F4" s="113" t="s">
        <v>505</v>
      </c>
      <c r="G4" s="102" t="s">
        <v>506</v>
      </c>
      <c r="H4" s="113" t="s">
        <v>507</v>
      </c>
      <c r="I4" s="102" t="s">
        <v>508</v>
      </c>
      <c r="J4" s="113" t="s">
        <v>509</v>
      </c>
      <c r="K4" s="102" t="s">
        <v>510</v>
      </c>
      <c r="L4" s="113"/>
      <c r="M4" s="102" t="s">
        <v>511</v>
      </c>
      <c r="N4" s="113"/>
      <c r="O4" s="102" t="s">
        <v>511</v>
      </c>
      <c r="S4" s="90"/>
    </row>
    <row r="5" spans="2:19" ht="44.25">
      <c r="B5" s="200"/>
      <c r="C5" s="202"/>
      <c r="D5" s="108" t="s">
        <v>238</v>
      </c>
      <c r="E5" s="109" t="s">
        <v>332</v>
      </c>
      <c r="F5" s="108" t="s">
        <v>247</v>
      </c>
      <c r="G5" s="109" t="s">
        <v>333</v>
      </c>
      <c r="H5" s="108" t="s">
        <v>239</v>
      </c>
      <c r="I5" s="109" t="s">
        <v>334</v>
      </c>
      <c r="J5" s="108" t="s">
        <v>240</v>
      </c>
      <c r="K5" s="109" t="s">
        <v>336</v>
      </c>
      <c r="L5" s="108"/>
      <c r="M5" s="109"/>
      <c r="N5" s="108"/>
      <c r="O5" s="109"/>
      <c r="S5" s="90"/>
    </row>
    <row r="6" spans="2:19" ht="45.75">
      <c r="B6" s="199" t="s">
        <v>210</v>
      </c>
      <c r="C6" s="201" t="s">
        <v>512</v>
      </c>
      <c r="D6" s="113" t="s">
        <v>513</v>
      </c>
      <c r="E6" s="102" t="s">
        <v>514</v>
      </c>
      <c r="F6" s="113" t="s">
        <v>515</v>
      </c>
      <c r="G6" s="102" t="s">
        <v>516</v>
      </c>
      <c r="H6" s="113"/>
      <c r="I6" s="102"/>
      <c r="J6" s="113" t="s">
        <v>517</v>
      </c>
      <c r="K6" s="102" t="s">
        <v>518</v>
      </c>
      <c r="L6" s="113"/>
      <c r="M6" s="102" t="s">
        <v>511</v>
      </c>
      <c r="N6" s="113" t="s">
        <v>519</v>
      </c>
      <c r="O6" s="102" t="s">
        <v>520</v>
      </c>
    </row>
    <row r="7" spans="2:19" ht="44.25">
      <c r="B7" s="200"/>
      <c r="C7" s="202"/>
      <c r="D7" s="108" t="s">
        <v>261</v>
      </c>
      <c r="E7" s="109" t="s">
        <v>364</v>
      </c>
      <c r="F7" s="108" t="s">
        <v>262</v>
      </c>
      <c r="G7" s="109" t="s">
        <v>365</v>
      </c>
      <c r="H7" s="108"/>
      <c r="I7" s="109"/>
      <c r="J7" s="108" t="s">
        <v>242</v>
      </c>
      <c r="K7" s="109" t="s">
        <v>368</v>
      </c>
      <c r="L7" s="108"/>
      <c r="M7" s="109"/>
      <c r="N7" s="108" t="s">
        <v>269</v>
      </c>
      <c r="O7" s="109" t="s">
        <v>469</v>
      </c>
    </row>
    <row r="8" spans="2:19" ht="45.75">
      <c r="B8" s="199" t="s">
        <v>209</v>
      </c>
      <c r="C8" s="201" t="s">
        <v>521</v>
      </c>
      <c r="D8" s="113" t="s">
        <v>522</v>
      </c>
      <c r="E8" s="102" t="s">
        <v>523</v>
      </c>
      <c r="F8" s="113" t="s">
        <v>524</v>
      </c>
      <c r="G8" s="102" t="s">
        <v>525</v>
      </c>
      <c r="H8" s="113" t="s">
        <v>526</v>
      </c>
      <c r="I8" s="102" t="s">
        <v>527</v>
      </c>
      <c r="J8" s="113"/>
      <c r="K8" s="102"/>
      <c r="L8" s="113" t="s">
        <v>528</v>
      </c>
      <c r="M8" s="102" t="s">
        <v>529</v>
      </c>
      <c r="N8" s="113"/>
      <c r="O8" s="102" t="s">
        <v>511</v>
      </c>
    </row>
    <row r="9" spans="2:19" ht="44.25">
      <c r="B9" s="200"/>
      <c r="C9" s="202"/>
      <c r="D9" s="108" t="s">
        <v>289</v>
      </c>
      <c r="E9" s="109" t="s">
        <v>395</v>
      </c>
      <c r="F9" s="108" t="s">
        <v>299</v>
      </c>
      <c r="G9" s="109" t="s">
        <v>396</v>
      </c>
      <c r="H9" s="108" t="s">
        <v>291</v>
      </c>
      <c r="I9" s="109" t="s">
        <v>530</v>
      </c>
      <c r="J9" s="108"/>
      <c r="K9" s="109"/>
      <c r="L9" s="108" t="s">
        <v>402</v>
      </c>
      <c r="M9" s="109" t="s">
        <v>403</v>
      </c>
      <c r="N9" s="108"/>
      <c r="O9" s="109"/>
    </row>
    <row r="10" spans="2:19" ht="45.75">
      <c r="B10" s="199" t="s">
        <v>531</v>
      </c>
      <c r="C10" s="201" t="s">
        <v>531</v>
      </c>
      <c r="D10" s="113" t="s">
        <v>532</v>
      </c>
      <c r="E10" s="102" t="s">
        <v>533</v>
      </c>
      <c r="F10" s="113" t="s">
        <v>534</v>
      </c>
      <c r="G10" s="102" t="s">
        <v>535</v>
      </c>
      <c r="H10" s="113" t="s">
        <v>536</v>
      </c>
      <c r="I10" s="102" t="s">
        <v>537</v>
      </c>
      <c r="J10" s="113"/>
      <c r="K10" s="102"/>
      <c r="L10" s="113" t="s">
        <v>538</v>
      </c>
      <c r="M10" s="102" t="s">
        <v>539</v>
      </c>
      <c r="N10" s="113"/>
      <c r="O10" s="102" t="s">
        <v>511</v>
      </c>
    </row>
    <row r="11" spans="2:19" ht="44.25">
      <c r="B11" s="200"/>
      <c r="C11" s="202"/>
      <c r="D11" s="108" t="s">
        <v>285</v>
      </c>
      <c r="E11" s="109" t="s">
        <v>416</v>
      </c>
      <c r="F11" s="108" t="s">
        <v>295</v>
      </c>
      <c r="G11" s="109" t="s">
        <v>417</v>
      </c>
      <c r="H11" s="108" t="s">
        <v>287</v>
      </c>
      <c r="I11" s="109" t="s">
        <v>9</v>
      </c>
      <c r="J11" s="108"/>
      <c r="K11" s="109"/>
      <c r="L11" s="108" t="s">
        <v>306</v>
      </c>
      <c r="M11" s="109" t="s">
        <v>403</v>
      </c>
      <c r="N11" s="108"/>
      <c r="O11" s="109"/>
    </row>
    <row r="12" spans="2:19" ht="45.75">
      <c r="B12" s="199" t="s">
        <v>540</v>
      </c>
      <c r="C12" s="201" t="s">
        <v>540</v>
      </c>
      <c r="D12" s="113" t="s">
        <v>541</v>
      </c>
      <c r="E12" s="102" t="s">
        <v>542</v>
      </c>
      <c r="F12" s="113" t="s">
        <v>543</v>
      </c>
      <c r="G12" s="102" t="s">
        <v>544</v>
      </c>
      <c r="H12" s="113" t="s">
        <v>545</v>
      </c>
      <c r="I12" s="102" t="s">
        <v>546</v>
      </c>
      <c r="J12" s="113" t="s">
        <v>547</v>
      </c>
      <c r="K12" s="102" t="s">
        <v>548</v>
      </c>
      <c r="L12" s="113" t="s">
        <v>511</v>
      </c>
      <c r="M12" s="102"/>
      <c r="N12" s="113"/>
      <c r="O12" s="102" t="s">
        <v>511</v>
      </c>
    </row>
    <row r="13" spans="2:19" ht="44.25">
      <c r="B13" s="200"/>
      <c r="C13" s="202"/>
      <c r="D13" s="108" t="s">
        <v>264</v>
      </c>
      <c r="E13" s="109" t="s">
        <v>438</v>
      </c>
      <c r="F13" s="108" t="s">
        <v>274</v>
      </c>
      <c r="G13" s="109" t="s">
        <v>10</v>
      </c>
      <c r="H13" s="108" t="s">
        <v>266</v>
      </c>
      <c r="I13" s="109" t="s">
        <v>440</v>
      </c>
      <c r="J13" s="108" t="s">
        <v>244</v>
      </c>
      <c r="K13" s="109" t="s">
        <v>441</v>
      </c>
      <c r="L13" s="108"/>
      <c r="M13" s="109"/>
      <c r="N13" s="108"/>
      <c r="O13" s="109"/>
    </row>
    <row r="14" spans="2:19" ht="45.75">
      <c r="B14" s="199" t="s">
        <v>443</v>
      </c>
      <c r="C14" s="201" t="s">
        <v>443</v>
      </c>
      <c r="D14" s="113"/>
      <c r="E14" s="102"/>
      <c r="F14" s="113"/>
      <c r="G14" s="102"/>
      <c r="H14" s="113"/>
      <c r="I14" s="102"/>
      <c r="J14" s="113"/>
      <c r="K14" s="102"/>
      <c r="L14" s="113" t="s">
        <v>549</v>
      </c>
      <c r="M14" s="102" t="s">
        <v>550</v>
      </c>
      <c r="N14" s="113"/>
      <c r="O14" s="102" t="s">
        <v>511</v>
      </c>
    </row>
    <row r="15" spans="2:19" ht="44.25">
      <c r="B15" s="200"/>
      <c r="C15" s="202"/>
      <c r="D15" s="108"/>
      <c r="E15" s="109"/>
      <c r="F15" s="108"/>
      <c r="G15" s="109"/>
      <c r="H15" s="108"/>
      <c r="I15" s="109"/>
      <c r="J15" s="108"/>
      <c r="K15" s="109"/>
      <c r="L15" s="108" t="s">
        <v>284</v>
      </c>
      <c r="M15" s="109" t="s">
        <v>551</v>
      </c>
      <c r="N15" s="108"/>
      <c r="O15" s="109"/>
    </row>
    <row r="16" spans="2:19" ht="45.75">
      <c r="B16" s="199" t="s">
        <v>552</v>
      </c>
      <c r="C16" s="201" t="s">
        <v>553</v>
      </c>
      <c r="D16" s="114" t="s">
        <v>554</v>
      </c>
      <c r="E16" s="102" t="s">
        <v>447</v>
      </c>
      <c r="F16" s="113"/>
      <c r="G16" s="102"/>
      <c r="H16" s="113"/>
      <c r="I16" s="102"/>
      <c r="J16" s="113"/>
      <c r="K16" s="102"/>
      <c r="L16" s="113"/>
      <c r="M16" s="102"/>
      <c r="N16" s="113"/>
      <c r="O16" s="102" t="s">
        <v>511</v>
      </c>
    </row>
    <row r="17" spans="2:15" ht="44.25">
      <c r="B17" s="200"/>
      <c r="C17" s="202"/>
      <c r="D17" s="115"/>
      <c r="E17" s="109" t="s">
        <v>448</v>
      </c>
      <c r="F17" s="108"/>
      <c r="G17" s="109"/>
      <c r="H17" s="108"/>
      <c r="I17" s="109"/>
      <c r="J17" s="108"/>
      <c r="K17" s="109"/>
      <c r="L17" s="108"/>
      <c r="M17" s="109"/>
      <c r="N17" s="108"/>
      <c r="O17" s="109" t="s">
        <v>511</v>
      </c>
    </row>
  </sheetData>
  <mergeCells count="22">
    <mergeCell ref="N2:O3"/>
    <mergeCell ref="D3:E3"/>
    <mergeCell ref="F3:G3"/>
    <mergeCell ref="B2:C3"/>
    <mergeCell ref="D2:G2"/>
    <mergeCell ref="H2:I3"/>
    <mergeCell ref="J2:K3"/>
    <mergeCell ref="L2:M3"/>
    <mergeCell ref="B4:B5"/>
    <mergeCell ref="C4:C5"/>
    <mergeCell ref="B6:B7"/>
    <mergeCell ref="C6:C7"/>
    <mergeCell ref="B8:B9"/>
    <mergeCell ref="C8:C9"/>
    <mergeCell ref="B16:B17"/>
    <mergeCell ref="C16:C17"/>
    <mergeCell ref="B10:B11"/>
    <mergeCell ref="C10:C11"/>
    <mergeCell ref="B12:B13"/>
    <mergeCell ref="C12:C13"/>
    <mergeCell ref="B14:B15"/>
    <mergeCell ref="C14:C15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7127-5389-4309-BA80-26AF83289C1C}">
  <dimension ref="B1:P54"/>
  <sheetViews>
    <sheetView showGridLines="0" zoomScale="70" zoomScaleNormal="70" workbookViewId="0">
      <selection activeCell="D6" sqref="D6:D7"/>
    </sheetView>
  </sheetViews>
  <sheetFormatPr defaultRowHeight="44.25" outlineLevelCol="1"/>
  <cols>
    <col min="2" max="2" width="7" style="88" customWidth="1"/>
    <col min="3" max="3" width="11.875" style="88" customWidth="1" outlineLevel="1"/>
    <col min="4" max="4" width="18.5" style="88" customWidth="1" outlineLevel="1"/>
    <col min="5" max="12" width="12.25" style="89" customWidth="1"/>
    <col min="13" max="13" width="14.375" style="90" customWidth="1"/>
    <col min="14" max="14" width="174.25" style="91" customWidth="1"/>
    <col min="15" max="16" width="9" style="92"/>
  </cols>
  <sheetData>
    <row r="1" spans="2:14" ht="10.5" customHeight="1"/>
    <row r="2" spans="2:14" ht="38.25">
      <c r="B2" s="232" t="s">
        <v>312</v>
      </c>
      <c r="C2" s="204"/>
      <c r="D2" s="233" t="s">
        <v>313</v>
      </c>
      <c r="E2" s="235" t="s">
        <v>314</v>
      </c>
      <c r="F2" s="236"/>
      <c r="G2" s="236"/>
      <c r="H2" s="236"/>
      <c r="I2" s="236"/>
      <c r="J2" s="236"/>
      <c r="K2" s="236"/>
      <c r="L2" s="237"/>
      <c r="N2" s="93" t="s">
        <v>315</v>
      </c>
    </row>
    <row r="3" spans="2:14" ht="32.25" customHeight="1">
      <c r="B3" s="205"/>
      <c r="C3" s="206"/>
      <c r="D3" s="234"/>
      <c r="E3" s="214" t="s">
        <v>316</v>
      </c>
      <c r="F3" s="215"/>
      <c r="G3" s="214" t="s">
        <v>317</v>
      </c>
      <c r="H3" s="215"/>
      <c r="I3" s="214" t="s">
        <v>318</v>
      </c>
      <c r="J3" s="215"/>
      <c r="K3" s="214" t="s">
        <v>319</v>
      </c>
      <c r="L3" s="215"/>
      <c r="N3" s="94"/>
    </row>
    <row r="4" spans="2:14" ht="51">
      <c r="B4" s="229" t="s">
        <v>320</v>
      </c>
      <c r="C4" s="225" t="s">
        <v>321</v>
      </c>
      <c r="D4" s="199" t="s">
        <v>322</v>
      </c>
      <c r="E4" s="95" t="s">
        <v>323</v>
      </c>
      <c r="F4" s="96" t="s">
        <v>324</v>
      </c>
      <c r="G4" s="95" t="s">
        <v>325</v>
      </c>
      <c r="H4" s="96" t="s">
        <v>326</v>
      </c>
      <c r="I4" s="95" t="s">
        <v>327</v>
      </c>
      <c r="J4" s="96" t="s">
        <v>328</v>
      </c>
      <c r="K4" s="95" t="s">
        <v>329</v>
      </c>
      <c r="L4" s="96" t="s">
        <v>330</v>
      </c>
      <c r="N4" s="97" t="s">
        <v>331</v>
      </c>
    </row>
    <row r="5" spans="2:14">
      <c r="B5" s="230"/>
      <c r="C5" s="227"/>
      <c r="D5" s="200"/>
      <c r="E5" s="98" t="s">
        <v>238</v>
      </c>
      <c r="F5" s="99" t="s">
        <v>332</v>
      </c>
      <c r="G5" s="98" t="s">
        <v>247</v>
      </c>
      <c r="H5" s="99" t="s">
        <v>333</v>
      </c>
      <c r="I5" s="98" t="s">
        <v>239</v>
      </c>
      <c r="J5" s="100" t="s">
        <v>334</v>
      </c>
      <c r="K5" s="98" t="s">
        <v>335</v>
      </c>
      <c r="L5" s="99" t="s">
        <v>336</v>
      </c>
      <c r="N5" s="97" t="s">
        <v>337</v>
      </c>
    </row>
    <row r="6" spans="2:14" ht="51">
      <c r="B6" s="230"/>
      <c r="C6" s="225" t="s">
        <v>338</v>
      </c>
      <c r="D6" s="199" t="s">
        <v>339</v>
      </c>
      <c r="E6" s="101" t="s">
        <v>340</v>
      </c>
      <c r="F6" s="102" t="s">
        <v>341</v>
      </c>
      <c r="G6" s="101" t="s">
        <v>342</v>
      </c>
      <c r="H6" s="102" t="s">
        <v>343</v>
      </c>
      <c r="I6" s="101" t="s">
        <v>344</v>
      </c>
      <c r="J6" s="102" t="s">
        <v>345</v>
      </c>
      <c r="K6" s="101" t="s">
        <v>346</v>
      </c>
      <c r="L6" s="102" t="s">
        <v>347</v>
      </c>
      <c r="N6" s="97" t="s">
        <v>348</v>
      </c>
    </row>
    <row r="7" spans="2:14">
      <c r="B7" s="231"/>
      <c r="C7" s="227"/>
      <c r="D7" s="200"/>
      <c r="E7" s="103" t="s">
        <v>284</v>
      </c>
      <c r="F7" s="104" t="s">
        <v>282</v>
      </c>
      <c r="G7" s="103" t="s">
        <v>247</v>
      </c>
      <c r="H7" s="104" t="s">
        <v>333</v>
      </c>
      <c r="I7" s="103" t="s">
        <v>238</v>
      </c>
      <c r="J7" s="104" t="s">
        <v>332</v>
      </c>
      <c r="K7" s="105" t="s">
        <v>349</v>
      </c>
      <c r="L7" s="106" t="s">
        <v>350</v>
      </c>
      <c r="N7" s="97" t="s">
        <v>351</v>
      </c>
    </row>
    <row r="8" spans="2:14" ht="51">
      <c r="B8" s="229" t="s">
        <v>352</v>
      </c>
      <c r="C8" s="225" t="s">
        <v>353</v>
      </c>
      <c r="D8" s="199" t="s">
        <v>354</v>
      </c>
      <c r="E8" s="95" t="s">
        <v>355</v>
      </c>
      <c r="F8" s="96" t="s">
        <v>356</v>
      </c>
      <c r="G8" s="95" t="s">
        <v>357</v>
      </c>
      <c r="H8" s="96" t="s">
        <v>358</v>
      </c>
      <c r="I8" s="101" t="s">
        <v>359</v>
      </c>
      <c r="J8" s="102" t="s">
        <v>360</v>
      </c>
      <c r="K8" s="95" t="s">
        <v>361</v>
      </c>
      <c r="L8" s="96" t="s">
        <v>362</v>
      </c>
      <c r="N8" s="93" t="s">
        <v>363</v>
      </c>
    </row>
    <row r="9" spans="2:14">
      <c r="B9" s="230"/>
      <c r="C9" s="227"/>
      <c r="D9" s="200"/>
      <c r="E9" s="98" t="s">
        <v>261</v>
      </c>
      <c r="F9" s="99" t="s">
        <v>364</v>
      </c>
      <c r="G9" s="98" t="s">
        <v>262</v>
      </c>
      <c r="H9" s="99" t="s">
        <v>365</v>
      </c>
      <c r="I9" s="105" t="s">
        <v>366</v>
      </c>
      <c r="J9" s="107" t="s">
        <v>367</v>
      </c>
      <c r="K9" s="98" t="s">
        <v>242</v>
      </c>
      <c r="L9" s="99" t="s">
        <v>368</v>
      </c>
      <c r="N9" s="93" t="s">
        <v>369</v>
      </c>
    </row>
    <row r="10" spans="2:14" ht="51">
      <c r="B10" s="230"/>
      <c r="C10" s="225" t="s">
        <v>370</v>
      </c>
      <c r="D10" s="199" t="s">
        <v>371</v>
      </c>
      <c r="E10" s="101" t="s">
        <v>372</v>
      </c>
      <c r="F10" s="102" t="s">
        <v>373</v>
      </c>
      <c r="G10" s="101" t="s">
        <v>374</v>
      </c>
      <c r="H10" s="102" t="s">
        <v>375</v>
      </c>
      <c r="I10" s="101" t="s">
        <v>376</v>
      </c>
      <c r="J10" s="102" t="s">
        <v>377</v>
      </c>
      <c r="K10" s="101" t="s">
        <v>378</v>
      </c>
      <c r="L10" s="102" t="s">
        <v>379</v>
      </c>
      <c r="N10" s="93" t="s">
        <v>380</v>
      </c>
    </row>
    <row r="11" spans="2:14">
      <c r="B11" s="231"/>
      <c r="C11" s="227"/>
      <c r="D11" s="200"/>
      <c r="E11" s="103" t="s">
        <v>289</v>
      </c>
      <c r="F11" s="104" t="s">
        <v>276</v>
      </c>
      <c r="G11" s="103" t="s">
        <v>299</v>
      </c>
      <c r="H11" s="104" t="s">
        <v>296</v>
      </c>
      <c r="I11" s="105" t="s">
        <v>381</v>
      </c>
      <c r="J11" s="107" t="s">
        <v>382</v>
      </c>
      <c r="K11" s="103" t="s">
        <v>242</v>
      </c>
      <c r="L11" s="104" t="s">
        <v>383</v>
      </c>
      <c r="N11" s="97" t="s">
        <v>384</v>
      </c>
    </row>
    <row r="12" spans="2:14" ht="51">
      <c r="B12" s="222" t="s">
        <v>385</v>
      </c>
      <c r="C12" s="225" t="s">
        <v>386</v>
      </c>
      <c r="D12" s="199" t="s">
        <v>387</v>
      </c>
      <c r="E12" s="95" t="s">
        <v>388</v>
      </c>
      <c r="F12" s="96" t="s">
        <v>389</v>
      </c>
      <c r="G12" s="95" t="s">
        <v>390</v>
      </c>
      <c r="H12" s="96" t="s">
        <v>391</v>
      </c>
      <c r="I12" s="95" t="s">
        <v>392</v>
      </c>
      <c r="J12" s="96" t="s">
        <v>393</v>
      </c>
      <c r="K12" s="101"/>
      <c r="L12" s="102"/>
      <c r="N12" s="97" t="s">
        <v>394</v>
      </c>
    </row>
    <row r="13" spans="2:14">
      <c r="B13" s="223"/>
      <c r="C13" s="226"/>
      <c r="D13" s="228"/>
      <c r="E13" s="98" t="s">
        <v>289</v>
      </c>
      <c r="F13" s="99" t="s">
        <v>395</v>
      </c>
      <c r="G13" s="98" t="s">
        <v>299</v>
      </c>
      <c r="H13" s="99" t="s">
        <v>396</v>
      </c>
      <c r="I13" s="98" t="s">
        <v>291</v>
      </c>
      <c r="J13" s="99" t="s">
        <v>9</v>
      </c>
      <c r="K13" s="108"/>
      <c r="L13" s="109"/>
      <c r="N13" s="97" t="s">
        <v>397</v>
      </c>
    </row>
    <row r="14" spans="2:14" ht="51">
      <c r="B14" s="223"/>
      <c r="C14" s="226"/>
      <c r="D14" s="228"/>
      <c r="E14" s="95" t="s">
        <v>398</v>
      </c>
      <c r="F14" s="96" t="s">
        <v>399</v>
      </c>
      <c r="G14" s="101"/>
      <c r="H14" s="102"/>
      <c r="I14" s="101" t="s">
        <v>400</v>
      </c>
      <c r="J14" s="102" t="s">
        <v>401</v>
      </c>
      <c r="K14" s="101"/>
      <c r="L14" s="102"/>
      <c r="N14" s="94"/>
    </row>
    <row r="15" spans="2:14" ht="49.5">
      <c r="B15" s="223"/>
      <c r="C15" s="227"/>
      <c r="D15" s="200"/>
      <c r="E15" s="98" t="s">
        <v>402</v>
      </c>
      <c r="F15" s="99" t="s">
        <v>403</v>
      </c>
      <c r="G15" s="108"/>
      <c r="H15" s="109"/>
      <c r="I15" s="105" t="s">
        <v>404</v>
      </c>
      <c r="J15" s="106" t="s">
        <v>405</v>
      </c>
      <c r="K15" s="108"/>
      <c r="L15" s="109"/>
      <c r="N15" s="97" t="s">
        <v>406</v>
      </c>
    </row>
    <row r="16" spans="2:14" ht="51">
      <c r="B16" s="223"/>
      <c r="C16" s="225" t="s">
        <v>407</v>
      </c>
      <c r="D16" s="199" t="s">
        <v>408</v>
      </c>
      <c r="E16" s="95" t="s">
        <v>409</v>
      </c>
      <c r="F16" s="96" t="s">
        <v>410</v>
      </c>
      <c r="G16" s="95" t="s">
        <v>411</v>
      </c>
      <c r="H16" s="96" t="s">
        <v>412</v>
      </c>
      <c r="I16" s="95" t="s">
        <v>413</v>
      </c>
      <c r="J16" s="96" t="s">
        <v>414</v>
      </c>
      <c r="K16" s="101"/>
      <c r="L16" s="102"/>
      <c r="N16" s="93" t="s">
        <v>415</v>
      </c>
    </row>
    <row r="17" spans="2:16">
      <c r="B17" s="223"/>
      <c r="C17" s="226"/>
      <c r="D17" s="228"/>
      <c r="E17" s="98" t="s">
        <v>285</v>
      </c>
      <c r="F17" s="99" t="s">
        <v>416</v>
      </c>
      <c r="G17" s="98" t="s">
        <v>295</v>
      </c>
      <c r="H17" s="99" t="s">
        <v>417</v>
      </c>
      <c r="I17" s="98" t="s">
        <v>287</v>
      </c>
      <c r="J17" s="99" t="s">
        <v>9</v>
      </c>
      <c r="K17" s="108"/>
      <c r="L17" s="109"/>
      <c r="N17" s="97" t="s">
        <v>418</v>
      </c>
    </row>
    <row r="18" spans="2:16" ht="51">
      <c r="B18" s="223"/>
      <c r="C18" s="226"/>
      <c r="D18" s="228"/>
      <c r="E18" s="95" t="s">
        <v>419</v>
      </c>
      <c r="F18" s="96" t="s">
        <v>420</v>
      </c>
      <c r="G18" s="101"/>
      <c r="H18" s="102"/>
      <c r="I18" s="101" t="s">
        <v>421</v>
      </c>
      <c r="J18" s="102" t="s">
        <v>422</v>
      </c>
      <c r="K18" s="101"/>
      <c r="L18" s="102"/>
      <c r="N18" s="97" t="s">
        <v>423</v>
      </c>
    </row>
    <row r="19" spans="2:16" ht="54">
      <c r="B19" s="224"/>
      <c r="C19" s="227"/>
      <c r="D19" s="200"/>
      <c r="E19" s="98" t="s">
        <v>306</v>
      </c>
      <c r="F19" s="99" t="s">
        <v>403</v>
      </c>
      <c r="G19" s="108"/>
      <c r="H19" s="109"/>
      <c r="I19" s="105" t="s">
        <v>424</v>
      </c>
      <c r="J19" s="106" t="s">
        <v>425</v>
      </c>
      <c r="K19" s="108"/>
      <c r="L19" s="109"/>
      <c r="N19" s="97" t="s">
        <v>426</v>
      </c>
    </row>
    <row r="20" spans="2:16" ht="45.75" customHeight="1">
      <c r="B20" s="216" t="s">
        <v>427</v>
      </c>
      <c r="C20" s="217"/>
      <c r="D20" s="199" t="s">
        <v>428</v>
      </c>
      <c r="E20" s="95" t="s">
        <v>429</v>
      </c>
      <c r="F20" s="96" t="s">
        <v>430</v>
      </c>
      <c r="G20" s="95" t="s">
        <v>431</v>
      </c>
      <c r="H20" s="96" t="s">
        <v>432</v>
      </c>
      <c r="I20" s="95" t="s">
        <v>433</v>
      </c>
      <c r="J20" s="96" t="s">
        <v>3</v>
      </c>
      <c r="K20" s="95" t="s">
        <v>434</v>
      </c>
      <c r="L20" s="96" t="s">
        <v>435</v>
      </c>
      <c r="N20" s="97" t="s">
        <v>436</v>
      </c>
    </row>
    <row r="21" spans="2:16">
      <c r="B21" s="218"/>
      <c r="C21" s="219"/>
      <c r="D21" s="200"/>
      <c r="E21" s="98" t="s">
        <v>437</v>
      </c>
      <c r="F21" s="99" t="s">
        <v>438</v>
      </c>
      <c r="G21" s="98" t="s">
        <v>274</v>
      </c>
      <c r="H21" s="99" t="s">
        <v>10</v>
      </c>
      <c r="I21" s="110" t="s">
        <v>439</v>
      </c>
      <c r="J21" s="99" t="s">
        <v>440</v>
      </c>
      <c r="K21" s="98" t="s">
        <v>244</v>
      </c>
      <c r="L21" s="99" t="s">
        <v>441</v>
      </c>
      <c r="N21" s="97" t="s">
        <v>442</v>
      </c>
    </row>
    <row r="22" spans="2:16" ht="45.75" customHeight="1">
      <c r="B22" s="216" t="s">
        <v>443</v>
      </c>
      <c r="C22" s="217"/>
      <c r="D22" s="199" t="s">
        <v>443</v>
      </c>
      <c r="E22" s="95" t="s">
        <v>444</v>
      </c>
      <c r="F22" s="96" t="s">
        <v>445</v>
      </c>
      <c r="G22" s="101"/>
      <c r="H22" s="102"/>
      <c r="I22" s="101"/>
      <c r="J22" s="102"/>
      <c r="K22" s="101"/>
      <c r="L22" s="102"/>
      <c r="N22" s="97" t="s">
        <v>446</v>
      </c>
    </row>
    <row r="23" spans="2:16" s="90" customFormat="1">
      <c r="B23" s="220"/>
      <c r="C23" s="221"/>
      <c r="D23" s="200"/>
      <c r="E23" s="98" t="s">
        <v>447</v>
      </c>
      <c r="F23" s="99" t="s">
        <v>448</v>
      </c>
      <c r="G23" s="108"/>
      <c r="H23" s="109"/>
      <c r="I23" s="108"/>
      <c r="J23" s="109"/>
      <c r="K23" s="108"/>
      <c r="L23" s="109"/>
      <c r="N23" s="97" t="s">
        <v>449</v>
      </c>
      <c r="O23" s="92"/>
      <c r="P23" s="92"/>
    </row>
    <row r="24" spans="2:16" ht="45.75" customHeight="1">
      <c r="B24" s="220"/>
      <c r="C24" s="221"/>
      <c r="D24" s="199" t="s">
        <v>428</v>
      </c>
      <c r="E24" s="95" t="s">
        <v>450</v>
      </c>
      <c r="F24" s="96" t="s">
        <v>451</v>
      </c>
      <c r="G24" s="101"/>
      <c r="H24" s="102"/>
      <c r="I24" s="111" t="s">
        <v>452</v>
      </c>
      <c r="J24" s="102" t="s">
        <v>453</v>
      </c>
      <c r="K24" s="101"/>
      <c r="L24" s="102"/>
      <c r="N24" s="97" t="s">
        <v>454</v>
      </c>
    </row>
    <row r="25" spans="2:16" s="90" customFormat="1" ht="54">
      <c r="B25" s="220"/>
      <c r="C25" s="221"/>
      <c r="D25" s="200"/>
      <c r="E25" s="98" t="s">
        <v>284</v>
      </c>
      <c r="F25" s="99" t="s">
        <v>282</v>
      </c>
      <c r="G25" s="108"/>
      <c r="H25" s="109"/>
      <c r="I25" s="105" t="s">
        <v>455</v>
      </c>
      <c r="J25" s="106" t="s">
        <v>456</v>
      </c>
      <c r="K25" s="108"/>
      <c r="L25" s="109"/>
      <c r="N25" s="97" t="s">
        <v>457</v>
      </c>
      <c r="O25" s="92"/>
      <c r="P25" s="92"/>
    </row>
    <row r="26" spans="2:16" ht="45.75" customHeight="1">
      <c r="B26" s="220"/>
      <c r="C26" s="221"/>
      <c r="D26" s="199" t="s">
        <v>458</v>
      </c>
      <c r="E26" s="101"/>
      <c r="F26" s="102"/>
      <c r="G26" s="101"/>
      <c r="H26" s="102"/>
      <c r="I26" s="101"/>
      <c r="J26" s="102"/>
      <c r="K26" s="101" t="s">
        <v>459</v>
      </c>
      <c r="L26" s="102" t="s">
        <v>460</v>
      </c>
      <c r="N26" s="97" t="s">
        <v>461</v>
      </c>
    </row>
    <row r="27" spans="2:16" s="90" customFormat="1">
      <c r="B27" s="218"/>
      <c r="C27" s="219"/>
      <c r="D27" s="200"/>
      <c r="E27" s="108"/>
      <c r="F27" s="109"/>
      <c r="G27" s="108"/>
      <c r="H27" s="109"/>
      <c r="I27" s="108"/>
      <c r="J27" s="109"/>
      <c r="K27" s="105" t="s">
        <v>462</v>
      </c>
      <c r="L27" s="112" t="s">
        <v>463</v>
      </c>
      <c r="N27" s="97" t="s">
        <v>464</v>
      </c>
      <c r="O27" s="92"/>
      <c r="P27" s="92"/>
    </row>
    <row r="28" spans="2:16" ht="45.75" customHeight="1">
      <c r="B28" s="216" t="s">
        <v>465</v>
      </c>
      <c r="C28" s="217"/>
      <c r="D28" s="199" t="s">
        <v>354</v>
      </c>
      <c r="E28" s="101"/>
      <c r="F28" s="102"/>
      <c r="G28" s="101"/>
      <c r="H28" s="102"/>
      <c r="I28" s="101"/>
      <c r="J28" s="102"/>
      <c r="K28" s="95" t="s">
        <v>466</v>
      </c>
      <c r="L28" s="96" t="s">
        <v>467</v>
      </c>
      <c r="N28" s="97" t="s">
        <v>468</v>
      </c>
    </row>
    <row r="29" spans="2:16">
      <c r="B29" s="218"/>
      <c r="C29" s="219"/>
      <c r="D29" s="200"/>
      <c r="E29" s="108"/>
      <c r="F29" s="109"/>
      <c r="G29" s="108"/>
      <c r="H29" s="109"/>
      <c r="I29" s="108"/>
      <c r="J29" s="109"/>
      <c r="K29" s="98" t="s">
        <v>269</v>
      </c>
      <c r="L29" s="99" t="s">
        <v>469</v>
      </c>
      <c r="N29" s="94"/>
    </row>
    <row r="30" spans="2:16" ht="51">
      <c r="B30" s="216" t="s">
        <v>470</v>
      </c>
      <c r="C30" s="217"/>
      <c r="D30" s="199" t="s">
        <v>408</v>
      </c>
      <c r="E30" s="101"/>
      <c r="F30" s="102"/>
      <c r="G30" s="101"/>
      <c r="H30" s="102"/>
      <c r="I30" s="101"/>
      <c r="J30" s="102"/>
      <c r="K30" s="101" t="s">
        <v>471</v>
      </c>
      <c r="L30" s="102" t="s">
        <v>472</v>
      </c>
      <c r="N30" s="97" t="s">
        <v>473</v>
      </c>
    </row>
    <row r="31" spans="2:16">
      <c r="B31" s="218"/>
      <c r="C31" s="219"/>
      <c r="D31" s="200"/>
      <c r="E31" s="108"/>
      <c r="F31" s="109"/>
      <c r="G31" s="108"/>
      <c r="H31" s="109"/>
      <c r="I31" s="108"/>
      <c r="J31" s="109"/>
      <c r="K31" s="103" t="s">
        <v>291</v>
      </c>
      <c r="L31" s="104" t="s">
        <v>9</v>
      </c>
      <c r="N31" s="97" t="s">
        <v>474</v>
      </c>
    </row>
    <row r="32" spans="2:16" ht="38.25">
      <c r="N32" s="97" t="s">
        <v>475</v>
      </c>
    </row>
    <row r="33" spans="14:14" ht="38.25">
      <c r="N33" s="97" t="s">
        <v>351</v>
      </c>
    </row>
    <row r="34" spans="14:14" ht="38.25">
      <c r="N34" s="93" t="s">
        <v>476</v>
      </c>
    </row>
    <row r="35" spans="14:14" ht="38.25">
      <c r="N35" s="93" t="s">
        <v>477</v>
      </c>
    </row>
    <row r="36" spans="14:14" ht="38.25">
      <c r="N36" s="94"/>
    </row>
    <row r="37" spans="14:14" ht="38.25">
      <c r="N37" s="97" t="s">
        <v>478</v>
      </c>
    </row>
    <row r="38" spans="14:14" ht="38.25">
      <c r="N38" s="97" t="s">
        <v>479</v>
      </c>
    </row>
    <row r="39" spans="14:14" ht="38.25">
      <c r="N39" s="97" t="s">
        <v>480</v>
      </c>
    </row>
    <row r="40" spans="14:14" ht="38.25">
      <c r="N40" s="97" t="s">
        <v>481</v>
      </c>
    </row>
    <row r="41" spans="14:14" ht="38.25">
      <c r="N41" s="97" t="s">
        <v>482</v>
      </c>
    </row>
    <row r="42" spans="14:14" ht="38.25">
      <c r="N42" s="97" t="s">
        <v>483</v>
      </c>
    </row>
    <row r="43" spans="14:14" ht="38.25">
      <c r="N43" s="97" t="s">
        <v>484</v>
      </c>
    </row>
    <row r="44" spans="14:14" ht="38.25">
      <c r="N44" s="94"/>
    </row>
    <row r="45" spans="14:14" ht="38.25">
      <c r="N45" s="97" t="s">
        <v>485</v>
      </c>
    </row>
    <row r="46" spans="14:14" ht="38.25">
      <c r="N46" s="97" t="s">
        <v>486</v>
      </c>
    </row>
    <row r="47" spans="14:14" ht="38.25">
      <c r="N47" s="97" t="s">
        <v>487</v>
      </c>
    </row>
    <row r="48" spans="14:14" ht="38.25">
      <c r="N48" s="97" t="s">
        <v>488</v>
      </c>
    </row>
    <row r="49" spans="14:14" ht="38.25">
      <c r="N49" s="97" t="s">
        <v>489</v>
      </c>
    </row>
    <row r="50" spans="14:14" ht="38.25">
      <c r="N50" s="97" t="s">
        <v>490</v>
      </c>
    </row>
    <row r="51" spans="14:14" ht="38.25">
      <c r="N51" s="97" t="s">
        <v>491</v>
      </c>
    </row>
    <row r="52" spans="14:14" ht="38.25">
      <c r="N52" s="97" t="s">
        <v>492</v>
      </c>
    </row>
    <row r="53" spans="14:14" ht="38.25">
      <c r="N53" s="97" t="s">
        <v>493</v>
      </c>
    </row>
    <row r="54" spans="14:14" ht="38.25">
      <c r="N54" s="97" t="s">
        <v>494</v>
      </c>
    </row>
  </sheetData>
  <mergeCells count="32">
    <mergeCell ref="B2:C3"/>
    <mergeCell ref="D2:D3"/>
    <mergeCell ref="E2:L2"/>
    <mergeCell ref="E3:F3"/>
    <mergeCell ref="G3:H3"/>
    <mergeCell ref="I3:J3"/>
    <mergeCell ref="K3:L3"/>
    <mergeCell ref="B20:C21"/>
    <mergeCell ref="D20:D21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12:B19"/>
    <mergeCell ref="C12:C15"/>
    <mergeCell ref="D12:D15"/>
    <mergeCell ref="C16:C19"/>
    <mergeCell ref="D16:D19"/>
    <mergeCell ref="B30:C31"/>
    <mergeCell ref="D30:D31"/>
    <mergeCell ref="B22:C27"/>
    <mergeCell ref="D22:D23"/>
    <mergeCell ref="D24:D25"/>
    <mergeCell ref="D26:D27"/>
    <mergeCell ref="B28:C29"/>
    <mergeCell ref="D28:D29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閩南八音【閩拼】</vt:lpstr>
      <vt:lpstr>閩南八音【台羅】</vt:lpstr>
      <vt:lpstr>八音調性表</vt:lpstr>
      <vt:lpstr>五度音階表</vt:lpstr>
      <vt:lpstr>四聲八調定義</vt:lpstr>
      <vt:lpstr>四聲八調 (君韻)</vt:lpstr>
      <vt:lpstr>注音聲調表（台羅）</vt:lpstr>
      <vt:lpstr>閩拼八音聲母表</vt:lpstr>
      <vt:lpstr>閩拼八音聲母表【十五音】</vt:lpstr>
      <vt:lpstr>聲母</vt:lpstr>
      <vt:lpstr>宋人三十六字母表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2025-07-23T04:26:57Z</dcterms:created>
  <dcterms:modified xsi:type="dcterms:W3CDTF">2026-10-18T06:18:10Z</dcterms:modified>
</cp:coreProperties>
</file>