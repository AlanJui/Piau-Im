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work\Piau-Im\Documents\廣韻\"/>
    </mc:Choice>
  </mc:AlternateContent>
  <xr:revisionPtr revIDLastSave="0" documentId="13_ncr:1_{311FDCB8-1A63-4034-894A-A9D7B2B4CF95}" xr6:coauthVersionLast="47" xr6:coauthVersionMax="47" xr10:uidLastSave="{00000000-0000-0000-0000-000000000000}"/>
  <bookViews>
    <workbookView xWindow="28680" yWindow="-195" windowWidth="38640" windowHeight="15720" activeTab="1" xr2:uid="{00000000-000D-0000-FFFF-FFFF00000000}"/>
  </bookViews>
  <sheets>
    <sheet name="查詢" sheetId="4" r:id="rId1"/>
    <sheet name="反切上字與聲母" sheetId="1" r:id="rId2"/>
    <sheet name="工作表1" sheetId="3" r:id="rId3"/>
    <sheet name="廣韻三十八聲母"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D2" i="4"/>
  <c r="C4" i="4" s="1" a="1"/>
  <c r="C4" i="4" s="1"/>
  <c r="C3" i="4" l="1" a="1"/>
  <c r="C3"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<sst xmlns="http://schemas.openxmlformats.org/spreadsheetml/2006/main" count="672" uniqueCount="287">
  <si>
    <t>序</t>
  </si>
  <si>
    <t>類</t>
  </si>
  <si>
    <t>聲母</t>
  </si>
  <si>
    <t>清濁</t>
  </si>
  <si>
    <t>發送收</t>
  </si>
  <si>
    <t>反切上字</t>
  </si>
  <si>
    <t>重脣音</t>
  </si>
  <si>
    <t>幫</t>
  </si>
  <si>
    <t>全清</t>
  </si>
  <si>
    <t>發聲</t>
  </si>
  <si>
    <t>p</t>
  </si>
  <si>
    <t>邊 布 補 伯 百 北 博 巴 卑 并 鄙 必 彼 兵 筆 陂 畀 晡</t>
  </si>
  <si>
    <t>滂</t>
  </si>
  <si>
    <t>次清</t>
  </si>
  <si>
    <t>送氣</t>
  </si>
  <si>
    <t>ph</t>
  </si>
  <si>
    <t>pʰ</t>
  </si>
  <si>
    <t>滂 普 匹 譬 披 丕</t>
  </si>
  <si>
    <t>並</t>
  </si>
  <si>
    <t>全濁</t>
  </si>
  <si>
    <t>b</t>
  </si>
  <si>
    <t>蒲 裴 平 皮 步 薄 白 部 傍 便 弼 婢 毗 簿 捕</t>
  </si>
  <si>
    <t>明</t>
  </si>
  <si>
    <t>次濁</t>
  </si>
  <si>
    <t>收聲</t>
  </si>
  <si>
    <t>m</t>
  </si>
  <si>
    <t>莫 慕 模 謨 摸 母 明 彌 眉 綿 靡 美</t>
  </si>
  <si>
    <t>輕脣音</t>
  </si>
  <si>
    <t>非</t>
  </si>
  <si>
    <t>h</t>
  </si>
  <si>
    <t>敷</t>
  </si>
  <si>
    <t>敷 孚 妃 撫 峯 拂 芳</t>
  </si>
  <si>
    <t>奉</t>
  </si>
  <si>
    <t>房 防 縛 附 父 浮 符 苻 扶 馮</t>
  </si>
  <si>
    <t>微</t>
  </si>
  <si>
    <t>巫 無 武 文 望 亡</t>
  </si>
  <si>
    <t>舌頭音</t>
  </si>
  <si>
    <t>端</t>
  </si>
  <si>
    <t>t</t>
  </si>
  <si>
    <t>德 都 丁 當 多 得 冬</t>
  </si>
  <si>
    <t>透</t>
  </si>
  <si>
    <t>th</t>
  </si>
  <si>
    <t>tʰ</t>
  </si>
  <si>
    <t>他 土 吐 託 天 湯 通 台</t>
  </si>
  <si>
    <t>定</t>
  </si>
  <si>
    <t>d</t>
  </si>
  <si>
    <t>徒 同 杜 度 墜 特 堂 唐 田 陀</t>
  </si>
  <si>
    <t>泥</t>
  </si>
  <si>
    <t>n</t>
  </si>
  <si>
    <t>奴 乃 諾 那 内</t>
  </si>
  <si>
    <t>舌上音</t>
  </si>
  <si>
    <t>知</t>
  </si>
  <si>
    <t>ȶ</t>
  </si>
  <si>
    <t>陟 都 竹 丁 卓 張 中 知 豬 珍 追 猪 徵</t>
  </si>
  <si>
    <t>徹</t>
  </si>
  <si>
    <t>ȶʰ</t>
  </si>
  <si>
    <t>敕 他 丑 褚 楮 癡 抽 恥</t>
  </si>
  <si>
    <t>澄</t>
  </si>
  <si>
    <t>ȡ</t>
  </si>
  <si>
    <t>徒 直 宅 柱 池 丈 持 除 治 馳 遟 佇 場</t>
  </si>
  <si>
    <t>孃</t>
  </si>
  <si>
    <t>l</t>
  </si>
  <si>
    <t>奴 女 乃 妳 諾 尼 拏 穠</t>
  </si>
  <si>
    <t>齒頭音</t>
  </si>
  <si>
    <t>精</t>
  </si>
  <si>
    <t>ts</t>
  </si>
  <si>
    <t>子 作 即 姊 遵 醉 則 祖 臧 將 借 兹 𩛠 資 姉</t>
  </si>
  <si>
    <t>清</t>
  </si>
  <si>
    <t>tsh</t>
  </si>
  <si>
    <t>tsʰ</t>
  </si>
  <si>
    <t>倉 七 此 取 蒼 醋 千 雌 采 親 麁 靑 麤 遷</t>
  </si>
  <si>
    <t>從</t>
  </si>
  <si>
    <t>dz</t>
  </si>
  <si>
    <t>徂 藏 疾 昨 匠 在 才 自 慈 秦 漸 情 前</t>
  </si>
  <si>
    <t>心</t>
  </si>
  <si>
    <t>s</t>
  </si>
  <si>
    <t>息 蘇 私 相 素 先 思 須 寫 桑 速 斯 胥 悉 雖 司 辛</t>
  </si>
  <si>
    <t>邪</t>
  </si>
  <si>
    <t>z</t>
  </si>
  <si>
    <t>祥 旬 似 詳 夕 徐 隨 辝 辭 寺</t>
  </si>
  <si>
    <t>正齒音莊組</t>
  </si>
  <si>
    <t>莊</t>
  </si>
  <si>
    <t>tʃ</t>
  </si>
  <si>
    <t>子 側 莊 阻 仄 爭 鄒 簪</t>
  </si>
  <si>
    <t>初</t>
  </si>
  <si>
    <t>tʃʰ</t>
  </si>
  <si>
    <t>楚 叉 測 初 創 瘡 芻 廁</t>
  </si>
  <si>
    <t>崇</t>
  </si>
  <si>
    <t>dʒ</t>
  </si>
  <si>
    <t>鋤 士 仕 崇 鉏 助 牀 鶵 雛 犲 崱 查 査</t>
  </si>
  <si>
    <t>生</t>
  </si>
  <si>
    <t>ʃ</t>
  </si>
  <si>
    <t>所 山 疏 數 色 史 踈 砂 沙 生</t>
  </si>
  <si>
    <t>俟</t>
  </si>
  <si>
    <t>ʒ</t>
  </si>
  <si>
    <t>俟 牀</t>
  </si>
  <si>
    <t>正齒音章組</t>
  </si>
  <si>
    <t>章</t>
  </si>
  <si>
    <t>職 章 旨 止 諸 正 煑 之 占 支 脂 征</t>
  </si>
  <si>
    <t>昌</t>
  </si>
  <si>
    <t>昌 尺 叱 處 叉 赤 充 姝</t>
  </si>
  <si>
    <t>常</t>
  </si>
  <si>
    <t>蜀 是 視 市 署 成 植 常 氏 時 承 臣 殖 甞 寔 殊 十</t>
  </si>
  <si>
    <t>書</t>
  </si>
  <si>
    <t>書 式 傷 失 識 施 詩 舒 賞 矢 釋 商 試 始</t>
  </si>
  <si>
    <t>船</t>
  </si>
  <si>
    <t>食 神 實 乗</t>
  </si>
  <si>
    <t>牙音</t>
  </si>
  <si>
    <t>見</t>
  </si>
  <si>
    <t>k</t>
  </si>
  <si>
    <t>居 古 九 舉 公 過 俱 佳 乖 姑 各 兼 詭 規 几 吉 紀 格</t>
  </si>
  <si>
    <t>溪</t>
  </si>
  <si>
    <t>kh</t>
  </si>
  <si>
    <t>kʰ</t>
  </si>
  <si>
    <t>去 苦 曲 丘 豈 口 可 起 乞 客 綺 恪 康 墟 袪 羌 驅 弃 空 牽 枯 欽 謙 區 窺 卿 詰 傾 楷</t>
  </si>
  <si>
    <t>ɡ</t>
  </si>
  <si>
    <t>渠 巨 強 其 跪 求 曁 狂 奇 具 臼 衢</t>
  </si>
  <si>
    <t>疑</t>
  </si>
  <si>
    <t>g</t>
    <phoneticPr fontId="10" type="noConversion"/>
  </si>
  <si>
    <t>ŋ</t>
  </si>
  <si>
    <t>五 魚 牛 語 遇 擬 愚 俄 虞 疑 研 宜 危 吾 玉</t>
  </si>
  <si>
    <t>喉音</t>
  </si>
  <si>
    <t>影</t>
  </si>
  <si>
    <t>Ø</t>
  </si>
  <si>
    <t>烏 於 握 央 憶 哀 乙 謁 一 委 挹 安 紆 烟 衣 依 鷖 伊 憂 愛</t>
  </si>
  <si>
    <t>曉</t>
  </si>
  <si>
    <t>x</t>
  </si>
  <si>
    <t>呼 許 香 喜 朽 況 荒 火 虚 虎 興 花 休 况 馨 海 羲 呵</t>
  </si>
  <si>
    <t>匣</t>
  </si>
  <si>
    <t>ɣ</t>
  </si>
  <si>
    <t>戸 下 胡 獲 侯 懷 何 乎 黃</t>
  </si>
  <si>
    <t>云</t>
  </si>
  <si>
    <t>羽 下 薳 洧 雨 爲 王 有 于 永 韋 榮 云 雲 筠</t>
  </si>
  <si>
    <t>以</t>
  </si>
  <si>
    <t>j</t>
  </si>
  <si>
    <t>以 餘 弋 悅 與 羊 翼 于 余 移 夷 營</t>
  </si>
  <si>
    <t>半舌音</t>
  </si>
  <si>
    <t>來</t>
  </si>
  <si>
    <t>力 盧 吕 里 落 郎 賴 魯 縷 勒 良 來 洛 連 練 離 林</t>
  </si>
  <si>
    <t>半齒音</t>
  </si>
  <si>
    <t>日</t>
  </si>
  <si>
    <t>ȵʑ</t>
  </si>
  <si>
    <t>如 而 汝 人 儒 耳 兒 仍</t>
  </si>
  <si>
    <t xml:space="preserve">《廣韻》《韻鏡》反切上字與河洛音對應表 </t>
  </si>
  <si>
    <t>序號</t>
  </si>
  <si>
    <t>發音部位</t>
  </si>
  <si>
    <t>聲類</t>
  </si>
  <si>
    <t>發收送</t>
  </si>
  <si>
    <t>聲母擬音</t>
  </si>
  <si>
    <t>原序號</t>
  </si>
  <si>
    <t>居九俱舉規吉紀几古公過各格兼姑佳詭乖</t>
  </si>
  <si>
    <t>康枯牽空謙口楷客恪苦去丘墟袪詰窺羌欽傾起綺豈區驅曲可乞棄卿弃</t>
  </si>
  <si>
    <t>群</t>
  </si>
  <si>
    <t>渠強求巨具臼衢其奇暨跪近狂</t>
  </si>
  <si>
    <t>g</t>
  </si>
  <si>
    <t>疑魚牛語宜擬危五玉俄吾研遇虞愚</t>
  </si>
  <si>
    <t>多德得丁都當冬</t>
  </si>
  <si>
    <t>他託土吐通天台湯</t>
  </si>
  <si>
    <t>徒同特度杜唐堂田陀地</t>
  </si>
  <si>
    <t>奴乃諾內嬭妳那</t>
  </si>
  <si>
    <t>知張豬徵中追陟卓竹珍</t>
  </si>
  <si>
    <t>抽癡楮褚丑恥敕</t>
  </si>
  <si>
    <t>除場池治持遲＊佇柱丈直宅墜馳</t>
  </si>
  <si>
    <t>娘</t>
  </si>
  <si>
    <t>尼拏女穠</t>
  </si>
  <si>
    <t>邊布補伯百北博巴卑并鄙必彼兵筆陂畀晡</t>
  </si>
  <si>
    <t>滂普匹譬披丕</t>
  </si>
  <si>
    <t>蒲步裴薄白傍部平皮便毗弼婢簿捕</t>
  </si>
  <si>
    <t>莫慕模謨摸母明彌眉綿靡美</t>
  </si>
  <si>
    <t>方封分府甫</t>
  </si>
  <si>
    <t>敷孚妃撫芳峰拂</t>
  </si>
  <si>
    <t>房防縛附符苻扶馮浮父</t>
  </si>
  <si>
    <t>巫無亡武文望</t>
  </si>
  <si>
    <t>將子資即則借茲醉姊遵祖臧作＊</t>
  </si>
  <si>
    <t>c</t>
  </si>
  <si>
    <t>倉蒼親遷取七青采醋麁麤千此雌</t>
  </si>
  <si>
    <t>才徂在前藏昨酢疾秦匠慈自情漸</t>
  </si>
  <si>
    <t>蘇素速桑相悉思司斯私雖辛息須胥先寫</t>
  </si>
  <si>
    <t>徐祥詳辭＊辞似旬寺夕隨</t>
  </si>
  <si>
    <t>正齒近齒頭</t>
  </si>
  <si>
    <t>莊爭阻鄒簪側仄</t>
  </si>
  <si>
    <t>初楚創瘡測叉廁芻</t>
  </si>
  <si>
    <t>床</t>
  </si>
  <si>
    <t>床鋤鉏豺崱士仕崇查俟助雛</t>
  </si>
  <si>
    <t>疏</t>
  </si>
  <si>
    <t>疏山沙砂生色數所史</t>
  </si>
  <si>
    <t>正齒近舌上</t>
  </si>
  <si>
    <t>照</t>
  </si>
  <si>
    <t>之止章征諸煮支職正旨占脂</t>
  </si>
  <si>
    <t>穿</t>
  </si>
  <si>
    <t>昌尺赤充處叱春姝</t>
  </si>
  <si>
    <t>神</t>
  </si>
  <si>
    <t>神乘食實</t>
  </si>
  <si>
    <t>審</t>
  </si>
  <si>
    <t>書舒傷商施失矢試式識賞詩釋始</t>
  </si>
  <si>
    <t>禪</t>
  </si>
  <si>
    <t>時殊嘗常蜀市植殖寔署臣是氏視成</t>
  </si>
  <si>
    <t>於央憶伊衣依憂一乙握謁紆挹烏哀安烟鷖愛委</t>
  </si>
  <si>
    <t>呼荒虎馨火海呵香朽羲休況許興喜虛花</t>
  </si>
  <si>
    <t>胡乎侯戶下黃何獲懷</t>
  </si>
  <si>
    <t>為</t>
  </si>
  <si>
    <t>于羽雨雲云王韋永有薳為洧筠＊</t>
  </si>
  <si>
    <t>喻</t>
  </si>
  <si>
    <t>余餘予夷以羊弋翼與營移悅</t>
  </si>
  <si>
    <t>半舌</t>
  </si>
  <si>
    <t>來盧賴洛落勒力林呂良離里郎魯練縷連</t>
  </si>
  <si>
    <t>半齒</t>
  </si>
  <si>
    <t>如汝儒人而仍兒耳</t>
  </si>
  <si>
    <t>今名</t>
  </si>
  <si>
    <t>古名</t>
  </si>
  <si>
    <t>發音方法</t>
  </si>
  <si>
    <t>分類</t>
  </si>
  <si>
    <t>（不送氣清音）</t>
  </si>
  <si>
    <t>（送氣清音）</t>
  </si>
  <si>
    <t>（濁音）</t>
  </si>
  <si>
    <t>（響輔音）</t>
    <phoneticPr fontId="8" type="noConversion"/>
  </si>
  <si>
    <t>雙唇</t>
  </si>
  <si>
    <t>塞、鼻音</t>
  </si>
  <si>
    <t>唇音</t>
  </si>
  <si>
    <t>[p]</t>
  </si>
  <si>
    <t>[pʰ]</t>
  </si>
  <si>
    <t>[b]</t>
  </si>
  <si>
    <t>[m]</t>
  </si>
  <si>
    <t>齒齦</t>
  </si>
  <si>
    <t>邊近音</t>
  </si>
  <si>
    <t>[l]</t>
  </si>
  <si>
    <t>舌音</t>
  </si>
  <si>
    <t>[t]</t>
  </si>
  <si>
    <t>[tʰ]</t>
  </si>
  <si>
    <t>[d]</t>
  </si>
  <si>
    <t>[n]</t>
  </si>
  <si>
    <t>捲舌／
齦顎[b]</t>
    <phoneticPr fontId="8" type="noConversion"/>
  </si>
  <si>
    <t>[ʈ]／[ȶ]</t>
  </si>
  <si>
    <t>[ʈʰ]／[ȶʰ]</t>
  </si>
  <si>
    <t>[ɖ]／[ȡ]</t>
  </si>
  <si>
    <t>[ɳ]／[ȵ]</t>
  </si>
  <si>
    <t>有噝塞擦音</t>
  </si>
  <si>
    <t>齒音</t>
  </si>
  <si>
    <t>[t͡s]</t>
  </si>
  <si>
    <t>[t͡sʰ]</t>
  </si>
  <si>
    <t>[d͡z]</t>
  </si>
  <si>
    <t>有噝擦音</t>
  </si>
  <si>
    <t>[s]</t>
  </si>
  <si>
    <t>[z]</t>
  </si>
  <si>
    <t>捲舌／
齦後[c]</t>
    <phoneticPr fontId="8" type="noConversion"/>
  </si>
  <si>
    <t>正齒音
莊組</t>
    <phoneticPr fontId="8" type="noConversion"/>
  </si>
  <si>
    <t>[ʈ͡ʂ]／[t͡ʃ]</t>
  </si>
  <si>
    <t>[ʈ͡ʂʰ]／[t͡ʃʰ]</t>
  </si>
  <si>
    <t>[ɖ͡ʐ]／[d͡ʒ]</t>
  </si>
  <si>
    <t>[ʂ]／[ʃ]</t>
  </si>
  <si>
    <t>[ʐ]／[ʒ]</t>
  </si>
  <si>
    <t>齦顎</t>
  </si>
  <si>
    <t>正齒音
章組</t>
    <phoneticPr fontId="8" type="noConversion"/>
  </si>
  <si>
    <t>[t͡ɕ]</t>
  </si>
  <si>
    <t>[t͡ɕʰ]</t>
  </si>
  <si>
    <t>[d͡ʑ]</t>
  </si>
  <si>
    <t>[ɕ]</t>
  </si>
  <si>
    <t>[ʑ]</t>
  </si>
  <si>
    <t>鼻音</t>
  </si>
  <si>
    <t>[ȵ]／[ȵ͡ʑ]</t>
  </si>
  <si>
    <t>軟顎</t>
  </si>
  <si>
    <t>[k]</t>
  </si>
  <si>
    <t>[kʰ]</t>
  </si>
  <si>
    <t>[ɡ]</t>
  </si>
  <si>
    <t>[ŋ]</t>
  </si>
  <si>
    <t>無噝擦音</t>
  </si>
  <si>
    <t>[x]</t>
  </si>
  <si>
    <t>[ɣ]</t>
  </si>
  <si>
    <t>硬顎</t>
  </si>
  <si>
    <t>近音</t>
  </si>
  <si>
    <t>[j]／[∅]</t>
  </si>
  <si>
    <t>聲門</t>
  </si>
  <si>
    <t>塞音</t>
  </si>
  <si>
    <t>[ʔ]</t>
  </si>
  <si>
    <t>擦音</t>
  </si>
  <si>
    <t>[h]</t>
  </si>
  <si>
    <t>[ɦ]</t>
  </si>
  <si>
    <t>零聲母</t>
  </si>
  <si>
    <t>[∅]</t>
  </si>
  <si>
    <t>上字</t>
    <phoneticPr fontId="10" type="noConversion"/>
  </si>
  <si>
    <t>字母</t>
    <phoneticPr fontId="10" type="noConversion"/>
  </si>
  <si>
    <t>側</t>
    <phoneticPr fontId="10" type="noConversion"/>
  </si>
  <si>
    <t>聲母</t>
    <phoneticPr fontId="10" type="noConversion"/>
  </si>
  <si>
    <t>台羅音標</t>
    <phoneticPr fontId="10" type="noConversion"/>
  </si>
  <si>
    <t>國際音標</t>
    <phoneticPr fontId="10" type="noConversion"/>
  </si>
  <si>
    <r>
      <t>方</t>
    </r>
    <r>
      <rPr>
        <sz val="16"/>
        <color theme="1"/>
        <rFont val="細明體"/>
        <family val="3"/>
        <charset val="136"/>
      </rPr>
      <t xml:space="preserve"> </t>
    </r>
    <r>
      <rPr>
        <sz val="16"/>
        <color theme="1"/>
        <rFont val="霞鹜文楷 TC"/>
        <family val="3"/>
        <charset val="136"/>
      </rPr>
      <t>封 分 府 甫</t>
    </r>
    <phoneticPr fontId="10" type="noConversion"/>
  </si>
  <si>
    <t>群</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</si>
</sst>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新細明體"/>
      <family val="2"/>
      <scheme val="minor"/>
    </font>
    <font>
      <u/>
      <sz val="12"/>
      <color theme="10"/>
      <name val="新細明體"/>
      <family val="2"/>
      <scheme val="minor"/>
    </font>
    <font>
      <b/>
      <sz val="16"/>
      <color theme="4"/>
      <name val="霞鹜文楷 TC"/>
      <family val="3"/>
      <charset val="136"/>
    </font>
    <font>
      <sz val="16"/>
      <color theme="1"/>
      <name val="霞鹜文楷 TC"/>
      <family val="3"/>
      <charset val="136"/>
    </font>
    <font>
      <sz val="16"/>
      <color rgb="FF000000"/>
      <name val="霞鹜文楷 TC"/>
      <family val="3"/>
      <charset val="136"/>
    </font>
    <font>
      <u/>
      <sz val="16"/>
      <color rgb="FF000000"/>
      <name val="霞鹜文楷 TC"/>
      <family val="3"/>
      <charset val="136"/>
    </font>
    <font>
      <sz val="16"/>
      <color theme="4"/>
      <name val="霞鹜文楷 TC"/>
      <family val="3"/>
      <charset val="136"/>
    </font>
    <font>
      <u/>
      <sz val="16"/>
      <color theme="10"/>
      <name val="霞鹜文楷 TC"/>
      <family val="3"/>
      <charset val="136"/>
    </font>
    <font>
      <sz val="12"/>
      <color theme="1"/>
      <name val="新細明體"/>
      <family val="2"/>
      <scheme val="minor"/>
    </font>
    <font>
      <b/>
      <sz val="18"/>
      <color theme="0"/>
      <name val="蘋方-繁 中黑體"/>
      <charset val="136"/>
    </font>
    <font>
      <sz val="9"/>
      <name val="新細明體"/>
      <family val="3"/>
      <charset val="136"/>
      <scheme val="minor"/>
    </font>
    <font>
      <sz val="18"/>
      <color theme="1"/>
      <name val="蘋方-繁 中黑體"/>
      <charset val="136"/>
    </font>
    <font>
      <u/>
      <sz val="18"/>
      <color theme="10"/>
      <name val="黒体-繁"/>
      <family val="2"/>
      <charset val="136"/>
    </font>
    <font>
      <u/>
      <sz val="16"/>
      <color theme="10"/>
      <name val="蘋方-繁 中黑體"/>
      <charset val="136"/>
    </font>
    <font>
      <sz val="13.5"/>
      <color theme="1"/>
      <name val="蘋方-繁 中黑體"/>
      <charset val="136"/>
    </font>
    <font>
      <u/>
      <sz val="18"/>
      <color theme="10"/>
      <name val="蘋方-繁 中黑體"/>
      <charset val="136"/>
    </font>
    <font>
      <sz val="14"/>
      <color theme="1"/>
      <name val="蘋方-繁 中黑體"/>
      <charset val="136"/>
    </font>
    <font>
      <u/>
      <sz val="18"/>
      <color theme="10"/>
      <name val="Arial"/>
      <family val="2"/>
    </font>
    <font>
      <sz val="16"/>
      <color theme="5" tint="-0.249977111117893"/>
      <name val="霞鹜文楷等宽 TC"/>
      <family val="3"/>
      <charset val="136"/>
    </font>
    <font>
      <u/>
      <sz val="14"/>
      <color theme="10"/>
      <name val="蘋方-繁 中黑體"/>
      <charset val="136"/>
    </font>
    <font>
      <sz val="10"/>
      <name val="宋体"/>
      <family val="3"/>
      <charset val="136"/>
    </font>
    <font>
      <u/>
      <sz val="16"/>
      <color theme="10"/>
      <name val="PMingLiU"/>
      <family val="3"/>
      <charset val="136"/>
    </font>
    <font>
      <sz val="16"/>
      <color theme="1"/>
      <name val="霞鹜文楷 TC"/>
      <family val="3"/>
      <charset val="136"/>
    </font>
    <font>
      <sz val="16"/>
      <color rgb="FF000000"/>
      <name val="霞鹜文楷 TC"/>
      <family val="3"/>
      <charset val="136"/>
    </font>
    <font>
      <u/>
      <sz val="16"/>
      <color theme="10"/>
      <name val="霞鹜文楷 TC"/>
      <family val="3"/>
      <charset val="136"/>
    </font>
    <font>
      <b/>
      <sz val="16"/>
      <color rgb="FF000000"/>
      <name val="Noto Serif TC"/>
      <family val="1"/>
      <charset val="136"/>
    </font>
    <font>
      <b/>
      <sz val="16"/>
      <color theme="1"/>
      <name val="Noto Serif TC"/>
      <family val="1"/>
      <charset val="136"/>
    </font>
    <font>
      <sz val="16"/>
      <color rgb="FF943634"/>
      <name val="Noto Serif TC"/>
      <family val="1"/>
      <charset val="136"/>
    </font>
    <font>
      <sz val="16"/>
      <color theme="1"/>
      <name val="Noto Serif TC"/>
      <family val="1"/>
      <charset val="136"/>
    </font>
    <font>
      <sz val="16"/>
      <color rgb="FF000000"/>
      <name val="Noto Serif TC"/>
      <family val="1"/>
      <charset val="136"/>
    </font>
    <font>
      <sz val="24"/>
      <color theme="1"/>
      <name val="Noto Serif TC Black"/>
      <family val="1"/>
      <charset val="136"/>
    </font>
    <font>
      <sz val="24"/>
      <color theme="2"/>
      <name val="Noto Serif TC Black"/>
      <family val="1"/>
      <charset val="136"/>
    </font>
    <font>
      <b/>
      <u/>
      <sz val="24"/>
      <color rgb="FF000000"/>
      <name val="吳守禮細明台語注音"/>
      <family val="1"/>
      <charset val="136"/>
    </font>
    <font>
      <b/>
      <u/>
      <sz val="24"/>
      <color theme="10"/>
      <name val="吳守禮細明台語注音"/>
      <family val="1"/>
      <charset val="136"/>
    </font>
    <font>
      <b/>
      <u/>
      <sz val="24"/>
      <color rgb="FFFF0000"/>
      <name val="吳守禮細明台語注音"/>
      <family val="1"/>
      <charset val="136"/>
    </font>
    <font>
      <b/>
      <u/>
      <sz val="24"/>
      <color rgb="FF000000"/>
      <name val="吳守禮細明台語破音01"/>
      <family val="1"/>
      <charset val="136"/>
    </font>
    <font>
      <b/>
      <u/>
      <sz val="24"/>
      <color rgb="FF000000"/>
      <name val="吳守禮細明台語破音02"/>
      <family val="1"/>
      <charset val="136"/>
    </font>
    <font>
      <sz val="16"/>
      <color theme="1"/>
      <name val="細明體"/>
      <family val="3"/>
      <charset val="136"/>
    </font>
    <font>
      <b/>
      <u/>
      <sz val="24"/>
      <color rgb="FFFF0000"/>
      <name val="吳守禮細明台語破音01"/>
      <family val="1"/>
      <charset val="136"/>
    </font>
    <font>
      <b/>
      <u/>
      <sz val="24"/>
      <color rgb="FFFF0000"/>
      <name val="吳守禮細明台語破音02"/>
      <family val="1"/>
      <charset val="136"/>
    </font>
    <font>
      <b/>
      <u/>
      <sz val="24"/>
      <color theme="10"/>
      <name val="吳守禮細明台語破音01"/>
      <family val="1"/>
      <charset val="136"/>
    </font>
    <font>
      <b/>
      <u/>
      <sz val="24"/>
      <color rgb="FF000000"/>
      <name val="字咍源雲明體 方音 L"/>
      <family val="1"/>
      <charset val="136"/>
    </font>
  </fonts>
  <fills count="12">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EBFC95"/>
        <bgColor indexed="64"/>
      </patternFill>
    </fill>
    <fill>
      <patternFill patternType="solid">
        <fgColor theme="4" tint="0.59999389629810485"/>
        <bgColor indexed="64"/>
      </patternFill>
    </fill>
    <fill>
      <patternFill patternType="solid">
        <fgColor rgb="FFFFFF00"/>
        <bgColor indexed="64"/>
      </patternFill>
    </fill>
  </fills>
  <borders count="21">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diagonal/>
    </border>
    <border>
      <left/>
      <right style="thin">
        <color indexed="64"/>
      </right>
      <top/>
      <bottom/>
      <diagonal/>
    </border>
  </borders>
  <cellStyleXfs count="4">
    <xf numFmtId="0" fontId="0" fillId="0" borderId="0"/>
    <xf numFmtId="0" fontId="1" fillId="0" borderId="0" applyNumberFormat="0" applyFill="0" applyBorder="0" applyAlignment="0" applyProtection="0"/>
    <xf numFmtId="0" fontId="12" fillId="0" borderId="0" applyNumberFormat="0" applyFill="0" applyBorder="0" applyAlignment="0" applyProtection="0">
      <alignment vertical="center"/>
    </xf>
    <xf numFmtId="0" fontId="20" fillId="0" borderId="0"/>
  </cellStyleXfs>
  <cellXfs count="97">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3" fillId="0" borderId="0" xfId="0" applyFont="1"/>
    <xf numFmtId="0" fontId="3" fillId="0" borderId="4" xfId="0" applyFont="1" applyBorder="1" applyAlignment="1">
      <alignment vertical="center"/>
    </xf>
    <xf numFmtId="0" fontId="4" fillId="0" borderId="5" xfId="0" applyFont="1" applyBorder="1" applyAlignment="1">
      <alignment vertical="center"/>
    </xf>
    <xf numFmtId="0" fontId="5" fillId="0" borderId="6" xfId="1" applyFont="1" applyBorder="1" applyAlignment="1">
      <alignment vertical="center"/>
    </xf>
    <xf numFmtId="0" fontId="3" fillId="0" borderId="6" xfId="0" applyFont="1" applyBorder="1" applyAlignment="1">
      <alignment vertical="center"/>
    </xf>
    <xf numFmtId="0" fontId="6" fillId="0" borderId="5" xfId="0" applyFont="1" applyBorder="1" applyAlignment="1">
      <alignment vertical="center"/>
    </xf>
    <xf numFmtId="0" fontId="7" fillId="0" borderId="6" xfId="1"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7" fillId="0" borderId="9" xfId="1" applyFont="1" applyBorder="1" applyAlignment="1">
      <alignment vertical="center"/>
    </xf>
    <xf numFmtId="0" fontId="3" fillId="0" borderId="9" xfId="0" applyFont="1" applyBorder="1" applyAlignment="1">
      <alignment vertical="center"/>
    </xf>
    <xf numFmtId="0" fontId="3" fillId="0" borderId="0" xfId="0" applyFont="1" applyAlignment="1">
      <alignment vertical="center"/>
    </xf>
    <xf numFmtId="0" fontId="7" fillId="0" borderId="0" xfId="1" applyFont="1" applyAlignment="1">
      <alignment vertical="center"/>
    </xf>
    <xf numFmtId="0" fontId="11" fillId="0" borderId="0" xfId="0" applyFont="1" applyAlignment="1">
      <alignment horizontal="center" vertical="center"/>
    </xf>
    <xf numFmtId="0" fontId="11" fillId="6" borderId="11" xfId="0" applyFont="1" applyFill="1" applyBorder="1" applyAlignment="1">
      <alignment horizontal="center" vertical="center"/>
    </xf>
    <xf numFmtId="0" fontId="0" fillId="0" borderId="0" xfId="0" applyAlignment="1">
      <alignment horizontal="center" vertical="center"/>
    </xf>
    <xf numFmtId="0" fontId="14" fillId="6" borderId="12" xfId="0" applyFont="1" applyFill="1" applyBorder="1" applyAlignment="1">
      <alignment horizontal="center" vertical="center"/>
    </xf>
    <xf numFmtId="0" fontId="12" fillId="0" borderId="11" xfId="2" applyBorder="1" applyAlignment="1">
      <alignment horizontal="center" vertical="center"/>
    </xf>
    <xf numFmtId="0" fontId="17" fillId="0" borderId="12" xfId="2" applyFont="1" applyBorder="1" applyAlignment="1">
      <alignment horizontal="center" vertical="center"/>
    </xf>
    <xf numFmtId="0" fontId="12" fillId="0" borderId="12" xfId="2" applyBorder="1" applyAlignment="1">
      <alignment horizontal="center" vertical="center"/>
    </xf>
    <xf numFmtId="0" fontId="12" fillId="0" borderId="14" xfId="2" applyBorder="1" applyAlignment="1">
      <alignment horizontal="center" vertical="center"/>
    </xf>
    <xf numFmtId="0" fontId="17" fillId="0" borderId="16" xfId="2" applyFont="1" applyBorder="1" applyAlignment="1">
      <alignment horizontal="center" vertical="center"/>
    </xf>
    <xf numFmtId="0" fontId="0" fillId="0" borderId="11" xfId="0" applyBorder="1" applyAlignment="1">
      <alignment vertical="center"/>
    </xf>
    <xf numFmtId="0" fontId="21" fillId="0" borderId="6" xfId="1" applyFont="1" applyBorder="1" applyAlignment="1">
      <alignment vertical="center"/>
    </xf>
    <xf numFmtId="0" fontId="22" fillId="0" borderId="4" xfId="0" applyFont="1" applyBorder="1" applyAlignment="1">
      <alignment vertical="center"/>
    </xf>
    <xf numFmtId="0" fontId="23" fillId="0" borderId="5" xfId="0" applyFont="1" applyBorder="1" applyAlignment="1">
      <alignment vertical="center"/>
    </xf>
    <xf numFmtId="0" fontId="24" fillId="0" borderId="6" xfId="1" applyFont="1" applyBorder="1" applyAlignment="1">
      <alignment vertical="center"/>
    </xf>
    <xf numFmtId="0" fontId="22" fillId="0" borderId="6" xfId="0" applyFont="1" applyBorder="1" applyAlignment="1">
      <alignment vertical="center"/>
    </xf>
    <xf numFmtId="0" fontId="25" fillId="10" borderId="5" xfId="0" applyFont="1" applyFill="1" applyBorder="1" applyAlignment="1">
      <alignment horizontal="center" vertical="center" wrapText="1" readingOrder="1"/>
    </xf>
    <xf numFmtId="0" fontId="26" fillId="0" borderId="0" xfId="0" applyFont="1" applyAlignment="1">
      <alignment horizontal="center" vertical="center"/>
    </xf>
    <xf numFmtId="0" fontId="27" fillId="0" borderId="5" xfId="0" applyFont="1" applyBorder="1" applyAlignment="1">
      <alignment horizontal="center" vertical="center" readingOrder="1"/>
    </xf>
    <xf numFmtId="0" fontId="28" fillId="0" borderId="0" xfId="0" applyFont="1" applyAlignment="1">
      <alignment horizontal="center" vertical="center"/>
    </xf>
    <xf numFmtId="0" fontId="27" fillId="9" borderId="5" xfId="0" applyFont="1" applyFill="1" applyBorder="1" applyAlignment="1">
      <alignment horizontal="center" vertical="center" readingOrder="1"/>
    </xf>
    <xf numFmtId="0" fontId="29" fillId="0" borderId="5" xfId="0" applyFont="1" applyBorder="1" applyAlignment="1">
      <alignment horizontal="center" vertical="center" readingOrder="1"/>
    </xf>
    <xf numFmtId="0" fontId="25" fillId="10" borderId="5" xfId="0" applyFont="1" applyFill="1" applyBorder="1" applyAlignment="1">
      <alignment horizontal="left" vertical="center" readingOrder="1"/>
    </xf>
    <xf numFmtId="0" fontId="27" fillId="0" borderId="5" xfId="0" applyFont="1" applyBorder="1" applyAlignment="1">
      <alignment horizontal="left" vertical="center" readingOrder="1"/>
    </xf>
    <xf numFmtId="0" fontId="27" fillId="9" borderId="5" xfId="0" applyFont="1" applyFill="1" applyBorder="1" applyAlignment="1">
      <alignment horizontal="left" vertical="center" readingOrder="1"/>
    </xf>
    <xf numFmtId="0" fontId="29" fillId="0" borderId="5" xfId="0" applyFont="1" applyBorder="1" applyAlignment="1">
      <alignment horizontal="left" vertical="center" readingOrder="1"/>
    </xf>
    <xf numFmtId="0" fontId="28" fillId="0" borderId="0" xfId="0" applyFont="1" applyAlignment="1">
      <alignment horizontal="left" vertical="center"/>
    </xf>
    <xf numFmtId="0" fontId="25" fillId="10" borderId="5" xfId="0" applyFont="1" applyFill="1" applyBorder="1" applyAlignment="1">
      <alignment horizontal="left" vertical="center" wrapText="1" readingOrder="1"/>
    </xf>
    <xf numFmtId="0" fontId="15" fillId="7" borderId="11" xfId="2" applyFont="1" applyFill="1" applyBorder="1" applyAlignment="1">
      <alignment horizontal="center" vertical="center"/>
    </xf>
    <xf numFmtId="0" fontId="15" fillId="7" borderId="12" xfId="2" applyFont="1" applyFill="1" applyBorder="1" applyAlignment="1">
      <alignment horizontal="center" vertical="center"/>
    </xf>
    <xf numFmtId="0" fontId="16" fillId="7" borderId="11" xfId="0" applyFont="1" applyFill="1" applyBorder="1" applyAlignment="1">
      <alignment horizontal="left" vertical="center"/>
    </xf>
    <xf numFmtId="0" fontId="16" fillId="7" borderId="12" xfId="0" applyFont="1" applyFill="1" applyBorder="1" applyAlignment="1">
      <alignment horizontal="left" vertical="center"/>
    </xf>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9" fillId="3" borderId="10" xfId="0" applyFont="1" applyFill="1" applyBorder="1" applyAlignment="1">
      <alignment horizontal="center" vertical="center"/>
    </xf>
    <xf numFmtId="0" fontId="9" fillId="4" borderId="10" xfId="0" applyFont="1" applyFill="1" applyBorder="1" applyAlignment="1">
      <alignment horizontal="center" vertical="center"/>
    </xf>
    <xf numFmtId="0" fontId="13" fillId="5" borderId="11" xfId="2" applyFont="1" applyFill="1" applyBorder="1" applyAlignment="1">
      <alignment horizontal="center" vertical="center"/>
    </xf>
    <xf numFmtId="0" fontId="13" fillId="5" borderId="12" xfId="2" applyFont="1" applyFill="1" applyBorder="1" applyAlignment="1">
      <alignment horizontal="center" vertical="center"/>
    </xf>
    <xf numFmtId="0" fontId="11" fillId="6" borderId="11" xfId="0" applyFont="1" applyFill="1" applyBorder="1" applyAlignment="1">
      <alignment horizontal="center" vertical="center"/>
    </xf>
    <xf numFmtId="0" fontId="11" fillId="6" borderId="12" xfId="0" applyFont="1" applyFill="1" applyBorder="1" applyAlignment="1">
      <alignment horizontal="center" vertical="center"/>
    </xf>
    <xf numFmtId="0" fontId="15" fillId="7" borderId="17" xfId="2" applyFont="1" applyFill="1" applyBorder="1" applyAlignment="1">
      <alignment horizontal="center" vertical="center"/>
    </xf>
    <xf numFmtId="0" fontId="0" fillId="8" borderId="11" xfId="0" applyFill="1" applyBorder="1" applyAlignment="1">
      <alignment horizontal="center" vertical="center"/>
    </xf>
    <xf numFmtId="0" fontId="0" fillId="8" borderId="17" xfId="0" applyFill="1" applyBorder="1" applyAlignment="1">
      <alignment horizontal="center" vertical="center"/>
    </xf>
    <xf numFmtId="0" fontId="0" fillId="8" borderId="12" xfId="0" applyFill="1" applyBorder="1" applyAlignment="1">
      <alignment horizontal="center" vertical="center"/>
    </xf>
    <xf numFmtId="0" fontId="18" fillId="8" borderId="11" xfId="0" applyFont="1" applyFill="1" applyBorder="1" applyAlignment="1">
      <alignment horizontal="center" vertical="center"/>
    </xf>
    <xf numFmtId="0" fontId="18" fillId="8" borderId="12" xfId="0" applyFont="1" applyFill="1" applyBorder="1" applyAlignment="1">
      <alignment horizontal="center" vertical="center"/>
    </xf>
    <xf numFmtId="0" fontId="15" fillId="7" borderId="11" xfId="2" applyFont="1" applyFill="1" applyBorder="1" applyAlignment="1">
      <alignment horizontal="center" vertical="center" wrapText="1"/>
    </xf>
    <xf numFmtId="0" fontId="15" fillId="7" borderId="12" xfId="2" applyFont="1" applyFill="1" applyBorder="1" applyAlignment="1">
      <alignment horizontal="center" vertical="center" wrapText="1"/>
    </xf>
    <xf numFmtId="0" fontId="0" fillId="8" borderId="18" xfId="0" applyFill="1" applyBorder="1" applyAlignment="1">
      <alignment horizontal="center" vertical="center"/>
    </xf>
    <xf numFmtId="0" fontId="18" fillId="8" borderId="17" xfId="0" applyFont="1" applyFill="1" applyBorder="1" applyAlignment="1">
      <alignment horizontal="center" vertical="center"/>
    </xf>
    <xf numFmtId="0" fontId="15" fillId="7" borderId="17" xfId="2"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8" fillId="8" borderId="17" xfId="0" applyFont="1" applyFill="1" applyBorder="1" applyAlignment="1">
      <alignment horizontal="center" vertical="center" wrapText="1"/>
    </xf>
    <xf numFmtId="0" fontId="0" fillId="0" borderId="0" xfId="0" applyAlignment="1">
      <alignment horizontal="center" vertical="center"/>
    </xf>
    <xf numFmtId="0" fontId="16" fillId="7" borderId="14" xfId="0" applyFont="1" applyFill="1" applyBorder="1" applyAlignment="1">
      <alignment horizontal="left" vertical="center"/>
    </xf>
    <xf numFmtId="0" fontId="16" fillId="7" borderId="16" xfId="0" applyFont="1" applyFill="1" applyBorder="1" applyAlignment="1">
      <alignment horizontal="left" vertical="center"/>
    </xf>
    <xf numFmtId="0" fontId="18" fillId="8" borderId="8" xfId="0" applyFont="1" applyFill="1" applyBorder="1" applyAlignment="1">
      <alignment horizontal="center" vertical="center" wrapText="1"/>
    </xf>
    <xf numFmtId="0" fontId="18" fillId="8" borderId="19"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7" borderId="11" xfId="2" applyFont="1" applyFill="1" applyBorder="1" applyAlignment="1">
      <alignment horizontal="left" vertical="center"/>
    </xf>
    <xf numFmtId="0" fontId="19" fillId="7" borderId="12" xfId="2" applyFont="1" applyFill="1" applyBorder="1" applyAlignment="1">
      <alignment horizontal="left" vertical="center"/>
    </xf>
    <xf numFmtId="0" fontId="0" fillId="8" borderId="20" xfId="0" applyFill="1" applyBorder="1" applyAlignment="1">
      <alignment horizontal="center" vertical="center"/>
    </xf>
    <xf numFmtId="0" fontId="15" fillId="7" borderId="13" xfId="2" applyFont="1" applyFill="1" applyBorder="1" applyAlignment="1">
      <alignment horizontal="center" vertical="center"/>
    </xf>
    <xf numFmtId="0" fontId="15" fillId="7" borderId="14" xfId="2" applyFont="1" applyFill="1" applyBorder="1" applyAlignment="1">
      <alignment horizontal="center" vertical="center"/>
    </xf>
    <xf numFmtId="0" fontId="15" fillId="7" borderId="15" xfId="2" applyFont="1" applyFill="1" applyBorder="1" applyAlignment="1">
      <alignment horizontal="center" vertical="center"/>
    </xf>
    <xf numFmtId="0" fontId="15" fillId="7" borderId="16" xfId="2" applyFont="1" applyFill="1" applyBorder="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32" fillId="0" borderId="5" xfId="1" applyFont="1" applyBorder="1" applyAlignment="1">
      <alignment horizontal="center" vertical="center"/>
    </xf>
    <xf numFmtId="0" fontId="33" fillId="0" borderId="5" xfId="1" applyFont="1" applyBorder="1" applyAlignment="1">
      <alignment horizontal="center" vertical="center"/>
    </xf>
    <xf numFmtId="0" fontId="34" fillId="0" borderId="5" xfId="1" applyFont="1" applyBorder="1" applyAlignment="1">
      <alignment horizontal="center" vertical="center"/>
    </xf>
    <xf numFmtId="0" fontId="35" fillId="0" borderId="5" xfId="1" applyFont="1" applyBorder="1" applyAlignment="1">
      <alignment horizontal="center" vertical="center"/>
    </xf>
    <xf numFmtId="0" fontId="36" fillId="0" borderId="5" xfId="1" applyFont="1" applyBorder="1" applyAlignment="1">
      <alignment horizontal="center" vertical="center"/>
    </xf>
    <xf numFmtId="0" fontId="38" fillId="0" borderId="5" xfId="1" applyFont="1" applyBorder="1" applyAlignment="1">
      <alignment horizontal="center" vertical="center"/>
    </xf>
    <xf numFmtId="0" fontId="39" fillId="0" borderId="5" xfId="1" applyFont="1" applyBorder="1" applyAlignment="1">
      <alignment horizontal="center" vertical="center"/>
    </xf>
    <xf numFmtId="0" fontId="40" fillId="0" borderId="8" xfId="1" applyFont="1" applyBorder="1" applyAlignment="1">
      <alignment horizontal="center" vertical="center"/>
    </xf>
    <xf numFmtId="0" fontId="41" fillId="0" borderId="5" xfId="1" applyFont="1" applyBorder="1" applyAlignment="1">
      <alignment horizontal="center" vertical="center"/>
    </xf>
    <xf numFmtId="0" fontId="32" fillId="11" borderId="5" xfId="1" applyFont="1" applyFill="1" applyBorder="1" applyAlignment="1">
      <alignment horizontal="center" vertical="center"/>
    </xf>
  </cellXfs>
  <cellStyles count="4">
    <cellStyle name="Hyperlink" xfId="1" xr:uid="{00000000-000B-0000-0000-000008000000}"/>
    <cellStyle name="一般" xfId="0" builtinId="0"/>
    <cellStyle name="一般 2" xfId="3" xr:uid="{5B3C810F-3C82-48B5-B7C9-EF5D987F8459}"/>
    <cellStyle name="超連結 2" xfId="2" xr:uid="{11FB21C5-418C-4220-B65A-5DCB2DA35523}"/>
  </cellStyles>
  <dxfs count="13">
    <dxf>
      <font>
        <b/>
        <strike val="0"/>
        <outline val="0"/>
        <shadow val="0"/>
        <u/>
        <vertAlign val="baseline"/>
        <sz val="24"/>
        <name val="吳守禮細明台語注音"/>
        <family val="1"/>
        <charset val="136"/>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u/>
        <sz val="16"/>
        <color rgb="FF000000"/>
        <name val="霞鹜文楷 TC"/>
        <family val="3"/>
        <charset val="136"/>
        <scheme val="none"/>
      </font>
      <alignment horizontal="general" vertical="center" textRotation="0" wrapText="0" indent="0" justifyLastLine="0" shrinkToFit="0" readingOrder="0"/>
      <border diagonalUp="0" diagonalDown="0" outline="0">
        <left style="thin">
          <color rgb="FF000000"/>
        </left>
        <right/>
        <top style="thin">
          <color rgb="FF000000"/>
        </top>
        <bottom style="thin">
          <color rgb="FF000000"/>
        </bottom>
      </border>
    </dxf>
    <dxf>
      <font>
        <sz val="16"/>
        <name val="霞鹜文楷 TC"/>
      </font>
      <border diagonalUp="0" diagonalDown="0" outline="0">
        <left style="thin">
          <color rgb="FF000000"/>
        </left>
        <right style="thin">
          <color rgb="FF000000"/>
        </right>
        <top style="thin">
          <color rgb="FF000000"/>
        </top>
        <bottom style="thin">
          <color rgb="FF000000"/>
        </bottom>
      </border>
    </dxf>
    <dxf>
      <font>
        <sz val="16"/>
        <name val="霞鹜文楷 TC"/>
      </font>
      <border diagonalUp="0" diagonalDown="0">
        <left style="thin">
          <color rgb="FF000000"/>
        </left>
        <right/>
        <top style="thin">
          <color rgb="FF000000"/>
        </top>
        <bottom style="thin">
          <color rgb="FF000000"/>
        </bottom>
        <vertical/>
        <horizontal/>
      </border>
    </dxf>
    <dxf>
      <font>
        <sz val="16"/>
        <name val="霞鹜文楷 TC"/>
      </font>
      <border diagonalUp="0" diagonalDown="0">
        <left style="thin">
          <color rgb="FF000000"/>
        </left>
        <right/>
        <top style="thin">
          <color rgb="FF000000"/>
        </top>
        <bottom style="thin">
          <color rgb="FF000000"/>
        </bottom>
        <vertical/>
        <horizontal/>
      </border>
    </dxf>
    <dxf>
      <font>
        <sz val="16"/>
        <name val="霞鹜文楷 TC"/>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ertAlign val="baseline"/>
        <sz val="16"/>
        <color rgb="FF000000"/>
        <name val="霞鹜文楷 TC"/>
        <family val="3"/>
        <charset val="136"/>
        <scheme val="none"/>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sz val="16"/>
        <name val="霞鹜文楷 TC"/>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z val="16"/>
        <name val="霞鹜文楷 TC"/>
      </font>
    </dxf>
    <dxf>
      <border outline="0">
        <bottom style="thin">
          <color rgb="FF000000"/>
        </bottom>
      </border>
    </dxf>
    <dxf>
      <font>
        <b/>
        <i val="0"/>
        <strike val="0"/>
        <condense val="0"/>
        <extend val="0"/>
        <outline val="0"/>
        <shadow val="0"/>
        <u val="none"/>
        <vertAlign val="baseline"/>
        <sz val="16"/>
        <color theme="4"/>
        <name val="霞鹜文楷 TC"/>
        <scheme val="none"/>
      </font>
      <fill>
        <patternFill patternType="solid">
          <fgColor indexed="64"/>
          <bgColor theme="4" tint="0.79998168889431442"/>
        </patternFill>
      </fill>
      <border diagonalUp="0" diagonalDown="0">
        <left style="thin">
          <color rgb="FF000000"/>
        </left>
        <right style="thin">
          <color rgb="FF000000"/>
        </right>
        <top/>
        <bottom/>
      </border>
    </dxf>
  </dxfs>
  <tableStyles count="0" defaultTableStyle="TableStyleMedium2" defaultPivotStyle="PivotStyleMedium9"/>
  <colors>
    <mruColors>
      <color rgb="FFEBFC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02CA1A-E2EC-4E03-9811-897E8DECD5FC}" name="反切上字表" displayName="反切上字表" ref="A1:H43" totalsRowShown="0" headerRowDxfId="12" dataDxfId="10" headerRowBorderDxfId="11" tableBorderDxfId="9" totalsRowBorderDxfId="8">
  <autoFilter ref="A1:H43" xr:uid="{7802CA1A-E2EC-4E03-9811-897E8DECD5FC}"/>
  <tableColumns count="8">
    <tableColumn id="1" xr3:uid="{52BECD02-764D-42B8-9A12-FACF5BBAA3C2}" name="序" dataDxfId="7"/>
    <tableColumn id="2" xr3:uid="{27D72B5A-C5CB-4689-98FA-F54EE07EFF26}" name="類" dataDxfId="2"/>
    <tableColumn id="3" xr3:uid="{B9503A3E-AEF8-491D-AE8A-55AC6BF17456}" name="聲母" dataDxfId="0" dataCellStyle="Hyperlink"/>
    <tableColumn id="6" xr3:uid="{057E8866-AD9C-47C8-ABF7-23A6324137BE}" name="清濁" dataDxfId="1" dataCellStyle="Hyperlink"/>
    <tableColumn id="8" xr3:uid="{7FE7B2E2-61C2-4287-A5CF-EC642998CA84}" name="發送收" dataDxfId="6" dataCellStyle="Hyperlink"/>
    <tableColumn id="7" xr3:uid="{959397C3-0D8B-4E3B-A89E-2ED8A0001B3F}" name="台羅音標" dataDxfId="5" dataCellStyle="Hyperlink"/>
    <tableColumn id="5" xr3:uid="{34F734A5-F634-4BFF-A817-2D38ED0494C8}" name="國際音標" dataDxfId="4" dataCellStyle="Hyperlink"/>
    <tableColumn id="4" xr3:uid="{C4B19C94-7068-4052-835C-E8D34E37596C}" name="反切上字" dataDxfId="3"/>
  </tableColumns>
  <tableStyleInfo name="TableStyleMedium6" showFirstColumn="0" showLastColumn="0" showRowStripes="1" showColumnStripes="0"/>
</table>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ytenx.org/kyonh/cjeng/%E7%B2%BE/" TargetMode="External"/><Relationship Id="rId18" Type="http://schemas.openxmlformats.org/officeDocument/2006/relationships/hyperlink" Target="https://ytenx.org/kyonh/cjeng/%E8%8E%8A/" TargetMode="External"/><Relationship Id="rId26" Type="http://schemas.openxmlformats.org/officeDocument/2006/relationships/hyperlink" Target="https://ytenx.org/kyonh/cjeng/%E6%9B%B8/" TargetMode="External"/><Relationship Id="rId39" Type="http://schemas.openxmlformats.org/officeDocument/2006/relationships/hyperlink" Target="http://ahtry.blogspot.com/2012/11/blog-post_1991.html" TargetMode="External"/><Relationship Id="rId21" Type="http://schemas.openxmlformats.org/officeDocument/2006/relationships/hyperlink" Target="https://ytenx.org/kyonh/cjeng/%E7%94%9F/" TargetMode="External"/><Relationship Id="rId34" Type="http://schemas.openxmlformats.org/officeDocument/2006/relationships/hyperlink" Target="https://ytenx.org/kyonh/cjeng/%E5%BD%B1/" TargetMode="External"/><Relationship Id="rId7" Type="http://schemas.openxmlformats.org/officeDocument/2006/relationships/hyperlink" Target="https://ytenx.org/kyonh/cjeng/%E5%AE%9A/" TargetMode="External"/><Relationship Id="rId12" Type="http://schemas.openxmlformats.org/officeDocument/2006/relationships/hyperlink" Target="https://ytenx.org/kyonh/cjeng/%E5%AD%83/" TargetMode="External"/><Relationship Id="rId17" Type="http://schemas.openxmlformats.org/officeDocument/2006/relationships/hyperlink" Target="https://ytenx.org/kyonh/cjeng/%E9%82%AA/" TargetMode="External"/><Relationship Id="rId25" Type="http://schemas.openxmlformats.org/officeDocument/2006/relationships/hyperlink" Target="https://ytenx.org/kyonh/cjeng/%E5%B8%B8/" TargetMode="External"/><Relationship Id="rId33" Type="http://schemas.openxmlformats.org/officeDocument/2006/relationships/hyperlink" Target="https://ytenx.org/kyonh/cjeng/%E5%8C%A3/" TargetMode="External"/><Relationship Id="rId38" Type="http://schemas.openxmlformats.org/officeDocument/2006/relationships/hyperlink" Target="https://ytenx.org/kyonh/cjeng/%E6%97%A5/" TargetMode="External"/><Relationship Id="rId2" Type="http://schemas.openxmlformats.org/officeDocument/2006/relationships/hyperlink" Target="https://ytenx.org/kyonh/cjeng/%E6%BB%82/" TargetMode="External"/><Relationship Id="rId16" Type="http://schemas.openxmlformats.org/officeDocument/2006/relationships/hyperlink" Target="https://ytenx.org/kyonh/cjeng/%E5%BF%83/" TargetMode="External"/><Relationship Id="rId20" Type="http://schemas.openxmlformats.org/officeDocument/2006/relationships/hyperlink" Target="https://ytenx.org/kyonh/cjeng/%E5%B4%87/" TargetMode="External"/><Relationship Id="rId29" Type="http://schemas.openxmlformats.org/officeDocument/2006/relationships/hyperlink" Target="https://ytenx.org/kyonh/cjeng/%E6%BA%AA/" TargetMode="External"/><Relationship Id="rId1" Type="http://schemas.openxmlformats.org/officeDocument/2006/relationships/hyperlink" Target="https://ytenx.org/kyonh/cjeng/%E5%B9%AB/" TargetMode="External"/><Relationship Id="rId6" Type="http://schemas.openxmlformats.org/officeDocument/2006/relationships/hyperlink" Target="https://ytenx.org/kyonh/cjeng/%E9%80%8F/" TargetMode="External"/><Relationship Id="rId11" Type="http://schemas.openxmlformats.org/officeDocument/2006/relationships/hyperlink" Target="https://ytenx.org/kyonh/cjeng/%E6%BE%84/" TargetMode="External"/><Relationship Id="rId24" Type="http://schemas.openxmlformats.org/officeDocument/2006/relationships/hyperlink" Target="https://ytenx.org/kyonh/cjeng/%E6%98%8C/" TargetMode="External"/><Relationship Id="rId32" Type="http://schemas.openxmlformats.org/officeDocument/2006/relationships/hyperlink" Target="https://ytenx.org/kyonh/cjeng/%E6%9B%89/" TargetMode="External"/><Relationship Id="rId37" Type="http://schemas.openxmlformats.org/officeDocument/2006/relationships/hyperlink" Target="https://ytenx.org/kyonh/cjeng/%E4%BE%86/" TargetMode="External"/><Relationship Id="rId40" Type="http://schemas.openxmlformats.org/officeDocument/2006/relationships/table" Target="../tables/table1.xml"/><Relationship Id="rId5" Type="http://schemas.openxmlformats.org/officeDocument/2006/relationships/hyperlink" Target="https://ytenx.org/kyonh/cjeng/%E7%AB%AF/" TargetMode="External"/><Relationship Id="rId15" Type="http://schemas.openxmlformats.org/officeDocument/2006/relationships/hyperlink" Target="https://ytenx.org/kyonh/cjeng/%E5%BE%9E/" TargetMode="External"/><Relationship Id="rId23" Type="http://schemas.openxmlformats.org/officeDocument/2006/relationships/hyperlink" Target="https://ytenx.org/kyonh/cjeng/%E7%AB%A0/" TargetMode="External"/><Relationship Id="rId28" Type="http://schemas.openxmlformats.org/officeDocument/2006/relationships/hyperlink" Target="https://ytenx.org/kyonh/cjeng/%E8%A6%8B/" TargetMode="External"/><Relationship Id="rId36" Type="http://schemas.openxmlformats.org/officeDocument/2006/relationships/hyperlink" Target="https://ytenx.org/kyonh/cjeng/%E4%BB%A5/" TargetMode="External"/><Relationship Id="rId10" Type="http://schemas.openxmlformats.org/officeDocument/2006/relationships/hyperlink" Target="https://ytenx.org/kyonh/cjeng/%E5%BE%B9/" TargetMode="External"/><Relationship Id="rId19" Type="http://schemas.openxmlformats.org/officeDocument/2006/relationships/hyperlink" Target="https://ytenx.org/kyonh/cjeng/%E5%88%9D/" TargetMode="External"/><Relationship Id="rId31" Type="http://schemas.openxmlformats.org/officeDocument/2006/relationships/hyperlink" Target="https://ytenx.org/kyonh/cjeng/%E7%96%91/" TargetMode="External"/><Relationship Id="rId4" Type="http://schemas.openxmlformats.org/officeDocument/2006/relationships/hyperlink" Target="https://ytenx.org/kyonh/cjeng/%E6%98%8E/" TargetMode="External"/><Relationship Id="rId9" Type="http://schemas.openxmlformats.org/officeDocument/2006/relationships/hyperlink" Target="https://ytenx.org/kyonh/cjeng/%E7%9F%A5/" TargetMode="External"/><Relationship Id="rId14" Type="http://schemas.openxmlformats.org/officeDocument/2006/relationships/hyperlink" Target="https://ytenx.org/kyonh/cjeng/%E6%B8%85/" TargetMode="External"/><Relationship Id="rId22" Type="http://schemas.openxmlformats.org/officeDocument/2006/relationships/hyperlink" Target="https://ytenx.org/kyonh/cjeng/%E4%BF%9F/" TargetMode="External"/><Relationship Id="rId27" Type="http://schemas.openxmlformats.org/officeDocument/2006/relationships/hyperlink" Target="https://ytenx.org/kyonh/cjeng/%E8%88%B9/" TargetMode="External"/><Relationship Id="rId30" Type="http://schemas.openxmlformats.org/officeDocument/2006/relationships/hyperlink" Target="https://ytenx.org/kyonh/cjeng/%E7%BE%A3/" TargetMode="External"/><Relationship Id="rId35" Type="http://schemas.openxmlformats.org/officeDocument/2006/relationships/hyperlink" Target="https://ytenx.org/kyonh/cjeng/%E4%BA%91/" TargetMode="External"/><Relationship Id="rId8" Type="http://schemas.openxmlformats.org/officeDocument/2006/relationships/hyperlink" Target="https://ytenx.org/kyonh/cjeng/%E6%B3%A5/" TargetMode="External"/><Relationship Id="rId3" Type="http://schemas.openxmlformats.org/officeDocument/2006/relationships/hyperlink" Target="https://ytenx.org/kyonh/cjeng/%E4%B8%A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zh.wikipedia.org/wiki/%E6%BE%84%E6%AF%8D" TargetMode="External"/><Relationship Id="rId21" Type="http://schemas.openxmlformats.org/officeDocument/2006/relationships/hyperlink" Target="https://zh.wikipedia.org/wiki/%E6%B3%A5%E6%AF%8D" TargetMode="External"/><Relationship Id="rId42" Type="http://schemas.openxmlformats.org/officeDocument/2006/relationships/hyperlink" Target="https://zh.wikipedia.org/wiki/%E5%B4%87%E6%AF%8D" TargetMode="External"/><Relationship Id="rId47" Type="http://schemas.openxmlformats.org/officeDocument/2006/relationships/hyperlink" Target="https://zh.wikipedia.org/wiki/%E6%B8%85%E9%BD%A6%E8%85%AD%E5%A1%9E%E6%93%A6%E9%9F%B3" TargetMode="External"/><Relationship Id="rId63" Type="http://schemas.openxmlformats.org/officeDocument/2006/relationships/hyperlink" Target="https://zh.wikipedia.org/wiki/%E7%96%91%E6%AF%8D" TargetMode="External"/><Relationship Id="rId68" Type="http://schemas.openxmlformats.org/officeDocument/2006/relationships/hyperlink" Target="https://zh.wikipedia.org/wiki/%E7%A1%AC%E9%A1%8E%E9%9F%B3" TargetMode="External"/><Relationship Id="rId16" Type="http://schemas.openxmlformats.org/officeDocument/2006/relationships/hyperlink" Target="https://zh.wikipedia.org/wiki/%E6%B8%85%E9%BD%92%E9%BD%A6%E5%A1%9E%E9%9F%B3" TargetMode="External"/><Relationship Id="rId11" Type="http://schemas.openxmlformats.org/officeDocument/2006/relationships/hyperlink" Target="https://zh.wikipedia.org/wiki/%E9%9B%99%E5%94%87%E9%BC%BB%E9%9F%B3" TargetMode="External"/><Relationship Id="rId32" Type="http://schemas.openxmlformats.org/officeDocument/2006/relationships/hyperlink" Target="https://zh.wikipedia.org/wiki/%E9%80%81%E6%B0%A3" TargetMode="External"/><Relationship Id="rId37" Type="http://schemas.openxmlformats.org/officeDocument/2006/relationships/hyperlink" Target="https://zh.wikipedia.org/wiki/%E9%82%AA%E6%AF%8D" TargetMode="External"/><Relationship Id="rId53" Type="http://schemas.openxmlformats.org/officeDocument/2006/relationships/hyperlink" Target="https://zh.wikipedia.org/wiki/%E6%BF%81%E9%BD%A6%E8%85%AD%E6%93%A6%E9%9F%B3" TargetMode="External"/><Relationship Id="rId58" Type="http://schemas.openxmlformats.org/officeDocument/2006/relationships/hyperlink" Target="https://zh.wikipedia.org/wiki/%E6%B8%85%E8%BB%9F%E8%85%AD%E5%A1%9E%E9%9F%B3" TargetMode="External"/><Relationship Id="rId74" Type="http://schemas.openxmlformats.org/officeDocument/2006/relationships/hyperlink" Target="https://zh.wikipedia.org/wiki/%E8%81%B2%E9%96%80%E5%A1%9E%E9%9F%B3" TargetMode="External"/><Relationship Id="rId79" Type="http://schemas.openxmlformats.org/officeDocument/2006/relationships/hyperlink" Target="https://zh.wikipedia.org/wiki/%E9%9B%B6%E8%81%B2%E6%AF%8D" TargetMode="External"/><Relationship Id="rId5" Type="http://schemas.openxmlformats.org/officeDocument/2006/relationships/hyperlink" Target="https://zh.wikipedia.org/zh-tw/%E6%B8%85%E9%9B%99%E5%94%87%E5%A1%9E%E9%9F%B3" TargetMode="External"/><Relationship Id="rId61" Type="http://schemas.openxmlformats.org/officeDocument/2006/relationships/hyperlink" Target="https://zh.wikipedia.org/wiki/%E7%BE%A4%E6%AF%8D" TargetMode="External"/><Relationship Id="rId82" Type="http://schemas.openxmlformats.org/officeDocument/2006/relationships/hyperlink" Target="https://zh.wikipedia.org/wiki/%E6%B8%85%E9%BD%A6%E8%85%AD%E6%93%A6%E9%9F%B3" TargetMode="External"/><Relationship Id="rId19" Type="http://schemas.openxmlformats.org/officeDocument/2006/relationships/hyperlink" Target="https://zh.wikipedia.org/wiki/%E5%AE%9A%E6%AF%8D" TargetMode="External"/><Relationship Id="rId14" Type="http://schemas.openxmlformats.org/officeDocument/2006/relationships/hyperlink" Target="https://zh.wikipedia.org/wiki/%E9%BD%BF%E9%BE%88%E8%BE%B9%E8%BF%91%E9%9F%B3" TargetMode="External"/><Relationship Id="rId22" Type="http://schemas.openxmlformats.org/officeDocument/2006/relationships/hyperlink" Target="https://zh.wikipedia.org/wiki/%E9%BD%92%E9%BD%A6%E9%BC%BB%E9%9F%B3" TargetMode="External"/><Relationship Id="rId27" Type="http://schemas.openxmlformats.org/officeDocument/2006/relationships/hyperlink" Target="https://zh.wikipedia.org/wiki/%E5%A8%98%E6%AF%8D" TargetMode="External"/><Relationship Id="rId30" Type="http://schemas.openxmlformats.org/officeDocument/2006/relationships/hyperlink" Target="https://zh.wikipedia.org/wiki/%E6%B8%85%E9%BD%92%E9%BD%A6%E5%A1%9E%E6%93%A6%E9%9F%B3" TargetMode="External"/><Relationship Id="rId35" Type="http://schemas.openxmlformats.org/officeDocument/2006/relationships/hyperlink" Target="https://zh.wikipedia.org/wiki/%E5%BF%83%E6%AF%8D" TargetMode="External"/><Relationship Id="rId43" Type="http://schemas.openxmlformats.org/officeDocument/2006/relationships/hyperlink" Target="https://zh.wikipedia.org/wiki/%E7%94%9F%E6%AF%8D" TargetMode="External"/><Relationship Id="rId48" Type="http://schemas.openxmlformats.org/officeDocument/2006/relationships/hyperlink" Target="https://zh.wikipedia.org/wiki/%E6%98%8C%E6%AF%8D" TargetMode="External"/><Relationship Id="rId56" Type="http://schemas.openxmlformats.org/officeDocument/2006/relationships/hyperlink" Target="https://zh.wikipedia.org/wiki/%E8%BB%9F%E9%A1%8E%E9%9F%B3" TargetMode="External"/><Relationship Id="rId64" Type="http://schemas.openxmlformats.org/officeDocument/2006/relationships/hyperlink" Target="https://zh.wikipedia.org/wiki/%E8%BB%9F%E8%85%AD%E9%BC%BB%E9%9F%B3" TargetMode="External"/><Relationship Id="rId69" Type="http://schemas.openxmlformats.org/officeDocument/2006/relationships/hyperlink" Target="https://zh.wikipedia.org/wiki/%E8%BF%91%E9%9F%B3" TargetMode="External"/><Relationship Id="rId77" Type="http://schemas.openxmlformats.org/officeDocument/2006/relationships/hyperlink" Target="https://zh.wikipedia.org/wiki/%E5%8C%A3%E6%AF%8D" TargetMode="External"/><Relationship Id="rId8" Type="http://schemas.openxmlformats.org/officeDocument/2006/relationships/hyperlink" Target="https://zh.wikipedia.org/wiki/%E4%B8%A6%E6%AF%8D" TargetMode="External"/><Relationship Id="rId51" Type="http://schemas.openxmlformats.org/officeDocument/2006/relationships/hyperlink" Target="https://zh.wikipedia.org/wiki/%E6%B5%8A%E9%BE%88%E8%85%AD%E5%A1%9E%E6%93%A6%E9%9F%B3" TargetMode="External"/><Relationship Id="rId72" Type="http://schemas.openxmlformats.org/officeDocument/2006/relationships/hyperlink" Target="https://zh.wikipedia.org/wiki/%E5%A1%9E%E9%9F%B3" TargetMode="External"/><Relationship Id="rId80" Type="http://schemas.openxmlformats.org/officeDocument/2006/relationships/hyperlink" Target="https://zh.wikipedia.org/wiki/%E4%BA%91%E6%AF%8D_(%E5%BB%A3%E9%9F%BB)" TargetMode="External"/><Relationship Id="rId3" Type="http://schemas.openxmlformats.org/officeDocument/2006/relationships/hyperlink" Target="https://zh.wikipedia.org/wiki/%E9%9B%99%E5%94%87%E9%9F%B3" TargetMode="External"/><Relationship Id="rId12" Type="http://schemas.openxmlformats.org/officeDocument/2006/relationships/hyperlink" Target="https://zh.wikipedia.org/wiki/%E9%BD%92%E9%BD%A6%E9%9F%B3" TargetMode="External"/><Relationship Id="rId17" Type="http://schemas.openxmlformats.org/officeDocument/2006/relationships/hyperlink" Target="https://zh.wikipedia.org/wiki/%E9%80%8F%E6%AF%8D" TargetMode="External"/><Relationship Id="rId25" Type="http://schemas.openxmlformats.org/officeDocument/2006/relationships/hyperlink" Target="https://zh.wikipedia.org/wiki/%E5%BE%B9%E6%AF%8D" TargetMode="External"/><Relationship Id="rId33" Type="http://schemas.openxmlformats.org/officeDocument/2006/relationships/hyperlink" Target="https://zh.wikipedia.org/wiki/%E5%BE%9E%E6%AF%8D" TargetMode="External"/><Relationship Id="rId38" Type="http://schemas.openxmlformats.org/officeDocument/2006/relationships/hyperlink" Target="https://zh.wikipedia.org/wiki/%E6%BF%81%E9%BD%92%E9%BD%A6%E6%93%A6%E9%9F%B3" TargetMode="External"/><Relationship Id="rId46" Type="http://schemas.openxmlformats.org/officeDocument/2006/relationships/hyperlink" Target="https://zh.wikipedia.org/wiki/%E7%AB%A0%E6%AF%8D" TargetMode="External"/><Relationship Id="rId59" Type="http://schemas.openxmlformats.org/officeDocument/2006/relationships/hyperlink" Target="https://zh.wikipedia.org/wiki/%E6%BA%AA%E6%AF%8D" TargetMode="External"/><Relationship Id="rId67" Type="http://schemas.openxmlformats.org/officeDocument/2006/relationships/hyperlink" Target="https://zh.wikipedia.org/wiki/%E4%BA%91%E6%AF%8D_(%E5%BB%A3%E9%9F%BB)" TargetMode="External"/><Relationship Id="rId20" Type="http://schemas.openxmlformats.org/officeDocument/2006/relationships/hyperlink" Target="https://zh.wikipedia.org/wiki/%E6%BF%81%E9%BD%92%E9%BD%A6%E5%A1%9E%E9%9F%B3" TargetMode="External"/><Relationship Id="rId41" Type="http://schemas.openxmlformats.org/officeDocument/2006/relationships/hyperlink" Target="https://zh.wikipedia.org/wiki/%E5%88%9D%E6%AF%8D" TargetMode="External"/><Relationship Id="rId54" Type="http://schemas.openxmlformats.org/officeDocument/2006/relationships/hyperlink" Target="https://zh.wikipedia.org/wiki/%E9%BC%BB%E9%9F%B3_(%E8%BE%85%E9%9F%B3)" TargetMode="External"/><Relationship Id="rId62" Type="http://schemas.openxmlformats.org/officeDocument/2006/relationships/hyperlink" Target="https://zh.wikipedia.org/wiki/%E6%BF%81%E8%BB%9F%E8%85%AD%E5%A1%9E%E9%9F%B3" TargetMode="External"/><Relationship Id="rId70" Type="http://schemas.openxmlformats.org/officeDocument/2006/relationships/hyperlink" Target="https://zh.wikipedia.org/wiki/%E4%BB%A5%E6%AF%8D" TargetMode="External"/><Relationship Id="rId75" Type="http://schemas.openxmlformats.org/officeDocument/2006/relationships/hyperlink" Target="https://zh.wikipedia.org/wiki/%E6%93%A6%E9%9F%B3" TargetMode="External"/><Relationship Id="rId1" Type="http://schemas.openxmlformats.org/officeDocument/2006/relationships/hyperlink" Target="https://zh.wikipedia.org/wiki/%E7%99%BC%E9%9F%B3%E9%83%A8%E4%BD%8D" TargetMode="External"/><Relationship Id="rId6" Type="http://schemas.openxmlformats.org/officeDocument/2006/relationships/hyperlink" Target="https://zh.wikipedia.org/wiki/%E6%BB%82%E6%AF%8D" TargetMode="External"/><Relationship Id="rId15" Type="http://schemas.openxmlformats.org/officeDocument/2006/relationships/hyperlink" Target="https://zh.wikipedia.org/wiki/%E7%AB%AF%E6%AF%8D" TargetMode="External"/><Relationship Id="rId23" Type="http://schemas.openxmlformats.org/officeDocument/2006/relationships/hyperlink" Target="https://zh.wikipedia.org/wiki/%E6%8D%B2%E8%88%8C%E9%9F%B3" TargetMode="External"/><Relationship Id="rId28" Type="http://schemas.openxmlformats.org/officeDocument/2006/relationships/hyperlink" Target="https://zh.wikipedia.org/wiki/%E9%BD%92%E9%BD%A6%E9%9F%B3" TargetMode="External"/><Relationship Id="rId36" Type="http://schemas.openxmlformats.org/officeDocument/2006/relationships/hyperlink" Target="https://zh.wikipedia.org/wiki/%E6%B8%85%E9%BD%92%E9%BD%A6%E6%93%A6%E9%9F%B3" TargetMode="External"/><Relationship Id="rId49" Type="http://schemas.openxmlformats.org/officeDocument/2006/relationships/hyperlink" Target="https://zh.wikipedia.org/wiki/%E9%80%81%E6%B0%A3" TargetMode="External"/><Relationship Id="rId57" Type="http://schemas.openxmlformats.org/officeDocument/2006/relationships/hyperlink" Target="https://zh.wikipedia.org/wiki/%E8%A6%8B%E6%AF%8D" TargetMode="External"/><Relationship Id="rId10" Type="http://schemas.openxmlformats.org/officeDocument/2006/relationships/hyperlink" Target="https://zh.wikipedia.org/wiki/%E6%98%8E%E6%AF%8D" TargetMode="External"/><Relationship Id="rId31" Type="http://schemas.openxmlformats.org/officeDocument/2006/relationships/hyperlink" Target="https://zh.wikipedia.org/wiki/%E6%B8%85%E6%AF%8D" TargetMode="External"/><Relationship Id="rId44" Type="http://schemas.openxmlformats.org/officeDocument/2006/relationships/hyperlink" Target="https://zh.wikipedia.org/wiki/%E4%BF%9F%E6%AF%8D" TargetMode="External"/><Relationship Id="rId52" Type="http://schemas.openxmlformats.org/officeDocument/2006/relationships/hyperlink" Target="https://zh.wikipedia.org/wiki/%E8%88%B9%E6%AF%8D" TargetMode="External"/><Relationship Id="rId60" Type="http://schemas.openxmlformats.org/officeDocument/2006/relationships/hyperlink" Target="https://zh.wikipedia.org/wiki/%E9%80%81%E6%B0%A3" TargetMode="External"/><Relationship Id="rId65" Type="http://schemas.openxmlformats.org/officeDocument/2006/relationships/hyperlink" Target="https://zh.wikipedia.org/wiki/%E6%9B%89%E6%AF%8D" TargetMode="External"/><Relationship Id="rId73" Type="http://schemas.openxmlformats.org/officeDocument/2006/relationships/hyperlink" Target="https://zh.wikipedia.org/wiki/%E5%BD%B1%E6%AF%8D" TargetMode="External"/><Relationship Id="rId78" Type="http://schemas.openxmlformats.org/officeDocument/2006/relationships/hyperlink" Target="https://zh.wikipedia.org/wiki/%E4%BA%91%E6%AF%8D_(%E5%BB%A3%E9%9F%BB)" TargetMode="External"/><Relationship Id="rId81" Type="http://schemas.openxmlformats.org/officeDocument/2006/relationships/hyperlink" Target="https://zh.wikipedia.org/wiki/%E6%9B%B8%E6%AF%8D" TargetMode="External"/><Relationship Id="rId4" Type="http://schemas.openxmlformats.org/officeDocument/2006/relationships/hyperlink" Target="https://zh.wikipedia.org/wiki/%E5%B9%AB%E6%AF%8D" TargetMode="External"/><Relationship Id="rId9" Type="http://schemas.openxmlformats.org/officeDocument/2006/relationships/hyperlink" Target="https://zh.wikipedia.org/wiki/%E6%BF%81%E9%9B%99%E5%94%87%E5%A1%9E%E9%9F%B3" TargetMode="External"/><Relationship Id="rId13" Type="http://schemas.openxmlformats.org/officeDocument/2006/relationships/hyperlink" Target="https://zh.wikipedia.org/wiki/%E4%BE%86%E6%AF%8D" TargetMode="External"/><Relationship Id="rId18" Type="http://schemas.openxmlformats.org/officeDocument/2006/relationships/hyperlink" Target="https://zh.wikipedia.org/wiki/%E9%80%81%E6%B0%A3" TargetMode="External"/><Relationship Id="rId39" Type="http://schemas.openxmlformats.org/officeDocument/2006/relationships/hyperlink" Target="https://zh.wikipedia.org/wiki/%E6%8D%B2%E8%88%8C%E9%9F%B3" TargetMode="External"/><Relationship Id="rId34" Type="http://schemas.openxmlformats.org/officeDocument/2006/relationships/hyperlink" Target="https://zh.wikipedia.org/wiki/%E6%BF%81%E9%BD%92%E9%BD%A6%E5%A1%9E%E6%93%A6%E9%9F%B3" TargetMode="External"/><Relationship Id="rId50" Type="http://schemas.openxmlformats.org/officeDocument/2006/relationships/hyperlink" Target="https://zh.wikipedia.org/wiki/%E5%B8%B8%E6%AF%8D" TargetMode="External"/><Relationship Id="rId55" Type="http://schemas.openxmlformats.org/officeDocument/2006/relationships/hyperlink" Target="https://zh.wikipedia.org/wiki/%E6%97%A5%E6%AF%8D" TargetMode="External"/><Relationship Id="rId76" Type="http://schemas.openxmlformats.org/officeDocument/2006/relationships/hyperlink" Target="https://zh.wikipedia.org/wiki/%E6%9B%89%E6%AF%8D" TargetMode="External"/><Relationship Id="rId7" Type="http://schemas.openxmlformats.org/officeDocument/2006/relationships/hyperlink" Target="https://zh.wikipedia.org/wiki/%E9%80%81%E6%B0%A3" TargetMode="External"/><Relationship Id="rId71" Type="http://schemas.openxmlformats.org/officeDocument/2006/relationships/hyperlink" Target="https://zh.wikipedia.org/wiki/%E8%81%B2%E9%96%80%E9%9F%B3" TargetMode="External"/><Relationship Id="rId2" Type="http://schemas.openxmlformats.org/officeDocument/2006/relationships/hyperlink" Target="https://zh.wikipedia.org/wiki/%E7%99%BC%E9%9F%B3%E6%96%B9%E6%B3%95" TargetMode="External"/><Relationship Id="rId29" Type="http://schemas.openxmlformats.org/officeDocument/2006/relationships/hyperlink" Target="https://zh.wikipedia.org/wiki/%E7%B2%BE%E6%AF%8D" TargetMode="External"/><Relationship Id="rId24" Type="http://schemas.openxmlformats.org/officeDocument/2006/relationships/hyperlink" Target="https://zh.wikipedia.org/wiki/%E7%9F%A5%E6%AF%8D_(%E9%9F%B3%E9%9F%BB)" TargetMode="External"/><Relationship Id="rId40" Type="http://schemas.openxmlformats.org/officeDocument/2006/relationships/hyperlink" Target="https://zh.wikipedia.org/wiki/%E8%8E%8A%E6%AF%8D" TargetMode="External"/><Relationship Id="rId45" Type="http://schemas.openxmlformats.org/officeDocument/2006/relationships/hyperlink" Target="https://zh.wikipedia.org/wiki/%E9%BD%A6%E9%A1%8E%E9%9F%B3" TargetMode="External"/><Relationship Id="rId66" Type="http://schemas.openxmlformats.org/officeDocument/2006/relationships/hyperlink" Target="https://zh.wikipedia.org/wiki/%E5%8C%A3%E6%AF%8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CCAB-351F-44B3-AD0F-6CE2CCFEC5DC}">
  <dimension ref="B2:E4"/>
  <sheetViews>
    <sheetView workbookViewId="0">
      <selection activeCell="F9" sqref="F9"/>
    </sheetView>
  </sheetViews>
  <sheetFormatPr defaultColWidth="12.875" defaultRowHeight="39"/>
  <cols>
    <col min="1" max="2" width="12.875" style="85"/>
    <col min="3" max="3" width="20.75" style="85" bestFit="1" customWidth="1"/>
    <col min="4" max="16384" width="12.875" style="85"/>
  </cols>
  <sheetData>
    <row r="2" spans="2:5">
      <c r="B2" s="85" t="s">
        <v>279</v>
      </c>
      <c r="C2" s="85" t="s">
        <v>281</v>
      </c>
      <c r="D2" s="85">
        <f>MATCH("*側*", 反切上字與聲母!H:H, 0)</f>
        <v>23</v>
      </c>
      <c r="E2" s="86" t="str">
        <f xml:space="preserve"> _xlfn.CONCAT("*", C2, "*")</f>
        <v>*側*</v>
      </c>
    </row>
    <row r="3" spans="2:5">
      <c r="B3" s="85" t="s">
        <v>280</v>
      </c>
      <c r="C3" s="85" t="str" cm="1">
        <f t="array" ref="C3" xml:space="preserve"> INDEX(反切上字表[聲母], 查詢!$D$2)</f>
        <v>初</v>
      </c>
    </row>
    <row r="4" spans="2:5">
      <c r="B4" s="85" t="s">
        <v>282</v>
      </c>
      <c r="C4" s="85" t="str" cm="1">
        <f t="array" ref="C4" xml:space="preserve"> INDEX(反切上字表[台羅音標], 查詢!$D$2)</f>
        <v>tsh</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topLeftCell="B1" workbookViewId="0">
      <selection activeCell="C39" sqref="C39"/>
    </sheetView>
  </sheetViews>
  <sheetFormatPr defaultRowHeight="21"/>
  <cols>
    <col min="1" max="1" width="7.625" style="16" customWidth="1"/>
    <col min="2" max="2" width="18.125" style="16" customWidth="1"/>
    <col min="3" max="5" width="11.125" style="16" customWidth="1"/>
    <col min="6" max="6" width="14.875" style="16" customWidth="1"/>
    <col min="7" max="7" width="15.25" style="16" customWidth="1"/>
    <col min="8" max="8" width="148.25" style="16" customWidth="1"/>
    <col min="9" max="16384" width="9" style="4"/>
  </cols>
  <sheetData>
    <row r="1" spans="1:8">
      <c r="A1" s="1" t="s">
        <v>0</v>
      </c>
      <c r="B1" s="2" t="s">
        <v>1</v>
      </c>
      <c r="C1" s="2" t="s">
        <v>2</v>
      </c>
      <c r="D1" s="3" t="s">
        <v>3</v>
      </c>
      <c r="E1" s="3" t="s">
        <v>4</v>
      </c>
      <c r="F1" s="3" t="s">
        <v>283</v>
      </c>
      <c r="G1" s="3" t="s">
        <v>284</v>
      </c>
      <c r="H1" s="3" t="s">
        <v>5</v>
      </c>
    </row>
    <row r="2" spans="1:8" ht="29.25">
      <c r="A2" s="5">
        <v>1</v>
      </c>
      <c r="B2" s="6" t="s">
        <v>6</v>
      </c>
      <c r="C2" s="87" t="s">
        <v>7</v>
      </c>
      <c r="D2" s="7" t="s">
        <v>8</v>
      </c>
      <c r="E2" s="7" t="s">
        <v>9</v>
      </c>
      <c r="F2" s="7" t="s">
        <v>10</v>
      </c>
      <c r="G2" s="7" t="s">
        <v>10</v>
      </c>
      <c r="H2" s="8" t="s">
        <v>11</v>
      </c>
    </row>
    <row r="3" spans="1:8" ht="30.75">
      <c r="A3" s="5">
        <v>2</v>
      </c>
      <c r="B3" s="6" t="s">
        <v>6</v>
      </c>
      <c r="C3" s="95" t="s">
        <v>12</v>
      </c>
      <c r="D3" s="7" t="s">
        <v>13</v>
      </c>
      <c r="E3" s="7" t="s">
        <v>14</v>
      </c>
      <c r="F3" s="7" t="s">
        <v>15</v>
      </c>
      <c r="G3" s="7" t="s">
        <v>16</v>
      </c>
      <c r="H3" s="8" t="s">
        <v>17</v>
      </c>
    </row>
    <row r="4" spans="1:8" ht="29.25">
      <c r="A4" s="5">
        <v>3</v>
      </c>
      <c r="B4" s="6" t="s">
        <v>6</v>
      </c>
      <c r="C4" s="87" t="s">
        <v>18</v>
      </c>
      <c r="D4" s="7" t="s">
        <v>19</v>
      </c>
      <c r="E4" s="7"/>
      <c r="F4" s="7" t="s">
        <v>20</v>
      </c>
      <c r="G4" s="7" t="s">
        <v>20</v>
      </c>
      <c r="H4" s="8" t="s">
        <v>21</v>
      </c>
    </row>
    <row r="5" spans="1:8" ht="29.25">
      <c r="A5" s="5">
        <v>4</v>
      </c>
      <c r="B5" s="6" t="s">
        <v>6</v>
      </c>
      <c r="C5" s="91" t="s">
        <v>22</v>
      </c>
      <c r="D5" s="7" t="s">
        <v>23</v>
      </c>
      <c r="E5" s="7" t="s">
        <v>24</v>
      </c>
      <c r="F5" s="7" t="s">
        <v>25</v>
      </c>
      <c r="G5" s="7" t="s">
        <v>25</v>
      </c>
      <c r="H5" s="8" t="s">
        <v>26</v>
      </c>
    </row>
    <row r="6" spans="1:8" ht="29.25">
      <c r="A6" s="29"/>
      <c r="B6" s="30" t="s">
        <v>27</v>
      </c>
      <c r="C6" s="88" t="s">
        <v>28</v>
      </c>
      <c r="D6" s="31" t="s">
        <v>8</v>
      </c>
      <c r="E6" s="7" t="s">
        <v>9</v>
      </c>
      <c r="F6" s="31" t="s">
        <v>29</v>
      </c>
      <c r="G6" s="31"/>
      <c r="H6" s="8" t="s">
        <v>285</v>
      </c>
    </row>
    <row r="7" spans="1:8" ht="29.25">
      <c r="A7" s="29"/>
      <c r="B7" s="30" t="s">
        <v>27</v>
      </c>
      <c r="C7" s="88" t="s">
        <v>30</v>
      </c>
      <c r="D7" s="31" t="s">
        <v>13</v>
      </c>
      <c r="E7" s="7" t="s">
        <v>14</v>
      </c>
      <c r="F7" s="31" t="s">
        <v>29</v>
      </c>
      <c r="G7" s="31"/>
      <c r="H7" s="32" t="s">
        <v>31</v>
      </c>
    </row>
    <row r="8" spans="1:8" ht="29.25">
      <c r="A8" s="29"/>
      <c r="B8" s="30" t="s">
        <v>27</v>
      </c>
      <c r="C8" s="88" t="s">
        <v>32</v>
      </c>
      <c r="D8" s="31" t="s">
        <v>19</v>
      </c>
      <c r="E8" s="7"/>
      <c r="F8" s="31" t="s">
        <v>29</v>
      </c>
      <c r="G8" s="31"/>
      <c r="H8" s="32" t="s">
        <v>33</v>
      </c>
    </row>
    <row r="9" spans="1:8" ht="29.25">
      <c r="A9" s="29"/>
      <c r="B9" s="30" t="s">
        <v>27</v>
      </c>
      <c r="C9" s="88" t="s">
        <v>34</v>
      </c>
      <c r="D9" s="31" t="s">
        <v>23</v>
      </c>
      <c r="E9" s="7" t="s">
        <v>24</v>
      </c>
      <c r="F9" s="31" t="s">
        <v>20</v>
      </c>
      <c r="G9" s="31"/>
      <c r="H9" s="32" t="s">
        <v>35</v>
      </c>
    </row>
    <row r="10" spans="1:8" ht="29.25">
      <c r="A10" s="5">
        <v>5</v>
      </c>
      <c r="B10" s="9" t="s">
        <v>36</v>
      </c>
      <c r="C10" s="88" t="s">
        <v>37</v>
      </c>
      <c r="D10" s="10" t="s">
        <v>8</v>
      </c>
      <c r="E10" s="7" t="s">
        <v>9</v>
      </c>
      <c r="F10" s="10" t="s">
        <v>38</v>
      </c>
      <c r="G10" s="10" t="s">
        <v>38</v>
      </c>
      <c r="H10" s="8" t="s">
        <v>39</v>
      </c>
    </row>
    <row r="11" spans="1:8" ht="29.25">
      <c r="A11" s="5">
        <v>6</v>
      </c>
      <c r="B11" s="9" t="s">
        <v>36</v>
      </c>
      <c r="C11" s="88" t="s">
        <v>40</v>
      </c>
      <c r="D11" s="10" t="s">
        <v>13</v>
      </c>
      <c r="E11" s="7" t="s">
        <v>14</v>
      </c>
      <c r="F11" s="10" t="s">
        <v>41</v>
      </c>
      <c r="G11" s="10" t="s">
        <v>42</v>
      </c>
      <c r="H11" s="8" t="s">
        <v>43</v>
      </c>
    </row>
    <row r="12" spans="1:8" ht="29.25">
      <c r="A12" s="5">
        <v>7</v>
      </c>
      <c r="B12" s="9" t="s">
        <v>36</v>
      </c>
      <c r="C12" s="88" t="s">
        <v>44</v>
      </c>
      <c r="D12" s="10" t="s">
        <v>19</v>
      </c>
      <c r="E12" s="7"/>
      <c r="F12" s="10" t="s">
        <v>45</v>
      </c>
      <c r="G12" s="10" t="s">
        <v>45</v>
      </c>
      <c r="H12" s="8" t="s">
        <v>46</v>
      </c>
    </row>
    <row r="13" spans="1:8" ht="29.25">
      <c r="A13" s="5">
        <v>8</v>
      </c>
      <c r="B13" s="9" t="s">
        <v>36</v>
      </c>
      <c r="C13" s="88" t="s">
        <v>47</v>
      </c>
      <c r="D13" s="10" t="s">
        <v>23</v>
      </c>
      <c r="E13" s="7" t="s">
        <v>24</v>
      </c>
      <c r="F13" s="10" t="s">
        <v>48</v>
      </c>
      <c r="G13" s="10" t="s">
        <v>48</v>
      </c>
      <c r="H13" s="8" t="s">
        <v>49</v>
      </c>
    </row>
    <row r="14" spans="1:8" ht="29.25">
      <c r="A14" s="5">
        <v>9</v>
      </c>
      <c r="B14" s="6" t="s">
        <v>50</v>
      </c>
      <c r="C14" s="90" t="s">
        <v>51</v>
      </c>
      <c r="D14" s="7" t="s">
        <v>8</v>
      </c>
      <c r="E14" s="7" t="s">
        <v>9</v>
      </c>
      <c r="F14" s="7" t="s">
        <v>38</v>
      </c>
      <c r="G14" s="7" t="s">
        <v>52</v>
      </c>
      <c r="H14" s="8" t="s">
        <v>53</v>
      </c>
    </row>
    <row r="15" spans="1:8" ht="29.25">
      <c r="A15" s="5">
        <v>10</v>
      </c>
      <c r="B15" s="6" t="s">
        <v>50</v>
      </c>
      <c r="C15" s="87" t="s">
        <v>54</v>
      </c>
      <c r="D15" s="7" t="s">
        <v>13</v>
      </c>
      <c r="E15" s="7" t="s">
        <v>14</v>
      </c>
      <c r="F15" s="7" t="s">
        <v>41</v>
      </c>
      <c r="G15" s="7" t="s">
        <v>55</v>
      </c>
      <c r="H15" s="8" t="s">
        <v>56</v>
      </c>
    </row>
    <row r="16" spans="1:8" ht="29.25">
      <c r="A16" s="5">
        <v>11</v>
      </c>
      <c r="B16" s="6" t="s">
        <v>50</v>
      </c>
      <c r="C16" s="90" t="s">
        <v>57</v>
      </c>
      <c r="D16" s="7" t="s">
        <v>19</v>
      </c>
      <c r="E16" s="7"/>
      <c r="F16" s="7" t="s">
        <v>38</v>
      </c>
      <c r="G16" s="7" t="s">
        <v>58</v>
      </c>
      <c r="H16" s="8" t="s">
        <v>59</v>
      </c>
    </row>
    <row r="17" spans="1:8" ht="29.25">
      <c r="A17" s="5">
        <v>12</v>
      </c>
      <c r="B17" s="6" t="s">
        <v>50</v>
      </c>
      <c r="C17" s="91" t="s">
        <v>60</v>
      </c>
      <c r="D17" s="7" t="s">
        <v>23</v>
      </c>
      <c r="E17" s="7" t="s">
        <v>24</v>
      </c>
      <c r="F17" s="7" t="s">
        <v>61</v>
      </c>
      <c r="G17" s="7" t="s">
        <v>48</v>
      </c>
      <c r="H17" s="8" t="s">
        <v>62</v>
      </c>
    </row>
    <row r="18" spans="1:8" ht="29.25">
      <c r="A18" s="5">
        <v>13</v>
      </c>
      <c r="B18" s="9" t="s">
        <v>63</v>
      </c>
      <c r="C18" s="88" t="s">
        <v>64</v>
      </c>
      <c r="D18" s="10" t="s">
        <v>8</v>
      </c>
      <c r="E18" s="7" t="s">
        <v>9</v>
      </c>
      <c r="F18" s="10" t="s">
        <v>65</v>
      </c>
      <c r="G18" s="10" t="s">
        <v>65</v>
      </c>
      <c r="H18" s="8" t="s">
        <v>66</v>
      </c>
    </row>
    <row r="19" spans="1:8" ht="29.25">
      <c r="A19" s="5">
        <v>14</v>
      </c>
      <c r="B19" s="9" t="s">
        <v>63</v>
      </c>
      <c r="C19" s="88" t="s">
        <v>67</v>
      </c>
      <c r="D19" s="10" t="s">
        <v>13</v>
      </c>
      <c r="E19" s="7" t="s">
        <v>14</v>
      </c>
      <c r="F19" s="10" t="s">
        <v>68</v>
      </c>
      <c r="G19" s="10" t="s">
        <v>69</v>
      </c>
      <c r="H19" s="8" t="s">
        <v>70</v>
      </c>
    </row>
    <row r="20" spans="1:8" ht="29.25">
      <c r="A20" s="5">
        <v>15</v>
      </c>
      <c r="B20" s="9" t="s">
        <v>63</v>
      </c>
      <c r="C20" s="88" t="s">
        <v>71</v>
      </c>
      <c r="D20" s="10" t="s">
        <v>19</v>
      </c>
      <c r="E20" s="7"/>
      <c r="F20" s="10" t="s">
        <v>65</v>
      </c>
      <c r="G20" s="10" t="s">
        <v>72</v>
      </c>
      <c r="H20" s="8" t="s">
        <v>73</v>
      </c>
    </row>
    <row r="21" spans="1:8" ht="29.25">
      <c r="A21" s="5">
        <v>16</v>
      </c>
      <c r="B21" s="9" t="s">
        <v>63</v>
      </c>
      <c r="C21" s="88" t="s">
        <v>74</v>
      </c>
      <c r="D21" s="10" t="s">
        <v>8</v>
      </c>
      <c r="E21" s="7" t="s">
        <v>24</v>
      </c>
      <c r="F21" s="10" t="s">
        <v>75</v>
      </c>
      <c r="G21" s="10" t="s">
        <v>75</v>
      </c>
      <c r="H21" s="8" t="s">
        <v>76</v>
      </c>
    </row>
    <row r="22" spans="1:8" ht="29.25">
      <c r="A22" s="5">
        <v>17</v>
      </c>
      <c r="B22" s="9" t="s">
        <v>63</v>
      </c>
      <c r="C22" s="88" t="s">
        <v>77</v>
      </c>
      <c r="D22" s="10" t="s">
        <v>19</v>
      </c>
      <c r="E22" s="10"/>
      <c r="F22" s="10" t="s">
        <v>75</v>
      </c>
      <c r="G22" s="10" t="s">
        <v>78</v>
      </c>
      <c r="H22" s="8" t="s">
        <v>79</v>
      </c>
    </row>
    <row r="23" spans="1:8" ht="29.25">
      <c r="A23" s="5">
        <v>18</v>
      </c>
      <c r="B23" s="11" t="s">
        <v>80</v>
      </c>
      <c r="C23" s="87" t="s">
        <v>81</v>
      </c>
      <c r="D23" s="7" t="s">
        <v>8</v>
      </c>
      <c r="E23" s="7" t="s">
        <v>9</v>
      </c>
      <c r="F23" s="7" t="s">
        <v>65</v>
      </c>
      <c r="G23" s="7" t="s">
        <v>82</v>
      </c>
      <c r="H23" s="8" t="s">
        <v>83</v>
      </c>
    </row>
    <row r="24" spans="1:8" ht="29.25">
      <c r="A24" s="5">
        <v>19</v>
      </c>
      <c r="B24" s="11" t="s">
        <v>80</v>
      </c>
      <c r="C24" s="87" t="s">
        <v>84</v>
      </c>
      <c r="D24" s="7" t="s">
        <v>13</v>
      </c>
      <c r="E24" s="7" t="s">
        <v>14</v>
      </c>
      <c r="F24" s="7" t="s">
        <v>68</v>
      </c>
      <c r="G24" s="7" t="s">
        <v>85</v>
      </c>
      <c r="H24" s="8" t="s">
        <v>86</v>
      </c>
    </row>
    <row r="25" spans="1:8" ht="29.25">
      <c r="A25" s="5">
        <v>20</v>
      </c>
      <c r="B25" s="11" t="s">
        <v>80</v>
      </c>
      <c r="C25" s="89" t="s">
        <v>87</v>
      </c>
      <c r="D25" s="7" t="s">
        <v>19</v>
      </c>
      <c r="E25" s="7"/>
      <c r="F25" s="7" t="s">
        <v>65</v>
      </c>
      <c r="G25" s="7" t="s">
        <v>88</v>
      </c>
      <c r="H25" s="8" t="s">
        <v>89</v>
      </c>
    </row>
    <row r="26" spans="1:8" ht="29.25">
      <c r="A26" s="5">
        <v>21</v>
      </c>
      <c r="B26" s="11" t="s">
        <v>80</v>
      </c>
      <c r="C26" s="92" t="s">
        <v>90</v>
      </c>
      <c r="D26" s="7" t="s">
        <v>8</v>
      </c>
      <c r="E26" s="7" t="s">
        <v>24</v>
      </c>
      <c r="F26" s="7" t="s">
        <v>75</v>
      </c>
      <c r="G26" s="7" t="s">
        <v>91</v>
      </c>
      <c r="H26" s="8" t="s">
        <v>92</v>
      </c>
    </row>
    <row r="27" spans="1:8" ht="29.25">
      <c r="A27" s="5">
        <v>22</v>
      </c>
      <c r="B27" s="11" t="s">
        <v>80</v>
      </c>
      <c r="C27" s="89" t="s">
        <v>93</v>
      </c>
      <c r="D27" s="7" t="s">
        <v>19</v>
      </c>
      <c r="E27" s="7"/>
      <c r="F27" s="7" t="s">
        <v>75</v>
      </c>
      <c r="G27" s="7" t="s">
        <v>94</v>
      </c>
      <c r="H27" s="8" t="s">
        <v>95</v>
      </c>
    </row>
    <row r="28" spans="1:8" ht="29.25">
      <c r="A28" s="5">
        <v>23</v>
      </c>
      <c r="B28" s="11" t="s">
        <v>96</v>
      </c>
      <c r="C28" s="89" t="s">
        <v>97</v>
      </c>
      <c r="D28" s="7" t="s">
        <v>8</v>
      </c>
      <c r="E28" s="7" t="s">
        <v>9</v>
      </c>
      <c r="F28" s="7" t="s">
        <v>65</v>
      </c>
      <c r="G28" s="7" t="s">
        <v>82</v>
      </c>
      <c r="H28" s="8" t="s">
        <v>98</v>
      </c>
    </row>
    <row r="29" spans="1:8" ht="29.25">
      <c r="A29" s="5">
        <v>24</v>
      </c>
      <c r="B29" s="11" t="s">
        <v>96</v>
      </c>
      <c r="C29" s="89" t="s">
        <v>99</v>
      </c>
      <c r="D29" s="7" t="s">
        <v>13</v>
      </c>
      <c r="E29" s="7" t="s">
        <v>14</v>
      </c>
      <c r="F29" s="7" t="s">
        <v>68</v>
      </c>
      <c r="G29" s="7" t="s">
        <v>85</v>
      </c>
      <c r="H29" s="8" t="s">
        <v>100</v>
      </c>
    </row>
    <row r="30" spans="1:8" ht="29.25">
      <c r="A30" s="5">
        <v>25</v>
      </c>
      <c r="B30" s="11" t="s">
        <v>96</v>
      </c>
      <c r="C30" s="89" t="s">
        <v>101</v>
      </c>
      <c r="D30" s="7" t="s">
        <v>19</v>
      </c>
      <c r="E30" s="7"/>
      <c r="F30" s="7" t="s">
        <v>65</v>
      </c>
      <c r="G30" s="7" t="s">
        <v>88</v>
      </c>
      <c r="H30" s="8" t="s">
        <v>102</v>
      </c>
    </row>
    <row r="31" spans="1:8" ht="29.25">
      <c r="A31" s="5">
        <v>26</v>
      </c>
      <c r="B31" s="11" t="s">
        <v>96</v>
      </c>
      <c r="C31" s="92" t="s">
        <v>103</v>
      </c>
      <c r="D31" s="7" t="s">
        <v>8</v>
      </c>
      <c r="E31" s="7" t="s">
        <v>24</v>
      </c>
      <c r="F31" s="7" t="s">
        <v>75</v>
      </c>
      <c r="G31" s="7" t="s">
        <v>91</v>
      </c>
      <c r="H31" s="8" t="s">
        <v>104</v>
      </c>
    </row>
    <row r="32" spans="1:8" ht="29.25">
      <c r="A32" s="5">
        <v>27</v>
      </c>
      <c r="B32" s="11" t="s">
        <v>96</v>
      </c>
      <c r="C32" s="93" t="s">
        <v>105</v>
      </c>
      <c r="D32" s="7" t="s">
        <v>19</v>
      </c>
      <c r="E32" s="7"/>
      <c r="F32" s="7" t="s">
        <v>75</v>
      </c>
      <c r="G32" s="7" t="s">
        <v>94</v>
      </c>
      <c r="H32" s="8" t="s">
        <v>106</v>
      </c>
    </row>
    <row r="33" spans="1:8" ht="29.25">
      <c r="A33" s="5">
        <v>28</v>
      </c>
      <c r="B33" s="9" t="s">
        <v>107</v>
      </c>
      <c r="C33" s="88" t="s">
        <v>108</v>
      </c>
      <c r="D33" s="10" t="s">
        <v>8</v>
      </c>
      <c r="E33" s="7" t="s">
        <v>9</v>
      </c>
      <c r="F33" s="10" t="s">
        <v>109</v>
      </c>
      <c r="G33" s="10" t="s">
        <v>109</v>
      </c>
      <c r="H33" s="8" t="s">
        <v>110</v>
      </c>
    </row>
    <row r="34" spans="1:8" ht="29.25">
      <c r="A34" s="5">
        <v>29</v>
      </c>
      <c r="B34" s="9" t="s">
        <v>107</v>
      </c>
      <c r="C34" s="88" t="s">
        <v>111</v>
      </c>
      <c r="D34" s="10" t="s">
        <v>13</v>
      </c>
      <c r="E34" s="7" t="s">
        <v>14</v>
      </c>
      <c r="F34" s="10" t="s">
        <v>112</v>
      </c>
      <c r="G34" s="10" t="s">
        <v>113</v>
      </c>
      <c r="H34" s="8" t="s">
        <v>114</v>
      </c>
    </row>
    <row r="35" spans="1:8" ht="29.25">
      <c r="A35" s="5">
        <v>30</v>
      </c>
      <c r="B35" s="9" t="s">
        <v>107</v>
      </c>
      <c r="C35" s="88" t="s">
        <v>286</v>
      </c>
      <c r="D35" s="10" t="s">
        <v>19</v>
      </c>
      <c r="E35" s="7"/>
      <c r="F35" s="10" t="s">
        <v>109</v>
      </c>
      <c r="G35" s="10" t="s">
        <v>115</v>
      </c>
      <c r="H35" s="8" t="s">
        <v>116</v>
      </c>
    </row>
    <row r="36" spans="1:8" ht="29.25">
      <c r="A36" s="5">
        <v>31</v>
      </c>
      <c r="B36" s="9" t="s">
        <v>107</v>
      </c>
      <c r="C36" s="88" t="s">
        <v>117</v>
      </c>
      <c r="D36" s="10" t="s">
        <v>23</v>
      </c>
      <c r="E36" s="7" t="s">
        <v>24</v>
      </c>
      <c r="F36" s="28" t="s">
        <v>118</v>
      </c>
      <c r="G36" s="10" t="s">
        <v>119</v>
      </c>
      <c r="H36" s="8" t="s">
        <v>120</v>
      </c>
    </row>
    <row r="37" spans="1:8" ht="29.25">
      <c r="A37" s="5">
        <v>34</v>
      </c>
      <c r="B37" s="6" t="s">
        <v>121</v>
      </c>
      <c r="C37" s="87" t="s">
        <v>122</v>
      </c>
      <c r="D37" s="7" t="s">
        <v>8</v>
      </c>
      <c r="E37" s="7" t="s">
        <v>9</v>
      </c>
      <c r="F37" s="7" t="s">
        <v>123</v>
      </c>
      <c r="G37" s="7"/>
      <c r="H37" s="8" t="s">
        <v>124</v>
      </c>
    </row>
    <row r="38" spans="1:8" ht="29.25">
      <c r="A38" s="5">
        <v>32</v>
      </c>
      <c r="B38" s="6" t="s">
        <v>121</v>
      </c>
      <c r="C38" s="87" t="s">
        <v>125</v>
      </c>
      <c r="D38" s="7" t="s">
        <v>8</v>
      </c>
      <c r="E38" s="7" t="s">
        <v>14</v>
      </c>
      <c r="F38" s="7" t="s">
        <v>29</v>
      </c>
      <c r="G38" s="7" t="s">
        <v>126</v>
      </c>
      <c r="H38" s="8" t="s">
        <v>127</v>
      </c>
    </row>
    <row r="39" spans="1:8" ht="29.25">
      <c r="A39" s="5">
        <v>33</v>
      </c>
      <c r="B39" s="6" t="s">
        <v>121</v>
      </c>
      <c r="C39" s="96" t="s">
        <v>128</v>
      </c>
      <c r="D39" s="7" t="s">
        <v>19</v>
      </c>
      <c r="E39" s="7"/>
      <c r="F39" s="7" t="s">
        <v>29</v>
      </c>
      <c r="G39" s="7" t="s">
        <v>129</v>
      </c>
      <c r="H39" s="8" t="s">
        <v>130</v>
      </c>
    </row>
    <row r="40" spans="1:8" ht="29.25">
      <c r="A40" s="5">
        <v>35</v>
      </c>
      <c r="B40" s="6" t="s">
        <v>121</v>
      </c>
      <c r="C40" s="89" t="s">
        <v>131</v>
      </c>
      <c r="D40" s="7" t="s">
        <v>23</v>
      </c>
      <c r="E40" s="7" t="s">
        <v>24</v>
      </c>
      <c r="F40" s="7" t="s">
        <v>123</v>
      </c>
      <c r="G40" s="7" t="s">
        <v>129</v>
      </c>
      <c r="H40" s="8" t="s">
        <v>132</v>
      </c>
    </row>
    <row r="41" spans="1:8" ht="29.25">
      <c r="A41" s="5">
        <v>36</v>
      </c>
      <c r="B41" s="6" t="s">
        <v>121</v>
      </c>
      <c r="C41" s="89" t="s">
        <v>133</v>
      </c>
      <c r="D41" s="7" t="s">
        <v>23</v>
      </c>
      <c r="E41" s="7" t="s">
        <v>24</v>
      </c>
      <c r="F41" s="7" t="s">
        <v>123</v>
      </c>
      <c r="G41" s="7" t="s">
        <v>134</v>
      </c>
      <c r="H41" s="8" t="s">
        <v>135</v>
      </c>
    </row>
    <row r="42" spans="1:8" ht="29.25">
      <c r="A42" s="5">
        <v>37</v>
      </c>
      <c r="B42" s="11" t="s">
        <v>136</v>
      </c>
      <c r="C42" s="88" t="s">
        <v>137</v>
      </c>
      <c r="D42" s="10" t="s">
        <v>23</v>
      </c>
      <c r="E42" s="7" t="s">
        <v>24</v>
      </c>
      <c r="F42" s="10" t="s">
        <v>61</v>
      </c>
      <c r="G42" s="10" t="s">
        <v>61</v>
      </c>
      <c r="H42" s="8" t="s">
        <v>138</v>
      </c>
    </row>
    <row r="43" spans="1:8" ht="29.25">
      <c r="A43" s="12">
        <v>38</v>
      </c>
      <c r="B43" s="13" t="s">
        <v>139</v>
      </c>
      <c r="C43" s="94" t="s">
        <v>140</v>
      </c>
      <c r="D43" s="10" t="s">
        <v>23</v>
      </c>
      <c r="E43" s="7" t="s">
        <v>24</v>
      </c>
      <c r="F43" s="14" t="s">
        <v>134</v>
      </c>
      <c r="G43" s="14" t="s">
        <v>141</v>
      </c>
      <c r="H43" s="15" t="s">
        <v>142</v>
      </c>
    </row>
    <row r="45" spans="1:8">
      <c r="B45" s="17" t="s">
        <v>143</v>
      </c>
    </row>
  </sheetData>
  <phoneticPr fontId="10" type="noConversion"/>
  <hyperlinks>
    <hyperlink ref="C2" r:id="rId1" xr:uid="{33FE52F6-9D5D-45D1-8549-6BB12E0A1028}"/>
    <hyperlink ref="C3" r:id="rId2" xr:uid="{B29E13F8-4F51-4B0C-93BA-E9AC23865DD7}"/>
    <hyperlink ref="C4" r:id="rId3" xr:uid="{98F91C34-B664-45DB-BF78-B348021A0212}"/>
    <hyperlink ref="C5" r:id="rId4" xr:uid="{3A1FF4EE-88D7-4099-B1D9-3DB974A3CB76}"/>
    <hyperlink ref="C10" r:id="rId5" xr:uid="{D2137219-D13C-46DD-A83E-C9121CA5B517}"/>
    <hyperlink ref="C11" r:id="rId6" xr:uid="{334E23AF-68D8-46D0-8274-2FA8A29847CB}"/>
    <hyperlink ref="C12" r:id="rId7" xr:uid="{30FCE56A-61DB-4121-8C1D-1240214E4CEE}"/>
    <hyperlink ref="C13" r:id="rId8" xr:uid="{481C4A49-804D-446A-9F59-1945E499991D}"/>
    <hyperlink ref="C14" r:id="rId9" xr:uid="{4129488B-A019-49FF-A52C-65A47739014B}"/>
    <hyperlink ref="C15" r:id="rId10" xr:uid="{738D4A20-3A8E-4A53-A7A8-FCA73CDC1932}"/>
    <hyperlink ref="C16" r:id="rId11" xr:uid="{2ACF24CF-AE28-4FD9-81DA-F041778CDF3D}"/>
    <hyperlink ref="C17" r:id="rId12" xr:uid="{D2B59B3A-45E2-437B-AB38-C0ACD573E37F}"/>
    <hyperlink ref="C18" r:id="rId13" xr:uid="{3FD813F9-0438-4501-B864-81B74BF35D0D}"/>
    <hyperlink ref="C19" r:id="rId14" xr:uid="{F0BD1B90-D2C5-4C00-ADC3-08AC44CCFCC4}"/>
    <hyperlink ref="C20" r:id="rId15" xr:uid="{81A6E9FC-7C44-4FE9-92AD-90788F86BBC3}"/>
    <hyperlink ref="C21" r:id="rId16" xr:uid="{5159D746-09F7-44EE-B0D9-BF9829F37457}"/>
    <hyperlink ref="C22" r:id="rId17" xr:uid="{424A81DF-14E6-4DBA-B733-0239FE1D03E1}"/>
    <hyperlink ref="C23" r:id="rId18" xr:uid="{DE088266-121E-4080-A7AB-EE855D53ACBF}"/>
    <hyperlink ref="C24" r:id="rId19" xr:uid="{1FCD7739-E373-43F9-9F50-B133FFAB5F8A}"/>
    <hyperlink ref="C25" r:id="rId20" xr:uid="{96AFBF2C-9766-4EC0-A69C-A6367ED5508B}"/>
    <hyperlink ref="C26" r:id="rId21" xr:uid="{AC314D93-7CC1-4C19-9D6D-71178698D1EF}"/>
    <hyperlink ref="C27" r:id="rId22" xr:uid="{8086C922-30A6-4F14-99C1-352E4DB49200}"/>
    <hyperlink ref="C28" r:id="rId23" xr:uid="{4CBE8900-13E5-4F19-9F4A-9D83252B9C37}"/>
    <hyperlink ref="C29" r:id="rId24" xr:uid="{4A7845A2-5EC5-4A38-9A98-AB49B8B01E30}"/>
    <hyperlink ref="C30" r:id="rId25" xr:uid="{70C1C0F3-1AC7-4137-BF99-29E6A294B790}"/>
    <hyperlink ref="C31" r:id="rId26" xr:uid="{CCB394ED-D3C6-4EA2-88F3-1092C3EEF581}"/>
    <hyperlink ref="C32" r:id="rId27" xr:uid="{C5756FE6-98F4-4055-AC94-2E2A9436BFCE}"/>
    <hyperlink ref="C33" r:id="rId28" xr:uid="{5FF52EAE-7D9B-4080-AE58-B86E349766E4}"/>
    <hyperlink ref="C34" r:id="rId29" xr:uid="{E6AC9312-DCBA-4F75-A22D-3359334F32ED}"/>
    <hyperlink ref="C35" r:id="rId30" display="羣" xr:uid="{F7BAF157-573B-4722-9E60-0B9076DCE7BD}"/>
    <hyperlink ref="C36" r:id="rId31" xr:uid="{D61C4FA0-26B0-448A-A1B1-98DBC5C66BC7}"/>
    <hyperlink ref="C38" r:id="rId32" xr:uid="{3B4EAFF4-EC93-43C1-BF6E-E5831C5DF20E}"/>
    <hyperlink ref="C39" r:id="rId33" xr:uid="{6DC37F80-A768-44ED-9861-A6D66B2EA556}"/>
    <hyperlink ref="C37" r:id="rId34" xr:uid="{CE659B53-8485-4883-B2D1-2EB7C5193C0E}"/>
    <hyperlink ref="C40" r:id="rId35" xr:uid="{36C93994-20CB-4A26-A5C4-AE8FA23EBA65}"/>
    <hyperlink ref="C41" r:id="rId36" xr:uid="{CA546122-0DC1-47C2-9CEE-102EB4B40DBC}"/>
    <hyperlink ref="C42" r:id="rId37" xr:uid="{26128564-0B04-48DE-9BAB-FB5C5C2B9E1A}"/>
    <hyperlink ref="C43" r:id="rId38" xr:uid="{9CC50B25-D252-42AC-B2FC-E2B9B9C7F000}"/>
    <hyperlink ref="B45" r:id="rId39" xr:uid="{1A571DC5-1066-4CBD-BE72-2130ECE643EC}"/>
  </hyperlinks>
  <pageMargins left="0.7" right="0.7" top="0.75" bottom="0.75" header="0.3" footer="0.3"/>
  <tableParts count="1">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5B2A-43DE-458E-B503-1D35FC0AE149}">
  <dimension ref="A1:I42"/>
  <sheetViews>
    <sheetView workbookViewId="0">
      <selection activeCell="O13" sqref="O13"/>
    </sheetView>
  </sheetViews>
  <sheetFormatPr defaultRowHeight="27" customHeight="1"/>
  <cols>
    <col min="1" max="1" width="9" style="36"/>
    <col min="2" max="2" width="20.375" style="43" customWidth="1"/>
    <col min="3" max="5" width="9" style="36"/>
    <col min="6" max="7" width="13.75" style="43" customWidth="1"/>
    <col min="8" max="8" width="86.5" style="43" customWidth="1"/>
    <col min="9" max="16384" width="9" style="36"/>
  </cols>
  <sheetData>
    <row r="1" spans="1:9" s="34" customFormat="1" ht="27" customHeight="1">
      <c r="A1" s="33" t="s">
        <v>144</v>
      </c>
      <c r="B1" s="44" t="s">
        <v>145</v>
      </c>
      <c r="C1" s="33" t="s">
        <v>146</v>
      </c>
      <c r="D1" s="33" t="s">
        <v>3</v>
      </c>
      <c r="E1" s="33" t="s">
        <v>147</v>
      </c>
      <c r="F1" s="44" t="s">
        <v>148</v>
      </c>
      <c r="G1" s="44"/>
      <c r="H1" s="39" t="s">
        <v>5</v>
      </c>
      <c r="I1" s="33" t="s">
        <v>149</v>
      </c>
    </row>
    <row r="2" spans="1:9" ht="27" customHeight="1">
      <c r="A2" s="35">
        <v>1</v>
      </c>
      <c r="B2" s="40" t="s">
        <v>107</v>
      </c>
      <c r="C2" s="35" t="s">
        <v>108</v>
      </c>
      <c r="D2" s="35" t="s">
        <v>8</v>
      </c>
      <c r="E2" s="35" t="s">
        <v>9</v>
      </c>
      <c r="F2" s="40" t="s">
        <v>109</v>
      </c>
      <c r="G2" s="40"/>
      <c r="H2" s="40" t="s">
        <v>150</v>
      </c>
      <c r="I2" s="35">
        <v>17</v>
      </c>
    </row>
    <row r="3" spans="1:9" ht="27" customHeight="1">
      <c r="A3" s="35">
        <v>2</v>
      </c>
      <c r="B3" s="40" t="s">
        <v>107</v>
      </c>
      <c r="C3" s="35" t="s">
        <v>111</v>
      </c>
      <c r="D3" s="35" t="s">
        <v>13</v>
      </c>
      <c r="E3" s="35" t="s">
        <v>14</v>
      </c>
      <c r="F3" s="40" t="s">
        <v>112</v>
      </c>
      <c r="G3" s="40"/>
      <c r="H3" s="40" t="s">
        <v>151</v>
      </c>
      <c r="I3" s="35">
        <v>18</v>
      </c>
    </row>
    <row r="4" spans="1:9" ht="27" customHeight="1">
      <c r="A4" s="35">
        <v>3</v>
      </c>
      <c r="B4" s="40" t="s">
        <v>107</v>
      </c>
      <c r="C4" s="35" t="s">
        <v>152</v>
      </c>
      <c r="D4" s="35" t="s">
        <v>19</v>
      </c>
      <c r="E4" s="35"/>
      <c r="F4" s="40" t="s">
        <v>112</v>
      </c>
      <c r="G4" s="40"/>
      <c r="H4" s="40" t="s">
        <v>153</v>
      </c>
      <c r="I4" s="35">
        <v>19</v>
      </c>
    </row>
    <row r="5" spans="1:9" ht="27" customHeight="1">
      <c r="A5" s="35">
        <v>4</v>
      </c>
      <c r="B5" s="40" t="s">
        <v>107</v>
      </c>
      <c r="C5" s="35" t="s">
        <v>117</v>
      </c>
      <c r="D5" s="35" t="s">
        <v>23</v>
      </c>
      <c r="E5" s="35" t="s">
        <v>24</v>
      </c>
      <c r="F5" s="40" t="s">
        <v>154</v>
      </c>
      <c r="G5" s="40"/>
      <c r="H5" s="40" t="s">
        <v>155</v>
      </c>
      <c r="I5" s="35">
        <v>20</v>
      </c>
    </row>
    <row r="6" spans="1:9" ht="27" customHeight="1">
      <c r="A6" s="37">
        <v>5</v>
      </c>
      <c r="B6" s="41" t="s">
        <v>36</v>
      </c>
      <c r="C6" s="37" t="s">
        <v>37</v>
      </c>
      <c r="D6" s="37" t="s">
        <v>8</v>
      </c>
      <c r="E6" s="37" t="s">
        <v>9</v>
      </c>
      <c r="F6" s="41" t="s">
        <v>38</v>
      </c>
      <c r="G6" s="41"/>
      <c r="H6" s="41" t="s">
        <v>156</v>
      </c>
      <c r="I6" s="37">
        <v>9</v>
      </c>
    </row>
    <row r="7" spans="1:9" ht="27" customHeight="1">
      <c r="A7" s="37">
        <v>6</v>
      </c>
      <c r="B7" s="41" t="s">
        <v>36</v>
      </c>
      <c r="C7" s="37" t="s">
        <v>40</v>
      </c>
      <c r="D7" s="37" t="s">
        <v>13</v>
      </c>
      <c r="E7" s="37" t="s">
        <v>14</v>
      </c>
      <c r="F7" s="41" t="s">
        <v>41</v>
      </c>
      <c r="G7" s="41"/>
      <c r="H7" s="41" t="s">
        <v>157</v>
      </c>
      <c r="I7" s="37">
        <v>10</v>
      </c>
    </row>
    <row r="8" spans="1:9" ht="27" customHeight="1">
      <c r="A8" s="37">
        <v>7</v>
      </c>
      <c r="B8" s="41" t="s">
        <v>36</v>
      </c>
      <c r="C8" s="37" t="s">
        <v>44</v>
      </c>
      <c r="D8" s="37" t="s">
        <v>19</v>
      </c>
      <c r="E8" s="37"/>
      <c r="F8" s="41" t="s">
        <v>38</v>
      </c>
      <c r="G8" s="41"/>
      <c r="H8" s="41" t="s">
        <v>158</v>
      </c>
      <c r="I8" s="37">
        <v>11</v>
      </c>
    </row>
    <row r="9" spans="1:9" ht="27" customHeight="1">
      <c r="A9" s="37">
        <v>8</v>
      </c>
      <c r="B9" s="41" t="s">
        <v>36</v>
      </c>
      <c r="C9" s="37" t="s">
        <v>47</v>
      </c>
      <c r="D9" s="37" t="s">
        <v>23</v>
      </c>
      <c r="E9" s="37" t="s">
        <v>24</v>
      </c>
      <c r="F9" s="41" t="s">
        <v>48</v>
      </c>
      <c r="G9" s="41"/>
      <c r="H9" s="41" t="s">
        <v>159</v>
      </c>
      <c r="I9" s="37">
        <v>12</v>
      </c>
    </row>
    <row r="10" spans="1:9" ht="27" customHeight="1">
      <c r="A10" s="38">
        <v>9</v>
      </c>
      <c r="B10" s="42" t="s">
        <v>50</v>
      </c>
      <c r="C10" s="38" t="s">
        <v>51</v>
      </c>
      <c r="D10" s="38" t="s">
        <v>8</v>
      </c>
      <c r="E10" s="38" t="s">
        <v>9</v>
      </c>
      <c r="F10" s="42" t="s">
        <v>38</v>
      </c>
      <c r="G10" s="42"/>
      <c r="H10" s="42" t="s">
        <v>160</v>
      </c>
      <c r="I10" s="38">
        <v>13</v>
      </c>
    </row>
    <row r="11" spans="1:9" ht="27" customHeight="1">
      <c r="A11" s="38">
        <v>10</v>
      </c>
      <c r="B11" s="42" t="s">
        <v>50</v>
      </c>
      <c r="C11" s="38" t="s">
        <v>54</v>
      </c>
      <c r="D11" s="38" t="s">
        <v>13</v>
      </c>
      <c r="E11" s="38" t="s">
        <v>14</v>
      </c>
      <c r="F11" s="42" t="s">
        <v>41</v>
      </c>
      <c r="G11" s="42"/>
      <c r="H11" s="42" t="s">
        <v>161</v>
      </c>
      <c r="I11" s="38">
        <v>14</v>
      </c>
    </row>
    <row r="12" spans="1:9" ht="27" customHeight="1">
      <c r="A12" s="38">
        <v>11</v>
      </c>
      <c r="B12" s="42" t="s">
        <v>50</v>
      </c>
      <c r="C12" s="38" t="s">
        <v>57</v>
      </c>
      <c r="D12" s="38" t="s">
        <v>19</v>
      </c>
      <c r="E12" s="38"/>
      <c r="F12" s="42" t="s">
        <v>38</v>
      </c>
      <c r="G12" s="42"/>
      <c r="H12" s="42" t="s">
        <v>162</v>
      </c>
      <c r="I12" s="38">
        <v>15</v>
      </c>
    </row>
    <row r="13" spans="1:9" ht="27" customHeight="1">
      <c r="A13" s="38">
        <v>12</v>
      </c>
      <c r="B13" s="42" t="s">
        <v>50</v>
      </c>
      <c r="C13" s="38" t="s">
        <v>163</v>
      </c>
      <c r="D13" s="38" t="s">
        <v>23</v>
      </c>
      <c r="E13" s="38" t="s">
        <v>24</v>
      </c>
      <c r="F13" s="42" t="s">
        <v>48</v>
      </c>
      <c r="G13" s="42"/>
      <c r="H13" s="42" t="s">
        <v>164</v>
      </c>
      <c r="I13" s="38">
        <v>16</v>
      </c>
    </row>
    <row r="14" spans="1:9" ht="27" customHeight="1">
      <c r="A14" s="37">
        <v>13</v>
      </c>
      <c r="B14" s="41" t="s">
        <v>6</v>
      </c>
      <c r="C14" s="37" t="s">
        <v>7</v>
      </c>
      <c r="D14" s="37" t="s">
        <v>8</v>
      </c>
      <c r="E14" s="37" t="s">
        <v>9</v>
      </c>
      <c r="F14" s="41" t="s">
        <v>10</v>
      </c>
      <c r="G14" s="41"/>
      <c r="H14" s="41" t="s">
        <v>165</v>
      </c>
      <c r="I14" s="37">
        <v>1</v>
      </c>
    </row>
    <row r="15" spans="1:9" ht="27" customHeight="1">
      <c r="A15" s="37">
        <v>14</v>
      </c>
      <c r="B15" s="41" t="s">
        <v>6</v>
      </c>
      <c r="C15" s="37" t="s">
        <v>12</v>
      </c>
      <c r="D15" s="37" t="s">
        <v>13</v>
      </c>
      <c r="E15" s="37" t="s">
        <v>14</v>
      </c>
      <c r="F15" s="41" t="s">
        <v>15</v>
      </c>
      <c r="G15" s="41"/>
      <c r="H15" s="41" t="s">
        <v>166</v>
      </c>
      <c r="I15" s="37">
        <v>2</v>
      </c>
    </row>
    <row r="16" spans="1:9" ht="27" customHeight="1">
      <c r="A16" s="37">
        <v>15</v>
      </c>
      <c r="B16" s="41" t="s">
        <v>6</v>
      </c>
      <c r="C16" s="37" t="s">
        <v>18</v>
      </c>
      <c r="D16" s="37" t="s">
        <v>19</v>
      </c>
      <c r="E16" s="37"/>
      <c r="F16" s="41" t="s">
        <v>10</v>
      </c>
      <c r="G16" s="41"/>
      <c r="H16" s="41" t="s">
        <v>167</v>
      </c>
      <c r="I16" s="37">
        <v>3</v>
      </c>
    </row>
    <row r="17" spans="1:9" ht="27" customHeight="1">
      <c r="A17" s="37">
        <v>16</v>
      </c>
      <c r="B17" s="41" t="s">
        <v>6</v>
      </c>
      <c r="C17" s="37" t="s">
        <v>22</v>
      </c>
      <c r="D17" s="37" t="s">
        <v>23</v>
      </c>
      <c r="E17" s="37" t="s">
        <v>24</v>
      </c>
      <c r="F17" s="41" t="s">
        <v>25</v>
      </c>
      <c r="G17" s="41"/>
      <c r="H17" s="41" t="s">
        <v>168</v>
      </c>
      <c r="I17" s="37">
        <v>4</v>
      </c>
    </row>
    <row r="18" spans="1:9" ht="27" customHeight="1">
      <c r="A18" s="35">
        <v>17</v>
      </c>
      <c r="B18" s="40" t="s">
        <v>27</v>
      </c>
      <c r="C18" s="35" t="s">
        <v>28</v>
      </c>
      <c r="D18" s="35" t="s">
        <v>8</v>
      </c>
      <c r="E18" s="35" t="s">
        <v>9</v>
      </c>
      <c r="F18" s="40" t="s">
        <v>29</v>
      </c>
      <c r="G18" s="40"/>
      <c r="H18" s="40" t="s">
        <v>169</v>
      </c>
      <c r="I18" s="35">
        <v>5</v>
      </c>
    </row>
    <row r="19" spans="1:9" ht="27" customHeight="1">
      <c r="A19" s="35">
        <v>18</v>
      </c>
      <c r="B19" s="40" t="s">
        <v>27</v>
      </c>
      <c r="C19" s="35" t="s">
        <v>30</v>
      </c>
      <c r="D19" s="35" t="s">
        <v>13</v>
      </c>
      <c r="E19" s="35" t="s">
        <v>14</v>
      </c>
      <c r="F19" s="40" t="s">
        <v>29</v>
      </c>
      <c r="G19" s="40"/>
      <c r="H19" s="40" t="s">
        <v>170</v>
      </c>
      <c r="I19" s="35">
        <v>6</v>
      </c>
    </row>
    <row r="20" spans="1:9" ht="27" customHeight="1">
      <c r="A20" s="35">
        <v>19</v>
      </c>
      <c r="B20" s="40" t="s">
        <v>27</v>
      </c>
      <c r="C20" s="35" t="s">
        <v>32</v>
      </c>
      <c r="D20" s="35" t="s">
        <v>19</v>
      </c>
      <c r="E20" s="35"/>
      <c r="F20" s="40" t="s">
        <v>29</v>
      </c>
      <c r="G20" s="40"/>
      <c r="H20" s="40" t="s">
        <v>171</v>
      </c>
      <c r="I20" s="35">
        <v>7</v>
      </c>
    </row>
    <row r="21" spans="1:9" ht="27" customHeight="1">
      <c r="A21" s="35">
        <v>20</v>
      </c>
      <c r="B21" s="40" t="s">
        <v>27</v>
      </c>
      <c r="C21" s="35" t="s">
        <v>34</v>
      </c>
      <c r="D21" s="35" t="s">
        <v>23</v>
      </c>
      <c r="E21" s="35" t="s">
        <v>24</v>
      </c>
      <c r="F21" s="40" t="s">
        <v>20</v>
      </c>
      <c r="G21" s="40"/>
      <c r="H21" s="40" t="s">
        <v>172</v>
      </c>
      <c r="I21" s="35">
        <v>8</v>
      </c>
    </row>
    <row r="22" spans="1:9" ht="27" customHeight="1">
      <c r="A22" s="37">
        <v>21</v>
      </c>
      <c r="B22" s="41" t="s">
        <v>63</v>
      </c>
      <c r="C22" s="37" t="s">
        <v>64</v>
      </c>
      <c r="D22" s="37" t="s">
        <v>8</v>
      </c>
      <c r="E22" s="37" t="s">
        <v>9</v>
      </c>
      <c r="F22" s="41" t="s">
        <v>78</v>
      </c>
      <c r="G22" s="41"/>
      <c r="H22" s="41" t="s">
        <v>173</v>
      </c>
      <c r="I22" s="37">
        <v>21</v>
      </c>
    </row>
    <row r="23" spans="1:9" ht="27" customHeight="1">
      <c r="A23" s="37">
        <v>22</v>
      </c>
      <c r="B23" s="41" t="s">
        <v>63</v>
      </c>
      <c r="C23" s="37" t="s">
        <v>67</v>
      </c>
      <c r="D23" s="37" t="s">
        <v>13</v>
      </c>
      <c r="E23" s="37" t="s">
        <v>14</v>
      </c>
      <c r="F23" s="41" t="s">
        <v>174</v>
      </c>
      <c r="G23" s="41"/>
      <c r="H23" s="41" t="s">
        <v>175</v>
      </c>
      <c r="I23" s="37">
        <v>22</v>
      </c>
    </row>
    <row r="24" spans="1:9" ht="27" customHeight="1">
      <c r="A24" s="37">
        <v>23</v>
      </c>
      <c r="B24" s="41" t="s">
        <v>63</v>
      </c>
      <c r="C24" s="37" t="s">
        <v>71</v>
      </c>
      <c r="D24" s="37" t="s">
        <v>19</v>
      </c>
      <c r="E24" s="37"/>
      <c r="F24" s="41" t="s">
        <v>78</v>
      </c>
      <c r="G24" s="41"/>
      <c r="H24" s="41" t="s">
        <v>176</v>
      </c>
      <c r="I24" s="37">
        <v>23</v>
      </c>
    </row>
    <row r="25" spans="1:9" ht="27" customHeight="1">
      <c r="A25" s="37">
        <v>24</v>
      </c>
      <c r="B25" s="41" t="s">
        <v>63</v>
      </c>
      <c r="C25" s="37" t="s">
        <v>74</v>
      </c>
      <c r="D25" s="37" t="s">
        <v>8</v>
      </c>
      <c r="E25" s="37" t="s">
        <v>14</v>
      </c>
      <c r="F25" s="41" t="s">
        <v>75</v>
      </c>
      <c r="G25" s="41"/>
      <c r="H25" s="41" t="s">
        <v>177</v>
      </c>
      <c r="I25" s="37">
        <v>24</v>
      </c>
    </row>
    <row r="26" spans="1:9" ht="27" customHeight="1">
      <c r="A26" s="37">
        <v>25</v>
      </c>
      <c r="B26" s="41" t="s">
        <v>63</v>
      </c>
      <c r="C26" s="37" t="s">
        <v>77</v>
      </c>
      <c r="D26" s="37" t="s">
        <v>19</v>
      </c>
      <c r="E26" s="37" t="s">
        <v>14</v>
      </c>
      <c r="F26" s="41" t="s">
        <v>75</v>
      </c>
      <c r="G26" s="41"/>
      <c r="H26" s="41" t="s">
        <v>178</v>
      </c>
      <c r="I26" s="37">
        <v>25</v>
      </c>
    </row>
    <row r="27" spans="1:9" ht="27" customHeight="1">
      <c r="A27" s="38">
        <v>26</v>
      </c>
      <c r="B27" s="42" t="s">
        <v>179</v>
      </c>
      <c r="C27" s="38" t="s">
        <v>81</v>
      </c>
      <c r="D27" s="38" t="s">
        <v>8</v>
      </c>
      <c r="E27" s="38" t="s">
        <v>9</v>
      </c>
      <c r="F27" s="42" t="s">
        <v>78</v>
      </c>
      <c r="G27" s="42"/>
      <c r="H27" s="42" t="s">
        <v>180</v>
      </c>
      <c r="I27" s="38">
        <v>31</v>
      </c>
    </row>
    <row r="28" spans="1:9" ht="27" customHeight="1">
      <c r="A28" s="38">
        <v>27</v>
      </c>
      <c r="B28" s="42" t="s">
        <v>179</v>
      </c>
      <c r="C28" s="38" t="s">
        <v>84</v>
      </c>
      <c r="D28" s="38" t="s">
        <v>13</v>
      </c>
      <c r="E28" s="38" t="s">
        <v>14</v>
      </c>
      <c r="F28" s="42" t="s">
        <v>174</v>
      </c>
      <c r="G28" s="42"/>
      <c r="H28" s="42" t="s">
        <v>181</v>
      </c>
      <c r="I28" s="38">
        <v>32</v>
      </c>
    </row>
    <row r="29" spans="1:9" ht="27" customHeight="1">
      <c r="A29" s="38">
        <v>28</v>
      </c>
      <c r="B29" s="42" t="s">
        <v>179</v>
      </c>
      <c r="C29" s="38" t="s">
        <v>182</v>
      </c>
      <c r="D29" s="38" t="s">
        <v>19</v>
      </c>
      <c r="E29" s="38"/>
      <c r="F29" s="42" t="s">
        <v>78</v>
      </c>
      <c r="G29" s="42"/>
      <c r="H29" s="42" t="s">
        <v>183</v>
      </c>
      <c r="I29" s="38">
        <v>33</v>
      </c>
    </row>
    <row r="30" spans="1:9" ht="27" customHeight="1">
      <c r="A30" s="38">
        <v>29</v>
      </c>
      <c r="B30" s="42" t="s">
        <v>179</v>
      </c>
      <c r="C30" s="38" t="s">
        <v>184</v>
      </c>
      <c r="D30" s="38" t="s">
        <v>19</v>
      </c>
      <c r="E30" s="38" t="s">
        <v>14</v>
      </c>
      <c r="F30" s="42" t="s">
        <v>75</v>
      </c>
      <c r="G30" s="42"/>
      <c r="H30" s="42" t="s">
        <v>185</v>
      </c>
      <c r="I30" s="38">
        <v>34</v>
      </c>
    </row>
    <row r="31" spans="1:9" ht="27" customHeight="1">
      <c r="A31" s="37">
        <v>30</v>
      </c>
      <c r="B31" s="41" t="s">
        <v>186</v>
      </c>
      <c r="C31" s="37" t="s">
        <v>187</v>
      </c>
      <c r="D31" s="37" t="s">
        <v>8</v>
      </c>
      <c r="E31" s="37" t="s">
        <v>9</v>
      </c>
      <c r="F31" s="41" t="s">
        <v>78</v>
      </c>
      <c r="G31" s="41"/>
      <c r="H31" s="41" t="s">
        <v>188</v>
      </c>
      <c r="I31" s="37">
        <v>26</v>
      </c>
    </row>
    <row r="32" spans="1:9" ht="27" customHeight="1">
      <c r="A32" s="37">
        <v>31</v>
      </c>
      <c r="B32" s="41" t="s">
        <v>186</v>
      </c>
      <c r="C32" s="37" t="s">
        <v>189</v>
      </c>
      <c r="D32" s="37" t="s">
        <v>13</v>
      </c>
      <c r="E32" s="37" t="s">
        <v>14</v>
      </c>
      <c r="F32" s="41" t="s">
        <v>174</v>
      </c>
      <c r="G32" s="41"/>
      <c r="H32" s="41" t="s">
        <v>190</v>
      </c>
      <c r="I32" s="37">
        <v>27</v>
      </c>
    </row>
    <row r="33" spans="1:9" ht="27" customHeight="1">
      <c r="A33" s="37">
        <v>32</v>
      </c>
      <c r="B33" s="41" t="s">
        <v>186</v>
      </c>
      <c r="C33" s="37" t="s">
        <v>191</v>
      </c>
      <c r="D33" s="37" t="s">
        <v>19</v>
      </c>
      <c r="E33" s="37" t="s">
        <v>14</v>
      </c>
      <c r="F33" s="41" t="s">
        <v>75</v>
      </c>
      <c r="G33" s="41"/>
      <c r="H33" s="41" t="s">
        <v>192</v>
      </c>
      <c r="I33" s="37">
        <v>28</v>
      </c>
    </row>
    <row r="34" spans="1:9" ht="27" customHeight="1">
      <c r="A34" s="37">
        <v>33</v>
      </c>
      <c r="B34" s="41" t="s">
        <v>186</v>
      </c>
      <c r="C34" s="37" t="s">
        <v>193</v>
      </c>
      <c r="D34" s="37" t="s">
        <v>8</v>
      </c>
      <c r="E34" s="37" t="s">
        <v>14</v>
      </c>
      <c r="F34" s="41" t="s">
        <v>75</v>
      </c>
      <c r="G34" s="41"/>
      <c r="H34" s="41" t="s">
        <v>194</v>
      </c>
      <c r="I34" s="37">
        <v>29</v>
      </c>
    </row>
    <row r="35" spans="1:9" ht="27" customHeight="1">
      <c r="A35" s="37">
        <v>34</v>
      </c>
      <c r="B35" s="41" t="s">
        <v>186</v>
      </c>
      <c r="C35" s="37" t="s">
        <v>195</v>
      </c>
      <c r="D35" s="37" t="s">
        <v>19</v>
      </c>
      <c r="E35" s="37" t="s">
        <v>14</v>
      </c>
      <c r="F35" s="41" t="s">
        <v>75</v>
      </c>
      <c r="G35" s="41"/>
      <c r="H35" s="41" t="s">
        <v>196</v>
      </c>
      <c r="I35" s="37">
        <v>30</v>
      </c>
    </row>
    <row r="36" spans="1:9" ht="27" customHeight="1">
      <c r="A36" s="35">
        <v>35</v>
      </c>
      <c r="B36" s="40" t="s">
        <v>121</v>
      </c>
      <c r="C36" s="35" t="s">
        <v>122</v>
      </c>
      <c r="D36" s="35" t="s">
        <v>8</v>
      </c>
      <c r="E36" s="35" t="s">
        <v>9</v>
      </c>
      <c r="F36" s="40" t="s">
        <v>123</v>
      </c>
      <c r="G36" s="40"/>
      <c r="H36" s="40" t="s">
        <v>197</v>
      </c>
      <c r="I36" s="35">
        <v>35</v>
      </c>
    </row>
    <row r="37" spans="1:9" ht="27" customHeight="1">
      <c r="A37" s="35">
        <v>36</v>
      </c>
      <c r="B37" s="40" t="s">
        <v>121</v>
      </c>
      <c r="C37" s="35" t="s">
        <v>125</v>
      </c>
      <c r="D37" s="35" t="s">
        <v>13</v>
      </c>
      <c r="E37" s="35" t="s">
        <v>14</v>
      </c>
      <c r="F37" s="40" t="s">
        <v>29</v>
      </c>
      <c r="G37" s="40"/>
      <c r="H37" s="40" t="s">
        <v>198</v>
      </c>
      <c r="I37" s="35">
        <v>36</v>
      </c>
    </row>
    <row r="38" spans="1:9" ht="27" customHeight="1">
      <c r="A38" s="35">
        <v>37</v>
      </c>
      <c r="B38" s="40" t="s">
        <v>121</v>
      </c>
      <c r="C38" s="35" t="s">
        <v>128</v>
      </c>
      <c r="D38" s="35" t="s">
        <v>19</v>
      </c>
      <c r="E38" s="35" t="s">
        <v>14</v>
      </c>
      <c r="F38" s="40" t="s">
        <v>29</v>
      </c>
      <c r="G38" s="40"/>
      <c r="H38" s="40" t="s">
        <v>199</v>
      </c>
      <c r="I38" s="35">
        <v>37</v>
      </c>
    </row>
    <row r="39" spans="1:9" ht="27" customHeight="1">
      <c r="A39" s="35">
        <v>38</v>
      </c>
      <c r="B39" s="40" t="s">
        <v>121</v>
      </c>
      <c r="C39" s="35" t="s">
        <v>200</v>
      </c>
      <c r="D39" s="35" t="s">
        <v>23</v>
      </c>
      <c r="E39" s="35" t="s">
        <v>9</v>
      </c>
      <c r="F39" s="40" t="s">
        <v>123</v>
      </c>
      <c r="G39" s="40"/>
      <c r="H39" s="40" t="s">
        <v>201</v>
      </c>
      <c r="I39" s="35">
        <v>39</v>
      </c>
    </row>
    <row r="40" spans="1:9" ht="27" customHeight="1">
      <c r="A40" s="35">
        <v>39</v>
      </c>
      <c r="B40" s="40" t="s">
        <v>121</v>
      </c>
      <c r="C40" s="35" t="s">
        <v>202</v>
      </c>
      <c r="D40" s="35" t="s">
        <v>23</v>
      </c>
      <c r="E40" s="35" t="s">
        <v>9</v>
      </c>
      <c r="F40" s="40" t="s">
        <v>123</v>
      </c>
      <c r="G40" s="40"/>
      <c r="H40" s="40" t="s">
        <v>203</v>
      </c>
      <c r="I40" s="35">
        <v>38</v>
      </c>
    </row>
    <row r="41" spans="1:9" ht="27" customHeight="1">
      <c r="A41" s="37">
        <v>40</v>
      </c>
      <c r="B41" s="41" t="s">
        <v>204</v>
      </c>
      <c r="C41" s="37" t="s">
        <v>137</v>
      </c>
      <c r="D41" s="37" t="s">
        <v>23</v>
      </c>
      <c r="E41" s="37" t="s">
        <v>24</v>
      </c>
      <c r="F41" s="41" t="s">
        <v>61</v>
      </c>
      <c r="G41" s="41"/>
      <c r="H41" s="41" t="s">
        <v>205</v>
      </c>
      <c r="I41" s="37">
        <v>40</v>
      </c>
    </row>
    <row r="42" spans="1:9" ht="27" customHeight="1">
      <c r="A42" s="38">
        <v>41</v>
      </c>
      <c r="B42" s="42" t="s">
        <v>206</v>
      </c>
      <c r="C42" s="38" t="s">
        <v>140</v>
      </c>
      <c r="D42" s="38" t="s">
        <v>23</v>
      </c>
      <c r="E42" s="38" t="s">
        <v>24</v>
      </c>
      <c r="F42" s="42" t="s">
        <v>134</v>
      </c>
      <c r="G42" s="42"/>
      <c r="H42" s="42" t="s">
        <v>207</v>
      </c>
      <c r="I42" s="38">
        <v>41</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AF3A-9AE0-4E21-A78D-745CB1D464E4}">
  <dimension ref="A1:I37"/>
  <sheetViews>
    <sheetView showGridLines="0" workbookViewId="0">
      <selection activeCell="M6" sqref="M6"/>
    </sheetView>
  </sheetViews>
  <sheetFormatPr defaultRowHeight="16.5"/>
  <cols>
    <col min="1" max="2" width="18" style="20" customWidth="1"/>
    <col min="3" max="3" width="11.75" style="20" customWidth="1"/>
    <col min="4" max="4" width="13.375" style="20" customWidth="1"/>
    <col min="5" max="8" width="22.25" style="20" customWidth="1"/>
    <col min="9" max="9" width="9" style="20"/>
  </cols>
  <sheetData>
    <row r="1" spans="1:9" ht="25.5">
      <c r="A1" s="53" t="s">
        <v>208</v>
      </c>
      <c r="B1" s="53"/>
      <c r="C1" s="54" t="s">
        <v>209</v>
      </c>
      <c r="D1" s="54"/>
      <c r="E1" s="54"/>
      <c r="F1" s="54"/>
      <c r="G1" s="54"/>
      <c r="H1" s="54"/>
      <c r="I1" s="18"/>
    </row>
    <row r="2" spans="1:9" ht="25.5">
      <c r="A2" s="55" t="s">
        <v>145</v>
      </c>
      <c r="B2" s="55" t="s">
        <v>210</v>
      </c>
      <c r="C2" s="57" t="s">
        <v>211</v>
      </c>
      <c r="D2" s="57"/>
      <c r="E2" s="19" t="s">
        <v>8</v>
      </c>
      <c r="F2" s="19" t="s">
        <v>13</v>
      </c>
      <c r="G2" s="19" t="s">
        <v>19</v>
      </c>
      <c r="H2" s="19" t="s">
        <v>23</v>
      </c>
    </row>
    <row r="3" spans="1:9" ht="18.75">
      <c r="A3" s="56"/>
      <c r="B3" s="56"/>
      <c r="C3" s="58"/>
      <c r="D3" s="58"/>
      <c r="E3" s="21" t="s">
        <v>212</v>
      </c>
      <c r="F3" s="21" t="s">
        <v>213</v>
      </c>
      <c r="G3" s="21" t="s">
        <v>214</v>
      </c>
      <c r="H3" s="21" t="s">
        <v>215</v>
      </c>
    </row>
    <row r="4" spans="1:9" ht="25.5">
      <c r="A4" s="45" t="s">
        <v>216</v>
      </c>
      <c r="B4" s="47" t="s">
        <v>217</v>
      </c>
      <c r="C4" s="49" t="s">
        <v>218</v>
      </c>
      <c r="D4" s="50"/>
      <c r="E4" s="22" t="s">
        <v>7</v>
      </c>
      <c r="F4" s="22" t="s">
        <v>12</v>
      </c>
      <c r="G4" s="22" t="s">
        <v>18</v>
      </c>
      <c r="H4" s="22" t="s">
        <v>22</v>
      </c>
    </row>
    <row r="5" spans="1:9" ht="23.25">
      <c r="A5" s="46"/>
      <c r="B5" s="48"/>
      <c r="C5" s="51"/>
      <c r="D5" s="52"/>
      <c r="E5" s="23" t="s">
        <v>219</v>
      </c>
      <c r="F5" s="23" t="s">
        <v>220</v>
      </c>
      <c r="G5" s="23" t="s">
        <v>221</v>
      </c>
      <c r="H5" s="23" t="s">
        <v>222</v>
      </c>
    </row>
    <row r="6" spans="1:9" ht="25.5">
      <c r="A6" s="45" t="s">
        <v>223</v>
      </c>
      <c r="B6" s="47" t="s">
        <v>224</v>
      </c>
      <c r="C6" s="49" t="s">
        <v>136</v>
      </c>
      <c r="D6" s="50"/>
      <c r="E6" s="22"/>
      <c r="F6" s="22"/>
      <c r="G6" s="22" t="s">
        <v>137</v>
      </c>
      <c r="H6" s="22"/>
    </row>
    <row r="7" spans="1:9" ht="23.25">
      <c r="A7" s="59"/>
      <c r="B7" s="48"/>
      <c r="C7" s="51"/>
      <c r="D7" s="52"/>
      <c r="E7" s="23"/>
      <c r="F7" s="23"/>
      <c r="G7" s="23" t="s">
        <v>225</v>
      </c>
      <c r="H7" s="23"/>
    </row>
    <row r="8" spans="1:9" ht="25.5">
      <c r="A8" s="59"/>
      <c r="B8" s="47" t="s">
        <v>217</v>
      </c>
      <c r="C8" s="60" t="s">
        <v>226</v>
      </c>
      <c r="D8" s="63" t="s">
        <v>36</v>
      </c>
      <c r="E8" s="22" t="s">
        <v>37</v>
      </c>
      <c r="F8" s="22" t="s">
        <v>40</v>
      </c>
      <c r="G8" s="22" t="s">
        <v>44</v>
      </c>
      <c r="H8" s="22" t="s">
        <v>47</v>
      </c>
    </row>
    <row r="9" spans="1:9" ht="23.25">
      <c r="A9" s="46"/>
      <c r="B9" s="48"/>
      <c r="C9" s="61"/>
      <c r="D9" s="64"/>
      <c r="E9" s="23" t="s">
        <v>227</v>
      </c>
      <c r="F9" s="23" t="s">
        <v>228</v>
      </c>
      <c r="G9" s="23" t="s">
        <v>229</v>
      </c>
      <c r="H9" s="23" t="s">
        <v>230</v>
      </c>
    </row>
    <row r="10" spans="1:9" ht="25.5">
      <c r="A10" s="65" t="s">
        <v>231</v>
      </c>
      <c r="B10" s="47" t="s">
        <v>217</v>
      </c>
      <c r="C10" s="61"/>
      <c r="D10" s="63" t="s">
        <v>50</v>
      </c>
      <c r="E10" s="22" t="s">
        <v>51</v>
      </c>
      <c r="F10" s="22" t="s">
        <v>54</v>
      </c>
      <c r="G10" s="22" t="s">
        <v>57</v>
      </c>
      <c r="H10" s="22" t="s">
        <v>163</v>
      </c>
    </row>
    <row r="11" spans="1:9" ht="25.5">
      <c r="A11" s="66"/>
      <c r="B11" s="48"/>
      <c r="C11" s="62"/>
      <c r="D11" s="64"/>
      <c r="E11" s="24" t="s">
        <v>232</v>
      </c>
      <c r="F11" s="24" t="s">
        <v>233</v>
      </c>
      <c r="G11" s="24" t="s">
        <v>234</v>
      </c>
      <c r="H11" s="24" t="s">
        <v>235</v>
      </c>
    </row>
    <row r="12" spans="1:9" ht="25.5">
      <c r="A12" s="45" t="s">
        <v>223</v>
      </c>
      <c r="B12" s="47" t="s">
        <v>236</v>
      </c>
      <c r="C12" s="60" t="s">
        <v>237</v>
      </c>
      <c r="D12" s="63" t="s">
        <v>63</v>
      </c>
      <c r="E12" s="22" t="s">
        <v>64</v>
      </c>
      <c r="F12" s="22" t="s">
        <v>67</v>
      </c>
      <c r="G12" s="22" t="s">
        <v>71</v>
      </c>
      <c r="H12" s="22"/>
    </row>
    <row r="13" spans="1:9" ht="25.5">
      <c r="A13" s="59"/>
      <c r="B13" s="48"/>
      <c r="C13" s="61"/>
      <c r="D13" s="68"/>
      <c r="E13" s="23" t="s">
        <v>238</v>
      </c>
      <c r="F13" s="23" t="s">
        <v>239</v>
      </c>
      <c r="G13" s="23" t="s">
        <v>240</v>
      </c>
      <c r="H13" s="24"/>
    </row>
    <row r="14" spans="1:9" ht="25.5">
      <c r="A14" s="59"/>
      <c r="B14" s="47" t="s">
        <v>241</v>
      </c>
      <c r="C14" s="61"/>
      <c r="D14" s="68"/>
      <c r="E14" s="22" t="s">
        <v>74</v>
      </c>
      <c r="F14" s="22"/>
      <c r="G14" s="22" t="s">
        <v>77</v>
      </c>
      <c r="H14" s="22"/>
    </row>
    <row r="15" spans="1:9" ht="23.25">
      <c r="A15" s="46"/>
      <c r="B15" s="48"/>
      <c r="C15" s="61"/>
      <c r="D15" s="64"/>
      <c r="E15" s="23" t="s">
        <v>242</v>
      </c>
      <c r="F15" s="23"/>
      <c r="G15" s="23" t="s">
        <v>243</v>
      </c>
      <c r="H15" s="23"/>
    </row>
    <row r="16" spans="1:9" ht="25.5">
      <c r="A16" s="65" t="s">
        <v>244</v>
      </c>
      <c r="B16" s="47" t="s">
        <v>236</v>
      </c>
      <c r="C16" s="61"/>
      <c r="D16" s="70" t="s">
        <v>245</v>
      </c>
      <c r="E16" s="22" t="s">
        <v>81</v>
      </c>
      <c r="F16" s="22" t="s">
        <v>84</v>
      </c>
      <c r="G16" s="22" t="s">
        <v>87</v>
      </c>
      <c r="H16" s="22"/>
    </row>
    <row r="17" spans="1:9" ht="23.25">
      <c r="A17" s="69"/>
      <c r="B17" s="48"/>
      <c r="C17" s="61"/>
      <c r="D17" s="71"/>
      <c r="E17" s="23" t="s">
        <v>246</v>
      </c>
      <c r="F17" s="23" t="s">
        <v>247</v>
      </c>
      <c r="G17" s="23" t="s">
        <v>248</v>
      </c>
      <c r="H17" s="23"/>
    </row>
    <row r="18" spans="1:9" ht="25.5">
      <c r="A18" s="69"/>
      <c r="B18" s="47" t="s">
        <v>241</v>
      </c>
      <c r="C18" s="61"/>
      <c r="D18" s="71"/>
      <c r="E18" s="22" t="s">
        <v>90</v>
      </c>
      <c r="F18" s="22"/>
      <c r="G18" s="22"/>
      <c r="H18" s="22" t="s">
        <v>93</v>
      </c>
      <c r="I18" s="72"/>
    </row>
    <row r="19" spans="1:9" ht="23.25">
      <c r="A19" s="66"/>
      <c r="B19" s="48"/>
      <c r="C19" s="61"/>
      <c r="D19" s="71"/>
      <c r="E19" s="23" t="s">
        <v>249</v>
      </c>
      <c r="F19" s="23"/>
      <c r="G19" s="23"/>
      <c r="H19" s="23" t="s">
        <v>250</v>
      </c>
      <c r="I19" s="72"/>
    </row>
    <row r="20" spans="1:9" ht="25.5">
      <c r="A20" s="45" t="s">
        <v>251</v>
      </c>
      <c r="B20" s="73" t="s">
        <v>236</v>
      </c>
      <c r="C20" s="67"/>
      <c r="D20" s="75" t="s">
        <v>252</v>
      </c>
      <c r="E20" s="25" t="s">
        <v>97</v>
      </c>
      <c r="F20" s="22" t="s">
        <v>99</v>
      </c>
      <c r="G20" s="22" t="s">
        <v>101</v>
      </c>
      <c r="H20" s="22"/>
    </row>
    <row r="21" spans="1:9" ht="23.25">
      <c r="A21" s="59"/>
      <c r="B21" s="74"/>
      <c r="C21" s="67"/>
      <c r="D21" s="76"/>
      <c r="E21" s="26" t="s">
        <v>253</v>
      </c>
      <c r="F21" s="23" t="s">
        <v>254</v>
      </c>
      <c r="G21" s="23" t="s">
        <v>255</v>
      </c>
      <c r="H21" s="23"/>
    </row>
    <row r="22" spans="1:9" ht="25.5">
      <c r="A22" s="59"/>
      <c r="B22" s="73" t="s">
        <v>241</v>
      </c>
      <c r="C22" s="67"/>
      <c r="D22" s="76"/>
      <c r="E22" s="25" t="s">
        <v>103</v>
      </c>
      <c r="F22" s="22"/>
      <c r="G22" s="22" t="s">
        <v>105</v>
      </c>
      <c r="H22" s="22"/>
    </row>
    <row r="23" spans="1:9" ht="23.25">
      <c r="A23" s="59"/>
      <c r="B23" s="74"/>
      <c r="C23" s="51"/>
      <c r="D23" s="77"/>
      <c r="E23" s="26" t="s">
        <v>256</v>
      </c>
      <c r="F23" s="23"/>
      <c r="G23" s="23" t="s">
        <v>257</v>
      </c>
      <c r="H23" s="23"/>
    </row>
    <row r="24" spans="1:9" ht="25.5">
      <c r="A24" s="59"/>
      <c r="B24" s="78" t="s">
        <v>258</v>
      </c>
      <c r="C24" s="49" t="s">
        <v>139</v>
      </c>
      <c r="D24" s="80"/>
      <c r="E24" s="27"/>
      <c r="F24" s="22"/>
      <c r="G24" s="22"/>
      <c r="H24" s="22" t="s">
        <v>140</v>
      </c>
    </row>
    <row r="25" spans="1:9" ht="23.25">
      <c r="A25" s="46"/>
      <c r="B25" s="79"/>
      <c r="C25" s="51"/>
      <c r="D25" s="52"/>
      <c r="E25" s="23"/>
      <c r="F25" s="23"/>
      <c r="G25" s="23"/>
      <c r="H25" s="23" t="s">
        <v>259</v>
      </c>
    </row>
    <row r="26" spans="1:9" ht="25.5">
      <c r="A26" s="45" t="s">
        <v>260</v>
      </c>
      <c r="B26" s="47" t="s">
        <v>217</v>
      </c>
      <c r="C26" s="49" t="s">
        <v>107</v>
      </c>
      <c r="D26" s="50"/>
      <c r="E26" s="22" t="s">
        <v>108</v>
      </c>
      <c r="F26" s="22" t="s">
        <v>111</v>
      </c>
      <c r="G26" s="22" t="s">
        <v>152</v>
      </c>
      <c r="H26" s="22" t="s">
        <v>117</v>
      </c>
    </row>
    <row r="27" spans="1:9" ht="23.25">
      <c r="A27" s="59"/>
      <c r="B27" s="48"/>
      <c r="C27" s="51"/>
      <c r="D27" s="52"/>
      <c r="E27" s="23" t="s">
        <v>261</v>
      </c>
      <c r="F27" s="23" t="s">
        <v>262</v>
      </c>
      <c r="G27" s="23" t="s">
        <v>263</v>
      </c>
      <c r="H27" s="23" t="s">
        <v>264</v>
      </c>
    </row>
    <row r="28" spans="1:9" ht="25.5">
      <c r="A28" s="59"/>
      <c r="B28" s="47" t="s">
        <v>265</v>
      </c>
      <c r="C28" s="49" t="s">
        <v>121</v>
      </c>
      <c r="D28" s="50"/>
      <c r="E28" s="22" t="s">
        <v>125</v>
      </c>
      <c r="F28" s="22"/>
      <c r="G28" s="22" t="s">
        <v>128</v>
      </c>
      <c r="H28" s="22" t="s">
        <v>131</v>
      </c>
    </row>
    <row r="29" spans="1:9" ht="23.25">
      <c r="A29" s="46"/>
      <c r="B29" s="48"/>
      <c r="C29" s="67"/>
      <c r="D29" s="80"/>
      <c r="E29" s="23" t="s">
        <v>266</v>
      </c>
      <c r="F29" s="23"/>
      <c r="G29" s="23" t="s">
        <v>267</v>
      </c>
      <c r="H29" s="23" t="s">
        <v>267</v>
      </c>
    </row>
    <row r="30" spans="1:9" ht="25.5">
      <c r="A30" s="45" t="s">
        <v>268</v>
      </c>
      <c r="B30" s="78" t="s">
        <v>269</v>
      </c>
      <c r="C30" s="67"/>
      <c r="D30" s="80"/>
      <c r="E30" s="22"/>
      <c r="F30" s="22"/>
      <c r="G30" s="22"/>
      <c r="H30" s="22" t="s">
        <v>133</v>
      </c>
    </row>
    <row r="31" spans="1:9" ht="23.25">
      <c r="A31" s="46"/>
      <c r="B31" s="79"/>
      <c r="C31" s="67"/>
      <c r="D31" s="80"/>
      <c r="E31" s="23"/>
      <c r="F31" s="23"/>
      <c r="G31" s="23"/>
      <c r="H31" s="23" t="s">
        <v>270</v>
      </c>
    </row>
    <row r="32" spans="1:9" ht="25.5">
      <c r="A32" s="45" t="s">
        <v>271</v>
      </c>
      <c r="B32" s="78" t="s">
        <v>272</v>
      </c>
      <c r="C32" s="67"/>
      <c r="D32" s="80"/>
      <c r="E32" s="22" t="s">
        <v>122</v>
      </c>
      <c r="F32" s="22"/>
      <c r="G32" s="22"/>
      <c r="H32" s="22"/>
    </row>
    <row r="33" spans="1:8" ht="23.25">
      <c r="A33" s="59"/>
      <c r="B33" s="79"/>
      <c r="C33" s="67"/>
      <c r="D33" s="80"/>
      <c r="E33" s="23" t="s">
        <v>273</v>
      </c>
      <c r="F33" s="23"/>
      <c r="G33" s="23"/>
      <c r="H33" s="23"/>
    </row>
    <row r="34" spans="1:8" ht="25.5">
      <c r="A34" s="59"/>
      <c r="B34" s="78" t="s">
        <v>274</v>
      </c>
      <c r="C34" s="67"/>
      <c r="D34" s="80"/>
      <c r="E34" s="22" t="s">
        <v>125</v>
      </c>
      <c r="F34" s="22"/>
      <c r="G34" s="22" t="s">
        <v>128</v>
      </c>
      <c r="H34" s="22" t="s">
        <v>131</v>
      </c>
    </row>
    <row r="35" spans="1:8" ht="23.25">
      <c r="A35" s="46"/>
      <c r="B35" s="79"/>
      <c r="C35" s="67"/>
      <c r="D35" s="80"/>
      <c r="E35" s="23" t="s">
        <v>275</v>
      </c>
      <c r="F35" s="23"/>
      <c r="G35" s="23" t="s">
        <v>276</v>
      </c>
      <c r="H35" s="23" t="s">
        <v>276</v>
      </c>
    </row>
    <row r="36" spans="1:8" ht="25.5">
      <c r="A36" s="81" t="s">
        <v>277</v>
      </c>
      <c r="B36" s="82"/>
      <c r="C36" s="67"/>
      <c r="D36" s="80"/>
      <c r="E36" s="22"/>
      <c r="F36" s="22"/>
      <c r="G36" s="22"/>
      <c r="H36" s="22" t="s">
        <v>131</v>
      </c>
    </row>
    <row r="37" spans="1:8" ht="23.25">
      <c r="A37" s="83"/>
      <c r="B37" s="84"/>
      <c r="C37" s="51"/>
      <c r="D37" s="52"/>
      <c r="E37" s="23"/>
      <c r="F37" s="23"/>
      <c r="G37" s="23"/>
      <c r="H37" s="23" t="s">
        <v>278</v>
      </c>
    </row>
  </sheetData>
  <mergeCells count="44">
    <mergeCell ref="A36:B37"/>
    <mergeCell ref="A26:A29"/>
    <mergeCell ref="B26:B27"/>
    <mergeCell ref="C26:D27"/>
    <mergeCell ref="B28:B29"/>
    <mergeCell ref="C28:D37"/>
    <mergeCell ref="A30:A31"/>
    <mergeCell ref="B30:B31"/>
    <mergeCell ref="A32:A35"/>
    <mergeCell ref="B32:B33"/>
    <mergeCell ref="B34:B35"/>
    <mergeCell ref="I18:I19"/>
    <mergeCell ref="A20:A25"/>
    <mergeCell ref="B20:B21"/>
    <mergeCell ref="D20:D23"/>
    <mergeCell ref="B22:B23"/>
    <mergeCell ref="B24:B25"/>
    <mergeCell ref="C24:D25"/>
    <mergeCell ref="A12:A15"/>
    <mergeCell ref="B12:B13"/>
    <mergeCell ref="C12:C23"/>
    <mergeCell ref="D12:D15"/>
    <mergeCell ref="B14:B15"/>
    <mergeCell ref="A16:A19"/>
    <mergeCell ref="B16:B17"/>
    <mergeCell ref="D16:D19"/>
    <mergeCell ref="B18:B19"/>
    <mergeCell ref="A6:A9"/>
    <mergeCell ref="B6:B7"/>
    <mergeCell ref="C6:D7"/>
    <mergeCell ref="B8:B9"/>
    <mergeCell ref="C8:C11"/>
    <mergeCell ref="D8:D9"/>
    <mergeCell ref="A10:A11"/>
    <mergeCell ref="B10:B11"/>
    <mergeCell ref="D10:D11"/>
    <mergeCell ref="A4:A5"/>
    <mergeCell ref="B4:B5"/>
    <mergeCell ref="C4:D5"/>
    <mergeCell ref="A1:B1"/>
    <mergeCell ref="C1:H1"/>
    <mergeCell ref="A2:A3"/>
    <mergeCell ref="B2:B3"/>
    <mergeCell ref="C2:D3"/>
  </mergeCells>
  <phoneticPr fontId="10" type="noConversion"/>
  <hyperlinks>
    <hyperlink ref="A2" r:id="rId1" tooltip="發音部位" display="https://zh.wikipedia.org/wiki/%E7%99%BC%E9%9F%B3%E9%83%A8%E4%BD%8D" xr:uid="{3D4A0924-B611-4F7E-A46C-66036C44B605}"/>
    <hyperlink ref="B2" r:id="rId2" tooltip="發音方法" display="https://zh.wikipedia.org/wiki/%E7%99%BC%E9%9F%B3%E6%96%B9%E6%B3%95" xr:uid="{C1EE6DCE-D1F2-4B2E-9596-A83A993E1501}"/>
    <hyperlink ref="A4" r:id="rId3" tooltip="雙唇音" display="https://zh.wikipedia.org/wiki/%E9%9B%99%E5%94%87%E9%9F%B3" xr:uid="{03E15644-CA99-4E8F-8969-E470DB810051}"/>
    <hyperlink ref="E4" r:id="rId4" tooltip="幫母" display="https://zh.wikipedia.org/wiki/%E5%B9%AB%E6%AF%8D" xr:uid="{2E1DD29C-6A4E-420B-8D3F-54625893A365}"/>
    <hyperlink ref="E5" r:id="rId5" tooltip="清雙唇塞音" display="https://zh.wikipedia.org/zh-tw/%E6%B8%85%E9%9B%99%E5%94%87%E5%A1%9E%E9%9F%B3" xr:uid="{6AD5F49D-B4A4-4B76-87F2-FCDC6E94F7A7}"/>
    <hyperlink ref="F4" r:id="rId6" tooltip="滂母" display="https://zh.wikipedia.org/wiki/%E6%BB%82%E6%AF%8D" xr:uid="{8522AA39-F265-4F80-ADDC-E23BA16DD262}"/>
    <hyperlink ref="F5" r:id="rId7" tooltip="送氣" display="https://zh.wikipedia.org/wiki/%E9%80%81%E6%B0%A3" xr:uid="{7DF85F41-238F-4F70-A5BB-201CD66D9205}"/>
    <hyperlink ref="G4" r:id="rId8" tooltip="並母" display="https://zh.wikipedia.org/wiki/%E4%B8%A6%E6%AF%8D" xr:uid="{B6178A37-523D-45C4-AD1D-6EA88B5D0267}"/>
    <hyperlink ref="G5" r:id="rId9" tooltip="濁雙唇塞音" display="https://zh.wikipedia.org/wiki/%E6%BF%81%E9%9B%99%E5%94%87%E5%A1%9E%E9%9F%B3" xr:uid="{F443A417-4011-4688-AAEB-6319F9E742A1}"/>
    <hyperlink ref="H4" r:id="rId10" tooltip="明母" display="https://zh.wikipedia.org/wiki/%E6%98%8E%E6%AF%8D" xr:uid="{1A812BB6-69CD-4BA9-BE8C-354B9E25D692}"/>
    <hyperlink ref="H5" r:id="rId11" tooltip="雙唇鼻音" display="https://zh.wikipedia.org/wiki/%E9%9B%99%E5%94%87%E9%BC%BB%E9%9F%B3" xr:uid="{531D70D2-62C7-4DC5-92BF-3897920B7CF6}"/>
    <hyperlink ref="A6" r:id="rId12" tooltip="齒齦音" display="https://zh.wikipedia.org/wiki/%E9%BD%92%E9%BD%A6%E9%9F%B3" xr:uid="{0AC0CE3E-5DCC-422E-A23E-65023A260455}"/>
    <hyperlink ref="G6" r:id="rId13" tooltip="來母" display="https://zh.wikipedia.org/wiki/%E4%BE%86%E6%AF%8D" xr:uid="{BE5E3537-94B0-49F8-AEC1-F5F10C9109E2}"/>
    <hyperlink ref="G7" r:id="rId14" tooltip="齒齦邊近音" display="https://zh.wikipedia.org/wiki/%E9%BD%BF%E9%BE%88%E8%BE%B9%E8%BF%91%E9%9F%B3" xr:uid="{E11B6361-B4C6-4EA2-B72F-70E70D212174}"/>
    <hyperlink ref="E8" r:id="rId15" tooltip="端母" display="https://zh.wikipedia.org/wiki/%E7%AB%AF%E6%AF%8D" xr:uid="{D6BF18B4-3D28-47C3-B513-4C0F36A3380D}"/>
    <hyperlink ref="E9" r:id="rId16" tooltip="清齒齦塞音" display="https://zh.wikipedia.org/wiki/%E6%B8%85%E9%BD%92%E9%BD%A6%E5%A1%9E%E9%9F%B3" xr:uid="{E7CA5EAD-A397-4AD3-B990-874D4E066614}"/>
    <hyperlink ref="F8" r:id="rId17" tooltip="透母" display="https://zh.wikipedia.org/wiki/%E9%80%8F%E6%AF%8D" xr:uid="{9536FE5B-AA3A-44FC-B135-443A352C7E41}"/>
    <hyperlink ref="F9" r:id="rId18" tooltip="送氣" display="https://zh.wikipedia.org/wiki/%E9%80%81%E6%B0%A3" xr:uid="{8DC77BDA-F051-4935-A454-44A50FCA9447}"/>
    <hyperlink ref="G8" r:id="rId19" tooltip="定母" display="https://zh.wikipedia.org/wiki/%E5%AE%9A%E6%AF%8D" xr:uid="{B40437F2-B12D-413D-A4EB-A1F042FA3616}"/>
    <hyperlink ref="G9" r:id="rId20" tooltip="濁齒齦塞音" display="https://zh.wikipedia.org/wiki/%E6%BF%81%E9%BD%92%E9%BD%A6%E5%A1%9E%E9%9F%B3" xr:uid="{C9535B47-AB6B-44BB-B16C-EFBA7A713D32}"/>
    <hyperlink ref="H8" r:id="rId21" tooltip="泥母" display="https://zh.wikipedia.org/wiki/%E6%B3%A5%E6%AF%8D" xr:uid="{CF3F5B39-FB14-4300-8E7D-C5B00391C203}"/>
    <hyperlink ref="H9" r:id="rId22" tooltip="齒齦鼻音" display="https://zh.wikipedia.org/wiki/%E9%BD%92%E9%BD%A6%E9%BC%BB%E9%9F%B3" xr:uid="{4E74BACF-8F58-40AB-97CB-8808196CEB01}"/>
    <hyperlink ref="A10" r:id="rId23" tooltip="捲舌音" display="https://zh.wikipedia.org/wiki/%E6%8D%B2%E8%88%8C%E9%9F%B3" xr:uid="{20B15464-2840-4977-AB0B-DFC4F6EA47E2}"/>
    <hyperlink ref="E10" r:id="rId24" tooltip="知母 (音韻)" display="https://zh.wikipedia.org/wiki/%E7%9F%A5%E6%AF%8D_(%E9%9F%B3%E9%9F%BB)" xr:uid="{ED8BE70E-13B7-4245-A945-FEA9DEB6E3B4}"/>
    <hyperlink ref="F10" r:id="rId25" tooltip="徹母" display="https://zh.wikipedia.org/wiki/%E5%BE%B9%E6%AF%8D" xr:uid="{5675196C-B391-4AD8-BD6D-B25F71BD0E2F}"/>
    <hyperlink ref="G10" r:id="rId26" tooltip="澄母" display="https://zh.wikipedia.org/wiki/%E6%BE%84%E6%AF%8D" xr:uid="{D9CD9099-D4CF-4A88-83D9-3D0232CBDA6E}"/>
    <hyperlink ref="H10" r:id="rId27" tooltip="娘母" display="https://zh.wikipedia.org/wiki/%E5%A8%98%E6%AF%8D" xr:uid="{8E1EBEF1-818E-4BF2-A3BE-F19C99EBF2D3}"/>
    <hyperlink ref="A12" r:id="rId28" tooltip="齒齦音" display="https://zh.wikipedia.org/wiki/%E9%BD%92%E9%BD%A6%E9%9F%B3" xr:uid="{02021FBF-87FE-4C93-BD26-49BF83E4C6A0}"/>
    <hyperlink ref="E12" r:id="rId29" tooltip="精母" display="https://zh.wikipedia.org/wiki/%E7%B2%BE%E6%AF%8D" xr:uid="{F59C7290-13EF-47D2-A059-379C77531243}"/>
    <hyperlink ref="E13" r:id="rId30" tooltip="清齒齦塞擦音" display="https://zh.wikipedia.org/wiki/%E6%B8%85%E9%BD%92%E9%BD%A6%E5%A1%9E%E6%93%A6%E9%9F%B3" xr:uid="{0EA17509-D52A-4363-AE05-F2853D652C43}"/>
    <hyperlink ref="F12" r:id="rId31" tooltip="清母" display="https://zh.wikipedia.org/wiki/%E6%B8%85%E6%AF%8D" xr:uid="{AC7BF084-E047-4E39-8244-A7E3C8F240D2}"/>
    <hyperlink ref="F13" r:id="rId32" tooltip="送氣" display="https://zh.wikipedia.org/wiki/%E9%80%81%E6%B0%A3" xr:uid="{A4B58F9E-C633-4136-AC4E-E5C474856C42}"/>
    <hyperlink ref="G12" r:id="rId33" tooltip="從母" display="https://zh.wikipedia.org/wiki/%E5%BE%9E%E6%AF%8D" xr:uid="{3CCD027A-61B0-4A06-A135-6B62DED59D3D}"/>
    <hyperlink ref="G13" r:id="rId34" tooltip="濁齒齦塞擦音" display="https://zh.wikipedia.org/wiki/%E6%BF%81%E9%BD%92%E9%BD%A6%E5%A1%9E%E6%93%A6%E9%9F%B3" xr:uid="{7D60CAD6-F3E7-429D-B455-1655B2EBB5C6}"/>
    <hyperlink ref="E14" r:id="rId35" tooltip="心母" display="https://zh.wikipedia.org/wiki/%E5%BF%83%E6%AF%8D" xr:uid="{C1BD97B3-1CE2-4B39-9161-6F6C852D9B50}"/>
    <hyperlink ref="E15" r:id="rId36" tooltip="清齒齦擦音" display="https://zh.wikipedia.org/wiki/%E6%B8%85%E9%BD%92%E9%BD%A6%E6%93%A6%E9%9F%B3" xr:uid="{82504318-44C6-4B5A-A913-405FFF1CC784}"/>
    <hyperlink ref="G14" r:id="rId37" tooltip="邪母" display="https://zh.wikipedia.org/wiki/%E9%82%AA%E6%AF%8D" xr:uid="{26007AD6-9940-4659-90C5-481F22BD384E}"/>
    <hyperlink ref="G15" r:id="rId38" tooltip="濁齒齦擦音" display="https://zh.wikipedia.org/wiki/%E6%BF%81%E9%BD%92%E9%BD%A6%E6%93%A6%E9%9F%B3" xr:uid="{5942A02C-87FF-4518-9056-BAC99DDB55F9}"/>
    <hyperlink ref="A16" r:id="rId39" tooltip="捲舌音" display="https://zh.wikipedia.org/wiki/%E6%8D%B2%E8%88%8C%E9%9F%B3" xr:uid="{44EDBE53-07AE-42CA-AF06-FC681DE10905}"/>
    <hyperlink ref="E16" r:id="rId40" tooltip="莊母" display="https://zh.wikipedia.org/wiki/%E8%8E%8A%E6%AF%8D" xr:uid="{BCB6B7E1-165D-4DB1-AE8A-B6CDEFF1BA99}"/>
    <hyperlink ref="F16" r:id="rId41" tooltip="初母" display="https://zh.wikipedia.org/wiki/%E5%88%9D%E6%AF%8D" xr:uid="{27C06255-229F-4531-BAE6-DC1DF0A9AAF5}"/>
    <hyperlink ref="G16" r:id="rId42" tooltip="崇母" display="https://zh.wikipedia.org/wiki/%E5%B4%87%E6%AF%8D" xr:uid="{B62E1C5F-1681-48DE-85A2-13C10EB9779B}"/>
    <hyperlink ref="E18" r:id="rId43" tooltip="生母" display="https://zh.wikipedia.org/wiki/%E7%94%9F%E6%AF%8D" xr:uid="{B41F9C7D-032F-43FD-9FBD-233CD17A40DA}"/>
    <hyperlink ref="H18" r:id="rId44" tooltip="俟母" display="https://zh.wikipedia.org/wiki/%E4%BF%9F%E6%AF%8D" xr:uid="{EEFAA8EB-6745-49BB-A826-2A42D3691A3B}"/>
    <hyperlink ref="A20" r:id="rId45" tooltip="齦顎音" display="https://zh.wikipedia.org/wiki/%E9%BD%A6%E9%A1%8E%E9%9F%B3" xr:uid="{8B9594D6-F74C-47F5-97CA-9E22C09214FC}"/>
    <hyperlink ref="E20" r:id="rId46" tooltip="章母" display="https://zh.wikipedia.org/wiki/%E7%AB%A0%E6%AF%8D" xr:uid="{AE0BCDDF-6F50-4F23-A85F-741828C47383}"/>
    <hyperlink ref="E21" r:id="rId47" tooltip="清齦齶塞擦音" display="https://zh.wikipedia.org/wiki/%E6%B8%85%E9%BD%A6%E8%85%AD%E5%A1%9E%E6%93%A6%E9%9F%B3" xr:uid="{C9323530-231E-4C6F-A67E-2727E92ACC6E}"/>
    <hyperlink ref="F20" r:id="rId48" tooltip="昌母" display="https://zh.wikipedia.org/wiki/%E6%98%8C%E6%AF%8D" xr:uid="{4F14E172-23F0-48B7-AE87-0EB4ACE06E64}"/>
    <hyperlink ref="F21" r:id="rId49" tooltip="送氣" display="https://zh.wikipedia.org/wiki/%E9%80%81%E6%B0%A3" xr:uid="{E5C14A10-AE36-4ED5-AED9-FCCE67BF8CFF}"/>
    <hyperlink ref="G20" r:id="rId50" tooltip="常母" display="https://zh.wikipedia.org/wiki/%E5%B8%B8%E6%AF%8D" xr:uid="{ADB9C5EC-8347-4229-A34C-928F6E18016F}"/>
    <hyperlink ref="G21" r:id="rId51" tooltip="濁齦齶塞擦音" display="https://zh.wikipedia.org/wiki/%E6%B5%8A%E9%BE%88%E8%85%AD%E5%A1%9E%E6%93%A6%E9%9F%B3" xr:uid="{5E7B7DCE-8773-4A0E-8217-E4310F7508B9}"/>
    <hyperlink ref="G22" r:id="rId52" tooltip="船母" display="https://zh.wikipedia.org/wiki/%E8%88%B9%E6%AF%8D" xr:uid="{3DED3CAA-E74C-4EAD-80FB-106985B5D19C}"/>
    <hyperlink ref="G23" r:id="rId53" tooltip="濁齦齶擦音" display="https://zh.wikipedia.org/wiki/%E6%BF%81%E9%BD%A6%E8%85%AD%E6%93%A6%E9%9F%B3" xr:uid="{32916D58-1C59-4EA8-8ED1-FED697568C82}"/>
    <hyperlink ref="B24" r:id="rId54" tooltip="鼻音 (輔音)" display="https://zh.wikipedia.org/wiki/%E9%BC%BB%E9%9F%B3_(%E8%BE%85%E9%9F%B3)" xr:uid="{9013CE9D-A233-449E-B2D8-471C34413B07}"/>
    <hyperlink ref="H24" r:id="rId55" tooltip="日母" display="https://zh.wikipedia.org/wiki/%E6%97%A5%E6%AF%8D" xr:uid="{68379E39-80F4-4F6F-87EE-5D9109FCAD98}"/>
    <hyperlink ref="A26" r:id="rId56" tooltip="軟顎音" display="https://zh.wikipedia.org/wiki/%E8%BB%9F%E9%A1%8E%E9%9F%B3" xr:uid="{F77EB3B1-7CB3-4FBE-8B33-FCB311A120FB}"/>
    <hyperlink ref="E26" r:id="rId57" tooltip="見母" display="https://zh.wikipedia.org/wiki/%E8%A6%8B%E6%AF%8D" xr:uid="{AF83F55E-DECA-4777-9034-348CEABB67D1}"/>
    <hyperlink ref="E27" r:id="rId58" tooltip="清軟齶塞音" display="https://zh.wikipedia.org/wiki/%E6%B8%85%E8%BB%9F%E8%85%AD%E5%A1%9E%E9%9F%B3" xr:uid="{B0CFDAB4-67BC-41BE-AB42-092241E11D0D}"/>
    <hyperlink ref="F26" r:id="rId59" tooltip="溪母" display="https://zh.wikipedia.org/wiki/%E6%BA%AA%E6%AF%8D" xr:uid="{906E3B66-C39A-4545-B98D-B4E5498187A8}"/>
    <hyperlink ref="F27" r:id="rId60" tooltip="送氣" display="https://zh.wikipedia.org/wiki/%E9%80%81%E6%B0%A3" xr:uid="{3B7C41B0-B9BF-47C8-A50D-919FBBE7CFF9}"/>
    <hyperlink ref="G26" r:id="rId61" tooltip="群母" display="https://zh.wikipedia.org/wiki/%E7%BE%A4%E6%AF%8D" xr:uid="{475C5E5A-8D92-4DA1-A56C-E7F666F5C895}"/>
    <hyperlink ref="G27" r:id="rId62" tooltip="濁軟齶塞音" display="https://zh.wikipedia.org/wiki/%E6%BF%81%E8%BB%9F%E8%85%AD%E5%A1%9E%E9%9F%B3" xr:uid="{B3F17FC5-1B03-49EA-9AAA-BC93552AF163}"/>
    <hyperlink ref="H26" r:id="rId63" tooltip="疑母" display="https://zh.wikipedia.org/wiki/%E7%96%91%E6%AF%8D" xr:uid="{C2A5397D-80D6-4A66-8D03-0F891668C1CF}"/>
    <hyperlink ref="H27" r:id="rId64" tooltip="軟齶鼻音" display="https://zh.wikipedia.org/wiki/%E8%BB%9F%E8%85%AD%E9%BC%BB%E9%9F%B3" xr:uid="{D966591A-5493-4CF0-90E0-D62379B1D950}"/>
    <hyperlink ref="E28" r:id="rId65" tooltip="曉母" display="https://zh.wikipedia.org/wiki/%E6%9B%89%E6%AF%8D" xr:uid="{26F2904D-826B-4E1E-BD71-319E7B2FA1EC}"/>
    <hyperlink ref="G28" r:id="rId66" tooltip="匣母" display="https://zh.wikipedia.org/wiki/%E5%8C%A3%E6%AF%8D" xr:uid="{884487D8-122B-434B-84A4-AF6767A2193A}"/>
    <hyperlink ref="H28" r:id="rId67" tooltip="雲母 (廣韻)" display="https://zh.wikipedia.org/wiki/%E4%BA%91%E6%AF%8D_(%E5%BB%A3%E9%9F%BB)" xr:uid="{D3015D39-70CA-449F-A66E-E6D29298C9F9}"/>
    <hyperlink ref="A30" r:id="rId68" tooltip="硬顎音" display="https://zh.wikipedia.org/wiki/%E7%A1%AC%E9%A1%8E%E9%9F%B3" xr:uid="{A98428B0-09EA-4BCD-89B4-BF4D384D60F0}"/>
    <hyperlink ref="B30" r:id="rId69" tooltip="近音" display="https://zh.wikipedia.org/wiki/%E8%BF%91%E9%9F%B3" xr:uid="{D56EA041-A069-46D9-809F-E99AC4A68FE2}"/>
    <hyperlink ref="H30" r:id="rId70" tooltip="以母" display="https://zh.wikipedia.org/wiki/%E4%BB%A5%E6%AF%8D" xr:uid="{72F34997-1F48-45B9-900E-55505A683879}"/>
    <hyperlink ref="A32" r:id="rId71" tooltip="聲門音" display="https://zh.wikipedia.org/wiki/%E8%81%B2%E9%96%80%E9%9F%B3" xr:uid="{F16ADEFF-C7AC-4051-AD70-0BC005549F6F}"/>
    <hyperlink ref="B32" r:id="rId72" tooltip="塞音" display="https://zh.wikipedia.org/wiki/%E5%A1%9E%E9%9F%B3" xr:uid="{06DABF46-A5BD-461A-A2F0-6FA1CA723595}"/>
    <hyperlink ref="E32" r:id="rId73" tooltip="影母" display="https://zh.wikipedia.org/wiki/%E5%BD%B1%E6%AF%8D" xr:uid="{4D14F772-70A8-43BF-BAF7-AA2B4EE5905C}"/>
    <hyperlink ref="E33" r:id="rId74" tooltip="聲門塞音" display="https://zh.wikipedia.org/wiki/%E8%81%B2%E9%96%80%E5%A1%9E%E9%9F%B3" xr:uid="{147566E0-263F-4F06-B78C-E57B6168D070}"/>
    <hyperlink ref="B34" r:id="rId75" tooltip="擦音" display="https://zh.wikipedia.org/wiki/%E6%93%A6%E9%9F%B3" xr:uid="{2BD11A0D-6E90-4797-9A3C-955E111A7676}"/>
    <hyperlink ref="E34" r:id="rId76" tooltip="曉母" display="https://zh.wikipedia.org/wiki/%E6%9B%89%E6%AF%8D" xr:uid="{F7D27FF7-E218-4606-B91A-CB6467FB0AD5}"/>
    <hyperlink ref="G34" r:id="rId77" tooltip="匣母" display="https://zh.wikipedia.org/wiki/%E5%8C%A3%E6%AF%8D" xr:uid="{A90F37F1-0419-4AB7-859B-E42272AEF8D7}"/>
    <hyperlink ref="H34" r:id="rId78" tooltip="雲母 (廣韻)" display="https://zh.wikipedia.org/wiki/%E4%BA%91%E6%AF%8D_(%E5%BB%A3%E9%9F%BB)" xr:uid="{A2304A35-63D3-48D9-B324-3D58AF778BDB}"/>
    <hyperlink ref="A36" r:id="rId79" tooltip="零聲母" display="https://zh.wikipedia.org/wiki/%E9%9B%B6%E8%81%B2%E6%AF%8D" xr:uid="{0B5FEEA7-5661-4609-A82F-46852385B3EF}"/>
    <hyperlink ref="H36" r:id="rId80" tooltip="雲母 (廣韻)" display="https://zh.wikipedia.org/wiki/%E4%BA%91%E6%AF%8D_(%E5%BB%A3%E9%9F%BB)" xr:uid="{A71E4B5E-BE51-4BEE-907A-105FF1A235AC}"/>
    <hyperlink ref="E22" r:id="rId81" tooltip="書母" display="https://zh.wikipedia.org/wiki/%E6%9B%B8%E6%AF%8D" xr:uid="{9ACA02AC-BA9E-49EE-A964-0CE51FC1FB9E}"/>
    <hyperlink ref="E23" r:id="rId82" tooltip="清齦齶擦音" display="https://zh.wikipedia.org/wiki/%E6%B8%85%E9%BD%A6%E8%85%AD%E6%93%A6%E9%9F%B3" xr:uid="{5E836C6A-1563-463B-B890-BF03C4B0C7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查詢</vt:lpstr>
      <vt:lpstr>反切上字與聲母</vt:lpstr>
      <vt:lpstr>工作表1</vt:lpstr>
      <vt:lpstr>廣韻三十八聲母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AlanJui</dc:creator>
  <cp:keywords/>
  <dc:description/>
  <cp:lastModifiedBy>正中 居</cp:lastModifiedBy>
  <cp:revision/>
  <dcterms:created xsi:type="dcterms:W3CDTF">2023-12-07T11:50:38Z</dcterms:created>
  <dcterms:modified xsi:type="dcterms:W3CDTF">2026-02-01T02:24:20Z</dcterms:modified>
  <cp:category/>
  <cp:contentStatus/>
</cp:coreProperties>
</file>