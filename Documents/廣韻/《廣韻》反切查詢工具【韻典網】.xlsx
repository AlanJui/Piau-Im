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work\Piau-Im\Documents\廣韻\"/>
    </mc:Choice>
  </mc:AlternateContent>
  <xr:revisionPtr revIDLastSave="0" documentId="13_ncr:1_{09911089-28C7-4E0B-B812-03D8D8EAE781}" xr6:coauthVersionLast="47" xr6:coauthVersionMax="47" xr10:uidLastSave="{00000000-0000-0000-0000-000000000000}"/>
  <bookViews>
    <workbookView xWindow="28680" yWindow="-195" windowWidth="38640" windowHeight="15720" xr2:uid="{00000000-000D-0000-FFFF-FFFF00000000}"/>
  </bookViews>
  <sheets>
    <sheet name="查詢" sheetId="4" r:id="rId1"/>
    <sheet name="反切規則表" sheetId="6" r:id="rId2"/>
    <sheet name="陽上轉調規則" sheetId="11" r:id="rId3"/>
    <sheet name="工作表1" sheetId="3" state="hidden" r:id="rId4"/>
    <sheet name="廣韻三十八聲母" sheetId="2" r:id="rId5"/>
    <sheet name="切語上字表" sheetId="10" r:id="rId6"/>
    <sheet name="切語下字表" sheetId="8" r:id="rId7"/>
    <sheet name="反切上字與聲母" sheetId="1" r:id="rId8"/>
    <sheet name="反切下字與韻母" sheetId="5" r:id="rId9"/>
    <sheet name="韻目檢索表" sheetId="13" r:id="rId10"/>
    <sheet name="韻目表" sheetId="9" r:id="rId11"/>
    <sheet name="廣韻韻目表【韻母206字】" sheetId="14" r:id="rId12"/>
    <sheet name="工作底稿" sheetId="12" r:id="rId13"/>
    <sheet name="韻攝表" sheetId="7" state="hidden" r:id="rId14"/>
  </sheets>
  <externalReferences>
    <externalReference r:id="rId15"/>
  </externalReferences>
  <definedNames>
    <definedName name="_xlnm._FilterDatabase" localSheetId="8" hidden="1">反切下字與韻母!$A$1:$I$187</definedName>
    <definedName name="_xlnm.Print_Area" localSheetId="11">廣韻韻目表【韻母206字】!$B$2:$Q$101</definedName>
    <definedName name="_xlnm.Print_Titles" localSheetId="11">廣韻韻目表【韻母206字】!$2:$3</definedName>
    <definedName name="切語上字">切語上字表!$H$2:$H$42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13" l="1"/>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E14" i="13"/>
  <c r="E13" i="13"/>
  <c r="E12" i="13"/>
  <c r="E11" i="13"/>
  <c r="E10" i="13"/>
  <c r="E9" i="13"/>
  <c r="E8" i="13"/>
  <c r="E7" i="13"/>
  <c r="E6" i="13"/>
  <c r="E5" i="13"/>
  <c r="C7" i="4" l="1"/>
  <c r="B16" i="12"/>
  <c r="B17" i="12"/>
  <c r="B18" i="12"/>
  <c r="B19" i="12"/>
  <c r="B20" i="12"/>
  <c r="B21" i="12"/>
  <c r="B22" i="12"/>
  <c r="B15" i="12"/>
  <c r="B3" i="12"/>
  <c r="B4" i="12"/>
  <c r="B5" i="12"/>
  <c r="B6" i="12"/>
  <c r="B7" i="12"/>
  <c r="B8" i="12"/>
  <c r="B9" i="12"/>
  <c r="B10" i="12"/>
  <c r="B11" i="12"/>
  <c r="B12" i="12"/>
  <c r="B2" i="12"/>
  <c r="D14" i="12" a="1"/>
  <c r="D14" i="12" s="1"/>
  <c r="D2" i="12" a="1"/>
  <c r="D2" i="12" s="1"/>
  <c r="C4" i="4" l="1"/>
  <c r="C62" i="7" l="1"/>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M7" i="6" l="1"/>
  <c r="M8" i="6"/>
  <c r="M9" i="6"/>
  <c r="M6" i="6"/>
  <c r="M3" i="6"/>
  <c r="M4" i="6"/>
  <c r="M5" i="6"/>
  <c r="M2" i="6"/>
  <c r="E4" i="4"/>
  <c r="D4" i="4" s="1"/>
  <c r="H4" i="4" s="1" a="1"/>
  <c r="H4" i="4" s="1"/>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K4" i="4" l="1" a="1"/>
  <c r="K4" i="4" s="1"/>
  <c r="C5" i="4" a="1"/>
  <c r="C5" i="4" s="1"/>
  <c r="E7" i="4"/>
  <c r="D7" i="4" s="1"/>
  <c r="K8" i="4" s="1" a="1"/>
  <c r="K8" i="4" s="1"/>
  <c r="M4" i="4" l="1"/>
  <c r="N7" i="4" a="1"/>
  <c r="N7" i="4" s="1"/>
  <c r="K7" i="4" a="1"/>
  <c r="K7" i="4" s="1"/>
  <c r="N8" i="4" a="1"/>
  <c r="N8" i="4" s="1"/>
  <c r="N9" i="4" a="1"/>
  <c r="N9" i="4" s="1"/>
  <c r="K10" i="4" s="1"/>
  <c r="C10" i="4" s="1"/>
  <c r="C8" i="4" a="1"/>
  <c r="C8" i="4" s="1"/>
  <c r="H7" i="4" a="1"/>
  <c r="H7" i="4" s="1"/>
  <c r="H10" i="4" l="1"/>
  <c r="K2" i="4"/>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AlanJui</author>
  </authors>
  <commentList>
    <comment ref="J4" authorId="0" shapeId="0" xr:uid="{A2A82377-4570-4069-B58F-24E0839664F5}">
      <text>
        <r>
          <rPr>
            <b/>
            <sz val="9"/>
            <color indexed="81"/>
            <rFont val="Tahoma"/>
            <family val="2"/>
          </rPr>
          <t>AlanJui:</t>
        </r>
        <r>
          <rPr>
            <sz val="9"/>
            <color indexed="81"/>
            <rFont val="Tahoma"/>
            <family val="2"/>
          </rPr>
          <t xml:space="preserve">
</t>
        </r>
        <r>
          <rPr>
            <sz val="9"/>
            <color indexed="81"/>
            <rFont val="細明體"/>
            <family val="3"/>
            <charset val="136"/>
          </rPr>
          <t>獨洪</t>
        </r>
      </text>
    </comment>
    <comment ref="N4" authorId="0" shapeId="0" xr:uid="{03219300-464F-4D18-81C0-CE2BB4A7A15B}">
      <text>
        <r>
          <rPr>
            <b/>
            <sz val="9"/>
            <color indexed="81"/>
            <rFont val="Tahoma"/>
            <family val="2"/>
          </rPr>
          <t>AlanJui:</t>
        </r>
        <r>
          <rPr>
            <sz val="9"/>
            <color indexed="81"/>
            <rFont val="Tahoma"/>
            <family val="2"/>
          </rPr>
          <t xml:space="preserve">
</t>
        </r>
        <r>
          <rPr>
            <sz val="9"/>
            <color indexed="81"/>
            <rFont val="細明體"/>
            <family val="3"/>
            <charset val="136"/>
          </rPr>
          <t>獨細</t>
        </r>
      </text>
    </comment>
    <comment ref="J6" authorId="0" shapeId="0" xr:uid="{0B70FAE3-BBA6-45E8-95DF-59F65CE9B4CE}">
      <text>
        <r>
          <rPr>
            <b/>
            <sz val="9"/>
            <color indexed="81"/>
            <rFont val="Tahoma"/>
            <family val="2"/>
          </rPr>
          <t>AlanJui:</t>
        </r>
        <r>
          <rPr>
            <sz val="9"/>
            <color indexed="81"/>
            <rFont val="Tahoma"/>
            <family val="2"/>
          </rPr>
          <t xml:space="preserve">
</t>
        </r>
        <r>
          <rPr>
            <sz val="9"/>
            <color indexed="81"/>
            <rFont val="細明體"/>
            <family val="3"/>
            <charset val="136"/>
          </rPr>
          <t>獨洪</t>
        </r>
      </text>
    </comment>
    <comment ref="N8" authorId="0" shapeId="0" xr:uid="{064AF1E0-63F1-43E4-BFEE-2BEABD64FC05}">
      <text>
        <r>
          <rPr>
            <b/>
            <sz val="9"/>
            <color indexed="81"/>
            <rFont val="Tahoma"/>
            <family val="2"/>
          </rPr>
          <t>AlanJui:</t>
        </r>
        <r>
          <rPr>
            <sz val="9"/>
            <color indexed="81"/>
            <rFont val="Tahoma"/>
            <family val="2"/>
          </rPr>
          <t xml:space="preserve">
</t>
        </r>
        <r>
          <rPr>
            <sz val="9"/>
            <color indexed="81"/>
            <rFont val="細明體"/>
            <family val="3"/>
            <charset val="136"/>
          </rPr>
          <t>獨細</t>
        </r>
      </text>
    </comment>
    <comment ref="L10" authorId="0" shapeId="0" xr:uid="{CFA3BEAF-9A1B-455A-9609-B9282FCB93C0}">
      <text>
        <r>
          <rPr>
            <b/>
            <sz val="9"/>
            <color indexed="81"/>
            <rFont val="Tahoma"/>
            <family val="2"/>
          </rPr>
          <t>AlanJui:</t>
        </r>
        <r>
          <rPr>
            <sz val="9"/>
            <color indexed="81"/>
            <rFont val="Tahoma"/>
            <family val="2"/>
          </rPr>
          <t xml:space="preserve">
</t>
        </r>
        <r>
          <rPr>
            <sz val="9"/>
            <color indexed="81"/>
            <rFont val="細明體"/>
            <family val="3"/>
            <charset val="136"/>
          </rPr>
          <t>獨洪</t>
        </r>
      </text>
    </comment>
    <comment ref="N12" authorId="0" shapeId="0" xr:uid="{910B37D0-6E86-4905-98CD-F53B5ACFC27C}">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12" authorId="0" shapeId="0" xr:uid="{5276A87A-4881-4F38-B5DA-58D9BA84DB6F}">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N13" authorId="0" shapeId="0" xr:uid="{41A219D2-96C9-422F-807E-4C00CCE2A289}">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13" authorId="0" shapeId="0" xr:uid="{37DA6A2D-B56C-42F3-B95B-50380EFEB165}">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N14" authorId="0" shapeId="0" xr:uid="{0BAA6023-4D65-4E57-BF4C-65618A638F57}">
      <text>
        <r>
          <rPr>
            <b/>
            <sz val="9"/>
            <color indexed="81"/>
            <rFont val="Tahoma"/>
            <family val="2"/>
          </rPr>
          <t>AlanJui:</t>
        </r>
        <r>
          <rPr>
            <sz val="9"/>
            <color indexed="81"/>
            <rFont val="Tahoma"/>
            <family val="2"/>
          </rPr>
          <t xml:space="preserve">
</t>
        </r>
        <r>
          <rPr>
            <sz val="9"/>
            <color indexed="81"/>
            <rFont val="細明體"/>
            <family val="3"/>
            <charset val="136"/>
          </rPr>
          <t>獨細</t>
        </r>
      </text>
    </comment>
    <comment ref="N15" authorId="0" shapeId="0" xr:uid="{7604FB85-F3A7-46CF-BDE8-B36414D0B94D}">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15" authorId="0" shapeId="0" xr:uid="{3197E94C-0D6B-4E65-8011-7BC2CB51842C}">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N16" authorId="0" shapeId="0" xr:uid="{A368D89A-53DE-4DBA-9E84-04F6971502B1}">
      <text>
        <r>
          <rPr>
            <b/>
            <sz val="9"/>
            <color indexed="81"/>
            <rFont val="Tahoma"/>
            <family val="2"/>
          </rPr>
          <t>AlanJui:</t>
        </r>
        <r>
          <rPr>
            <sz val="9"/>
            <color indexed="81"/>
            <rFont val="Tahoma"/>
            <family val="2"/>
          </rPr>
          <t xml:space="preserve">
</t>
        </r>
        <r>
          <rPr>
            <sz val="9"/>
            <color indexed="81"/>
            <rFont val="細明體"/>
            <family val="3"/>
            <charset val="136"/>
          </rPr>
          <t>獨細</t>
        </r>
      </text>
    </comment>
    <comment ref="N17" authorId="0" shapeId="0" xr:uid="{03D85B24-6406-4574-A065-31273AE847A1}">
      <text>
        <r>
          <rPr>
            <b/>
            <sz val="9"/>
            <color indexed="81"/>
            <rFont val="Tahoma"/>
            <family val="2"/>
          </rPr>
          <t>AlanJui:</t>
        </r>
        <r>
          <rPr>
            <sz val="9"/>
            <color indexed="81"/>
            <rFont val="Tahoma"/>
            <family val="2"/>
          </rPr>
          <t xml:space="preserve">
</t>
        </r>
        <r>
          <rPr>
            <sz val="9"/>
            <color indexed="81"/>
            <rFont val="細明體"/>
            <family val="3"/>
            <charset val="136"/>
          </rPr>
          <t>獨細</t>
        </r>
      </text>
    </comment>
    <comment ref="J18" authorId="0" shapeId="0" xr:uid="{D5D1DB29-4C51-4808-8C1F-C636CBC86606}">
      <text>
        <r>
          <rPr>
            <b/>
            <sz val="9"/>
            <color indexed="81"/>
            <rFont val="Tahoma"/>
            <family val="2"/>
          </rPr>
          <t>AlanJui:</t>
        </r>
        <r>
          <rPr>
            <sz val="9"/>
            <color indexed="81"/>
            <rFont val="Tahoma"/>
            <family val="2"/>
          </rPr>
          <t xml:space="preserve">
</t>
        </r>
        <r>
          <rPr>
            <sz val="9"/>
            <color indexed="81"/>
            <rFont val="細明體"/>
            <family val="3"/>
            <charset val="136"/>
          </rPr>
          <t>獨洪</t>
        </r>
      </text>
    </comment>
    <comment ref="P19" authorId="0" shapeId="0" xr:uid="{E1479117-7F22-47A3-9A0C-8C828B13471A}">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Q19" authorId="0" shapeId="0" xr:uid="{54AF0682-E6A8-4674-8926-A32529780AC6}">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N20" authorId="0" shapeId="0" xr:uid="{AA9EE60E-D46E-4518-ADA6-A20010F41459}">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20" authorId="0" shapeId="0" xr:uid="{3E5911F3-CBFC-4F9B-80B7-DE99616330AB}">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J21" authorId="0" shapeId="0" xr:uid="{53E27D39-36D7-47CB-A164-B9BB0DB5A52B}">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K21" authorId="0" shapeId="0" xr:uid="{B5034059-6CF7-438A-B096-BDB4E0B79B80}">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L22" authorId="0" shapeId="0" xr:uid="{06DB3024-566F-4E34-B0B8-613C00D63F44}">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22" authorId="0" shapeId="0" xr:uid="{5EEA42D5-3876-45F2-B1F2-4FDACF8F3E04}">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L23" authorId="0" shapeId="0" xr:uid="{FF7FFBCF-A4D6-4487-B04F-BB432BCBA570}">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23" authorId="0" shapeId="0" xr:uid="{8CAC0AED-7C81-4693-8800-F09AF90A7324}">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L24" authorId="0" shapeId="0" xr:uid="{2062D795-55D1-4F20-AA9C-31A4BB26485D}">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24" authorId="0" shapeId="0" xr:uid="{4C899307-4069-43A8-A912-D323A4B0E922}">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K25" authorId="0" shapeId="0" xr:uid="{2D05241D-AA06-409B-936B-46E5E701BE83}">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J26" authorId="0" shapeId="0" xr:uid="{E339911E-49B0-4070-B9E8-EB670907E0EC}">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O27" authorId="0" shapeId="0" xr:uid="{614917ED-831E-4ACF-AA57-3611087BE549}">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N28" authorId="0" shapeId="0" xr:uid="{26166085-2890-45F6-8870-E57C071F8D6B}">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30" authorId="0" shapeId="0" xr:uid="{661F45B5-2091-4278-BFA0-419A34C0B71A}">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L32" authorId="0" shapeId="0" xr:uid="{432E2120-8D29-4DC7-88D4-0F20FD4B1E2C}">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O34" authorId="0" shapeId="0" xr:uid="{5259C58F-12A2-4850-A934-471369177E2E}">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E36" authorId="0" shapeId="0" xr:uid="{CBD44FC9-623C-45B3-9931-C9C9FC28FB87}">
      <text>
        <r>
          <rPr>
            <b/>
            <sz val="9"/>
            <color indexed="81"/>
            <rFont val="Tahoma"/>
            <family val="2"/>
          </rPr>
          <t>AlanJui:</t>
        </r>
        <r>
          <rPr>
            <sz val="9"/>
            <color indexed="81"/>
            <rFont val="Tahoma"/>
            <family val="2"/>
          </rPr>
          <t xml:space="preserve">
</t>
        </r>
        <r>
          <rPr>
            <sz val="9"/>
            <color indexed="81"/>
            <rFont val="細明體"/>
            <family val="3"/>
            <charset val="136"/>
          </rPr>
          <t>【殷】</t>
        </r>
      </text>
    </comment>
    <comment ref="N36" authorId="0" shapeId="0" xr:uid="{7D8958B2-9507-4004-82E7-84B5E7071689}">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K38" authorId="0" shapeId="0" xr:uid="{1D91C37E-46EB-46D9-AA12-6223FF6E0D37}">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J40" authorId="0" shapeId="0" xr:uid="{E1CECC42-E078-4161-9F9A-76974FE2AF1A}">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N42" authorId="0" shapeId="0" xr:uid="{7FA6B535-AA99-4A07-81D3-11879F2D3DFE}">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42" authorId="0" shapeId="0" xr:uid="{50FC3FDE-0E8B-4D01-BDAD-28952CB2FD90}">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J44" authorId="0" shapeId="0" xr:uid="{48447BEC-25BC-45D5-8F09-CC54288F3ED5}">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K46" authorId="0" shapeId="0" xr:uid="{BA248E07-2376-4EB9-B71D-12149AF93817}">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L48" authorId="0" shapeId="0" xr:uid="{20BB0647-8E2D-41FD-8A6D-F4557249AC6F}">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48" authorId="0" shapeId="0" xr:uid="{91D5FFEC-EB03-479B-B954-4FB7E164E64D}">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L50" authorId="0" shapeId="0" xr:uid="{1A2860C0-8F3C-4FE5-836E-0D25EC6A0BF1}">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50" authorId="0" shapeId="0" xr:uid="{78963F21-AD6D-4F2F-9243-9D77EF55B283}">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P52" authorId="0" shapeId="0" xr:uid="{28FC19CB-F5C4-4BA7-990C-79D97E44D3C2}">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Q52" authorId="0" shapeId="0" xr:uid="{A6905EBA-DD0F-4105-874B-5B02C8D717AA}">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N54" authorId="0" shapeId="0" xr:uid="{89914C03-85B5-4403-980E-68FD9235F251}">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54" authorId="0" shapeId="0" xr:uid="{9A22517F-5B3F-4412-BE13-F86E5BB8CE8F}">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P56" authorId="0" shapeId="0" xr:uid="{08EA6812-54AD-4977-9D59-46ADBB1ABF61}">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N57" authorId="0" shapeId="0" xr:uid="{FAB6C28D-065F-40CC-B73C-37C8667066D6}">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L58" authorId="0" shapeId="0" xr:uid="{D4A79ADF-58D3-4C58-A072-98A49C2AF5DE}">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J59" authorId="0" shapeId="0" xr:uid="{2720E2E8-55AC-470B-91DC-5082BCCC4861}">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J60" authorId="0" shapeId="0" xr:uid="{328B3055-415F-43BF-A307-ED184BCD618D}">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K61" authorId="0" shapeId="0" xr:uid="{319AC3E4-3F95-41C9-833F-01B61D1AA686}">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N61" authorId="0" shapeId="0" xr:uid="{911A8918-2FE6-40D7-BEE5-F221ACFAAD1B}">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61" authorId="0" shapeId="0" xr:uid="{FD95687B-91DB-4E16-A73F-650B3D0A31C0}">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L62" authorId="0" shapeId="0" xr:uid="{79147111-1AA5-43EB-801F-60655E3AC53F}">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62" authorId="0" shapeId="0" xr:uid="{431B2AEB-CE72-4771-9C36-5752A084CC58}">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N62" authorId="0" shapeId="0" xr:uid="{60C2FE03-2A35-43D3-86EE-4CFE810E74C9}">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N63" authorId="0" shapeId="0" xr:uid="{59599AFE-FFB1-4573-81E6-8FF1B7BB04F6}">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63" authorId="0" shapeId="0" xr:uid="{FA1427C5-1797-4D7E-BDD8-3031D0F3BD62}">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J65" authorId="0" shapeId="0" xr:uid="{C287FF45-7695-4768-9752-7F058BFF320B}">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K65" authorId="0" shapeId="0" xr:uid="{1E55B843-8E7C-47D1-9BCB-90DC73073E54}">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L67" authorId="0" shapeId="0" xr:uid="{A647D952-D597-4E2C-ADBD-AAAE8C71A9F5}">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67" authorId="0" shapeId="0" xr:uid="{FE871FE2-5CAA-4BD3-B50D-63B9952FCEB5}">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N67" authorId="0" shapeId="0" xr:uid="{C78B94DC-68D8-4B76-A47E-13359CA90B1C}">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67" authorId="0" shapeId="0" xr:uid="{411E25FA-0038-4C7D-9E2F-BDF32E316361}">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L69" authorId="0" shapeId="0" xr:uid="{91D6D6E9-F0CC-4936-BC1E-E57626F30CE1}">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M69" authorId="0" shapeId="0" xr:uid="{94C50E3D-872B-4CB0-A1F8-07BB7F6C6EDD}">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N71" authorId="0" shapeId="0" xr:uid="{38A9B009-3DA7-45E5-BB13-B262F894C35B}">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71" authorId="0" shapeId="0" xr:uid="{FB453893-369D-480F-A08B-EFC4DF6A0777}">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P73" authorId="0" shapeId="0" xr:uid="{750AAECD-ECF2-421F-B549-0B7D2D140839}">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Q73" authorId="0" shapeId="0" xr:uid="{1A2345A4-8707-4CB2-A89F-A191A6D56346}">
      <text>
        <r>
          <rPr>
            <b/>
            <sz val="9"/>
            <color indexed="81"/>
            <rFont val="Tahoma"/>
            <family val="2"/>
          </rPr>
          <t>AlanJui:</t>
        </r>
        <r>
          <rPr>
            <sz val="9"/>
            <color indexed="81"/>
            <rFont val="Tahoma"/>
            <family val="2"/>
          </rPr>
          <t xml:space="preserve">
</t>
        </r>
        <r>
          <rPr>
            <sz val="9"/>
            <color indexed="81"/>
            <rFont val="細明體"/>
            <family val="3"/>
            <charset val="136"/>
          </rPr>
          <t>合細</t>
        </r>
      </text>
    </comment>
    <comment ref="N75" authorId="0" shapeId="0" xr:uid="{5B73E506-B23B-4440-ACF1-86DE703ABBC5}">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J77" authorId="0" shapeId="0" xr:uid="{8237B11C-0880-4D5F-B6A9-D1C4463E9D45}">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K77" authorId="0" shapeId="0" xr:uid="{13D97824-37BB-4D62-9EBD-C5B24C3D8E1F}">
      <text>
        <r>
          <rPr>
            <b/>
            <sz val="9"/>
            <color indexed="81"/>
            <rFont val="Tahoma"/>
            <family val="2"/>
          </rPr>
          <t>AlanJui:</t>
        </r>
        <r>
          <rPr>
            <sz val="9"/>
            <color indexed="81"/>
            <rFont val="Tahoma"/>
            <family val="2"/>
          </rPr>
          <t xml:space="preserve">
</t>
        </r>
        <r>
          <rPr>
            <sz val="9"/>
            <color indexed="81"/>
            <rFont val="細明體"/>
            <family val="3"/>
            <charset val="136"/>
          </rPr>
          <t>合洪</t>
        </r>
      </text>
    </comment>
    <comment ref="N79" authorId="0" shapeId="0" xr:uid="{69D11A2D-4E8A-4B61-B040-329CFE687DFE}">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J80" authorId="0" shapeId="0" xr:uid="{5D67F687-F242-4758-9A81-9C63D182E31E}">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N81" authorId="0" shapeId="0" xr:uid="{CF1F4E36-272B-4CDB-BC7E-103C78482751}">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N82" authorId="0" shapeId="0" xr:uid="{0EE497BB-BC74-4713-8774-01CDAEDBAA56}">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J84" authorId="0" shapeId="0" xr:uid="{5EF0A4F1-3CB2-4305-B264-470A4E474AE3}">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J86" authorId="0" shapeId="0" xr:uid="{7A4BE899-16B6-4F6F-B95C-CA0A3D5E6EFB}">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N88" authorId="0" shapeId="0" xr:uid="{C878CD43-0D5C-41E3-9636-7E780B14DFF2}">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P90" authorId="0" shapeId="0" xr:uid="{D992AC05-B223-40A1-8C68-29941FCAF8C8}">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L92" authorId="0" shapeId="0" xr:uid="{856F8E96-B6BA-497E-8985-4FCDCB8005C7}">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L94" authorId="0" shapeId="0" xr:uid="{5F69A761-57A7-4AA6-8A8F-1FF3BCEE1F6E}">
      <text>
        <r>
          <rPr>
            <b/>
            <sz val="9"/>
            <color indexed="81"/>
            <rFont val="Tahoma"/>
            <family val="2"/>
          </rPr>
          <t>AlanJui:</t>
        </r>
        <r>
          <rPr>
            <sz val="9"/>
            <color indexed="81"/>
            <rFont val="Tahoma"/>
            <family val="2"/>
          </rPr>
          <t xml:space="preserve">
</t>
        </r>
        <r>
          <rPr>
            <sz val="9"/>
            <color indexed="81"/>
            <rFont val="細明體"/>
            <family val="3"/>
            <charset val="136"/>
          </rPr>
          <t>開洪</t>
        </r>
      </text>
    </comment>
    <comment ref="N96" authorId="0" shapeId="0" xr:uid="{91067194-7F43-46C8-A2FF-52928C7D6EB8}">
      <text>
        <r>
          <rPr>
            <b/>
            <sz val="9"/>
            <color indexed="81"/>
            <rFont val="Tahoma"/>
            <family val="2"/>
          </rPr>
          <t>AlanJui:</t>
        </r>
        <r>
          <rPr>
            <sz val="9"/>
            <color indexed="81"/>
            <rFont val="Tahoma"/>
            <family val="2"/>
          </rPr>
          <t xml:space="preserve">
</t>
        </r>
        <r>
          <rPr>
            <sz val="9"/>
            <color indexed="81"/>
            <rFont val="細明體"/>
            <family val="3"/>
            <charset val="136"/>
          </rPr>
          <t>開細</t>
        </r>
      </text>
    </comment>
    <comment ref="O98" authorId="0" shapeId="0" xr:uid="{441AD5C0-92DA-4293-8437-FF4D0B68A4DC}">
      <text>
        <r>
          <rPr>
            <b/>
            <sz val="9"/>
            <color indexed="81"/>
            <rFont val="Tahoma"/>
            <family val="2"/>
          </rPr>
          <t>AlanJui:</t>
        </r>
        <r>
          <rPr>
            <sz val="9"/>
            <color indexed="81"/>
            <rFont val="Tahoma"/>
            <family val="2"/>
          </rPr>
          <t xml:space="preserve">
</t>
        </r>
        <r>
          <rPr>
            <sz val="9"/>
            <color indexed="81"/>
            <rFont val="細明體"/>
            <family val="3"/>
            <charset val="136"/>
          </rPr>
          <t>合細</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<sst xmlns="http://schemas.openxmlformats.org/spreadsheetml/2006/main" count="7624" uniqueCount="2441">
  <si>
    <t>序</t>
  </si>
  <si>
    <t>類</t>
  </si>
  <si>
    <t>聲母</t>
  </si>
  <si>
    <t>清濁</t>
  </si>
  <si>
    <t>發送收</t>
  </si>
  <si>
    <t>反切上字</t>
  </si>
  <si>
    <t>重脣音</t>
  </si>
  <si>
    <t>幫</t>
  </si>
  <si>
    <t>全清</t>
  </si>
  <si>
    <t>發聲</t>
  </si>
  <si>
    <t>p</t>
  </si>
  <si>
    <t>邊 布 補 伯 百 北 博 巴 卑 并 鄙 必 彼 兵 筆 陂 畀 晡</t>
  </si>
  <si>
    <t>滂</t>
  </si>
  <si>
    <t>次清</t>
  </si>
  <si>
    <t>送氣</t>
  </si>
  <si>
    <t>ph</t>
  </si>
  <si>
    <t>pʰ</t>
  </si>
  <si>
    <t>滂 普 匹 譬 披 丕</t>
  </si>
  <si>
    <t>並</t>
  </si>
  <si>
    <t>全濁</t>
  </si>
  <si>
    <t>b</t>
  </si>
  <si>
    <t>蒲 裴 平 皮 步 薄 白 部 傍 便 弼 婢 毗 簿 捕</t>
  </si>
  <si>
    <t>明</t>
  </si>
  <si>
    <t>次濁</t>
  </si>
  <si>
    <t>收聲</t>
  </si>
  <si>
    <t>m</t>
  </si>
  <si>
    <t>莫 慕 模 謨 摸 母 明 彌 眉 綿 靡 美</t>
  </si>
  <si>
    <t>輕脣音</t>
  </si>
  <si>
    <t>非</t>
  </si>
  <si>
    <t>h</t>
  </si>
  <si>
    <t>敷</t>
  </si>
  <si>
    <t>敷 孚 妃 撫 峯 拂 芳</t>
  </si>
  <si>
    <t>奉</t>
  </si>
  <si>
    <t>房 防 縛 附 父 浮 符 苻 扶 馮</t>
  </si>
  <si>
    <t>微</t>
  </si>
  <si>
    <t>巫 無 武 文 望 亡</t>
  </si>
  <si>
    <t>舌頭音</t>
  </si>
  <si>
    <t>端</t>
  </si>
  <si>
    <t>t</t>
  </si>
  <si>
    <t>德 都 丁 當 多 得 冬</t>
  </si>
  <si>
    <t>透</t>
  </si>
  <si>
    <t>th</t>
  </si>
  <si>
    <t>tʰ</t>
  </si>
  <si>
    <t>他 土 吐 託 天 湯 通 台</t>
  </si>
  <si>
    <t>定</t>
  </si>
  <si>
    <t>d</t>
  </si>
  <si>
    <t>徒 同 杜 度 墜 特 堂 唐 田 陀</t>
  </si>
  <si>
    <t>泥</t>
  </si>
  <si>
    <t>n</t>
  </si>
  <si>
    <t>奴 乃 諾 那 内</t>
  </si>
  <si>
    <t>舌上音</t>
  </si>
  <si>
    <t>知</t>
  </si>
  <si>
    <t>ȶ</t>
  </si>
  <si>
    <t>陟 都 竹 丁 卓 張 中 知 豬 珍 追 猪 徵</t>
  </si>
  <si>
    <t>徹</t>
  </si>
  <si>
    <t>ȶʰ</t>
  </si>
  <si>
    <t>敕 他 丑 褚 楮 癡 抽 恥</t>
  </si>
  <si>
    <t>澄</t>
  </si>
  <si>
    <t>ȡ</t>
  </si>
  <si>
    <t>徒 直 宅 柱 池 丈 持 除 治 馳 遟 佇 場</t>
  </si>
  <si>
    <t>孃</t>
  </si>
  <si>
    <t>l</t>
  </si>
  <si>
    <t>奴 女 乃 妳 諾 尼 拏 穠</t>
  </si>
  <si>
    <t>齒頭音</t>
  </si>
  <si>
    <t>精</t>
  </si>
  <si>
    <t>ts</t>
  </si>
  <si>
    <t>子 作 即 姊 遵 醉 則 祖 臧 將 借 兹 𩛠 資 姉</t>
  </si>
  <si>
    <t>清</t>
  </si>
  <si>
    <t>tsh</t>
  </si>
  <si>
    <t>tsʰ</t>
  </si>
  <si>
    <t>倉 七 此 取 蒼 醋 千 雌 采 親 麁 靑 麤 遷</t>
  </si>
  <si>
    <t>從</t>
  </si>
  <si>
    <t>dz</t>
  </si>
  <si>
    <t>徂 藏 疾 昨 匠 在 才 自 慈 秦 漸 情 前</t>
  </si>
  <si>
    <t>心</t>
  </si>
  <si>
    <t>s</t>
  </si>
  <si>
    <t>息 蘇 私 相 素 先 思 須 寫 桑 速 斯 胥 悉 雖 司 辛</t>
  </si>
  <si>
    <t>邪</t>
  </si>
  <si>
    <t>z</t>
  </si>
  <si>
    <t>祥 旬 似 詳 夕 徐 隨 辝 辭 寺</t>
  </si>
  <si>
    <t>正齒音莊組</t>
  </si>
  <si>
    <t>莊</t>
  </si>
  <si>
    <t>tʃ</t>
  </si>
  <si>
    <t>子 側 莊 阻 仄 爭 鄒 簪</t>
  </si>
  <si>
    <t>初</t>
  </si>
  <si>
    <t>tʃʰ</t>
  </si>
  <si>
    <t>楚 叉 測 初 創 瘡 芻 廁</t>
  </si>
  <si>
    <t>崇</t>
  </si>
  <si>
    <t>dʒ</t>
  </si>
  <si>
    <t>鋤 士 仕 崇 鉏 助 牀 鶵 雛 犲 崱 查 査</t>
  </si>
  <si>
    <t>生</t>
  </si>
  <si>
    <t>ʃ</t>
  </si>
  <si>
    <t>所 山 疏 數 色 史 踈 砂 沙 生</t>
  </si>
  <si>
    <t>俟</t>
  </si>
  <si>
    <t>ʒ</t>
  </si>
  <si>
    <t>俟 牀</t>
  </si>
  <si>
    <t>正齒音章組</t>
  </si>
  <si>
    <t>章</t>
  </si>
  <si>
    <t>職 章 旨 止 諸 正 煑 之 占 支 脂 征</t>
  </si>
  <si>
    <t>昌</t>
  </si>
  <si>
    <t>昌 尺 叱 處 叉 赤 充 姝</t>
  </si>
  <si>
    <t>常</t>
  </si>
  <si>
    <t>蜀 是 視 市 署 成 植 常 氏 時 承 臣 殖 甞 寔 殊 十</t>
  </si>
  <si>
    <t>書</t>
  </si>
  <si>
    <t>書 式 傷 失 識 施 詩 舒 賞 矢 釋 商 試 始</t>
  </si>
  <si>
    <t>船</t>
  </si>
  <si>
    <t>食 神 實 乗</t>
  </si>
  <si>
    <t>牙音</t>
  </si>
  <si>
    <t>見</t>
  </si>
  <si>
    <t>k</t>
  </si>
  <si>
    <t>居 古 九 舉 公 過 俱 佳 乖 姑 各 兼 詭 規 几 吉 紀 格</t>
  </si>
  <si>
    <t>溪</t>
  </si>
  <si>
    <t>kh</t>
  </si>
  <si>
    <t>kʰ</t>
  </si>
  <si>
    <t>去 苦 曲 丘 豈 口 可 起 乞 客 綺 恪 康 墟 袪 羌 驅 弃 空 牽 枯 欽 謙 區 窺 卿 詰 傾 楷</t>
  </si>
  <si>
    <t>ɡ</t>
  </si>
  <si>
    <t>渠 巨 強 其 跪 求 曁 狂 奇 具 臼 衢</t>
  </si>
  <si>
    <t>疑</t>
  </si>
  <si>
    <t>g</t>
    <phoneticPr fontId="10" type="noConversion"/>
  </si>
  <si>
    <t>ŋ</t>
  </si>
  <si>
    <t>五 魚 牛 語 遇 擬 愚 俄 虞 疑 研 宜 危 吾 玉</t>
  </si>
  <si>
    <t>喉音</t>
  </si>
  <si>
    <t>影</t>
  </si>
  <si>
    <t>Ø</t>
  </si>
  <si>
    <t>烏 於 握 央 憶 哀 乙 謁 一 委 挹 安 紆 烟 衣 依 鷖 伊 憂 愛</t>
  </si>
  <si>
    <t>曉</t>
  </si>
  <si>
    <t>x</t>
  </si>
  <si>
    <t>呼 許 香 喜 朽 況 荒 火 虚 虎 興 花 休 况 馨 海 羲 呵</t>
  </si>
  <si>
    <t>匣</t>
  </si>
  <si>
    <t>ɣ</t>
  </si>
  <si>
    <t>戸 下 胡 獲 侯 懷 何 乎 黃</t>
  </si>
  <si>
    <t>云</t>
  </si>
  <si>
    <t>羽 下 薳 洧 雨 爲 王 有 于 永 韋 榮 云 雲 筠</t>
  </si>
  <si>
    <t>以</t>
  </si>
  <si>
    <t>j</t>
  </si>
  <si>
    <t>以 餘 弋 悅 與 羊 翼 于 余 移 夷 營</t>
  </si>
  <si>
    <t>半舌音</t>
  </si>
  <si>
    <t>來</t>
  </si>
  <si>
    <t>力 盧 吕 里 落 郎 賴 魯 縷 勒 良 來 洛 連 練 離 林</t>
  </si>
  <si>
    <t>半齒音</t>
  </si>
  <si>
    <t>日</t>
  </si>
  <si>
    <t>ȵʑ</t>
  </si>
  <si>
    <t>如 而 汝 人 儒 耳 兒 仍</t>
  </si>
  <si>
    <t xml:space="preserve">《廣韻》《韻鏡》反切上字與河洛音對應表 </t>
  </si>
  <si>
    <t>序號</t>
  </si>
  <si>
    <t>發音部位</t>
  </si>
  <si>
    <t>聲類</t>
  </si>
  <si>
    <t>發收送</t>
  </si>
  <si>
    <t>聲母擬音</t>
  </si>
  <si>
    <t>原序號</t>
  </si>
  <si>
    <t>居九俱舉規吉紀几古公過各格兼姑佳詭乖</t>
  </si>
  <si>
    <t>康枯牽空謙口楷客恪苦去丘墟袪詰窺羌欽傾起綺豈區驅曲可乞棄卿弃</t>
  </si>
  <si>
    <t>群</t>
  </si>
  <si>
    <t>渠強求巨具臼衢其奇暨跪近狂</t>
  </si>
  <si>
    <t>g</t>
  </si>
  <si>
    <t>疑魚牛語宜擬危五玉俄吾研遇虞愚</t>
  </si>
  <si>
    <t>多德得丁都當冬</t>
  </si>
  <si>
    <t>他託土吐通天台湯</t>
  </si>
  <si>
    <t>徒同特度杜唐堂田陀地</t>
  </si>
  <si>
    <t>奴乃諾內嬭妳那</t>
  </si>
  <si>
    <t>知張豬徵中追陟卓竹珍</t>
  </si>
  <si>
    <t>抽癡楮褚丑恥敕</t>
  </si>
  <si>
    <t>除場池治持遲＊佇柱丈直宅墜馳</t>
  </si>
  <si>
    <t>娘</t>
  </si>
  <si>
    <t>尼拏女穠</t>
  </si>
  <si>
    <t>邊布補伯百北博巴卑并鄙必彼兵筆陂畀晡</t>
  </si>
  <si>
    <t>滂普匹譬披丕</t>
  </si>
  <si>
    <t>蒲步裴薄白傍部平皮便毗弼婢簿捕</t>
  </si>
  <si>
    <t>莫慕模謨摸母明彌眉綿靡美</t>
  </si>
  <si>
    <t>方封分府甫</t>
  </si>
  <si>
    <t>敷孚妃撫芳峰拂</t>
  </si>
  <si>
    <t>房防縛附符苻扶馮浮父</t>
  </si>
  <si>
    <t>巫無亡武文望</t>
  </si>
  <si>
    <t>將子資即則借茲醉姊遵祖臧作＊</t>
  </si>
  <si>
    <t>c</t>
  </si>
  <si>
    <t>倉蒼親遷取七青采醋麁麤千此雌</t>
  </si>
  <si>
    <t>才徂在前藏昨酢疾秦匠慈自情漸</t>
  </si>
  <si>
    <t>蘇素速桑相悉思司斯私雖辛息須胥先寫</t>
  </si>
  <si>
    <t>徐祥詳辭＊辞似旬寺夕隨</t>
  </si>
  <si>
    <t>正齒近齒頭</t>
  </si>
  <si>
    <t>莊爭阻鄒簪側仄</t>
  </si>
  <si>
    <t>初楚創瘡測叉廁芻</t>
  </si>
  <si>
    <t>床</t>
  </si>
  <si>
    <t>床鋤鉏豺崱士仕崇查俟助雛</t>
  </si>
  <si>
    <t>疏</t>
  </si>
  <si>
    <t>疏山沙砂生色數所史</t>
  </si>
  <si>
    <t>正齒近舌上</t>
  </si>
  <si>
    <t>照</t>
  </si>
  <si>
    <t>之止章征諸煮支職正旨占脂</t>
  </si>
  <si>
    <t>穿</t>
  </si>
  <si>
    <t>昌尺赤充處叱春姝</t>
  </si>
  <si>
    <t>神</t>
  </si>
  <si>
    <t>神乘食實</t>
  </si>
  <si>
    <t>審</t>
  </si>
  <si>
    <t>書舒傷商施失矢試式識賞詩釋始</t>
  </si>
  <si>
    <t>禪</t>
  </si>
  <si>
    <t>時殊嘗常蜀市植殖寔署臣是氏視成</t>
  </si>
  <si>
    <t>於央憶伊衣依憂一乙握謁紆挹烏哀安烟鷖愛委</t>
  </si>
  <si>
    <t>呼荒虎馨火海呵香朽羲休況許興喜虛花</t>
  </si>
  <si>
    <t>胡乎侯戶下黃何獲懷</t>
  </si>
  <si>
    <t>為</t>
  </si>
  <si>
    <t>于羽雨雲云王韋永有薳為洧筠＊</t>
  </si>
  <si>
    <t>喻</t>
  </si>
  <si>
    <t>余餘予夷以羊弋翼與營移悅</t>
  </si>
  <si>
    <t>半舌</t>
  </si>
  <si>
    <t>來盧賴洛落勒力林呂良離里郎魯練縷連</t>
  </si>
  <si>
    <t>半齒</t>
  </si>
  <si>
    <t>如汝儒人而仍兒耳</t>
  </si>
  <si>
    <t>今名</t>
  </si>
  <si>
    <t>古名</t>
  </si>
  <si>
    <t>發音方法</t>
  </si>
  <si>
    <t>分類</t>
  </si>
  <si>
    <t>（不送氣清音）</t>
  </si>
  <si>
    <t>（送氣清音）</t>
  </si>
  <si>
    <t>（濁音）</t>
  </si>
  <si>
    <t>（響輔音）</t>
    <phoneticPr fontId="8" type="noConversion"/>
  </si>
  <si>
    <t>雙唇</t>
  </si>
  <si>
    <t>塞、鼻音</t>
  </si>
  <si>
    <t>唇音</t>
  </si>
  <si>
    <t>[p]</t>
  </si>
  <si>
    <t>[pʰ]</t>
  </si>
  <si>
    <t>[b]</t>
  </si>
  <si>
    <t>[m]</t>
  </si>
  <si>
    <t>齒齦</t>
  </si>
  <si>
    <t>邊近音</t>
  </si>
  <si>
    <t>[l]</t>
  </si>
  <si>
    <t>舌音</t>
  </si>
  <si>
    <t>[t]</t>
  </si>
  <si>
    <t>[tʰ]</t>
  </si>
  <si>
    <t>[d]</t>
  </si>
  <si>
    <t>[n]</t>
  </si>
  <si>
    <t>捲舌／
齦顎[b]</t>
    <phoneticPr fontId="8" type="noConversion"/>
  </si>
  <si>
    <t>[ʈ]／[ȶ]</t>
  </si>
  <si>
    <t>[ʈʰ]／[ȶʰ]</t>
  </si>
  <si>
    <t>[ɖ]／[ȡ]</t>
  </si>
  <si>
    <t>[ɳ]／[ȵ]</t>
  </si>
  <si>
    <t>有噝塞擦音</t>
  </si>
  <si>
    <t>齒音</t>
  </si>
  <si>
    <t>[t͡s]</t>
  </si>
  <si>
    <t>[t͡sʰ]</t>
  </si>
  <si>
    <t>[d͡z]</t>
  </si>
  <si>
    <t>有噝擦音</t>
  </si>
  <si>
    <t>[s]</t>
  </si>
  <si>
    <t>[z]</t>
  </si>
  <si>
    <t>捲舌／
齦後[c]</t>
    <phoneticPr fontId="8" type="noConversion"/>
  </si>
  <si>
    <t>正齒音
莊組</t>
    <phoneticPr fontId="8" type="noConversion"/>
  </si>
  <si>
    <t>[ʈ͡ʂ]／[t͡ʃ]</t>
  </si>
  <si>
    <t>[ʈ͡ʂʰ]／[t͡ʃʰ]</t>
  </si>
  <si>
    <t>[ɖ͡ʐ]／[d͡ʒ]</t>
  </si>
  <si>
    <t>[ʂ]／[ʃ]</t>
  </si>
  <si>
    <t>[ʐ]／[ʒ]</t>
  </si>
  <si>
    <t>齦顎</t>
  </si>
  <si>
    <t>正齒音
章組</t>
    <phoneticPr fontId="8" type="noConversion"/>
  </si>
  <si>
    <t>[t͡ɕ]</t>
  </si>
  <si>
    <t>[t͡ɕʰ]</t>
  </si>
  <si>
    <t>[d͡ʑ]</t>
  </si>
  <si>
    <t>[ɕ]</t>
  </si>
  <si>
    <t>[ʑ]</t>
  </si>
  <si>
    <t>鼻音</t>
  </si>
  <si>
    <t>[ȵ]／[ȵ͡ʑ]</t>
  </si>
  <si>
    <t>軟顎</t>
  </si>
  <si>
    <t>[k]</t>
  </si>
  <si>
    <t>[kʰ]</t>
  </si>
  <si>
    <t>[ɡ]</t>
  </si>
  <si>
    <t>[ŋ]</t>
  </si>
  <si>
    <t>無噝擦音</t>
  </si>
  <si>
    <t>[x]</t>
  </si>
  <si>
    <t>[ɣ]</t>
  </si>
  <si>
    <t>硬顎</t>
  </si>
  <si>
    <t>近音</t>
  </si>
  <si>
    <t>[j]／[∅]</t>
  </si>
  <si>
    <t>聲門</t>
  </si>
  <si>
    <t>塞音</t>
  </si>
  <si>
    <t>[ʔ]</t>
  </si>
  <si>
    <t>擦音</t>
  </si>
  <si>
    <t>[h]</t>
  </si>
  <si>
    <t>[ɦ]</t>
  </si>
  <si>
    <t>零聲母</t>
  </si>
  <si>
    <t>[∅]</t>
  </si>
  <si>
    <t>聲母</t>
    <phoneticPr fontId="10" type="noConversion"/>
  </si>
  <si>
    <t>台羅音標</t>
    <phoneticPr fontId="10" type="noConversion"/>
  </si>
  <si>
    <t>國際音標</t>
    <phoneticPr fontId="10" type="noConversion"/>
  </si>
  <si>
    <r>
      <t>方</t>
    </r>
    <r>
      <rPr>
        <sz val="16"/>
        <color theme="1"/>
        <rFont val="細明體"/>
        <family val="3"/>
        <charset val="136"/>
      </rPr>
      <t xml:space="preserve"> </t>
    </r>
    <r>
      <rPr>
        <sz val="16"/>
        <color theme="1"/>
        <rFont val="霞鹜文楷 TC"/>
        <family val="3"/>
        <charset val="136"/>
      </rPr>
      <t>封 分 府 甫</t>
    </r>
    <phoneticPr fontId="10" type="noConversion"/>
  </si>
  <si>
    <t>群</t>
    <phoneticPr fontId="10" type="noConversion"/>
  </si>
  <si>
    <t>攝</t>
  </si>
  <si>
    <t>韻系</t>
  </si>
  <si>
    <t>等</t>
  </si>
  <si>
    <t>呼</t>
  </si>
  <si>
    <t>韻母</t>
  </si>
  <si>
    <t>台羅音標</t>
    <phoneticPr fontId="10" type="noConversion"/>
  </si>
  <si>
    <t>國際音標</t>
    <phoneticPr fontId="10" type="noConversion"/>
  </si>
  <si>
    <t>反切下字</t>
  </si>
  <si>
    <t>通</t>
  </si>
  <si>
    <t>東</t>
  </si>
  <si>
    <t>一</t>
  </si>
  <si>
    <t>開</t>
  </si>
  <si>
    <t>東一</t>
  </si>
  <si>
    <t>ong</t>
  </si>
  <si>
    <t>[-uŋ]</t>
  </si>
  <si>
    <t>紅 公 東 動 孔 董 揔 蠓 弄 貢 送 凍</t>
  </si>
  <si>
    <t>三</t>
  </si>
  <si>
    <t>東三</t>
  </si>
  <si>
    <t>iong</t>
  </si>
  <si>
    <t>[-ĭuŋ]</t>
  </si>
  <si>
    <t>弓 戎 中 融 宮 空 終 貢 衆 鳳 仲</t>
  </si>
  <si>
    <t>冬</t>
  </si>
  <si>
    <t>[-uoŋ]</t>
  </si>
  <si>
    <t>宗 冬 𪁪 湩 統 宋 綜</t>
  </si>
  <si>
    <t>鍾</t>
  </si>
  <si>
    <t>[-ĭwoŋ]</t>
  </si>
  <si>
    <t>容 鍾 封 凶 庸 恭 隴 踵 奉 宂 悚 拱 勇 冢 頌 用</t>
  </si>
  <si>
    <t>江</t>
  </si>
  <si>
    <t>二</t>
  </si>
  <si>
    <t>ang</t>
  </si>
  <si>
    <t>[-ɔŋ]</t>
  </si>
  <si>
    <t>雙 江 項 講 慃 巷 絳 降</t>
  </si>
  <si>
    <t>屋一</t>
  </si>
  <si>
    <t>ok</t>
  </si>
  <si>
    <t>[-uk]</t>
  </si>
  <si>
    <t>谷 禄 木 卜</t>
  </si>
  <si>
    <t>屋三</t>
  </si>
  <si>
    <t>iok</t>
  </si>
  <si>
    <t>[-ĭuk]</t>
  </si>
  <si>
    <t>六 竹 匊 宿 福 逐 菊</t>
  </si>
  <si>
    <t>沃</t>
  </si>
  <si>
    <t>[-uok]</t>
  </si>
  <si>
    <t>酷 沃 毒 篤</t>
  </si>
  <si>
    <t>燭</t>
  </si>
  <si>
    <t>[-ĭwok]</t>
  </si>
  <si>
    <t>欲 玉 蜀 録 足 曲</t>
  </si>
  <si>
    <t>覺</t>
  </si>
  <si>
    <t>ak</t>
  </si>
  <si>
    <t>[-ɔk]</t>
  </si>
  <si>
    <t>岳 角 覺</t>
  </si>
  <si>
    <t>止</t>
  </si>
  <si>
    <t>支</t>
  </si>
  <si>
    <t>支開</t>
  </si>
  <si>
    <t>i</t>
  </si>
  <si>
    <t>[-ĭe]</t>
  </si>
  <si>
    <t>移 支 宜 知 離 氏 紙 綺 爾 是 此 帋 豸 侈 義 智 寄 賜 豉</t>
  </si>
  <si>
    <t>合</t>
  </si>
  <si>
    <t>支合</t>
  </si>
  <si>
    <t>ui</t>
  </si>
  <si>
    <t>[-ĭwe]</t>
  </si>
  <si>
    <t>支 爲 垂 危 吹 委 累 婢 捶 髓 睡 僞 瑞 恚</t>
  </si>
  <si>
    <t>支A</t>
  </si>
  <si>
    <t>支A開</t>
  </si>
  <si>
    <t>移 支 弭 婢 俾 帋 義 智 賜 企</t>
  </si>
  <si>
    <t>支A合</t>
  </si>
  <si>
    <t>規 隨 隋 弭 瑞 避 恚</t>
  </si>
  <si>
    <t>支B</t>
  </si>
  <si>
    <t>支B開</t>
  </si>
  <si>
    <t>爲 羈 奇 宜 離 彼 委 綺 倚 靡 義 寄</t>
  </si>
  <si>
    <t>支B合</t>
  </si>
  <si>
    <t>ui</t>
    <phoneticPr fontId="10" type="noConversion"/>
  </si>
  <si>
    <t>爲 委 詭 毀 睡 僞</t>
  </si>
  <si>
    <t>脂</t>
  </si>
  <si>
    <t>脂開</t>
  </si>
  <si>
    <t>[-i]</t>
  </si>
  <si>
    <t>夷 脂 飢 私 資 尼 之 雉 矢 姊 履 几 視 利 至 二 四 自</t>
  </si>
  <si>
    <t>脂合</t>
  </si>
  <si>
    <t>[-wi]</t>
  </si>
  <si>
    <t>隹 追 遺 悲 綏 累 美 軌 水 誄 壘 愧 醉 遂 類 萃</t>
  </si>
  <si>
    <t>脂A</t>
  </si>
  <si>
    <t>脂A開</t>
  </si>
  <si>
    <t>夷 脂 履 利 至 寐 二</t>
  </si>
  <si>
    <t>脂A合</t>
  </si>
  <si>
    <t>隹 維 癸 誄 季 悸</t>
  </si>
  <si>
    <t>脂B</t>
  </si>
  <si>
    <t>脂B開</t>
  </si>
  <si>
    <t>夷 脂 悲 眉 肌 鄙 美 履 几 利 祕 媚 備 器 冀 兾</t>
  </si>
  <si>
    <t>脂B合</t>
  </si>
  <si>
    <t>追 洧 軌 愧 位</t>
  </si>
  <si>
    <t>之</t>
  </si>
  <si>
    <t>[-ĭə]</t>
  </si>
  <si>
    <t>之 而 其 兹 持 甾 市 止 里 理 己 士 史 紀 擬 吏 置 記 志</t>
  </si>
  <si>
    <t>微開</t>
  </si>
  <si>
    <t>[-ĭəi]</t>
  </si>
  <si>
    <t>希 依 衣 豈 狶 豙 旣</t>
  </si>
  <si>
    <t>微合</t>
  </si>
  <si>
    <t>[-ĭwəi]</t>
  </si>
  <si>
    <t>非 歸 微 韋 匪 尾 鬼 偉 沸 胃 貴 味 未 畏</t>
  </si>
  <si>
    <t>遇</t>
  </si>
  <si>
    <t>魚</t>
  </si>
  <si>
    <t>u/ir</t>
  </si>
  <si>
    <t>[-ĭo]</t>
  </si>
  <si>
    <t>模</t>
  </si>
  <si>
    <t>oo</t>
  </si>
  <si>
    <t>[-u]</t>
  </si>
  <si>
    <t>胡 吳 都 烏 乎 吾 姑 孤 補 魯 古 戸 杜 故 暮 誤 路 祚</t>
  </si>
  <si>
    <t>虞</t>
  </si>
  <si>
    <t>u</t>
  </si>
  <si>
    <t>[-ĭu]</t>
  </si>
  <si>
    <t>俱 隅 夫 于 朱 俞 輸 逾 無 誅 芻 矩 庾 甫 雨 武 主 羽 禹 具 遇 句 戍 注</t>
  </si>
  <si>
    <t>蟹</t>
  </si>
  <si>
    <t>泰</t>
  </si>
  <si>
    <t>泰開</t>
  </si>
  <si>
    <t>ai</t>
  </si>
  <si>
    <t>[-ɑi]</t>
  </si>
  <si>
    <t>蓋 太 帶 大 艾 貝</t>
  </si>
  <si>
    <t>泰合</t>
  </si>
  <si>
    <t>ue</t>
  </si>
  <si>
    <t>[-uɑi]</t>
  </si>
  <si>
    <t>外 會 最</t>
  </si>
  <si>
    <t>廢</t>
  </si>
  <si>
    <t>廢開</t>
  </si>
  <si>
    <t>ui/ue</t>
  </si>
  <si>
    <t>[-ĭɐi]</t>
  </si>
  <si>
    <t>肺</t>
  </si>
  <si>
    <t>廢合</t>
  </si>
  <si>
    <t>[-ĭwɐi]</t>
  </si>
  <si>
    <t>吠 肺 廢 穢</t>
  </si>
  <si>
    <t>夬</t>
  </si>
  <si>
    <t>夬開</t>
  </si>
  <si>
    <t>[-æi]</t>
  </si>
  <si>
    <t>夬 話 邁 喝 犗</t>
  </si>
  <si>
    <t>夬合</t>
  </si>
  <si>
    <t>uai</t>
  </si>
  <si>
    <t>[-wæi]</t>
  </si>
  <si>
    <t>賣 夬 快</t>
  </si>
  <si>
    <t>佳</t>
  </si>
  <si>
    <t>佳開</t>
  </si>
  <si>
    <t>[-ai]</t>
  </si>
  <si>
    <t>膎 佳 買 蟹 賣 隘 懈 卦</t>
  </si>
  <si>
    <t>佳合</t>
  </si>
  <si>
    <t>ua</t>
  </si>
  <si>
    <t>[-wai]</t>
  </si>
  <si>
    <t>蛙 媧 緺 買 夥 𦫳 賣 卦</t>
  </si>
  <si>
    <t>皆</t>
  </si>
  <si>
    <t>皆開</t>
  </si>
  <si>
    <t>[-ɐi]</t>
  </si>
  <si>
    <t>諧 皆 楷 駭 界 拜 介 怪 戒</t>
  </si>
  <si>
    <t>皆合</t>
  </si>
  <si>
    <t>[-wɐi]</t>
  </si>
  <si>
    <t>皆 懷 乖 淮 壞 怪</t>
  </si>
  <si>
    <t>祭</t>
  </si>
  <si>
    <t>祭開</t>
  </si>
  <si>
    <t>e</t>
  </si>
  <si>
    <t>[-ĭɛi]</t>
  </si>
  <si>
    <t>例 制</t>
  </si>
  <si>
    <t>祭合</t>
  </si>
  <si>
    <t>[-ĭwɛi]</t>
  </si>
  <si>
    <t>銳 歲 芮 衞 稅</t>
  </si>
  <si>
    <t>祭A</t>
  </si>
  <si>
    <t>祭A開</t>
  </si>
  <si>
    <t>祭 袂 𡚁 蔽</t>
  </si>
  <si>
    <t>祭A合</t>
  </si>
  <si>
    <t>祭B</t>
  </si>
  <si>
    <t>祭B開</t>
  </si>
  <si>
    <t>例 罽 憩</t>
  </si>
  <si>
    <t>祭B合</t>
  </si>
  <si>
    <t>衞</t>
  </si>
  <si>
    <t>齊</t>
  </si>
  <si>
    <t>四</t>
  </si>
  <si>
    <t>齊開</t>
  </si>
  <si>
    <t>[-iei]</t>
  </si>
  <si>
    <t>奚 稽 兮 雞 迷 低 臡 禮 啓 米 弟 計 詣 戾</t>
  </si>
  <si>
    <t>齊合</t>
  </si>
  <si>
    <t>[-iwei]</t>
  </si>
  <si>
    <t>攜 圭 桂 惠</t>
  </si>
  <si>
    <t>咍</t>
  </si>
  <si>
    <t>[-ɒi]</t>
  </si>
  <si>
    <t>來 哀 開 哉 才 改 亥 愷 宰 紿 乃 在 蓋 耐 代 漑 槩 愛</t>
  </si>
  <si>
    <t>灰</t>
  </si>
  <si>
    <t>[-uɒi]</t>
  </si>
  <si>
    <t>恢 回 杯 灰 罪 賄 猥 對 昧 佩 内 隊 繢 妹 輩</t>
  </si>
  <si>
    <t>臻</t>
  </si>
  <si>
    <t>眞</t>
  </si>
  <si>
    <t>眞開</t>
  </si>
  <si>
    <t>in</t>
  </si>
  <si>
    <t>鄰 人 眞 珍 忍 軫 引 紖 刃 晉 振 遴</t>
  </si>
  <si>
    <t>眞合</t>
  </si>
  <si>
    <t>贇 敏</t>
  </si>
  <si>
    <t>眞A</t>
  </si>
  <si>
    <t>鄰 人 眞 賓 忍 盡 腎 刃 印</t>
  </si>
  <si>
    <t>眞B</t>
  </si>
  <si>
    <t>眞B開</t>
  </si>
  <si>
    <t>巾 銀 引 殞 刃 覲 遴</t>
  </si>
  <si>
    <t>眞B合</t>
  </si>
  <si>
    <t>筠 倫 殞</t>
  </si>
  <si>
    <t>[-ĭen]</t>
  </si>
  <si>
    <t>詵 臻 謹 覲</t>
  </si>
  <si>
    <t>諄</t>
  </si>
  <si>
    <t>un</t>
  </si>
  <si>
    <t>[-ĭuĕn]</t>
  </si>
  <si>
    <t>倫 勻 迍 綸 脣 旬 遵 尹 準 允 峻 閏 順</t>
  </si>
  <si>
    <t>諄A</t>
  </si>
  <si>
    <t>勻 尹 峻</t>
  </si>
  <si>
    <t>痕</t>
  </si>
  <si>
    <t>un/irn</t>
  </si>
  <si>
    <t>[-ən]</t>
  </si>
  <si>
    <t>恩 痕 根 墾 很 艮 恨</t>
  </si>
  <si>
    <t>魂</t>
  </si>
  <si>
    <t>[-uən]</t>
  </si>
  <si>
    <t>昆 渾 奔 尊 魂 本 忖 損 衮 困 悶 寸</t>
  </si>
  <si>
    <t>欣</t>
  </si>
  <si>
    <t>[-ĭən]</t>
  </si>
  <si>
    <t>斤 欣 謹 隱 靳 焮</t>
  </si>
  <si>
    <t>文</t>
  </si>
  <si>
    <t>[-ĭuən]</t>
  </si>
  <si>
    <t>分 云 文 粉 吻 運 問</t>
  </si>
  <si>
    <t>山</t>
  </si>
  <si>
    <t>寒</t>
  </si>
  <si>
    <t>an</t>
  </si>
  <si>
    <t>[-ɑn]</t>
  </si>
  <si>
    <t>安 寒 干 笴 旱 但 旰 旦 按 案 賛</t>
  </si>
  <si>
    <t>桓</t>
  </si>
  <si>
    <t>uan</t>
  </si>
  <si>
    <t>[-uɑn]</t>
  </si>
  <si>
    <t>官 丸 端 潘 旱 管 緩 滿 纂 伴 玩 筭 貫 亂 換 段 半 慢 喚</t>
  </si>
  <si>
    <t>元</t>
  </si>
  <si>
    <t>元開</t>
  </si>
  <si>
    <t>ian</t>
  </si>
  <si>
    <t>[-ĭɐn]</t>
  </si>
  <si>
    <t>軒 言 幰 偃 万 建 堰</t>
  </si>
  <si>
    <t>元合</t>
  </si>
  <si>
    <t>[-ĭwɐn]</t>
  </si>
  <si>
    <t>袁 元 煩 遠 阮 晚 怨 願 販 万</t>
  </si>
  <si>
    <t>刪</t>
  </si>
  <si>
    <t>刪開</t>
  </si>
  <si>
    <t>[-an]</t>
  </si>
  <si>
    <t>姦 還 顔 班 板 綰 赧 晏 澗 患 諫 鴈</t>
  </si>
  <si>
    <t>刪合</t>
  </si>
  <si>
    <t>[-wan]</t>
  </si>
  <si>
    <t>還 關 頑 板 鯇 患 慣</t>
  </si>
  <si>
    <t>山開</t>
  </si>
  <si>
    <t>[-æn]</t>
  </si>
  <si>
    <t>閒 閑 山 簡 限 莧 襇 幻</t>
  </si>
  <si>
    <t>山合</t>
  </si>
  <si>
    <t>[-wæn]</t>
  </si>
  <si>
    <t>頑 鰥 綰 辨 幻</t>
  </si>
  <si>
    <t>仙</t>
  </si>
  <si>
    <t>仙開</t>
  </si>
  <si>
    <t>[-ĭɛn]</t>
  </si>
  <si>
    <t>然 仙 延 連 乾 淺 演 善 展 翦 免 箭 膳 戰 扇 賤 線 面 碾 彦</t>
  </si>
  <si>
    <t>仙合</t>
  </si>
  <si>
    <t>[-ĭwɛn]</t>
  </si>
  <si>
    <t>緣 泉 專 宣 川 權 貟 攣 全 兖 免 轉 眷 絹 卷 戀 釧 囀</t>
  </si>
  <si>
    <t>仙A</t>
  </si>
  <si>
    <t>仙A開</t>
  </si>
  <si>
    <t>延 連 演 善 兖 緬 箭 戰 扇 面</t>
  </si>
  <si>
    <t>仙A合</t>
  </si>
  <si>
    <t>緣 兖 掾</t>
  </si>
  <si>
    <t>仙B</t>
  </si>
  <si>
    <t>仙B開</t>
  </si>
  <si>
    <t>焉 乾 輦 蹇 免 辨 變 眷</t>
  </si>
  <si>
    <t>仙B合</t>
  </si>
  <si>
    <t>權 貟 圓 轉 篆 倦 卷</t>
  </si>
  <si>
    <t>先</t>
  </si>
  <si>
    <t>先開</t>
  </si>
  <si>
    <t>[-ien]</t>
  </si>
  <si>
    <t>前 先 賢 田 年 顚 堅 玄 煙 典 殄 泫 繭 峴 佃 甸 練 電 麵 見</t>
  </si>
  <si>
    <t>先合</t>
  </si>
  <si>
    <t>[-iwen]</t>
  </si>
  <si>
    <t>玄 涓 畎 泫 縣 練</t>
  </si>
  <si>
    <t>質開</t>
  </si>
  <si>
    <t>it</t>
  </si>
  <si>
    <t>日 質 一 七 悉 吉 栗</t>
  </si>
  <si>
    <t>質合</t>
  </si>
  <si>
    <t>筆</t>
  </si>
  <si>
    <t>質A</t>
  </si>
  <si>
    <t>質 悉 吉 畢 必</t>
  </si>
  <si>
    <t>質B開</t>
  </si>
  <si>
    <t>畢 乙 筆 密</t>
  </si>
  <si>
    <t>質B合</t>
  </si>
  <si>
    <t>聿</t>
  </si>
  <si>
    <t>櫛</t>
  </si>
  <si>
    <t>[-ĭet]</t>
  </si>
  <si>
    <t>栗 叱 瑟 櫛</t>
  </si>
  <si>
    <t>術</t>
  </si>
  <si>
    <t>ut</t>
  </si>
  <si>
    <t>[-ĭuĕt]</t>
  </si>
  <si>
    <t>筆 律 聿 䘏</t>
  </si>
  <si>
    <t>術A</t>
  </si>
  <si>
    <t>必 聿</t>
  </si>
  <si>
    <t>麧</t>
  </si>
  <si>
    <t>[-ət]</t>
  </si>
  <si>
    <t>没</t>
  </si>
  <si>
    <t>沒</t>
  </si>
  <si>
    <t>[-uət]</t>
  </si>
  <si>
    <t>勃 骨 忽 没</t>
  </si>
  <si>
    <t>迄</t>
  </si>
  <si>
    <t>[-ĭət]</t>
  </si>
  <si>
    <t>乙 訖 迄</t>
  </si>
  <si>
    <t>物</t>
  </si>
  <si>
    <t>[-ĭuət]</t>
  </si>
  <si>
    <t>弗 勿 物</t>
  </si>
  <si>
    <t>曷</t>
  </si>
  <si>
    <t>at</t>
  </si>
  <si>
    <t>[-ɑt]</t>
  </si>
  <si>
    <t>葛 割 達 曷 末</t>
  </si>
  <si>
    <t>末</t>
  </si>
  <si>
    <t>uat</t>
  </si>
  <si>
    <t>[-uɑt]</t>
  </si>
  <si>
    <t>撥 活 末 栝 括</t>
  </si>
  <si>
    <t>月開</t>
  </si>
  <si>
    <t>iat</t>
  </si>
  <si>
    <t>[-ĭɐt]</t>
  </si>
  <si>
    <t>歇 竭 謁 訐</t>
  </si>
  <si>
    <t>月合</t>
  </si>
  <si>
    <t>[-ĭwɐt]</t>
  </si>
  <si>
    <t>厥 越 伐 月 發</t>
  </si>
  <si>
    <t>黠開</t>
  </si>
  <si>
    <t>[-at]</t>
  </si>
  <si>
    <t>瞎 鎋 轄</t>
  </si>
  <si>
    <t>黠合</t>
  </si>
  <si>
    <t>[-wat]</t>
  </si>
  <si>
    <t>䫄 刮</t>
  </si>
  <si>
    <t>鎋開</t>
  </si>
  <si>
    <t>[-æt]</t>
  </si>
  <si>
    <t>八 拔 黠</t>
  </si>
  <si>
    <t>鎋合</t>
  </si>
  <si>
    <t>[-wæt]</t>
  </si>
  <si>
    <t>八 滑</t>
  </si>
  <si>
    <t>薛開</t>
  </si>
  <si>
    <t>[-ĭɛt]</t>
  </si>
  <si>
    <t>列 辥 熱</t>
  </si>
  <si>
    <t>薛合</t>
  </si>
  <si>
    <t>[-ĭwɛt]</t>
  </si>
  <si>
    <t>雪 悅 絕 劣 爇 輟</t>
  </si>
  <si>
    <t>薛A開</t>
  </si>
  <si>
    <t>列 滅</t>
  </si>
  <si>
    <t>薛A合</t>
  </si>
  <si>
    <t>雪 悅</t>
  </si>
  <si>
    <t>薛B開</t>
  </si>
  <si>
    <t>竭 列 别</t>
  </si>
  <si>
    <t>薛B合</t>
  </si>
  <si>
    <t>劣</t>
  </si>
  <si>
    <t>屑開</t>
  </si>
  <si>
    <t>[-iet]</t>
  </si>
  <si>
    <t>結 屑 蔑</t>
  </si>
  <si>
    <t>屑合</t>
  </si>
  <si>
    <t>[-iwet]</t>
  </si>
  <si>
    <t>決 穴</t>
  </si>
  <si>
    <t>效</t>
  </si>
  <si>
    <t>豪</t>
  </si>
  <si>
    <t>o/au</t>
  </si>
  <si>
    <t>[-ɑu]</t>
  </si>
  <si>
    <t>刀 勞 毛 袍 牢 遭 襃 曹 老 浩 晧 早 道 抱 到 導 報 耗</t>
  </si>
  <si>
    <t>肴</t>
  </si>
  <si>
    <t>au</t>
  </si>
  <si>
    <t>[-au]</t>
  </si>
  <si>
    <t>茅 肴 交 嘲 絞 巧 飽 爪 敎 孝 皃 稍</t>
  </si>
  <si>
    <t>宵</t>
  </si>
  <si>
    <t>iau</t>
  </si>
  <si>
    <t>[-ĭɛu]</t>
  </si>
  <si>
    <t>邀 宵 遙 嬌 焦 消 招 昭 兆 小 少 沼 妙 照 𥬇 肖 召 要</t>
  </si>
  <si>
    <t>宵A</t>
  </si>
  <si>
    <t>遙 招 霄 小 少 沼 妙 𥬇 召 要</t>
  </si>
  <si>
    <t>宵B</t>
  </si>
  <si>
    <t>嬌 喬 瀌 嚻 兆 夭 表 廟 召</t>
  </si>
  <si>
    <t>蕭</t>
  </si>
  <si>
    <t>彫 聊 堯 蕭 幺 鳥 了 皛 皎 弔 嘯 叫</t>
  </si>
  <si>
    <t>果</t>
  </si>
  <si>
    <t>歌</t>
  </si>
  <si>
    <t>o</t>
  </si>
  <si>
    <t>[-ɑ]</t>
  </si>
  <si>
    <t>俄 何 河 歌 我 可 賀 箇 佐 个 邏</t>
  </si>
  <si>
    <t>戈</t>
  </si>
  <si>
    <t>戈一合</t>
  </si>
  <si>
    <t>[-uɑ]</t>
  </si>
  <si>
    <t>禾 戈 波 和 婆 可 火 果 卧 過 貨 臥 唾</t>
  </si>
  <si>
    <t>戈三開</t>
  </si>
  <si>
    <t>[-ĭɑ]</t>
  </si>
  <si>
    <t>迦 伽</t>
  </si>
  <si>
    <t>戈三合</t>
  </si>
  <si>
    <t>[-ĭuɑ]</t>
  </si>
  <si>
    <t>𦚢 靴 伽 𩨷 瓦</t>
  </si>
  <si>
    <t>假</t>
  </si>
  <si>
    <t>麻</t>
  </si>
  <si>
    <t>麻二開</t>
  </si>
  <si>
    <t>a</t>
  </si>
  <si>
    <t>[-a]</t>
  </si>
  <si>
    <t>霞 加 牙 巴 下 疋 雅 賈 駕 訝 嫁 亞</t>
  </si>
  <si>
    <t>麻二合</t>
  </si>
  <si>
    <t>[-wa]</t>
  </si>
  <si>
    <t>花 華 瓜 瓦 寡 化 霸 罵 㕦</t>
  </si>
  <si>
    <t>麻三開</t>
  </si>
  <si>
    <t>ia</t>
  </si>
  <si>
    <t>[-ĭa]</t>
  </si>
  <si>
    <t>遮 車 奢 邪 嗟 賒 也 者 野 姐 冶 夜 謝</t>
  </si>
  <si>
    <t>宕</t>
  </si>
  <si>
    <t>唐</t>
  </si>
  <si>
    <t>唐開</t>
  </si>
  <si>
    <t>[-ɑŋ]</t>
  </si>
  <si>
    <t>郎 當 岡 光 剛 旁 朗 黨 浪 宕 曠</t>
  </si>
  <si>
    <t>唐合</t>
  </si>
  <si>
    <t>[-uɑŋ]</t>
  </si>
  <si>
    <t>光 黃 晃 廣 浪 曠 謗</t>
  </si>
  <si>
    <t>陽</t>
  </si>
  <si>
    <t>陽開</t>
  </si>
  <si>
    <t>[-ĭaŋ]</t>
  </si>
  <si>
    <t>章 羊 張 良 陽 莊 兩 㢡 丈 掌 亮 讓 樣 向</t>
  </si>
  <si>
    <t>陽合</t>
  </si>
  <si>
    <t>[-ĭwaŋ]</t>
  </si>
  <si>
    <t>良 方 王 兩 往 网 昉 養 亮 放 訪 況 妄</t>
  </si>
  <si>
    <t>梗</t>
  </si>
  <si>
    <t>庚</t>
  </si>
  <si>
    <t>庚二開</t>
  </si>
  <si>
    <t>ing</t>
  </si>
  <si>
    <t>[-ɐŋ]</t>
  </si>
  <si>
    <t>行 庚 盲 杏 梗 幸 猛 冷 打 敬 孟 更</t>
  </si>
  <si>
    <t>庚二合</t>
  </si>
  <si>
    <t>[-wɐŋ]</t>
  </si>
  <si>
    <t>盲 橫 猛 䁝 礦 孟</t>
  </si>
  <si>
    <t>庚三開</t>
  </si>
  <si>
    <t>[-ĭɐŋ]</t>
  </si>
  <si>
    <t>驚 兵 卿 明 京 永 影 丙 景 敬 慶 病 命</t>
  </si>
  <si>
    <t>庚三合</t>
  </si>
  <si>
    <t>[-ĭwɐŋ]</t>
  </si>
  <si>
    <t>兵 榮 永 憬 命</t>
  </si>
  <si>
    <t>耕</t>
  </si>
  <si>
    <t>耕開</t>
  </si>
  <si>
    <t>[-æŋ]</t>
  </si>
  <si>
    <t>莖 耕 萌 幸 耿 迸 諍 爭</t>
  </si>
  <si>
    <t>耕合</t>
  </si>
  <si>
    <t>[-wæŋ]</t>
  </si>
  <si>
    <t>萌 宏 迸</t>
  </si>
  <si>
    <t>清開</t>
  </si>
  <si>
    <t>[-ĭɛŋ]</t>
  </si>
  <si>
    <t>情 盈 成 貞 征 郢 整 靜 井 正 政 盛 鄭 姓</t>
  </si>
  <si>
    <t>清合</t>
  </si>
  <si>
    <t>[-ĭwɛŋ]</t>
  </si>
  <si>
    <t>傾 營 頃</t>
  </si>
  <si>
    <t>清A</t>
  </si>
  <si>
    <t>清A開</t>
  </si>
  <si>
    <t>盈 成 并 郢 井 正 政 令</t>
  </si>
  <si>
    <t>清A合</t>
  </si>
  <si>
    <t>營 潁 正</t>
  </si>
  <si>
    <t>青</t>
  </si>
  <si>
    <t>青開</t>
  </si>
  <si>
    <t>[-ieŋ]</t>
  </si>
  <si>
    <t>經 靈 丁 刑 頂 迥 挺 鼎 醒 涬 剄 定 佞 徑</t>
  </si>
  <si>
    <t>青合</t>
  </si>
  <si>
    <t>[-iweŋ]</t>
  </si>
  <si>
    <t>扃 螢 頂 迥 定</t>
  </si>
  <si>
    <t>曾</t>
  </si>
  <si>
    <t>登</t>
  </si>
  <si>
    <t>登開</t>
  </si>
  <si>
    <t>[-əŋ]</t>
  </si>
  <si>
    <t>滕 登 增 棱 崩 恒 朋 肯 等 鄧 亘 隥 贈</t>
  </si>
  <si>
    <t>登合</t>
  </si>
  <si>
    <t>[-uəŋ]</t>
  </si>
  <si>
    <t>肱 弘</t>
  </si>
  <si>
    <t>蒸</t>
  </si>
  <si>
    <t>[-ĭəŋ]</t>
  </si>
  <si>
    <t>仍 陵 膺 冰 蒸 乗 矜 兢 升 拯 庱 應 證 孕 甑 𩜁</t>
  </si>
  <si>
    <t>鐸開</t>
  </si>
  <si>
    <t>[-ɑk]</t>
  </si>
  <si>
    <t>落 各</t>
  </si>
  <si>
    <t>鐸合</t>
  </si>
  <si>
    <t>[-uɑk]</t>
  </si>
  <si>
    <t>郭 博 穫</t>
  </si>
  <si>
    <t>藥開</t>
  </si>
  <si>
    <t>[-ĭak]</t>
  </si>
  <si>
    <t>灼 勺 若 藥 約 略 爵 雀 虐</t>
  </si>
  <si>
    <t>藥合</t>
  </si>
  <si>
    <t>[-ĭwak]</t>
  </si>
  <si>
    <t>縛 钁 籰</t>
  </si>
  <si>
    <t>陌二開</t>
  </si>
  <si>
    <t>ik</t>
  </si>
  <si>
    <t>[-ɐk]</t>
  </si>
  <si>
    <t>白 格 陌 伯</t>
  </si>
  <si>
    <t>陌二合</t>
  </si>
  <si>
    <t>[-wɐk]</t>
  </si>
  <si>
    <t>白 伯 擭</t>
  </si>
  <si>
    <t>陌三開</t>
  </si>
  <si>
    <t>[-ĭɐk]</t>
  </si>
  <si>
    <t>逆 劇 戟 郤 役</t>
  </si>
  <si>
    <t>陌三合</t>
  </si>
  <si>
    <t>[-ĭwɐk]</t>
  </si>
  <si>
    <t>虢</t>
  </si>
  <si>
    <t>麥開</t>
  </si>
  <si>
    <t>[-æk]</t>
  </si>
  <si>
    <t>獲 麥 厄 革 核 責 摘 戹</t>
  </si>
  <si>
    <t>麥合</t>
  </si>
  <si>
    <t>[-wæk]</t>
  </si>
  <si>
    <t>獲 麥 摑</t>
  </si>
  <si>
    <t>昔開</t>
  </si>
  <si>
    <t>[-ĭɛk]</t>
  </si>
  <si>
    <t>積 昔 益 隻 石 炙 迹 易 亦</t>
  </si>
  <si>
    <t>昔合</t>
  </si>
  <si>
    <t>[-ĭwɛk]</t>
  </si>
  <si>
    <t>隻 役</t>
  </si>
  <si>
    <t>昔A開</t>
  </si>
  <si>
    <t>昔 益 辟</t>
  </si>
  <si>
    <t>昔A合</t>
  </si>
  <si>
    <t>役</t>
  </si>
  <si>
    <t>錫開</t>
  </si>
  <si>
    <t>[-iek]</t>
  </si>
  <si>
    <t>擊 歷 狄 激</t>
  </si>
  <si>
    <t>錫合</t>
  </si>
  <si>
    <t>[-iwek]</t>
  </si>
  <si>
    <t>鶪 闃 狊</t>
  </si>
  <si>
    <t>德開</t>
  </si>
  <si>
    <t>[-ək]</t>
  </si>
  <si>
    <t>則 德 得 北 墨 黑 勒</t>
  </si>
  <si>
    <t>德合</t>
  </si>
  <si>
    <t>[-uək]</t>
  </si>
  <si>
    <t>國 或</t>
  </si>
  <si>
    <t>職開</t>
  </si>
  <si>
    <t>翼 力 直 即 職 極 側 逼</t>
  </si>
  <si>
    <t>職合</t>
  </si>
  <si>
    <t>[-ĭwək]</t>
  </si>
  <si>
    <t>逼</t>
  </si>
  <si>
    <t>流</t>
  </si>
  <si>
    <t>尤</t>
  </si>
  <si>
    <t>iu</t>
  </si>
  <si>
    <t>[-ĭəu]</t>
  </si>
  <si>
    <t>求 由 周 秋 流 鳩 州 尤 謀 浮 久 柳 有 九 酉 否 婦 救 祐 副 就 僦 富 呪 又 溜</t>
  </si>
  <si>
    <t>侯</t>
  </si>
  <si>
    <t>oo/io</t>
  </si>
  <si>
    <t>[-əu]</t>
  </si>
  <si>
    <t>鉤 侯 婁 口 厚 垢 后 斗 苟 遘 候 豆 奏 漏</t>
  </si>
  <si>
    <t>幽</t>
  </si>
  <si>
    <t>[-iəu]</t>
  </si>
  <si>
    <t>虯 幽 烋 彪 糾 黝 謬 幼</t>
  </si>
  <si>
    <t>深</t>
  </si>
  <si>
    <t>侵</t>
  </si>
  <si>
    <t>im</t>
  </si>
  <si>
    <t>[-ĭĕm]</t>
  </si>
  <si>
    <t>林 尋 深 任 針 淫 心 吟 今 簪 稔 甚 朕 荏 枕 凜 錦 㾕 鴆 禁 蔭 譖</t>
  </si>
  <si>
    <t>侵A</t>
  </si>
  <si>
    <t>淫 甚</t>
  </si>
  <si>
    <t>侵B</t>
  </si>
  <si>
    <t>金 吟 飲 錦 禁 蔭</t>
  </si>
  <si>
    <t>咸</t>
  </si>
  <si>
    <t>談</t>
  </si>
  <si>
    <t>am</t>
  </si>
  <si>
    <t>[-ɑm]</t>
  </si>
  <si>
    <t>甘 三 酣 談 覽 敢 濫 𣊟 蹔 瞰 暫</t>
  </si>
  <si>
    <t>嚴</t>
  </si>
  <si>
    <t>iam</t>
  </si>
  <si>
    <t>[-ĭɐm]</t>
  </si>
  <si>
    <t>𩏩 嚴 掩 广 欠 釅 劒</t>
  </si>
  <si>
    <t>凡</t>
  </si>
  <si>
    <t>uan/uam</t>
  </si>
  <si>
    <t>[-ĭwɐm]</t>
  </si>
  <si>
    <t>咸 凡 錽 范 犯 劒 泛 梵</t>
  </si>
  <si>
    <t>銜</t>
  </si>
  <si>
    <t>[-am]</t>
  </si>
  <si>
    <t>監 銜 黤 檻 懺 鑒 鑑</t>
  </si>
  <si>
    <t>讒 咸 斬 減 豏 韽 陷 賺</t>
  </si>
  <si>
    <t>鹽</t>
  </si>
  <si>
    <t>[-ĭɛm]</t>
  </si>
  <si>
    <t>廉 鹽 占 炎 冉 琰 染 漸 贍 豔 驗</t>
  </si>
  <si>
    <t>鹽A</t>
  </si>
  <si>
    <t>鹽 琰 豔</t>
  </si>
  <si>
    <t>鹽B</t>
  </si>
  <si>
    <t>廉 炎 淹 檢 斂 險 奄 儉 驗 窆</t>
  </si>
  <si>
    <t>添</t>
  </si>
  <si>
    <t>[-iem]</t>
  </si>
  <si>
    <t>兼 甜 玷 忝 簟 念 店</t>
  </si>
  <si>
    <t>覃</t>
  </si>
  <si>
    <t>[-ɒm]</t>
  </si>
  <si>
    <t>含 男 南 禫 感 唵 紺 暗</t>
  </si>
  <si>
    <t>緝</t>
  </si>
  <si>
    <t>ip</t>
  </si>
  <si>
    <t>[-ĭĕp]</t>
  </si>
  <si>
    <t>入 執 立 戢 汁</t>
  </si>
  <si>
    <t>緝A</t>
  </si>
  <si>
    <t>入</t>
  </si>
  <si>
    <t>緝B</t>
  </si>
  <si>
    <t>立 及 急 汲</t>
  </si>
  <si>
    <t>盍</t>
  </si>
  <si>
    <t>ap</t>
  </si>
  <si>
    <t>[-ɑp]</t>
  </si>
  <si>
    <t>臘 盍 榼 雜</t>
  </si>
  <si>
    <t>業</t>
  </si>
  <si>
    <t>iap</t>
  </si>
  <si>
    <t>[-ĭɐp]</t>
  </si>
  <si>
    <t>怯 業 劫</t>
  </si>
  <si>
    <t>乏</t>
  </si>
  <si>
    <t>uat/uap</t>
  </si>
  <si>
    <t>[-ĭwɐp]</t>
  </si>
  <si>
    <t>法 乏</t>
  </si>
  <si>
    <t>狎</t>
  </si>
  <si>
    <t>[-ap]</t>
  </si>
  <si>
    <t>甲 狎</t>
  </si>
  <si>
    <t>洽</t>
  </si>
  <si>
    <t>夾 洽 㘝</t>
  </si>
  <si>
    <t>葉</t>
  </si>
  <si>
    <t>涉 葉 攝 輒 接</t>
  </si>
  <si>
    <t>葉A</t>
  </si>
  <si>
    <t>涉 葉</t>
  </si>
  <si>
    <t>葉B</t>
  </si>
  <si>
    <t>輒</t>
  </si>
  <si>
    <t>怗</t>
  </si>
  <si>
    <t>[-iep]</t>
  </si>
  <si>
    <t>協 頰 愜 牒</t>
  </si>
  <si>
    <t>[-ɒp]</t>
  </si>
  <si>
    <t>閤 沓 合 荅</t>
  </si>
  <si>
    <t>韻母</t>
    <phoneticPr fontId="10" type="noConversion"/>
  </si>
  <si>
    <t>側呂</t>
    <phoneticPr fontId="10" type="noConversion"/>
  </si>
  <si>
    <r>
      <t xml:space="preserve">居 魚 諸 余 葅 巨 舉 </t>
    </r>
    <r>
      <rPr>
        <sz val="16"/>
        <color theme="1"/>
        <rFont val="SimSun"/>
        <charset val="134"/>
      </rPr>
      <t>吕</t>
    </r>
    <r>
      <rPr>
        <sz val="16"/>
        <color theme="1"/>
        <rFont val="Noto Serif TC"/>
        <family val="1"/>
        <charset val="136"/>
      </rPr>
      <t xml:space="preserve"> 呂 与 渚 與 許 倨 御 慮 恕 署 去 據 預 助 洳</t>
    </r>
    <phoneticPr fontId="10" type="noConversion"/>
  </si>
  <si>
    <t>平</t>
  </si>
  <si>
    <t>平</t>
    <phoneticPr fontId="10" type="noConversion"/>
  </si>
  <si>
    <t>上</t>
  </si>
  <si>
    <t>上</t>
    <phoneticPr fontId="10" type="noConversion"/>
  </si>
  <si>
    <t>去</t>
  </si>
  <si>
    <t>去</t>
    <phoneticPr fontId="10" type="noConversion"/>
  </si>
  <si>
    <t>入</t>
    <phoneticPr fontId="10" type="noConversion"/>
  </si>
  <si>
    <t>陽</t>
    <phoneticPr fontId="10" type="noConversion"/>
  </si>
  <si>
    <t>陰</t>
    <phoneticPr fontId="10" type="noConversion"/>
  </si>
  <si>
    <t>韻目列號</t>
    <phoneticPr fontId="51" type="noConversion"/>
  </si>
  <si>
    <t>攝</t>
    <phoneticPr fontId="10" type="noConversion"/>
  </si>
  <si>
    <t>四聲韻目</t>
    <phoneticPr fontId="10" type="noConversion"/>
  </si>
  <si>
    <t>識別號</t>
    <phoneticPr fontId="59" type="noConversion"/>
  </si>
  <si>
    <t>韻系標音表之識別號</t>
    <phoneticPr fontId="59" type="noConversion"/>
  </si>
  <si>
    <t>韻目表之識別號</t>
    <phoneticPr fontId="59" type="noConversion"/>
  </si>
  <si>
    <t>韻系列號</t>
    <phoneticPr fontId="10" type="noConversion"/>
  </si>
  <si>
    <t>韻系</t>
    <phoneticPr fontId="10" type="noConversion"/>
  </si>
  <si>
    <t>韻目</t>
    <phoneticPr fontId="10" type="noConversion"/>
  </si>
  <si>
    <t>四聲調號</t>
    <phoneticPr fontId="59" type="noConversion"/>
  </si>
  <si>
    <t>韻目索引</t>
    <phoneticPr fontId="10" type="noConversion"/>
  </si>
  <si>
    <t>舒促聲</t>
    <phoneticPr fontId="10" type="noConversion"/>
  </si>
  <si>
    <t>等呼</t>
    <phoneticPr fontId="10" type="noConversion"/>
  </si>
  <si>
    <t>韻母標音</t>
    <phoneticPr fontId="59" type="noConversion"/>
  </si>
  <si>
    <t>切語下字集</t>
    <phoneticPr fontId="10" type="noConversion"/>
  </si>
  <si>
    <t>備註</t>
    <phoneticPr fontId="59" type="noConversion"/>
  </si>
  <si>
    <t>東一</t>
    <phoneticPr fontId="10" type="noConversion"/>
  </si>
  <si>
    <t>獨洪</t>
    <phoneticPr fontId="10" type="noConversion"/>
  </si>
  <si>
    <r>
      <t>工公紅東洪</t>
    </r>
    <r>
      <rPr>
        <sz val="20"/>
        <color rgb="FFFF0000"/>
        <rFont val="新細明體"/>
        <family val="1"/>
        <scheme val="minor"/>
      </rPr>
      <t>空</t>
    </r>
    <phoneticPr fontId="59" type="noConversion"/>
  </si>
  <si>
    <t>董一</t>
    <phoneticPr fontId="10" type="noConversion"/>
  </si>
  <si>
    <r>
      <t>動乙摠董蠓</t>
    </r>
    <r>
      <rPr>
        <sz val="20"/>
        <color rgb="FFFF0000"/>
        <rFont val="新細明體"/>
        <family val="1"/>
        <scheme val="minor"/>
      </rPr>
      <t>孔</t>
    </r>
    <r>
      <rPr>
        <sz val="20"/>
        <color theme="1"/>
        <rFont val="新細明體"/>
        <family val="1"/>
        <scheme val="minor"/>
      </rPr>
      <t>揔</t>
    </r>
    <phoneticPr fontId="59" type="noConversion"/>
  </si>
  <si>
    <t>送一</t>
    <phoneticPr fontId="10" type="noConversion"/>
  </si>
  <si>
    <r>
      <t>貢弄送凍</t>
    </r>
    <r>
      <rPr>
        <sz val="20"/>
        <color rgb="FFFF0000"/>
        <rFont val="新細明體"/>
        <family val="1"/>
        <scheme val="minor"/>
      </rPr>
      <t>鳳</t>
    </r>
    <phoneticPr fontId="59" type="noConversion"/>
  </si>
  <si>
    <t>屋一</t>
    <phoneticPr fontId="10" type="noConversion"/>
  </si>
  <si>
    <r>
      <t>谷祿</t>
    </r>
    <r>
      <rPr>
        <sz val="20"/>
        <color rgb="FFFF0000"/>
        <rFont val="新細明體"/>
        <family val="1"/>
        <scheme val="minor"/>
      </rPr>
      <t>禄</t>
    </r>
    <r>
      <rPr>
        <sz val="20"/>
        <color theme="1"/>
        <rFont val="新細明體"/>
        <family val="1"/>
        <scheme val="minor"/>
      </rPr>
      <t>木卜</t>
    </r>
    <phoneticPr fontId="59" type="noConversion"/>
  </si>
  <si>
    <t>東二</t>
    <phoneticPr fontId="10" type="noConversion"/>
  </si>
  <si>
    <t>獨細</t>
    <phoneticPr fontId="10" type="noConversion"/>
  </si>
  <si>
    <t>弓戎中宮終融隆</t>
    <phoneticPr fontId="59" type="noConversion"/>
  </si>
  <si>
    <t>董二</t>
    <phoneticPr fontId="10" type="noConversion"/>
  </si>
  <si>
    <t>董韻無3等字</t>
    <phoneticPr fontId="59" type="noConversion"/>
  </si>
  <si>
    <t>送二</t>
    <phoneticPr fontId="10" type="noConversion"/>
  </si>
  <si>
    <r>
      <t>仲眾</t>
    </r>
    <r>
      <rPr>
        <sz val="20"/>
        <color rgb="FFFF0000"/>
        <rFont val="新細明體"/>
        <family val="1"/>
        <scheme val="minor"/>
      </rPr>
      <t>衆</t>
    </r>
    <phoneticPr fontId="59" type="noConversion"/>
  </si>
  <si>
    <t>屋二</t>
    <phoneticPr fontId="10" type="noConversion"/>
  </si>
  <si>
    <t>六逐匊宿竹菊福</t>
    <phoneticPr fontId="59" type="noConversion"/>
  </si>
  <si>
    <t>冬</t>
    <phoneticPr fontId="10" type="noConversion"/>
  </si>
  <si>
    <t>宗冬</t>
    <phoneticPr fontId="59" type="noConversion"/>
  </si>
  <si>
    <t>宋</t>
    <phoneticPr fontId="10" type="noConversion"/>
  </si>
  <si>
    <t>統宋綜</t>
    <phoneticPr fontId="59" type="noConversion"/>
  </si>
  <si>
    <t>沃</t>
    <phoneticPr fontId="10" type="noConversion"/>
  </si>
  <si>
    <t>毒沃篤酷</t>
    <phoneticPr fontId="59" type="noConversion"/>
  </si>
  <si>
    <t>容凶庸鍾恭封</t>
    <phoneticPr fontId="59" type="noConversion"/>
  </si>
  <si>
    <t>腫</t>
  </si>
  <si>
    <r>
      <t>隴勇拱悚冢冗踵奉</t>
    </r>
    <r>
      <rPr>
        <sz val="20"/>
        <color rgb="FFFF0000"/>
        <rFont val="新細明體"/>
        <family val="1"/>
        <scheme val="minor"/>
      </rPr>
      <t>宂𪁪湩</t>
    </r>
    <phoneticPr fontId="59" type="noConversion"/>
  </si>
  <si>
    <t>用</t>
  </si>
  <si>
    <r>
      <t>用訟</t>
    </r>
    <r>
      <rPr>
        <sz val="20"/>
        <color rgb="FFFF0000"/>
        <rFont val="新細明體"/>
        <family val="1"/>
        <scheme val="minor"/>
      </rPr>
      <t>頌</t>
    </r>
    <phoneticPr fontId="59" type="noConversion"/>
  </si>
  <si>
    <r>
      <t>玉欲曲足蜀祿</t>
    </r>
    <r>
      <rPr>
        <sz val="20"/>
        <color rgb="FFFF0000"/>
        <rFont val="新細明體"/>
        <family val="1"/>
        <scheme val="minor"/>
      </rPr>
      <t>録</t>
    </r>
    <r>
      <rPr>
        <sz val="20"/>
        <color theme="1"/>
        <rFont val="新細明體"/>
        <family val="1"/>
        <scheme val="minor"/>
      </rPr>
      <t>錄</t>
    </r>
    <phoneticPr fontId="59" type="noConversion"/>
  </si>
  <si>
    <t>雙江</t>
    <phoneticPr fontId="59" type="noConversion"/>
  </si>
  <si>
    <t>講</t>
  </si>
  <si>
    <t>項講慃</t>
    <phoneticPr fontId="59" type="noConversion"/>
  </si>
  <si>
    <t>絳</t>
  </si>
  <si>
    <t>巷絳降</t>
    <phoneticPr fontId="59" type="noConversion"/>
  </si>
  <si>
    <t>岳角覺邈</t>
    <phoneticPr fontId="59" type="noConversion"/>
  </si>
  <si>
    <t>支一</t>
  </si>
  <si>
    <t>開細</t>
    <phoneticPr fontId="10" type="noConversion"/>
  </si>
  <si>
    <r>
      <t>移支離知宜羈奇皮</t>
    </r>
    <r>
      <rPr>
        <sz val="20"/>
        <color rgb="FFFF0000"/>
        <rFont val="新細明體"/>
        <family val="1"/>
        <scheme val="minor"/>
      </rPr>
      <t>肌其兹甾</t>
    </r>
    <phoneticPr fontId="59" type="noConversion"/>
  </si>
  <si>
    <t>紙一</t>
  </si>
  <si>
    <r>
      <t>氏紙此是豸侈爾綺倚俾婢弭</t>
    </r>
    <r>
      <rPr>
        <sz val="20"/>
        <color rgb="FFFF0000"/>
        <rFont val="新細明體"/>
        <family val="1"/>
        <scheme val="minor"/>
      </rPr>
      <t>帋</t>
    </r>
    <phoneticPr fontId="59" type="noConversion"/>
  </si>
  <si>
    <t>寘一</t>
  </si>
  <si>
    <t>義賜豉智寄企避靡彼寘</t>
    <phoneticPr fontId="59" type="noConversion"/>
  </si>
  <si>
    <t>支二</t>
  </si>
  <si>
    <t>合細</t>
    <phoneticPr fontId="10" type="noConversion"/>
  </si>
  <si>
    <r>
      <t>為</t>
    </r>
    <r>
      <rPr>
        <sz val="20"/>
        <color rgb="FFFF0000"/>
        <rFont val="新細明體"/>
        <family val="1"/>
        <scheme val="minor"/>
      </rPr>
      <t>爲</t>
    </r>
    <r>
      <rPr>
        <sz val="20"/>
        <color theme="1"/>
        <rFont val="新細明體"/>
        <family val="1"/>
        <scheme val="minor"/>
      </rPr>
      <t>垂危吹隨規隋</t>
    </r>
    <r>
      <rPr>
        <sz val="20"/>
        <color rgb="FFFF0000"/>
        <rFont val="新細明體"/>
        <family val="1"/>
        <scheme val="minor"/>
      </rPr>
      <t>隹</t>
    </r>
    <phoneticPr fontId="59" type="noConversion"/>
  </si>
  <si>
    <t>紙二</t>
  </si>
  <si>
    <r>
      <t>累詭捶髓毀棰</t>
    </r>
    <r>
      <rPr>
        <b/>
        <sz val="20"/>
        <color rgb="FFFF0000"/>
        <rFont val="新細明體"/>
        <family val="1"/>
        <scheme val="minor"/>
      </rPr>
      <t>委</t>
    </r>
    <phoneticPr fontId="59" type="noConversion"/>
  </si>
  <si>
    <t>寘二</t>
  </si>
  <si>
    <t>睡僞恚瑞累偽</t>
    <phoneticPr fontId="59" type="noConversion"/>
  </si>
  <si>
    <t>脂一</t>
  </si>
  <si>
    <t>夷脂飢尼冗資私眉悲</t>
    <phoneticPr fontId="59" type="noConversion"/>
  </si>
  <si>
    <t>旨一</t>
  </si>
  <si>
    <r>
      <t>雉視矢姊屐</t>
    </r>
    <r>
      <rPr>
        <sz val="20"/>
        <color rgb="FFFF0000"/>
        <rFont val="新細明體"/>
        <family val="1"/>
        <scheme val="minor"/>
      </rPr>
      <t>履</t>
    </r>
    <r>
      <rPr>
        <sz val="20"/>
        <color theme="1"/>
        <rFont val="新細明體"/>
        <family val="1"/>
        <scheme val="minor"/>
      </rPr>
      <t>几美鄙</t>
    </r>
    <phoneticPr fontId="59" type="noConversion"/>
  </si>
  <si>
    <t>至一</t>
  </si>
  <si>
    <r>
      <t>利四自冀</t>
    </r>
    <r>
      <rPr>
        <sz val="20"/>
        <color rgb="FFFF0000"/>
        <rFont val="新細明體"/>
        <family val="1"/>
        <scheme val="minor"/>
      </rPr>
      <t>兾</t>
    </r>
    <r>
      <rPr>
        <sz val="20"/>
        <color theme="1"/>
        <rFont val="新細明體"/>
        <family val="1"/>
        <scheme val="minor"/>
      </rPr>
      <t>至器二季悸媚備寐祕</t>
    </r>
    <phoneticPr fontId="59" type="noConversion"/>
  </si>
  <si>
    <t>脂二</t>
  </si>
  <si>
    <t>追綏佳遺維</t>
    <phoneticPr fontId="59" type="noConversion"/>
  </si>
  <si>
    <t>旨二</t>
  </si>
  <si>
    <t>誄洧水軌癸壘</t>
    <phoneticPr fontId="59" type="noConversion"/>
  </si>
  <si>
    <t>至二</t>
  </si>
  <si>
    <t>類遂萃位醉愧</t>
    <phoneticPr fontId="59" type="noConversion"/>
  </si>
  <si>
    <t>而之茲持甚菑</t>
    <phoneticPr fontId="59" type="noConversion"/>
  </si>
  <si>
    <t>己止紀市里史理擬士</t>
    <phoneticPr fontId="59" type="noConversion"/>
  </si>
  <si>
    <t>志</t>
  </si>
  <si>
    <t>吏記志置忌</t>
    <phoneticPr fontId="59" type="noConversion"/>
  </si>
  <si>
    <t>微一</t>
  </si>
  <si>
    <t>希衣依</t>
    <phoneticPr fontId="59" type="noConversion"/>
  </si>
  <si>
    <t>尾一</t>
  </si>
  <si>
    <r>
      <t>豈</t>
    </r>
    <r>
      <rPr>
        <sz val="20"/>
        <color rgb="FFFF0000"/>
        <rFont val="新細明體"/>
        <family val="1"/>
        <scheme val="minor"/>
      </rPr>
      <t>狶</t>
    </r>
    <r>
      <rPr>
        <sz val="20"/>
        <color theme="1"/>
        <rFont val="新細明體"/>
        <family val="1"/>
        <scheme val="minor"/>
      </rPr>
      <t>豨</t>
    </r>
    <phoneticPr fontId="59" type="noConversion"/>
  </si>
  <si>
    <t>未一</t>
  </si>
  <si>
    <r>
      <t>既</t>
    </r>
    <r>
      <rPr>
        <sz val="20"/>
        <color rgb="FFFF0000"/>
        <rFont val="新細明體"/>
        <family val="1"/>
        <scheme val="minor"/>
      </rPr>
      <t>旣</t>
    </r>
    <r>
      <rPr>
        <sz val="20"/>
        <color theme="1"/>
        <rFont val="新細明體"/>
        <family val="1"/>
        <scheme val="minor"/>
      </rPr>
      <t>豙溉</t>
    </r>
    <phoneticPr fontId="59" type="noConversion"/>
  </si>
  <si>
    <t>微二</t>
  </si>
  <si>
    <t>韋歸微非</t>
    <phoneticPr fontId="59" type="noConversion"/>
  </si>
  <si>
    <t>尾二</t>
  </si>
  <si>
    <t>偉鬼匪尾</t>
    <phoneticPr fontId="59" type="noConversion"/>
  </si>
  <si>
    <t>未二</t>
  </si>
  <si>
    <t>貴胃畏沸未味</t>
    <phoneticPr fontId="59" type="noConversion"/>
  </si>
  <si>
    <r>
      <t>居魚諸余葅</t>
    </r>
    <r>
      <rPr>
        <b/>
        <sz val="20"/>
        <color rgb="FFFF0000"/>
        <rFont val="新細明體"/>
        <family val="1"/>
        <scheme val="minor"/>
      </rPr>
      <t>𦵔</t>
    </r>
    <phoneticPr fontId="59" type="noConversion"/>
  </si>
  <si>
    <t>語</t>
  </si>
  <si>
    <r>
      <t>巨舉呂</t>
    </r>
    <r>
      <rPr>
        <sz val="20"/>
        <color rgb="FFFF0000"/>
        <rFont val="新細明體"/>
        <family val="1"/>
        <scheme val="minor"/>
      </rPr>
      <t>吕</t>
    </r>
    <r>
      <rPr>
        <sz val="20"/>
        <color theme="1"/>
        <rFont val="新細明體"/>
        <family val="1"/>
        <scheme val="minor"/>
      </rPr>
      <t>渚與許與与</t>
    </r>
    <phoneticPr fontId="59" type="noConversion"/>
  </si>
  <si>
    <t>御</t>
  </si>
  <si>
    <t>倨去據洳預恕署助慮御</t>
    <phoneticPr fontId="59" type="noConversion"/>
  </si>
  <si>
    <t>俱朱誅隅俞輸逾芻于無夫</t>
    <phoneticPr fontId="59" type="noConversion"/>
  </si>
  <si>
    <t>麌</t>
  </si>
  <si>
    <t>矩主庾雨禹羽武甫</t>
    <phoneticPr fontId="59" type="noConversion"/>
  </si>
  <si>
    <r>
      <t>具遇句戌</t>
    </r>
    <r>
      <rPr>
        <sz val="20"/>
        <color rgb="FFFF0000"/>
        <rFont val="新細明體"/>
        <family val="1"/>
        <scheme val="minor"/>
      </rPr>
      <t>戍</t>
    </r>
    <r>
      <rPr>
        <sz val="20"/>
        <color theme="1"/>
        <rFont val="新細明體"/>
        <family val="1"/>
        <scheme val="minor"/>
      </rPr>
      <t>注</t>
    </r>
    <phoneticPr fontId="59" type="noConversion"/>
  </si>
  <si>
    <t>胡都吳乎姑烏吾孤</t>
    <phoneticPr fontId="59" type="noConversion"/>
  </si>
  <si>
    <t>姥</t>
  </si>
  <si>
    <r>
      <t>古戶</t>
    </r>
    <r>
      <rPr>
        <b/>
        <sz val="20"/>
        <color rgb="FFFF0000"/>
        <rFont val="新細明體"/>
        <family val="1"/>
        <scheme val="minor"/>
      </rPr>
      <t>戸</t>
    </r>
    <r>
      <rPr>
        <sz val="20"/>
        <color theme="1"/>
        <rFont val="新細明體"/>
        <family val="1"/>
        <scheme val="minor"/>
      </rPr>
      <t>杜魯補</t>
    </r>
    <r>
      <rPr>
        <b/>
        <sz val="20"/>
        <color rgb="FFFF0000"/>
        <rFont val="新細明體"/>
        <family val="1"/>
        <scheme val="minor"/>
      </rPr>
      <t>五</t>
    </r>
    <phoneticPr fontId="59" type="noConversion"/>
  </si>
  <si>
    <t>暮</t>
  </si>
  <si>
    <t>故誤暮祚路</t>
    <phoneticPr fontId="59" type="noConversion"/>
  </si>
  <si>
    <t>齊一</t>
  </si>
  <si>
    <t>奚雞稽低兮臡迷</t>
    <phoneticPr fontId="59" type="noConversion"/>
  </si>
  <si>
    <t>薺一</t>
  </si>
  <si>
    <r>
      <t>禮啟</t>
    </r>
    <r>
      <rPr>
        <sz val="20"/>
        <color rgb="FFFF0000"/>
        <rFont val="新細明體"/>
        <family val="1"/>
        <scheme val="minor"/>
      </rPr>
      <t>啓</t>
    </r>
    <r>
      <rPr>
        <sz val="20"/>
        <color theme="1"/>
        <rFont val="新細明體"/>
        <family val="1"/>
        <scheme val="minor"/>
      </rPr>
      <t>弟米</t>
    </r>
    <phoneticPr fontId="59" type="noConversion"/>
  </si>
  <si>
    <t>霽一</t>
  </si>
  <si>
    <t>詣計戾隸</t>
    <phoneticPr fontId="59" type="noConversion"/>
  </si>
  <si>
    <t>齊二</t>
  </si>
  <si>
    <t>圭攜</t>
    <phoneticPr fontId="59" type="noConversion"/>
  </si>
  <si>
    <t>攜：戶圭切</t>
    <phoneticPr fontId="59" type="noConversion"/>
  </si>
  <si>
    <t>薺二</t>
  </si>
  <si>
    <t>薺合4無字</t>
    <phoneticPr fontId="59" type="noConversion"/>
  </si>
  <si>
    <t>霽二</t>
  </si>
  <si>
    <t>桂惠</t>
    <phoneticPr fontId="59" type="noConversion"/>
  </si>
  <si>
    <t>祭一</t>
  </si>
  <si>
    <r>
      <t>例制罽祭憩袂蔽弊</t>
    </r>
    <r>
      <rPr>
        <sz val="20"/>
        <color rgb="FFFF0000"/>
        <rFont val="SimSun-ExtB"/>
        <family val="3"/>
        <charset val="134"/>
      </rPr>
      <t>𡚁</t>
    </r>
    <r>
      <rPr>
        <sz val="20"/>
        <color theme="1"/>
        <rFont val="新細明體"/>
        <family val="1"/>
        <scheme val="minor"/>
      </rPr>
      <t>世</t>
    </r>
    <phoneticPr fontId="59" type="noConversion"/>
  </si>
  <si>
    <t>祭二</t>
  </si>
  <si>
    <t>芮銳衛稅劌歲</t>
    <phoneticPr fontId="59" type="noConversion"/>
  </si>
  <si>
    <t>泰一</t>
  </si>
  <si>
    <t>開洪</t>
    <phoneticPr fontId="10" type="noConversion"/>
  </si>
  <si>
    <t>蓋太艾大帶</t>
    <phoneticPr fontId="59" type="noConversion"/>
  </si>
  <si>
    <t>泰二</t>
  </si>
  <si>
    <t>合洪</t>
    <phoneticPr fontId="10" type="noConversion"/>
  </si>
  <si>
    <t>外會最貝</t>
    <phoneticPr fontId="59" type="noConversion"/>
  </si>
  <si>
    <t>佳一</t>
  </si>
  <si>
    <t>佳膎</t>
    <phoneticPr fontId="59" type="noConversion"/>
  </si>
  <si>
    <t>蟹一</t>
  </si>
  <si>
    <r>
      <t>蟹買</t>
    </r>
    <r>
      <rPr>
        <sz val="20"/>
        <color theme="1"/>
        <rFont val="SimSun-ExtB"/>
        <family val="1"/>
        <charset val="134"/>
      </rPr>
      <t>𦫳</t>
    </r>
    <phoneticPr fontId="59" type="noConversion"/>
  </si>
  <si>
    <t>卦一</t>
  </si>
  <si>
    <r>
      <t>隘懈賣</t>
    </r>
    <r>
      <rPr>
        <sz val="20"/>
        <color rgb="FFFF0000"/>
        <rFont val="新細明體"/>
        <family val="1"/>
        <scheme val="minor"/>
      </rPr>
      <t>卦</t>
    </r>
    <phoneticPr fontId="59" type="noConversion"/>
  </si>
  <si>
    <t>佳二</t>
  </si>
  <si>
    <t>蛙媧緺</t>
    <phoneticPr fontId="59" type="noConversion"/>
  </si>
  <si>
    <t>蟹二</t>
  </si>
  <si>
    <t>夥𠁥</t>
    <phoneticPr fontId="59" type="noConversion"/>
  </si>
  <si>
    <t>卦二</t>
  </si>
  <si>
    <t>皆一</t>
  </si>
  <si>
    <t>諧皆</t>
    <phoneticPr fontId="59" type="noConversion"/>
  </si>
  <si>
    <t>駭一</t>
  </si>
  <si>
    <t>駭楷</t>
    <phoneticPr fontId="59" type="noConversion"/>
  </si>
  <si>
    <t>怪一</t>
  </si>
  <si>
    <t>戒介界拜殺</t>
    <phoneticPr fontId="59" type="noConversion"/>
  </si>
  <si>
    <t>皆二</t>
  </si>
  <si>
    <t>乖懷淮</t>
    <phoneticPr fontId="59" type="noConversion"/>
  </si>
  <si>
    <t>駭二</t>
  </si>
  <si>
    <t>怪二</t>
  </si>
  <si>
    <t>怪壞</t>
    <phoneticPr fontId="59" type="noConversion"/>
  </si>
  <si>
    <t>夬一</t>
  </si>
  <si>
    <r>
      <t>介</t>
    </r>
    <r>
      <rPr>
        <sz val="20"/>
        <color rgb="FFFF0000"/>
        <rFont val="新細明體"/>
        <family val="1"/>
        <scheme val="minor"/>
      </rPr>
      <t>喝犗</t>
    </r>
    <phoneticPr fontId="59" type="noConversion"/>
  </si>
  <si>
    <t>夬二</t>
  </si>
  <si>
    <t>夬快話邁</t>
    <phoneticPr fontId="59" type="noConversion"/>
  </si>
  <si>
    <r>
      <rPr>
        <sz val="20"/>
        <color rgb="FFFF0000"/>
        <rFont val="新細明體"/>
        <family val="1"/>
        <scheme val="minor"/>
      </rPr>
      <t>灰</t>
    </r>
    <r>
      <rPr>
        <sz val="20"/>
        <color theme="1"/>
        <rFont val="新細明體"/>
        <family val="1"/>
        <scheme val="minor"/>
      </rPr>
      <t>恢回杯</t>
    </r>
    <phoneticPr fontId="59" type="noConversion"/>
  </si>
  <si>
    <t>賄</t>
  </si>
  <si>
    <t>罪猥賄</t>
    <phoneticPr fontId="59" type="noConversion"/>
  </si>
  <si>
    <t>隊</t>
  </si>
  <si>
    <r>
      <rPr>
        <sz val="20"/>
        <color rgb="FFFF0000"/>
        <rFont val="新細明體"/>
        <family val="1"/>
        <scheme val="minor"/>
      </rPr>
      <t>隊</t>
    </r>
    <r>
      <rPr>
        <sz val="20"/>
        <color theme="1"/>
        <rFont val="新細明體"/>
        <family val="1"/>
        <scheme val="minor"/>
      </rPr>
      <t>內</t>
    </r>
    <r>
      <rPr>
        <sz val="20"/>
        <color rgb="FFFF0000"/>
        <rFont val="新細明體"/>
        <family val="1"/>
        <scheme val="minor"/>
      </rPr>
      <t>内</t>
    </r>
    <r>
      <rPr>
        <sz val="20"/>
        <color theme="1"/>
        <rFont val="新細明體"/>
        <family val="1"/>
        <scheme val="minor"/>
      </rPr>
      <t>對繢妹佩昧</t>
    </r>
    <r>
      <rPr>
        <sz val="20"/>
        <color rgb="FFFF0000"/>
        <rFont val="新細明體"/>
        <family val="1"/>
        <scheme val="minor"/>
      </rPr>
      <t>輩</t>
    </r>
    <phoneticPr fontId="59" type="noConversion"/>
  </si>
  <si>
    <t>來開哀才哉</t>
    <phoneticPr fontId="59" type="noConversion"/>
  </si>
  <si>
    <t>海</t>
  </si>
  <si>
    <t>改亥愷宰紿乃在</t>
    <phoneticPr fontId="59" type="noConversion"/>
  </si>
  <si>
    <t>代</t>
  </si>
  <si>
    <r>
      <rPr>
        <sz val="20"/>
        <color rgb="FFFF0000"/>
        <rFont val="新細明體"/>
        <family val="1"/>
        <scheme val="minor"/>
      </rPr>
      <t>耐槩愛漑代</t>
    </r>
    <r>
      <rPr>
        <sz val="20"/>
        <color theme="1"/>
        <rFont val="新細明體"/>
        <family val="1"/>
        <scheme val="minor"/>
      </rPr>
      <t>概</t>
    </r>
    <phoneticPr fontId="59" type="noConversion"/>
  </si>
  <si>
    <t>穢肺吠廢</t>
    <phoneticPr fontId="59" type="noConversion"/>
  </si>
  <si>
    <t>真</t>
  </si>
  <si>
    <r>
      <t>鄰人真</t>
    </r>
    <r>
      <rPr>
        <sz val="20"/>
        <color rgb="FFFF0000"/>
        <rFont val="新細明體"/>
        <family val="1"/>
        <scheme val="minor"/>
      </rPr>
      <t>眞</t>
    </r>
    <r>
      <rPr>
        <sz val="20"/>
        <color theme="1"/>
        <rFont val="新細明體"/>
        <family val="1"/>
        <scheme val="minor"/>
      </rPr>
      <t>珍巾銀賓辰</t>
    </r>
    <phoneticPr fontId="59" type="noConversion"/>
  </si>
  <si>
    <t>軫</t>
  </si>
  <si>
    <r>
      <rPr>
        <b/>
        <sz val="20"/>
        <color rgb="FFFF0000"/>
        <rFont val="新細明體"/>
        <family val="1"/>
        <scheme val="minor"/>
      </rPr>
      <t>忍</t>
    </r>
    <r>
      <rPr>
        <sz val="20"/>
        <color theme="1"/>
        <rFont val="新細明體"/>
        <family val="1"/>
        <scheme val="minor"/>
      </rPr>
      <t>軫引盡腎敏</t>
    </r>
    <phoneticPr fontId="59" type="noConversion"/>
  </si>
  <si>
    <t>震</t>
  </si>
  <si>
    <r>
      <t>刃</t>
    </r>
    <r>
      <rPr>
        <b/>
        <sz val="20"/>
        <color rgb="FFFF0000"/>
        <rFont val="新細明體"/>
        <family val="1"/>
        <scheme val="minor"/>
      </rPr>
      <t>晉</t>
    </r>
    <r>
      <rPr>
        <sz val="20"/>
        <color theme="1"/>
        <rFont val="新細明體"/>
        <family val="1"/>
        <scheme val="minor"/>
      </rPr>
      <t>遴振印覲</t>
    </r>
    <phoneticPr fontId="59" type="noConversion"/>
  </si>
  <si>
    <t>質</t>
  </si>
  <si>
    <t>栗悉七吉質日一乙叱必畢筆密耴</t>
    <phoneticPr fontId="59" type="noConversion"/>
  </si>
  <si>
    <t>倫綸脣勻遵均迍旬囷筠贇</t>
    <phoneticPr fontId="59" type="noConversion"/>
  </si>
  <si>
    <t>準</t>
  </si>
  <si>
    <r>
      <t>尹準允殞</t>
    </r>
    <r>
      <rPr>
        <sz val="20"/>
        <color rgb="FFFF0000"/>
        <rFont val="新細明體"/>
        <family val="1"/>
        <scheme val="minor"/>
      </rPr>
      <t>紖</t>
    </r>
    <phoneticPr fontId="59" type="noConversion"/>
  </si>
  <si>
    <t>稕</t>
  </si>
  <si>
    <t>閏峻順</t>
    <phoneticPr fontId="59" type="noConversion"/>
  </si>
  <si>
    <t>術律聿卹率</t>
    <phoneticPr fontId="59" type="noConversion"/>
  </si>
  <si>
    <t>詵臻</t>
    <phoneticPr fontId="59" type="noConversion"/>
  </si>
  <si>
    <t>齔</t>
  </si>
  <si>
    <t>無切語</t>
    <phoneticPr fontId="59" type="noConversion"/>
  </si>
  <si>
    <t>瑟櫛</t>
    <phoneticPr fontId="59" type="noConversion"/>
  </si>
  <si>
    <t>云分文</t>
    <phoneticPr fontId="59" type="noConversion"/>
  </si>
  <si>
    <t>吻</t>
  </si>
  <si>
    <t>粉吻</t>
    <phoneticPr fontId="59" type="noConversion"/>
  </si>
  <si>
    <t>問</t>
  </si>
  <si>
    <t>運問</t>
    <phoneticPr fontId="59" type="noConversion"/>
  </si>
  <si>
    <t>弗物勿</t>
    <phoneticPr fontId="59" type="noConversion"/>
  </si>
  <si>
    <t>殷</t>
  </si>
  <si>
    <t>斤欣</t>
    <phoneticPr fontId="59" type="noConversion"/>
  </si>
  <si>
    <t>隱</t>
  </si>
  <si>
    <t>謹隱槿</t>
    <phoneticPr fontId="59" type="noConversion"/>
  </si>
  <si>
    <t>焮</t>
  </si>
  <si>
    <t>焮靳</t>
    <phoneticPr fontId="59" type="noConversion"/>
  </si>
  <si>
    <t>乞迄訖</t>
    <phoneticPr fontId="59" type="noConversion"/>
  </si>
  <si>
    <t>元一</t>
  </si>
  <si>
    <t>言軒</t>
    <phoneticPr fontId="59" type="noConversion"/>
  </si>
  <si>
    <t>阮一</t>
  </si>
  <si>
    <t>偃幰</t>
    <phoneticPr fontId="59" type="noConversion"/>
  </si>
  <si>
    <t>願一</t>
  </si>
  <si>
    <t>堰建</t>
    <phoneticPr fontId="59" type="noConversion"/>
  </si>
  <si>
    <t>月一</t>
  </si>
  <si>
    <t>訐竭謁歇</t>
    <phoneticPr fontId="59" type="noConversion"/>
  </si>
  <si>
    <t>元二</t>
  </si>
  <si>
    <t>袁元煩</t>
  </si>
  <si>
    <t>阮二</t>
  </si>
  <si>
    <t>阮遠晚</t>
  </si>
  <si>
    <t>願二</t>
  </si>
  <si>
    <t>願怨万販</t>
  </si>
  <si>
    <t>月二</t>
  </si>
  <si>
    <t>厥越月伐發</t>
  </si>
  <si>
    <t>昆尊渾魂奔</t>
    <phoneticPr fontId="59" type="noConversion"/>
  </si>
  <si>
    <t>混</t>
  </si>
  <si>
    <r>
      <t>損袞</t>
    </r>
    <r>
      <rPr>
        <sz val="20"/>
        <color rgb="FFFF0000"/>
        <rFont val="新細明體"/>
        <family val="1"/>
        <scheme val="minor"/>
      </rPr>
      <t>衮</t>
    </r>
    <r>
      <rPr>
        <sz val="20"/>
        <color theme="1"/>
        <rFont val="新細明體"/>
        <family val="1"/>
        <scheme val="minor"/>
      </rPr>
      <t>忖本</t>
    </r>
    <phoneticPr fontId="59" type="noConversion"/>
  </si>
  <si>
    <t>慁</t>
  </si>
  <si>
    <t>困寸悶</t>
    <phoneticPr fontId="59" type="noConversion"/>
  </si>
  <si>
    <r>
      <t>骨忽没</t>
    </r>
    <r>
      <rPr>
        <sz val="20"/>
        <color rgb="FFFF0000"/>
        <rFont val="新細明體"/>
        <family val="1"/>
        <scheme val="minor"/>
      </rPr>
      <t>沒</t>
    </r>
    <r>
      <rPr>
        <sz val="20"/>
        <color theme="1"/>
        <rFont val="新細明體"/>
        <family val="1"/>
        <scheme val="minor"/>
      </rPr>
      <t>勃</t>
    </r>
    <phoneticPr fontId="59" type="noConversion"/>
  </si>
  <si>
    <t>根痕恩</t>
    <phoneticPr fontId="59" type="noConversion"/>
  </si>
  <si>
    <t>很</t>
  </si>
  <si>
    <t>墾很</t>
    <phoneticPr fontId="59" type="noConversion"/>
  </si>
  <si>
    <t>恨</t>
  </si>
  <si>
    <t>艮恨</t>
    <phoneticPr fontId="59" type="noConversion"/>
  </si>
  <si>
    <t>安寒干</t>
    <phoneticPr fontId="59" type="noConversion"/>
  </si>
  <si>
    <t>旱</t>
  </si>
  <si>
    <t>笴旱但</t>
    <phoneticPr fontId="59" type="noConversion"/>
  </si>
  <si>
    <t>翰</t>
  </si>
  <si>
    <r>
      <t>旱案贊</t>
    </r>
    <r>
      <rPr>
        <sz val="20"/>
        <color rgb="FFFF0000"/>
        <rFont val="新細明體"/>
        <family val="1"/>
        <scheme val="minor"/>
      </rPr>
      <t>賛</t>
    </r>
    <r>
      <rPr>
        <sz val="20"/>
        <color theme="1"/>
        <rFont val="新細明體"/>
        <family val="1"/>
        <scheme val="minor"/>
      </rPr>
      <t>按旦</t>
    </r>
    <r>
      <rPr>
        <sz val="20"/>
        <color rgb="FFFF0000"/>
        <rFont val="新細明體"/>
        <family val="1"/>
        <scheme val="minor"/>
      </rPr>
      <t>旰</t>
    </r>
    <r>
      <rPr>
        <sz val="20"/>
        <color theme="1"/>
        <rFont val="新細明體"/>
        <family val="1"/>
        <scheme val="minor"/>
      </rPr>
      <t>憚</t>
    </r>
    <phoneticPr fontId="59" type="noConversion"/>
  </si>
  <si>
    <t>葛曷割達</t>
    <phoneticPr fontId="59" type="noConversion"/>
  </si>
  <si>
    <r>
      <t>官丸端潘</t>
    </r>
    <r>
      <rPr>
        <sz val="20"/>
        <color rgb="FFFF0000"/>
        <rFont val="新細明體"/>
        <family val="1"/>
        <scheme val="minor"/>
      </rPr>
      <t>袁元煩</t>
    </r>
    <phoneticPr fontId="59" type="noConversion"/>
  </si>
  <si>
    <t>緩</t>
  </si>
  <si>
    <r>
      <t>管伴滿</t>
    </r>
    <r>
      <rPr>
        <sz val="20"/>
        <color rgb="FFFF0000"/>
        <rFont val="新細明體"/>
        <family val="1"/>
        <scheme val="minor"/>
      </rPr>
      <t>緩纂</t>
    </r>
    <phoneticPr fontId="59" type="noConversion"/>
  </si>
  <si>
    <t>換</t>
  </si>
  <si>
    <r>
      <rPr>
        <sz val="20"/>
        <color rgb="FFFF0000"/>
        <rFont val="新細明體"/>
        <family val="1"/>
        <scheme val="minor"/>
      </rPr>
      <t>換喚</t>
    </r>
    <r>
      <rPr>
        <sz val="20"/>
        <color theme="1"/>
        <rFont val="新細明體"/>
        <family val="1"/>
        <scheme val="minor"/>
      </rPr>
      <t>玩段貫筭亂半幔</t>
    </r>
    <phoneticPr fontId="59" type="noConversion"/>
  </si>
  <si>
    <t>括活栝撥末</t>
    <phoneticPr fontId="59" type="noConversion"/>
  </si>
  <si>
    <t>刪一</t>
  </si>
  <si>
    <r>
      <t>姦顏</t>
    </r>
    <r>
      <rPr>
        <sz val="20"/>
        <color rgb="FFFF0000"/>
        <rFont val="新細明體"/>
        <family val="1"/>
        <scheme val="minor"/>
      </rPr>
      <t>閒</t>
    </r>
    <phoneticPr fontId="59" type="noConversion"/>
  </si>
  <si>
    <t>潸一</t>
  </si>
  <si>
    <t>赧</t>
    <phoneticPr fontId="59" type="noConversion"/>
  </si>
  <si>
    <t>諫一</t>
  </si>
  <si>
    <t>晏諫鴈澗</t>
    <phoneticPr fontId="59" type="noConversion"/>
  </si>
  <si>
    <t>黠一</t>
  </si>
  <si>
    <t>黠八拔</t>
    <phoneticPr fontId="59" type="noConversion"/>
  </si>
  <si>
    <t>刪二</t>
  </si>
  <si>
    <t>還關班</t>
    <phoneticPr fontId="59" type="noConversion"/>
  </si>
  <si>
    <t>潸二</t>
  </si>
  <si>
    <r>
      <t>綰板版</t>
    </r>
    <r>
      <rPr>
        <sz val="20"/>
        <color rgb="FFFF0000"/>
        <rFont val="新細明體"/>
        <family val="1"/>
        <scheme val="minor"/>
      </rPr>
      <t>鯇</t>
    </r>
    <phoneticPr fontId="59" type="noConversion"/>
  </si>
  <si>
    <t>諫二</t>
  </si>
  <si>
    <t>患慣慢</t>
    <phoneticPr fontId="59" type="noConversion"/>
  </si>
  <si>
    <t>黠二</t>
  </si>
  <si>
    <t>滑婠</t>
    <phoneticPr fontId="59" type="noConversion"/>
  </si>
  <si>
    <t>山一</t>
  </si>
  <si>
    <t>間閑山</t>
    <phoneticPr fontId="59" type="noConversion"/>
  </si>
  <si>
    <t>產一</t>
  </si>
  <si>
    <t>簡限</t>
    <phoneticPr fontId="59" type="noConversion"/>
  </si>
  <si>
    <t>襇一</t>
  </si>
  <si>
    <r>
      <t>襉</t>
    </r>
    <r>
      <rPr>
        <sz val="20"/>
        <color rgb="FFFF0000"/>
        <rFont val="新細明體"/>
        <family val="1"/>
        <scheme val="minor"/>
      </rPr>
      <t>襇</t>
    </r>
    <r>
      <rPr>
        <sz val="20"/>
        <color theme="1"/>
        <rFont val="新細明體"/>
        <family val="1"/>
        <scheme val="minor"/>
      </rPr>
      <t>莧</t>
    </r>
    <phoneticPr fontId="59" type="noConversion"/>
  </si>
  <si>
    <t>鎋一</t>
  </si>
  <si>
    <t>瞎轄鎋</t>
    <phoneticPr fontId="59" type="noConversion"/>
  </si>
  <si>
    <t>頑鰥頁</t>
    <phoneticPr fontId="59" type="noConversion"/>
  </si>
  <si>
    <t>綰</t>
    <phoneticPr fontId="59" type="noConversion"/>
  </si>
  <si>
    <t>幻</t>
    <phoneticPr fontId="59" type="noConversion"/>
  </si>
  <si>
    <r>
      <t>刮</t>
    </r>
    <r>
      <rPr>
        <sz val="20"/>
        <color rgb="FFFF0000"/>
        <rFont val="新細明體"/>
        <family val="1"/>
        <scheme val="minor"/>
      </rPr>
      <t>䫄</t>
    </r>
    <phoneticPr fontId="59" type="noConversion"/>
  </si>
  <si>
    <t>先一</t>
  </si>
  <si>
    <r>
      <t>前先賢年堅煙田顛</t>
    </r>
    <r>
      <rPr>
        <sz val="20"/>
        <color rgb="FFFF0000"/>
        <rFont val="新細明體"/>
        <family val="1"/>
        <scheme val="minor"/>
      </rPr>
      <t>顚</t>
    </r>
    <phoneticPr fontId="59" type="noConversion"/>
  </si>
  <si>
    <t>銑一</t>
  </si>
  <si>
    <t>典殄繭峴</t>
    <phoneticPr fontId="59" type="noConversion"/>
  </si>
  <si>
    <t>霰一</t>
  </si>
  <si>
    <t>佃甸電練麪</t>
    <phoneticPr fontId="59" type="noConversion"/>
  </si>
  <si>
    <t>屑一</t>
  </si>
  <si>
    <t>結屑蔑</t>
    <phoneticPr fontId="59" type="noConversion"/>
  </si>
  <si>
    <t>先二</t>
  </si>
  <si>
    <t>玄涓</t>
    <phoneticPr fontId="59" type="noConversion"/>
  </si>
  <si>
    <t>銑二</t>
  </si>
  <si>
    <t>泫畎</t>
    <phoneticPr fontId="59" type="noConversion"/>
  </si>
  <si>
    <t>霰二</t>
  </si>
  <si>
    <r>
      <t>縣絢</t>
    </r>
    <r>
      <rPr>
        <sz val="20"/>
        <color rgb="FFFF0000"/>
        <rFont val="新細明體"/>
        <family val="1"/>
        <scheme val="minor"/>
      </rPr>
      <t>麵</t>
    </r>
    <phoneticPr fontId="59" type="noConversion"/>
  </si>
  <si>
    <t>屑二</t>
  </si>
  <si>
    <t>穴決</t>
    <phoneticPr fontId="59" type="noConversion"/>
  </si>
  <si>
    <t>仙一</t>
  </si>
  <si>
    <t>然仙延連乾焉</t>
    <phoneticPr fontId="59" type="noConversion"/>
  </si>
  <si>
    <t>獮一</t>
  </si>
  <si>
    <t>淺演善輦蹇展翦辨免</t>
    <phoneticPr fontId="59" type="noConversion"/>
  </si>
  <si>
    <t>線一</t>
  </si>
  <si>
    <r>
      <t>箭賤膳扇戰見碾線面</t>
    </r>
    <r>
      <rPr>
        <sz val="20"/>
        <color rgb="FFFF0000"/>
        <rFont val="新細明體"/>
        <family val="1"/>
        <scheme val="minor"/>
      </rPr>
      <t>彦變</t>
    </r>
    <r>
      <rPr>
        <sz val="20"/>
        <color theme="1"/>
        <rFont val="新細明體"/>
        <family val="1"/>
        <scheme val="minor"/>
      </rPr>
      <t>院彥</t>
    </r>
    <phoneticPr fontId="59" type="noConversion"/>
  </si>
  <si>
    <t>薛一</t>
  </si>
  <si>
    <r>
      <t>列熱滅竭薛</t>
    </r>
    <r>
      <rPr>
        <sz val="20"/>
        <color rgb="FFFF0000"/>
        <rFont val="新細明體"/>
        <family val="1"/>
        <scheme val="minor"/>
      </rPr>
      <t>辥别別</t>
    </r>
    <phoneticPr fontId="59" type="noConversion"/>
  </si>
  <si>
    <t>仙二</t>
  </si>
  <si>
    <r>
      <t>員緣泉權圓專孿</t>
    </r>
    <r>
      <rPr>
        <sz val="20"/>
        <color rgb="FFFF0000"/>
        <rFont val="新細明體"/>
        <family val="1"/>
        <scheme val="minor"/>
      </rPr>
      <t>攣</t>
    </r>
    <r>
      <rPr>
        <sz val="20"/>
        <color theme="1"/>
        <rFont val="新細明體"/>
        <family val="1"/>
        <scheme val="minor"/>
      </rPr>
      <t>宣川全</t>
    </r>
    <r>
      <rPr>
        <sz val="20"/>
        <color rgb="FFFF0000"/>
        <rFont val="新細明體"/>
        <family val="1"/>
        <scheme val="minor"/>
      </rPr>
      <t>貟</t>
    </r>
    <phoneticPr fontId="59" type="noConversion"/>
  </si>
  <si>
    <t>獮二</t>
  </si>
  <si>
    <r>
      <t>轉篆兗</t>
    </r>
    <r>
      <rPr>
        <sz val="20"/>
        <color rgb="FFFF0000"/>
        <rFont val="新細明體"/>
        <family val="1"/>
        <scheme val="minor"/>
      </rPr>
      <t>兖</t>
    </r>
    <r>
      <rPr>
        <sz val="20"/>
        <color theme="1"/>
        <rFont val="新細明體"/>
        <family val="1"/>
        <scheme val="minor"/>
      </rPr>
      <t>緬</t>
    </r>
    <phoneticPr fontId="59" type="noConversion"/>
  </si>
  <si>
    <t>線二</t>
  </si>
  <si>
    <t>絹囀倦掾戀眷釧卷</t>
    <phoneticPr fontId="59" type="noConversion"/>
  </si>
  <si>
    <t>薛二</t>
  </si>
  <si>
    <t>絕悅劣爇雪輟</t>
    <phoneticPr fontId="59" type="noConversion"/>
  </si>
  <si>
    <r>
      <t>彫聊堯么</t>
    </r>
    <r>
      <rPr>
        <sz val="20"/>
        <color rgb="FFFF0000"/>
        <rFont val="新細明體"/>
        <family val="1"/>
        <scheme val="minor"/>
      </rPr>
      <t>幺</t>
    </r>
    <r>
      <rPr>
        <sz val="20"/>
        <color theme="1"/>
        <rFont val="新細明體"/>
        <family val="1"/>
        <scheme val="minor"/>
      </rPr>
      <t>蕭</t>
    </r>
    <phoneticPr fontId="59" type="noConversion"/>
  </si>
  <si>
    <t>篠</t>
  </si>
  <si>
    <t>鳥了皎皛</t>
    <phoneticPr fontId="59" type="noConversion"/>
  </si>
  <si>
    <t>嘯</t>
  </si>
  <si>
    <t>弔叫嘯</t>
    <phoneticPr fontId="59" type="noConversion"/>
  </si>
  <si>
    <r>
      <t>邀宵遙嬌消招霄囂焦昭瀌</t>
    </r>
    <r>
      <rPr>
        <sz val="20"/>
        <color rgb="FFFF0000"/>
        <rFont val="新細明體"/>
        <family val="1"/>
        <scheme val="minor"/>
      </rPr>
      <t>喬嚻</t>
    </r>
    <phoneticPr fontId="59" type="noConversion"/>
  </si>
  <si>
    <t>小</t>
  </si>
  <si>
    <t>兆小夭沼矯少表</t>
    <phoneticPr fontId="59" type="noConversion"/>
  </si>
  <si>
    <t>笑</t>
  </si>
  <si>
    <r>
      <t>召肖照笑</t>
    </r>
    <r>
      <rPr>
        <sz val="20"/>
        <color rgb="FFFF0000"/>
        <rFont val="SimSun-ExtB"/>
        <family val="3"/>
        <charset val="134"/>
      </rPr>
      <t>𥬇</t>
    </r>
    <r>
      <rPr>
        <sz val="20"/>
        <color theme="1"/>
        <rFont val="新細明體"/>
        <family val="1"/>
        <scheme val="minor"/>
      </rPr>
      <t>要廟妙邵</t>
    </r>
    <phoneticPr fontId="59" type="noConversion"/>
  </si>
  <si>
    <t>交嘲肴茅</t>
    <phoneticPr fontId="59" type="noConversion"/>
  </si>
  <si>
    <t>巧</t>
  </si>
  <si>
    <r>
      <t>絞巧飽</t>
    </r>
    <r>
      <rPr>
        <sz val="20"/>
        <color rgb="FFFF0000"/>
        <rFont val="新細明體"/>
        <family val="1"/>
        <scheme val="minor"/>
      </rPr>
      <t>爪</t>
    </r>
    <phoneticPr fontId="59" type="noConversion"/>
  </si>
  <si>
    <r>
      <t>教</t>
    </r>
    <r>
      <rPr>
        <sz val="20"/>
        <color rgb="FFFF0000"/>
        <rFont val="新細明體"/>
        <family val="1"/>
        <scheme val="minor"/>
      </rPr>
      <t>敎</t>
    </r>
    <r>
      <rPr>
        <sz val="20"/>
        <color theme="1"/>
        <rFont val="新細明體"/>
        <family val="1"/>
        <scheme val="minor"/>
      </rPr>
      <t>稍孝</t>
    </r>
    <r>
      <rPr>
        <sz val="20"/>
        <color rgb="FFFF0000"/>
        <rFont val="新細明體"/>
        <family val="1"/>
        <scheme val="minor"/>
      </rPr>
      <t>皃</t>
    </r>
    <phoneticPr fontId="59" type="noConversion"/>
  </si>
  <si>
    <r>
      <t>刀勞牢遭曹袍褒毛</t>
    </r>
    <r>
      <rPr>
        <sz val="20"/>
        <color rgb="FFFF0000"/>
        <rFont val="新細明體"/>
        <family val="1"/>
        <scheme val="minor"/>
      </rPr>
      <t>襃</t>
    </r>
    <phoneticPr fontId="59" type="noConversion"/>
  </si>
  <si>
    <t>晧</t>
  </si>
  <si>
    <t>老晧道浩早抱</t>
    <phoneticPr fontId="59" type="noConversion"/>
  </si>
  <si>
    <t>号</t>
  </si>
  <si>
    <t>到導耗報</t>
    <phoneticPr fontId="59" type="noConversion"/>
  </si>
  <si>
    <t>俄何河歌</t>
    <phoneticPr fontId="59" type="noConversion"/>
  </si>
  <si>
    <t>哿</t>
  </si>
  <si>
    <t>我可</t>
    <phoneticPr fontId="59" type="noConversion"/>
  </si>
  <si>
    <t>箇</t>
  </si>
  <si>
    <t>賀佐箇邏个</t>
    <phoneticPr fontId="59" type="noConversion"/>
  </si>
  <si>
    <t>戈一</t>
  </si>
  <si>
    <r>
      <t>禾戈和靴波婆</t>
    </r>
    <r>
      <rPr>
        <sz val="20"/>
        <color rgb="FFFF0000"/>
        <rFont val="新細明體"/>
        <family val="1"/>
        <scheme val="minor"/>
      </rPr>
      <t>𦚢𩩆𩨷</t>
    </r>
    <phoneticPr fontId="59" type="noConversion"/>
  </si>
  <si>
    <t>果一</t>
  </si>
  <si>
    <t>火果</t>
    <phoneticPr fontId="59" type="noConversion"/>
  </si>
  <si>
    <t>過一</t>
  </si>
  <si>
    <r>
      <t>臥</t>
    </r>
    <r>
      <rPr>
        <sz val="20"/>
        <color rgb="FFFF0000"/>
        <rFont val="新細明體"/>
        <family val="1"/>
        <scheme val="minor"/>
      </rPr>
      <t>卧</t>
    </r>
    <r>
      <rPr>
        <sz val="20"/>
        <color theme="1"/>
        <rFont val="新細明體"/>
        <family val="1"/>
        <scheme val="minor"/>
      </rPr>
      <t>唾過貨</t>
    </r>
    <phoneticPr fontId="59" type="noConversion"/>
  </si>
  <si>
    <t>戈二</t>
  </si>
  <si>
    <t>迦伽</t>
    <phoneticPr fontId="59" type="noConversion"/>
  </si>
  <si>
    <t>果二</t>
  </si>
  <si>
    <t>過二</t>
  </si>
  <si>
    <t>戈三</t>
  </si>
  <si>
    <t>脞</t>
    <phoneticPr fontId="59" type="noConversion"/>
  </si>
  <si>
    <t>果三</t>
  </si>
  <si>
    <t>過三</t>
  </si>
  <si>
    <t>麻一</t>
  </si>
  <si>
    <t>霞加牙巴</t>
    <phoneticPr fontId="59" type="noConversion"/>
  </si>
  <si>
    <t>馬一</t>
  </si>
  <si>
    <r>
      <t>下雅疋賈</t>
    </r>
    <r>
      <rPr>
        <sz val="20"/>
        <color rgb="FFFF0000"/>
        <rFont val="新細明體"/>
        <family val="1"/>
        <scheme val="minor"/>
      </rPr>
      <t>假</t>
    </r>
    <r>
      <rPr>
        <sz val="20"/>
        <color theme="1"/>
        <rFont val="新細明體"/>
        <family val="1"/>
        <scheme val="minor"/>
      </rPr>
      <t>舍</t>
    </r>
    <phoneticPr fontId="59" type="noConversion"/>
  </si>
  <si>
    <t>禡一</t>
  </si>
  <si>
    <r>
      <t>駕亞訝嫁</t>
    </r>
    <r>
      <rPr>
        <sz val="20"/>
        <color rgb="FFFF0000"/>
        <rFont val="新細明體"/>
        <family val="1"/>
        <scheme val="minor"/>
      </rPr>
      <t>罵</t>
    </r>
    <phoneticPr fontId="59" type="noConversion"/>
  </si>
  <si>
    <t>麻二</t>
  </si>
  <si>
    <t>花瓜華</t>
    <phoneticPr fontId="59" type="noConversion"/>
  </si>
  <si>
    <t>馬二</t>
  </si>
  <si>
    <t>瓦寡</t>
    <phoneticPr fontId="59" type="noConversion"/>
  </si>
  <si>
    <t>禡二</t>
  </si>
  <si>
    <r>
      <t>化</t>
    </r>
    <r>
      <rPr>
        <sz val="20"/>
        <color rgb="FFFF0000"/>
        <rFont val="新細明體"/>
        <family val="1"/>
        <scheme val="minor"/>
      </rPr>
      <t>霸㕦</t>
    </r>
    <phoneticPr fontId="59" type="noConversion"/>
  </si>
  <si>
    <t>麻三</t>
  </si>
  <si>
    <t>遮嗟邪車奢賒</t>
    <phoneticPr fontId="59" type="noConversion"/>
  </si>
  <si>
    <t>馬三</t>
  </si>
  <si>
    <t>也者野冶姐</t>
    <phoneticPr fontId="59" type="noConversion"/>
  </si>
  <si>
    <t>禡三</t>
  </si>
  <si>
    <t>謝夜</t>
    <phoneticPr fontId="59" type="noConversion"/>
  </si>
  <si>
    <t>陽一</t>
  </si>
  <si>
    <t>章羊張良陽莊方</t>
    <phoneticPr fontId="59" type="noConversion"/>
  </si>
  <si>
    <t>養一</t>
  </si>
  <si>
    <r>
      <t>奬</t>
    </r>
    <r>
      <rPr>
        <sz val="20"/>
        <color rgb="FFFF0000"/>
        <rFont val="新細明體"/>
        <family val="1"/>
        <scheme val="minor"/>
      </rPr>
      <t>㢡</t>
    </r>
    <r>
      <rPr>
        <sz val="20"/>
        <color theme="1"/>
        <rFont val="新細明體"/>
        <family val="1"/>
        <scheme val="minor"/>
      </rPr>
      <t>養掌丈杖尚</t>
    </r>
    <phoneticPr fontId="59" type="noConversion"/>
  </si>
  <si>
    <t>漾一</t>
  </si>
  <si>
    <t>亮讓樣向</t>
    <phoneticPr fontId="59" type="noConversion"/>
  </si>
  <si>
    <t>藥一</t>
  </si>
  <si>
    <t>灼略若爵虐藥約雀勺削</t>
    <phoneticPr fontId="59" type="noConversion"/>
  </si>
  <si>
    <t>陽二</t>
  </si>
  <si>
    <t>王</t>
    <phoneticPr fontId="59" type="noConversion"/>
  </si>
  <si>
    <t>養二</t>
  </si>
  <si>
    <r>
      <t>往</t>
    </r>
    <r>
      <rPr>
        <sz val="20"/>
        <color rgb="FFFF0000"/>
        <rFont val="新細明體"/>
        <family val="1"/>
        <scheme val="minor"/>
      </rPr>
      <t>网昉</t>
    </r>
    <r>
      <rPr>
        <sz val="20"/>
        <color theme="1"/>
        <rFont val="新細明體"/>
        <family val="1"/>
        <scheme val="minor"/>
      </rPr>
      <t>兩</t>
    </r>
    <phoneticPr fontId="59" type="noConversion"/>
  </si>
  <si>
    <t>漾二</t>
  </si>
  <si>
    <r>
      <t>況</t>
    </r>
    <r>
      <rPr>
        <sz val="20"/>
        <color rgb="FFFF0000"/>
        <rFont val="新細明體"/>
        <family val="1"/>
        <scheme val="minor"/>
      </rPr>
      <t>放訪妄</t>
    </r>
    <r>
      <rPr>
        <sz val="20"/>
        <color theme="1"/>
        <rFont val="新細明體"/>
        <family val="1"/>
        <scheme val="minor"/>
      </rPr>
      <t>諒㨾</t>
    </r>
    <phoneticPr fontId="59" type="noConversion"/>
  </si>
  <si>
    <t>藥二</t>
  </si>
  <si>
    <t>钁縛籰</t>
    <phoneticPr fontId="59" type="noConversion"/>
  </si>
  <si>
    <t>唐一</t>
  </si>
  <si>
    <t>郎當剛岡</t>
    <phoneticPr fontId="59" type="noConversion"/>
  </si>
  <si>
    <t>蕩一</t>
  </si>
  <si>
    <t>朗黨</t>
    <phoneticPr fontId="59" type="noConversion"/>
  </si>
  <si>
    <t>宕一</t>
  </si>
  <si>
    <t>浪宕</t>
    <phoneticPr fontId="59" type="noConversion"/>
  </si>
  <si>
    <t>鐸一</t>
  </si>
  <si>
    <t>落各</t>
    <phoneticPr fontId="59" type="noConversion"/>
  </si>
  <si>
    <t>唐二</t>
  </si>
  <si>
    <t>光黃旁</t>
    <phoneticPr fontId="59" type="noConversion"/>
  </si>
  <si>
    <t>蕩二</t>
  </si>
  <si>
    <t>廣晃</t>
    <phoneticPr fontId="59" type="noConversion"/>
  </si>
  <si>
    <t>宕二</t>
  </si>
  <si>
    <t>曠謗</t>
    <phoneticPr fontId="59" type="noConversion"/>
  </si>
  <si>
    <t>鐸二</t>
  </si>
  <si>
    <t>穫郭博</t>
    <phoneticPr fontId="59" type="noConversion"/>
  </si>
  <si>
    <t>庚一</t>
  </si>
  <si>
    <t>行庚盲</t>
    <phoneticPr fontId="59" type="noConversion"/>
  </si>
  <si>
    <t>梗一</t>
  </si>
  <si>
    <r>
      <t>杏梗冷打猛</t>
    </r>
    <r>
      <rPr>
        <sz val="20"/>
        <color rgb="FFFF0000"/>
        <rFont val="新細明體"/>
        <family val="1"/>
        <scheme val="minor"/>
      </rPr>
      <t>丙</t>
    </r>
    <phoneticPr fontId="59" type="noConversion"/>
  </si>
  <si>
    <t>敬一</t>
  </si>
  <si>
    <t>更孟</t>
    <phoneticPr fontId="59" type="noConversion"/>
  </si>
  <si>
    <t>陌一</t>
  </si>
  <si>
    <t>格陌伯白百</t>
    <phoneticPr fontId="59" type="noConversion"/>
  </si>
  <si>
    <t>庚二</t>
  </si>
  <si>
    <t>觥橫</t>
    <phoneticPr fontId="59" type="noConversion"/>
  </si>
  <si>
    <t>梗二</t>
  </si>
  <si>
    <t>礦</t>
    <phoneticPr fontId="59" type="noConversion"/>
  </si>
  <si>
    <t>敬二</t>
  </si>
  <si>
    <t>蝗</t>
    <phoneticPr fontId="59" type="noConversion"/>
  </si>
  <si>
    <t>陌二</t>
  </si>
  <si>
    <t>虢</t>
    <phoneticPr fontId="59" type="noConversion"/>
  </si>
  <si>
    <t>庚三</t>
  </si>
  <si>
    <t>驚卿京</t>
    <phoneticPr fontId="59" type="noConversion"/>
  </si>
  <si>
    <t>梗三</t>
  </si>
  <si>
    <t>景影</t>
    <phoneticPr fontId="59" type="noConversion"/>
  </si>
  <si>
    <t>敬三</t>
  </si>
  <si>
    <t>慶敬詠</t>
    <phoneticPr fontId="59" type="noConversion"/>
  </si>
  <si>
    <t>陌三</t>
  </si>
  <si>
    <r>
      <t>戟刻郤逆</t>
    </r>
    <r>
      <rPr>
        <sz val="20"/>
        <color rgb="FFFF0000"/>
        <rFont val="新細明體"/>
        <family val="1"/>
        <scheme val="minor"/>
      </rPr>
      <t>劇擭迹</t>
    </r>
    <phoneticPr fontId="59" type="noConversion"/>
  </si>
  <si>
    <t>庚四</t>
  </si>
  <si>
    <t>榮兵明</t>
    <phoneticPr fontId="59" type="noConversion"/>
  </si>
  <si>
    <t>梗四</t>
  </si>
  <si>
    <r>
      <t>永憬</t>
    </r>
    <r>
      <rPr>
        <sz val="20"/>
        <color rgb="FFFF0000"/>
        <rFont val="新細明體"/>
        <family val="1"/>
        <scheme val="minor"/>
      </rPr>
      <t>䁝</t>
    </r>
    <phoneticPr fontId="59" type="noConversion"/>
  </si>
  <si>
    <t>敬四</t>
  </si>
  <si>
    <t>命病</t>
    <phoneticPr fontId="59" type="noConversion"/>
  </si>
  <si>
    <t>陌四</t>
  </si>
  <si>
    <t>耕一</t>
  </si>
  <si>
    <t>莖耕</t>
    <phoneticPr fontId="59" type="noConversion"/>
  </si>
  <si>
    <t>耿一</t>
  </si>
  <si>
    <t>幸耿</t>
    <phoneticPr fontId="59" type="noConversion"/>
  </si>
  <si>
    <t>諍一</t>
  </si>
  <si>
    <r>
      <rPr>
        <sz val="20"/>
        <color rgb="FFFF0000"/>
        <rFont val="新細明體"/>
        <family val="1"/>
        <scheme val="minor"/>
      </rPr>
      <t>諍爭</t>
    </r>
    <r>
      <rPr>
        <sz val="20"/>
        <color theme="1"/>
        <rFont val="新細明體"/>
        <family val="1"/>
        <scheme val="minor"/>
      </rPr>
      <t>迸</t>
    </r>
    <phoneticPr fontId="59" type="noConversion"/>
  </si>
  <si>
    <t>麥一</t>
  </si>
  <si>
    <t>核革責摘厄戹</t>
    <phoneticPr fontId="59" type="noConversion"/>
  </si>
  <si>
    <t>耕二</t>
  </si>
  <si>
    <t>宏轟萌</t>
    <phoneticPr fontId="59" type="noConversion"/>
  </si>
  <si>
    <t>耿二</t>
  </si>
  <si>
    <t>諍二</t>
  </si>
  <si>
    <t>麥二</t>
  </si>
  <si>
    <t>獲摑麥</t>
    <phoneticPr fontId="59" type="noConversion"/>
  </si>
  <si>
    <t>清一</t>
  </si>
  <si>
    <r>
      <t>情盈貞成征井</t>
    </r>
    <r>
      <rPr>
        <b/>
        <sz val="20"/>
        <color rgb="FFFF0000"/>
        <rFont val="新細明體"/>
        <family val="1"/>
        <scheme val="minor"/>
      </rPr>
      <t>并</t>
    </r>
    <phoneticPr fontId="59" type="noConversion"/>
  </si>
  <si>
    <t>靜一</t>
  </si>
  <si>
    <t>靜郢井整</t>
    <phoneticPr fontId="59" type="noConversion"/>
  </si>
  <si>
    <t>勁一</t>
  </si>
  <si>
    <r>
      <t>政姓鄭正盛</t>
    </r>
    <r>
      <rPr>
        <sz val="20"/>
        <color rgb="FFFF0000"/>
        <rFont val="新細明體"/>
        <family val="1"/>
        <scheme val="minor"/>
      </rPr>
      <t>令</t>
    </r>
    <phoneticPr fontId="59" type="noConversion"/>
  </si>
  <si>
    <t>昔一</t>
  </si>
  <si>
    <t>積炙易石辟隻亦益昔</t>
    <phoneticPr fontId="59" type="noConversion"/>
  </si>
  <si>
    <t>清二</t>
  </si>
  <si>
    <t>營傾</t>
    <phoneticPr fontId="59" type="noConversion"/>
  </si>
  <si>
    <t>靜二</t>
  </si>
  <si>
    <t>潁頃</t>
    <phoneticPr fontId="59" type="noConversion"/>
  </si>
  <si>
    <t>勁二</t>
  </si>
  <si>
    <t>昔二</t>
  </si>
  <si>
    <t>役</t>
    <phoneticPr fontId="59" type="noConversion"/>
  </si>
  <si>
    <t>青一</t>
  </si>
  <si>
    <t>經靈刑丁</t>
    <phoneticPr fontId="59" type="noConversion"/>
  </si>
  <si>
    <t>迥一</t>
  </si>
  <si>
    <t>挺鼎涬頂醒剄</t>
    <phoneticPr fontId="59" type="noConversion"/>
  </si>
  <si>
    <t>徑一</t>
  </si>
  <si>
    <t>定佞徑</t>
    <phoneticPr fontId="59" type="noConversion"/>
  </si>
  <si>
    <t>錫一</t>
  </si>
  <si>
    <r>
      <t>歷擊淚狄</t>
    </r>
    <r>
      <rPr>
        <sz val="20"/>
        <color rgb="FFFF0000"/>
        <rFont val="新細明體"/>
        <family val="1"/>
        <scheme val="minor"/>
      </rPr>
      <t>激</t>
    </r>
    <phoneticPr fontId="59" type="noConversion"/>
  </si>
  <si>
    <t>青二</t>
  </si>
  <si>
    <t>螢扃</t>
    <phoneticPr fontId="59" type="noConversion"/>
  </si>
  <si>
    <t>迥二</t>
  </si>
  <si>
    <t>迥熲</t>
    <phoneticPr fontId="59" type="noConversion"/>
  </si>
  <si>
    <t>徑二</t>
  </si>
  <si>
    <t>錫二</t>
  </si>
  <si>
    <t>闃鶪狊</t>
    <phoneticPr fontId="59" type="noConversion"/>
  </si>
  <si>
    <r>
      <t>仍陵蒸矜兢膺乘冰</t>
    </r>
    <r>
      <rPr>
        <sz val="20"/>
        <color rgb="FFFF0000"/>
        <rFont val="新細明體"/>
        <family val="1"/>
        <scheme val="minor"/>
      </rPr>
      <t>乗升</t>
    </r>
    <phoneticPr fontId="59" type="noConversion"/>
  </si>
  <si>
    <t>拯</t>
  </si>
  <si>
    <t>拯庱</t>
    <phoneticPr fontId="59" type="noConversion"/>
  </si>
  <si>
    <t>證</t>
  </si>
  <si>
    <r>
      <t>應證孕</t>
    </r>
    <r>
      <rPr>
        <sz val="20"/>
        <color rgb="FFFF0000"/>
        <rFont val="新細明體"/>
        <family val="1"/>
        <scheme val="minor"/>
      </rPr>
      <t>甑𩜁</t>
    </r>
    <phoneticPr fontId="59" type="noConversion"/>
  </si>
  <si>
    <t>職</t>
  </si>
  <si>
    <t>翼力側職直即極逼</t>
    <phoneticPr fontId="59" type="noConversion"/>
  </si>
  <si>
    <t>登一</t>
  </si>
  <si>
    <r>
      <t>滕增恆</t>
    </r>
    <r>
      <rPr>
        <sz val="20"/>
        <color rgb="FFFF0000"/>
        <rFont val="新細明體"/>
        <family val="1"/>
        <scheme val="minor"/>
      </rPr>
      <t>恒</t>
    </r>
    <r>
      <rPr>
        <sz val="20"/>
        <color theme="1"/>
        <rFont val="新細明體"/>
        <family val="1"/>
        <scheme val="minor"/>
      </rPr>
      <t>登棱崩朋</t>
    </r>
    <phoneticPr fontId="59" type="noConversion"/>
  </si>
  <si>
    <t>等一</t>
  </si>
  <si>
    <t>肯等</t>
    <phoneticPr fontId="59" type="noConversion"/>
  </si>
  <si>
    <t>嶝一</t>
  </si>
  <si>
    <r>
      <t>鄧贈</t>
    </r>
    <r>
      <rPr>
        <sz val="20"/>
        <color rgb="FFFF0000"/>
        <rFont val="新細明體"/>
        <family val="1"/>
        <scheme val="minor"/>
      </rPr>
      <t>亘</t>
    </r>
    <r>
      <rPr>
        <sz val="20"/>
        <color theme="1"/>
        <rFont val="新細明體"/>
        <family val="1"/>
        <scheme val="minor"/>
      </rPr>
      <t>亙</t>
    </r>
    <r>
      <rPr>
        <sz val="20"/>
        <color rgb="FFFF0000"/>
        <rFont val="新細明體"/>
        <family val="1"/>
        <scheme val="minor"/>
      </rPr>
      <t>隥</t>
    </r>
    <phoneticPr fontId="59" type="noConversion"/>
  </si>
  <si>
    <t>德一</t>
  </si>
  <si>
    <t>則德得黑勒墨北</t>
    <phoneticPr fontId="59" type="noConversion"/>
  </si>
  <si>
    <t>登二</t>
  </si>
  <si>
    <t>弘肱</t>
    <phoneticPr fontId="59" type="noConversion"/>
  </si>
  <si>
    <t>等二</t>
  </si>
  <si>
    <t>嶝二</t>
  </si>
  <si>
    <t>德二</t>
  </si>
  <si>
    <t>或國</t>
    <phoneticPr fontId="59" type="noConversion"/>
  </si>
  <si>
    <r>
      <t>求周秋流由尤鳩州謀浮</t>
    </r>
    <r>
      <rPr>
        <sz val="20"/>
        <color rgb="FFFF0000"/>
        <rFont val="新細明體"/>
        <family val="1"/>
        <scheme val="minor"/>
      </rPr>
      <t>羞</t>
    </r>
    <phoneticPr fontId="59" type="noConversion"/>
  </si>
  <si>
    <t>有</t>
  </si>
  <si>
    <t>九久酉柳有婦否</t>
    <phoneticPr fontId="59" type="noConversion"/>
  </si>
  <si>
    <t>宥</t>
  </si>
  <si>
    <r>
      <t>就僦咒</t>
    </r>
    <r>
      <rPr>
        <sz val="20"/>
        <color rgb="FFFF0000"/>
        <rFont val="新細明體"/>
        <family val="1"/>
        <scheme val="minor"/>
      </rPr>
      <t>呪</t>
    </r>
    <r>
      <rPr>
        <sz val="20"/>
        <color theme="1"/>
        <rFont val="新細明體"/>
        <family val="1"/>
        <scheme val="minor"/>
      </rPr>
      <t>又祐救溜富</t>
    </r>
    <r>
      <rPr>
        <sz val="20"/>
        <color rgb="FFFF0000"/>
        <rFont val="新細明體"/>
        <family val="1"/>
        <scheme val="minor"/>
      </rPr>
      <t>副</t>
    </r>
    <phoneticPr fontId="59" type="noConversion"/>
  </si>
  <si>
    <t>鉤侯婁</t>
    <phoneticPr fontId="59" type="noConversion"/>
  </si>
  <si>
    <t>厚</t>
  </si>
  <si>
    <t>口后斗垢苟厚</t>
    <phoneticPr fontId="59" type="noConversion"/>
  </si>
  <si>
    <t>候</t>
    <phoneticPr fontId="10" type="noConversion"/>
  </si>
  <si>
    <t>遘豆候奏漏</t>
    <phoneticPr fontId="10" type="noConversion"/>
  </si>
  <si>
    <t>虯烋幽彪</t>
    <phoneticPr fontId="59" type="noConversion"/>
  </si>
  <si>
    <t>黝</t>
  </si>
  <si>
    <t>糾黝</t>
    <phoneticPr fontId="59" type="noConversion"/>
  </si>
  <si>
    <t>幼</t>
  </si>
  <si>
    <t>幼謬</t>
    <phoneticPr fontId="59" type="noConversion"/>
  </si>
  <si>
    <t>林深針淫金心今吟簪尋</t>
    <phoneticPr fontId="59" type="noConversion"/>
  </si>
  <si>
    <t>寢</t>
  </si>
  <si>
    <r>
      <t>稔甚荏錦朕飲枕凜</t>
    </r>
    <r>
      <rPr>
        <sz val="20"/>
        <color rgb="FFFF0000"/>
        <rFont val="新細明體"/>
        <family val="1"/>
        <scheme val="minor"/>
      </rPr>
      <t>㾕</t>
    </r>
    <phoneticPr fontId="59" type="noConversion"/>
  </si>
  <si>
    <t>沁</t>
  </si>
  <si>
    <t>鴆禁任蔭譖</t>
    <phoneticPr fontId="59" type="noConversion"/>
  </si>
  <si>
    <t>入立急汲執戢及汁</t>
    <phoneticPr fontId="59" type="noConversion"/>
  </si>
  <si>
    <t>含南男</t>
    <phoneticPr fontId="59" type="noConversion"/>
  </si>
  <si>
    <t>感</t>
  </si>
  <si>
    <t>感禫唵</t>
    <phoneticPr fontId="59" type="noConversion"/>
  </si>
  <si>
    <t>勘</t>
  </si>
  <si>
    <t>紺暗</t>
    <phoneticPr fontId="59" type="noConversion"/>
  </si>
  <si>
    <t>荅答合閤沓</t>
    <phoneticPr fontId="59" type="noConversion"/>
  </si>
  <si>
    <t>甘三酣談</t>
    <phoneticPr fontId="59" type="noConversion"/>
  </si>
  <si>
    <t>敢</t>
  </si>
  <si>
    <t>敢覽</t>
    <phoneticPr fontId="59" type="noConversion"/>
  </si>
  <si>
    <t>闞</t>
  </si>
  <si>
    <r>
      <t>濫瞰</t>
    </r>
    <r>
      <rPr>
        <sz val="20"/>
        <color rgb="FFFF0000"/>
        <rFont val="新細明體"/>
        <family val="1"/>
        <scheme val="minor"/>
      </rPr>
      <t>𣊟</t>
    </r>
    <r>
      <rPr>
        <sz val="20"/>
        <color theme="1"/>
        <rFont val="新細明體"/>
        <family val="1"/>
        <scheme val="minor"/>
      </rPr>
      <t>蹔暫</t>
    </r>
    <phoneticPr fontId="59" type="noConversion"/>
  </si>
  <si>
    <r>
      <t>盍</t>
    </r>
    <r>
      <rPr>
        <sz val="20"/>
        <color rgb="FFFF0000"/>
        <rFont val="新細明體"/>
        <family val="1"/>
        <scheme val="minor"/>
      </rPr>
      <t>榼</t>
    </r>
    <r>
      <rPr>
        <sz val="20"/>
        <color theme="1"/>
        <rFont val="新細明體"/>
        <family val="1"/>
        <scheme val="minor"/>
      </rPr>
      <t>臘</t>
    </r>
    <r>
      <rPr>
        <sz val="20"/>
        <color rgb="FFFF0000"/>
        <rFont val="新細明體"/>
        <family val="1"/>
        <scheme val="minor"/>
      </rPr>
      <t>雜</t>
    </r>
    <phoneticPr fontId="59" type="noConversion"/>
  </si>
  <si>
    <t>廉鹽炎淹占</t>
    <phoneticPr fontId="59" type="noConversion"/>
  </si>
  <si>
    <t>琰</t>
  </si>
  <si>
    <r>
      <t>冉染琰歛</t>
    </r>
    <r>
      <rPr>
        <sz val="20"/>
        <color rgb="FFFF0000"/>
        <rFont val="新細明體"/>
        <family val="1"/>
        <scheme val="minor"/>
      </rPr>
      <t>斂</t>
    </r>
    <r>
      <rPr>
        <sz val="20"/>
        <color theme="1"/>
        <rFont val="新細明體"/>
        <family val="1"/>
        <scheme val="minor"/>
      </rPr>
      <t>漸險儉檢</t>
    </r>
    <r>
      <rPr>
        <sz val="20"/>
        <color rgb="FFFF0000"/>
        <rFont val="新細明體"/>
        <family val="1"/>
        <scheme val="minor"/>
      </rPr>
      <t>奄</t>
    </r>
    <phoneticPr fontId="59" type="noConversion"/>
  </si>
  <si>
    <t>豔</t>
  </si>
  <si>
    <t>贍豔驗窆</t>
    <phoneticPr fontId="59" type="noConversion"/>
  </si>
  <si>
    <t>涉攝葉接輒</t>
    <phoneticPr fontId="59" type="noConversion"/>
  </si>
  <si>
    <t>兼甜</t>
    <phoneticPr fontId="59" type="noConversion"/>
  </si>
  <si>
    <t>忝</t>
  </si>
  <si>
    <t>點忝簟玷</t>
    <phoneticPr fontId="59" type="noConversion"/>
  </si>
  <si>
    <t>㮇</t>
    <phoneticPr fontId="10" type="noConversion"/>
  </si>
  <si>
    <t>念店</t>
    <phoneticPr fontId="10" type="noConversion"/>
  </si>
  <si>
    <t>開</t>
    <phoneticPr fontId="59" type="noConversion"/>
  </si>
  <si>
    <t>協愜牒頰篋</t>
    <phoneticPr fontId="59" type="noConversion"/>
  </si>
  <si>
    <t>怗 = 帖</t>
    <phoneticPr fontId="59" type="noConversion"/>
  </si>
  <si>
    <r>
      <t>䜛</t>
    </r>
    <r>
      <rPr>
        <sz val="20"/>
        <color rgb="FFFF0000"/>
        <rFont val="新細明體"/>
        <family val="1"/>
        <scheme val="minor"/>
      </rPr>
      <t>讒</t>
    </r>
    <r>
      <rPr>
        <sz val="20"/>
        <color theme="1"/>
        <rFont val="新細明體"/>
        <family val="1"/>
        <scheme val="minor"/>
      </rPr>
      <t>咸</t>
    </r>
    <phoneticPr fontId="59" type="noConversion"/>
  </si>
  <si>
    <t>豏</t>
  </si>
  <si>
    <t>減斬豏</t>
    <phoneticPr fontId="59" type="noConversion"/>
  </si>
  <si>
    <t>陷</t>
  </si>
  <si>
    <t>陷韽賺</t>
    <phoneticPr fontId="59" type="noConversion"/>
  </si>
  <si>
    <r>
      <t>夾洽</t>
    </r>
    <r>
      <rPr>
        <sz val="20"/>
        <color rgb="FFFF0000"/>
        <rFont val="新細明體"/>
        <family val="1"/>
        <scheme val="minor"/>
      </rPr>
      <t>㘝</t>
    </r>
    <phoneticPr fontId="59" type="noConversion"/>
  </si>
  <si>
    <t>監銜</t>
    <phoneticPr fontId="59" type="noConversion"/>
  </si>
  <si>
    <t>檻</t>
  </si>
  <si>
    <t>檻黤</t>
    <phoneticPr fontId="59" type="noConversion"/>
  </si>
  <si>
    <t>鑑</t>
  </si>
  <si>
    <t>懺鑑鑒</t>
    <phoneticPr fontId="59" type="noConversion"/>
  </si>
  <si>
    <t>甲狎</t>
    <phoneticPr fontId="59" type="noConversion"/>
  </si>
  <si>
    <r>
      <t>嚴</t>
    </r>
    <r>
      <rPr>
        <sz val="20"/>
        <color rgb="FFFF0000"/>
        <rFont val="新細明體"/>
        <family val="1"/>
        <scheme val="minor"/>
      </rPr>
      <t>𩏩</t>
    </r>
    <phoneticPr fontId="59" type="noConversion"/>
  </si>
  <si>
    <t>儼</t>
  </si>
  <si>
    <r>
      <t>掩</t>
    </r>
    <r>
      <rPr>
        <sz val="20"/>
        <color rgb="FFFF0000"/>
        <rFont val="新細明體"/>
        <family val="1"/>
        <scheme val="minor"/>
      </rPr>
      <t>广</t>
    </r>
    <phoneticPr fontId="59" type="noConversion"/>
  </si>
  <si>
    <t>釅</t>
  </si>
  <si>
    <r>
      <t>欠劍</t>
    </r>
    <r>
      <rPr>
        <sz val="20"/>
        <color rgb="FFFF0000"/>
        <rFont val="新細明體"/>
        <family val="1"/>
        <scheme val="minor"/>
      </rPr>
      <t>劔劒</t>
    </r>
    <r>
      <rPr>
        <sz val="20"/>
        <color theme="1"/>
        <rFont val="新細明體"/>
        <family val="1"/>
        <scheme val="minor"/>
      </rPr>
      <t>釅</t>
    </r>
    <phoneticPr fontId="59" type="noConversion"/>
  </si>
  <si>
    <t>怯業劫</t>
    <phoneticPr fontId="59" type="noConversion"/>
  </si>
  <si>
    <t>合</t>
    <phoneticPr fontId="59" type="noConversion"/>
  </si>
  <si>
    <t>凡䒦</t>
    <phoneticPr fontId="59" type="noConversion"/>
  </si>
  <si>
    <t>范</t>
  </si>
  <si>
    <t>梵泛</t>
    <phoneticPr fontId="59" type="noConversion"/>
  </si>
  <si>
    <t>梵</t>
  </si>
  <si>
    <r>
      <t>犯范鋄</t>
    </r>
    <r>
      <rPr>
        <sz val="20"/>
        <color rgb="FFFF0000"/>
        <rFont val="新細明體"/>
        <family val="1"/>
        <scheme val="minor"/>
      </rPr>
      <t>錽</t>
    </r>
    <phoneticPr fontId="59" type="noConversion"/>
  </si>
  <si>
    <r>
      <t>去乏</t>
    </r>
    <r>
      <rPr>
        <sz val="20"/>
        <color rgb="FFFF0000"/>
        <rFont val="新細明體"/>
        <family val="1"/>
        <scheme val="minor"/>
      </rPr>
      <t>法</t>
    </r>
    <phoneticPr fontId="59" type="noConversion"/>
  </si>
  <si>
    <t>01獨洪</t>
  </si>
  <si>
    <t>舒</t>
  </si>
  <si>
    <t>上平01東</t>
  </si>
  <si>
    <t>董</t>
  </si>
  <si>
    <t>上01董</t>
  </si>
  <si>
    <t>送</t>
  </si>
  <si>
    <t>去01送</t>
  </si>
  <si>
    <t>屋</t>
  </si>
  <si>
    <t>入01屋</t>
  </si>
  <si>
    <t>東二</t>
  </si>
  <si>
    <t>01獨細</t>
  </si>
  <si>
    <t>02獨洪</t>
  </si>
  <si>
    <t>上平02冬</t>
  </si>
  <si>
    <t>宋</t>
  </si>
  <si>
    <t>去02宋</t>
  </si>
  <si>
    <t>入02沃</t>
  </si>
  <si>
    <t>03獨細</t>
  </si>
  <si>
    <t>上平03鍾</t>
  </si>
  <si>
    <t>上02腫</t>
  </si>
  <si>
    <t>去03用</t>
  </si>
  <si>
    <t>入03燭</t>
  </si>
  <si>
    <t>04獨洪</t>
  </si>
  <si>
    <t>上平04江</t>
  </si>
  <si>
    <t>上03講</t>
  </si>
  <si>
    <t>去04絳</t>
  </si>
  <si>
    <t>入04覺</t>
  </si>
  <si>
    <t>05開細</t>
  </si>
  <si>
    <t>上平05支</t>
  </si>
  <si>
    <t>紙</t>
  </si>
  <si>
    <t>上04紙</t>
  </si>
  <si>
    <t>寘</t>
  </si>
  <si>
    <t>去05寘</t>
  </si>
  <si>
    <t>05合細</t>
  </si>
  <si>
    <t>06開細</t>
  </si>
  <si>
    <t>上平06脂</t>
  </si>
  <si>
    <t>旨</t>
  </si>
  <si>
    <t>上05旨</t>
  </si>
  <si>
    <t>至</t>
  </si>
  <si>
    <t>去06至</t>
  </si>
  <si>
    <t>06合細</t>
  </si>
  <si>
    <t>07獨細</t>
  </si>
  <si>
    <t>上平07之</t>
  </si>
  <si>
    <t>上06止</t>
  </si>
  <si>
    <t>去07志</t>
  </si>
  <si>
    <t>08開細</t>
  </si>
  <si>
    <t>上平08微</t>
  </si>
  <si>
    <t>尾</t>
  </si>
  <si>
    <t>上07尾</t>
  </si>
  <si>
    <t>未</t>
  </si>
  <si>
    <t>去08未</t>
  </si>
  <si>
    <t>08合細</t>
  </si>
  <si>
    <t>09獨細</t>
  </si>
  <si>
    <t>上平09魚</t>
  </si>
  <si>
    <t>上08語</t>
  </si>
  <si>
    <t>去09御</t>
  </si>
  <si>
    <t>10獨細</t>
  </si>
  <si>
    <t>上平10虞</t>
  </si>
  <si>
    <t>上09麌</t>
  </si>
  <si>
    <t>去10遇</t>
  </si>
  <si>
    <t>11獨洪</t>
  </si>
  <si>
    <t>上平11模</t>
  </si>
  <si>
    <t>上10姥</t>
  </si>
  <si>
    <t>去11暮</t>
  </si>
  <si>
    <t>12開細</t>
  </si>
  <si>
    <t>上平12齊</t>
  </si>
  <si>
    <t>薺</t>
  </si>
  <si>
    <t>上11薺</t>
  </si>
  <si>
    <t>霽</t>
  </si>
  <si>
    <t>去12霽</t>
  </si>
  <si>
    <t>12合細</t>
  </si>
  <si>
    <t>13開細</t>
  </si>
  <si>
    <t>去13祭</t>
  </si>
  <si>
    <t>13合細</t>
  </si>
  <si>
    <t>14開洪</t>
  </si>
  <si>
    <t>去14泰</t>
  </si>
  <si>
    <t>14合洪</t>
  </si>
  <si>
    <t>15開洪</t>
  </si>
  <si>
    <t>上平13佳</t>
  </si>
  <si>
    <t>上12蟹</t>
  </si>
  <si>
    <t>卦</t>
  </si>
  <si>
    <t>去15卦</t>
  </si>
  <si>
    <t>15合洪</t>
  </si>
  <si>
    <t>16開洪</t>
  </si>
  <si>
    <t>上平14皆</t>
  </si>
  <si>
    <t>駭</t>
  </si>
  <si>
    <t>上13駭</t>
  </si>
  <si>
    <t>怪</t>
  </si>
  <si>
    <t>去16怪</t>
  </si>
  <si>
    <t>16合洪</t>
  </si>
  <si>
    <t>17開洪</t>
  </si>
  <si>
    <t>去17夬</t>
  </si>
  <si>
    <t>17合洪</t>
  </si>
  <si>
    <t>18合洪</t>
  </si>
  <si>
    <t>上平15灰</t>
  </si>
  <si>
    <t>上14賄</t>
  </si>
  <si>
    <t>去18隊</t>
  </si>
  <si>
    <t>19開洪</t>
  </si>
  <si>
    <t>上平16咍</t>
  </si>
  <si>
    <t>上15海</t>
  </si>
  <si>
    <t>去19代</t>
  </si>
  <si>
    <t>20合細</t>
  </si>
  <si>
    <t>去20廢</t>
  </si>
  <si>
    <t>21開細</t>
  </si>
  <si>
    <t>上平17真</t>
  </si>
  <si>
    <t>上16軫</t>
  </si>
  <si>
    <t>去21震</t>
  </si>
  <si>
    <t>入05質</t>
  </si>
  <si>
    <t>22合細</t>
  </si>
  <si>
    <t>上平18諄</t>
  </si>
  <si>
    <t>上17準</t>
  </si>
  <si>
    <t>去22稕</t>
  </si>
  <si>
    <t>入06術</t>
  </si>
  <si>
    <t>23開洪</t>
  </si>
  <si>
    <t>上平19臻</t>
  </si>
  <si>
    <t>去23齔</t>
  </si>
  <si>
    <t>入07櫛</t>
  </si>
  <si>
    <t>24合細</t>
  </si>
  <si>
    <t>上平20文</t>
  </si>
  <si>
    <t>上18吻</t>
  </si>
  <si>
    <t>去24問</t>
  </si>
  <si>
    <t>入08物</t>
  </si>
  <si>
    <t>25開細</t>
  </si>
  <si>
    <t>上平21殷</t>
  </si>
  <si>
    <t>上19隱</t>
  </si>
  <si>
    <t>去25焮</t>
  </si>
  <si>
    <t>入09迄</t>
  </si>
  <si>
    <t>26開細</t>
  </si>
  <si>
    <t>上平22元</t>
  </si>
  <si>
    <t>阮</t>
  </si>
  <si>
    <t>上20阮</t>
  </si>
  <si>
    <t>願</t>
  </si>
  <si>
    <t>去26願</t>
  </si>
  <si>
    <t>月</t>
  </si>
  <si>
    <t>入10月</t>
  </si>
  <si>
    <t>26合細</t>
  </si>
  <si>
    <t>27合洪</t>
  </si>
  <si>
    <t>上平23魂</t>
  </si>
  <si>
    <t>上21混</t>
  </si>
  <si>
    <t>去27慁</t>
  </si>
  <si>
    <t>入11沒</t>
  </si>
  <si>
    <t>28開洪</t>
  </si>
  <si>
    <t>上平24痕</t>
  </si>
  <si>
    <t>上22很</t>
  </si>
  <si>
    <t>去28恨</t>
  </si>
  <si>
    <t>入12麧</t>
  </si>
  <si>
    <t>29開洪</t>
  </si>
  <si>
    <t>上平25寒</t>
  </si>
  <si>
    <t>上23旱</t>
  </si>
  <si>
    <t>去29翰</t>
  </si>
  <si>
    <t>入13曷</t>
  </si>
  <si>
    <t>30合洪</t>
  </si>
  <si>
    <t>上平26桓</t>
  </si>
  <si>
    <t>上24緩</t>
  </si>
  <si>
    <t>去30換</t>
  </si>
  <si>
    <t>入14末</t>
  </si>
  <si>
    <t>31開洪</t>
  </si>
  <si>
    <t>上平27刪</t>
  </si>
  <si>
    <t>潸</t>
  </si>
  <si>
    <t>上25潸</t>
  </si>
  <si>
    <t>諫</t>
  </si>
  <si>
    <t>去31諫</t>
  </si>
  <si>
    <t>黠</t>
  </si>
  <si>
    <t>入15黠</t>
  </si>
  <si>
    <t>31合洪</t>
  </si>
  <si>
    <t>32開洪</t>
  </si>
  <si>
    <t>上平28山</t>
  </si>
  <si>
    <t>產</t>
  </si>
  <si>
    <t>上26產</t>
  </si>
  <si>
    <t>襇</t>
  </si>
  <si>
    <t>去32襇</t>
  </si>
  <si>
    <t>鎋</t>
  </si>
  <si>
    <t>入16鎋</t>
  </si>
  <si>
    <t>山二</t>
  </si>
  <si>
    <t>32合洪</t>
  </si>
  <si>
    <t>33開細</t>
  </si>
  <si>
    <t>下平01先</t>
  </si>
  <si>
    <t>銑</t>
  </si>
  <si>
    <t>上27銑</t>
  </si>
  <si>
    <t>霰</t>
  </si>
  <si>
    <t>去33霰</t>
  </si>
  <si>
    <t>屑</t>
  </si>
  <si>
    <t>入17屑</t>
  </si>
  <si>
    <t>33合細</t>
  </si>
  <si>
    <t>34開細</t>
  </si>
  <si>
    <t>下平02仙</t>
  </si>
  <si>
    <t>獮</t>
  </si>
  <si>
    <t>上28獮</t>
  </si>
  <si>
    <t>線</t>
  </si>
  <si>
    <t>去34線</t>
  </si>
  <si>
    <t>薛</t>
  </si>
  <si>
    <t>入18薛</t>
  </si>
  <si>
    <t>34合細</t>
  </si>
  <si>
    <t>35開細</t>
  </si>
  <si>
    <t>下平03蕭</t>
  </si>
  <si>
    <t>上29篠</t>
  </si>
  <si>
    <t>去35嘯</t>
  </si>
  <si>
    <t>36開細</t>
  </si>
  <si>
    <t>下平04宵</t>
  </si>
  <si>
    <t>上30小</t>
  </si>
  <si>
    <t>去36笑</t>
  </si>
  <si>
    <t>37開洪</t>
  </si>
  <si>
    <t>下平05肴</t>
  </si>
  <si>
    <t>上31巧</t>
  </si>
  <si>
    <t>去37效</t>
  </si>
  <si>
    <t>38開洪</t>
  </si>
  <si>
    <t>下平06豪</t>
  </si>
  <si>
    <t>上32晧</t>
  </si>
  <si>
    <t>去38号</t>
  </si>
  <si>
    <t>39開洪</t>
  </si>
  <si>
    <t>下平07歌</t>
  </si>
  <si>
    <t>上33哿</t>
  </si>
  <si>
    <t>去39箇</t>
  </si>
  <si>
    <t>40合洪</t>
  </si>
  <si>
    <t>下平08戈</t>
  </si>
  <si>
    <t>上34果</t>
  </si>
  <si>
    <t>過</t>
  </si>
  <si>
    <t>去40過</t>
  </si>
  <si>
    <t>40開細</t>
  </si>
  <si>
    <t>40合細</t>
  </si>
  <si>
    <t>41開洪</t>
  </si>
  <si>
    <t>下平09麻</t>
  </si>
  <si>
    <t>馬</t>
  </si>
  <si>
    <t>上35馬</t>
  </si>
  <si>
    <t>禡</t>
  </si>
  <si>
    <t>去41禡</t>
  </si>
  <si>
    <t>41合洪</t>
  </si>
  <si>
    <t>41開細</t>
  </si>
  <si>
    <t>42開細</t>
  </si>
  <si>
    <t>下平10陽</t>
  </si>
  <si>
    <t>養</t>
  </si>
  <si>
    <t>上36養</t>
  </si>
  <si>
    <t>漾</t>
  </si>
  <si>
    <t>去42漾</t>
  </si>
  <si>
    <t>藥</t>
  </si>
  <si>
    <t>入19藥</t>
  </si>
  <si>
    <t>42合細</t>
  </si>
  <si>
    <t>43開洪</t>
  </si>
  <si>
    <t>下平11唐</t>
  </si>
  <si>
    <t>蕩</t>
  </si>
  <si>
    <t>上37蕩</t>
  </si>
  <si>
    <t>去43宕</t>
  </si>
  <si>
    <t>鐸</t>
  </si>
  <si>
    <t>入20鐸</t>
  </si>
  <si>
    <t>43合洪</t>
  </si>
  <si>
    <t>44開洪</t>
  </si>
  <si>
    <t>下平12庚</t>
  </si>
  <si>
    <t>上38梗</t>
  </si>
  <si>
    <t>敬</t>
  </si>
  <si>
    <t>去44敬</t>
  </si>
  <si>
    <t>陌</t>
  </si>
  <si>
    <t>入21陌</t>
  </si>
  <si>
    <t>44合洪</t>
  </si>
  <si>
    <t>44開細</t>
  </si>
  <si>
    <t>44合細</t>
  </si>
  <si>
    <t>45開洪</t>
  </si>
  <si>
    <t>下平13耕</t>
  </si>
  <si>
    <t>耿</t>
  </si>
  <si>
    <t>上39耿</t>
  </si>
  <si>
    <t>諍</t>
  </si>
  <si>
    <t>去45諍</t>
  </si>
  <si>
    <t>麥</t>
  </si>
  <si>
    <t>入22麥</t>
  </si>
  <si>
    <t>45合洪</t>
  </si>
  <si>
    <t>46開細</t>
  </si>
  <si>
    <t>下平14清</t>
  </si>
  <si>
    <t>靜</t>
  </si>
  <si>
    <t>上40靜</t>
  </si>
  <si>
    <t>勁</t>
  </si>
  <si>
    <t>去46勁</t>
  </si>
  <si>
    <t>昔</t>
  </si>
  <si>
    <t>入23昔</t>
  </si>
  <si>
    <t>46合細</t>
  </si>
  <si>
    <t>47開細</t>
  </si>
  <si>
    <t>下平15青</t>
  </si>
  <si>
    <t>迥</t>
  </si>
  <si>
    <t>上41迥</t>
  </si>
  <si>
    <t>徑</t>
  </si>
  <si>
    <t>去47徑</t>
  </si>
  <si>
    <t>錫</t>
  </si>
  <si>
    <t>入24錫</t>
  </si>
  <si>
    <t>47合細</t>
  </si>
  <si>
    <t>48開細</t>
  </si>
  <si>
    <t>下平16蒸</t>
  </si>
  <si>
    <t>上42拯</t>
  </si>
  <si>
    <t>去48證</t>
  </si>
  <si>
    <t>入25職</t>
  </si>
  <si>
    <t>49開洪</t>
  </si>
  <si>
    <t>下平17登</t>
  </si>
  <si>
    <t>上43等</t>
  </si>
  <si>
    <t>嶝</t>
  </si>
  <si>
    <t>去49嶝</t>
  </si>
  <si>
    <t>德</t>
  </si>
  <si>
    <t>入26德</t>
  </si>
  <si>
    <t>49合洪</t>
  </si>
  <si>
    <t>50開細</t>
  </si>
  <si>
    <t>下平18尤</t>
  </si>
  <si>
    <t>上44有</t>
  </si>
  <si>
    <t>去50宥</t>
  </si>
  <si>
    <t>51開洪</t>
  </si>
  <si>
    <t>下平19侯</t>
  </si>
  <si>
    <t>上45厚</t>
  </si>
  <si>
    <t>候</t>
  </si>
  <si>
    <t>去51候</t>
  </si>
  <si>
    <t>52開細</t>
  </si>
  <si>
    <t>下平20幽</t>
  </si>
  <si>
    <t>上46黝</t>
  </si>
  <si>
    <t>去52幼</t>
  </si>
  <si>
    <t>53開細</t>
  </si>
  <si>
    <t>下平21侵</t>
  </si>
  <si>
    <t>上47寢</t>
  </si>
  <si>
    <t>去53沁</t>
  </si>
  <si>
    <t>入27緝</t>
  </si>
  <si>
    <t>54開洪</t>
  </si>
  <si>
    <t>下平22覃</t>
  </si>
  <si>
    <t>上48感</t>
  </si>
  <si>
    <t>去54勘</t>
  </si>
  <si>
    <t>入28合</t>
  </si>
  <si>
    <t>55開洪</t>
  </si>
  <si>
    <t>下平23談</t>
  </si>
  <si>
    <t>上49敢</t>
  </si>
  <si>
    <t>去55闞</t>
  </si>
  <si>
    <t>入29盍</t>
  </si>
  <si>
    <t>56開細</t>
  </si>
  <si>
    <t>下平24鹽</t>
  </si>
  <si>
    <t>上50琰</t>
  </si>
  <si>
    <t>去56豔</t>
  </si>
  <si>
    <t>入30葉</t>
  </si>
  <si>
    <t>57開細</t>
  </si>
  <si>
    <t>下平25添</t>
  </si>
  <si>
    <t>上51忝</t>
  </si>
  <si>
    <t>㮇</t>
  </si>
  <si>
    <t>去57㮇</t>
  </si>
  <si>
    <t>入31怗</t>
  </si>
  <si>
    <t>58開洪</t>
  </si>
  <si>
    <t>下平26咸</t>
  </si>
  <si>
    <t>上52豏</t>
  </si>
  <si>
    <t>去58陷</t>
  </si>
  <si>
    <t>入32洽</t>
  </si>
  <si>
    <t>59開洪</t>
  </si>
  <si>
    <t>下平27銜</t>
  </si>
  <si>
    <t>上53檻</t>
  </si>
  <si>
    <t>去59鑑</t>
  </si>
  <si>
    <t>入33狎</t>
  </si>
  <si>
    <t>60開細</t>
  </si>
  <si>
    <t>下平28嚴</t>
  </si>
  <si>
    <t>上54儼</t>
  </si>
  <si>
    <t>去60釅</t>
  </si>
  <si>
    <t>入34業</t>
  </si>
  <si>
    <t>61合細</t>
  </si>
  <si>
    <t>下平29凡</t>
  </si>
  <si>
    <t>上55范</t>
  </si>
  <si>
    <t>去61梵</t>
  </si>
  <si>
    <t>入35乏</t>
  </si>
  <si>
    <t>識別號</t>
  </si>
  <si>
    <t>識別號2</t>
    <phoneticPr fontId="10" type="noConversion"/>
  </si>
  <si>
    <t>四聲</t>
    <phoneticPr fontId="10" type="noConversion"/>
  </si>
  <si>
    <t>目次</t>
    <phoneticPr fontId="10" type="noConversion"/>
  </si>
  <si>
    <t>韻攝</t>
  </si>
  <si>
    <t>董 【上聲一董】</t>
  </si>
  <si>
    <t>送 【去聲一送】</t>
  </si>
  <si>
    <t>屋 【入聲一屋】</t>
  </si>
  <si>
    <t>冬 【上平聲二冬】</t>
  </si>
  <si>
    <t>宋 【去聲二宋】</t>
  </si>
  <si>
    <t>沃 【入聲二沃】</t>
  </si>
  <si>
    <t>鍾 【上平聲三鍾】</t>
  </si>
  <si>
    <t>腫 【上聲二腫】</t>
  </si>
  <si>
    <t>用 【去聲三用】</t>
  </si>
  <si>
    <t>燭 【入聲三燭】</t>
  </si>
  <si>
    <t>江 【上平聲四江】</t>
  </si>
  <si>
    <t>講 【上聲三講】</t>
  </si>
  <si>
    <t>絳 【去聲四絳】</t>
  </si>
  <si>
    <t>覺 【入聲四覺】</t>
  </si>
  <si>
    <t>支 【上平聲五支】</t>
  </si>
  <si>
    <t>紙 【上聲四紙】</t>
  </si>
  <si>
    <t>寘 【去聲五寘】</t>
  </si>
  <si>
    <t>脂 【上平聲六脂】</t>
  </si>
  <si>
    <t>旨 【上聲五旨】</t>
  </si>
  <si>
    <t>至 【去聲六至】</t>
  </si>
  <si>
    <t>之 【上平聲七之】</t>
  </si>
  <si>
    <t>止 【上聲六止】</t>
  </si>
  <si>
    <t>志 【去聲七志】</t>
  </si>
  <si>
    <t>微 【上平聲八微】</t>
  </si>
  <si>
    <t>尾 【上聲七尾】</t>
  </si>
  <si>
    <t>未 【去聲八未】</t>
  </si>
  <si>
    <t>魚 【上平聲九魚】</t>
  </si>
  <si>
    <t>語 【上聲八語】</t>
  </si>
  <si>
    <t>御 【去聲九御】</t>
  </si>
  <si>
    <t>虞 【上平聲十虞】</t>
  </si>
  <si>
    <t>麌 【上聲九麌】</t>
  </si>
  <si>
    <t>遇 【去聲十遇】</t>
  </si>
  <si>
    <t>模 【上平聲十一模】</t>
  </si>
  <si>
    <t>姥 【上聲十姥】</t>
  </si>
  <si>
    <t>暮 【去聲十一暮】</t>
  </si>
  <si>
    <t>齊 【上平聲十二齊】</t>
  </si>
  <si>
    <t>薺 【上聲十一薺】</t>
  </si>
  <si>
    <t>霽 【去聲十二霽】</t>
  </si>
  <si>
    <t>祭 【去聲十三祭】</t>
  </si>
  <si>
    <t>泰 【去聲十四泰】</t>
  </si>
  <si>
    <t>佳 【上平聲十三佳】</t>
  </si>
  <si>
    <t>蟹 【上聲十二蟹】</t>
  </si>
  <si>
    <t>卦 【去聲十五卦】</t>
  </si>
  <si>
    <t>皆 【上平聲十四皆】</t>
  </si>
  <si>
    <t>駭 【上聲十三駭】</t>
  </si>
  <si>
    <t>怪 【去聲十六怪】</t>
  </si>
  <si>
    <t>夬 【去聲十七夬】</t>
  </si>
  <si>
    <t>灰 【上平聲十五灰】</t>
  </si>
  <si>
    <t>賄 【上聲十四賄】</t>
  </si>
  <si>
    <t>隊 【去聲十八隊】</t>
  </si>
  <si>
    <t>咍 【上平聲十六咍】</t>
  </si>
  <si>
    <t>海 【上聲十五海】</t>
  </si>
  <si>
    <t>代 【去聲十九代】</t>
  </si>
  <si>
    <t>廢 【去聲二十廢】</t>
  </si>
  <si>
    <t>軫 【上聲十六軫】</t>
  </si>
  <si>
    <t>震 【去聲二十一震】</t>
  </si>
  <si>
    <t>質 【入聲五質】</t>
  </si>
  <si>
    <t>諄 【上平聲十八諄】</t>
  </si>
  <si>
    <t>準 【上聲十七準】</t>
  </si>
  <si>
    <t>稕 【去聲二十二稕】</t>
  </si>
  <si>
    <t>術 【入聲六術】</t>
  </si>
  <si>
    <t>臻 【上平聲十九臻】</t>
  </si>
  <si>
    <t>櫛 【入聲七櫛】</t>
  </si>
  <si>
    <t>文 【上平聲二十文】</t>
  </si>
  <si>
    <t>吻 【上聲十八吻】</t>
  </si>
  <si>
    <t>問 【去聲二十三問】</t>
  </si>
  <si>
    <t>物 【入聲八物】</t>
  </si>
  <si>
    <t>隱 【上聲十九隱】</t>
  </si>
  <si>
    <t>焮 【去聲二十四焮】</t>
  </si>
  <si>
    <t>迄 【入聲九迄】</t>
  </si>
  <si>
    <t>元 【上平聲二十二元】</t>
  </si>
  <si>
    <t>阮 【上聲二十阮】</t>
  </si>
  <si>
    <t>願 【去聲二十五願】</t>
  </si>
  <si>
    <t>月 【入聲十月】</t>
  </si>
  <si>
    <t>魂 【上平聲二十三魂】</t>
  </si>
  <si>
    <t>混 【上聲二十一混】</t>
  </si>
  <si>
    <t>慁 【去聲二十六慁】</t>
  </si>
  <si>
    <t>沒 【入聲十一沒】</t>
  </si>
  <si>
    <t>痕 【上平聲二十四痕】</t>
  </si>
  <si>
    <t>很 【上聲二十二很】</t>
  </si>
  <si>
    <t>恨 【去聲二十七恨】</t>
  </si>
  <si>
    <t>寒 【上平聲二十五寒】</t>
  </si>
  <si>
    <t>旱 【上聲二十三旱】</t>
  </si>
  <si>
    <t>翰 【去聲二十八翰】</t>
  </si>
  <si>
    <t>曷 【入聲十二曷】</t>
  </si>
  <si>
    <t>桓 【上平聲二十六桓】</t>
  </si>
  <si>
    <t>緩 【上聲二十四緩】</t>
  </si>
  <si>
    <t>換 【去聲二十九換】</t>
  </si>
  <si>
    <t>末 【入聲十三末】</t>
  </si>
  <si>
    <t>刪 【上平聲二十七刪】</t>
  </si>
  <si>
    <t>潸 【上聲二十五潸】</t>
  </si>
  <si>
    <t>諫 【去聲三十諫】</t>
  </si>
  <si>
    <t>黠 【入聲十四黠】</t>
  </si>
  <si>
    <t>山 【上平聲二十八山】</t>
  </si>
  <si>
    <t>產 【上聲二十六產】</t>
  </si>
  <si>
    <t>襇 【去聲三十一襇】</t>
  </si>
  <si>
    <t>鎋 【入聲十五鎋】</t>
  </si>
  <si>
    <t>先 【下平聲一先】</t>
  </si>
  <si>
    <t>銑 【上聲二十七銑】</t>
  </si>
  <si>
    <t>霰 【去聲三十二霰】</t>
  </si>
  <si>
    <t>屑 【入聲十六屑】</t>
  </si>
  <si>
    <t>仙 【下平聲二仙】</t>
  </si>
  <si>
    <t>獮 【上聲二十八獮】</t>
  </si>
  <si>
    <t>線 【去聲三十三線】</t>
  </si>
  <si>
    <t>薛 【入聲十七薛】</t>
  </si>
  <si>
    <t>蕭 【下平聲三蕭】</t>
  </si>
  <si>
    <t>篠 【上聲二十九篠】</t>
  </si>
  <si>
    <t>嘯 【去聲三十四嘯】</t>
  </si>
  <si>
    <t>宵 【下平聲四宵】</t>
  </si>
  <si>
    <t>小 【上聲三十小】</t>
  </si>
  <si>
    <t>笑 【去聲三十五笑】</t>
  </si>
  <si>
    <t>肴 【下平聲五肴】</t>
  </si>
  <si>
    <t>巧 【上聲三十一巧】</t>
  </si>
  <si>
    <t>效 【去聲三十六效】</t>
  </si>
  <si>
    <t>豪 【下平聲六豪】</t>
  </si>
  <si>
    <t>晧 【上聲三十二晧】</t>
  </si>
  <si>
    <t>号 【去聲三十七号】</t>
  </si>
  <si>
    <t>歌 【下平聲七歌】</t>
  </si>
  <si>
    <t>哿 【上聲三十三哿】</t>
  </si>
  <si>
    <t>箇 【去聲三十八箇】</t>
  </si>
  <si>
    <t>戈 【下平聲八戈】</t>
  </si>
  <si>
    <t>果 【上聲三十四果】</t>
  </si>
  <si>
    <t>過 【去聲三十九過】</t>
  </si>
  <si>
    <t>麻 【下平聲九麻】</t>
  </si>
  <si>
    <t>馬 【上聲三十五馬】</t>
  </si>
  <si>
    <t>禡 【去聲四十禡】</t>
  </si>
  <si>
    <t>陽 【下平聲十陽】</t>
  </si>
  <si>
    <t>養 【上聲三十六養】</t>
  </si>
  <si>
    <t>漾 【去聲四十一漾】</t>
  </si>
  <si>
    <t>藥 【入聲十八藥】</t>
  </si>
  <si>
    <t>唐 【下平聲十一唐】</t>
  </si>
  <si>
    <t>蕩 【上聲三十七蕩】</t>
  </si>
  <si>
    <t>宕 【去聲四十二宕】</t>
  </si>
  <si>
    <t>鐸 【入聲十九鐸】</t>
  </si>
  <si>
    <t>庚 【下平聲十二庚】</t>
  </si>
  <si>
    <t>梗 【上聲三十八梗】</t>
  </si>
  <si>
    <t>陌 【入聲二十陌】</t>
  </si>
  <si>
    <t>耕 【下平聲十三耕】</t>
  </si>
  <si>
    <t>耿 【上聲三十九耿】</t>
  </si>
  <si>
    <t>諍 【去聲四十四諍】</t>
  </si>
  <si>
    <t>麥 【入聲二十一麥】</t>
  </si>
  <si>
    <t>清 【下平聲十四清】</t>
  </si>
  <si>
    <t>靜 【上聲四十靜】</t>
  </si>
  <si>
    <t>勁 【去聲四十五勁】</t>
  </si>
  <si>
    <t>昔 【入聲二十二昔】</t>
  </si>
  <si>
    <t>青 【下平聲十五青】</t>
  </si>
  <si>
    <t>迥 【上聲四十一迥】</t>
  </si>
  <si>
    <t>徑 【去聲四十六徑】</t>
  </si>
  <si>
    <t>錫 【入聲二十三錫】</t>
  </si>
  <si>
    <t>蒸 【下平聲十六蒸】</t>
  </si>
  <si>
    <t>拯 【上聲四十二拯】</t>
  </si>
  <si>
    <t>證 【去聲四十七證】</t>
  </si>
  <si>
    <t>職 【入聲二十四職】</t>
  </si>
  <si>
    <t>登 【下平聲十七登】</t>
  </si>
  <si>
    <t>等 【上聲四十三等】</t>
  </si>
  <si>
    <t>嶝 【去聲四十八嶝】</t>
  </si>
  <si>
    <t>德 【入聲二十五德】</t>
  </si>
  <si>
    <t>尤 【下平聲十八尤】</t>
  </si>
  <si>
    <t>有 【上聲四十四有】</t>
  </si>
  <si>
    <t>宥 【去聲四十九宥】</t>
  </si>
  <si>
    <t>侯 【下平聲十九侯】</t>
  </si>
  <si>
    <t>厚 【上聲四十五厚】</t>
  </si>
  <si>
    <t>幽 【下平聲二十幽】</t>
  </si>
  <si>
    <t>黝 【上聲四十六黝】</t>
  </si>
  <si>
    <t>幼 【去聲五十一幼】</t>
  </si>
  <si>
    <t>侵 【下平聲二十一侵】</t>
  </si>
  <si>
    <t>沁 【去聲五十二沁】</t>
  </si>
  <si>
    <t>緝 【入聲二十六緝】</t>
  </si>
  <si>
    <t>覃 【下平聲二十二覃】</t>
  </si>
  <si>
    <t>感 【上聲四十八感】</t>
  </si>
  <si>
    <t>勘 【去聲五十三勘】</t>
  </si>
  <si>
    <t>合 【入聲二十七合】</t>
  </si>
  <si>
    <t>談 【下平聲二十三談】</t>
  </si>
  <si>
    <t>敢 【上聲四十九敢】</t>
  </si>
  <si>
    <t>闞 【去聲五十四闞】</t>
  </si>
  <si>
    <t>盍 【入聲二十八盍】</t>
  </si>
  <si>
    <t>鹽 【下平聲二十四鹽】</t>
  </si>
  <si>
    <t>琰 【上聲五十琰】</t>
  </si>
  <si>
    <t>豔 【去聲五十五豔】</t>
  </si>
  <si>
    <t>葉 【入聲二十九葉】</t>
  </si>
  <si>
    <t>添 【下平聲二十五添】</t>
  </si>
  <si>
    <t>忝 【上聲五十一忝】</t>
  </si>
  <si>
    <t>怗 【入聲三十怗】</t>
  </si>
  <si>
    <t>咸 【下平聲二十六咸】</t>
  </si>
  <si>
    <t>陷 【去聲五十八陷】</t>
  </si>
  <si>
    <t>洽 【入聲三十一洽】</t>
  </si>
  <si>
    <t>銜 【下平聲二十七銜】</t>
  </si>
  <si>
    <t>鑑 【去聲五十九鑑】</t>
  </si>
  <si>
    <t>狎 【入聲三十二狎】</t>
  </si>
  <si>
    <t>嚴 【下平聲二十八嚴】</t>
  </si>
  <si>
    <t>釅 【去聲五十七釅】</t>
  </si>
  <si>
    <t>業 【入聲三十三業】</t>
  </si>
  <si>
    <t>凡 【下平聲二十九凡】</t>
  </si>
  <si>
    <t>梵 【去聲六十梵】</t>
  </si>
  <si>
    <t>范 【上聲五十五范】</t>
  </si>
  <si>
    <t>乏 【入聲三十四乏】</t>
  </si>
  <si>
    <t>平聲</t>
    <phoneticPr fontId="10" type="noConversion"/>
  </si>
  <si>
    <t>上聲</t>
    <phoneticPr fontId="10" type="noConversion"/>
  </si>
  <si>
    <t>去聲</t>
    <phoneticPr fontId="10" type="noConversion"/>
  </si>
  <si>
    <t>入聲</t>
    <phoneticPr fontId="10" type="noConversion"/>
  </si>
  <si>
    <t>列號</t>
    <phoneticPr fontId="10" type="noConversion"/>
  </si>
  <si>
    <t>東 【上平聲一東】</t>
    <phoneticPr fontId="51" type="noConversion"/>
  </si>
  <si>
    <t>真 【上平聲十七眞】</t>
    <phoneticPr fontId="59" type="noConversion"/>
  </si>
  <si>
    <t>齔 【去聲二十一齔】</t>
    <phoneticPr fontId="10" type="noConversion"/>
  </si>
  <si>
    <t>殷 【上平聲二十一殷】</t>
    <phoneticPr fontId="10" type="noConversion"/>
  </si>
  <si>
    <t>麧 【入聲十一麧】</t>
    <phoneticPr fontId="10" type="noConversion"/>
  </si>
  <si>
    <t>敬 【去聲四十三敬】</t>
    <phoneticPr fontId="10" type="noConversion"/>
  </si>
  <si>
    <t>候【去聲五十候】</t>
    <phoneticPr fontId="59" type="noConversion"/>
  </si>
  <si>
    <t>寢 【上聲四十七寢】</t>
    <phoneticPr fontId="10" type="noConversion"/>
  </si>
  <si>
    <t>㮇 【去聲五十六㮇】</t>
    <phoneticPr fontId="10" type="noConversion"/>
  </si>
  <si>
    <t>豏 【上聲五十二豏】</t>
    <phoneticPr fontId="59" type="noConversion"/>
  </si>
  <si>
    <t>檻 【上聲五十三檻】</t>
    <phoneticPr fontId="59" type="noConversion"/>
  </si>
  <si>
    <t>儼 【上聲五十四儼】</t>
    <phoneticPr fontId="59" type="noConversion"/>
  </si>
  <si>
    <t>識別號</t>
    <phoneticPr fontId="51" type="noConversion"/>
  </si>
  <si>
    <t>七聲類</t>
    <phoneticPr fontId="90" type="noConversion"/>
  </si>
  <si>
    <t>發音部位</t>
    <phoneticPr fontId="51" type="noConversion"/>
  </si>
  <si>
    <t>聲母</t>
    <phoneticPr fontId="51" type="noConversion"/>
  </si>
  <si>
    <t>清濁</t>
    <phoneticPr fontId="51" type="noConversion"/>
  </si>
  <si>
    <t>聲母標音</t>
    <phoneticPr fontId="51" type="noConversion"/>
  </si>
  <si>
    <t>切語上字集</t>
    <phoneticPr fontId="51" type="noConversion"/>
  </si>
  <si>
    <t>備註</t>
    <phoneticPr fontId="51" type="noConversion"/>
  </si>
  <si>
    <r>
      <t>古公過各規姑格詭吉紀几居九俱舉兼佳乖</t>
    </r>
    <r>
      <rPr>
        <b/>
        <sz val="16"/>
        <color rgb="FFFF0000"/>
        <rFont val="新細明體"/>
        <family val="1"/>
        <scheme val="minor"/>
      </rPr>
      <t>矩工</t>
    </r>
    <phoneticPr fontId="10" type="noConversion"/>
  </si>
  <si>
    <r>
      <t>康枯空口楷客恪苦窺牽謙去丘祛羌欽墟傾起綺豈區驅詰曲</t>
    </r>
    <r>
      <rPr>
        <b/>
        <sz val="16"/>
        <color rgb="FFFF0000"/>
        <rFont val="新細明體"/>
        <family val="1"/>
        <scheme val="minor"/>
      </rPr>
      <t>咎可乞袪弃卿</t>
    </r>
    <phoneticPr fontId="10" type="noConversion"/>
  </si>
  <si>
    <t xml:space="preserve"> </t>
  </si>
  <si>
    <t>渠強求奇衢其暨具巨臼跪近狂</t>
  </si>
  <si>
    <t>疑魚語宜玉遇虞愚牛擬研危五俄吾</t>
  </si>
  <si>
    <r>
      <t>多德得丁都當冬</t>
    </r>
    <r>
      <rPr>
        <b/>
        <sz val="16"/>
        <color rgb="FFFF0000"/>
        <rFont val="新細明體"/>
        <family val="1"/>
        <scheme val="minor"/>
      </rPr>
      <t>底</t>
    </r>
    <phoneticPr fontId="10" type="noConversion"/>
  </si>
  <si>
    <t>他託土通天台湯吐</t>
  </si>
  <si>
    <r>
      <t>徒同特唐堂田陀地度杜</t>
    </r>
    <r>
      <rPr>
        <b/>
        <sz val="16"/>
        <color rgb="FFFF0000"/>
        <rFont val="新細明體"/>
        <family val="1"/>
        <scheme val="minor"/>
      </rPr>
      <t>大</t>
    </r>
    <phoneticPr fontId="10" type="noConversion"/>
  </si>
  <si>
    <r>
      <t>奴乃諾內那嬭</t>
    </r>
    <r>
      <rPr>
        <sz val="16"/>
        <color rgb="FFFF0000"/>
        <rFont val="新細明體"/>
        <family val="1"/>
        <scheme val="minor"/>
      </rPr>
      <t>妳</t>
    </r>
    <phoneticPr fontId="10" type="noConversion"/>
  </si>
  <si>
    <r>
      <t>知張豬徵中追陟卓竹珍</t>
    </r>
    <r>
      <rPr>
        <b/>
        <sz val="16"/>
        <color rgb="FFFF0000"/>
        <rFont val="新細明體"/>
        <family val="1"/>
        <scheme val="minor"/>
      </rPr>
      <t>迍</t>
    </r>
    <phoneticPr fontId="10" type="noConversion"/>
  </si>
  <si>
    <t>抽癡褚楮丑恥敕</t>
  </si>
  <si>
    <t>除場池治持持遲佇柱丈直宅馳墜</t>
  </si>
  <si>
    <t>脣音</t>
  </si>
  <si>
    <r>
      <t>邊布補伯百北博巴卑并鄙必彼兵筆陂畀晡</t>
    </r>
    <r>
      <rPr>
        <b/>
        <sz val="16"/>
        <color rgb="FFFF0000"/>
        <rFont val="新細明體"/>
        <family val="1"/>
        <scheme val="minor"/>
      </rPr>
      <t>風</t>
    </r>
    <phoneticPr fontId="10" type="noConversion"/>
  </si>
  <si>
    <r>
      <t>滂普匹譬披丕</t>
    </r>
    <r>
      <rPr>
        <b/>
        <sz val="16"/>
        <color rgb="FFFF0000"/>
        <rFont val="新細明體"/>
        <family val="1"/>
        <scheme val="minor"/>
      </rPr>
      <t>被</t>
    </r>
    <phoneticPr fontId="10" type="noConversion"/>
  </si>
  <si>
    <t>蒲裴平皮步薄白部傍便弼婢毗簿捕</t>
    <phoneticPr fontId="10" type="noConversion"/>
  </si>
  <si>
    <r>
      <t>敷孚妃撫峰拂芳</t>
    </r>
    <r>
      <rPr>
        <b/>
        <sz val="16"/>
        <color rgb="FFFF0000"/>
        <rFont val="新細明體"/>
        <family val="1"/>
        <scheme val="minor"/>
      </rPr>
      <t>峯</t>
    </r>
    <phoneticPr fontId="10" type="noConversion"/>
  </si>
  <si>
    <r>
      <t>防縛附父浮苻扶馮</t>
    </r>
    <r>
      <rPr>
        <sz val="16"/>
        <color rgb="FFFF0000"/>
        <rFont val="新細明體"/>
        <family val="1"/>
        <scheme val="minor"/>
      </rPr>
      <t>房符</t>
    </r>
    <phoneticPr fontId="10" type="noConversion"/>
  </si>
  <si>
    <t>巫無武文望亡</t>
  </si>
  <si>
    <r>
      <t>子資則兹醉遵祖臧作將即借姊</t>
    </r>
    <r>
      <rPr>
        <b/>
        <sz val="16"/>
        <color rgb="FFFF0000"/>
        <rFont val="新細明體"/>
        <family val="1"/>
        <scheme val="minor"/>
      </rPr>
      <t>茲</t>
    </r>
    <phoneticPr fontId="10" type="noConversion"/>
  </si>
  <si>
    <r>
      <t>蒼倉雌醋麤此采親遷千青七取麁</t>
    </r>
    <r>
      <rPr>
        <b/>
        <sz val="16"/>
        <color rgb="FFFF0000"/>
        <rFont val="新細明體"/>
        <family val="1"/>
        <scheme val="minor"/>
      </rPr>
      <t>且</t>
    </r>
    <phoneticPr fontId="10" type="noConversion"/>
  </si>
  <si>
    <r>
      <t>才徂慈藏在前秦情酢自昨漸匠疾</t>
    </r>
    <r>
      <rPr>
        <b/>
        <sz val="16"/>
        <color rgb="FFFF0000"/>
        <rFont val="新細明體"/>
        <family val="1"/>
        <scheme val="minor"/>
      </rPr>
      <t>鶵</t>
    </r>
    <phoneticPr fontId="10" type="noConversion"/>
  </si>
  <si>
    <t>崇</t>
    <phoneticPr fontId="10" type="noConversion"/>
  </si>
  <si>
    <t>蘇桑思司斯雖素速相辛須胥先悉息寫私</t>
  </si>
  <si>
    <r>
      <t>辭隨寺似徐祥詳旬夕辤</t>
    </r>
    <r>
      <rPr>
        <b/>
        <sz val="16"/>
        <color rgb="FFFF0000"/>
        <rFont val="新細明體"/>
        <family val="1"/>
        <scheme val="minor"/>
      </rPr>
      <t>辝</t>
    </r>
    <phoneticPr fontId="10" type="noConversion"/>
  </si>
  <si>
    <r>
      <t>莊爭阻鄒簪側仄</t>
    </r>
    <r>
      <rPr>
        <b/>
        <sz val="16"/>
        <color rgb="FFFF0000"/>
        <rFont val="新細明體"/>
        <family val="1"/>
        <scheme val="minor"/>
      </rPr>
      <t>壯</t>
    </r>
    <phoneticPr fontId="10" type="noConversion"/>
  </si>
  <si>
    <t>叉廁初創瘡芻測楚</t>
    <phoneticPr fontId="10" type="noConversion"/>
  </si>
  <si>
    <t>牀</t>
  </si>
  <si>
    <t>牀查崇雛鋤鉏豺助俟士仕崱</t>
  </si>
  <si>
    <t>送氣</t>
    <phoneticPr fontId="10" type="noConversion"/>
  </si>
  <si>
    <r>
      <t>疏山沙砂生色數所史</t>
    </r>
    <r>
      <rPr>
        <sz val="16"/>
        <color rgb="FFFF0000"/>
        <rFont val="新細明體"/>
        <family val="1"/>
        <scheme val="minor"/>
      </rPr>
      <t>踈䟽疎</t>
    </r>
    <phoneticPr fontId="10" type="noConversion"/>
  </si>
  <si>
    <r>
      <t>之辛征諸支脂止旨職煮正占</t>
    </r>
    <r>
      <rPr>
        <b/>
        <sz val="16"/>
        <color rgb="FFFF0000"/>
        <rFont val="新細明體"/>
        <family val="1"/>
        <scheme val="minor"/>
      </rPr>
      <t>章遮主</t>
    </r>
    <phoneticPr fontId="10" type="noConversion"/>
  </si>
  <si>
    <t>章</t>
    <phoneticPr fontId="10" type="noConversion"/>
  </si>
  <si>
    <t>昌春充叱赤尺處姝</t>
  </si>
  <si>
    <t>乘神食實</t>
  </si>
  <si>
    <t>書舒傷商施失詩始釋賞識矢式試</t>
  </si>
  <si>
    <r>
      <t>時殊嘗常成臣蜀市植殖寔署是氏視</t>
    </r>
    <r>
      <rPr>
        <b/>
        <sz val="16"/>
        <color rgb="FFFF0000"/>
        <rFont val="新細明體"/>
        <family val="1"/>
        <scheme val="minor"/>
      </rPr>
      <t>承</t>
    </r>
    <phoneticPr fontId="10" type="noConversion"/>
  </si>
  <si>
    <t>發聲</t>
    <phoneticPr fontId="10" type="noConversion"/>
  </si>
  <si>
    <r>
      <t>烏哀安紆愛握於央一伊依衣憂煙鷖憶乙謁挹委</t>
    </r>
    <r>
      <rPr>
        <b/>
        <sz val="16"/>
        <color rgb="FFFF0000"/>
        <rFont val="新細明體"/>
        <family val="1"/>
        <scheme val="minor"/>
      </rPr>
      <t>毆烟</t>
    </r>
    <phoneticPr fontId="10" type="noConversion"/>
  </si>
  <si>
    <r>
      <t>呼荒呵虛馨香羲休興虎火海況朽喜許花</t>
    </r>
    <r>
      <rPr>
        <b/>
        <sz val="16"/>
        <color rgb="FFFF0000"/>
        <rFont val="新細明體"/>
        <family val="1"/>
        <scheme val="minor"/>
      </rPr>
      <t>兄</t>
    </r>
    <phoneticPr fontId="10" type="noConversion"/>
  </si>
  <si>
    <r>
      <t>胡乎侯何黃戶下獲懷</t>
    </r>
    <r>
      <rPr>
        <b/>
        <sz val="16"/>
        <color rgb="FFFF0000"/>
        <rFont val="新細明體"/>
        <family val="1"/>
        <scheme val="minor"/>
      </rPr>
      <t>諧</t>
    </r>
    <phoneticPr fontId="10" type="noConversion"/>
  </si>
  <si>
    <t>于雲云筠為榮本王雨羽永有洧𨘏遠</t>
  </si>
  <si>
    <r>
      <t>余餘予移夷羊營以弋翼與悅</t>
    </r>
    <r>
      <rPr>
        <b/>
        <sz val="16"/>
        <color rgb="FFFF0000"/>
        <rFont val="新細明體"/>
        <family val="1"/>
        <scheme val="minor"/>
      </rPr>
      <t>薳韋</t>
    </r>
    <phoneticPr fontId="10" type="noConversion"/>
  </si>
  <si>
    <t>云</t>
    <phoneticPr fontId="10" type="noConversion"/>
  </si>
  <si>
    <r>
      <t>來盧郎賴洛落勒力呂良林離里練魯紬連</t>
    </r>
    <r>
      <rPr>
        <b/>
        <sz val="16"/>
        <color rgb="FFFF0000"/>
        <rFont val="新細明體"/>
        <family val="1"/>
        <scheme val="minor"/>
      </rPr>
      <t>縷</t>
    </r>
    <phoneticPr fontId="10" type="noConversion"/>
  </si>
  <si>
    <t>如儒人仍汝兒而耳</t>
  </si>
  <si>
    <t>上字聲母類型</t>
  </si>
  <si>
    <t>演變路徑</t>
  </si>
  <si>
    <t>最終調號 (漳/廈/台)</t>
  </si>
  <si>
    <t>備註</t>
  </si>
  <si>
    <t>全濁 (並定從群...)</t>
  </si>
  <si>
    <t>濁上變去</t>
  </si>
  <si>
    <t>7 (陽去)</t>
  </si>
  <si>
    <t>此規律最為整齊</t>
  </si>
  <si>
    <t>次濁 (明泥來疑...)</t>
  </si>
  <si>
    <t>陽上併陰上</t>
  </si>
  <si>
    <t>2 (陰上)</t>
  </si>
  <si>
    <t>泉州腔多保留 6</t>
  </si>
  <si>
    <t>全濁</t>
    <phoneticPr fontId="10" type="noConversion"/>
  </si>
  <si>
    <t>七聲類</t>
  </si>
  <si>
    <t>聲母標音</t>
  </si>
  <si>
    <t>切語上字集</t>
  </si>
  <si>
    <t>次濁</t>
    <phoneticPr fontId="10" type="noConversion"/>
  </si>
  <si>
    <t>清濁</t>
    <phoneticPr fontId="10" type="noConversion"/>
  </si>
  <si>
    <t>陽上轉調</t>
    <phoneticPr fontId="10" type="noConversion"/>
  </si>
  <si>
    <t>陽去</t>
    <phoneticPr fontId="10" type="noConversion"/>
  </si>
  <si>
    <t>調號</t>
    <phoneticPr fontId="10" type="noConversion"/>
  </si>
  <si>
    <t>陰上</t>
    <phoneticPr fontId="10" type="noConversion"/>
  </si>
  <si>
    <t>阻</t>
    <phoneticPr fontId="10" type="noConversion"/>
  </si>
  <si>
    <t>zu7</t>
    <phoneticPr fontId="10" type="noConversion"/>
  </si>
  <si>
    <t>漢字</t>
    <phoneticPr fontId="10" type="noConversion"/>
  </si>
  <si>
    <t>切語</t>
    <phoneticPr fontId="10" type="noConversion"/>
  </si>
  <si>
    <t>台語音標</t>
    <phoneticPr fontId="10" type="noConversion"/>
  </si>
  <si>
    <t>是</t>
    <phoneticPr fontId="10" type="noConversion"/>
  </si>
  <si>
    <t>承旨</t>
    <phoneticPr fontId="10" type="noConversion"/>
  </si>
  <si>
    <t>si7</t>
    <phoneticPr fontId="10" type="noConversion"/>
  </si>
  <si>
    <t>時掌</t>
    <phoneticPr fontId="10" type="noConversion"/>
  </si>
  <si>
    <t>siong7</t>
    <phoneticPr fontId="10" type="noConversion"/>
  </si>
  <si>
    <t>siang7</t>
    <phoneticPr fontId="10" type="noConversion"/>
  </si>
  <si>
    <t>五</t>
    <phoneticPr fontId="10" type="noConversion"/>
  </si>
  <si>
    <t>米</t>
    <phoneticPr fontId="10" type="noConversion"/>
  </si>
  <si>
    <t>疑古</t>
    <phoneticPr fontId="10" type="noConversion"/>
  </si>
  <si>
    <t>莫禮</t>
    <phoneticPr fontId="10" type="noConversion"/>
  </si>
  <si>
    <t>bi2</t>
    <phoneticPr fontId="10" type="noConversion"/>
  </si>
  <si>
    <r>
      <rPr>
        <sz val="24"/>
        <color rgb="FFFF0000"/>
        <rFont val="Noto Serif TC Black"/>
        <family val="1"/>
        <charset val="136"/>
      </rPr>
      <t>g</t>
    </r>
    <r>
      <rPr>
        <sz val="24"/>
        <color theme="1"/>
        <rFont val="Noto Serif TC Black"/>
        <family val="1"/>
        <charset val="136"/>
      </rPr>
      <t>oo2</t>
    </r>
    <phoneticPr fontId="10" type="noConversion"/>
  </si>
  <si>
    <r>
      <rPr>
        <sz val="24"/>
        <color rgb="FFFF0000"/>
        <rFont val="Noto Serif TC Black"/>
        <family val="1"/>
        <charset val="136"/>
      </rPr>
      <t>ng</t>
    </r>
    <r>
      <rPr>
        <sz val="24"/>
        <color theme="1"/>
        <rFont val="Noto Serif TC Black"/>
        <family val="1"/>
        <charset val="136"/>
      </rPr>
      <t>oo2</t>
    </r>
    <phoneticPr fontId="10" type="noConversion"/>
  </si>
  <si>
    <t>me2</t>
    <phoneticPr fontId="10" type="noConversion"/>
  </si>
  <si>
    <t>莊助</t>
    <phoneticPr fontId="10" type="noConversion"/>
  </si>
  <si>
    <t>開</t>
    <phoneticPr fontId="10" type="noConversion"/>
  </si>
  <si>
    <t>合</t>
    <phoneticPr fontId="10" type="noConversion"/>
  </si>
  <si>
    <t>識別號</t>
    <phoneticPr fontId="90" type="noConversion"/>
  </si>
  <si>
    <t>攝</t>
    <phoneticPr fontId="90" type="noConversion"/>
  </si>
  <si>
    <t>韻</t>
    <phoneticPr fontId="90" type="noConversion"/>
  </si>
  <si>
    <r>
      <rPr>
        <sz val="11"/>
        <color theme="0"/>
        <rFont val="Noto Sans TC Medium"/>
        <family val="2"/>
      </rPr>
      <t>舒聲韻</t>
    </r>
    <phoneticPr fontId="10" type="noConversion"/>
  </si>
  <si>
    <r>
      <rPr>
        <sz val="11"/>
        <color rgb="FFFFFF00"/>
        <rFont val="Noto Sans TC Medium"/>
        <family val="2"/>
      </rPr>
      <t>促聲韻</t>
    </r>
    <phoneticPr fontId="10" type="noConversion"/>
  </si>
  <si>
    <t>東</t>
    <phoneticPr fontId="10" type="noConversion"/>
  </si>
  <si>
    <t>ong</t>
    <phoneticPr fontId="10" type="noConversion"/>
  </si>
  <si>
    <t>ok</t>
    <phoneticPr fontId="10" type="noConversion"/>
  </si>
  <si>
    <t>iong</t>
    <phoneticPr fontId="10" type="noConversion"/>
  </si>
  <si>
    <t>iok</t>
    <phoneticPr fontId="10" type="noConversion"/>
  </si>
  <si>
    <t>通</t>
    <phoneticPr fontId="10" type="noConversion"/>
  </si>
  <si>
    <t>∅</t>
  </si>
  <si>
    <t>ang</t>
    <phoneticPr fontId="10" type="noConversion"/>
  </si>
  <si>
    <t>ak</t>
    <phoneticPr fontId="10" type="noConversion"/>
  </si>
  <si>
    <t>i</t>
    <phoneticPr fontId="10" type="noConversion"/>
  </si>
  <si>
    <t>微</t>
    <phoneticPr fontId="10" type="noConversion"/>
  </si>
  <si>
    <t>u/ir</t>
    <phoneticPr fontId="10" type="noConversion"/>
  </si>
  <si>
    <t>u</t>
    <phoneticPr fontId="10" type="noConversion"/>
  </si>
  <si>
    <t>oo</t>
    <phoneticPr fontId="10" type="noConversion"/>
  </si>
  <si>
    <t>e</t>
    <phoneticPr fontId="10" type="noConversion"/>
  </si>
  <si>
    <t>ui/ue</t>
    <phoneticPr fontId="10" type="noConversion"/>
  </si>
  <si>
    <t>ai</t>
    <phoneticPr fontId="10" type="noConversion"/>
  </si>
  <si>
    <t>ua</t>
    <phoneticPr fontId="10" type="noConversion"/>
  </si>
  <si>
    <t>uai</t>
    <phoneticPr fontId="10" type="noConversion"/>
  </si>
  <si>
    <t>ue</t>
    <phoneticPr fontId="10" type="noConversion"/>
  </si>
  <si>
    <t>in</t>
    <phoneticPr fontId="10" type="noConversion"/>
  </si>
  <si>
    <t>it</t>
    <phoneticPr fontId="10" type="noConversion"/>
  </si>
  <si>
    <t>un</t>
    <phoneticPr fontId="10" type="noConversion"/>
  </si>
  <si>
    <t>ut</t>
    <phoneticPr fontId="10" type="noConversion"/>
  </si>
  <si>
    <t>殷</t>
    <phoneticPr fontId="10" type="noConversion"/>
  </si>
  <si>
    <t>ian</t>
    <phoneticPr fontId="10" type="noConversion"/>
  </si>
  <si>
    <t>iat</t>
    <phoneticPr fontId="10" type="noConversion"/>
  </si>
  <si>
    <t>uan</t>
    <phoneticPr fontId="10" type="noConversion"/>
  </si>
  <si>
    <t>uat</t>
    <phoneticPr fontId="10" type="noConversion"/>
  </si>
  <si>
    <t>un/irn</t>
    <phoneticPr fontId="10" type="noConversion"/>
  </si>
  <si>
    <t>an</t>
    <phoneticPr fontId="10" type="noConversion"/>
  </si>
  <si>
    <t>at</t>
    <phoneticPr fontId="10" type="noConversion"/>
  </si>
  <si>
    <t>iau</t>
    <phoneticPr fontId="10" type="noConversion"/>
  </si>
  <si>
    <t>au</t>
    <phoneticPr fontId="10" type="noConversion"/>
  </si>
  <si>
    <t>o/au</t>
    <phoneticPr fontId="10" type="noConversion"/>
  </si>
  <si>
    <t>o</t>
    <phoneticPr fontId="10" type="noConversion"/>
  </si>
  <si>
    <t>a</t>
    <phoneticPr fontId="10" type="noConversion"/>
  </si>
  <si>
    <t>ia</t>
    <phoneticPr fontId="10" type="noConversion"/>
  </si>
  <si>
    <t>ing</t>
    <phoneticPr fontId="10" type="noConversion"/>
  </si>
  <si>
    <t>ik</t>
    <phoneticPr fontId="10" type="noConversion"/>
  </si>
  <si>
    <t>iu</t>
    <phoneticPr fontId="10" type="noConversion"/>
  </si>
  <si>
    <t>oo/io</t>
    <phoneticPr fontId="10" type="noConversion"/>
  </si>
  <si>
    <t>im</t>
    <phoneticPr fontId="10" type="noConversion"/>
  </si>
  <si>
    <t>ip</t>
    <phoneticPr fontId="10" type="noConversion"/>
  </si>
  <si>
    <t>am</t>
    <phoneticPr fontId="10" type="noConversion"/>
  </si>
  <si>
    <t>ap</t>
    <phoneticPr fontId="10" type="noConversion"/>
  </si>
  <si>
    <t>帖</t>
    <phoneticPr fontId="10" type="noConversion"/>
  </si>
  <si>
    <t>uan/uam</t>
    <phoneticPr fontId="10" type="noConversion"/>
  </si>
  <si>
    <t>uat/uap</t>
    <phoneticPr fontId="10" type="noConversion"/>
  </si>
  <si>
    <t>韻目
列號</t>
    <phoneticPr fontId="10" type="noConversion"/>
  </si>
  <si>
    <t>《廣韻》206 韻</t>
    <phoneticPr fontId="10" type="noConversion"/>
  </si>
  <si>
    <t>四声調</t>
    <phoneticPr fontId="10" type="noConversion"/>
  </si>
  <si>
    <t>一等</t>
    <phoneticPr fontId="10" type="noConversion"/>
  </si>
  <si>
    <t>二等</t>
    <phoneticPr fontId="10" type="noConversion"/>
  </si>
  <si>
    <t>三等</t>
    <phoneticPr fontId="10" type="noConversion"/>
  </si>
  <si>
    <t>四等</t>
    <phoneticPr fontId="10" type="noConversion"/>
  </si>
  <si>
    <t>平聲</t>
  </si>
  <si>
    <t>上聲</t>
  </si>
  <si>
    <t>去聲</t>
  </si>
  <si>
    <t>入聲</t>
  </si>
  <si>
    <t>開口</t>
    <phoneticPr fontId="10" type="noConversion"/>
  </si>
  <si>
    <t>合口</t>
    <phoneticPr fontId="10" type="noConversion"/>
  </si>
  <si>
    <t>1東</t>
  </si>
  <si>
    <t>1董</t>
  </si>
  <si>
    <t>1送</t>
  </si>
  <si>
    <t>平上去</t>
  </si>
  <si>
    <t>1屋</t>
  </si>
  <si>
    <t>2冬</t>
  </si>
  <si>
    <t>2宋</t>
  </si>
  <si>
    <t>2沃</t>
  </si>
  <si>
    <t>3鍾</t>
  </si>
  <si>
    <t>2腫</t>
  </si>
  <si>
    <t>3用</t>
  </si>
  <si>
    <t>3燭</t>
  </si>
  <si>
    <t>4江</t>
  </si>
  <si>
    <t>3講</t>
  </si>
  <si>
    <t>4絳</t>
  </si>
  <si>
    <t>4覺</t>
  </si>
  <si>
    <t>5支</t>
  </si>
  <si>
    <t>4紙</t>
  </si>
  <si>
    <t>5寘</t>
  </si>
  <si>
    <r>
      <t>i/</t>
    </r>
    <r>
      <rPr>
        <sz val="18"/>
        <color rgb="FFFF0000"/>
        <rFont val="Amasis MT Pro Medium"/>
        <family val="1"/>
      </rPr>
      <t>ir</t>
    </r>
    <phoneticPr fontId="10" type="noConversion"/>
  </si>
  <si>
    <t>6脂</t>
  </si>
  <si>
    <t>5旨</t>
  </si>
  <si>
    <t>6至</t>
  </si>
  <si>
    <t>7之</t>
  </si>
  <si>
    <t>6止</t>
  </si>
  <si>
    <t>7志</t>
  </si>
  <si>
    <t>8微</t>
  </si>
  <si>
    <t>7尾</t>
  </si>
  <si>
    <t>8未</t>
  </si>
  <si>
    <t>9魚</t>
  </si>
  <si>
    <t>8語</t>
  </si>
  <si>
    <t>9禦</t>
  </si>
  <si>
    <t>10虞</t>
  </si>
  <si>
    <t>9麌</t>
  </si>
  <si>
    <t>10遇</t>
  </si>
  <si>
    <t>11模</t>
  </si>
  <si>
    <t>10姥</t>
    <phoneticPr fontId="10" type="noConversion"/>
  </si>
  <si>
    <t>11暮</t>
  </si>
  <si>
    <t>12齊</t>
  </si>
  <si>
    <t>11薺</t>
  </si>
  <si>
    <t>12霽</t>
  </si>
  <si>
    <r>
      <rPr>
        <sz val="18"/>
        <color rgb="FFFF0000"/>
        <rFont val="Amasis MT Pro Medium"/>
        <family val="1"/>
      </rPr>
      <t>ui</t>
    </r>
    <r>
      <rPr>
        <sz val="18"/>
        <color rgb="FF000000"/>
        <rFont val="Amasis MT Pro Medium"/>
        <family val="1"/>
      </rPr>
      <t>/ue</t>
    </r>
    <phoneticPr fontId="10" type="noConversion"/>
  </si>
  <si>
    <t>13祭</t>
  </si>
  <si>
    <t>14泰</t>
  </si>
  <si>
    <t>13佳</t>
  </si>
  <si>
    <t>12蟹</t>
  </si>
  <si>
    <t>15卦</t>
  </si>
  <si>
    <t>14皆</t>
  </si>
  <si>
    <t>13駭</t>
  </si>
  <si>
    <t>16怪</t>
  </si>
  <si>
    <t>17夬</t>
    <phoneticPr fontId="10" type="noConversion"/>
  </si>
  <si>
    <t>15灰</t>
  </si>
  <si>
    <t>14賄</t>
  </si>
  <si>
    <t>18隊</t>
  </si>
  <si>
    <t>16咍</t>
  </si>
  <si>
    <t>15海</t>
  </si>
  <si>
    <t>19代</t>
  </si>
  <si>
    <t>20廢</t>
  </si>
  <si>
    <r>
      <t>ui/</t>
    </r>
    <r>
      <rPr>
        <sz val="18"/>
        <color rgb="FFFF0000"/>
        <rFont val="Amasis MT Pro Medium"/>
        <family val="1"/>
      </rPr>
      <t>ue</t>
    </r>
    <phoneticPr fontId="10" type="noConversion"/>
  </si>
  <si>
    <t>真</t>
    <phoneticPr fontId="10" type="noConversion"/>
  </si>
  <si>
    <t>17 真</t>
    <phoneticPr fontId="10" type="noConversion"/>
  </si>
  <si>
    <t>16軫</t>
  </si>
  <si>
    <t>21震</t>
  </si>
  <si>
    <t>5質</t>
  </si>
  <si>
    <t>18諄</t>
  </si>
  <si>
    <t>17準</t>
  </si>
  <si>
    <t>22稕</t>
  </si>
  <si>
    <t>6術</t>
  </si>
  <si>
    <t>19臻</t>
  </si>
  <si>
    <t>7櫛</t>
    <phoneticPr fontId="10" type="noConversion"/>
  </si>
  <si>
    <t>20文</t>
  </si>
  <si>
    <t>18吻</t>
  </si>
  <si>
    <t>23問</t>
  </si>
  <si>
    <t>8物</t>
  </si>
  <si>
    <t>21欣</t>
    <phoneticPr fontId="10" type="noConversion"/>
  </si>
  <si>
    <t>19隱</t>
  </si>
  <si>
    <t>24焮</t>
  </si>
  <si>
    <t>9迄</t>
    <phoneticPr fontId="10" type="noConversion"/>
  </si>
  <si>
    <t>22魂</t>
    <phoneticPr fontId="10" type="noConversion"/>
  </si>
  <si>
    <t>20混</t>
    <phoneticPr fontId="10" type="noConversion"/>
  </si>
  <si>
    <t>25慁</t>
    <phoneticPr fontId="10" type="noConversion"/>
  </si>
  <si>
    <t>10沒</t>
    <phoneticPr fontId="10" type="noConversion"/>
  </si>
  <si>
    <t>23痕</t>
    <phoneticPr fontId="10" type="noConversion"/>
  </si>
  <si>
    <t>21很</t>
    <phoneticPr fontId="10" type="noConversion"/>
  </si>
  <si>
    <t>26恨</t>
    <phoneticPr fontId="10" type="noConversion"/>
  </si>
  <si>
    <t>24元</t>
    <phoneticPr fontId="10" type="noConversion"/>
  </si>
  <si>
    <t>22阮</t>
    <phoneticPr fontId="10" type="noConversion"/>
  </si>
  <si>
    <t>27願</t>
    <phoneticPr fontId="10" type="noConversion"/>
  </si>
  <si>
    <t>11月</t>
    <phoneticPr fontId="10" type="noConversion"/>
  </si>
  <si>
    <t>寒</t>
    <phoneticPr fontId="10" type="noConversion"/>
  </si>
  <si>
    <t>25寒</t>
  </si>
  <si>
    <t>23旱</t>
  </si>
  <si>
    <t>28翰</t>
  </si>
  <si>
    <t>12曷</t>
  </si>
  <si>
    <t>26桓</t>
  </si>
  <si>
    <t>24緩</t>
  </si>
  <si>
    <t>29換</t>
  </si>
  <si>
    <t>13末</t>
  </si>
  <si>
    <t>27刪</t>
  </si>
  <si>
    <t>25潸</t>
  </si>
  <si>
    <t>30諌</t>
  </si>
  <si>
    <t>14黠</t>
  </si>
  <si>
    <t>28山</t>
  </si>
  <si>
    <t>26產</t>
  </si>
  <si>
    <t>31襉</t>
  </si>
  <si>
    <t>15鎋</t>
  </si>
  <si>
    <t>1先</t>
  </si>
  <si>
    <t>27銑</t>
  </si>
  <si>
    <t>32霰</t>
    <phoneticPr fontId="10" type="noConversion"/>
  </si>
  <si>
    <t>16屑</t>
  </si>
  <si>
    <t>2仙</t>
  </si>
  <si>
    <t>28獮</t>
  </si>
  <si>
    <t>33線</t>
  </si>
  <si>
    <t>17薛</t>
  </si>
  <si>
    <t>3蕭</t>
  </si>
  <si>
    <t>29篠</t>
    <phoneticPr fontId="10" type="noConversion"/>
  </si>
  <si>
    <t>34嘯</t>
  </si>
  <si>
    <t>4宵</t>
  </si>
  <si>
    <t>30小</t>
  </si>
  <si>
    <t>35笑</t>
  </si>
  <si>
    <t>肴</t>
    <phoneticPr fontId="1" type="noConversion"/>
  </si>
  <si>
    <t>5肴</t>
    <phoneticPr fontId="10" type="noConversion"/>
  </si>
  <si>
    <t>31巧</t>
  </si>
  <si>
    <t>36效</t>
  </si>
  <si>
    <t>6豪</t>
  </si>
  <si>
    <t>32皓</t>
  </si>
  <si>
    <t>37號</t>
  </si>
  <si>
    <r>
      <t>o/</t>
    </r>
    <r>
      <rPr>
        <sz val="18"/>
        <color rgb="FFFF0000"/>
        <rFont val="Amasis MT Pro Medium"/>
        <family val="1"/>
      </rPr>
      <t>au</t>
    </r>
    <phoneticPr fontId="10" type="noConversion"/>
  </si>
  <si>
    <t>7歌</t>
  </si>
  <si>
    <t>33哿</t>
  </si>
  <si>
    <t>38箇</t>
  </si>
  <si>
    <t>8戈</t>
  </si>
  <si>
    <t>34果</t>
  </si>
  <si>
    <t>39過</t>
  </si>
  <si>
    <t>假</t>
    <phoneticPr fontId="10" type="noConversion"/>
  </si>
  <si>
    <t>9麻</t>
  </si>
  <si>
    <t>35馬</t>
  </si>
  <si>
    <t>40禡</t>
  </si>
  <si>
    <t>10陽</t>
  </si>
  <si>
    <t>36養</t>
  </si>
  <si>
    <t>41漾</t>
  </si>
  <si>
    <t>18藥</t>
    <phoneticPr fontId="10" type="noConversion"/>
  </si>
  <si>
    <t>11唐</t>
  </si>
  <si>
    <t>37蕩</t>
  </si>
  <si>
    <t>42宕</t>
  </si>
  <si>
    <r>
      <t>ong/</t>
    </r>
    <r>
      <rPr>
        <sz val="18"/>
        <color rgb="FFFF0000"/>
        <rFont val="Amasis MT Pro Medium"/>
        <family val="1"/>
      </rPr>
      <t>ang</t>
    </r>
    <phoneticPr fontId="10" type="noConversion"/>
  </si>
  <si>
    <t>19鐸</t>
  </si>
  <si>
    <r>
      <t>ok/</t>
    </r>
    <r>
      <rPr>
        <sz val="18"/>
        <color rgb="FFFF0000"/>
        <rFont val="Amasis MT Pro Medium"/>
        <family val="1"/>
      </rPr>
      <t>ak</t>
    </r>
    <phoneticPr fontId="10" type="noConversion"/>
  </si>
  <si>
    <t>12庚</t>
  </si>
  <si>
    <t>38梗</t>
  </si>
  <si>
    <t>43敬</t>
  </si>
  <si>
    <r>
      <t>ing/</t>
    </r>
    <r>
      <rPr>
        <sz val="18"/>
        <color rgb="FFFF0000"/>
        <rFont val="Amasis MT Pro Medium"/>
        <family val="1"/>
      </rPr>
      <t>irng</t>
    </r>
    <phoneticPr fontId="10" type="noConversion"/>
  </si>
  <si>
    <t>ieng</t>
    <phoneticPr fontId="10" type="noConversion"/>
  </si>
  <si>
    <t>20陌</t>
  </si>
  <si>
    <r>
      <t>ik/</t>
    </r>
    <r>
      <rPr>
        <sz val="18"/>
        <color rgb="FFFF0000"/>
        <rFont val="Amasis MT Pro Medium"/>
        <family val="1"/>
      </rPr>
      <t>irk</t>
    </r>
    <phoneticPr fontId="10" type="noConversion"/>
  </si>
  <si>
    <t>iek</t>
    <phoneticPr fontId="10" type="noConversion"/>
  </si>
  <si>
    <t>13耕</t>
  </si>
  <si>
    <t>39耿</t>
  </si>
  <si>
    <t>44諍</t>
  </si>
  <si>
    <t>21麥</t>
  </si>
  <si>
    <t>14清</t>
  </si>
  <si>
    <t>40靜</t>
  </si>
  <si>
    <t>45勁</t>
  </si>
  <si>
    <r>
      <t>ing/</t>
    </r>
    <r>
      <rPr>
        <sz val="18"/>
        <color rgb="FFFF0000"/>
        <rFont val="Amasis MT Pro Medium"/>
        <family val="1"/>
      </rPr>
      <t>ieng</t>
    </r>
    <phoneticPr fontId="10" type="noConversion"/>
  </si>
  <si>
    <t>22昔</t>
    <phoneticPr fontId="10" type="noConversion"/>
  </si>
  <si>
    <r>
      <t>ik/</t>
    </r>
    <r>
      <rPr>
        <sz val="18"/>
        <color rgb="FFFF0000"/>
        <rFont val="Amasis MT Pro Medium"/>
        <family val="1"/>
      </rPr>
      <t>iek</t>
    </r>
    <phoneticPr fontId="10" type="noConversion"/>
  </si>
  <si>
    <t>青</t>
    <phoneticPr fontId="10" type="noConversion"/>
  </si>
  <si>
    <t>15靑</t>
  </si>
  <si>
    <t>41迥</t>
  </si>
  <si>
    <t>46徑</t>
  </si>
  <si>
    <t>23錫</t>
  </si>
  <si>
    <t>16蒸</t>
  </si>
  <si>
    <t>42拯</t>
    <phoneticPr fontId="10" type="noConversion"/>
  </si>
  <si>
    <t>47證</t>
  </si>
  <si>
    <t>24職</t>
  </si>
  <si>
    <t>17登</t>
  </si>
  <si>
    <t>43等</t>
  </si>
  <si>
    <t>48嶝</t>
  </si>
  <si>
    <t>25德</t>
  </si>
  <si>
    <t>18尤</t>
  </si>
  <si>
    <t>44有</t>
  </si>
  <si>
    <t>49宥</t>
    <phoneticPr fontId="10" type="noConversion"/>
  </si>
  <si>
    <t>19侯</t>
  </si>
  <si>
    <t>45厚</t>
  </si>
  <si>
    <t>50候</t>
  </si>
  <si>
    <r>
      <t>oo/</t>
    </r>
    <r>
      <rPr>
        <b/>
        <sz val="18"/>
        <color rgb="FFFF0000"/>
        <rFont val="Amasis MT Pro Medium"/>
        <family val="1"/>
      </rPr>
      <t>io</t>
    </r>
    <phoneticPr fontId="10" type="noConversion"/>
  </si>
  <si>
    <t>20幽</t>
  </si>
  <si>
    <t>46黝</t>
  </si>
  <si>
    <t>51幼</t>
  </si>
  <si>
    <t>21侵</t>
  </si>
  <si>
    <t>47寑</t>
  </si>
  <si>
    <t>52沁</t>
  </si>
  <si>
    <t>26緝</t>
  </si>
  <si>
    <t>22覃</t>
  </si>
  <si>
    <t>48感</t>
  </si>
  <si>
    <t>53勘</t>
  </si>
  <si>
    <t>27合</t>
  </si>
  <si>
    <t>23談</t>
  </si>
  <si>
    <t>49敢</t>
  </si>
  <si>
    <t>54鬫</t>
  </si>
  <si>
    <t>28盍</t>
  </si>
  <si>
    <t>24鹽</t>
  </si>
  <si>
    <t>50琰</t>
  </si>
  <si>
    <t>55豔</t>
  </si>
  <si>
    <t>iam</t>
    <phoneticPr fontId="10" type="noConversion"/>
  </si>
  <si>
    <t>29葉</t>
  </si>
  <si>
    <t>iap</t>
    <phoneticPr fontId="10" type="noConversion"/>
  </si>
  <si>
    <t>25添</t>
  </si>
  <si>
    <t>51忝</t>
  </si>
  <si>
    <t>56㮇</t>
  </si>
  <si>
    <t>30帖</t>
  </si>
  <si>
    <t>咸</t>
    <phoneticPr fontId="10" type="noConversion"/>
  </si>
  <si>
    <t>26咸</t>
    <phoneticPr fontId="10" type="noConversion"/>
  </si>
  <si>
    <t>53豏</t>
  </si>
  <si>
    <t>58 陷</t>
    <phoneticPr fontId="10" type="noConversion"/>
  </si>
  <si>
    <t>31洽</t>
  </si>
  <si>
    <t>27銜</t>
  </si>
  <si>
    <t>54檻</t>
    <phoneticPr fontId="10" type="noConversion"/>
  </si>
  <si>
    <t>59鑑</t>
  </si>
  <si>
    <t>32狎</t>
  </si>
  <si>
    <t>28嚴</t>
  </si>
  <si>
    <t>52儼</t>
  </si>
  <si>
    <t>57釅</t>
  </si>
  <si>
    <t>33業</t>
  </si>
  <si>
    <t>29凡</t>
  </si>
  <si>
    <t>55范</t>
    <phoneticPr fontId="10" type="noConversion"/>
  </si>
  <si>
    <t>60梵</t>
    <phoneticPr fontId="10" type="noConversion"/>
  </si>
  <si>
    <t>34乏</t>
  </si>
  <si>
    <t>止攝・遇攝・蟹攝・效攝・果攝・仮攝・流攝：沒有「入聲韻」。</t>
  </si>
  <si>
    <t>反切：</t>
    <phoneticPr fontId="10" type="noConversion"/>
  </si>
  <si>
    <t>上字：</t>
    <phoneticPr fontId="10" type="noConversion"/>
  </si>
  <si>
    <t>【聲】：</t>
    <phoneticPr fontId="10" type="noConversion"/>
  </si>
  <si>
    <t>聲母：</t>
    <phoneticPr fontId="10" type="noConversion"/>
  </si>
  <si>
    <t>下字：</t>
    <phoneticPr fontId="10" type="noConversion"/>
  </si>
  <si>
    <t>【韻】：</t>
    <phoneticPr fontId="10" type="noConversion"/>
  </si>
  <si>
    <t>韻母：</t>
    <phoneticPr fontId="10" type="noConversion"/>
  </si>
  <si>
    <t>【調】：</t>
    <phoneticPr fontId="10" type="noConversion"/>
  </si>
  <si>
    <t>調號：</t>
    <phoneticPr fontId="10" type="noConversion"/>
  </si>
  <si>
    <t>標音：</t>
    <phoneticPr fontId="10" type="noConversion"/>
  </si>
  <si>
    <t>清濁：</t>
    <phoneticPr fontId="10" type="noConversion"/>
  </si>
  <si>
    <t>等第：</t>
    <phoneticPr fontId="10" type="noConversion"/>
  </si>
  <si>
    <t>開合：</t>
    <phoneticPr fontId="10" type="noConversion"/>
  </si>
  <si>
    <t>四聲：</t>
    <phoneticPr fontId="10" type="noConversion"/>
  </si>
  <si>
    <t>攝：</t>
    <phoneticPr fontId="10" type="noConversion"/>
  </si>
  <si>
    <t>韻系：</t>
    <phoneticPr fontId="10" type="noConversion"/>
  </si>
  <si>
    <t>戶吳</t>
    <phoneticPr fontId="10" type="noConversion"/>
  </si>
  <si>
    <t>八音：</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</si>
</sst>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eneral;;"/>
    <numFmt numFmtId="177" formatCode="[DBNum1][$-404]General&quot;等&quot;"/>
  </numFmts>
  <fonts count="172">
    <font>
      <sz val="12"/>
      <color theme="1"/>
      <name val="新細明體"/>
      <family val="2"/>
      <scheme val="minor"/>
    </font>
    <font>
      <u/>
      <sz val="12"/>
      <color theme="10"/>
      <name val="新細明體"/>
      <family val="2"/>
      <scheme val="minor"/>
    </font>
    <font>
      <b/>
      <sz val="16"/>
      <color theme="4"/>
      <name val="霞鹜文楷 TC"/>
      <family val="3"/>
      <charset val="136"/>
    </font>
    <font>
      <sz val="16"/>
      <color theme="1"/>
      <name val="霞鹜文楷 TC"/>
      <family val="3"/>
      <charset val="136"/>
    </font>
    <font>
      <sz val="16"/>
      <color rgb="FF000000"/>
      <name val="霞鹜文楷 TC"/>
      <family val="3"/>
      <charset val="136"/>
    </font>
    <font>
      <u/>
      <sz val="16"/>
      <color rgb="FF000000"/>
      <name val="霞鹜文楷 TC"/>
      <family val="3"/>
      <charset val="136"/>
    </font>
    <font>
      <sz val="16"/>
      <color theme="4"/>
      <name val="霞鹜文楷 TC"/>
      <family val="3"/>
      <charset val="136"/>
    </font>
    <font>
      <u/>
      <sz val="16"/>
      <color theme="10"/>
      <name val="霞鹜文楷 TC"/>
      <family val="3"/>
      <charset val="136"/>
    </font>
    <font>
      <sz val="12"/>
      <color theme="1"/>
      <name val="新細明體"/>
      <family val="2"/>
      <scheme val="minor"/>
    </font>
    <font>
      <b/>
      <sz val="18"/>
      <color theme="0"/>
      <name val="蘋方-繁 中黑體"/>
      <charset val="136"/>
    </font>
    <font>
      <sz val="9"/>
      <name val="新細明體"/>
      <family val="3"/>
      <charset val="136"/>
      <scheme val="minor"/>
    </font>
    <font>
      <sz val="18"/>
      <color theme="1"/>
      <name val="蘋方-繁 中黑體"/>
      <charset val="136"/>
    </font>
    <font>
      <u/>
      <sz val="18"/>
      <color theme="10"/>
      <name val="黒体-繁"/>
      <family val="2"/>
      <charset val="136"/>
    </font>
    <font>
      <u/>
      <sz val="16"/>
      <color theme="10"/>
      <name val="蘋方-繁 中黑體"/>
      <charset val="136"/>
    </font>
    <font>
      <sz val="13.5"/>
      <color theme="1"/>
      <name val="蘋方-繁 中黑體"/>
      <charset val="136"/>
    </font>
    <font>
      <u/>
      <sz val="18"/>
      <color theme="10"/>
      <name val="蘋方-繁 中黑體"/>
      <charset val="136"/>
    </font>
    <font>
      <sz val="14"/>
      <color theme="1"/>
      <name val="蘋方-繁 中黑體"/>
      <charset val="136"/>
    </font>
    <font>
      <u/>
      <sz val="18"/>
      <color theme="10"/>
      <name val="Arial"/>
      <family val="2"/>
    </font>
    <font>
      <sz val="16"/>
      <color theme="5" tint="-0.249977111117893"/>
      <name val="霞鹜文楷等宽 TC"/>
      <family val="3"/>
      <charset val="136"/>
    </font>
    <font>
      <u/>
      <sz val="14"/>
      <color theme="10"/>
      <name val="蘋方-繁 中黑體"/>
      <charset val="136"/>
    </font>
    <font>
      <sz val="10"/>
      <name val="宋体"/>
      <family val="3"/>
      <charset val="136"/>
    </font>
    <font>
      <u/>
      <sz val="16"/>
      <color theme="10"/>
      <name val="PMingLiU"/>
      <family val="3"/>
      <charset val="136"/>
    </font>
    <font>
      <sz val="16"/>
      <color theme="1"/>
      <name val="霞鹜文楷 TC"/>
      <family val="3"/>
      <charset val="136"/>
    </font>
    <font>
      <sz val="16"/>
      <color rgb="FF000000"/>
      <name val="霞鹜文楷 TC"/>
      <family val="3"/>
      <charset val="136"/>
    </font>
    <font>
      <u/>
      <sz val="16"/>
      <color theme="10"/>
      <name val="霞鹜文楷 TC"/>
      <family val="3"/>
      <charset val="136"/>
    </font>
    <font>
      <b/>
      <sz val="16"/>
      <color rgb="FF000000"/>
      <name val="Noto Serif TC"/>
      <family val="1"/>
      <charset val="136"/>
    </font>
    <font>
      <b/>
      <sz val="16"/>
      <color theme="1"/>
      <name val="Noto Serif TC"/>
      <family val="1"/>
      <charset val="136"/>
    </font>
    <font>
      <sz val="16"/>
      <color rgb="FF943634"/>
      <name val="Noto Serif TC"/>
      <family val="1"/>
      <charset val="136"/>
    </font>
    <font>
      <sz val="16"/>
      <color theme="1"/>
      <name val="Noto Serif TC"/>
      <family val="1"/>
      <charset val="136"/>
    </font>
    <font>
      <sz val="16"/>
      <color rgb="FF000000"/>
      <name val="Noto Serif TC"/>
      <family val="1"/>
      <charset val="136"/>
    </font>
    <font>
      <sz val="24"/>
      <color theme="1"/>
      <name val="Noto Serif TC Black"/>
      <family val="1"/>
      <charset val="136"/>
    </font>
    <font>
      <sz val="24"/>
      <color theme="2"/>
      <name val="Noto Serif TC Black"/>
      <family val="1"/>
      <charset val="136"/>
    </font>
    <font>
      <b/>
      <u/>
      <sz val="24"/>
      <color rgb="FF000000"/>
      <name val="吳守禮細明台語注音"/>
      <family val="1"/>
      <charset val="136"/>
    </font>
    <font>
      <b/>
      <u/>
      <sz val="24"/>
      <color theme="10"/>
      <name val="吳守禮細明台語注音"/>
      <family val="1"/>
      <charset val="136"/>
    </font>
    <font>
      <b/>
      <u/>
      <sz val="24"/>
      <color rgb="FFFF0000"/>
      <name val="吳守禮細明台語注音"/>
      <family val="1"/>
      <charset val="136"/>
    </font>
    <font>
      <b/>
      <u/>
      <sz val="24"/>
      <color rgb="FF000000"/>
      <name val="吳守禮細明台語破音01"/>
      <family val="1"/>
      <charset val="136"/>
    </font>
    <font>
      <b/>
      <u/>
      <sz val="24"/>
      <color rgb="FF000000"/>
      <name val="吳守禮細明台語破音02"/>
      <family val="1"/>
      <charset val="136"/>
    </font>
    <font>
      <sz val="16"/>
      <color theme="1"/>
      <name val="細明體"/>
      <family val="3"/>
      <charset val="136"/>
    </font>
    <font>
      <b/>
      <u/>
      <sz val="24"/>
      <color rgb="FFFF0000"/>
      <name val="吳守禮細明台語破音01"/>
      <family val="1"/>
      <charset val="136"/>
    </font>
    <font>
      <b/>
      <u/>
      <sz val="24"/>
      <color rgb="FFFF0000"/>
      <name val="吳守禮細明台語破音02"/>
      <family val="1"/>
      <charset val="136"/>
    </font>
    <font>
      <b/>
      <u/>
      <sz val="24"/>
      <color theme="10"/>
      <name val="吳守禮細明台語破音01"/>
      <family val="1"/>
      <charset val="136"/>
    </font>
    <font>
      <b/>
      <u/>
      <sz val="24"/>
      <color rgb="FF000000"/>
      <name val="字咍源雲明體 方音 L"/>
      <family val="1"/>
      <charset val="136"/>
    </font>
    <font>
      <b/>
      <sz val="16"/>
      <color theme="0"/>
      <name val="Noto Serif TC"/>
      <family val="1"/>
      <charset val="136"/>
    </font>
    <font>
      <u/>
      <sz val="16"/>
      <color theme="10"/>
      <name val="Noto Serif TC"/>
      <family val="1"/>
      <charset val="136"/>
    </font>
    <font>
      <sz val="16"/>
      <color rgb="FFFF0000"/>
      <name val="Noto Serif TC"/>
      <family val="1"/>
      <charset val="136"/>
    </font>
    <font>
      <u/>
      <sz val="16"/>
      <color rgb="FFFF0000"/>
      <name val="Noto Serif TC"/>
      <family val="1"/>
      <charset val="136"/>
    </font>
    <font>
      <u/>
      <sz val="16"/>
      <color theme="4"/>
      <name val="Noto Serif TC"/>
      <family val="1"/>
      <charset val="136"/>
    </font>
    <font>
      <sz val="24"/>
      <color theme="7" tint="0.59999389629810485"/>
      <name val="Noto Serif TC Black"/>
      <family val="1"/>
      <charset val="136"/>
    </font>
    <font>
      <sz val="16"/>
      <color theme="1"/>
      <name val="SimSun"/>
      <charset val="134"/>
    </font>
    <font>
      <sz val="24"/>
      <color theme="5"/>
      <name val="Noto Serif TC Black"/>
      <family val="1"/>
      <charset val="136"/>
    </font>
    <font>
      <b/>
      <sz val="16"/>
      <color theme="0"/>
      <name val="Noto Sans TC Medium"/>
      <family val="2"/>
    </font>
    <font>
      <sz val="9"/>
      <name val="BopomofoRuby1909-v1"/>
      <family val="3"/>
      <charset val="136"/>
    </font>
    <font>
      <sz val="11"/>
      <color theme="1"/>
      <name val="新細明體"/>
      <family val="2"/>
      <scheme val="minor"/>
    </font>
    <font>
      <sz val="16"/>
      <color theme="1"/>
      <name val="新細明體"/>
      <family val="2"/>
      <scheme val="minor"/>
    </font>
    <font>
      <sz val="14"/>
      <name val="Noto Sans TC Medium"/>
      <family val="2"/>
    </font>
    <font>
      <b/>
      <sz val="22"/>
      <color rgb="FF7030A0"/>
      <name val="吳守禮細明台語注音"/>
      <family val="1"/>
      <charset val="136"/>
    </font>
    <font>
      <sz val="22"/>
      <color rgb="FFFF0000"/>
      <name val="霞鶩文楷等寬 TC"/>
      <family val="3"/>
      <charset val="136"/>
    </font>
    <font>
      <sz val="16"/>
      <color theme="1"/>
      <name val="Noto Sans TC"/>
      <family val="2"/>
      <charset val="136"/>
    </font>
    <font>
      <b/>
      <sz val="16"/>
      <color theme="0"/>
      <name val="Noto Serif TC SemiBold"/>
      <family val="1"/>
      <charset val="136"/>
    </font>
    <font>
      <sz val="9"/>
      <name val="Noto Sans TC"/>
      <family val="2"/>
      <charset val="136"/>
    </font>
    <font>
      <b/>
      <sz val="12"/>
      <color rgb="FFFFFF00"/>
      <name val="Noto Serif TC SemiBold"/>
      <family val="1"/>
      <charset val="136"/>
    </font>
    <font>
      <b/>
      <sz val="16"/>
      <color rgb="FFFFFF00"/>
      <name val="Noto Serif TC SemiBold"/>
      <family val="1"/>
      <charset val="136"/>
    </font>
    <font>
      <sz val="16"/>
      <color theme="1"/>
      <name val="Noto Serif TC SemiBold"/>
      <family val="1"/>
      <charset val="136"/>
    </font>
    <font>
      <sz val="16"/>
      <color rgb="FF7030A0"/>
      <name val="Noto Sans TC"/>
      <family val="2"/>
      <charset val="136"/>
    </font>
    <font>
      <b/>
      <sz val="22"/>
      <color rgb="FFC00000"/>
      <name val="新細明體"/>
      <family val="1"/>
      <scheme val="minor"/>
    </font>
    <font>
      <sz val="18"/>
      <color rgb="FF7030A0"/>
      <name val="Noto Sans TC Medium"/>
      <family val="2"/>
    </font>
    <font>
      <b/>
      <sz val="16"/>
      <name val="新細明體"/>
      <family val="1"/>
      <scheme val="minor"/>
    </font>
    <font>
      <sz val="20"/>
      <color theme="1"/>
      <name val="新細明體"/>
      <family val="1"/>
      <scheme val="minor"/>
    </font>
    <font>
      <sz val="20"/>
      <color rgb="FFFF0000"/>
      <name val="新細明體"/>
      <family val="1"/>
      <scheme val="minor"/>
    </font>
    <font>
      <sz val="16"/>
      <color rgb="FFFF0000"/>
      <name val="Noto Sans TC"/>
      <family val="2"/>
      <charset val="136"/>
    </font>
    <font>
      <b/>
      <sz val="20"/>
      <color rgb="FFFF0000"/>
      <name val="新細明體"/>
      <family val="1"/>
      <scheme val="minor"/>
    </font>
    <font>
      <sz val="20"/>
      <color rgb="FFFF0000"/>
      <name val="SimSun-ExtB"/>
      <family val="3"/>
      <charset val="134"/>
    </font>
    <font>
      <sz val="20"/>
      <color theme="1"/>
      <name val="SimSun-ExtB"/>
      <family val="1"/>
      <charset val="134"/>
    </font>
    <font>
      <sz val="16"/>
      <color theme="1"/>
      <name val="Microsoft YaHei"/>
      <family val="2"/>
      <charset val="134"/>
    </font>
    <font>
      <sz val="16"/>
      <color rgb="FFFF0000"/>
      <name val="Noto Sans TC"/>
      <family val="2"/>
    </font>
    <font>
      <sz val="16"/>
      <color rgb="FF7030A0"/>
      <name val="Noto Sans TC Medium"/>
      <family val="2"/>
    </font>
    <font>
      <b/>
      <sz val="18"/>
      <color rgb="FF7030A0"/>
      <name val="Noto Sans TC Medium"/>
      <family val="2"/>
    </font>
    <font>
      <sz val="16"/>
      <name val="Noto Sans TC"/>
      <family val="2"/>
      <charset val="136"/>
    </font>
    <font>
      <sz val="11"/>
      <color rgb="FF7030A0"/>
      <name val="新細明體"/>
      <family val="2"/>
      <scheme val="minor"/>
    </font>
    <font>
      <sz val="16"/>
      <color rgb="FFC00000"/>
      <name val="Noto Sans TC"/>
      <family val="2"/>
      <charset val="136"/>
    </font>
    <font>
      <sz val="11"/>
      <color rgb="FFC00000"/>
      <name val="新細明體"/>
      <family val="2"/>
      <scheme val="minor"/>
    </font>
    <font>
      <sz val="11"/>
      <name val="新細明體"/>
      <family val="2"/>
      <scheme val="minor"/>
    </font>
    <font>
      <sz val="22"/>
      <color theme="1"/>
      <name val="Noto Serif TC Black"/>
      <family val="1"/>
      <charset val="136"/>
    </font>
    <font>
      <b/>
      <sz val="22"/>
      <name val="吳守禮細明台語注音"/>
      <family val="1"/>
      <charset val="136"/>
    </font>
    <font>
      <sz val="14"/>
      <color theme="10"/>
      <name val="Noto Sans TC Medium"/>
      <family val="2"/>
    </font>
    <font>
      <sz val="14"/>
      <color theme="10"/>
      <name val="Noto Sans TC Medium"/>
      <family val="3"/>
      <charset val="128"/>
    </font>
    <font>
      <sz val="18"/>
      <color theme="1"/>
      <name val="Noto Serif TC Black"/>
      <family val="1"/>
      <charset val="136"/>
    </font>
    <font>
      <b/>
      <sz val="18"/>
      <color theme="0"/>
      <name val="Noto Serif TC Black"/>
      <family val="1"/>
      <charset val="136"/>
    </font>
    <font>
      <sz val="16"/>
      <color theme="1"/>
      <name val="Noto Serif TC Black"/>
      <family val="1"/>
      <charset val="136"/>
    </font>
    <font>
      <b/>
      <sz val="16"/>
      <color theme="0"/>
      <name val="Noto Sans TC Black"/>
      <family val="2"/>
      <charset val="136"/>
    </font>
    <font>
      <sz val="9"/>
      <name val="黒体-繁"/>
      <family val="2"/>
      <charset val="136"/>
    </font>
    <font>
      <b/>
      <sz val="16"/>
      <color rgb="FFFFFF00"/>
      <name val="Noto Sans TC Black"/>
      <family val="2"/>
      <charset val="136"/>
    </font>
    <font>
      <sz val="22"/>
      <color theme="3" tint="0.749992370372631"/>
      <name val="Noto Serif TC Black"/>
      <family val="1"/>
      <charset val="136"/>
    </font>
    <font>
      <sz val="16"/>
      <color rgb="FFC00000"/>
      <name val="Noto Serif TC Black"/>
      <family val="1"/>
      <charset val="136"/>
    </font>
    <font>
      <sz val="16"/>
      <color theme="10"/>
      <name val="Noto Serif TC Black"/>
      <family val="1"/>
      <charset val="136"/>
    </font>
    <font>
      <sz val="16"/>
      <name val="新細明體"/>
      <family val="1"/>
      <scheme val="minor"/>
    </font>
    <font>
      <b/>
      <sz val="16"/>
      <color rgb="FFFF0000"/>
      <name val="新細明體"/>
      <family val="1"/>
      <scheme val="minor"/>
    </font>
    <font>
      <b/>
      <sz val="16"/>
      <color rgb="FFFF0000"/>
      <name val="Noto Serif TC"/>
      <family val="1"/>
      <charset val="136"/>
    </font>
    <font>
      <sz val="16"/>
      <color theme="5" tint="-0.249977111117893"/>
      <name val="Noto Serif TC Black"/>
      <family val="1"/>
      <charset val="136"/>
    </font>
    <font>
      <sz val="16"/>
      <color rgb="FF000000"/>
      <name val="BopomofoRuby1909-v1"/>
      <family val="1"/>
      <charset val="136"/>
    </font>
    <font>
      <sz val="16"/>
      <name val="新細明體"/>
      <family val="1"/>
      <charset val="136"/>
      <scheme val="minor"/>
    </font>
    <font>
      <sz val="16"/>
      <color rgb="FF000000"/>
      <name val="Noto Serif TC Black"/>
      <family val="1"/>
      <charset val="136"/>
    </font>
    <font>
      <b/>
      <sz val="16"/>
      <color rgb="FFC00000"/>
      <name val="Noto Serif TC"/>
      <family val="1"/>
      <charset val="136"/>
    </font>
    <font>
      <sz val="16"/>
      <color theme="1"/>
      <name val="BopomofoRuby1909-v1"/>
      <family val="1"/>
      <charset val="136"/>
    </font>
    <font>
      <sz val="16"/>
      <color rgb="FFC00000"/>
      <name val="Noto Serif TC"/>
      <family val="1"/>
      <charset val="136"/>
    </font>
    <font>
      <sz val="16"/>
      <color rgb="FFC00000"/>
      <name val="BopomofoRuby1909-v1"/>
      <family val="1"/>
      <charset val="136"/>
    </font>
    <font>
      <sz val="16"/>
      <color theme="1"/>
      <name val="Noto Sans TC Black"/>
      <family val="2"/>
      <charset val="136"/>
    </font>
    <font>
      <sz val="16"/>
      <color rgb="FF000000"/>
      <name val="Microsoft JhengHei"/>
      <family val="2"/>
      <charset val="136"/>
    </font>
    <font>
      <sz val="16"/>
      <color rgb="FFFF0000"/>
      <name val="新細明體"/>
      <family val="1"/>
      <scheme val="minor"/>
    </font>
    <font>
      <sz val="16"/>
      <color theme="4"/>
      <name val="Noto Serif TC"/>
      <family val="1"/>
      <charset val="136"/>
    </font>
    <font>
      <sz val="16"/>
      <color theme="10"/>
      <name val="Noto Serif TC"/>
      <family val="1"/>
      <charset val="136"/>
    </font>
    <font>
      <b/>
      <sz val="16"/>
      <color rgb="FFFF0000"/>
      <name val="Noto Serif TC"/>
      <family val="1"/>
    </font>
    <font>
      <u/>
      <sz val="10"/>
      <color theme="10"/>
      <name val="宋体"/>
      <charset val="136"/>
    </font>
    <font>
      <sz val="16"/>
      <name val="Noto Serif TC Black"/>
      <family val="1"/>
      <charset val="136"/>
    </font>
    <font>
      <sz val="16"/>
      <color theme="10"/>
      <name val="BopomofoRuby1909-v1"/>
      <family val="1"/>
      <charset val="136"/>
    </font>
    <font>
      <sz val="16"/>
      <color theme="5" tint="-0.249977111117893"/>
      <name val="Noto Serif TC"/>
      <family val="1"/>
      <charset val="136"/>
    </font>
    <font>
      <b/>
      <sz val="16"/>
      <color rgb="FFFF0000"/>
      <name val="Yu Gothic"/>
      <family val="1"/>
      <charset val="128"/>
    </font>
    <font>
      <sz val="16"/>
      <color theme="5" tint="-0.249977111117893"/>
      <name val="BopomofoRuby1909-v1"/>
      <family val="1"/>
      <charset val="136"/>
    </font>
    <font>
      <sz val="16"/>
      <name val="Noto Serif TC"/>
      <family val="1"/>
      <charset val="136"/>
    </font>
    <font>
      <sz val="16"/>
      <color theme="1"/>
      <name val="新細明體"/>
      <family val="1"/>
      <scheme val="minor"/>
    </font>
    <font>
      <sz val="16"/>
      <color theme="1"/>
      <name val="Arial"/>
      <family val="2"/>
    </font>
    <font>
      <sz val="10"/>
      <name val="FSung-F"/>
      <family val="1"/>
      <charset val="136"/>
    </font>
    <font>
      <sz val="18"/>
      <color theme="1"/>
      <name val="Noto Sans TC Medium"/>
      <family val="2"/>
      <charset val="136"/>
    </font>
    <font>
      <sz val="16"/>
      <color theme="3" tint="0.749992370372631"/>
      <name val="Noto Serif TC Black"/>
      <family val="1"/>
      <charset val="136"/>
    </font>
    <font>
      <sz val="20"/>
      <name val="Noto Sans TC Medium"/>
      <family val="2"/>
      <charset val="136"/>
    </font>
    <font>
      <sz val="24"/>
      <color rgb="FFFF0000"/>
      <name val="Noto Serif TC Black"/>
      <family val="1"/>
      <charset val="136"/>
    </font>
    <font>
      <sz val="24"/>
      <color theme="8" tint="-0.249977111117893"/>
      <name val="Noto Serif TC Black"/>
      <family val="1"/>
      <charset val="136"/>
    </font>
    <font>
      <sz val="18"/>
      <color rgb="FFFFFFCC"/>
      <name val="Noto Sans TC Medium"/>
      <family val="2"/>
      <charset val="136"/>
    </font>
    <font>
      <sz val="18"/>
      <color theme="0" tint="-4.9989318521683403E-2"/>
      <name val="Noto Sans TC Medium"/>
      <family val="2"/>
      <charset val="136"/>
    </font>
    <font>
      <sz val="28"/>
      <color theme="1"/>
      <name val="Noto Sans TC Medium"/>
      <family val="2"/>
    </font>
    <font>
      <sz val="24"/>
      <color theme="1"/>
      <name val="Noto Sans TC Medium"/>
      <family val="2"/>
      <charset val="136"/>
    </font>
    <font>
      <sz val="18"/>
      <color theme="1"/>
      <name val="Noto Sans TC Medium"/>
      <family val="2"/>
    </font>
    <font>
      <sz val="10"/>
      <color rgb="FF000000"/>
      <name val="Linux Libertine G"/>
      <family val="2"/>
    </font>
    <font>
      <b/>
      <sz val="14"/>
      <color theme="0"/>
      <name val="Noto Sans TC Medium"/>
      <family val="2"/>
    </font>
    <font>
      <sz val="11"/>
      <color theme="0"/>
      <name val="Noto Sans TC Medium"/>
      <family val="2"/>
    </font>
    <font>
      <b/>
      <sz val="14"/>
      <color rgb="FFFFFF00"/>
      <name val="Noto Sans TC Medium"/>
      <family val="2"/>
    </font>
    <font>
      <sz val="11"/>
      <color rgb="FFFFFF00"/>
      <name val="Noto Sans TC Medium"/>
      <family val="2"/>
    </font>
    <font>
      <b/>
      <sz val="26"/>
      <color rgb="FFC00000"/>
      <name val="吳守禮細明台語破音01"/>
      <family val="1"/>
      <charset val="136"/>
    </font>
    <font>
      <b/>
      <sz val="26"/>
      <color rgb="FF0070C0"/>
      <name val="吳守禮細明台語破音01"/>
      <family val="1"/>
      <charset val="136"/>
    </font>
    <font>
      <b/>
      <sz val="26"/>
      <color rgb="FF0070C0"/>
      <name val="霞鶩文楷等寬 TC"/>
      <family val="3"/>
      <charset val="136"/>
    </font>
    <font>
      <sz val="28"/>
      <color theme="1"/>
      <name val="吳守禮標楷台語注音"/>
      <family val="3"/>
      <charset val="136"/>
    </font>
    <font>
      <b/>
      <sz val="26"/>
      <color rgb="FFC00000"/>
      <name val="吳守禮細明台語注音"/>
      <family val="1"/>
    </font>
    <font>
      <b/>
      <sz val="26"/>
      <color rgb="FF0070C0"/>
      <name val="吳守禮細明台語注音"/>
      <family val="1"/>
    </font>
    <font>
      <sz val="28"/>
      <color theme="1"/>
      <name val="吳守禮標楷台語破音02"/>
      <family val="3"/>
      <charset val="136"/>
    </font>
    <font>
      <sz val="28"/>
      <color theme="1"/>
      <name val="吳守禮標楷台語破音01"/>
      <family val="3"/>
      <charset val="136"/>
    </font>
    <font>
      <sz val="24"/>
      <color theme="1"/>
      <name val="吳守禮標楷台語注音"/>
      <family val="3"/>
      <charset val="136"/>
    </font>
    <font>
      <b/>
      <sz val="26"/>
      <color rgb="FF0070C0"/>
      <name val="吳守禮細明台語破音02"/>
      <family val="1"/>
      <charset val="136"/>
    </font>
    <font>
      <sz val="24"/>
      <color theme="1"/>
      <name val="吳守禮標楷台語破音02"/>
      <family val="3"/>
      <charset val="136"/>
    </font>
    <font>
      <sz val="24"/>
      <color theme="1"/>
      <name val="吳守禮標楷台語破音01"/>
      <family val="3"/>
      <charset val="136"/>
    </font>
    <font>
      <sz val="24"/>
      <color rgb="FFFF0000"/>
      <name val="吳守禮標楷台語破音01"/>
      <family val="3"/>
      <charset val="136"/>
    </font>
    <font>
      <sz val="24"/>
      <color theme="1"/>
      <name val="吳守禮標楷台語破音03"/>
      <family val="3"/>
      <charset val="136"/>
    </font>
    <font>
      <sz val="24"/>
      <color rgb="FFFF0000"/>
      <name val="吳守禮標楷台語注音"/>
      <family val="3"/>
      <charset val="136"/>
    </font>
    <font>
      <sz val="14"/>
      <color theme="1"/>
      <name val="Noto Sans TC"/>
      <family val="2"/>
      <charset val="136"/>
    </font>
    <font>
      <sz val="18"/>
      <color rgb="FF000000"/>
      <name val="Noto Serif TC Medium"/>
      <family val="1"/>
      <charset val="136"/>
    </font>
    <font>
      <sz val="18"/>
      <color theme="1"/>
      <name val="Noto Serif TC Medium"/>
      <family val="1"/>
      <charset val="136"/>
    </font>
    <font>
      <b/>
      <sz val="18"/>
      <color rgb="FF000000"/>
      <name val="Noto Serif TC Medium"/>
      <family val="1"/>
      <charset val="136"/>
    </font>
    <font>
      <b/>
      <sz val="16"/>
      <color rgb="FF000000"/>
      <name val="Noto Serif TC Medium"/>
      <family val="1"/>
      <charset val="136"/>
    </font>
    <font>
      <b/>
      <sz val="48"/>
      <color rgb="FF000000"/>
      <name val="吳守禮細明台語注音"/>
      <family val="1"/>
      <charset val="136"/>
    </font>
    <font>
      <b/>
      <sz val="18"/>
      <color rgb="FF000000"/>
      <name val="吳守禮細明台語破音01"/>
      <family val="1"/>
      <charset val="136"/>
    </font>
    <font>
      <u/>
      <sz val="18"/>
      <color theme="10"/>
      <name val="Noto Serif TC Medium"/>
      <family val="1"/>
      <charset val="136"/>
    </font>
    <font>
      <sz val="18"/>
      <color rgb="FF000000"/>
      <name val="Amasis MT Pro Medium"/>
      <family val="1"/>
    </font>
    <font>
      <b/>
      <sz val="18"/>
      <color rgb="FF000000"/>
      <name val="吳守禮細明台語注音"/>
      <family val="1"/>
      <charset val="136"/>
    </font>
    <font>
      <sz val="18"/>
      <color rgb="FFFF0000"/>
      <name val="Amasis MT Pro Medium"/>
      <family val="1"/>
    </font>
    <font>
      <b/>
      <sz val="18"/>
      <color rgb="FF000000"/>
      <name val="吳守禮細明台語注音"/>
      <family val="1"/>
    </font>
    <font>
      <b/>
      <sz val="48"/>
      <color rgb="FF000000"/>
      <name val="吳守禮細明台語破音01"/>
      <family val="1"/>
      <charset val="136"/>
    </font>
    <font>
      <b/>
      <sz val="48"/>
      <color rgb="FF000000"/>
      <name val="吳守禮細明台語注音"/>
      <family val="1"/>
    </font>
    <font>
      <b/>
      <sz val="18"/>
      <color rgb="FF000000"/>
      <name val="吳守禮標楷台語破音04"/>
      <family val="3"/>
      <charset val="136"/>
    </font>
    <font>
      <b/>
      <sz val="18"/>
      <color rgb="FFFF0000"/>
      <name val="Amasis MT Pro Medium"/>
      <family val="1"/>
    </font>
    <font>
      <b/>
      <sz val="9"/>
      <color indexed="81"/>
      <name val="Tahoma"/>
      <family val="2"/>
    </font>
    <font>
      <sz val="9"/>
      <color indexed="81"/>
      <name val="Tahoma"/>
      <family val="2"/>
    </font>
    <font>
      <sz val="9"/>
      <color indexed="81"/>
      <name val="細明體"/>
      <family val="3"/>
      <charset val="136"/>
    </font>
    <font>
      <b/>
      <sz val="26"/>
      <color rgb="FFC00000"/>
      <name val="吳守禮細明台語注音"/>
      <family val="1"/>
      <charset val="136"/>
    </font>
  </fonts>
  <fills count="2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EBFC95"/>
        <bgColor indexed="64"/>
      </patternFill>
    </fill>
    <fill>
      <patternFill patternType="solid">
        <fgColor theme="4" tint="0.59999389629810485"/>
        <bgColor indexed="64"/>
      </patternFill>
    </fill>
    <fill>
      <patternFill patternType="solid">
        <fgColor theme="8" tint="0.79998168889431442"/>
        <bgColor theme="8" tint="0.79998168889431442"/>
      </patternFill>
    </fill>
    <fill>
      <patternFill patternType="solid">
        <fgColor rgb="FFFFFF00"/>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4" tint="0.59999389629810485"/>
        <bgColor theme="4" tint="0.59999389629810485"/>
      </patternFill>
    </fill>
    <fill>
      <patternFill patternType="solid">
        <fgColor rgb="FFFFFFCC"/>
        <bgColor indexed="64"/>
      </patternFill>
    </fill>
  </fills>
  <borders count="28">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theme="4" tint="0.39997558519241921"/>
      </right>
      <top/>
      <bottom/>
      <diagonal/>
    </border>
    <border>
      <left style="thin">
        <color indexed="64"/>
      </left>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rgb="FF000000"/>
      </right>
      <top style="thin">
        <color indexed="64"/>
      </top>
      <bottom style="thin">
        <color indexed="64"/>
      </bottom>
      <diagonal/>
    </border>
  </borders>
  <cellStyleXfs count="13">
    <xf numFmtId="0" fontId="0" fillId="0" borderId="0"/>
    <xf numFmtId="0" fontId="1" fillId="0" borderId="0" applyNumberFormat="0" applyFill="0" applyBorder="0" applyAlignment="0" applyProtection="0"/>
    <xf numFmtId="0" fontId="12" fillId="0" borderId="0" applyNumberFormat="0" applyFill="0" applyBorder="0" applyAlignment="0" applyProtection="0">
      <alignment vertical="center"/>
    </xf>
    <xf numFmtId="0" fontId="20" fillId="0" borderId="0"/>
    <xf numFmtId="0" fontId="52" fillId="0" borderId="0"/>
    <xf numFmtId="0" fontId="57" fillId="0" borderId="0">
      <alignment vertical="center"/>
    </xf>
    <xf numFmtId="0" fontId="8" fillId="0" borderId="0"/>
    <xf numFmtId="0" fontId="57" fillId="0" borderId="0">
      <alignment vertical="center"/>
    </xf>
    <xf numFmtId="0" fontId="1" fillId="0" borderId="0" applyNumberFormat="0" applyFill="0" applyBorder="0" applyAlignment="0" applyProtection="0"/>
    <xf numFmtId="0" fontId="112" fillId="0" borderId="0" applyNumberFormat="0" applyFill="0" applyBorder="0" applyAlignment="0" applyProtection="0"/>
    <xf numFmtId="0" fontId="132" fillId="0" borderId="0"/>
    <xf numFmtId="0" fontId="8" fillId="0" borderId="0"/>
    <xf numFmtId="0" fontId="12" fillId="0" borderId="0" applyNumberFormat="0" applyFill="0" applyBorder="0" applyAlignment="0" applyProtection="0">
      <alignment vertical="center"/>
    </xf>
  </cellStyleXfs>
  <cellXfs count="338">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3" fillId="0" borderId="0" xfId="0" applyFont="1"/>
    <xf numFmtId="0" fontId="3" fillId="0" borderId="4" xfId="0" applyFont="1" applyBorder="1" applyAlignment="1">
      <alignment vertical="center"/>
    </xf>
    <xf numFmtId="0" fontId="4" fillId="0" borderId="5" xfId="0" applyFont="1" applyBorder="1" applyAlignment="1">
      <alignment vertical="center"/>
    </xf>
    <xf numFmtId="0" fontId="5" fillId="0" borderId="6" xfId="1" applyFont="1" applyBorder="1" applyAlignment="1">
      <alignment vertical="center"/>
    </xf>
    <xf numFmtId="0" fontId="3" fillId="0" borderId="6" xfId="0" applyFont="1" applyBorder="1" applyAlignment="1">
      <alignment vertical="center"/>
    </xf>
    <xf numFmtId="0" fontId="6" fillId="0" borderId="5" xfId="0" applyFont="1" applyBorder="1" applyAlignment="1">
      <alignment vertical="center"/>
    </xf>
    <xf numFmtId="0" fontId="7" fillId="0" borderId="6" xfId="1" applyFont="1" applyBorder="1" applyAlignment="1">
      <alignment vertical="center"/>
    </xf>
    <xf numFmtId="0" fontId="3" fillId="0" borderId="5"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7" fillId="0" borderId="9" xfId="1" applyFont="1" applyBorder="1" applyAlignment="1">
      <alignment vertical="center"/>
    </xf>
    <xf numFmtId="0" fontId="3" fillId="0" borderId="9" xfId="0" applyFont="1" applyBorder="1" applyAlignment="1">
      <alignment vertical="center"/>
    </xf>
    <xf numFmtId="0" fontId="3" fillId="0" borderId="0" xfId="0" applyFont="1" applyAlignment="1">
      <alignment vertical="center"/>
    </xf>
    <xf numFmtId="0" fontId="7" fillId="0" borderId="0" xfId="1" applyFont="1" applyAlignment="1">
      <alignment vertical="center"/>
    </xf>
    <xf numFmtId="0" fontId="11" fillId="0" borderId="0" xfId="0" applyFont="1" applyAlignment="1">
      <alignment horizontal="center" vertical="center"/>
    </xf>
    <xf numFmtId="0" fontId="11" fillId="6" borderId="11" xfId="0" applyFont="1" applyFill="1" applyBorder="1" applyAlignment="1">
      <alignment horizontal="center" vertical="center"/>
    </xf>
    <xf numFmtId="0" fontId="0" fillId="0" borderId="0" xfId="0" applyAlignment="1">
      <alignment horizontal="center" vertical="center"/>
    </xf>
    <xf numFmtId="0" fontId="14" fillId="6" borderId="12" xfId="0" applyFont="1" applyFill="1" applyBorder="1" applyAlignment="1">
      <alignment horizontal="center" vertical="center"/>
    </xf>
    <xf numFmtId="0" fontId="12" fillId="0" borderId="11" xfId="2" applyBorder="1" applyAlignment="1">
      <alignment horizontal="center" vertical="center"/>
    </xf>
    <xf numFmtId="0" fontId="17" fillId="0" borderId="12" xfId="2" applyFont="1" applyBorder="1" applyAlignment="1">
      <alignment horizontal="center" vertical="center"/>
    </xf>
    <xf numFmtId="0" fontId="12" fillId="0" borderId="12" xfId="2" applyBorder="1" applyAlignment="1">
      <alignment horizontal="center" vertical="center"/>
    </xf>
    <xf numFmtId="0" fontId="12" fillId="0" borderId="14" xfId="2" applyBorder="1" applyAlignment="1">
      <alignment horizontal="center" vertical="center"/>
    </xf>
    <xf numFmtId="0" fontId="17" fillId="0" borderId="16" xfId="2" applyFont="1" applyBorder="1" applyAlignment="1">
      <alignment horizontal="center" vertical="center"/>
    </xf>
    <xf numFmtId="0" fontId="0" fillId="0" borderId="11" xfId="0" applyBorder="1" applyAlignment="1">
      <alignment vertical="center"/>
    </xf>
    <xf numFmtId="0" fontId="21" fillId="0" borderId="6" xfId="1" applyFont="1" applyBorder="1" applyAlignment="1">
      <alignment vertical="center"/>
    </xf>
    <xf numFmtId="0" fontId="22" fillId="0" borderId="4" xfId="0" applyFont="1" applyBorder="1" applyAlignment="1">
      <alignment vertical="center"/>
    </xf>
    <xf numFmtId="0" fontId="23" fillId="0" borderId="5" xfId="0" applyFont="1" applyBorder="1" applyAlignment="1">
      <alignment vertical="center"/>
    </xf>
    <xf numFmtId="0" fontId="24" fillId="0" borderId="6" xfId="1" applyFont="1" applyBorder="1" applyAlignment="1">
      <alignment vertical="center"/>
    </xf>
    <xf numFmtId="0" fontId="22" fillId="0" borderId="6" xfId="0" applyFont="1" applyBorder="1" applyAlignment="1">
      <alignment vertical="center"/>
    </xf>
    <xf numFmtId="0" fontId="25" fillId="10" borderId="5" xfId="0" applyFont="1" applyFill="1" applyBorder="1" applyAlignment="1">
      <alignment horizontal="center" vertical="center" wrapText="1" readingOrder="1"/>
    </xf>
    <xf numFmtId="0" fontId="26" fillId="0" borderId="0" xfId="0" applyFont="1" applyAlignment="1">
      <alignment horizontal="center" vertical="center"/>
    </xf>
    <xf numFmtId="0" fontId="27" fillId="0" borderId="5" xfId="0" applyFont="1" applyBorder="1" applyAlignment="1">
      <alignment horizontal="center" vertical="center" readingOrder="1"/>
    </xf>
    <xf numFmtId="0" fontId="28" fillId="0" borderId="0" xfId="0" applyFont="1" applyAlignment="1">
      <alignment horizontal="center" vertical="center"/>
    </xf>
    <xf numFmtId="0" fontId="27" fillId="9" borderId="5" xfId="0" applyFont="1" applyFill="1" applyBorder="1" applyAlignment="1">
      <alignment horizontal="center" vertical="center" readingOrder="1"/>
    </xf>
    <xf numFmtId="0" fontId="29" fillId="0" borderId="5" xfId="0" applyFont="1" applyBorder="1" applyAlignment="1">
      <alignment horizontal="center" vertical="center" readingOrder="1"/>
    </xf>
    <xf numFmtId="0" fontId="25" fillId="10" borderId="5" xfId="0" applyFont="1" applyFill="1" applyBorder="1" applyAlignment="1">
      <alignment horizontal="left" vertical="center" readingOrder="1"/>
    </xf>
    <xf numFmtId="0" fontId="27" fillId="0" borderId="5" xfId="0" applyFont="1" applyBorder="1" applyAlignment="1">
      <alignment horizontal="left" vertical="center" readingOrder="1"/>
    </xf>
    <xf numFmtId="0" fontId="27" fillId="9" borderId="5" xfId="0" applyFont="1" applyFill="1" applyBorder="1" applyAlignment="1">
      <alignment horizontal="left" vertical="center" readingOrder="1"/>
    </xf>
    <xf numFmtId="0" fontId="29" fillId="0" borderId="5" xfId="0" applyFont="1" applyBorder="1" applyAlignment="1">
      <alignment horizontal="left" vertical="center" readingOrder="1"/>
    </xf>
    <xf numFmtId="0" fontId="28" fillId="0" borderId="0" xfId="0" applyFont="1" applyAlignment="1">
      <alignment horizontal="left" vertical="center"/>
    </xf>
    <xf numFmtId="0" fontId="25" fillId="10" borderId="5" xfId="0" applyFont="1" applyFill="1" applyBorder="1" applyAlignment="1">
      <alignment horizontal="left" vertical="center" wrapText="1" readingOrder="1"/>
    </xf>
    <xf numFmtId="0" fontId="30" fillId="0" borderId="0" xfId="0" applyFont="1" applyAlignment="1">
      <alignment horizontal="center" vertical="center"/>
    </xf>
    <xf numFmtId="0" fontId="31" fillId="0" borderId="0" xfId="0" applyFont="1" applyAlignment="1">
      <alignment horizontal="center" vertical="center"/>
    </xf>
    <xf numFmtId="0" fontId="32" fillId="0" borderId="5" xfId="1" applyFont="1" applyBorder="1" applyAlignment="1">
      <alignment horizontal="center" vertical="center"/>
    </xf>
    <xf numFmtId="0" fontId="33" fillId="0" borderId="5" xfId="1" applyFont="1" applyBorder="1" applyAlignment="1">
      <alignment horizontal="center" vertical="center"/>
    </xf>
    <xf numFmtId="0" fontId="34" fillId="0" borderId="5" xfId="1" applyFont="1" applyBorder="1" applyAlignment="1">
      <alignment horizontal="center" vertical="center"/>
    </xf>
    <xf numFmtId="0" fontId="35" fillId="0" borderId="5" xfId="1" applyFont="1" applyBorder="1" applyAlignment="1">
      <alignment horizontal="center" vertical="center"/>
    </xf>
    <xf numFmtId="0" fontId="36" fillId="0" borderId="5" xfId="1" applyFont="1" applyBorder="1" applyAlignment="1">
      <alignment horizontal="center" vertical="center"/>
    </xf>
    <xf numFmtId="0" fontId="38" fillId="0" borderId="5" xfId="1" applyFont="1" applyBorder="1" applyAlignment="1">
      <alignment horizontal="center" vertical="center"/>
    </xf>
    <xf numFmtId="0" fontId="39" fillId="0" borderId="5" xfId="1" applyFont="1" applyBorder="1" applyAlignment="1">
      <alignment horizontal="center" vertical="center"/>
    </xf>
    <xf numFmtId="0" fontId="40" fillId="0" borderId="8" xfId="1" applyFont="1" applyBorder="1" applyAlignment="1">
      <alignment horizontal="center" vertical="center"/>
    </xf>
    <xf numFmtId="0" fontId="41" fillId="0" borderId="5" xfId="1" applyFont="1" applyBorder="1" applyAlignment="1">
      <alignment horizontal="center" vertical="center"/>
    </xf>
    <xf numFmtId="0" fontId="32" fillId="12" borderId="5" xfId="1" applyFont="1" applyFill="1" applyBorder="1" applyAlignment="1">
      <alignment horizontal="center" vertical="center"/>
    </xf>
    <xf numFmtId="0" fontId="28" fillId="0" borderId="0" xfId="0" applyFont="1"/>
    <xf numFmtId="0" fontId="28" fillId="0" borderId="0" xfId="0" applyFont="1" applyAlignment="1">
      <alignment vertical="center"/>
    </xf>
    <xf numFmtId="0" fontId="47" fillId="0" borderId="0" xfId="0" applyFont="1" applyAlignment="1">
      <alignment horizontal="center" vertical="center"/>
    </xf>
    <xf numFmtId="0" fontId="42" fillId="0" borderId="1" xfId="0" applyFont="1" applyBorder="1" applyAlignment="1">
      <alignment vertical="center"/>
    </xf>
    <xf numFmtId="0" fontId="42" fillId="0" borderId="2" xfId="0" applyFont="1" applyBorder="1" applyAlignment="1">
      <alignment vertical="center"/>
    </xf>
    <xf numFmtId="0" fontId="42" fillId="0" borderId="3" xfId="0" applyFont="1" applyBorder="1" applyAlignment="1">
      <alignment vertical="center"/>
    </xf>
    <xf numFmtId="0" fontId="28" fillId="0" borderId="4" xfId="0" applyFont="1" applyBorder="1" applyAlignment="1">
      <alignment vertical="center"/>
    </xf>
    <xf numFmtId="0" fontId="28" fillId="0" borderId="5" xfId="0" applyFont="1" applyBorder="1" applyAlignment="1">
      <alignment vertical="center"/>
    </xf>
    <xf numFmtId="0" fontId="43" fillId="0" borderId="5" xfId="1" applyFont="1" applyFill="1" applyBorder="1" applyAlignment="1">
      <alignment vertical="center"/>
    </xf>
    <xf numFmtId="0" fontId="28" fillId="0" borderId="6" xfId="0" applyFont="1" applyBorder="1" applyAlignment="1">
      <alignment vertical="center"/>
    </xf>
    <xf numFmtId="0" fontId="29" fillId="0" borderId="5" xfId="0" applyFont="1" applyBorder="1" applyAlignment="1">
      <alignment horizontal="left" vertical="center"/>
    </xf>
    <xf numFmtId="0" fontId="44" fillId="0" borderId="5" xfId="0" applyFont="1" applyBorder="1" applyAlignment="1">
      <alignment vertical="center"/>
    </xf>
    <xf numFmtId="0" fontId="45" fillId="0" borderId="5" xfId="1" applyFont="1" applyFill="1" applyBorder="1" applyAlignment="1">
      <alignment vertical="center"/>
    </xf>
    <xf numFmtId="0" fontId="44" fillId="0" borderId="6" xfId="0" applyFont="1" applyBorder="1" applyAlignment="1">
      <alignment vertical="center"/>
    </xf>
    <xf numFmtId="0" fontId="43" fillId="0" borderId="6" xfId="1" applyFont="1" applyFill="1" applyBorder="1" applyAlignment="1">
      <alignment vertical="center"/>
    </xf>
    <xf numFmtId="0" fontId="44" fillId="0" borderId="5" xfId="0" applyFont="1" applyBorder="1" applyAlignment="1">
      <alignment horizontal="left" vertical="center"/>
    </xf>
    <xf numFmtId="0" fontId="46" fillId="0" borderId="5" xfId="1" applyFont="1" applyFill="1" applyBorder="1" applyAlignment="1">
      <alignment vertical="center"/>
    </xf>
    <xf numFmtId="0" fontId="28" fillId="0" borderId="7" xfId="0" applyFont="1" applyBorder="1" applyAlignment="1">
      <alignment vertical="center"/>
    </xf>
    <xf numFmtId="0" fontId="44" fillId="0" borderId="8" xfId="0" applyFont="1" applyBorder="1" applyAlignment="1">
      <alignment vertical="center"/>
    </xf>
    <xf numFmtId="0" fontId="45" fillId="0" borderId="8" xfId="1" applyFont="1" applyFill="1" applyBorder="1" applyAlignment="1">
      <alignment vertical="center"/>
    </xf>
    <xf numFmtId="0" fontId="44" fillId="0" borderId="9" xfId="0" applyFont="1" applyBorder="1" applyAlignment="1">
      <alignment vertical="center"/>
    </xf>
    <xf numFmtId="0" fontId="49" fillId="0" borderId="0" xfId="0" applyFont="1" applyAlignment="1">
      <alignment horizontal="center" vertical="center"/>
    </xf>
    <xf numFmtId="0" fontId="50" fillId="13" borderId="16" xfId="3" applyFont="1" applyFill="1" applyBorder="1" applyAlignment="1">
      <alignment horizontal="center" vertical="center" wrapText="1"/>
    </xf>
    <xf numFmtId="0" fontId="50" fillId="13" borderId="12" xfId="3" applyFont="1" applyFill="1" applyBorder="1" applyAlignment="1">
      <alignment horizontal="center" vertical="center" wrapText="1"/>
    </xf>
    <xf numFmtId="0" fontId="50" fillId="13" borderId="15" xfId="3" applyFont="1" applyFill="1" applyBorder="1" applyAlignment="1">
      <alignment horizontal="center" vertical="center" wrapText="1"/>
    </xf>
    <xf numFmtId="0" fontId="53" fillId="0" borderId="0" xfId="4" applyFont="1"/>
    <xf numFmtId="0" fontId="54" fillId="14" borderId="21" xfId="3" applyFont="1" applyFill="1" applyBorder="1" applyAlignment="1">
      <alignment horizontal="center" vertical="center" wrapText="1"/>
    </xf>
    <xf numFmtId="0" fontId="55" fillId="14" borderId="10" xfId="3" applyFont="1" applyFill="1" applyBorder="1" applyAlignment="1">
      <alignment horizontal="center" vertical="center" wrapText="1"/>
    </xf>
    <xf numFmtId="0" fontId="56" fillId="14" borderId="10" xfId="3" applyFont="1" applyFill="1" applyBorder="1" applyAlignment="1">
      <alignment horizontal="center" vertical="center" wrapText="1"/>
    </xf>
    <xf numFmtId="0" fontId="52" fillId="0" borderId="0" xfId="4"/>
    <xf numFmtId="0" fontId="54" fillId="14" borderId="14" xfId="3" applyFont="1" applyFill="1" applyBorder="1" applyAlignment="1">
      <alignment horizontal="center" vertical="center" wrapText="1"/>
    </xf>
    <xf numFmtId="0" fontId="55" fillId="14" borderId="11" xfId="3" applyFont="1" applyFill="1" applyBorder="1" applyAlignment="1">
      <alignment horizontal="center" vertical="center" wrapText="1"/>
    </xf>
    <xf numFmtId="0" fontId="56" fillId="14" borderId="11" xfId="3" applyFont="1" applyFill="1" applyBorder="1" applyAlignment="1">
      <alignment horizontal="center" vertical="center" wrapText="1"/>
    </xf>
    <xf numFmtId="0" fontId="58" fillId="0" borderId="0" xfId="5" applyFont="1" applyAlignment="1">
      <alignment horizontal="center" vertical="center" wrapText="1"/>
    </xf>
    <xf numFmtId="0" fontId="60" fillId="0" borderId="22" xfId="5" applyFont="1" applyBorder="1" applyAlignment="1">
      <alignment horizontal="center" vertical="center" wrapText="1"/>
    </xf>
    <xf numFmtId="0" fontId="58" fillId="0" borderId="22" xfId="5" applyFont="1" applyBorder="1" applyAlignment="1">
      <alignment horizontal="center" vertical="center" wrapText="1"/>
    </xf>
    <xf numFmtId="0" fontId="61" fillId="0" borderId="0" xfId="5" applyFont="1" applyAlignment="1">
      <alignment horizontal="center" vertical="center" wrapText="1"/>
    </xf>
    <xf numFmtId="0" fontId="62" fillId="0" borderId="0" xfId="5" applyFont="1">
      <alignment vertical="center"/>
    </xf>
    <xf numFmtId="0" fontId="57" fillId="0" borderId="0" xfId="5" applyAlignment="1">
      <alignment horizontal="center" vertical="center"/>
    </xf>
    <xf numFmtId="0" fontId="63" fillId="0" borderId="0" xfId="5" applyFont="1" applyAlignment="1">
      <alignment horizontal="center" vertical="center"/>
    </xf>
    <xf numFmtId="0" fontId="63" fillId="0" borderId="0" xfId="5" applyFont="1" applyAlignment="1">
      <alignment horizontal="right" vertical="center"/>
    </xf>
    <xf numFmtId="176" fontId="64" fillId="0" borderId="0" xfId="5" applyNumberFormat="1" applyFont="1" applyAlignment="1">
      <alignment horizontal="left" vertical="center" indent="1"/>
    </xf>
    <xf numFmtId="0" fontId="65" fillId="0" borderId="0" xfId="5" applyFont="1" applyAlignment="1">
      <alignment horizontal="center" vertical="center" wrapText="1"/>
    </xf>
    <xf numFmtId="176" fontId="66" fillId="0" borderId="0" xfId="5" applyNumberFormat="1" applyFont="1" applyAlignment="1">
      <alignment horizontal="center" vertical="center"/>
    </xf>
    <xf numFmtId="0" fontId="63" fillId="0" borderId="0" xfId="5" applyFont="1" applyAlignment="1">
      <alignment horizontal="left" vertical="center" indent="1"/>
    </xf>
    <xf numFmtId="0" fontId="67" fillId="0" borderId="0" xfId="5" applyFont="1">
      <alignment vertical="center"/>
    </xf>
    <xf numFmtId="0" fontId="57" fillId="0" borderId="0" xfId="5">
      <alignment vertical="center"/>
    </xf>
    <xf numFmtId="0" fontId="67" fillId="15" borderId="0" xfId="5" applyFont="1" applyFill="1">
      <alignment vertical="center"/>
    </xf>
    <xf numFmtId="0" fontId="69" fillId="0" borderId="0" xfId="5" applyFont="1" applyAlignment="1">
      <alignment horizontal="left" vertical="center"/>
    </xf>
    <xf numFmtId="0" fontId="69" fillId="0" borderId="0" xfId="5" applyFont="1">
      <alignment vertical="center"/>
    </xf>
    <xf numFmtId="0" fontId="68" fillId="0" borderId="0" xfId="5" applyFont="1">
      <alignment vertical="center"/>
    </xf>
    <xf numFmtId="0" fontId="73" fillId="0" borderId="0" xfId="5" applyFont="1">
      <alignment vertical="center"/>
    </xf>
    <xf numFmtId="0" fontId="67" fillId="16" borderId="0" xfId="5" applyFont="1" applyFill="1">
      <alignment vertical="center"/>
    </xf>
    <xf numFmtId="0" fontId="74" fillId="0" borderId="0" xfId="5" applyFont="1">
      <alignment vertical="center"/>
    </xf>
    <xf numFmtId="0" fontId="75" fillId="0" borderId="0" xfId="5" applyFont="1" applyAlignment="1">
      <alignment horizontal="right" vertical="center"/>
    </xf>
    <xf numFmtId="176" fontId="76" fillId="0" borderId="0" xfId="5" applyNumberFormat="1" applyFont="1" applyAlignment="1">
      <alignment horizontal="center" vertical="center" wrapText="1"/>
    </xf>
    <xf numFmtId="176" fontId="76" fillId="0" borderId="0" xfId="5" applyNumberFormat="1" applyFont="1" applyAlignment="1">
      <alignment horizontal="center" vertical="center"/>
    </xf>
    <xf numFmtId="176" fontId="66" fillId="12" borderId="0" xfId="5" applyNumberFormat="1" applyFont="1" applyFill="1" applyAlignment="1">
      <alignment horizontal="center" vertical="center"/>
    </xf>
    <xf numFmtId="0" fontId="65" fillId="0" borderId="0" xfId="5" applyFont="1" applyAlignment="1">
      <alignment horizontal="center" vertical="center"/>
    </xf>
    <xf numFmtId="0" fontId="77" fillId="0" borderId="0" xfId="5" applyFont="1" applyAlignment="1">
      <alignment horizontal="center" vertical="center"/>
    </xf>
    <xf numFmtId="0" fontId="63" fillId="0" borderId="0" xfId="5" applyFont="1">
      <alignment vertical="center"/>
    </xf>
    <xf numFmtId="0" fontId="78" fillId="0" borderId="0" xfId="4" applyFont="1" applyAlignment="1">
      <alignment horizontal="right"/>
    </xf>
    <xf numFmtId="0" fontId="79" fillId="0" borderId="0" xfId="5" applyFont="1" applyAlignment="1">
      <alignment horizontal="left" vertical="center" indent="1"/>
    </xf>
    <xf numFmtId="0" fontId="80" fillId="0" borderId="0" xfId="4" applyFont="1"/>
    <xf numFmtId="0" fontId="81" fillId="0" borderId="0" xfId="4" applyFont="1"/>
    <xf numFmtId="176" fontId="54" fillId="0" borderId="0" xfId="5" applyNumberFormat="1" applyFont="1" applyAlignment="1">
      <alignment horizontal="left" vertical="center"/>
    </xf>
    <xf numFmtId="0" fontId="52" fillId="0" borderId="0" xfId="4" applyAlignment="1">
      <alignment horizontal="left"/>
    </xf>
    <xf numFmtId="0" fontId="82" fillId="0" borderId="0" xfId="0" applyFont="1" applyAlignment="1">
      <alignment horizontal="left" vertical="center"/>
    </xf>
    <xf numFmtId="0" fontId="82" fillId="0" borderId="0" xfId="0" applyFont="1" applyAlignment="1">
      <alignment horizontal="center" vertical="center"/>
    </xf>
    <xf numFmtId="0" fontId="86" fillId="0" borderId="0" xfId="0" applyFont="1" applyAlignment="1">
      <alignment horizontal="left" vertical="center"/>
    </xf>
    <xf numFmtId="0" fontId="82" fillId="0" borderId="0" xfId="0" applyFont="1" applyAlignment="1">
      <alignment horizontal="left" vertical="center" indent="1"/>
    </xf>
    <xf numFmtId="0" fontId="83" fillId="0" borderId="10" xfId="3" applyFont="1" applyBorder="1" applyAlignment="1">
      <alignment horizontal="center" vertical="center" wrapText="1"/>
    </xf>
    <xf numFmtId="0" fontId="83" fillId="0" borderId="11" xfId="3" applyFont="1" applyBorder="1" applyAlignment="1">
      <alignment horizontal="center" vertical="center" wrapText="1"/>
    </xf>
    <xf numFmtId="0" fontId="86" fillId="0" borderId="10" xfId="0" applyFont="1" applyBorder="1" applyAlignment="1">
      <alignment horizontal="center" vertical="center" wrapText="1"/>
    </xf>
    <xf numFmtId="0" fontId="84" fillId="0" borderId="10" xfId="2" applyFont="1" applyFill="1" applyBorder="1" applyAlignment="1">
      <alignment horizontal="left" vertical="center" wrapText="1" indent="1"/>
    </xf>
    <xf numFmtId="0" fontId="54" fillId="0" borderId="10" xfId="3" applyFont="1" applyBorder="1" applyAlignment="1">
      <alignment horizontal="left" vertical="center" wrapText="1" indent="1"/>
    </xf>
    <xf numFmtId="0" fontId="85" fillId="0" borderId="10" xfId="2" applyFont="1" applyFill="1" applyBorder="1" applyAlignment="1">
      <alignment horizontal="left" vertical="center" wrapText="1" indent="1"/>
    </xf>
    <xf numFmtId="0" fontId="86" fillId="0" borderId="11" xfId="0" applyFont="1" applyBorder="1" applyAlignment="1">
      <alignment horizontal="center" vertical="center" wrapText="1"/>
    </xf>
    <xf numFmtId="0" fontId="84" fillId="0" borderId="11" xfId="2" applyFont="1" applyFill="1" applyBorder="1" applyAlignment="1">
      <alignment horizontal="left" vertical="center" wrapText="1" indent="1"/>
    </xf>
    <xf numFmtId="0" fontId="84" fillId="0" borderId="12" xfId="2" applyFont="1" applyFill="1" applyBorder="1" applyAlignment="1">
      <alignment horizontal="left" vertical="center" wrapText="1" indent="1"/>
    </xf>
    <xf numFmtId="0" fontId="86" fillId="0" borderId="12" xfId="0" applyFont="1" applyBorder="1" applyAlignment="1">
      <alignment horizontal="center" vertical="center" wrapText="1"/>
    </xf>
    <xf numFmtId="0" fontId="83" fillId="0" borderId="12" xfId="3" applyFont="1" applyBorder="1" applyAlignment="1">
      <alignment horizontal="center" vertical="center" wrapText="1"/>
    </xf>
    <xf numFmtId="0" fontId="87" fillId="3" borderId="10" xfId="0" applyFont="1" applyFill="1" applyBorder="1" applyAlignment="1">
      <alignment horizontal="center" vertical="center" wrapText="1"/>
    </xf>
    <xf numFmtId="0" fontId="89" fillId="17" borderId="16" xfId="6" applyFont="1" applyFill="1" applyBorder="1" applyAlignment="1">
      <alignment vertical="center"/>
    </xf>
    <xf numFmtId="0" fontId="89" fillId="17" borderId="12" xfId="6" applyFont="1" applyFill="1" applyBorder="1" applyAlignment="1">
      <alignment horizontal="center" vertical="center"/>
    </xf>
    <xf numFmtId="0" fontId="89" fillId="17" borderId="12" xfId="6" applyFont="1" applyFill="1" applyBorder="1" applyAlignment="1">
      <alignment vertical="center"/>
    </xf>
    <xf numFmtId="0" fontId="91" fillId="17" borderId="12" xfId="6" applyFont="1" applyFill="1" applyBorder="1" applyAlignment="1">
      <alignment horizontal="center" vertical="center"/>
    </xf>
    <xf numFmtId="0" fontId="89" fillId="17" borderId="15" xfId="6" applyFont="1" applyFill="1" applyBorder="1" applyAlignment="1">
      <alignment vertical="center"/>
    </xf>
    <xf numFmtId="0" fontId="92" fillId="0" borderId="0" xfId="7" applyFont="1">
      <alignment vertical="center"/>
    </xf>
    <xf numFmtId="0" fontId="28" fillId="0" borderId="21" xfId="6" applyFont="1" applyBorder="1" applyAlignment="1">
      <alignment vertical="center"/>
    </xf>
    <xf numFmtId="0" fontId="28" fillId="0" borderId="10" xfId="6" applyFont="1" applyBorder="1" applyAlignment="1">
      <alignment vertical="center"/>
    </xf>
    <xf numFmtId="0" fontId="29" fillId="0" borderId="10" xfId="6" applyFont="1" applyBorder="1" applyAlignment="1">
      <alignment vertical="center"/>
    </xf>
    <xf numFmtId="0" fontId="93" fillId="0" borderId="10" xfId="8" applyFont="1" applyBorder="1" applyAlignment="1">
      <alignment horizontal="center" vertical="center"/>
    </xf>
    <xf numFmtId="0" fontId="94" fillId="0" borderId="10" xfId="8" applyFont="1" applyBorder="1" applyAlignment="1">
      <alignment horizontal="center" vertical="center"/>
    </xf>
    <xf numFmtId="0" fontId="28" fillId="0" borderId="10" xfId="6" applyFont="1" applyBorder="1" applyAlignment="1">
      <alignment horizontal="center"/>
    </xf>
    <xf numFmtId="0" fontId="29" fillId="0" borderId="10" xfId="8" applyFont="1" applyBorder="1" applyAlignment="1">
      <alignment horizontal="left" vertical="center" indent="2"/>
    </xf>
    <xf numFmtId="0" fontId="95" fillId="0" borderId="10" xfId="6" applyFont="1" applyBorder="1" applyAlignment="1">
      <alignment vertical="center"/>
    </xf>
    <xf numFmtId="0" fontId="97" fillId="0" borderId="23" xfId="6" applyFont="1" applyBorder="1"/>
    <xf numFmtId="0" fontId="20" fillId="0" borderId="0" xfId="3"/>
    <xf numFmtId="0" fontId="28" fillId="0" borderId="23" xfId="6" applyFont="1" applyBorder="1"/>
    <xf numFmtId="0" fontId="98" fillId="0" borderId="10" xfId="8" applyFont="1" applyBorder="1" applyAlignment="1">
      <alignment horizontal="center" vertical="center"/>
    </xf>
    <xf numFmtId="0" fontId="99" fillId="0" borderId="10" xfId="8" applyFont="1" applyBorder="1" applyAlignment="1">
      <alignment horizontal="left" vertical="center" indent="2"/>
    </xf>
    <xf numFmtId="0" fontId="100" fillId="0" borderId="10" xfId="6" applyFont="1" applyBorder="1" applyAlignment="1">
      <alignment vertical="center"/>
    </xf>
    <xf numFmtId="0" fontId="101" fillId="0" borderId="10" xfId="8" applyFont="1" applyBorder="1" applyAlignment="1">
      <alignment horizontal="center" vertical="center"/>
    </xf>
    <xf numFmtId="0" fontId="102" fillId="0" borderId="10" xfId="6" applyFont="1" applyBorder="1" applyAlignment="1">
      <alignment horizontal="center"/>
    </xf>
    <xf numFmtId="0" fontId="103" fillId="0" borderId="10" xfId="6" applyFont="1" applyBorder="1" applyAlignment="1">
      <alignment vertical="center"/>
    </xf>
    <xf numFmtId="0" fontId="104" fillId="0" borderId="10" xfId="6" applyFont="1" applyBorder="1" applyAlignment="1">
      <alignment vertical="center"/>
    </xf>
    <xf numFmtId="0" fontId="105" fillId="0" borderId="10" xfId="8" applyFont="1" applyBorder="1" applyAlignment="1">
      <alignment horizontal="left" vertical="center" indent="2"/>
    </xf>
    <xf numFmtId="0" fontId="106" fillId="0" borderId="0" xfId="6" applyFont="1" applyAlignment="1">
      <alignment vertical="center"/>
    </xf>
    <xf numFmtId="0" fontId="107" fillId="0" borderId="10" xfId="8" applyFont="1" applyBorder="1" applyAlignment="1">
      <alignment horizontal="left" vertical="center" indent="2"/>
    </xf>
    <xf numFmtId="0" fontId="109" fillId="0" borderId="10" xfId="6" applyFont="1" applyBorder="1" applyAlignment="1">
      <alignment vertical="center"/>
    </xf>
    <xf numFmtId="0" fontId="110" fillId="0" borderId="10" xfId="8" applyFont="1" applyBorder="1" applyAlignment="1">
      <alignment horizontal="left" vertical="center" indent="2"/>
    </xf>
    <xf numFmtId="0" fontId="111" fillId="0" borderId="23" xfId="6" applyFont="1" applyBorder="1"/>
    <xf numFmtId="0" fontId="94" fillId="0" borderId="10" xfId="9" applyFont="1" applyBorder="1" applyAlignment="1">
      <alignment horizontal="center" vertical="center"/>
    </xf>
    <xf numFmtId="0" fontId="110" fillId="0" borderId="10" xfId="9" applyFont="1" applyBorder="1" applyAlignment="1">
      <alignment horizontal="left" vertical="center" indent="2"/>
    </xf>
    <xf numFmtId="0" fontId="113" fillId="0" borderId="10" xfId="9" applyFont="1" applyBorder="1" applyAlignment="1">
      <alignment horizontal="center" vertical="center"/>
    </xf>
    <xf numFmtId="0" fontId="114" fillId="0" borderId="10" xfId="9" applyFont="1" applyBorder="1" applyAlignment="1">
      <alignment horizontal="left" vertical="center" indent="2"/>
    </xf>
    <xf numFmtId="0" fontId="28" fillId="0" borderId="0" xfId="6" applyFont="1"/>
    <xf numFmtId="0" fontId="114" fillId="0" borderId="10" xfId="8" applyFont="1" applyBorder="1" applyAlignment="1">
      <alignment horizontal="left" vertical="center" indent="2"/>
    </xf>
    <xf numFmtId="0" fontId="95" fillId="0" borderId="10" xfId="8" applyFont="1" applyBorder="1" applyAlignment="1">
      <alignment vertical="center" wrapText="1"/>
    </xf>
    <xf numFmtId="0" fontId="115" fillId="0" borderId="10" xfId="6" applyFont="1" applyBorder="1" applyAlignment="1">
      <alignment horizontal="center"/>
    </xf>
    <xf numFmtId="0" fontId="116" fillId="0" borderId="23" xfId="6" applyFont="1" applyBorder="1"/>
    <xf numFmtId="0" fontId="115" fillId="0" borderId="10" xfId="6" applyFont="1" applyBorder="1" applyAlignment="1">
      <alignment vertical="center"/>
    </xf>
    <xf numFmtId="0" fontId="117" fillId="0" borderId="10" xfId="8" applyFont="1" applyBorder="1" applyAlignment="1">
      <alignment horizontal="left" vertical="center" indent="2"/>
    </xf>
    <xf numFmtId="0" fontId="115" fillId="0" borderId="23" xfId="6" applyFont="1" applyBorder="1"/>
    <xf numFmtId="0" fontId="115" fillId="0" borderId="0" xfId="6" applyFont="1"/>
    <xf numFmtId="0" fontId="44" fillId="12" borderId="10" xfId="6" applyFont="1" applyFill="1" applyBorder="1" applyAlignment="1">
      <alignment horizontal="center"/>
    </xf>
    <xf numFmtId="0" fontId="118" fillId="0" borderId="10" xfId="6" applyFont="1" applyBorder="1" applyAlignment="1">
      <alignment vertical="center"/>
    </xf>
    <xf numFmtId="0" fontId="28" fillId="0" borderId="10" xfId="6" applyFont="1" applyBorder="1" applyAlignment="1">
      <alignment horizontal="center" vertical="center"/>
    </xf>
    <xf numFmtId="0" fontId="44" fillId="12" borderId="10" xfId="6" applyFont="1" applyFill="1" applyBorder="1" applyAlignment="1">
      <alignment horizontal="center" vertical="center"/>
    </xf>
    <xf numFmtId="0" fontId="119" fillId="0" borderId="10" xfId="6" applyFont="1" applyBorder="1" applyAlignment="1">
      <alignment vertical="center"/>
    </xf>
    <xf numFmtId="0" fontId="115" fillId="0" borderId="10" xfId="8" applyFont="1" applyBorder="1" applyAlignment="1">
      <alignment horizontal="left" vertical="center" indent="2"/>
    </xf>
    <xf numFmtId="0" fontId="28" fillId="0" borderId="0" xfId="6" applyFont="1" applyAlignment="1">
      <alignment vertical="center"/>
    </xf>
    <xf numFmtId="0" fontId="120" fillId="0" borderId="0" xfId="6" applyFont="1" applyAlignment="1">
      <alignment vertical="center"/>
    </xf>
    <xf numFmtId="0" fontId="28" fillId="0" borderId="0" xfId="6" applyFont="1" applyAlignment="1">
      <alignment horizontal="center" vertical="center"/>
    </xf>
    <xf numFmtId="0" fontId="88" fillId="0" borderId="0" xfId="6" applyFont="1" applyAlignment="1">
      <alignment horizontal="center" vertical="center"/>
    </xf>
    <xf numFmtId="0" fontId="28" fillId="0" borderId="0" xfId="6" applyFont="1" applyAlignment="1">
      <alignment horizontal="center"/>
    </xf>
    <xf numFmtId="0" fontId="121" fillId="0" borderId="0" xfId="3" applyFont="1"/>
    <xf numFmtId="0" fontId="122" fillId="0" borderId="0" xfId="0" applyFont="1"/>
    <xf numFmtId="0" fontId="122" fillId="0" borderId="10" xfId="0" applyFont="1" applyBorder="1"/>
    <xf numFmtId="0" fontId="122" fillId="0" borderId="21" xfId="0" applyFont="1" applyBorder="1"/>
    <xf numFmtId="0" fontId="122" fillId="0" borderId="23" xfId="0" applyFont="1" applyBorder="1"/>
    <xf numFmtId="0" fontId="122" fillId="0" borderId="16" xfId="0" applyFont="1" applyBorder="1"/>
    <xf numFmtId="0" fontId="122" fillId="0" borderId="12" xfId="0" applyFont="1" applyBorder="1"/>
    <xf numFmtId="0" fontId="122" fillId="0" borderId="15" xfId="0" applyFont="1" applyBorder="1"/>
    <xf numFmtId="0" fontId="122" fillId="0" borderId="14" xfId="0" applyFont="1" applyBorder="1"/>
    <xf numFmtId="0" fontId="122" fillId="0" borderId="11" xfId="0" applyFont="1" applyBorder="1"/>
    <xf numFmtId="0" fontId="122" fillId="0" borderId="13" xfId="0" applyFont="1" applyBorder="1"/>
    <xf numFmtId="0" fontId="94" fillId="11" borderId="10" xfId="8" applyFont="1" applyFill="1" applyBorder="1" applyAlignment="1">
      <alignment horizontal="center" vertical="center"/>
    </xf>
    <xf numFmtId="0" fontId="123" fillId="0" borderId="0" xfId="7" applyFont="1">
      <alignment vertical="center"/>
    </xf>
    <xf numFmtId="0" fontId="20" fillId="0" borderId="0" xfId="3" applyAlignment="1">
      <alignment vertical="center"/>
    </xf>
    <xf numFmtId="0" fontId="115" fillId="0" borderId="0" xfId="6" applyFont="1" applyAlignment="1">
      <alignment vertical="center"/>
    </xf>
    <xf numFmtId="0" fontId="94" fillId="11" borderId="10" xfId="8" applyFont="1" applyFill="1" applyBorder="1" applyAlignment="1">
      <alignment vertical="center"/>
    </xf>
    <xf numFmtId="0" fontId="124" fillId="0" borderId="0" xfId="3" applyFont="1" applyAlignment="1">
      <alignment horizontal="center" vertical="center"/>
    </xf>
    <xf numFmtId="0" fontId="0" fillId="0" borderId="0" xfId="0" applyAlignment="1">
      <alignment horizontal="center"/>
    </xf>
    <xf numFmtId="0" fontId="115" fillId="0" borderId="0" xfId="6" applyFont="1" applyAlignment="1">
      <alignment horizontal="center" vertical="center"/>
    </xf>
    <xf numFmtId="0" fontId="20" fillId="0" borderId="0" xfId="3" applyAlignment="1">
      <alignment horizontal="center" vertical="center"/>
    </xf>
    <xf numFmtId="0" fontId="124" fillId="0" borderId="10" xfId="3" applyFont="1" applyBorder="1" applyAlignment="1">
      <alignment horizontal="center" vertical="center"/>
    </xf>
    <xf numFmtId="0" fontId="30" fillId="0" borderId="0" xfId="0" applyFont="1" applyAlignment="1">
      <alignment horizontal="left" vertical="center" indent="1"/>
    </xf>
    <xf numFmtId="0" fontId="125" fillId="12" borderId="0" xfId="0" applyFont="1" applyFill="1" applyAlignment="1">
      <alignment horizontal="left" vertical="center" indent="1"/>
    </xf>
    <xf numFmtId="0" fontId="49" fillId="12" borderId="0" xfId="0" applyFont="1" applyFill="1" applyAlignment="1">
      <alignment horizontal="center" vertical="center"/>
    </xf>
    <xf numFmtId="0" fontId="126" fillId="0" borderId="0" xfId="0" applyFont="1" applyAlignment="1">
      <alignment horizontal="center" vertical="center"/>
    </xf>
    <xf numFmtId="0" fontId="47" fillId="0" borderId="0" xfId="0" applyFont="1" applyAlignment="1">
      <alignment horizontal="left" vertical="center" readingOrder="1"/>
    </xf>
    <xf numFmtId="0" fontId="122" fillId="18" borderId="11" xfId="0" applyFont="1" applyFill="1" applyBorder="1" applyAlignment="1">
      <alignment horizontal="center" vertical="center"/>
    </xf>
    <xf numFmtId="0" fontId="122" fillId="18" borderId="17" xfId="0" applyFont="1" applyFill="1" applyBorder="1" applyAlignment="1">
      <alignment horizontal="center" vertical="center"/>
    </xf>
    <xf numFmtId="0" fontId="122" fillId="18" borderId="12" xfId="0" applyFont="1" applyFill="1" applyBorder="1" applyAlignment="1">
      <alignment horizontal="center" vertical="center"/>
    </xf>
    <xf numFmtId="0" fontId="122" fillId="18" borderId="21" xfId="0" applyFont="1" applyFill="1" applyBorder="1" applyAlignment="1">
      <alignment horizontal="center" vertical="center"/>
    </xf>
    <xf numFmtId="0" fontId="122" fillId="19" borderId="11" xfId="0" applyFont="1" applyFill="1" applyBorder="1" applyAlignment="1">
      <alignment horizontal="center" vertical="center"/>
    </xf>
    <xf numFmtId="0" fontId="122" fillId="19" borderId="10" xfId="0" applyFont="1" applyFill="1" applyBorder="1" applyAlignment="1">
      <alignment horizontal="center" vertical="center"/>
    </xf>
    <xf numFmtId="0" fontId="122" fillId="19" borderId="17" xfId="0" applyFont="1" applyFill="1" applyBorder="1" applyAlignment="1">
      <alignment horizontal="center" vertical="center"/>
    </xf>
    <xf numFmtId="0" fontId="122" fillId="19" borderId="12" xfId="0" applyFont="1" applyFill="1" applyBorder="1" applyAlignment="1">
      <alignment horizontal="center" vertical="center"/>
    </xf>
    <xf numFmtId="0" fontId="127" fillId="18" borderId="21" xfId="0" applyFont="1" applyFill="1" applyBorder="1" applyAlignment="1">
      <alignment horizontal="center" vertical="center"/>
    </xf>
    <xf numFmtId="0" fontId="128" fillId="19" borderId="10" xfId="0" applyFont="1" applyFill="1" applyBorder="1" applyAlignment="1">
      <alignment horizontal="center" vertical="center"/>
    </xf>
    <xf numFmtId="0" fontId="52" fillId="0" borderId="0" xfId="4" applyAlignment="1">
      <alignment horizontal="center" vertical="center"/>
    </xf>
    <xf numFmtId="0" fontId="129" fillId="0" borderId="0" xfId="4" applyFont="1" applyAlignment="1">
      <alignment vertical="center"/>
    </xf>
    <xf numFmtId="0" fontId="129" fillId="0" borderId="20" xfId="4" applyFont="1" applyBorder="1" applyAlignment="1">
      <alignment vertical="center"/>
    </xf>
    <xf numFmtId="0" fontId="133" fillId="13" borderId="16" xfId="10" applyFont="1" applyFill="1" applyBorder="1" applyAlignment="1">
      <alignment horizontal="center" vertical="center" wrapText="1"/>
    </xf>
    <xf numFmtId="0" fontId="133" fillId="13" borderId="12" xfId="10" applyFont="1" applyFill="1" applyBorder="1" applyAlignment="1">
      <alignment horizontal="center" vertical="center" wrapText="1"/>
    </xf>
    <xf numFmtId="0" fontId="133" fillId="13" borderId="12" xfId="10" applyFont="1" applyFill="1" applyBorder="1" applyAlignment="1">
      <alignment horizontal="center" vertical="center"/>
    </xf>
    <xf numFmtId="0" fontId="135" fillId="13" borderId="12" xfId="10" applyFont="1" applyFill="1" applyBorder="1" applyAlignment="1">
      <alignment horizontal="center" vertical="center" wrapText="1"/>
    </xf>
    <xf numFmtId="0" fontId="133" fillId="13" borderId="24" xfId="10" applyFont="1" applyFill="1" applyBorder="1" applyAlignment="1">
      <alignment horizontal="center" vertical="center" wrapText="1"/>
    </xf>
    <xf numFmtId="0" fontId="135" fillId="13" borderId="25" xfId="10" applyFont="1" applyFill="1" applyBorder="1" applyAlignment="1">
      <alignment horizontal="center" vertical="center" wrapText="1"/>
    </xf>
    <xf numFmtId="0" fontId="57" fillId="0" borderId="21" xfId="5" applyBorder="1" applyAlignment="1">
      <alignment horizontal="center" vertical="center"/>
    </xf>
    <xf numFmtId="0" fontId="137" fillId="0" borderId="10" xfId="5" applyFont="1" applyBorder="1" applyAlignment="1">
      <alignment horizontal="center" vertical="center"/>
    </xf>
    <xf numFmtId="0" fontId="138" fillId="0" borderId="10" xfId="5" applyFont="1" applyBorder="1" applyAlignment="1">
      <alignment horizontal="center" vertical="center"/>
    </xf>
    <xf numFmtId="0" fontId="139" fillId="0" borderId="21" xfId="5" applyFont="1" applyBorder="1" applyAlignment="1">
      <alignment horizontal="center" vertical="center"/>
    </xf>
    <xf numFmtId="0" fontId="140" fillId="0" borderId="21" xfId="5" applyFont="1" applyBorder="1" applyAlignment="1">
      <alignment horizontal="center" vertical="center"/>
    </xf>
    <xf numFmtId="0" fontId="57" fillId="24" borderId="26" xfId="5" applyFill="1" applyBorder="1" applyAlignment="1">
      <alignment horizontal="center" vertical="center"/>
    </xf>
    <xf numFmtId="0" fontId="57" fillId="24" borderId="27" xfId="5" applyFill="1" applyBorder="1" applyAlignment="1">
      <alignment horizontal="center" vertical="center"/>
    </xf>
    <xf numFmtId="0" fontId="57" fillId="20" borderId="26" xfId="5" applyFill="1" applyBorder="1" applyAlignment="1">
      <alignment horizontal="center" vertical="center"/>
    </xf>
    <xf numFmtId="0" fontId="57" fillId="20" borderId="27" xfId="5" applyFill="1" applyBorder="1" applyAlignment="1">
      <alignment horizontal="center" vertical="center"/>
    </xf>
    <xf numFmtId="0" fontId="141" fillId="0" borderId="10" xfId="5" applyFont="1" applyBorder="1" applyAlignment="1">
      <alignment horizontal="center" vertical="center"/>
    </xf>
    <xf numFmtId="0" fontId="142" fillId="0" borderId="10" xfId="5" applyFont="1" applyBorder="1" applyAlignment="1">
      <alignment horizontal="center" vertical="center"/>
    </xf>
    <xf numFmtId="0" fontId="143" fillId="0" borderId="21" xfId="5" applyFont="1" applyBorder="1" applyAlignment="1">
      <alignment horizontal="center" vertical="center"/>
    </xf>
    <xf numFmtId="0" fontId="144" fillId="0" borderId="21" xfId="5" applyFont="1" applyBorder="1" applyAlignment="1">
      <alignment horizontal="center" vertical="center"/>
    </xf>
    <xf numFmtId="0" fontId="145" fillId="0" borderId="21" xfId="5" applyFont="1" applyBorder="1" applyAlignment="1">
      <alignment horizontal="center" vertical="center"/>
    </xf>
    <xf numFmtId="0" fontId="146" fillId="0" borderId="10" xfId="5" applyFont="1" applyBorder="1" applyAlignment="1">
      <alignment horizontal="center" vertical="center"/>
    </xf>
    <xf numFmtId="0" fontId="147" fillId="0" borderId="21" xfId="5" applyFont="1" applyBorder="1" applyAlignment="1">
      <alignment horizontal="center" vertical="center"/>
    </xf>
    <xf numFmtId="0" fontId="148" fillId="0" borderId="21" xfId="5" applyFont="1" applyBorder="1" applyAlignment="1">
      <alignment horizontal="center" vertical="center"/>
    </xf>
    <xf numFmtId="0" fontId="149" fillId="0" borderId="21" xfId="5" applyFont="1" applyBorder="1" applyAlignment="1">
      <alignment horizontal="center" vertical="center"/>
    </xf>
    <xf numFmtId="0" fontId="150" fillId="0" borderId="21" xfId="5" applyFont="1" applyBorder="1" applyAlignment="1">
      <alignment horizontal="center" vertical="center"/>
    </xf>
    <xf numFmtId="0" fontId="151" fillId="0" borderId="21" xfId="5" applyFont="1" applyBorder="1" applyAlignment="1">
      <alignment horizontal="center" vertical="center"/>
    </xf>
    <xf numFmtId="0" fontId="152" fillId="24" borderId="26" xfId="5" applyFont="1" applyFill="1" applyBorder="1" applyAlignment="1">
      <alignment horizontal="center" vertical="center"/>
    </xf>
    <xf numFmtId="0" fontId="152" fillId="24" borderId="27" xfId="5" applyFont="1" applyFill="1" applyBorder="1" applyAlignment="1">
      <alignment horizontal="center" vertical="center"/>
    </xf>
    <xf numFmtId="0" fontId="153" fillId="0" borderId="0" xfId="11" applyFont="1" applyAlignment="1">
      <alignment horizontal="center" vertical="center"/>
    </xf>
    <xf numFmtId="0" fontId="154" fillId="0" borderId="0" xfId="11" applyFont="1" applyAlignment="1">
      <alignment horizontal="center" vertical="center"/>
    </xf>
    <xf numFmtId="0" fontId="154" fillId="0" borderId="0" xfId="11" applyFont="1" applyAlignment="1">
      <alignment vertical="center"/>
    </xf>
    <xf numFmtId="0" fontId="155" fillId="5" borderId="10" xfId="11" applyFont="1" applyFill="1" applyBorder="1" applyAlignment="1">
      <alignment horizontal="center" vertical="center"/>
    </xf>
    <xf numFmtId="0" fontId="155" fillId="25" borderId="10" xfId="11" applyFont="1" applyFill="1" applyBorder="1" applyAlignment="1">
      <alignment horizontal="center" vertical="center"/>
    </xf>
    <xf numFmtId="0" fontId="155" fillId="25" borderId="10" xfId="11" applyFont="1" applyFill="1" applyBorder="1" applyAlignment="1">
      <alignment horizontal="center" vertical="center" wrapText="1"/>
    </xf>
    <xf numFmtId="0" fontId="158" fillId="5" borderId="10" xfId="11" applyFont="1" applyFill="1" applyBorder="1" applyAlignment="1">
      <alignment horizontal="center" vertical="center"/>
    </xf>
    <xf numFmtId="0" fontId="159" fillId="5" borderId="10" xfId="12" applyFont="1" applyFill="1" applyBorder="1" applyAlignment="1">
      <alignment horizontal="left" vertical="center" indent="1"/>
    </xf>
    <xf numFmtId="0" fontId="153" fillId="5" borderId="10" xfId="11" applyFont="1" applyFill="1" applyBorder="1" applyAlignment="1">
      <alignment horizontal="left" vertical="center" indent="1"/>
    </xf>
    <xf numFmtId="0" fontId="160" fillId="0" borderId="10" xfId="11" applyFont="1" applyBorder="1" applyAlignment="1">
      <alignment horizontal="left" vertical="center"/>
    </xf>
    <xf numFmtId="0" fontId="160" fillId="12" borderId="10" xfId="11" applyFont="1" applyFill="1" applyBorder="1" applyAlignment="1">
      <alignment horizontal="left" vertical="center"/>
    </xf>
    <xf numFmtId="0" fontId="161" fillId="5" borderId="10" xfId="11" applyFont="1" applyFill="1" applyBorder="1" applyAlignment="1">
      <alignment horizontal="center" vertical="center"/>
    </xf>
    <xf numFmtId="0" fontId="162" fillId="12" borderId="10" xfId="11" applyFont="1" applyFill="1" applyBorder="1" applyAlignment="1">
      <alignment horizontal="left" vertical="center"/>
    </xf>
    <xf numFmtId="0" fontId="163" fillId="5" borderId="10" xfId="11" applyFont="1" applyFill="1" applyBorder="1" applyAlignment="1">
      <alignment horizontal="center" vertical="center"/>
    </xf>
    <xf numFmtId="0" fontId="162" fillId="0" borderId="10" xfId="11" applyFont="1" applyBorder="1" applyAlignment="1">
      <alignment horizontal="left" vertical="center"/>
    </xf>
    <xf numFmtId="0" fontId="165" fillId="5" borderId="10" xfId="11" applyFont="1" applyFill="1" applyBorder="1" applyAlignment="1">
      <alignment horizontal="center" vertical="center"/>
    </xf>
    <xf numFmtId="0" fontId="166" fillId="5" borderId="10" xfId="11" applyFont="1" applyFill="1" applyBorder="1" applyAlignment="1">
      <alignment horizontal="center" vertical="center"/>
    </xf>
    <xf numFmtId="0" fontId="155" fillId="5" borderId="10" xfId="11" applyFont="1" applyFill="1" applyBorder="1" applyAlignment="1">
      <alignment horizontal="center" vertical="center"/>
    </xf>
    <xf numFmtId="0" fontId="161" fillId="5" borderId="10" xfId="11" applyFont="1" applyFill="1" applyBorder="1" applyAlignment="1">
      <alignment horizontal="center" vertical="center"/>
    </xf>
    <xf numFmtId="0" fontId="158" fillId="5" borderId="10" xfId="11" applyFont="1" applyFill="1" applyBorder="1" applyAlignment="1">
      <alignment horizontal="center" vertical="center"/>
    </xf>
    <xf numFmtId="0" fontId="157" fillId="5" borderId="10" xfId="11" applyFont="1" applyFill="1" applyBorder="1" applyAlignment="1">
      <alignment horizontal="center" vertical="center"/>
    </xf>
    <xf numFmtId="0" fontId="164" fillId="5" borderId="10" xfId="11" applyFont="1" applyFill="1" applyBorder="1" applyAlignment="1">
      <alignment horizontal="center" vertical="center"/>
    </xf>
    <xf numFmtId="0" fontId="165" fillId="5" borderId="11" xfId="11" applyFont="1" applyFill="1" applyBorder="1" applyAlignment="1">
      <alignment horizontal="center" vertical="center"/>
    </xf>
    <xf numFmtId="0" fontId="165" fillId="5" borderId="17" xfId="11" applyFont="1" applyFill="1" applyBorder="1" applyAlignment="1">
      <alignment horizontal="center" vertical="center"/>
    </xf>
    <xf numFmtId="0" fontId="165" fillId="5" borderId="12" xfId="11" applyFont="1" applyFill="1" applyBorder="1" applyAlignment="1">
      <alignment horizontal="center" vertical="center"/>
    </xf>
    <xf numFmtId="0" fontId="155" fillId="25" borderId="10" xfId="11" applyFont="1" applyFill="1" applyBorder="1" applyAlignment="1">
      <alignment horizontal="center" vertical="center"/>
    </xf>
    <xf numFmtId="0" fontId="156" fillId="5" borderId="10" xfId="11" applyFont="1" applyFill="1" applyBorder="1" applyAlignment="1">
      <alignment horizontal="center" vertical="center" wrapText="1"/>
    </xf>
    <xf numFmtId="0" fontId="156" fillId="5" borderId="10" xfId="11" applyFont="1" applyFill="1" applyBorder="1" applyAlignment="1">
      <alignment horizontal="center" vertical="center"/>
    </xf>
    <xf numFmtId="0" fontId="15" fillId="7" borderId="11" xfId="2" applyFont="1" applyFill="1" applyBorder="1" applyAlignment="1">
      <alignment horizontal="center" vertical="center"/>
    </xf>
    <xf numFmtId="0" fontId="15" fillId="7" borderId="12" xfId="2" applyFont="1" applyFill="1" applyBorder="1" applyAlignment="1">
      <alignment horizontal="center" vertical="center"/>
    </xf>
    <xf numFmtId="0" fontId="16" fillId="7" borderId="11" xfId="0" applyFont="1" applyFill="1" applyBorder="1" applyAlignment="1">
      <alignment horizontal="left" vertical="center"/>
    </xf>
    <xf numFmtId="0" fontId="16" fillId="7" borderId="12" xfId="0" applyFont="1" applyFill="1" applyBorder="1" applyAlignment="1">
      <alignment horizontal="left" vertical="center"/>
    </xf>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0" fillId="8" borderId="15" xfId="0" applyFill="1" applyBorder="1" applyAlignment="1">
      <alignment horizontal="center" vertical="center"/>
    </xf>
    <xf numFmtId="0" fontId="0" fillId="8" borderId="16" xfId="0" applyFill="1" applyBorder="1" applyAlignment="1">
      <alignment horizontal="center" vertical="center"/>
    </xf>
    <xf numFmtId="0" fontId="9" fillId="3" borderId="10" xfId="0" applyFont="1" applyFill="1" applyBorder="1" applyAlignment="1">
      <alignment horizontal="center" vertical="center"/>
    </xf>
    <xf numFmtId="0" fontId="9" fillId="4" borderId="10" xfId="0" applyFont="1" applyFill="1" applyBorder="1" applyAlignment="1">
      <alignment horizontal="center" vertical="center"/>
    </xf>
    <xf numFmtId="0" fontId="13" fillId="5" borderId="11" xfId="2" applyFont="1" applyFill="1" applyBorder="1" applyAlignment="1">
      <alignment horizontal="center" vertical="center"/>
    </xf>
    <xf numFmtId="0" fontId="13" fillId="5" borderId="12" xfId="2" applyFont="1" applyFill="1" applyBorder="1" applyAlignment="1">
      <alignment horizontal="center" vertical="center"/>
    </xf>
    <xf numFmtId="0" fontId="11" fillId="6" borderId="11" xfId="0" applyFont="1" applyFill="1" applyBorder="1" applyAlignment="1">
      <alignment horizontal="center" vertical="center"/>
    </xf>
    <xf numFmtId="0" fontId="11" fillId="6" borderId="12" xfId="0" applyFont="1" applyFill="1" applyBorder="1" applyAlignment="1">
      <alignment horizontal="center" vertical="center"/>
    </xf>
    <xf numFmtId="0" fontId="15" fillId="7" borderId="17" xfId="2" applyFont="1" applyFill="1" applyBorder="1" applyAlignment="1">
      <alignment horizontal="center" vertical="center"/>
    </xf>
    <xf numFmtId="0" fontId="0" fillId="8" borderId="11" xfId="0" applyFill="1" applyBorder="1" applyAlignment="1">
      <alignment horizontal="center" vertical="center"/>
    </xf>
    <xf numFmtId="0" fontId="0" fillId="8" borderId="17" xfId="0" applyFill="1" applyBorder="1" applyAlignment="1">
      <alignment horizontal="center" vertical="center"/>
    </xf>
    <xf numFmtId="0" fontId="0" fillId="8" borderId="12" xfId="0" applyFill="1" applyBorder="1" applyAlignment="1">
      <alignment horizontal="center" vertical="center"/>
    </xf>
    <xf numFmtId="0" fontId="18" fillId="8" borderId="11" xfId="0" applyFont="1" applyFill="1" applyBorder="1" applyAlignment="1">
      <alignment horizontal="center" vertical="center"/>
    </xf>
    <xf numFmtId="0" fontId="18" fillId="8" borderId="12" xfId="0" applyFont="1" applyFill="1" applyBorder="1" applyAlignment="1">
      <alignment horizontal="center" vertical="center"/>
    </xf>
    <xf numFmtId="0" fontId="15" fillId="7" borderId="11" xfId="2" applyFont="1" applyFill="1" applyBorder="1" applyAlignment="1">
      <alignment horizontal="center" vertical="center" wrapText="1"/>
    </xf>
    <xf numFmtId="0" fontId="15" fillId="7" borderId="12" xfId="2" applyFont="1" applyFill="1" applyBorder="1" applyAlignment="1">
      <alignment horizontal="center" vertical="center" wrapText="1"/>
    </xf>
    <xf numFmtId="0" fontId="0" fillId="8" borderId="18" xfId="0" applyFill="1" applyBorder="1" applyAlignment="1">
      <alignment horizontal="center" vertical="center"/>
    </xf>
    <xf numFmtId="0" fontId="18" fillId="8" borderId="17" xfId="0" applyFont="1" applyFill="1" applyBorder="1" applyAlignment="1">
      <alignment horizontal="center" vertical="center"/>
    </xf>
    <xf numFmtId="0" fontId="15" fillId="7" borderId="17" xfId="2" applyFont="1" applyFill="1" applyBorder="1" applyAlignment="1">
      <alignment horizontal="center" vertical="center" wrapText="1"/>
    </xf>
    <xf numFmtId="0" fontId="18" fillId="8" borderId="11" xfId="0" applyFont="1" applyFill="1" applyBorder="1" applyAlignment="1">
      <alignment horizontal="center" vertical="center" wrapText="1"/>
    </xf>
    <xf numFmtId="0" fontId="18" fillId="8" borderId="17" xfId="0" applyFont="1" applyFill="1" applyBorder="1" applyAlignment="1">
      <alignment horizontal="center" vertical="center" wrapText="1"/>
    </xf>
    <xf numFmtId="0" fontId="0" fillId="0" borderId="0" xfId="0" applyAlignment="1">
      <alignment horizontal="center" vertical="center"/>
    </xf>
    <xf numFmtId="0" fontId="16" fillId="7" borderId="14" xfId="0" applyFont="1" applyFill="1" applyBorder="1" applyAlignment="1">
      <alignment horizontal="left" vertical="center"/>
    </xf>
    <xf numFmtId="0" fontId="16" fillId="7" borderId="16" xfId="0" applyFont="1" applyFill="1" applyBorder="1" applyAlignment="1">
      <alignment horizontal="left" vertical="center"/>
    </xf>
    <xf numFmtId="0" fontId="18" fillId="8" borderId="8" xfId="0" applyFont="1" applyFill="1" applyBorder="1" applyAlignment="1">
      <alignment horizontal="center" vertical="center" wrapText="1"/>
    </xf>
    <xf numFmtId="0" fontId="18" fillId="8" borderId="19"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7" borderId="11" xfId="2" applyFont="1" applyFill="1" applyBorder="1" applyAlignment="1">
      <alignment horizontal="left" vertical="center"/>
    </xf>
    <xf numFmtId="0" fontId="19" fillId="7" borderId="12" xfId="2" applyFont="1" applyFill="1" applyBorder="1" applyAlignment="1">
      <alignment horizontal="left" vertical="center"/>
    </xf>
    <xf numFmtId="0" fontId="0" fillId="8" borderId="20" xfId="0" applyFill="1" applyBorder="1" applyAlignment="1">
      <alignment horizontal="center" vertical="center"/>
    </xf>
    <xf numFmtId="0" fontId="15" fillId="7" borderId="13" xfId="2" applyFont="1" applyFill="1" applyBorder="1" applyAlignment="1">
      <alignment horizontal="center" vertical="center"/>
    </xf>
    <xf numFmtId="0" fontId="15" fillId="7" borderId="14" xfId="2" applyFont="1" applyFill="1" applyBorder="1" applyAlignment="1">
      <alignment horizontal="center" vertical="center"/>
    </xf>
    <xf numFmtId="0" fontId="15" fillId="7" borderId="15" xfId="2" applyFont="1" applyFill="1" applyBorder="1" applyAlignment="1">
      <alignment horizontal="center" vertical="center"/>
    </xf>
    <xf numFmtId="0" fontId="15" fillId="7" borderId="16" xfId="2" applyFont="1" applyFill="1" applyBorder="1" applyAlignment="1">
      <alignment horizontal="center" vertical="center"/>
    </xf>
    <xf numFmtId="0" fontId="131" fillId="22" borderId="10" xfId="4" applyFont="1" applyFill="1" applyBorder="1" applyAlignment="1">
      <alignment horizontal="center" vertical="center"/>
    </xf>
    <xf numFmtId="0" fontId="131" fillId="23" borderId="10" xfId="4" applyFont="1" applyFill="1" applyBorder="1" applyAlignment="1">
      <alignment horizontal="center" vertical="center"/>
    </xf>
    <xf numFmtId="177" fontId="130" fillId="21" borderId="10" xfId="4" applyNumberFormat="1" applyFont="1" applyFill="1" applyBorder="1" applyAlignment="1">
      <alignment horizontal="center" vertical="center"/>
    </xf>
    <xf numFmtId="0" fontId="125" fillId="9" borderId="0" xfId="0" applyFont="1" applyFill="1" applyAlignment="1">
      <alignment horizontal="left" vertical="center" indent="1"/>
    </xf>
    <xf numFmtId="0" fontId="31" fillId="0" borderId="0" xfId="0" applyFont="1" applyAlignment="1">
      <alignment horizontal="left" vertical="center"/>
    </xf>
    <xf numFmtId="0" fontId="30" fillId="0" borderId="0" xfId="0" applyFont="1" applyAlignment="1">
      <alignment horizontal="left" vertical="center"/>
    </xf>
    <xf numFmtId="0" fontId="30" fillId="0" borderId="0" xfId="0" applyFont="1" applyAlignment="1">
      <alignment horizontal="right" vertical="center"/>
    </xf>
    <xf numFmtId="0" fontId="171" fillId="0" borderId="10" xfId="5" applyFont="1" applyBorder="1" applyAlignment="1">
      <alignment horizontal="center" vertical="center"/>
    </xf>
    <xf numFmtId="0" fontId="126" fillId="0" borderId="0" xfId="0" applyFont="1" applyAlignment="1">
      <alignment horizontal="left" vertical="center"/>
    </xf>
  </cellXfs>
  <cellStyles count="13">
    <cellStyle name="Hyperlink" xfId="1" xr:uid="{00000000-000B-0000-0000-000008000000}"/>
    <cellStyle name="Hyperlink 2" xfId="8" xr:uid="{002FDB1E-9A5F-4C28-9A58-4A036E361A13}"/>
    <cellStyle name="Hyperlink 3" xfId="9" xr:uid="{5ADDD01E-AD35-43D1-BF3A-59EE1C9B151E}"/>
    <cellStyle name="一般" xfId="0" builtinId="0"/>
    <cellStyle name="一般 2" xfId="3" xr:uid="{5B3C810F-3C82-48B5-B7C9-EF5D987F8459}"/>
    <cellStyle name="一般 2 4" xfId="10" xr:uid="{D706B3BA-014F-4E5E-86E7-CB168E07B15C}"/>
    <cellStyle name="一般 3" xfId="4" xr:uid="{5D5ED88D-D7F8-4E1F-B8CF-0B83BD20F470}"/>
    <cellStyle name="一般 3 2" xfId="5" xr:uid="{860CD28B-A283-4897-8EDA-99BDDD8172E3}"/>
    <cellStyle name="一般 4" xfId="6" xr:uid="{EB15D048-8352-469B-9738-83DC6DE2E004}"/>
    <cellStyle name="一般 4 4" xfId="11" xr:uid="{89DAD213-1589-48E1-8CE2-B7839AF456FF}"/>
    <cellStyle name="一般 5" xfId="7" xr:uid="{DE021FAA-122F-4E84-B4C4-B654C2DE0B35}"/>
    <cellStyle name="超連結 2" xfId="2" xr:uid="{11FB21C5-418C-4220-B65A-5DCB2DA35523}"/>
    <cellStyle name="超連結 3" xfId="12" xr:uid="{C732E00F-D8C0-47EE-AE1B-4C7856B2D944}"/>
  </cellStyles>
  <dxfs count="105">
    <dxf>
      <font>
        <b/>
        <i val="0"/>
        <color rgb="FFFFC000"/>
      </font>
    </dxf>
    <dxf>
      <font>
        <b/>
        <i val="0"/>
        <color rgb="FF02BE4E"/>
      </font>
    </dxf>
    <dxf>
      <font>
        <b val="0"/>
        <i val="0"/>
        <strike val="0"/>
        <condense val="0"/>
        <extend val="0"/>
        <outline val="0"/>
        <shadow val="0"/>
        <u val="none"/>
        <vertAlign val="baseline"/>
        <sz val="22"/>
        <color rgb="FFFF0000"/>
        <name val="霞鶩文楷等寬 TC"/>
        <family val="3"/>
        <charset val="136"/>
        <scheme val="none"/>
      </font>
      <fill>
        <patternFill patternType="solid">
          <fgColor indexed="64"/>
          <bgColor theme="3" tint="0.89999084444715716"/>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22"/>
        <color rgb="FF7030A0"/>
        <name val="吳守禮細明台語注音"/>
        <family val="1"/>
        <charset val="136"/>
        <scheme val="none"/>
      </font>
      <fill>
        <patternFill patternType="solid">
          <fgColor indexed="64"/>
          <bgColor theme="3" tint="0.89999084444715716"/>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auto="1"/>
        <name val="Noto Sans TC Medium"/>
        <family val="2"/>
        <scheme val="none"/>
      </font>
      <fill>
        <patternFill patternType="solid">
          <fgColor indexed="64"/>
          <bgColor theme="3" tint="0.89999084444715716"/>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6"/>
      </font>
    </dxf>
    <dxf>
      <font>
        <b val="0"/>
        <i val="0"/>
        <strike val="0"/>
        <condense val="0"/>
        <extend val="0"/>
        <outline val="0"/>
        <shadow val="0"/>
        <u val="none"/>
        <vertAlign val="baseline"/>
        <sz val="14"/>
        <color theme="10"/>
        <name val="Noto Sans TC Medium"/>
        <family val="2"/>
        <scheme val="none"/>
      </font>
      <fill>
        <patternFill patternType="none">
          <fgColor indexed="64"/>
          <bgColor auto="1"/>
        </patternFill>
      </fill>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dxf>
    <dxf>
      <font>
        <b val="0"/>
        <i val="0"/>
        <strike val="0"/>
        <condense val="0"/>
        <extend val="0"/>
        <outline val="0"/>
        <shadow val="0"/>
        <u val="none"/>
        <vertAlign val="baseline"/>
        <sz val="14"/>
        <color theme="10"/>
        <name val="Noto Sans TC Medium"/>
        <family val="2"/>
        <scheme val="none"/>
      </font>
      <fill>
        <patternFill patternType="none">
          <fgColor indexed="64"/>
          <bgColor auto="1"/>
        </patternFill>
      </fill>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0"/>
        <name val="Noto Sans TC Medium"/>
        <family val="2"/>
        <scheme val="none"/>
      </font>
      <fill>
        <patternFill patternType="none">
          <fgColor indexed="64"/>
          <bgColor auto="1"/>
        </patternFill>
      </fill>
      <alignment horizontal="left" vertical="center" textRotation="0" wrapText="1" indent="1"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2"/>
        <color auto="1"/>
        <name val="吳守禮細明台語注音"/>
        <family val="1"/>
        <charset val="136"/>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8"/>
        <color theme="1"/>
        <name val="Noto Serif TC Black"/>
        <family val="1"/>
        <charset val="136"/>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rgb="FFDDDDDD"/>
        </top>
        <bottom style="thin">
          <color indexed="64"/>
        </bottom>
      </border>
    </dxf>
    <dxf>
      <font>
        <b val="0"/>
        <i val="0"/>
        <strike val="0"/>
        <condense val="0"/>
        <extend val="0"/>
        <outline val="0"/>
        <shadow val="0"/>
        <u val="none"/>
        <vertAlign val="baseline"/>
        <sz val="14"/>
        <color theme="10"/>
        <name val="Noto Sans TC Medium"/>
        <family val="2"/>
        <scheme val="none"/>
      </font>
      <fill>
        <patternFill patternType="none">
          <fgColor indexed="64"/>
          <bgColor auto="1"/>
        </patternFill>
      </fill>
      <alignment horizontal="left" vertical="center" textRotation="0" wrapText="1" indent="1" justifyLastLine="0" shrinkToFit="0" readingOrder="0"/>
    </dxf>
    <dxf>
      <border>
        <bottom style="thin">
          <color indexed="64"/>
        </bottom>
      </border>
    </dxf>
    <dxf>
      <font>
        <b/>
        <i val="0"/>
        <strike val="0"/>
        <condense val="0"/>
        <extend val="0"/>
        <outline val="0"/>
        <shadow val="0"/>
        <u val="none"/>
        <vertAlign val="baseline"/>
        <sz val="18"/>
        <color theme="0"/>
        <name val="Noto Serif TC Black"/>
        <family val="1"/>
        <charset val="136"/>
        <scheme val="none"/>
      </font>
      <fill>
        <patternFill patternType="solid">
          <fgColor indexed="64"/>
          <bgColor theme="4" tint="0.399975585192419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24"/>
        <color theme="1"/>
        <name val="吳守禮標楷台語注音"/>
        <family val="3"/>
        <charset val="136"/>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4"/>
        <color theme="1"/>
        <name val="吳守禮標楷台語注音"/>
        <family val="3"/>
        <charset val="136"/>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4"/>
        <color theme="1"/>
        <name val="吳守禮標楷台語注音"/>
        <family val="3"/>
        <charset val="136"/>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4"/>
        <color theme="1"/>
        <name val="吳守禮標楷台語注音"/>
        <family val="3"/>
        <charset val="136"/>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26"/>
        <color rgb="FF0070C0"/>
        <name val="霞鶩文楷等寬 TC"/>
        <family val="3"/>
        <charset val="136"/>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26"/>
        <color rgb="FF0070C0"/>
        <name val="吳守禮細明台語注音"/>
        <family val="1"/>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strike val="0"/>
        <outline val="0"/>
        <shadow val="0"/>
        <u val="none"/>
        <vertAlign val="baseline"/>
        <sz val="26"/>
        <color rgb="FFC00000"/>
        <name val="吳守禮細明台語注音"/>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4"/>
        <color theme="0"/>
        <name val="Noto Sans TC Medium"/>
        <family val="2"/>
        <scheme val="none"/>
      </font>
      <fill>
        <patternFill patternType="solid">
          <fgColor indexed="64"/>
          <bgColor theme="3" tint="0.49998474074526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theme="1"/>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ertAlign val="baseline"/>
        <sz val="16"/>
        <color rgb="FFFF0000"/>
        <name val="Noto Serif TC"/>
        <family val="1"/>
        <charset val="136"/>
        <scheme val="none"/>
      </font>
      <fill>
        <patternFill patternType="none">
          <fgColor indexed="64"/>
          <bgColor auto="1"/>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6"/>
        <color theme="0"/>
        <name val="Noto Serif TC"/>
        <family val="1"/>
        <charset val="136"/>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rgb="FF000000"/>
        </left>
        <right style="thin">
          <color rgb="FF000000"/>
        </right>
        <top/>
        <bottom/>
      </border>
    </dxf>
    <dxf>
      <font>
        <sz val="16"/>
        <name val="霞鹜文楷 TC"/>
      </font>
      <border diagonalUp="0" diagonalDown="0">
        <left style="thin">
          <color rgb="FF000000"/>
        </left>
        <right/>
        <top style="thin">
          <color rgb="FF000000"/>
        </top>
        <bottom style="thin">
          <color rgb="FF000000"/>
        </bottom>
        <vertical/>
        <horizontal/>
      </border>
    </dxf>
    <dxf>
      <font>
        <sz val="16"/>
        <name val="霞鹜文楷 TC"/>
      </font>
      <border diagonalUp="0" diagonalDown="0">
        <left style="thin">
          <color rgb="FF000000"/>
        </left>
        <right/>
        <top style="thin">
          <color rgb="FF000000"/>
        </top>
        <bottom style="thin">
          <color rgb="FF000000"/>
        </bottom>
        <vertical/>
        <horizontal/>
      </border>
    </dxf>
    <dxf>
      <font>
        <sz val="16"/>
        <name val="霞鹜文楷 TC"/>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ertAlign val="baseline"/>
        <sz val="16"/>
        <color rgb="FF000000"/>
        <name val="霞鹜文楷 TC"/>
        <family val="3"/>
        <charset val="136"/>
        <scheme val="none"/>
      </font>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u/>
        <sz val="16"/>
        <color rgb="FF000000"/>
        <name val="霞鹜文楷 TC"/>
        <family val="3"/>
        <charset val="136"/>
        <scheme val="none"/>
      </font>
      <alignment horizontal="general" vertical="center" textRotation="0" wrapText="0" indent="0" justifyLastLine="0" shrinkToFit="0" readingOrder="0"/>
      <border diagonalUp="0" diagonalDown="0" outline="0">
        <left style="thin">
          <color rgb="FF000000"/>
        </left>
        <right/>
        <top style="thin">
          <color rgb="FF000000"/>
        </top>
        <bottom style="thin">
          <color rgb="FF000000"/>
        </bottom>
      </border>
    </dxf>
    <dxf>
      <font>
        <b/>
        <strike val="0"/>
        <outline val="0"/>
        <shadow val="0"/>
        <u/>
        <vertAlign val="baseline"/>
        <sz val="24"/>
        <name val="吳守禮細明台語注音"/>
        <family val="1"/>
        <charset val="136"/>
        <scheme val="none"/>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sz val="16"/>
        <name val="霞鹜文楷 TC"/>
      </font>
      <border diagonalUp="0" diagonalDown="0" outline="0">
        <left style="thin">
          <color rgb="FF000000"/>
        </left>
        <right style="thin">
          <color rgb="FF000000"/>
        </right>
        <top style="thin">
          <color rgb="FF000000"/>
        </top>
        <bottom style="thin">
          <color rgb="FF000000"/>
        </bottom>
      </border>
    </dxf>
    <dxf>
      <font>
        <sz val="16"/>
        <name val="霞鹜文楷 TC"/>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z val="16"/>
        <name val="霞鹜文楷 TC"/>
      </font>
    </dxf>
    <dxf>
      <border outline="0">
        <bottom style="thin">
          <color rgb="FF000000"/>
        </bottom>
      </border>
    </dxf>
    <dxf>
      <font>
        <b/>
        <i val="0"/>
        <strike val="0"/>
        <condense val="0"/>
        <extend val="0"/>
        <outline val="0"/>
        <shadow val="0"/>
        <u val="none"/>
        <vertAlign val="baseline"/>
        <sz val="16"/>
        <color theme="4"/>
        <name val="霞鹜文楷 TC"/>
        <scheme val="none"/>
      </font>
      <fill>
        <patternFill patternType="solid">
          <fgColor indexed="64"/>
          <bgColor theme="4" tint="0.79998168889431442"/>
        </patternFill>
      </fill>
      <border diagonalUp="0" diagonalDown="0">
        <left style="thin">
          <color rgb="FF000000"/>
        </left>
        <right style="thin">
          <color rgb="FF000000"/>
        </right>
        <top/>
        <bottom/>
      </border>
    </dxf>
    <dxf>
      <fill>
        <patternFill patternType="none">
          <fgColor indexed="64"/>
          <bgColor auto="1"/>
        </patternFill>
      </fill>
    </dxf>
    <dxf>
      <font>
        <b val="0"/>
        <i val="0"/>
        <strike val="0"/>
        <condense val="0"/>
        <extend val="0"/>
        <outline val="0"/>
        <shadow val="0"/>
        <u val="none"/>
        <vertAlign val="baseline"/>
        <sz val="20"/>
        <color theme="1"/>
        <name val="新細明體"/>
        <family val="1"/>
        <scheme val="minor"/>
      </font>
      <fill>
        <patternFill patternType="none">
          <fgColor indexed="64"/>
          <bgColor auto="1"/>
        </patternFill>
      </fill>
    </dxf>
    <dxf>
      <font>
        <b val="0"/>
        <i val="0"/>
        <strike val="0"/>
        <condense val="0"/>
        <extend val="0"/>
        <outline val="0"/>
        <shadow val="0"/>
        <u val="none"/>
        <vertAlign val="baseline"/>
        <sz val="16"/>
        <color rgb="FF7030A0"/>
        <name val="Noto Sans TC"/>
        <family val="2"/>
        <charset val="136"/>
        <scheme val="none"/>
      </font>
      <numFmt numFmtId="0" formatCode="General"/>
      <alignment horizontal="left" vertical="center" textRotation="0" wrapText="0" relativeIndent="1" justifyLastLine="0" shrinkToFit="0" readingOrder="0"/>
    </dxf>
    <dxf>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6"/>
        <color auto="1"/>
        <name val="Noto Sans TC"/>
        <family val="2"/>
        <charset val="136"/>
        <scheme val="none"/>
      </font>
      <numFmt numFmtId="176" formatCode="General;;"/>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6"/>
        <color auto="1"/>
        <name val="新細明體"/>
        <family val="1"/>
        <scheme val="minor"/>
      </font>
      <numFmt numFmtId="176"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ont>
        <b/>
        <sz val="16"/>
        <color auto="1"/>
        <name val="新細明體"/>
        <family val="1"/>
        <scheme val="minor"/>
      </font>
      <numFmt numFmtId="176" formatCode="General;;"/>
      <fill>
        <patternFill patternType="none">
          <fgColor indexed="64"/>
          <bgColor auto="1"/>
        </patternFill>
      </fill>
      <alignment horizontal="center" vertical="center" textRotation="0" wrapText="0" indent="0" justifyLastLine="0" shrinkToFit="0" readingOrder="0"/>
    </dxf>
    <dxf>
      <font>
        <b/>
        <sz val="16"/>
        <color auto="1"/>
        <name val="新細明體"/>
        <family val="1"/>
        <scheme val="minor"/>
      </font>
      <numFmt numFmtId="176" formatCode="General;;"/>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6"/>
        <color auto="1"/>
        <name val="新細明體"/>
        <family val="1"/>
        <scheme val="minor"/>
      </font>
      <numFmt numFmtId="176" formatCode="General;;"/>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22"/>
        <color rgb="FFC00000"/>
        <name val="新細明體"/>
        <family val="1"/>
        <scheme val="minor"/>
      </font>
      <numFmt numFmtId="176" formatCode="General;;"/>
      <fill>
        <patternFill patternType="none">
          <fgColor indexed="64"/>
          <bgColor auto="1"/>
        </patternFill>
      </fill>
      <alignment horizontal="left" vertical="center" textRotation="0" wrapText="0" indent="1" justifyLastLine="0" shrinkToFit="0" readingOrder="0"/>
    </dxf>
    <dxf>
      <font>
        <b val="0"/>
        <i val="0"/>
        <strike val="0"/>
        <condense val="0"/>
        <extend val="0"/>
        <outline val="0"/>
        <shadow val="0"/>
        <u val="none"/>
        <vertAlign val="baseline"/>
        <sz val="18"/>
        <color rgb="FF7030A0"/>
        <name val="Noto Sans TC Medium"/>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4"/>
        <color auto="1"/>
        <name val="Noto Sans TC Medium"/>
        <family val="2"/>
        <scheme val="none"/>
      </font>
      <numFmt numFmtId="176" formatCode="General;;"/>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6"/>
        <color rgb="FF7030A0"/>
        <name val="Noto Sans TC"/>
        <family val="2"/>
        <charset val="136"/>
        <scheme val="none"/>
      </font>
      <numFmt numFmtId="0" formatCode="General"/>
      <fill>
        <patternFill patternType="none">
          <fgColor indexed="64"/>
          <bgColor auto="1"/>
        </patternFill>
      </fill>
      <alignment horizontal="center" vertical="center" textRotation="0" wrapText="0" indent="0" justifyLastLine="0" shrinkToFit="0" readingOrder="0"/>
    </dxf>
    <dxf>
      <font>
        <b/>
        <sz val="18"/>
        <color rgb="FF7030A0"/>
        <name val="Noto Sans TC Medium"/>
        <family val="2"/>
        <scheme val="none"/>
      </font>
      <numFmt numFmtId="176" formatCode="General;;"/>
      <fill>
        <patternFill patternType="none">
          <fgColor indexed="64"/>
          <bgColor auto="1"/>
        </patternFill>
      </fill>
      <alignment horizontal="center" vertical="center" textRotation="0" wrapText="1" indent="0" justifyLastLine="0" shrinkToFit="0" readingOrder="0"/>
    </dxf>
    <dxf>
      <font>
        <b/>
        <i val="0"/>
        <strike val="0"/>
        <condense val="0"/>
        <extend val="0"/>
        <outline val="0"/>
        <shadow val="0"/>
        <u val="none"/>
        <vertAlign val="baseline"/>
        <sz val="22"/>
        <color rgb="FFC00000"/>
        <name val="新細明體"/>
        <family val="1"/>
        <scheme val="minor"/>
      </font>
      <numFmt numFmtId="176" formatCode="General;;"/>
      <fill>
        <patternFill patternType="none">
          <fgColor indexed="64"/>
          <bgColor auto="1"/>
        </patternFill>
      </fill>
      <alignment horizontal="left" vertical="center" textRotation="0" wrapText="0" relativeIndent="1" justifyLastLine="0" shrinkToFit="0" readingOrder="0"/>
    </dxf>
    <dxf>
      <font>
        <b val="0"/>
        <i val="0"/>
        <strike val="0"/>
        <condense val="0"/>
        <extend val="0"/>
        <outline val="0"/>
        <shadow val="0"/>
        <u val="none"/>
        <vertAlign val="baseline"/>
        <sz val="16"/>
        <color rgb="FF7030A0"/>
        <name val="Noto Sans TC"/>
        <family val="2"/>
        <charset val="136"/>
        <scheme val="none"/>
      </font>
      <numFmt numFmtId="0" formatCode="General"/>
      <fill>
        <patternFill patternType="none">
          <fgColor indexed="64"/>
          <bgColor indexed="65"/>
        </patternFill>
      </fill>
      <alignment horizontal="right" vertical="center" textRotation="0" wrapText="0" indent="0" justifyLastLine="0" shrinkToFit="0" readingOrder="0"/>
    </dxf>
    <dxf>
      <font>
        <strike val="0"/>
        <outline val="0"/>
        <shadow val="0"/>
        <u val="none"/>
        <vertAlign val="baseline"/>
        <sz val="16"/>
        <color rgb="FF7030A0"/>
        <name val="Noto Sans TC"/>
        <family val="2"/>
        <charset val="136"/>
        <scheme val="none"/>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z val="18"/>
        <color rgb="FF7030A0"/>
        <name val="Noto Sans TC Medium"/>
        <family val="2"/>
        <scheme val="none"/>
      </font>
      <fill>
        <patternFill patternType="none">
          <fgColor indexed="64"/>
          <bgColor auto="1"/>
        </patternFill>
      </fill>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font>
        <b/>
        <i val="0"/>
        <strike val="0"/>
        <condense val="0"/>
        <extend val="0"/>
        <outline val="0"/>
        <shadow val="0"/>
        <u val="none"/>
        <vertAlign val="baseline"/>
        <sz val="16"/>
        <color theme="0"/>
        <name val="Noto Serif TC SemiBold"/>
        <family val="1"/>
        <charset val="136"/>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6"/>
        <name val="Noto Serif TC"/>
        <family val="1"/>
        <charset val="136"/>
        <scheme val="none"/>
      </font>
      <border diagonalUp="0" diagonalDown="0" outline="0">
        <left style="thin">
          <color indexed="64"/>
        </left>
        <right/>
        <top style="thin">
          <color indexed="64"/>
        </top>
        <bottom style="thin">
          <color indexed="64"/>
        </bottom>
      </border>
    </dxf>
    <dxf>
      <font>
        <strike val="0"/>
        <outline val="0"/>
        <shadow val="0"/>
        <u val="none"/>
        <vertAlign val="baseline"/>
        <sz val="16"/>
        <name val="新細明體"/>
        <family val="1"/>
        <scheme val="minor"/>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6"/>
        <color rgb="FF000000"/>
        <name val="Noto Serif TC"/>
        <family val="1"/>
        <charset val="136"/>
        <scheme val="none"/>
      </font>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theme="1"/>
        <name val="Noto Serif TC"/>
        <family val="1"/>
        <charset val="136"/>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6"/>
        <color rgb="FF000000"/>
        <name val="Noto Serif TC Black"/>
        <family val="1"/>
        <charset val="136"/>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6"/>
        <color rgb="FFC00000"/>
        <name val="Noto Serif TC Black"/>
        <family val="1"/>
        <charset val="136"/>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6"/>
        <color rgb="FF000000"/>
        <name val="Noto Serif TC"/>
        <family val="1"/>
        <charset val="136"/>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theme="1"/>
        <name val="BopomofoRuby1909-v1"/>
        <family val="1"/>
        <charset val="136"/>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6"/>
        <name val="Noto Serif TC"/>
        <family val="1"/>
        <charset val="136"/>
        <scheme val="none"/>
      </font>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6"/>
        <name val="Noto Serif TC"/>
        <family val="1"/>
        <charset val="136"/>
        <scheme val="none"/>
      </font>
    </dxf>
    <dxf>
      <border>
        <bottom style="thin">
          <color indexed="64"/>
        </bottom>
      </border>
    </dxf>
    <dxf>
      <font>
        <b/>
        <i val="0"/>
        <strike val="0"/>
        <condense val="0"/>
        <extend val="0"/>
        <outline val="0"/>
        <shadow val="0"/>
        <u val="none"/>
        <vertAlign val="baseline"/>
        <sz val="16"/>
        <color theme="0"/>
        <name val="Noto Sans TC Black"/>
        <family val="2"/>
        <charset val="136"/>
        <scheme val="none"/>
      </font>
      <fill>
        <patternFill patternType="solid">
          <fgColor indexed="64"/>
          <bgColor theme="3" tint="0.39997558519241921"/>
        </patternFill>
      </fill>
      <alignment vertical="center"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8"/>
        <color theme="1"/>
        <name val="Noto Sans TC Medium"/>
        <family val="2"/>
        <charset val="136"/>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8"/>
        <color theme="1"/>
        <name val="Noto Sans TC Medium"/>
        <family val="2"/>
        <charset val="136"/>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Noto Sans TC Medium"/>
        <family val="2"/>
        <charset val="136"/>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8"/>
        <color theme="1"/>
        <name val="Noto Sans TC Medium"/>
        <family val="2"/>
        <charset val="136"/>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8"/>
        <color theme="1"/>
        <name val="Noto Sans TC Medium"/>
        <family val="2"/>
        <charset val="136"/>
        <scheme val="none"/>
      </font>
      <border diagonalUp="0" diagonalDown="0" outline="0">
        <left style="thin">
          <color indexed="64"/>
        </left>
        <right style="thin">
          <color indexed="64"/>
        </right>
        <top/>
        <bottom/>
      </border>
    </dxf>
  </dxfs>
  <tableStyles count="0" defaultTableStyle="TableStyleMedium2" defaultPivotStyle="PivotStyleMedium9"/>
  <colors>
    <mruColors>
      <color rgb="FFEBFC9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657226</xdr:colOff>
      <xdr:row>0</xdr:row>
      <xdr:rowOff>190499</xdr:rowOff>
    </xdr:from>
    <xdr:to>
      <xdr:col>8</xdr:col>
      <xdr:colOff>672467</xdr:colOff>
      <xdr:row>17</xdr:row>
      <xdr:rowOff>190500</xdr:rowOff>
    </xdr:to>
    <xdr:pic>
      <xdr:nvPicPr>
        <xdr:cNvPr id="3" name="圖片 2">
          <a:extLst>
            <a:ext uri="{FF2B5EF4-FFF2-40B4-BE49-F238E27FC236}">
              <a16:creationId xmlns:a16="http://schemas.microsoft.com/office/drawing/2014/main" id="{970365E0-F673-D465-27B3-23CBF42D3FA1}"/>
            </a:ext>
          </a:extLst>
        </xdr:cNvPr>
        <xdr:cNvPicPr>
          <a:picLocks noChangeAspect="1"/>
        </xdr:cNvPicPr>
      </xdr:nvPicPr>
      <xdr:blipFill>
        <a:blip xmlns:r="http://schemas.openxmlformats.org/officeDocument/2006/relationships" r:embed="rId1"/>
        <a:stretch>
          <a:fillRect/>
        </a:stretch>
      </xdr:blipFill>
      <xdr:spPr>
        <a:xfrm>
          <a:off x="657226" y="190499"/>
          <a:ext cx="5501641" cy="6877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work\Piau-Im\Documents\&#24291;&#38907;\D300_&#24291;&#38907;_V6.xlsx" TargetMode="External"/><Relationship Id="rId1" Type="http://schemas.openxmlformats.org/officeDocument/2006/relationships/externalLinkPath" Target="D300_&#24291;&#38907;_V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切語查音"/>
      <sheetName val="切語查音 (2)"/>
      <sheetName val="漢字查音"/>
      <sheetName val="漢字輸入表單"/>
      <sheetName val="01 廣韻"/>
      <sheetName val="02 又音"/>
      <sheetName val="03_又切"/>
      <sheetName val="04_校勘"/>
      <sheetName val="字義表"/>
      <sheetName val="切語上字表"/>
      <sheetName val="聲母對照表"/>
      <sheetName val="切語下字表"/>
      <sheetName val="韻母對照表"/>
      <sheetName val="韻系標音表"/>
      <sheetName val="韻目表"/>
      <sheetName val="韻攝表"/>
      <sheetName val="小韻表"/>
      <sheetName val="聲調對照表"/>
      <sheetName val="韻目工作底稿"/>
      <sheetName val="切語上字表 (BA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L4" t="str">
            <v>東</v>
          </cell>
          <cell r="P4" t="str">
            <v>董</v>
          </cell>
          <cell r="T4" t="str">
            <v>送</v>
          </cell>
          <cell r="X4" t="str">
            <v>屋</v>
          </cell>
        </row>
        <row r="5">
          <cell r="L5" t="str">
            <v>冬</v>
          </cell>
          <cell r="P5" t="str">
            <v>∅</v>
          </cell>
          <cell r="T5" t="str">
            <v>宋</v>
          </cell>
          <cell r="X5" t="str">
            <v>沃</v>
          </cell>
        </row>
        <row r="6">
          <cell r="L6" t="str">
            <v>鍾</v>
          </cell>
          <cell r="P6" t="str">
            <v>腫</v>
          </cell>
          <cell r="T6" t="str">
            <v>用</v>
          </cell>
          <cell r="X6" t="str">
            <v>燭</v>
          </cell>
        </row>
        <row r="7">
          <cell r="L7" t="str">
            <v>江</v>
          </cell>
          <cell r="P7" t="str">
            <v>講</v>
          </cell>
          <cell r="T7" t="str">
            <v>絳</v>
          </cell>
          <cell r="X7" t="str">
            <v>覺</v>
          </cell>
        </row>
        <row r="8">
          <cell r="L8" t="str">
            <v>支</v>
          </cell>
          <cell r="P8" t="str">
            <v>紙</v>
          </cell>
          <cell r="T8" t="str">
            <v>寘</v>
          </cell>
          <cell r="X8" t="str">
            <v>∅</v>
          </cell>
        </row>
        <row r="9">
          <cell r="L9" t="str">
            <v>脂</v>
          </cell>
          <cell r="P9" t="str">
            <v>旨</v>
          </cell>
          <cell r="T9" t="str">
            <v>至</v>
          </cell>
          <cell r="X9" t="str">
            <v>∅</v>
          </cell>
        </row>
        <row r="10">
          <cell r="L10" t="str">
            <v>之</v>
          </cell>
          <cell r="P10" t="str">
            <v>止</v>
          </cell>
          <cell r="T10" t="str">
            <v>志</v>
          </cell>
          <cell r="X10" t="str">
            <v>∅</v>
          </cell>
        </row>
        <row r="11">
          <cell r="L11" t="str">
            <v>微</v>
          </cell>
          <cell r="P11" t="str">
            <v>尾</v>
          </cell>
          <cell r="T11" t="str">
            <v>未</v>
          </cell>
          <cell r="X11" t="str">
            <v>∅</v>
          </cell>
        </row>
        <row r="12">
          <cell r="L12" t="str">
            <v>魚</v>
          </cell>
          <cell r="P12" t="str">
            <v>語</v>
          </cell>
          <cell r="T12" t="str">
            <v>御</v>
          </cell>
          <cell r="X12" t="str">
            <v>∅</v>
          </cell>
        </row>
        <row r="13">
          <cell r="L13" t="str">
            <v>虞</v>
          </cell>
          <cell r="P13" t="str">
            <v>麌</v>
          </cell>
          <cell r="T13" t="str">
            <v>遇</v>
          </cell>
          <cell r="X13" t="str">
            <v>∅</v>
          </cell>
        </row>
        <row r="14">
          <cell r="L14" t="str">
            <v>模</v>
          </cell>
          <cell r="P14" t="str">
            <v>姥</v>
          </cell>
          <cell r="T14" t="str">
            <v>暮</v>
          </cell>
          <cell r="X14" t="str">
            <v>∅</v>
          </cell>
        </row>
        <row r="15">
          <cell r="L15" t="str">
            <v>齊</v>
          </cell>
          <cell r="P15" t="str">
            <v>薺</v>
          </cell>
          <cell r="T15" t="str">
            <v>霽</v>
          </cell>
          <cell r="X15" t="str">
            <v>∅</v>
          </cell>
        </row>
        <row r="16">
          <cell r="L16" t="str">
            <v>∅</v>
          </cell>
          <cell r="P16" t="str">
            <v>∅</v>
          </cell>
          <cell r="T16" t="str">
            <v>祭</v>
          </cell>
          <cell r="X16" t="str">
            <v>∅</v>
          </cell>
        </row>
        <row r="17">
          <cell r="L17" t="str">
            <v>∅</v>
          </cell>
          <cell r="P17" t="str">
            <v>∅</v>
          </cell>
          <cell r="T17" t="str">
            <v>泰</v>
          </cell>
          <cell r="X17" t="str">
            <v>∅</v>
          </cell>
        </row>
        <row r="18">
          <cell r="L18" t="str">
            <v>佳</v>
          </cell>
          <cell r="P18" t="str">
            <v>蟹</v>
          </cell>
          <cell r="T18" t="str">
            <v>卦</v>
          </cell>
          <cell r="X18" t="str">
            <v>∅</v>
          </cell>
        </row>
        <row r="19">
          <cell r="L19" t="str">
            <v>皆</v>
          </cell>
          <cell r="P19" t="str">
            <v>駭</v>
          </cell>
          <cell r="T19" t="str">
            <v>怪</v>
          </cell>
          <cell r="X19" t="str">
            <v>∅</v>
          </cell>
        </row>
        <row r="20">
          <cell r="L20" t="str">
            <v>∅</v>
          </cell>
          <cell r="P20" t="str">
            <v>∅</v>
          </cell>
          <cell r="T20" t="str">
            <v>夬</v>
          </cell>
          <cell r="X20" t="str">
            <v>∅</v>
          </cell>
        </row>
        <row r="21">
          <cell r="L21" t="str">
            <v>灰</v>
          </cell>
          <cell r="P21" t="str">
            <v>賄</v>
          </cell>
          <cell r="T21" t="str">
            <v>隊</v>
          </cell>
          <cell r="X21" t="str">
            <v>∅</v>
          </cell>
        </row>
        <row r="22">
          <cell r="L22" t="str">
            <v>咍</v>
          </cell>
          <cell r="P22" t="str">
            <v>海</v>
          </cell>
          <cell r="T22" t="str">
            <v>代</v>
          </cell>
          <cell r="X22" t="str">
            <v>∅</v>
          </cell>
        </row>
        <row r="23">
          <cell r="L23" t="str">
            <v>∅</v>
          </cell>
          <cell r="P23" t="str">
            <v>∅</v>
          </cell>
          <cell r="T23" t="str">
            <v>廢</v>
          </cell>
          <cell r="X23" t="str">
            <v>∅</v>
          </cell>
        </row>
        <row r="24">
          <cell r="L24" t="str">
            <v>真</v>
          </cell>
          <cell r="P24" t="str">
            <v>軫</v>
          </cell>
          <cell r="T24" t="str">
            <v>震</v>
          </cell>
          <cell r="X24" t="str">
            <v>質</v>
          </cell>
        </row>
        <row r="25">
          <cell r="L25" t="str">
            <v>諄</v>
          </cell>
          <cell r="P25" t="str">
            <v>準</v>
          </cell>
          <cell r="T25" t="str">
            <v>稕</v>
          </cell>
          <cell r="X25" t="str">
            <v>術</v>
          </cell>
        </row>
        <row r="26">
          <cell r="L26" t="str">
            <v>臻</v>
          </cell>
          <cell r="P26" t="str">
            <v>∅</v>
          </cell>
          <cell r="T26" t="str">
            <v>齔</v>
          </cell>
          <cell r="X26" t="str">
            <v>櫛</v>
          </cell>
        </row>
        <row r="27">
          <cell r="L27" t="str">
            <v>文</v>
          </cell>
          <cell r="P27" t="str">
            <v>吻</v>
          </cell>
          <cell r="T27" t="str">
            <v>問</v>
          </cell>
          <cell r="X27" t="str">
            <v>物</v>
          </cell>
        </row>
        <row r="28">
          <cell r="L28" t="str">
            <v>殷</v>
          </cell>
          <cell r="P28" t="str">
            <v>隱</v>
          </cell>
          <cell r="T28" t="str">
            <v>焮</v>
          </cell>
          <cell r="X28" t="str">
            <v>迄</v>
          </cell>
        </row>
        <row r="29">
          <cell r="L29" t="str">
            <v>元</v>
          </cell>
          <cell r="P29" t="str">
            <v>阮</v>
          </cell>
          <cell r="T29" t="str">
            <v>願</v>
          </cell>
          <cell r="X29" t="str">
            <v>月</v>
          </cell>
        </row>
        <row r="30">
          <cell r="L30" t="str">
            <v>魂</v>
          </cell>
          <cell r="P30" t="str">
            <v>混</v>
          </cell>
          <cell r="T30" t="str">
            <v>慁</v>
          </cell>
          <cell r="X30" t="str">
            <v>沒</v>
          </cell>
        </row>
        <row r="31">
          <cell r="L31" t="str">
            <v>痕</v>
          </cell>
          <cell r="P31" t="str">
            <v>很</v>
          </cell>
          <cell r="T31" t="str">
            <v>恨</v>
          </cell>
          <cell r="X31" t="str">
            <v>麧</v>
          </cell>
        </row>
        <row r="32">
          <cell r="L32" t="str">
            <v>寒</v>
          </cell>
          <cell r="P32" t="str">
            <v>旱</v>
          </cell>
          <cell r="T32" t="str">
            <v>翰</v>
          </cell>
          <cell r="X32" t="str">
            <v>曷</v>
          </cell>
        </row>
        <row r="33">
          <cell r="L33" t="str">
            <v>桓</v>
          </cell>
          <cell r="P33" t="str">
            <v>緩</v>
          </cell>
          <cell r="T33" t="str">
            <v>換</v>
          </cell>
          <cell r="X33" t="str">
            <v>末</v>
          </cell>
        </row>
        <row r="34">
          <cell r="L34" t="str">
            <v>刪</v>
          </cell>
          <cell r="P34" t="str">
            <v>潸</v>
          </cell>
          <cell r="T34" t="str">
            <v>諫</v>
          </cell>
          <cell r="X34" t="str">
            <v>黠</v>
          </cell>
        </row>
        <row r="35">
          <cell r="L35" t="str">
            <v>山</v>
          </cell>
          <cell r="P35" t="str">
            <v>產</v>
          </cell>
          <cell r="T35" t="str">
            <v>襇</v>
          </cell>
          <cell r="X35" t="str">
            <v>鎋</v>
          </cell>
        </row>
        <row r="36">
          <cell r="L36" t="str">
            <v>先</v>
          </cell>
          <cell r="P36" t="str">
            <v>銑</v>
          </cell>
          <cell r="T36" t="str">
            <v>霰</v>
          </cell>
          <cell r="X36" t="str">
            <v>屑</v>
          </cell>
        </row>
        <row r="37">
          <cell r="L37" t="str">
            <v>仙</v>
          </cell>
          <cell r="P37" t="str">
            <v>獮</v>
          </cell>
          <cell r="T37" t="str">
            <v>線</v>
          </cell>
          <cell r="X37" t="str">
            <v>薛</v>
          </cell>
        </row>
        <row r="38">
          <cell r="L38" t="str">
            <v>蕭</v>
          </cell>
          <cell r="P38" t="str">
            <v>篠</v>
          </cell>
          <cell r="T38" t="str">
            <v>嘯</v>
          </cell>
          <cell r="X38" t="str">
            <v>∅</v>
          </cell>
        </row>
        <row r="39">
          <cell r="L39" t="str">
            <v>宵</v>
          </cell>
          <cell r="P39" t="str">
            <v>小</v>
          </cell>
          <cell r="T39" t="str">
            <v>笑</v>
          </cell>
          <cell r="X39" t="str">
            <v>∅</v>
          </cell>
        </row>
        <row r="40">
          <cell r="L40" t="str">
            <v>肴</v>
          </cell>
          <cell r="P40" t="str">
            <v>巧</v>
          </cell>
          <cell r="T40" t="str">
            <v>效</v>
          </cell>
          <cell r="X40" t="str">
            <v>∅</v>
          </cell>
        </row>
        <row r="41">
          <cell r="L41" t="str">
            <v>豪</v>
          </cell>
          <cell r="P41" t="str">
            <v>晧</v>
          </cell>
          <cell r="T41" t="str">
            <v>号</v>
          </cell>
          <cell r="X41" t="str">
            <v>∅</v>
          </cell>
        </row>
        <row r="42">
          <cell r="L42" t="str">
            <v>歌</v>
          </cell>
          <cell r="P42" t="str">
            <v>哿</v>
          </cell>
          <cell r="T42" t="str">
            <v>箇</v>
          </cell>
          <cell r="X42" t="str">
            <v>∅</v>
          </cell>
        </row>
        <row r="43">
          <cell r="L43" t="str">
            <v>戈</v>
          </cell>
          <cell r="P43" t="str">
            <v>果</v>
          </cell>
          <cell r="T43" t="str">
            <v>過</v>
          </cell>
          <cell r="X43" t="str">
            <v>∅</v>
          </cell>
        </row>
        <row r="44">
          <cell r="L44" t="str">
            <v>麻</v>
          </cell>
          <cell r="P44" t="str">
            <v>馬</v>
          </cell>
          <cell r="T44" t="str">
            <v>禡</v>
          </cell>
          <cell r="X44" t="str">
            <v>∅</v>
          </cell>
        </row>
        <row r="45">
          <cell r="L45" t="str">
            <v>陽</v>
          </cell>
          <cell r="P45" t="str">
            <v>養</v>
          </cell>
          <cell r="T45" t="str">
            <v>漾</v>
          </cell>
          <cell r="X45" t="str">
            <v>藥</v>
          </cell>
        </row>
        <row r="46">
          <cell r="L46" t="str">
            <v>唐</v>
          </cell>
          <cell r="P46" t="str">
            <v>蕩</v>
          </cell>
          <cell r="T46" t="str">
            <v>宕</v>
          </cell>
          <cell r="X46" t="str">
            <v>鐸</v>
          </cell>
        </row>
        <row r="47">
          <cell r="L47" t="str">
            <v>庚</v>
          </cell>
          <cell r="P47" t="str">
            <v>梗</v>
          </cell>
          <cell r="T47" t="str">
            <v>敬</v>
          </cell>
          <cell r="X47" t="str">
            <v>陌</v>
          </cell>
        </row>
        <row r="48">
          <cell r="L48" t="str">
            <v>耕</v>
          </cell>
          <cell r="P48" t="str">
            <v>耿</v>
          </cell>
          <cell r="T48" t="str">
            <v>諍</v>
          </cell>
          <cell r="X48" t="str">
            <v>麥</v>
          </cell>
        </row>
        <row r="49">
          <cell r="L49" t="str">
            <v>清</v>
          </cell>
          <cell r="P49" t="str">
            <v>靜</v>
          </cell>
          <cell r="T49" t="str">
            <v>勁</v>
          </cell>
          <cell r="X49" t="str">
            <v>昔</v>
          </cell>
        </row>
        <row r="50">
          <cell r="L50" t="str">
            <v>青</v>
          </cell>
          <cell r="P50" t="str">
            <v>迥</v>
          </cell>
          <cell r="T50" t="str">
            <v>徑</v>
          </cell>
          <cell r="X50" t="str">
            <v>錫</v>
          </cell>
        </row>
        <row r="51">
          <cell r="L51" t="str">
            <v>蒸</v>
          </cell>
          <cell r="P51" t="str">
            <v>拯</v>
          </cell>
          <cell r="T51" t="str">
            <v>證</v>
          </cell>
          <cell r="X51" t="str">
            <v>職</v>
          </cell>
        </row>
        <row r="52">
          <cell r="L52" t="str">
            <v>登</v>
          </cell>
          <cell r="P52" t="str">
            <v>等</v>
          </cell>
          <cell r="T52" t="str">
            <v>嶝</v>
          </cell>
          <cell r="X52" t="str">
            <v>德</v>
          </cell>
        </row>
        <row r="53">
          <cell r="L53" t="str">
            <v>尤</v>
          </cell>
          <cell r="P53" t="str">
            <v>有</v>
          </cell>
          <cell r="T53" t="str">
            <v>宥</v>
          </cell>
          <cell r="X53" t="str">
            <v>∅</v>
          </cell>
        </row>
        <row r="54">
          <cell r="L54" t="str">
            <v>侯</v>
          </cell>
          <cell r="P54" t="str">
            <v>厚</v>
          </cell>
          <cell r="T54" t="str">
            <v>候</v>
          </cell>
          <cell r="X54" t="str">
            <v>∅</v>
          </cell>
        </row>
        <row r="55">
          <cell r="L55" t="str">
            <v>幽</v>
          </cell>
          <cell r="P55" t="str">
            <v>黝</v>
          </cell>
          <cell r="T55" t="str">
            <v>幼</v>
          </cell>
          <cell r="X55" t="str">
            <v>∅</v>
          </cell>
        </row>
        <row r="56">
          <cell r="L56" t="str">
            <v>侵</v>
          </cell>
          <cell r="P56" t="str">
            <v>寢</v>
          </cell>
          <cell r="T56" t="str">
            <v>沁</v>
          </cell>
          <cell r="X56" t="str">
            <v>緝</v>
          </cell>
        </row>
        <row r="57">
          <cell r="L57" t="str">
            <v>覃</v>
          </cell>
          <cell r="P57" t="str">
            <v>感</v>
          </cell>
          <cell r="T57" t="str">
            <v>勘</v>
          </cell>
          <cell r="X57" t="str">
            <v>合</v>
          </cell>
        </row>
        <row r="58">
          <cell r="L58" t="str">
            <v>談</v>
          </cell>
          <cell r="P58" t="str">
            <v>敢</v>
          </cell>
          <cell r="T58" t="str">
            <v>闞</v>
          </cell>
          <cell r="X58" t="str">
            <v>盍</v>
          </cell>
        </row>
        <row r="59">
          <cell r="L59" t="str">
            <v>鹽</v>
          </cell>
          <cell r="P59" t="str">
            <v>琰</v>
          </cell>
          <cell r="T59" t="str">
            <v>豔</v>
          </cell>
          <cell r="X59" t="str">
            <v>葉</v>
          </cell>
        </row>
        <row r="60">
          <cell r="L60" t="str">
            <v>添</v>
          </cell>
          <cell r="P60" t="str">
            <v>忝</v>
          </cell>
          <cell r="T60" t="str">
            <v>㮇</v>
          </cell>
          <cell r="X60" t="str">
            <v>怗</v>
          </cell>
        </row>
        <row r="61">
          <cell r="L61" t="str">
            <v>咸</v>
          </cell>
          <cell r="P61" t="str">
            <v>豏</v>
          </cell>
          <cell r="T61" t="str">
            <v>陷</v>
          </cell>
          <cell r="X61" t="str">
            <v>洽</v>
          </cell>
        </row>
        <row r="62">
          <cell r="L62" t="str">
            <v>銜</v>
          </cell>
          <cell r="P62" t="str">
            <v>檻</v>
          </cell>
          <cell r="T62" t="str">
            <v>鑑</v>
          </cell>
          <cell r="X62" t="str">
            <v>狎</v>
          </cell>
        </row>
        <row r="63">
          <cell r="L63" t="str">
            <v>嚴</v>
          </cell>
          <cell r="P63" t="str">
            <v>儼</v>
          </cell>
          <cell r="T63" t="str">
            <v>釅</v>
          </cell>
          <cell r="X63" t="str">
            <v>業</v>
          </cell>
        </row>
        <row r="64">
          <cell r="L64" t="str">
            <v>凡</v>
          </cell>
          <cell r="P64" t="str">
            <v>范</v>
          </cell>
          <cell r="T64" t="str">
            <v>梵</v>
          </cell>
          <cell r="X64" t="str">
            <v>乏</v>
          </cell>
        </row>
      </sheetData>
      <sheetData sheetId="1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FFAB7C-0523-4752-8E0F-2227DB01609B}" name="表格7" displayName="表格7" ref="B2:E4" totalsRowShown="0" headerRowDxfId="104" headerRowBorderDxfId="103" tableBorderDxfId="102" totalsRowBorderDxfId="101">
  <autoFilter ref="B2:E4" xr:uid="{2BFFAB7C-0523-4752-8E0F-2227DB01609B}"/>
  <tableColumns count="4">
    <tableColumn id="1" xr3:uid="{0F68AB9E-4793-493B-8B72-E5ECAF744D15}" name="上字聲母類型" dataDxfId="100"/>
    <tableColumn id="2" xr3:uid="{402FAA9F-AB36-48DA-9833-F0CA035AFF42}" name="演變路徑" dataDxfId="99"/>
    <tableColumn id="3" xr3:uid="{6F9D61DE-9DD1-4273-99F6-562B5E4A18A6}" name="最終調號 (漳/廈/台)" dataDxfId="98"/>
    <tableColumn id="4" xr3:uid="{BB13139A-B008-4917-AEF6-46EBE5DD57D2}" name="備註" dataDxfId="97"/>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6050B3-9467-44BE-9CE9-7269A8B71587}" name="切語上字表" displayName="切語上字表" ref="A1:I42" totalsRowShown="0" headerRowDxfId="96" dataDxfId="94" headerRowBorderDxfId="95" tableBorderDxfId="93" totalsRowBorderDxfId="92">
  <autoFilter ref="A1:I42" xr:uid="{7802CA1A-E2EC-4E03-9811-897E8DECD5FC}"/>
  <tableColumns count="9">
    <tableColumn id="1" xr3:uid="{CB60BB31-81EC-40A2-9CD2-3262C0E9AC09}" name="識別號" dataDxfId="91"/>
    <tableColumn id="10" xr3:uid="{C1CD8375-088C-4AF0-A2D2-412B01330140}" name="七聲類" dataDxfId="90" dataCellStyle="一般 4"/>
    <tableColumn id="2" xr3:uid="{73207C58-B57E-4ECE-A96B-481711400B03}" name="發音部位" dataDxfId="89" dataCellStyle="一般 4"/>
    <tableColumn id="6" xr3:uid="{CA4301B5-A594-4A7E-8AB0-4306ECF9060A}" name="聲母" dataDxfId="88" dataCellStyle="Hyperlink 2"/>
    <tableColumn id="3" xr3:uid="{74D35792-A838-42B3-8218-C64496ACA2F5}" name="清濁" dataDxfId="87" dataCellStyle="Hyperlink 2"/>
    <tableColumn id="9" xr3:uid="{10DE1615-6FC3-467E-A13B-F23F41A5ADF8}" name="發送收" dataDxfId="86" dataCellStyle="一般 4"/>
    <tableColumn id="7" xr3:uid="{DEF2D661-C526-4F88-9A51-F2B8ED53A8FF}" name="聲母標音" dataDxfId="85" dataCellStyle="Hyperlink 2"/>
    <tableColumn id="4" xr3:uid="{65B4B32E-BB8B-442C-9F0B-E827A792667A}" name="切語上字集" dataDxfId="84" dataCellStyle="一般 4"/>
    <tableColumn id="8" xr3:uid="{69A6F20D-0DDF-4960-A3F3-AC609C2C307E}" name="備註" dataDxfId="83"/>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4E01E3-C9CE-4466-ABA5-FE9CAF4A5A79}" name="切語下字表" displayName="切語下字表" ref="A1:T302" totalsRowShown="0" headerRowDxfId="82" dataDxfId="81" tableBorderDxfId="80">
  <autoFilter ref="A1:T302" xr:uid="{DC9CB1D3-39F4-483A-994F-A16BFF586DDA}"/>
  <sortState xmlns:xlrd2="http://schemas.microsoft.com/office/spreadsheetml/2017/richdata2" ref="A2:T302">
    <sortCondition ref="F2:F302"/>
    <sortCondition ref="J2:J302"/>
  </sortState>
  <tableColumns count="20">
    <tableColumn id="1" xr3:uid="{D40854F5-7143-41A0-A5B0-18233AEE126F}" name="識別號" dataDxfId="79" dataCellStyle="一般 3 2"/>
    <tableColumn id="18" xr3:uid="{5A1112C9-F064-467B-94CA-197C393A18DA}" name="識別號2" dataDxfId="78" dataCellStyle="一般 3 2"/>
    <tableColumn id="16" xr3:uid="{831E2F82-E032-4890-801E-A97C4CF2085C}" name="韻系標音表之識別號" dataDxfId="77" dataCellStyle="一般 3"/>
    <tableColumn id="5" xr3:uid="{9F4263C7-38F0-4FA3-BD83-DC592AF2B9DE}" name="韻目表之識別號" dataDxfId="76" dataCellStyle="一般 3"/>
    <tableColumn id="7" xr3:uid="{DD0BC8BC-898F-4957-83DE-D2E469D8A579}" name="韻母" dataDxfId="75" dataCellStyle="一般 3"/>
    <tableColumn id="2" xr3:uid="{D93DF702-C278-4243-AC35-6704CB137E3A}" name="韻系列號" dataDxfId="74" dataCellStyle="一般 3"/>
    <tableColumn id="13" xr3:uid="{878D856F-20D2-4B08-98E5-21332FF0AFA3}" name="韻目索引" dataDxfId="73" dataCellStyle="一般 3 2"/>
    <tableColumn id="6" xr3:uid="{C9159B86-3D08-47D4-B013-6549C11255AD}" name="目次" dataDxfId="72" dataCellStyle="一般 3 2"/>
    <tableColumn id="19" xr3:uid="{E6749E61-F343-4320-9793-5D66F292AD11}" name="攝" dataDxfId="71" dataCellStyle="一般 3 2"/>
    <tableColumn id="10" xr3:uid="{D2C982A3-099D-4553-8CAC-8BC497FB0A87}" name="韻系" dataDxfId="70" dataCellStyle="一般 3"/>
    <tableColumn id="9" xr3:uid="{0DEE3087-9915-4544-B2A3-D5E9B0B544DA}" name="韻目" dataDxfId="69" dataCellStyle="一般 3"/>
    <tableColumn id="20" xr3:uid="{12C5C29D-9396-4F56-B47E-4A8A9A8030F9}" name="四聲" dataDxfId="68" dataCellStyle="一般 3 2"/>
    <tableColumn id="3" xr3:uid="{D04EAE81-6648-47E5-99B1-267CDC1FC2C0}" name="四聲調號" dataDxfId="67" dataCellStyle="一般 3"/>
    <tableColumn id="15" xr3:uid="{819B404B-C2D8-4BF8-B0C8-16FF12367D58}" name="舒促聲" dataDxfId="66" dataCellStyle="一般 3"/>
    <tableColumn id="8" xr3:uid="{93A92C0C-F733-41A7-B2B8-02B4ACA995D8}" name="等呼" dataDxfId="65" dataCellStyle="一般 3"/>
    <tableColumn id="12" xr3:uid="{D04F9BA7-DB54-4B0A-83CD-792417F3B649}" name="等" dataDxfId="64" dataCellStyle="一般 3"/>
    <tableColumn id="11" xr3:uid="{EE8066A9-D90A-4234-A9BB-30601D42F8FB}" name="呼" dataDxfId="63"/>
    <tableColumn id="4" xr3:uid="{1DCE1C18-0E28-4E17-8950-5EA7ADA7B7CC}" name="韻母標音" dataDxfId="62" dataCellStyle="一般 3"/>
    <tableColumn id="14" xr3:uid="{0E9E01A6-8637-41E9-85B7-A741D56EE879}" name="切語下字集" dataDxfId="61"/>
    <tableColumn id="17" xr3:uid="{AAB11CFA-B9CC-4CFC-9AB8-18EDD0BE7CBF}" name="備註" dataDxfId="6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02CA1A-E2EC-4E03-9811-897E8DECD5FC}" name="反切上字表" displayName="反切上字表" ref="A1:H43" totalsRowShown="0" headerRowDxfId="59" dataDxfId="57" headerRowBorderDxfId="58" tableBorderDxfId="56" totalsRowBorderDxfId="55">
  <autoFilter ref="A1:H43" xr:uid="{7802CA1A-E2EC-4E03-9811-897E8DECD5FC}"/>
  <tableColumns count="8">
    <tableColumn id="1" xr3:uid="{52BECD02-764D-42B8-9A12-FACF5BBAA3C2}" name="序" dataDxfId="54"/>
    <tableColumn id="2" xr3:uid="{27D72B5A-C5CB-4689-98FA-F54EE07EFF26}" name="類" dataDxfId="53"/>
    <tableColumn id="3" xr3:uid="{B9503A3E-AEF8-491D-AE8A-55AC6BF17456}" name="聲母" dataDxfId="52" dataCellStyle="Hyperlink"/>
    <tableColumn id="6" xr3:uid="{057E8866-AD9C-47C8-ABF7-23A6324137BE}" name="清濁" dataDxfId="51" dataCellStyle="Hyperlink"/>
    <tableColumn id="8" xr3:uid="{7FE7B2E2-61C2-4287-A5CF-EC642998CA84}" name="發送收" dataDxfId="50" dataCellStyle="Hyperlink"/>
    <tableColumn id="7" xr3:uid="{959397C3-0D8B-4E3B-A89E-2ED8A0001B3F}" name="台羅音標" dataDxfId="49" dataCellStyle="Hyperlink"/>
    <tableColumn id="5" xr3:uid="{34F734A5-F634-4BFF-A817-2D38ED0494C8}" name="國際音標" dataDxfId="48" dataCellStyle="Hyperlink"/>
    <tableColumn id="4" xr3:uid="{C4B19C94-7068-4052-835C-E8D34E37596C}" name="反切上字" dataDxfId="47"/>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B7486D-9B72-4CA0-BEE5-2E202A8CE092}" name="反切下字表" displayName="反切下字表" ref="A1:I187" totalsRowShown="0" headerRowDxfId="46" dataDxfId="44" headerRowBorderDxfId="45" tableBorderDxfId="43" totalsRowBorderDxfId="42" dataCellStyle="Hyperlink">
  <autoFilter ref="A1:I187" xr:uid="{00000000-0001-0000-0000-000000000000}"/>
  <tableColumns count="9">
    <tableColumn id="1" xr3:uid="{C3CE50E7-D19F-41EE-B81E-15AD314660CE}" name="序" dataDxfId="41">
      <calculatedColumnFormula>A1+1</calculatedColumnFormula>
    </tableColumn>
    <tableColumn id="2" xr3:uid="{25CDA3CA-6659-4EBA-A1B4-B7056B2C4DC3}" name="攝" dataDxfId="40"/>
    <tableColumn id="3" xr3:uid="{64C10234-EF84-4697-BA65-705D3C1391BD}" name="韻系" dataDxfId="39"/>
    <tableColumn id="4" xr3:uid="{87AB0127-4E40-4B6D-9A51-F7EFC9B3F8CF}" name="等" dataDxfId="38"/>
    <tableColumn id="5" xr3:uid="{597D3923-DA3E-4176-ABAE-AF7003F124A0}" name="呼" dataDxfId="37"/>
    <tableColumn id="6" xr3:uid="{A3E40741-4E16-46C4-BC42-685FFE55CF43}" name="韻母" dataDxfId="36" dataCellStyle="Hyperlink"/>
    <tableColumn id="7" xr3:uid="{DB2D05A2-04D8-4342-AC3D-02F04804AB94}" name="台羅音標" dataDxfId="35" dataCellStyle="Hyperlink"/>
    <tableColumn id="8" xr3:uid="{2858A95D-10F8-4B84-8CF1-29BD0FF5E8AF}" name="國際音標" dataDxfId="34" dataCellStyle="Hyperlink"/>
    <tableColumn id="9" xr3:uid="{E18FA80D-E84A-4F60-993D-C9AB1F4986DE}" name="反切下字" dataDxfId="33"/>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8EAD9B-1C4D-4B9A-87F3-CA098A8CE4BA}" name="韻表_3" displayName="韻表_3" ref="B4:K61" totalsRowShown="0" headerRowDxfId="32" headerRowBorderDxfId="31" tableBorderDxfId="30" totalsRowBorderDxfId="29" headerRowCellStyle="一般 2 4">
  <autoFilter ref="B4:K61" xr:uid="{5F784D51-815A-4816-8CA0-E4D283AF85CC}"/>
  <tableColumns count="10">
    <tableColumn id="1" xr3:uid="{1D3976E9-39B6-434B-BEF7-E94BB7C4D486}" name="識別號" dataDxfId="28" dataCellStyle="一般 3"/>
    <tableColumn id="7" xr3:uid="{E1486E2D-0D7E-45C3-9CE9-829D3CB1F725}" name="攝" dataDxfId="27" dataCellStyle="一般 3"/>
    <tableColumn id="4" xr3:uid="{E10D6D2C-5F45-4591-BF76-4525E88C686C}" name="韻" dataDxfId="26" dataCellStyle="一般 3"/>
    <tableColumn id="11" xr3:uid="{6E6548B0-A39E-489D-9285-74C954C956DE}" name="韻目" dataDxfId="25" dataCellStyle="一般 3">
      <calculatedColumnFormula>_xlfn.CONCAT(韻表_3[[#This Row],[平聲]:[入聲]])</calculatedColumnFormula>
    </tableColumn>
    <tableColumn id="6" xr3:uid="{D6BC2DDE-CD13-40A9-AC3E-6694F8590569}" name="平聲" dataDxfId="24" dataCellStyle="一般 3"/>
    <tableColumn id="8" xr3:uid="{0B21C725-4B71-4A91-8CB5-5DD0151073FD}" name="上聲" dataDxfId="23" dataCellStyle="一般 3"/>
    <tableColumn id="9" xr3:uid="{92D96BB3-A626-47CA-87E9-134AF1B19B10}" name="去聲" dataDxfId="22" dataCellStyle="一般 3"/>
    <tableColumn id="10" xr3:uid="{A994DDBE-5824-4676-B6D2-C435A322DDF3}" name="入聲" dataDxfId="21" dataCellStyle="一般 3"/>
    <tableColumn id="2" xr3:uid="{5784CFBD-1704-46D0-89DA-36987FF4D2D9}" name="舒聲韻" dataDxfId="20" dataCellStyle="一般 3"/>
    <tableColumn id="3" xr3:uid="{9186B222-204E-48AA-A0D5-F725333C17D5}" name="促聲韻" dataDxfId="19" dataCellStyle="一般 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34750F-8D39-4001-85A9-A0A5381134BA}" name="表格5" displayName="表格5" ref="B2:G63" totalsRowShown="0" headerRowDxfId="18" dataDxfId="16" headerRowBorderDxfId="17" tableBorderDxfId="15" dataCellStyle="超連結 2">
  <autoFilter ref="B2:G63" xr:uid="{A734750F-8D39-4001-85A9-A0A5381134BA}"/>
  <tableColumns count="6">
    <tableColumn id="1" xr3:uid="{92DBCCC4-044A-4308-AFCD-32000FE59C98}" name="列號" dataDxfId="14"/>
    <tableColumn id="2" xr3:uid="{E699C5D2-DDC2-4ACB-A14D-9EB2E7953E25}" name="韻攝" dataDxfId="13" dataCellStyle="一般 2"/>
    <tableColumn id="3" xr3:uid="{7D9E359F-CC4E-4840-8676-7479799773DE}" name="平聲" dataDxfId="12" dataCellStyle="超連結 2"/>
    <tableColumn id="4" xr3:uid="{90253F18-8ACB-413C-B7B7-1D4E6DE2D91D}" name="上聲" dataDxfId="11" dataCellStyle="超連結 2"/>
    <tableColumn id="5" xr3:uid="{9BF43F8E-0AF2-4E5F-AD47-649A8F886C5D}" name="去聲" dataDxfId="10"/>
    <tableColumn id="6" xr3:uid="{511821C3-BB9C-487D-A615-7B810AA65313}" name="入聲" dataDxfId="9" dataCellStyle="超連結 2"/>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CA10A6-ED79-4355-A71A-1DF9F83947C2}" name="韻攝表" displayName="韻攝表" ref="A1:C62" totalsRowShown="0" headerRowDxfId="8" headerRowBorderDxfId="7" tableBorderDxfId="6" totalsRowBorderDxfId="5">
  <autoFilter ref="A1:C62" xr:uid="{5D8CDE6C-161C-40E8-AFFF-6FEC34E92E87}"/>
  <tableColumns count="3">
    <tableColumn id="1" xr3:uid="{58BF4AD3-8AEC-44A5-AAD4-21EB98ABE220}" name="韻目列號" dataDxfId="4" dataCellStyle="一般 2"/>
    <tableColumn id="2" xr3:uid="{E3DC6D84-838F-4116-938A-FEB808D8BAFA}" name="攝" dataDxfId="3" dataCellStyle="一般 2"/>
    <tableColumn id="3" xr3:uid="{F58BA0B4-AEBA-4660-9984-DAE2A94F9BD0}" name="四聲韻目" dataDxfId="2" dataCellStyle="一般 2">
      <calculatedColumnFormula xml:space="preserve"> _xlfn.CONCAT([1]韻目工作底稿!L4,[1]韻目工作底稿!P4,[1]韻目工作底稿!T4,[1]韻目工作底稿!X4)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6" Type="http://schemas.openxmlformats.org/officeDocument/2006/relationships/hyperlink" Target="https://zh.wikipedia.org/wiki/%E6%BE%84%E6%AF%8D" TargetMode="External"/><Relationship Id="rId21" Type="http://schemas.openxmlformats.org/officeDocument/2006/relationships/hyperlink" Target="https://zh.wikipedia.org/wiki/%E6%B3%A5%E6%AF%8D" TargetMode="External"/><Relationship Id="rId42" Type="http://schemas.openxmlformats.org/officeDocument/2006/relationships/hyperlink" Target="https://zh.wikipedia.org/wiki/%E5%B4%87%E6%AF%8D" TargetMode="External"/><Relationship Id="rId47" Type="http://schemas.openxmlformats.org/officeDocument/2006/relationships/hyperlink" Target="https://zh.wikipedia.org/wiki/%E6%B8%85%E9%BD%A6%E8%85%AD%E5%A1%9E%E6%93%A6%E9%9F%B3" TargetMode="External"/><Relationship Id="rId63" Type="http://schemas.openxmlformats.org/officeDocument/2006/relationships/hyperlink" Target="https://zh.wikipedia.org/wiki/%E7%96%91%E6%AF%8D" TargetMode="External"/><Relationship Id="rId68" Type="http://schemas.openxmlformats.org/officeDocument/2006/relationships/hyperlink" Target="https://zh.wikipedia.org/wiki/%E7%A1%AC%E9%A1%8E%E9%9F%B3" TargetMode="External"/><Relationship Id="rId16" Type="http://schemas.openxmlformats.org/officeDocument/2006/relationships/hyperlink" Target="https://zh.wikipedia.org/wiki/%E6%B8%85%E9%BD%92%E9%BD%A6%E5%A1%9E%E9%9F%B3" TargetMode="External"/><Relationship Id="rId11" Type="http://schemas.openxmlformats.org/officeDocument/2006/relationships/hyperlink" Target="https://zh.wikipedia.org/wiki/%E9%9B%99%E5%94%87%E9%BC%BB%E9%9F%B3" TargetMode="External"/><Relationship Id="rId32" Type="http://schemas.openxmlformats.org/officeDocument/2006/relationships/hyperlink" Target="https://zh.wikipedia.org/wiki/%E9%80%81%E6%B0%A3" TargetMode="External"/><Relationship Id="rId37" Type="http://schemas.openxmlformats.org/officeDocument/2006/relationships/hyperlink" Target="https://zh.wikipedia.org/wiki/%E9%82%AA%E6%AF%8D" TargetMode="External"/><Relationship Id="rId53" Type="http://schemas.openxmlformats.org/officeDocument/2006/relationships/hyperlink" Target="https://zh.wikipedia.org/wiki/%E6%BF%81%E9%BD%A6%E8%85%AD%E6%93%A6%E9%9F%B3" TargetMode="External"/><Relationship Id="rId58" Type="http://schemas.openxmlformats.org/officeDocument/2006/relationships/hyperlink" Target="https://zh.wikipedia.org/wiki/%E6%B8%85%E8%BB%9F%E8%85%AD%E5%A1%9E%E9%9F%B3" TargetMode="External"/><Relationship Id="rId74" Type="http://schemas.openxmlformats.org/officeDocument/2006/relationships/hyperlink" Target="https://zh.wikipedia.org/wiki/%E8%81%B2%E9%96%80%E5%A1%9E%E9%9F%B3" TargetMode="External"/><Relationship Id="rId79" Type="http://schemas.openxmlformats.org/officeDocument/2006/relationships/hyperlink" Target="https://zh.wikipedia.org/wiki/%E9%9B%B6%E8%81%B2%E6%AF%8D" TargetMode="External"/><Relationship Id="rId5" Type="http://schemas.openxmlformats.org/officeDocument/2006/relationships/hyperlink" Target="https://zh.wikipedia.org/zh-tw/%E6%B8%85%E9%9B%99%E5%94%87%E5%A1%9E%E9%9F%B3" TargetMode="External"/><Relationship Id="rId61" Type="http://schemas.openxmlformats.org/officeDocument/2006/relationships/hyperlink" Target="https://zh.wikipedia.org/wiki/%E7%BE%A4%E6%AF%8D" TargetMode="External"/><Relationship Id="rId82" Type="http://schemas.openxmlformats.org/officeDocument/2006/relationships/hyperlink" Target="https://zh.wikipedia.org/wiki/%E6%B8%85%E9%BD%A6%E8%85%AD%E6%93%A6%E9%9F%B3" TargetMode="External"/><Relationship Id="rId19" Type="http://schemas.openxmlformats.org/officeDocument/2006/relationships/hyperlink" Target="https://zh.wikipedia.org/wiki/%E5%AE%9A%E6%AF%8D" TargetMode="External"/><Relationship Id="rId14" Type="http://schemas.openxmlformats.org/officeDocument/2006/relationships/hyperlink" Target="https://zh.wikipedia.org/wiki/%E9%BD%BF%E9%BE%88%E8%BE%B9%E8%BF%91%E9%9F%B3" TargetMode="External"/><Relationship Id="rId22" Type="http://schemas.openxmlformats.org/officeDocument/2006/relationships/hyperlink" Target="https://zh.wikipedia.org/wiki/%E9%BD%92%E9%BD%A6%E9%BC%BB%E9%9F%B3" TargetMode="External"/><Relationship Id="rId27" Type="http://schemas.openxmlformats.org/officeDocument/2006/relationships/hyperlink" Target="https://zh.wikipedia.org/wiki/%E5%A8%98%E6%AF%8D" TargetMode="External"/><Relationship Id="rId30" Type="http://schemas.openxmlformats.org/officeDocument/2006/relationships/hyperlink" Target="https://zh.wikipedia.org/wiki/%E6%B8%85%E9%BD%92%E9%BD%A6%E5%A1%9E%E6%93%A6%E9%9F%B3" TargetMode="External"/><Relationship Id="rId35" Type="http://schemas.openxmlformats.org/officeDocument/2006/relationships/hyperlink" Target="https://zh.wikipedia.org/wiki/%E5%BF%83%E6%AF%8D" TargetMode="External"/><Relationship Id="rId43" Type="http://schemas.openxmlformats.org/officeDocument/2006/relationships/hyperlink" Target="https://zh.wikipedia.org/wiki/%E7%94%9F%E6%AF%8D" TargetMode="External"/><Relationship Id="rId48" Type="http://schemas.openxmlformats.org/officeDocument/2006/relationships/hyperlink" Target="https://zh.wikipedia.org/wiki/%E6%98%8C%E6%AF%8D" TargetMode="External"/><Relationship Id="rId56" Type="http://schemas.openxmlformats.org/officeDocument/2006/relationships/hyperlink" Target="https://zh.wikipedia.org/wiki/%E8%BB%9F%E9%A1%8E%E9%9F%B3" TargetMode="External"/><Relationship Id="rId64" Type="http://schemas.openxmlformats.org/officeDocument/2006/relationships/hyperlink" Target="https://zh.wikipedia.org/wiki/%E8%BB%9F%E8%85%AD%E9%BC%BB%E9%9F%B3" TargetMode="External"/><Relationship Id="rId69" Type="http://schemas.openxmlformats.org/officeDocument/2006/relationships/hyperlink" Target="https://zh.wikipedia.org/wiki/%E8%BF%91%E9%9F%B3" TargetMode="External"/><Relationship Id="rId77" Type="http://schemas.openxmlformats.org/officeDocument/2006/relationships/hyperlink" Target="https://zh.wikipedia.org/wiki/%E5%8C%A3%E6%AF%8D" TargetMode="External"/><Relationship Id="rId8" Type="http://schemas.openxmlformats.org/officeDocument/2006/relationships/hyperlink" Target="https://zh.wikipedia.org/wiki/%E4%B8%A6%E6%AF%8D" TargetMode="External"/><Relationship Id="rId51" Type="http://schemas.openxmlformats.org/officeDocument/2006/relationships/hyperlink" Target="https://zh.wikipedia.org/wiki/%E6%B5%8A%E9%BE%88%E8%85%AD%E5%A1%9E%E6%93%A6%E9%9F%B3" TargetMode="External"/><Relationship Id="rId72" Type="http://schemas.openxmlformats.org/officeDocument/2006/relationships/hyperlink" Target="https://zh.wikipedia.org/wiki/%E5%A1%9E%E9%9F%B3" TargetMode="External"/><Relationship Id="rId80" Type="http://schemas.openxmlformats.org/officeDocument/2006/relationships/hyperlink" Target="https://zh.wikipedia.org/wiki/%E4%BA%91%E6%AF%8D_(%E5%BB%A3%E9%9F%BB)" TargetMode="External"/><Relationship Id="rId3" Type="http://schemas.openxmlformats.org/officeDocument/2006/relationships/hyperlink" Target="https://zh.wikipedia.org/wiki/%E9%9B%99%E5%94%87%E9%9F%B3" TargetMode="External"/><Relationship Id="rId12" Type="http://schemas.openxmlformats.org/officeDocument/2006/relationships/hyperlink" Target="https://zh.wikipedia.org/wiki/%E9%BD%92%E9%BD%A6%E9%9F%B3" TargetMode="External"/><Relationship Id="rId17" Type="http://schemas.openxmlformats.org/officeDocument/2006/relationships/hyperlink" Target="https://zh.wikipedia.org/wiki/%E9%80%8F%E6%AF%8D" TargetMode="External"/><Relationship Id="rId25" Type="http://schemas.openxmlformats.org/officeDocument/2006/relationships/hyperlink" Target="https://zh.wikipedia.org/wiki/%E5%BE%B9%E6%AF%8D" TargetMode="External"/><Relationship Id="rId33" Type="http://schemas.openxmlformats.org/officeDocument/2006/relationships/hyperlink" Target="https://zh.wikipedia.org/wiki/%E5%BE%9E%E6%AF%8D" TargetMode="External"/><Relationship Id="rId38" Type="http://schemas.openxmlformats.org/officeDocument/2006/relationships/hyperlink" Target="https://zh.wikipedia.org/wiki/%E6%BF%81%E9%BD%92%E9%BD%A6%E6%93%A6%E9%9F%B3" TargetMode="External"/><Relationship Id="rId46" Type="http://schemas.openxmlformats.org/officeDocument/2006/relationships/hyperlink" Target="https://zh.wikipedia.org/wiki/%E7%AB%A0%E6%AF%8D" TargetMode="External"/><Relationship Id="rId59" Type="http://schemas.openxmlformats.org/officeDocument/2006/relationships/hyperlink" Target="https://zh.wikipedia.org/wiki/%E6%BA%AA%E6%AF%8D" TargetMode="External"/><Relationship Id="rId67" Type="http://schemas.openxmlformats.org/officeDocument/2006/relationships/hyperlink" Target="https://zh.wikipedia.org/wiki/%E4%BA%91%E6%AF%8D_(%E5%BB%A3%E9%9F%BB)" TargetMode="External"/><Relationship Id="rId20" Type="http://schemas.openxmlformats.org/officeDocument/2006/relationships/hyperlink" Target="https://zh.wikipedia.org/wiki/%E6%BF%81%E9%BD%92%E9%BD%A6%E5%A1%9E%E9%9F%B3" TargetMode="External"/><Relationship Id="rId41" Type="http://schemas.openxmlformats.org/officeDocument/2006/relationships/hyperlink" Target="https://zh.wikipedia.org/wiki/%E5%88%9D%E6%AF%8D" TargetMode="External"/><Relationship Id="rId54" Type="http://schemas.openxmlformats.org/officeDocument/2006/relationships/hyperlink" Target="https://zh.wikipedia.org/wiki/%E9%BC%BB%E9%9F%B3_(%E8%BE%85%E9%9F%B3)" TargetMode="External"/><Relationship Id="rId62" Type="http://schemas.openxmlformats.org/officeDocument/2006/relationships/hyperlink" Target="https://zh.wikipedia.org/wiki/%E6%BF%81%E8%BB%9F%E8%85%AD%E5%A1%9E%E9%9F%B3" TargetMode="External"/><Relationship Id="rId70" Type="http://schemas.openxmlformats.org/officeDocument/2006/relationships/hyperlink" Target="https://zh.wikipedia.org/wiki/%E4%BB%A5%E6%AF%8D" TargetMode="External"/><Relationship Id="rId75" Type="http://schemas.openxmlformats.org/officeDocument/2006/relationships/hyperlink" Target="https://zh.wikipedia.org/wiki/%E6%93%A6%E9%9F%B3" TargetMode="External"/><Relationship Id="rId1" Type="http://schemas.openxmlformats.org/officeDocument/2006/relationships/hyperlink" Target="https://zh.wikipedia.org/wiki/%E7%99%BC%E9%9F%B3%E9%83%A8%E4%BD%8D" TargetMode="External"/><Relationship Id="rId6" Type="http://schemas.openxmlformats.org/officeDocument/2006/relationships/hyperlink" Target="https://zh.wikipedia.org/wiki/%E6%BB%82%E6%AF%8D" TargetMode="External"/><Relationship Id="rId15" Type="http://schemas.openxmlformats.org/officeDocument/2006/relationships/hyperlink" Target="https://zh.wikipedia.org/wiki/%E7%AB%AF%E6%AF%8D" TargetMode="External"/><Relationship Id="rId23" Type="http://schemas.openxmlformats.org/officeDocument/2006/relationships/hyperlink" Target="https://zh.wikipedia.org/wiki/%E6%8D%B2%E8%88%8C%E9%9F%B3" TargetMode="External"/><Relationship Id="rId28" Type="http://schemas.openxmlformats.org/officeDocument/2006/relationships/hyperlink" Target="https://zh.wikipedia.org/wiki/%E9%BD%92%E9%BD%A6%E9%9F%B3" TargetMode="External"/><Relationship Id="rId36" Type="http://schemas.openxmlformats.org/officeDocument/2006/relationships/hyperlink" Target="https://zh.wikipedia.org/wiki/%E6%B8%85%E9%BD%92%E9%BD%A6%E6%93%A6%E9%9F%B3" TargetMode="External"/><Relationship Id="rId49" Type="http://schemas.openxmlformats.org/officeDocument/2006/relationships/hyperlink" Target="https://zh.wikipedia.org/wiki/%E9%80%81%E6%B0%A3" TargetMode="External"/><Relationship Id="rId57" Type="http://schemas.openxmlformats.org/officeDocument/2006/relationships/hyperlink" Target="https://zh.wikipedia.org/wiki/%E8%A6%8B%E6%AF%8D" TargetMode="External"/><Relationship Id="rId10" Type="http://schemas.openxmlformats.org/officeDocument/2006/relationships/hyperlink" Target="https://zh.wikipedia.org/wiki/%E6%98%8E%E6%AF%8D" TargetMode="External"/><Relationship Id="rId31" Type="http://schemas.openxmlformats.org/officeDocument/2006/relationships/hyperlink" Target="https://zh.wikipedia.org/wiki/%E6%B8%85%E6%AF%8D" TargetMode="External"/><Relationship Id="rId44" Type="http://schemas.openxmlformats.org/officeDocument/2006/relationships/hyperlink" Target="https://zh.wikipedia.org/wiki/%E4%BF%9F%E6%AF%8D" TargetMode="External"/><Relationship Id="rId52" Type="http://schemas.openxmlformats.org/officeDocument/2006/relationships/hyperlink" Target="https://zh.wikipedia.org/wiki/%E8%88%B9%E6%AF%8D" TargetMode="External"/><Relationship Id="rId60" Type="http://schemas.openxmlformats.org/officeDocument/2006/relationships/hyperlink" Target="https://zh.wikipedia.org/wiki/%E9%80%81%E6%B0%A3" TargetMode="External"/><Relationship Id="rId65" Type="http://schemas.openxmlformats.org/officeDocument/2006/relationships/hyperlink" Target="https://zh.wikipedia.org/wiki/%E6%9B%89%E6%AF%8D" TargetMode="External"/><Relationship Id="rId73" Type="http://schemas.openxmlformats.org/officeDocument/2006/relationships/hyperlink" Target="https://zh.wikipedia.org/wiki/%E5%BD%B1%E6%AF%8D" TargetMode="External"/><Relationship Id="rId78" Type="http://schemas.openxmlformats.org/officeDocument/2006/relationships/hyperlink" Target="https://zh.wikipedia.org/wiki/%E4%BA%91%E6%AF%8D_(%E5%BB%A3%E9%9F%BB)" TargetMode="External"/><Relationship Id="rId81" Type="http://schemas.openxmlformats.org/officeDocument/2006/relationships/hyperlink" Target="https://zh.wikipedia.org/wiki/%E6%9B%B8%E6%AF%8D" TargetMode="External"/><Relationship Id="rId4" Type="http://schemas.openxmlformats.org/officeDocument/2006/relationships/hyperlink" Target="https://zh.wikipedia.org/wiki/%E5%B9%AB%E6%AF%8D" TargetMode="External"/><Relationship Id="rId9" Type="http://schemas.openxmlformats.org/officeDocument/2006/relationships/hyperlink" Target="https://zh.wikipedia.org/wiki/%E6%BF%81%E9%9B%99%E5%94%87%E5%A1%9E%E9%9F%B3" TargetMode="External"/><Relationship Id="rId13" Type="http://schemas.openxmlformats.org/officeDocument/2006/relationships/hyperlink" Target="https://zh.wikipedia.org/wiki/%E4%BE%86%E6%AF%8D" TargetMode="External"/><Relationship Id="rId18" Type="http://schemas.openxmlformats.org/officeDocument/2006/relationships/hyperlink" Target="https://zh.wikipedia.org/wiki/%E9%80%81%E6%B0%A3" TargetMode="External"/><Relationship Id="rId39" Type="http://schemas.openxmlformats.org/officeDocument/2006/relationships/hyperlink" Target="https://zh.wikipedia.org/wiki/%E6%8D%B2%E8%88%8C%E9%9F%B3" TargetMode="External"/><Relationship Id="rId34" Type="http://schemas.openxmlformats.org/officeDocument/2006/relationships/hyperlink" Target="https://zh.wikipedia.org/wiki/%E6%BF%81%E9%BD%92%E9%BD%A6%E5%A1%9E%E6%93%A6%E9%9F%B3" TargetMode="External"/><Relationship Id="rId50" Type="http://schemas.openxmlformats.org/officeDocument/2006/relationships/hyperlink" Target="https://zh.wikipedia.org/wiki/%E5%B8%B8%E6%AF%8D" TargetMode="External"/><Relationship Id="rId55" Type="http://schemas.openxmlformats.org/officeDocument/2006/relationships/hyperlink" Target="https://zh.wikipedia.org/wiki/%E6%97%A5%E6%AF%8D" TargetMode="External"/><Relationship Id="rId76" Type="http://schemas.openxmlformats.org/officeDocument/2006/relationships/hyperlink" Target="https://zh.wikipedia.org/wiki/%E6%9B%89%E6%AF%8D" TargetMode="External"/><Relationship Id="rId7" Type="http://schemas.openxmlformats.org/officeDocument/2006/relationships/hyperlink" Target="https://zh.wikipedia.org/wiki/%E9%80%81%E6%B0%A3" TargetMode="External"/><Relationship Id="rId71" Type="http://schemas.openxmlformats.org/officeDocument/2006/relationships/hyperlink" Target="https://zh.wikipedia.org/wiki/%E8%81%B2%E9%96%80%E9%9F%B3" TargetMode="External"/><Relationship Id="rId2" Type="http://schemas.openxmlformats.org/officeDocument/2006/relationships/hyperlink" Target="https://zh.wikipedia.org/wiki/%E7%99%BC%E9%9F%B3%E6%96%B9%E6%B3%95" TargetMode="External"/><Relationship Id="rId29" Type="http://schemas.openxmlformats.org/officeDocument/2006/relationships/hyperlink" Target="https://zh.wikipedia.org/wiki/%E7%B2%BE%E6%AF%8D" TargetMode="External"/><Relationship Id="rId24" Type="http://schemas.openxmlformats.org/officeDocument/2006/relationships/hyperlink" Target="https://zh.wikipedia.org/wiki/%E7%9F%A5%E6%AF%8D_(%E9%9F%B3%E9%9F%BB)" TargetMode="External"/><Relationship Id="rId40" Type="http://schemas.openxmlformats.org/officeDocument/2006/relationships/hyperlink" Target="https://zh.wikipedia.org/wiki/%E8%8E%8A%E6%AF%8D" TargetMode="External"/><Relationship Id="rId45" Type="http://schemas.openxmlformats.org/officeDocument/2006/relationships/hyperlink" Target="https://zh.wikipedia.org/wiki/%E9%BD%A6%E9%A1%8E%E9%9F%B3" TargetMode="External"/><Relationship Id="rId66" Type="http://schemas.openxmlformats.org/officeDocument/2006/relationships/hyperlink" Target="https://zh.wikipedia.org/wiki/%E5%8C%A3%E6%AF%8D"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3" Type="http://schemas.openxmlformats.org/officeDocument/2006/relationships/hyperlink" Target="https://ytenx.org/kyonh/cjeng/%E7%B2%BE/" TargetMode="External"/><Relationship Id="rId18" Type="http://schemas.openxmlformats.org/officeDocument/2006/relationships/hyperlink" Target="https://ytenx.org/kyonh/cjeng/%E8%8E%8A/" TargetMode="External"/><Relationship Id="rId26" Type="http://schemas.openxmlformats.org/officeDocument/2006/relationships/hyperlink" Target="https://ytenx.org/kyonh/cjeng/%E6%9B%B8/" TargetMode="External"/><Relationship Id="rId39" Type="http://schemas.openxmlformats.org/officeDocument/2006/relationships/hyperlink" Target="http://ahtry.blogspot.com/2012/11/blog-post_1991.html" TargetMode="External"/><Relationship Id="rId21" Type="http://schemas.openxmlformats.org/officeDocument/2006/relationships/hyperlink" Target="https://ytenx.org/kyonh/cjeng/%E7%94%9F/" TargetMode="External"/><Relationship Id="rId34" Type="http://schemas.openxmlformats.org/officeDocument/2006/relationships/hyperlink" Target="https://ytenx.org/kyonh/cjeng/%E5%BD%B1/" TargetMode="External"/><Relationship Id="rId7" Type="http://schemas.openxmlformats.org/officeDocument/2006/relationships/hyperlink" Target="https://ytenx.org/kyonh/cjeng/%E5%AE%9A/" TargetMode="External"/><Relationship Id="rId12" Type="http://schemas.openxmlformats.org/officeDocument/2006/relationships/hyperlink" Target="https://ytenx.org/kyonh/cjeng/%E5%AD%83/" TargetMode="External"/><Relationship Id="rId17" Type="http://schemas.openxmlformats.org/officeDocument/2006/relationships/hyperlink" Target="https://ytenx.org/kyonh/cjeng/%E9%82%AA/" TargetMode="External"/><Relationship Id="rId25" Type="http://schemas.openxmlformats.org/officeDocument/2006/relationships/hyperlink" Target="https://ytenx.org/kyonh/cjeng/%E5%B8%B8/" TargetMode="External"/><Relationship Id="rId33" Type="http://schemas.openxmlformats.org/officeDocument/2006/relationships/hyperlink" Target="https://ytenx.org/kyonh/cjeng/%E5%8C%A3/" TargetMode="External"/><Relationship Id="rId38" Type="http://schemas.openxmlformats.org/officeDocument/2006/relationships/hyperlink" Target="https://ytenx.org/kyonh/cjeng/%E6%97%A5/" TargetMode="External"/><Relationship Id="rId2" Type="http://schemas.openxmlformats.org/officeDocument/2006/relationships/hyperlink" Target="https://ytenx.org/kyonh/cjeng/%E6%BB%82/" TargetMode="External"/><Relationship Id="rId16" Type="http://schemas.openxmlformats.org/officeDocument/2006/relationships/hyperlink" Target="https://ytenx.org/kyonh/cjeng/%E5%BF%83/" TargetMode="External"/><Relationship Id="rId20" Type="http://schemas.openxmlformats.org/officeDocument/2006/relationships/hyperlink" Target="https://ytenx.org/kyonh/cjeng/%E5%B4%87/" TargetMode="External"/><Relationship Id="rId29" Type="http://schemas.openxmlformats.org/officeDocument/2006/relationships/hyperlink" Target="https://ytenx.org/kyonh/cjeng/%E6%BA%AA/" TargetMode="External"/><Relationship Id="rId1" Type="http://schemas.openxmlformats.org/officeDocument/2006/relationships/hyperlink" Target="https://ytenx.org/kyonh/cjeng/%E5%B9%AB/" TargetMode="External"/><Relationship Id="rId6" Type="http://schemas.openxmlformats.org/officeDocument/2006/relationships/hyperlink" Target="https://ytenx.org/kyonh/cjeng/%E9%80%8F/" TargetMode="External"/><Relationship Id="rId11" Type="http://schemas.openxmlformats.org/officeDocument/2006/relationships/hyperlink" Target="https://ytenx.org/kyonh/cjeng/%E6%BE%84/" TargetMode="External"/><Relationship Id="rId24" Type="http://schemas.openxmlformats.org/officeDocument/2006/relationships/hyperlink" Target="https://ytenx.org/kyonh/cjeng/%E6%98%8C/" TargetMode="External"/><Relationship Id="rId32" Type="http://schemas.openxmlformats.org/officeDocument/2006/relationships/hyperlink" Target="https://ytenx.org/kyonh/cjeng/%E6%9B%89/" TargetMode="External"/><Relationship Id="rId37" Type="http://schemas.openxmlformats.org/officeDocument/2006/relationships/hyperlink" Target="https://ytenx.org/kyonh/cjeng/%E4%BE%86/" TargetMode="External"/><Relationship Id="rId40" Type="http://schemas.openxmlformats.org/officeDocument/2006/relationships/table" Target="../tables/table4.xml"/><Relationship Id="rId5" Type="http://schemas.openxmlformats.org/officeDocument/2006/relationships/hyperlink" Target="https://ytenx.org/kyonh/cjeng/%E7%AB%AF/" TargetMode="External"/><Relationship Id="rId15" Type="http://schemas.openxmlformats.org/officeDocument/2006/relationships/hyperlink" Target="https://ytenx.org/kyonh/cjeng/%E5%BE%9E/" TargetMode="External"/><Relationship Id="rId23" Type="http://schemas.openxmlformats.org/officeDocument/2006/relationships/hyperlink" Target="https://ytenx.org/kyonh/cjeng/%E7%AB%A0/" TargetMode="External"/><Relationship Id="rId28" Type="http://schemas.openxmlformats.org/officeDocument/2006/relationships/hyperlink" Target="https://ytenx.org/kyonh/cjeng/%E8%A6%8B/" TargetMode="External"/><Relationship Id="rId36" Type="http://schemas.openxmlformats.org/officeDocument/2006/relationships/hyperlink" Target="https://ytenx.org/kyonh/cjeng/%E4%BB%A5/" TargetMode="External"/><Relationship Id="rId10" Type="http://schemas.openxmlformats.org/officeDocument/2006/relationships/hyperlink" Target="https://ytenx.org/kyonh/cjeng/%E5%BE%B9/" TargetMode="External"/><Relationship Id="rId19" Type="http://schemas.openxmlformats.org/officeDocument/2006/relationships/hyperlink" Target="https://ytenx.org/kyonh/cjeng/%E5%88%9D/" TargetMode="External"/><Relationship Id="rId31" Type="http://schemas.openxmlformats.org/officeDocument/2006/relationships/hyperlink" Target="https://ytenx.org/kyonh/cjeng/%E7%96%91/" TargetMode="External"/><Relationship Id="rId4" Type="http://schemas.openxmlformats.org/officeDocument/2006/relationships/hyperlink" Target="https://ytenx.org/kyonh/cjeng/%E6%98%8E/" TargetMode="External"/><Relationship Id="rId9" Type="http://schemas.openxmlformats.org/officeDocument/2006/relationships/hyperlink" Target="https://ytenx.org/kyonh/cjeng/%E7%9F%A5/" TargetMode="External"/><Relationship Id="rId14" Type="http://schemas.openxmlformats.org/officeDocument/2006/relationships/hyperlink" Target="https://ytenx.org/kyonh/cjeng/%E6%B8%85/" TargetMode="External"/><Relationship Id="rId22" Type="http://schemas.openxmlformats.org/officeDocument/2006/relationships/hyperlink" Target="https://ytenx.org/kyonh/cjeng/%E4%BF%9F/" TargetMode="External"/><Relationship Id="rId27" Type="http://schemas.openxmlformats.org/officeDocument/2006/relationships/hyperlink" Target="https://ytenx.org/kyonh/cjeng/%E8%88%B9/" TargetMode="External"/><Relationship Id="rId30" Type="http://schemas.openxmlformats.org/officeDocument/2006/relationships/hyperlink" Target="https://ytenx.org/kyonh/cjeng/%E7%BE%A3/" TargetMode="External"/><Relationship Id="rId35" Type="http://schemas.openxmlformats.org/officeDocument/2006/relationships/hyperlink" Target="https://ytenx.org/kyonh/cjeng/%E4%BA%91/" TargetMode="External"/><Relationship Id="rId8" Type="http://schemas.openxmlformats.org/officeDocument/2006/relationships/hyperlink" Target="https://ytenx.org/kyonh/cjeng/%E6%B3%A5/" TargetMode="External"/><Relationship Id="rId3" Type="http://schemas.openxmlformats.org/officeDocument/2006/relationships/hyperlink" Target="https://ytenx.org/kyonh/cjeng/%E4%B8%A6/"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ytenx.org/kyonh/yonh/%E5%BB%A2%E9%96%8B/" TargetMode="External"/><Relationship Id="rId117" Type="http://schemas.openxmlformats.org/officeDocument/2006/relationships/hyperlink" Target="https://ytenx.org/kyonh/yonh/%E9%B9%BD/" TargetMode="External"/><Relationship Id="rId21" Type="http://schemas.openxmlformats.org/officeDocument/2006/relationships/hyperlink" Target="https://ytenx.org/kyonh/yonh/%E9%AD%9A/" TargetMode="External"/><Relationship Id="rId42" Type="http://schemas.openxmlformats.org/officeDocument/2006/relationships/hyperlink" Target="https://ytenx.org/kyonh/yonh/%E9%BD%8A%E9%96%8B/" TargetMode="External"/><Relationship Id="rId47" Type="http://schemas.openxmlformats.org/officeDocument/2006/relationships/hyperlink" Target="https://ytenx.org/kyonh/yonh/%E7%9C%9E%E5%90%88/" TargetMode="External"/><Relationship Id="rId63" Type="http://schemas.openxmlformats.org/officeDocument/2006/relationships/hyperlink" Target="https://ytenx.org/kyonh/yonh/%E5%88%AA%E5%90%88/" TargetMode="External"/><Relationship Id="rId68" Type="http://schemas.openxmlformats.org/officeDocument/2006/relationships/hyperlink" Target="https://ytenx.org/kyonh/yonh/%E4%BB%99A%E9%96%8B/" TargetMode="External"/><Relationship Id="rId84" Type="http://schemas.openxmlformats.org/officeDocument/2006/relationships/hyperlink" Target="https://ytenx.org/kyonh/yonh/%E9%BA%BB%E4%BA%8C%E9%96%8B/" TargetMode="External"/><Relationship Id="rId89" Type="http://schemas.openxmlformats.org/officeDocument/2006/relationships/hyperlink" Target="https://ytenx.org/kyonh/yonh/%E9%99%BD%E9%96%8B/" TargetMode="External"/><Relationship Id="rId112" Type="http://schemas.openxmlformats.org/officeDocument/2006/relationships/hyperlink" Target="https://ytenx.org/kyonh/yonh/%E8%AB%87/" TargetMode="External"/><Relationship Id="rId16" Type="http://schemas.openxmlformats.org/officeDocument/2006/relationships/hyperlink" Target="https://ytenx.org/kyonh/yonh/%E8%84%82B%E9%96%8B/" TargetMode="External"/><Relationship Id="rId107" Type="http://schemas.openxmlformats.org/officeDocument/2006/relationships/hyperlink" Target="https://ytenx.org/kyonh/yonh/%E4%BE%AF/" TargetMode="External"/><Relationship Id="rId11" Type="http://schemas.openxmlformats.org/officeDocument/2006/relationships/hyperlink" Target="https://ytenx.org/kyonh/yonh/%E6%94%AFB%E5%90%88/" TargetMode="External"/><Relationship Id="rId32" Type="http://schemas.openxmlformats.org/officeDocument/2006/relationships/hyperlink" Target="https://ytenx.org/kyonh/yonh/%E4%BD%B3%E5%90%88/" TargetMode="External"/><Relationship Id="rId37" Type="http://schemas.openxmlformats.org/officeDocument/2006/relationships/hyperlink" Target="https://ytenx.org/kyonh/yonh/%E7%A5%ADA%E9%96%8B/" TargetMode="External"/><Relationship Id="rId53" Type="http://schemas.openxmlformats.org/officeDocument/2006/relationships/hyperlink" Target="https://ytenx.org/kyonh/yonh/%E8%AB%84A/" TargetMode="External"/><Relationship Id="rId58" Type="http://schemas.openxmlformats.org/officeDocument/2006/relationships/hyperlink" Target="https://ytenx.org/kyonh/yonh/%E5%AF%92/" TargetMode="External"/><Relationship Id="rId74" Type="http://schemas.openxmlformats.org/officeDocument/2006/relationships/hyperlink" Target="https://ytenx.org/kyonh/yonh/%E8%B1%AA/" TargetMode="External"/><Relationship Id="rId79" Type="http://schemas.openxmlformats.org/officeDocument/2006/relationships/hyperlink" Target="https://ytenx.org/kyonh/yonh/%E8%95%AD/" TargetMode="External"/><Relationship Id="rId102" Type="http://schemas.openxmlformats.org/officeDocument/2006/relationships/hyperlink" Target="https://ytenx.org/kyonh/yonh/%E9%9D%92%E5%90%88/" TargetMode="External"/><Relationship Id="rId5" Type="http://schemas.openxmlformats.org/officeDocument/2006/relationships/hyperlink" Target="https://ytenx.org/kyonh/yonh/%E6%B1%9F/" TargetMode="External"/><Relationship Id="rId90" Type="http://schemas.openxmlformats.org/officeDocument/2006/relationships/hyperlink" Target="https://ytenx.org/kyonh/yonh/%E9%99%BD%E5%90%88/" TargetMode="External"/><Relationship Id="rId95" Type="http://schemas.openxmlformats.org/officeDocument/2006/relationships/hyperlink" Target="https://ytenx.org/kyonh/yonh/%E8%80%95%E9%96%8B/" TargetMode="External"/><Relationship Id="rId22" Type="http://schemas.openxmlformats.org/officeDocument/2006/relationships/hyperlink" Target="https://ytenx.org/kyonh/yonh/%E6%A8%A1/" TargetMode="External"/><Relationship Id="rId27" Type="http://schemas.openxmlformats.org/officeDocument/2006/relationships/hyperlink" Target="https://ytenx.org/kyonh/pyanx/ghrax/%E8%82%BA/" TargetMode="External"/><Relationship Id="rId43" Type="http://schemas.openxmlformats.org/officeDocument/2006/relationships/hyperlink" Target="https://ytenx.org/kyonh/yonh/%E9%BD%8A%E5%90%88/" TargetMode="External"/><Relationship Id="rId48" Type="http://schemas.openxmlformats.org/officeDocument/2006/relationships/hyperlink" Target="https://ytenx.org/kyonh/yonh/%E7%9C%9EA/" TargetMode="External"/><Relationship Id="rId64" Type="http://schemas.openxmlformats.org/officeDocument/2006/relationships/hyperlink" Target="https://ytenx.org/kyonh/yonh/%E5%B1%B1%E9%96%8B/" TargetMode="External"/><Relationship Id="rId69" Type="http://schemas.openxmlformats.org/officeDocument/2006/relationships/hyperlink" Target="https://ytenx.org/kyonh/yonh/%E4%BB%99A%E5%90%88/" TargetMode="External"/><Relationship Id="rId113" Type="http://schemas.openxmlformats.org/officeDocument/2006/relationships/hyperlink" Target="https://ytenx.org/kyonh/yonh/%E5%9A%B4/" TargetMode="External"/><Relationship Id="rId118" Type="http://schemas.openxmlformats.org/officeDocument/2006/relationships/hyperlink" Target="https://ytenx.org/kyonh/yonh/%E9%B9%BDA/" TargetMode="External"/><Relationship Id="rId80" Type="http://schemas.openxmlformats.org/officeDocument/2006/relationships/hyperlink" Target="https://ytenx.org/kyonh/yonh/%E6%AD%8C/" TargetMode="External"/><Relationship Id="rId85" Type="http://schemas.openxmlformats.org/officeDocument/2006/relationships/hyperlink" Target="https://ytenx.org/kyonh/yonh/%E9%BA%BB%E4%BA%8C%E5%90%88/" TargetMode="External"/><Relationship Id="rId12" Type="http://schemas.openxmlformats.org/officeDocument/2006/relationships/hyperlink" Target="https://ytenx.org/kyonh/yonh/%E8%84%82%E9%96%8B/" TargetMode="External"/><Relationship Id="rId17" Type="http://schemas.openxmlformats.org/officeDocument/2006/relationships/hyperlink" Target="https://ytenx.org/kyonh/yonh/%E8%84%82B%E5%90%88/" TargetMode="External"/><Relationship Id="rId33" Type="http://schemas.openxmlformats.org/officeDocument/2006/relationships/hyperlink" Target="https://ytenx.org/kyonh/yonh/%E7%9A%86%E9%96%8B/" TargetMode="External"/><Relationship Id="rId38" Type="http://schemas.openxmlformats.org/officeDocument/2006/relationships/hyperlink" Target="https://ytenx.org/kyonh/yonh/%E7%A5%ADA%E5%90%88/" TargetMode="External"/><Relationship Id="rId59" Type="http://schemas.openxmlformats.org/officeDocument/2006/relationships/hyperlink" Target="https://ytenx.org/kyonh/yonh/%E6%A1%93/" TargetMode="External"/><Relationship Id="rId103" Type="http://schemas.openxmlformats.org/officeDocument/2006/relationships/hyperlink" Target="https://ytenx.org/kyonh/yonh/%E7%99%BB%E9%96%8B/" TargetMode="External"/><Relationship Id="rId108" Type="http://schemas.openxmlformats.org/officeDocument/2006/relationships/hyperlink" Target="https://ytenx.org/kyonh/yonh/%E5%B9%BD/" TargetMode="External"/><Relationship Id="rId54" Type="http://schemas.openxmlformats.org/officeDocument/2006/relationships/hyperlink" Target="https://ytenx.org/kyonh/yonh/%E7%97%95/" TargetMode="External"/><Relationship Id="rId70" Type="http://schemas.openxmlformats.org/officeDocument/2006/relationships/hyperlink" Target="https://ytenx.org/kyonh/yonh/%E4%BB%99B%E9%96%8B/" TargetMode="External"/><Relationship Id="rId75" Type="http://schemas.openxmlformats.org/officeDocument/2006/relationships/hyperlink" Target="https://ytenx.org/kyonh/yonh/%E8%82%B4/" TargetMode="External"/><Relationship Id="rId91" Type="http://schemas.openxmlformats.org/officeDocument/2006/relationships/hyperlink" Target="https://ytenx.org/kyonh/yonh/%E5%BA%9A%E4%BA%8C%E9%96%8B/" TargetMode="External"/><Relationship Id="rId96" Type="http://schemas.openxmlformats.org/officeDocument/2006/relationships/hyperlink" Target="https://ytenx.org/kyonh/yonh/%E8%80%95%E5%90%88/" TargetMode="External"/><Relationship Id="rId1" Type="http://schemas.openxmlformats.org/officeDocument/2006/relationships/hyperlink" Target="https://ytenx.org/kyonh/yonh/%E6%9D%B1%E4%B8%80/" TargetMode="External"/><Relationship Id="rId6" Type="http://schemas.openxmlformats.org/officeDocument/2006/relationships/hyperlink" Target="https://ytenx.org/kyonh/yonh/%E6%94%AF%E9%96%8B/" TargetMode="External"/><Relationship Id="rId23" Type="http://schemas.openxmlformats.org/officeDocument/2006/relationships/hyperlink" Target="https://ytenx.org/kyonh/yonh/%E8%99%9E/" TargetMode="External"/><Relationship Id="rId28" Type="http://schemas.openxmlformats.org/officeDocument/2006/relationships/hyperlink" Target="https://ytenx.org/kyonh/yonh/%E5%BB%A2%E5%90%88/" TargetMode="External"/><Relationship Id="rId49" Type="http://schemas.openxmlformats.org/officeDocument/2006/relationships/hyperlink" Target="https://ytenx.org/kyonh/yonh/%E7%9C%9EB%E9%96%8B/" TargetMode="External"/><Relationship Id="rId114" Type="http://schemas.openxmlformats.org/officeDocument/2006/relationships/hyperlink" Target="https://ytenx.org/kyonh/yonh/%E5%87%A1/" TargetMode="External"/><Relationship Id="rId119" Type="http://schemas.openxmlformats.org/officeDocument/2006/relationships/hyperlink" Target="https://ytenx.org/kyonh/yonh/%E9%B9%BDB/" TargetMode="External"/><Relationship Id="rId44" Type="http://schemas.openxmlformats.org/officeDocument/2006/relationships/hyperlink" Target="https://ytenx.org/kyonh/yonh/%E5%92%8D/" TargetMode="External"/><Relationship Id="rId60" Type="http://schemas.openxmlformats.org/officeDocument/2006/relationships/hyperlink" Target="https://ytenx.org/kyonh/yonh/%E5%85%83%E9%96%8B/" TargetMode="External"/><Relationship Id="rId65" Type="http://schemas.openxmlformats.org/officeDocument/2006/relationships/hyperlink" Target="https://ytenx.org/kyonh/yonh/%E5%B1%B1%E5%90%88/" TargetMode="External"/><Relationship Id="rId81" Type="http://schemas.openxmlformats.org/officeDocument/2006/relationships/hyperlink" Target="https://ytenx.org/kyonh/yonh/%E6%88%88%E4%B8%80%E5%90%88/" TargetMode="External"/><Relationship Id="rId86" Type="http://schemas.openxmlformats.org/officeDocument/2006/relationships/hyperlink" Target="https://ytenx.org/kyonh/yonh/%E9%BA%BB%E4%B8%89%E9%96%8B/" TargetMode="External"/><Relationship Id="rId4" Type="http://schemas.openxmlformats.org/officeDocument/2006/relationships/hyperlink" Target="https://ytenx.org/kyonh/yonh/%E9%8D%BE/" TargetMode="External"/><Relationship Id="rId9" Type="http://schemas.openxmlformats.org/officeDocument/2006/relationships/hyperlink" Target="https://ytenx.org/kyonh/yonh/%E6%94%AFA%E5%90%88/" TargetMode="External"/><Relationship Id="rId13" Type="http://schemas.openxmlformats.org/officeDocument/2006/relationships/hyperlink" Target="https://ytenx.org/kyonh/yonh/%E8%84%82%E5%90%88/" TargetMode="External"/><Relationship Id="rId18" Type="http://schemas.openxmlformats.org/officeDocument/2006/relationships/hyperlink" Target="https://ytenx.org/kyonh/yonh/%E4%B9%8B/" TargetMode="External"/><Relationship Id="rId39" Type="http://schemas.openxmlformats.org/officeDocument/2006/relationships/hyperlink" Target="https://ytenx.org/kyonh/yonh/%E7%A5%ADB%E9%96%8B/" TargetMode="External"/><Relationship Id="rId109" Type="http://schemas.openxmlformats.org/officeDocument/2006/relationships/hyperlink" Target="https://ytenx.org/kyonh/yonh/%E4%BE%B5/" TargetMode="External"/><Relationship Id="rId34" Type="http://schemas.openxmlformats.org/officeDocument/2006/relationships/hyperlink" Target="https://ytenx.org/kyonh/yonh/%E7%9A%86%E5%90%88/" TargetMode="External"/><Relationship Id="rId50" Type="http://schemas.openxmlformats.org/officeDocument/2006/relationships/hyperlink" Target="https://ytenx.org/kyonh/yonh/%E7%9C%9EB%E5%90%88/" TargetMode="External"/><Relationship Id="rId55" Type="http://schemas.openxmlformats.org/officeDocument/2006/relationships/hyperlink" Target="https://ytenx.org/kyonh/yonh/%E9%AD%82/" TargetMode="External"/><Relationship Id="rId76" Type="http://schemas.openxmlformats.org/officeDocument/2006/relationships/hyperlink" Target="https://ytenx.org/kyonh/yonh/%E5%AE%B5/" TargetMode="External"/><Relationship Id="rId97" Type="http://schemas.openxmlformats.org/officeDocument/2006/relationships/hyperlink" Target="https://ytenx.org/kyonh/yonh/%E6%B8%85%E9%96%8B/" TargetMode="External"/><Relationship Id="rId104" Type="http://schemas.openxmlformats.org/officeDocument/2006/relationships/hyperlink" Target="https://ytenx.org/kyonh/yonh/%E7%99%BB%E5%90%88/" TargetMode="External"/><Relationship Id="rId120" Type="http://schemas.openxmlformats.org/officeDocument/2006/relationships/hyperlink" Target="https://ytenx.org/kyonh/yonh/%E6%B7%BB/" TargetMode="External"/><Relationship Id="rId7" Type="http://schemas.openxmlformats.org/officeDocument/2006/relationships/hyperlink" Target="https://ytenx.org/kyonh/yonh/%E6%94%AF%E5%90%88/" TargetMode="External"/><Relationship Id="rId71" Type="http://schemas.openxmlformats.org/officeDocument/2006/relationships/hyperlink" Target="https://ytenx.org/kyonh/yonh/%E4%BB%99B%E5%90%88/" TargetMode="External"/><Relationship Id="rId92" Type="http://schemas.openxmlformats.org/officeDocument/2006/relationships/hyperlink" Target="https://ytenx.org/kyonh/yonh/%E5%BA%9A%E4%BA%8C%E5%90%88/" TargetMode="External"/><Relationship Id="rId2" Type="http://schemas.openxmlformats.org/officeDocument/2006/relationships/hyperlink" Target="https://ytenx.org/kyonh/yonh/%E6%9D%B1%E4%B8%89/" TargetMode="External"/><Relationship Id="rId29" Type="http://schemas.openxmlformats.org/officeDocument/2006/relationships/hyperlink" Target="https://ytenx.org/kyonh/yonh/%E5%A4%AC%E9%96%8B/" TargetMode="External"/><Relationship Id="rId24" Type="http://schemas.openxmlformats.org/officeDocument/2006/relationships/hyperlink" Target="https://ytenx.org/kyonh/yonh/%E6%B3%B0%E9%96%8B/" TargetMode="External"/><Relationship Id="rId40" Type="http://schemas.openxmlformats.org/officeDocument/2006/relationships/hyperlink" Target="https://ytenx.org/kyonh/yonh/%E7%A5%ADB%E5%90%88/" TargetMode="External"/><Relationship Id="rId45" Type="http://schemas.openxmlformats.org/officeDocument/2006/relationships/hyperlink" Target="https://ytenx.org/kyonh/yonh/%E7%81%B0/" TargetMode="External"/><Relationship Id="rId66" Type="http://schemas.openxmlformats.org/officeDocument/2006/relationships/hyperlink" Target="https://ytenx.org/kyonh/yonh/%E4%BB%99%E9%96%8B/" TargetMode="External"/><Relationship Id="rId87" Type="http://schemas.openxmlformats.org/officeDocument/2006/relationships/hyperlink" Target="https://ytenx.org/kyonh/yonh/%E5%94%90%E9%96%8B/" TargetMode="External"/><Relationship Id="rId110" Type="http://schemas.openxmlformats.org/officeDocument/2006/relationships/hyperlink" Target="https://ytenx.org/kyonh/yonh/%E4%BE%B5A/" TargetMode="External"/><Relationship Id="rId115" Type="http://schemas.openxmlformats.org/officeDocument/2006/relationships/hyperlink" Target="https://ytenx.org/kyonh/yonh/%E9%8A%9C/" TargetMode="External"/><Relationship Id="rId61" Type="http://schemas.openxmlformats.org/officeDocument/2006/relationships/hyperlink" Target="https://ytenx.org/kyonh/yonh/%E5%85%83%E5%90%88/" TargetMode="External"/><Relationship Id="rId82" Type="http://schemas.openxmlformats.org/officeDocument/2006/relationships/hyperlink" Target="https://ytenx.org/kyonh/yonh/%E6%88%88%E4%B8%89%E9%96%8B/" TargetMode="External"/><Relationship Id="rId19" Type="http://schemas.openxmlformats.org/officeDocument/2006/relationships/hyperlink" Target="https://ytenx.org/kyonh/yonh/%E5%BE%AE%E9%96%8B/" TargetMode="External"/><Relationship Id="rId14" Type="http://schemas.openxmlformats.org/officeDocument/2006/relationships/hyperlink" Target="https://ytenx.org/kyonh/yonh/%E8%84%82A%E9%96%8B/" TargetMode="External"/><Relationship Id="rId30" Type="http://schemas.openxmlformats.org/officeDocument/2006/relationships/hyperlink" Target="https://ytenx.org/kyonh/yonh/%E5%A4%AC%E5%90%88/" TargetMode="External"/><Relationship Id="rId35" Type="http://schemas.openxmlformats.org/officeDocument/2006/relationships/hyperlink" Target="https://ytenx.org/kyonh/yonh/%E7%A5%AD%E9%96%8B/" TargetMode="External"/><Relationship Id="rId56" Type="http://schemas.openxmlformats.org/officeDocument/2006/relationships/hyperlink" Target="https://ytenx.org/kyonh/yonh/%E6%AC%A3/" TargetMode="External"/><Relationship Id="rId77" Type="http://schemas.openxmlformats.org/officeDocument/2006/relationships/hyperlink" Target="https://ytenx.org/kyonh/yonh/%E5%AE%B5A/" TargetMode="External"/><Relationship Id="rId100" Type="http://schemas.openxmlformats.org/officeDocument/2006/relationships/hyperlink" Target="https://ytenx.org/kyonh/yonh/%E6%B8%85A%E5%90%88/" TargetMode="External"/><Relationship Id="rId105" Type="http://schemas.openxmlformats.org/officeDocument/2006/relationships/hyperlink" Target="https://ytenx.org/kyonh/yonh/%E8%92%B8/" TargetMode="External"/><Relationship Id="rId8" Type="http://schemas.openxmlformats.org/officeDocument/2006/relationships/hyperlink" Target="https://ytenx.org/kyonh/yonh/%E6%94%AFA%E9%96%8B/" TargetMode="External"/><Relationship Id="rId51" Type="http://schemas.openxmlformats.org/officeDocument/2006/relationships/hyperlink" Target="https://ytenx.org/kyonh/yonh/%E8%87%BB/" TargetMode="External"/><Relationship Id="rId72" Type="http://schemas.openxmlformats.org/officeDocument/2006/relationships/hyperlink" Target="https://ytenx.org/kyonh/yonh/%E5%85%88%E9%96%8B/" TargetMode="External"/><Relationship Id="rId93" Type="http://schemas.openxmlformats.org/officeDocument/2006/relationships/hyperlink" Target="https://ytenx.org/kyonh/yonh/%E5%BA%9A%E4%B8%89%E9%96%8B/" TargetMode="External"/><Relationship Id="rId98" Type="http://schemas.openxmlformats.org/officeDocument/2006/relationships/hyperlink" Target="https://ytenx.org/kyonh/yonh/%E6%B8%85%E5%90%88/" TargetMode="External"/><Relationship Id="rId121" Type="http://schemas.openxmlformats.org/officeDocument/2006/relationships/hyperlink" Target="https://ytenx.org/kyonh/yonh/%E8%A6%83/" TargetMode="External"/><Relationship Id="rId3" Type="http://schemas.openxmlformats.org/officeDocument/2006/relationships/hyperlink" Target="https://ytenx.org/kyonh/yonh/%E5%86%AC/" TargetMode="External"/><Relationship Id="rId25" Type="http://schemas.openxmlformats.org/officeDocument/2006/relationships/hyperlink" Target="https://ytenx.org/kyonh/yonh/%E6%B3%B0%E5%90%88/" TargetMode="External"/><Relationship Id="rId46" Type="http://schemas.openxmlformats.org/officeDocument/2006/relationships/hyperlink" Target="https://ytenx.org/kyonh/yonh/%E7%9C%9E%E9%96%8B/" TargetMode="External"/><Relationship Id="rId67" Type="http://schemas.openxmlformats.org/officeDocument/2006/relationships/hyperlink" Target="https://ytenx.org/kyonh/yonh/%E4%BB%99%E5%90%88/" TargetMode="External"/><Relationship Id="rId116" Type="http://schemas.openxmlformats.org/officeDocument/2006/relationships/hyperlink" Target="https://ytenx.org/kyonh/yonh/%E5%92%B8/" TargetMode="External"/><Relationship Id="rId20" Type="http://schemas.openxmlformats.org/officeDocument/2006/relationships/hyperlink" Target="https://ytenx.org/kyonh/yonh/%E5%BE%AE%E5%90%88/" TargetMode="External"/><Relationship Id="rId41" Type="http://schemas.openxmlformats.org/officeDocument/2006/relationships/hyperlink" Target="https://ytenx.org/kyonh/pyanx/ghrax/%E8%A1%9E/" TargetMode="External"/><Relationship Id="rId62" Type="http://schemas.openxmlformats.org/officeDocument/2006/relationships/hyperlink" Target="https://ytenx.org/kyonh/yonh/%E5%88%AA%E9%96%8B/" TargetMode="External"/><Relationship Id="rId83" Type="http://schemas.openxmlformats.org/officeDocument/2006/relationships/hyperlink" Target="https://ytenx.org/kyonh/yonh/%E6%88%88%E4%B8%89%E5%90%88/" TargetMode="External"/><Relationship Id="rId88" Type="http://schemas.openxmlformats.org/officeDocument/2006/relationships/hyperlink" Target="https://ytenx.org/kyonh/yonh/%E5%94%90%E5%90%88/" TargetMode="External"/><Relationship Id="rId111" Type="http://schemas.openxmlformats.org/officeDocument/2006/relationships/hyperlink" Target="https://ytenx.org/kyonh/yonh/%E4%BE%B5B/" TargetMode="External"/><Relationship Id="rId15" Type="http://schemas.openxmlformats.org/officeDocument/2006/relationships/hyperlink" Target="https://ytenx.org/kyonh/yonh/%E8%84%82A%E5%90%88/" TargetMode="External"/><Relationship Id="rId36" Type="http://schemas.openxmlformats.org/officeDocument/2006/relationships/hyperlink" Target="https://ytenx.org/kyonh/yonh/%E7%A5%AD%E5%90%88/" TargetMode="External"/><Relationship Id="rId57" Type="http://schemas.openxmlformats.org/officeDocument/2006/relationships/hyperlink" Target="https://ytenx.org/kyonh/yonh/%E6%96%87/" TargetMode="External"/><Relationship Id="rId106" Type="http://schemas.openxmlformats.org/officeDocument/2006/relationships/hyperlink" Target="https://ytenx.org/kyonh/yonh/%E5%B0%A4/" TargetMode="External"/><Relationship Id="rId10" Type="http://schemas.openxmlformats.org/officeDocument/2006/relationships/hyperlink" Target="https://ytenx.org/kyonh/yonh/%E6%94%AFB%E9%96%8B/" TargetMode="External"/><Relationship Id="rId31" Type="http://schemas.openxmlformats.org/officeDocument/2006/relationships/hyperlink" Target="https://ytenx.org/kyonh/yonh/%E4%BD%B3%E9%96%8B/" TargetMode="External"/><Relationship Id="rId52" Type="http://schemas.openxmlformats.org/officeDocument/2006/relationships/hyperlink" Target="https://ytenx.org/kyonh/yonh/%E8%AB%84/" TargetMode="External"/><Relationship Id="rId73" Type="http://schemas.openxmlformats.org/officeDocument/2006/relationships/hyperlink" Target="https://ytenx.org/kyonh/yonh/%E5%85%88%E5%90%88/" TargetMode="External"/><Relationship Id="rId78" Type="http://schemas.openxmlformats.org/officeDocument/2006/relationships/hyperlink" Target="https://ytenx.org/kyonh/yonh/%E5%AE%B5B/" TargetMode="External"/><Relationship Id="rId94" Type="http://schemas.openxmlformats.org/officeDocument/2006/relationships/hyperlink" Target="https://ytenx.org/kyonh/yonh/%E5%BA%9A%E4%B8%89%E5%90%88/" TargetMode="External"/><Relationship Id="rId99" Type="http://schemas.openxmlformats.org/officeDocument/2006/relationships/hyperlink" Target="https://ytenx.org/kyonh/yonh/%E6%B8%85A%E9%96%8B/" TargetMode="External"/><Relationship Id="rId101" Type="http://schemas.openxmlformats.org/officeDocument/2006/relationships/hyperlink" Target="https://ytenx.org/kyonh/yonh/%E9%9D%92%E9%96%8B/" TargetMode="External"/><Relationship Id="rId122"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17" Type="http://schemas.openxmlformats.org/officeDocument/2006/relationships/hyperlink" Target="https://ytenx.org/kyonh/yonhmiuk/%E7%BF%B0/" TargetMode="External"/><Relationship Id="rId21" Type="http://schemas.openxmlformats.org/officeDocument/2006/relationships/hyperlink" Target="https://ytenx.org/kyonh/yonhmiuk/%E7%B4%99A/" TargetMode="External"/><Relationship Id="rId42" Type="http://schemas.openxmlformats.org/officeDocument/2006/relationships/hyperlink" Target="https://ytenx.org/kyonh/yonhmiuk/%E8%AA%9E/" TargetMode="External"/><Relationship Id="rId63" Type="http://schemas.openxmlformats.org/officeDocument/2006/relationships/hyperlink" Target="https://ytenx.org/kyonh/yonhmiuk/%E5%A4%AC/" TargetMode="External"/><Relationship Id="rId84" Type="http://schemas.openxmlformats.org/officeDocument/2006/relationships/hyperlink" Target="https://ytenx.org/kyonh/yonhmiuk/%E6%BA%96/" TargetMode="External"/><Relationship Id="rId138" Type="http://schemas.openxmlformats.org/officeDocument/2006/relationships/hyperlink" Target="https://ytenx.org/kyonh/yonhmiuk/%E8%96%9B/" TargetMode="External"/><Relationship Id="rId159" Type="http://schemas.openxmlformats.org/officeDocument/2006/relationships/hyperlink" Target="https://ytenx.org/kyonh/yonhmiuk/%E8%82%B4/" TargetMode="External"/><Relationship Id="rId170" Type="http://schemas.openxmlformats.org/officeDocument/2006/relationships/hyperlink" Target="https://ytenx.org/kyonh/yonhmiuk/%E9%81%8E/" TargetMode="External"/><Relationship Id="rId191" Type="http://schemas.openxmlformats.org/officeDocument/2006/relationships/hyperlink" Target="https://ytenx.org/kyonh/yonhmiuk/%E9%9D%9C/" TargetMode="External"/><Relationship Id="rId107" Type="http://schemas.openxmlformats.org/officeDocument/2006/relationships/hyperlink" Target="https://ytenx.org/kyonh/yonhmiuk/%E9%AD%82/" TargetMode="External"/><Relationship Id="rId11" Type="http://schemas.openxmlformats.org/officeDocument/2006/relationships/hyperlink" Target="https://ytenx.org/kyonh/yonhmiuk/%E7%94%A8/" TargetMode="External"/><Relationship Id="rId32" Type="http://schemas.openxmlformats.org/officeDocument/2006/relationships/hyperlink" Target="https://ytenx.org/kyonh/yonhmiuk/%E8%84%82B/" TargetMode="External"/><Relationship Id="rId53" Type="http://schemas.openxmlformats.org/officeDocument/2006/relationships/hyperlink" Target="https://ytenx.org/kyonh/yonhmiuk/%E7%A5%AD/" TargetMode="External"/><Relationship Id="rId74" Type="http://schemas.openxmlformats.org/officeDocument/2006/relationships/hyperlink" Target="https://ytenx.org/kyonh/yonhmiuk/%E8%B3%AA/" TargetMode="External"/><Relationship Id="rId128" Type="http://schemas.openxmlformats.org/officeDocument/2006/relationships/hyperlink" Target="https://ytenx.org/kyonh/yonhmiuk/%E7%94%A2/" TargetMode="External"/><Relationship Id="rId149" Type="http://schemas.openxmlformats.org/officeDocument/2006/relationships/hyperlink" Target="https://ytenx.org/kyonh/yonhmiuk/%E5%98%AF/" TargetMode="External"/><Relationship Id="rId5" Type="http://schemas.openxmlformats.org/officeDocument/2006/relationships/hyperlink" Target="https://ytenx.org/kyonh/yonhmiuk/%E5%86%AC/" TargetMode="External"/><Relationship Id="rId95" Type="http://schemas.openxmlformats.org/officeDocument/2006/relationships/hyperlink" Target="https://ytenx.org/kyonh/yonhmiuk/%E6%96%87/" TargetMode="External"/><Relationship Id="rId160" Type="http://schemas.openxmlformats.org/officeDocument/2006/relationships/hyperlink" Target="https://ytenx.org/kyonh/yonhmiuk/%E5%B7%A7/" TargetMode="External"/><Relationship Id="rId181" Type="http://schemas.openxmlformats.org/officeDocument/2006/relationships/hyperlink" Target="https://ytenx.org/kyonh/yonhmiuk/%E9%90%B8/" TargetMode="External"/><Relationship Id="rId22" Type="http://schemas.openxmlformats.org/officeDocument/2006/relationships/hyperlink" Target="https://ytenx.org/kyonh/yonhmiuk/%E5%AF%98A/" TargetMode="External"/><Relationship Id="rId43" Type="http://schemas.openxmlformats.org/officeDocument/2006/relationships/hyperlink" Target="https://ytenx.org/kyonh/yonhmiuk/%E5%BE%A1/" TargetMode="External"/><Relationship Id="rId64" Type="http://schemas.openxmlformats.org/officeDocument/2006/relationships/hyperlink" Target="https://ytenx.org/kyonh/yonhmiuk/%E7%81%B0/" TargetMode="External"/><Relationship Id="rId118" Type="http://schemas.openxmlformats.org/officeDocument/2006/relationships/hyperlink" Target="https://ytenx.org/kyonh/yonhmiuk/%E6%9B%B7/" TargetMode="External"/><Relationship Id="rId139" Type="http://schemas.openxmlformats.org/officeDocument/2006/relationships/hyperlink" Target="https://ytenx.org/kyonh/yonhmiuk/%E4%BB%99A/" TargetMode="External"/><Relationship Id="rId85" Type="http://schemas.openxmlformats.org/officeDocument/2006/relationships/hyperlink" Target="https://ytenx.org/kyonh/yonhmiuk/%E7%A8%95/" TargetMode="External"/><Relationship Id="rId150" Type="http://schemas.openxmlformats.org/officeDocument/2006/relationships/hyperlink" Target="https://ytenx.org/kyonh/yonhmiuk/%E5%AE%B5/" TargetMode="External"/><Relationship Id="rId171" Type="http://schemas.openxmlformats.org/officeDocument/2006/relationships/hyperlink" Target="https://ytenx.org/kyonh/yonhmiuk/%E9%BA%BB/" TargetMode="External"/><Relationship Id="rId192" Type="http://schemas.openxmlformats.org/officeDocument/2006/relationships/hyperlink" Target="https://ytenx.org/kyonh/yonhmiuk/%E5%8B%81/" TargetMode="External"/><Relationship Id="rId12" Type="http://schemas.openxmlformats.org/officeDocument/2006/relationships/hyperlink" Target="https://ytenx.org/kyonh/yonhmiuk/%E7%87%AD/" TargetMode="External"/><Relationship Id="rId33" Type="http://schemas.openxmlformats.org/officeDocument/2006/relationships/hyperlink" Target="https://ytenx.org/kyonh/yonhmiuk/%E6%97%A8B/" TargetMode="External"/><Relationship Id="rId108" Type="http://schemas.openxmlformats.org/officeDocument/2006/relationships/hyperlink" Target="https://ytenx.org/kyonh/yonhmiuk/%E6%B7%B7/" TargetMode="External"/><Relationship Id="rId129" Type="http://schemas.openxmlformats.org/officeDocument/2006/relationships/hyperlink" Target="https://ytenx.org/kyonh/yonhmiuk/%E8%A5%87/" TargetMode="External"/><Relationship Id="rId54" Type="http://schemas.openxmlformats.org/officeDocument/2006/relationships/hyperlink" Target="https://ytenx.org/kyonh/yonhmiuk/%E7%A5%ADA/" TargetMode="External"/><Relationship Id="rId75" Type="http://schemas.openxmlformats.org/officeDocument/2006/relationships/hyperlink" Target="https://ytenx.org/kyonh/yonhmiuk/%E7%9C%9EA/" TargetMode="External"/><Relationship Id="rId96" Type="http://schemas.openxmlformats.org/officeDocument/2006/relationships/hyperlink" Target="https://ytenx.org/kyonh/yonhmiuk/%E5%90%BB/" TargetMode="External"/><Relationship Id="rId140" Type="http://schemas.openxmlformats.org/officeDocument/2006/relationships/hyperlink" Target="https://ytenx.org/kyonh/yonhmiuk/%E7%8D%AEA/" TargetMode="External"/><Relationship Id="rId161" Type="http://schemas.openxmlformats.org/officeDocument/2006/relationships/hyperlink" Target="https://ytenx.org/kyonh/yonhmiuk/%E6%95%88/" TargetMode="External"/><Relationship Id="rId182" Type="http://schemas.openxmlformats.org/officeDocument/2006/relationships/hyperlink" Target="https://ytenx.org/kyonh/yonhmiuk/%E5%BA%9A/" TargetMode="External"/><Relationship Id="rId6" Type="http://schemas.openxmlformats.org/officeDocument/2006/relationships/hyperlink" Target="https://ytenx.org/kyonh/yonhmiuk/%E6%B9%A9/" TargetMode="External"/><Relationship Id="rId23" Type="http://schemas.openxmlformats.org/officeDocument/2006/relationships/hyperlink" Target="https://ytenx.org/kyonh/yonhmiuk/%E6%94%AFB/" TargetMode="External"/><Relationship Id="rId119" Type="http://schemas.openxmlformats.org/officeDocument/2006/relationships/hyperlink" Target="https://ytenx.org/kyonh/yonhmiuk/%E6%A1%93/" TargetMode="External"/><Relationship Id="rId44" Type="http://schemas.openxmlformats.org/officeDocument/2006/relationships/hyperlink" Target="https://ytenx.org/kyonh/yonhmiuk/%E8%99%9E/" TargetMode="External"/><Relationship Id="rId65" Type="http://schemas.openxmlformats.org/officeDocument/2006/relationships/hyperlink" Target="https://ytenx.org/kyonh/yonhmiuk/%E8%B3%84/" TargetMode="External"/><Relationship Id="rId86" Type="http://schemas.openxmlformats.org/officeDocument/2006/relationships/hyperlink" Target="https://ytenx.org/kyonh/yonhmiuk/%E8%A1%93/" TargetMode="External"/><Relationship Id="rId130" Type="http://schemas.openxmlformats.org/officeDocument/2006/relationships/hyperlink" Target="https://ytenx.org/kyonh/yonhmiuk/%E9%8E%8B/" TargetMode="External"/><Relationship Id="rId151" Type="http://schemas.openxmlformats.org/officeDocument/2006/relationships/hyperlink" Target="https://ytenx.org/kyonh/yonhmiuk/%E5%B0%8F/" TargetMode="External"/><Relationship Id="rId172" Type="http://schemas.openxmlformats.org/officeDocument/2006/relationships/hyperlink" Target="https://ytenx.org/kyonh/yonhmiuk/%E9%A6%AC/" TargetMode="External"/><Relationship Id="rId193" Type="http://schemas.openxmlformats.org/officeDocument/2006/relationships/hyperlink" Target="https://ytenx.org/kyonh/yonhmiuk/%E6%98%94/" TargetMode="External"/><Relationship Id="rId13" Type="http://schemas.openxmlformats.org/officeDocument/2006/relationships/hyperlink" Target="https://ytenx.org/kyonh/yonhmiuk/%E6%B1%9F/" TargetMode="External"/><Relationship Id="rId109" Type="http://schemas.openxmlformats.org/officeDocument/2006/relationships/hyperlink" Target="https://ytenx.org/kyonh/yonhmiuk/%E6%85%81/" TargetMode="External"/><Relationship Id="rId34" Type="http://schemas.openxmlformats.org/officeDocument/2006/relationships/hyperlink" Target="https://ytenx.org/kyonh/yonhmiuk/%E8%87%B3B/" TargetMode="External"/><Relationship Id="rId55" Type="http://schemas.openxmlformats.org/officeDocument/2006/relationships/hyperlink" Target="https://ytenx.org/kyonh/yonhmiuk/%E7%A5%ADB/" TargetMode="External"/><Relationship Id="rId76" Type="http://schemas.openxmlformats.org/officeDocument/2006/relationships/hyperlink" Target="https://ytenx.org/kyonh/yonhmiuk/%E8%BB%ABA/" TargetMode="External"/><Relationship Id="rId97" Type="http://schemas.openxmlformats.org/officeDocument/2006/relationships/hyperlink" Target="https://ytenx.org/kyonh/yonhmiuk/%E5%95%8F/" TargetMode="External"/><Relationship Id="rId120" Type="http://schemas.openxmlformats.org/officeDocument/2006/relationships/hyperlink" Target="https://ytenx.org/kyonh/yonhmiuk/%E7%B7%A9/" TargetMode="External"/><Relationship Id="rId141" Type="http://schemas.openxmlformats.org/officeDocument/2006/relationships/hyperlink" Target="https://ytenx.org/kyonh/yonhmiuk/%E7%B7%9AA/" TargetMode="External"/><Relationship Id="rId7" Type="http://schemas.openxmlformats.org/officeDocument/2006/relationships/hyperlink" Target="https://ytenx.org/kyonh/yonhmiuk/%E5%AE%8B/" TargetMode="External"/><Relationship Id="rId162" Type="http://schemas.openxmlformats.org/officeDocument/2006/relationships/hyperlink" Target="https://ytenx.org/kyonh/yonhmiuk/%E8%B1%AA/" TargetMode="External"/><Relationship Id="rId183" Type="http://schemas.openxmlformats.org/officeDocument/2006/relationships/hyperlink" Target="https://ytenx.org/kyonh/yonhmiuk/%E6%A2%97/" TargetMode="External"/><Relationship Id="rId2" Type="http://schemas.openxmlformats.org/officeDocument/2006/relationships/hyperlink" Target="https://ytenx.org/kyonh/yonhmiuk/%E8%91%A3/" TargetMode="External"/><Relationship Id="rId29" Type="http://schemas.openxmlformats.org/officeDocument/2006/relationships/hyperlink" Target="https://ytenx.org/kyonh/yonhmiuk/%E8%84%82A/" TargetMode="External"/><Relationship Id="rId24" Type="http://schemas.openxmlformats.org/officeDocument/2006/relationships/hyperlink" Target="https://ytenx.org/kyonh/yonhmiuk/%E7%B4%99B/" TargetMode="External"/><Relationship Id="rId40" Type="http://schemas.openxmlformats.org/officeDocument/2006/relationships/hyperlink" Target="https://ytenx.org/kyonh/yonhmiuk/%E6%9C%AA/" TargetMode="External"/><Relationship Id="rId45" Type="http://schemas.openxmlformats.org/officeDocument/2006/relationships/hyperlink" Target="https://ytenx.org/kyonh/yonhmiuk/%E9%BA%8C/" TargetMode="External"/><Relationship Id="rId66" Type="http://schemas.openxmlformats.org/officeDocument/2006/relationships/hyperlink" Target="https://ytenx.org/kyonh/yonhmiuk/%E9%9A%8A/" TargetMode="External"/><Relationship Id="rId87" Type="http://schemas.openxmlformats.org/officeDocument/2006/relationships/hyperlink" Target="https://ytenx.org/kyonh/yonhmiuk/%E8%AB%84A/" TargetMode="External"/><Relationship Id="rId110" Type="http://schemas.openxmlformats.org/officeDocument/2006/relationships/hyperlink" Target="https://ytenx.org/kyonh/yonhmiuk/%E6%B2%92/" TargetMode="External"/><Relationship Id="rId115" Type="http://schemas.openxmlformats.org/officeDocument/2006/relationships/hyperlink" Target="https://ytenx.org/kyonh/yonhmiuk/%E5%AF%92/" TargetMode="External"/><Relationship Id="rId131" Type="http://schemas.openxmlformats.org/officeDocument/2006/relationships/hyperlink" Target="https://ytenx.org/kyonh/yonhmiuk/%E5%85%88/" TargetMode="External"/><Relationship Id="rId136" Type="http://schemas.openxmlformats.org/officeDocument/2006/relationships/hyperlink" Target="https://ytenx.org/kyonh/yonhmiuk/%E7%8D%AE/" TargetMode="External"/><Relationship Id="rId157" Type="http://schemas.openxmlformats.org/officeDocument/2006/relationships/hyperlink" Target="https://ytenx.org/kyonh/yonhmiuk/%E5%B0%8FB/" TargetMode="External"/><Relationship Id="rId178" Type="http://schemas.openxmlformats.org/officeDocument/2006/relationships/hyperlink" Target="https://ytenx.org/kyonh/yonhmiuk/%E5%94%90/" TargetMode="External"/><Relationship Id="rId61" Type="http://schemas.openxmlformats.org/officeDocument/2006/relationships/hyperlink" Target="https://ytenx.org/kyonh/yonhmiuk/%E9%A7%AD/" TargetMode="External"/><Relationship Id="rId82" Type="http://schemas.openxmlformats.org/officeDocument/2006/relationships/hyperlink" Target="https://ytenx.org/kyonh/yonhmiuk/%E8%B3%AAB/" TargetMode="External"/><Relationship Id="rId152" Type="http://schemas.openxmlformats.org/officeDocument/2006/relationships/hyperlink" Target="https://ytenx.org/kyonh/yonhmiuk/%E7%AC%91/" TargetMode="External"/><Relationship Id="rId173" Type="http://schemas.openxmlformats.org/officeDocument/2006/relationships/hyperlink" Target="https://ytenx.org/kyonh/yonhmiuk/%E7%A6%A1/" TargetMode="External"/><Relationship Id="rId194" Type="http://schemas.openxmlformats.org/officeDocument/2006/relationships/hyperlink" Target="https://ytenx.org/kyonh/yonhmiuk/%E6%B8%85A/" TargetMode="External"/><Relationship Id="rId199" Type="http://schemas.openxmlformats.org/officeDocument/2006/relationships/hyperlink" Target="https://ytenx.org/kyonh/yonhmiuk/%E8%BF%A5/" TargetMode="External"/><Relationship Id="rId19" Type="http://schemas.openxmlformats.org/officeDocument/2006/relationships/hyperlink" Target="https://ytenx.org/kyonh/yonhmiuk/%E5%AF%98/" TargetMode="External"/><Relationship Id="rId14" Type="http://schemas.openxmlformats.org/officeDocument/2006/relationships/hyperlink" Target="https://ytenx.org/kyonh/yonhmiuk/%E8%AC%9B/" TargetMode="External"/><Relationship Id="rId30" Type="http://schemas.openxmlformats.org/officeDocument/2006/relationships/hyperlink" Target="https://ytenx.org/kyonh/yonhmiuk/%E6%97%A8A/" TargetMode="External"/><Relationship Id="rId35" Type="http://schemas.openxmlformats.org/officeDocument/2006/relationships/hyperlink" Target="https://ytenx.org/kyonh/yonhmiuk/%E4%B9%8B/" TargetMode="External"/><Relationship Id="rId56" Type="http://schemas.openxmlformats.org/officeDocument/2006/relationships/hyperlink" Target="https://ytenx.org/kyonh/yonhmiuk/%E6%B3%B0/" TargetMode="External"/><Relationship Id="rId77" Type="http://schemas.openxmlformats.org/officeDocument/2006/relationships/hyperlink" Target="https://ytenx.org/kyonh/yonhmiuk/%E9%9C%87A/" TargetMode="External"/><Relationship Id="rId100" Type="http://schemas.openxmlformats.org/officeDocument/2006/relationships/hyperlink" Target="https://ytenx.org/kyonh/yonhmiuk/%E9%9A%B1/" TargetMode="External"/><Relationship Id="rId105" Type="http://schemas.openxmlformats.org/officeDocument/2006/relationships/hyperlink" Target="https://ytenx.org/kyonh/yonhmiuk/%E9%A1%98/" TargetMode="External"/><Relationship Id="rId126" Type="http://schemas.openxmlformats.org/officeDocument/2006/relationships/hyperlink" Target="https://ytenx.org/kyonh/yonhmiuk/%E9%BB%A0/" TargetMode="External"/><Relationship Id="rId147" Type="http://schemas.openxmlformats.org/officeDocument/2006/relationships/hyperlink" Target="https://ytenx.org/kyonh/yonhmiuk/%E8%95%AD/" TargetMode="External"/><Relationship Id="rId168" Type="http://schemas.openxmlformats.org/officeDocument/2006/relationships/hyperlink" Target="https://ytenx.org/kyonh/yonhmiuk/%E6%88%88/" TargetMode="External"/><Relationship Id="rId8" Type="http://schemas.openxmlformats.org/officeDocument/2006/relationships/hyperlink" Target="https://ytenx.org/kyonh/yonhmiuk/%E6%B2%83/" TargetMode="External"/><Relationship Id="rId51" Type="http://schemas.openxmlformats.org/officeDocument/2006/relationships/hyperlink" Target="https://ytenx.org/kyonh/yonhmiuk/%E8%96%BA/" TargetMode="External"/><Relationship Id="rId72" Type="http://schemas.openxmlformats.org/officeDocument/2006/relationships/hyperlink" Target="https://ytenx.org/kyonh/yonhmiuk/%E8%BB%AB/" TargetMode="External"/><Relationship Id="rId93" Type="http://schemas.openxmlformats.org/officeDocument/2006/relationships/hyperlink" Target="https://ytenx.org/kyonh/yonhmiuk/%E6%AB%AC/" TargetMode="External"/><Relationship Id="rId98" Type="http://schemas.openxmlformats.org/officeDocument/2006/relationships/hyperlink" Target="https://ytenx.org/kyonh/yonhmiuk/%E7%89%A9/" TargetMode="External"/><Relationship Id="rId121" Type="http://schemas.openxmlformats.org/officeDocument/2006/relationships/hyperlink" Target="https://ytenx.org/kyonh/yonhmiuk/%E6%8F%9B/" TargetMode="External"/><Relationship Id="rId142" Type="http://schemas.openxmlformats.org/officeDocument/2006/relationships/hyperlink" Target="https://ytenx.org/kyonh/yonhmiuk/%E8%96%9BA/" TargetMode="External"/><Relationship Id="rId163" Type="http://schemas.openxmlformats.org/officeDocument/2006/relationships/hyperlink" Target="https://ytenx.org/kyonh/yonhmiuk/%E6%99%A7/" TargetMode="External"/><Relationship Id="rId184" Type="http://schemas.openxmlformats.org/officeDocument/2006/relationships/hyperlink" Target="https://ytenx.org/kyonh/yonhmiuk/%E6%98%A0/" TargetMode="External"/><Relationship Id="rId189" Type="http://schemas.openxmlformats.org/officeDocument/2006/relationships/hyperlink" Target="https://ytenx.org/kyonh/yonhmiuk/%E9%BA%A5/" TargetMode="External"/><Relationship Id="rId3" Type="http://schemas.openxmlformats.org/officeDocument/2006/relationships/hyperlink" Target="https://ytenx.org/kyonh/yonhmiuk/%E9%80%81/" TargetMode="External"/><Relationship Id="rId25" Type="http://schemas.openxmlformats.org/officeDocument/2006/relationships/hyperlink" Target="https://ytenx.org/kyonh/yonhmiuk/%E5%AF%98B/" TargetMode="External"/><Relationship Id="rId46" Type="http://schemas.openxmlformats.org/officeDocument/2006/relationships/hyperlink" Target="https://ytenx.org/kyonh/yonhmiuk/%E9%81%87/" TargetMode="External"/><Relationship Id="rId67" Type="http://schemas.openxmlformats.org/officeDocument/2006/relationships/hyperlink" Target="https://ytenx.org/kyonh/yonhmiuk/%E5%92%8D/" TargetMode="External"/><Relationship Id="rId116" Type="http://schemas.openxmlformats.org/officeDocument/2006/relationships/hyperlink" Target="https://ytenx.org/kyonh/yonhmiuk/%E6%97%B1/" TargetMode="External"/><Relationship Id="rId137" Type="http://schemas.openxmlformats.org/officeDocument/2006/relationships/hyperlink" Target="https://ytenx.org/kyonh/yonhmiuk/%E7%B7%9A/" TargetMode="External"/><Relationship Id="rId158" Type="http://schemas.openxmlformats.org/officeDocument/2006/relationships/hyperlink" Target="https://ytenx.org/kyonh/yonhmiuk/%E7%AC%91B/" TargetMode="External"/><Relationship Id="rId20" Type="http://schemas.openxmlformats.org/officeDocument/2006/relationships/hyperlink" Target="https://ytenx.org/kyonh/yonhmiuk/%E6%94%AFA/" TargetMode="External"/><Relationship Id="rId41" Type="http://schemas.openxmlformats.org/officeDocument/2006/relationships/hyperlink" Target="https://ytenx.org/kyonh/yonhmiuk/%E9%AD%9A/" TargetMode="External"/><Relationship Id="rId62" Type="http://schemas.openxmlformats.org/officeDocument/2006/relationships/hyperlink" Target="https://ytenx.org/kyonh/yonhmiuk/%E6%80%AA/" TargetMode="External"/><Relationship Id="rId83" Type="http://schemas.openxmlformats.org/officeDocument/2006/relationships/hyperlink" Target="https://ytenx.org/kyonh/yonhmiuk/%E8%AB%84/" TargetMode="External"/><Relationship Id="rId88" Type="http://schemas.openxmlformats.org/officeDocument/2006/relationships/hyperlink" Target="https://ytenx.org/kyonh/yonhmiuk/%E6%BA%96A/" TargetMode="External"/><Relationship Id="rId111" Type="http://schemas.openxmlformats.org/officeDocument/2006/relationships/hyperlink" Target="https://ytenx.org/kyonh/yonhmiuk/%E7%97%95/" TargetMode="External"/><Relationship Id="rId132" Type="http://schemas.openxmlformats.org/officeDocument/2006/relationships/hyperlink" Target="https://ytenx.org/kyonh/yonhmiuk/%E9%8A%91/" TargetMode="External"/><Relationship Id="rId153" Type="http://schemas.openxmlformats.org/officeDocument/2006/relationships/hyperlink" Target="https://ytenx.org/kyonh/yonhmiuk/%E5%AE%B5A/" TargetMode="External"/><Relationship Id="rId174" Type="http://schemas.openxmlformats.org/officeDocument/2006/relationships/hyperlink" Target="https://ytenx.org/kyonh/yonhmiuk/%E9%99%BD/" TargetMode="External"/><Relationship Id="rId179" Type="http://schemas.openxmlformats.org/officeDocument/2006/relationships/hyperlink" Target="https://ytenx.org/kyonh/yonhmiuk/%E8%95%A9/" TargetMode="External"/><Relationship Id="rId195" Type="http://schemas.openxmlformats.org/officeDocument/2006/relationships/hyperlink" Target="https://ytenx.org/kyonh/yonhmiuk/%E9%9D%9CA/" TargetMode="External"/><Relationship Id="rId190" Type="http://schemas.openxmlformats.org/officeDocument/2006/relationships/hyperlink" Target="https://ytenx.org/kyonh/yonhmiuk/%E6%B8%85/" TargetMode="External"/><Relationship Id="rId15" Type="http://schemas.openxmlformats.org/officeDocument/2006/relationships/hyperlink" Target="https://ytenx.org/kyonh/yonhmiuk/%E7%B5%B3/" TargetMode="External"/><Relationship Id="rId36" Type="http://schemas.openxmlformats.org/officeDocument/2006/relationships/hyperlink" Target="https://ytenx.org/kyonh/yonhmiuk/%E6%AD%A2/" TargetMode="External"/><Relationship Id="rId57" Type="http://schemas.openxmlformats.org/officeDocument/2006/relationships/hyperlink" Target="https://ytenx.org/kyonh/yonhmiuk/%E4%BD%B3/" TargetMode="External"/><Relationship Id="rId106" Type="http://schemas.openxmlformats.org/officeDocument/2006/relationships/hyperlink" Target="https://ytenx.org/kyonh/yonhmiuk/%E6%9C%88/" TargetMode="External"/><Relationship Id="rId127" Type="http://schemas.openxmlformats.org/officeDocument/2006/relationships/hyperlink" Target="https://ytenx.org/kyonh/yonhmiuk/%E5%B1%B1/" TargetMode="External"/><Relationship Id="rId10" Type="http://schemas.openxmlformats.org/officeDocument/2006/relationships/hyperlink" Target="https://ytenx.org/kyonh/yonhmiuk/%E8%85%AB/" TargetMode="External"/><Relationship Id="rId31" Type="http://schemas.openxmlformats.org/officeDocument/2006/relationships/hyperlink" Target="https://ytenx.org/kyonh/yonhmiuk/%E8%87%B3A/" TargetMode="External"/><Relationship Id="rId52" Type="http://schemas.openxmlformats.org/officeDocument/2006/relationships/hyperlink" Target="https://ytenx.org/kyonh/yonhmiuk/%E9%9C%BD/" TargetMode="External"/><Relationship Id="rId73" Type="http://schemas.openxmlformats.org/officeDocument/2006/relationships/hyperlink" Target="https://ytenx.org/kyonh/yonhmiuk/%E9%9C%87/" TargetMode="External"/><Relationship Id="rId78" Type="http://schemas.openxmlformats.org/officeDocument/2006/relationships/hyperlink" Target="https://ytenx.org/kyonh/yonhmiuk/%E8%B3%AAA/" TargetMode="External"/><Relationship Id="rId94" Type="http://schemas.openxmlformats.org/officeDocument/2006/relationships/hyperlink" Target="https://ytenx.org/kyonh/yonhmiuk/%E6%AB%9B/" TargetMode="External"/><Relationship Id="rId99" Type="http://schemas.openxmlformats.org/officeDocument/2006/relationships/hyperlink" Target="https://ytenx.org/kyonh/yonhmiuk/%E6%AC%A3/" TargetMode="External"/><Relationship Id="rId101" Type="http://schemas.openxmlformats.org/officeDocument/2006/relationships/hyperlink" Target="https://ytenx.org/kyonh/yonhmiuk/%E7%84%AE/" TargetMode="External"/><Relationship Id="rId122" Type="http://schemas.openxmlformats.org/officeDocument/2006/relationships/hyperlink" Target="https://ytenx.org/kyonh/yonhmiuk/%E6%9C%AB/" TargetMode="External"/><Relationship Id="rId143" Type="http://schemas.openxmlformats.org/officeDocument/2006/relationships/hyperlink" Target="https://ytenx.org/kyonh/yonhmiuk/%E4%BB%99B/" TargetMode="External"/><Relationship Id="rId148" Type="http://schemas.openxmlformats.org/officeDocument/2006/relationships/hyperlink" Target="https://ytenx.org/kyonh/yonhmiuk/%E7%AF%A0/" TargetMode="External"/><Relationship Id="rId164" Type="http://schemas.openxmlformats.org/officeDocument/2006/relationships/hyperlink" Target="https://ytenx.org/kyonh/yonhmiuk/%E5%8F%B7/" TargetMode="External"/><Relationship Id="rId169" Type="http://schemas.openxmlformats.org/officeDocument/2006/relationships/hyperlink" Target="https://ytenx.org/kyonh/yonhmiuk/%E6%9E%9C/" TargetMode="External"/><Relationship Id="rId185" Type="http://schemas.openxmlformats.org/officeDocument/2006/relationships/hyperlink" Target="https://ytenx.org/kyonh/yonhmiuk/%E9%99%8C/" TargetMode="External"/><Relationship Id="rId4" Type="http://schemas.openxmlformats.org/officeDocument/2006/relationships/hyperlink" Target="https://ytenx.org/kyonh/yonhmiuk/%E5%B1%8B/" TargetMode="External"/><Relationship Id="rId9" Type="http://schemas.openxmlformats.org/officeDocument/2006/relationships/hyperlink" Target="https://ytenx.org/kyonh/yonhmiuk/%E9%8D%BE/" TargetMode="External"/><Relationship Id="rId180" Type="http://schemas.openxmlformats.org/officeDocument/2006/relationships/hyperlink" Target="https://ytenx.org/kyonh/yonhmiuk/%E5%AE%95/" TargetMode="External"/><Relationship Id="rId26" Type="http://schemas.openxmlformats.org/officeDocument/2006/relationships/hyperlink" Target="https://ytenx.org/kyonh/yonhmiuk/%E8%84%82/" TargetMode="External"/><Relationship Id="rId47" Type="http://schemas.openxmlformats.org/officeDocument/2006/relationships/hyperlink" Target="https://ytenx.org/kyonh/yonhmiuk/%E6%A8%A1/" TargetMode="External"/><Relationship Id="rId68" Type="http://schemas.openxmlformats.org/officeDocument/2006/relationships/hyperlink" Target="https://ytenx.org/kyonh/yonhmiuk/%E6%B5%B7/" TargetMode="External"/><Relationship Id="rId89" Type="http://schemas.openxmlformats.org/officeDocument/2006/relationships/hyperlink" Target="https://ytenx.org/kyonh/yonhmiuk/%E7%A8%95A/" TargetMode="External"/><Relationship Id="rId112" Type="http://schemas.openxmlformats.org/officeDocument/2006/relationships/hyperlink" Target="https://ytenx.org/kyonh/yonhmiuk/%E5%BE%88/" TargetMode="External"/><Relationship Id="rId133" Type="http://schemas.openxmlformats.org/officeDocument/2006/relationships/hyperlink" Target="https://ytenx.org/kyonh/yonhmiuk/%E9%9C%B0/" TargetMode="External"/><Relationship Id="rId154" Type="http://schemas.openxmlformats.org/officeDocument/2006/relationships/hyperlink" Target="https://ytenx.org/kyonh/yonhmiuk/%E5%B0%8FA/" TargetMode="External"/><Relationship Id="rId175" Type="http://schemas.openxmlformats.org/officeDocument/2006/relationships/hyperlink" Target="https://ytenx.org/kyonh/yonhmiuk/%E9%A4%8A/" TargetMode="External"/><Relationship Id="rId196" Type="http://schemas.openxmlformats.org/officeDocument/2006/relationships/hyperlink" Target="https://ytenx.org/kyonh/yonhmiuk/%E5%8B%81A/" TargetMode="External"/><Relationship Id="rId200" Type="http://schemas.openxmlformats.org/officeDocument/2006/relationships/hyperlink" Target="https://ytenx.org/kyonh/yonhmiuk/%E5%BE%91/" TargetMode="External"/><Relationship Id="rId16" Type="http://schemas.openxmlformats.org/officeDocument/2006/relationships/hyperlink" Target="https://ytenx.org/kyonh/yonhmiuk/%E8%A6%BA/" TargetMode="External"/><Relationship Id="rId37" Type="http://schemas.openxmlformats.org/officeDocument/2006/relationships/hyperlink" Target="https://ytenx.org/kyonh/yonhmiuk/%E5%BF%97/" TargetMode="External"/><Relationship Id="rId58" Type="http://schemas.openxmlformats.org/officeDocument/2006/relationships/hyperlink" Target="https://ytenx.org/kyonh/yonhmiuk/%E8%9F%B9/" TargetMode="External"/><Relationship Id="rId79" Type="http://schemas.openxmlformats.org/officeDocument/2006/relationships/hyperlink" Target="https://ytenx.org/kyonh/yonhmiuk/%E7%9C%9EB/" TargetMode="External"/><Relationship Id="rId102" Type="http://schemas.openxmlformats.org/officeDocument/2006/relationships/hyperlink" Target="https://ytenx.org/kyonh/yonhmiuk/%E8%BF%84/" TargetMode="External"/><Relationship Id="rId123" Type="http://schemas.openxmlformats.org/officeDocument/2006/relationships/hyperlink" Target="https://ytenx.org/kyonh/yonhmiuk/%E5%88%AA/" TargetMode="External"/><Relationship Id="rId144" Type="http://schemas.openxmlformats.org/officeDocument/2006/relationships/hyperlink" Target="https://ytenx.org/kyonh/yonhmiuk/%E7%8D%AEB/" TargetMode="External"/><Relationship Id="rId90" Type="http://schemas.openxmlformats.org/officeDocument/2006/relationships/hyperlink" Target="https://ytenx.org/kyonh/yonhmiuk/%E8%A1%93A/" TargetMode="External"/><Relationship Id="rId165" Type="http://schemas.openxmlformats.org/officeDocument/2006/relationships/hyperlink" Target="https://ytenx.org/kyonh/yonhmiuk/%E6%AD%8C/" TargetMode="External"/><Relationship Id="rId186" Type="http://schemas.openxmlformats.org/officeDocument/2006/relationships/hyperlink" Target="https://ytenx.org/kyonh/yonhmiuk/%E8%80%95/" TargetMode="External"/><Relationship Id="rId27" Type="http://schemas.openxmlformats.org/officeDocument/2006/relationships/hyperlink" Target="https://ytenx.org/kyonh/yonhmiuk/%E6%97%A8/" TargetMode="External"/><Relationship Id="rId48" Type="http://schemas.openxmlformats.org/officeDocument/2006/relationships/hyperlink" Target="https://ytenx.org/kyonh/yonhmiuk/%E5%A7%A5/" TargetMode="External"/><Relationship Id="rId69" Type="http://schemas.openxmlformats.org/officeDocument/2006/relationships/hyperlink" Target="https://ytenx.org/kyonh/yonhmiuk/%E4%BB%A3/" TargetMode="External"/><Relationship Id="rId113" Type="http://schemas.openxmlformats.org/officeDocument/2006/relationships/hyperlink" Target="https://ytenx.org/kyonh/yonhmiuk/%E6%81%A8/" TargetMode="External"/><Relationship Id="rId134" Type="http://schemas.openxmlformats.org/officeDocument/2006/relationships/hyperlink" Target="https://ytenx.org/kyonh/yonhmiuk/%E5%B1%91/" TargetMode="External"/><Relationship Id="rId80" Type="http://schemas.openxmlformats.org/officeDocument/2006/relationships/hyperlink" Target="https://ytenx.org/kyonh/yonhmiuk/%E8%BB%ABB/" TargetMode="External"/><Relationship Id="rId155" Type="http://schemas.openxmlformats.org/officeDocument/2006/relationships/hyperlink" Target="https://ytenx.org/kyonh/yonhmiuk/%E7%AC%91A/" TargetMode="External"/><Relationship Id="rId176" Type="http://schemas.openxmlformats.org/officeDocument/2006/relationships/hyperlink" Target="https://ytenx.org/kyonh/yonhmiuk/%E6%BC%BE/" TargetMode="External"/><Relationship Id="rId197" Type="http://schemas.openxmlformats.org/officeDocument/2006/relationships/hyperlink" Target="https://ytenx.org/kyonh/yonhmiuk/%E6%98%94A/" TargetMode="External"/><Relationship Id="rId201" Type="http://schemas.openxmlformats.org/officeDocument/2006/relationships/hyperlink" Target="https://ytenx.org/kyonh/yonhmiuk/%E9%8C%AB/" TargetMode="External"/><Relationship Id="rId17" Type="http://schemas.openxmlformats.org/officeDocument/2006/relationships/hyperlink" Target="https://ytenx.org/kyonh/yonhmiuk/%E6%94%AF/" TargetMode="External"/><Relationship Id="rId38" Type="http://schemas.openxmlformats.org/officeDocument/2006/relationships/hyperlink" Target="https://ytenx.org/kyonh/yonhmiuk/%E5%BE%AE/" TargetMode="External"/><Relationship Id="rId59" Type="http://schemas.openxmlformats.org/officeDocument/2006/relationships/hyperlink" Target="https://ytenx.org/kyonh/yonhmiuk/%E5%8D%A6/" TargetMode="External"/><Relationship Id="rId103" Type="http://schemas.openxmlformats.org/officeDocument/2006/relationships/hyperlink" Target="https://ytenx.org/kyonh/yonhmiuk/%E5%85%83/" TargetMode="External"/><Relationship Id="rId124" Type="http://schemas.openxmlformats.org/officeDocument/2006/relationships/hyperlink" Target="https://ytenx.org/kyonh/yonhmiuk/%E6%BD%B8/" TargetMode="External"/><Relationship Id="rId70" Type="http://schemas.openxmlformats.org/officeDocument/2006/relationships/hyperlink" Target="https://ytenx.org/kyonh/yonhmiuk/%E5%BB%A2/" TargetMode="External"/><Relationship Id="rId91" Type="http://schemas.openxmlformats.org/officeDocument/2006/relationships/hyperlink" Target="https://ytenx.org/kyonh/yonhmiuk/%E8%87%BB/" TargetMode="External"/><Relationship Id="rId145" Type="http://schemas.openxmlformats.org/officeDocument/2006/relationships/hyperlink" Target="https://ytenx.org/kyonh/yonhmiuk/%E7%B7%9AB/" TargetMode="External"/><Relationship Id="rId166" Type="http://schemas.openxmlformats.org/officeDocument/2006/relationships/hyperlink" Target="https://ytenx.org/kyonh/yonhmiuk/%E5%93%BF/" TargetMode="External"/><Relationship Id="rId187" Type="http://schemas.openxmlformats.org/officeDocument/2006/relationships/hyperlink" Target="https://ytenx.org/kyonh/yonhmiuk/%E8%80%BF/" TargetMode="External"/><Relationship Id="rId1" Type="http://schemas.openxmlformats.org/officeDocument/2006/relationships/hyperlink" Target="https://ytenx.org/kyonh/yonhmiuk/%E6%9D%B1/" TargetMode="External"/><Relationship Id="rId28" Type="http://schemas.openxmlformats.org/officeDocument/2006/relationships/hyperlink" Target="https://ytenx.org/kyonh/yonhmiuk/%E8%87%B3/" TargetMode="External"/><Relationship Id="rId49" Type="http://schemas.openxmlformats.org/officeDocument/2006/relationships/hyperlink" Target="https://ytenx.org/kyonh/yonhmiuk/%E6%9A%AE/" TargetMode="External"/><Relationship Id="rId114" Type="http://schemas.openxmlformats.org/officeDocument/2006/relationships/hyperlink" Target="https://ytenx.org/kyonh/yonhmiuk/%E9%BA%A7/" TargetMode="External"/><Relationship Id="rId60" Type="http://schemas.openxmlformats.org/officeDocument/2006/relationships/hyperlink" Target="https://ytenx.org/kyonh/yonhmiuk/%E7%9A%86/" TargetMode="External"/><Relationship Id="rId81" Type="http://schemas.openxmlformats.org/officeDocument/2006/relationships/hyperlink" Target="https://ytenx.org/kyonh/yonhmiuk/%E9%9C%87B/" TargetMode="External"/><Relationship Id="rId135" Type="http://schemas.openxmlformats.org/officeDocument/2006/relationships/hyperlink" Target="https://ytenx.org/kyonh/yonhmiuk/%E4%BB%99/" TargetMode="External"/><Relationship Id="rId156" Type="http://schemas.openxmlformats.org/officeDocument/2006/relationships/hyperlink" Target="https://ytenx.org/kyonh/yonhmiuk/%E5%AE%B5B/" TargetMode="External"/><Relationship Id="rId177" Type="http://schemas.openxmlformats.org/officeDocument/2006/relationships/hyperlink" Target="https://ytenx.org/kyonh/yonhmiuk/%E8%97%A5/" TargetMode="External"/><Relationship Id="rId198" Type="http://schemas.openxmlformats.org/officeDocument/2006/relationships/hyperlink" Target="https://ytenx.org/kyonh/yonhmiuk/%E9%9D%92/" TargetMode="External"/><Relationship Id="rId202" Type="http://schemas.openxmlformats.org/officeDocument/2006/relationships/table" Target="../tables/table7.xml"/><Relationship Id="rId18" Type="http://schemas.openxmlformats.org/officeDocument/2006/relationships/hyperlink" Target="https://ytenx.org/kyonh/yonhmiuk/%E7%B4%99/" TargetMode="External"/><Relationship Id="rId39" Type="http://schemas.openxmlformats.org/officeDocument/2006/relationships/hyperlink" Target="https://ytenx.org/kyonh/yonhmiuk/%E5%B0%BE/" TargetMode="External"/><Relationship Id="rId50" Type="http://schemas.openxmlformats.org/officeDocument/2006/relationships/hyperlink" Target="https://ytenx.org/kyonh/yonhmiuk/%E9%BD%8A/" TargetMode="External"/><Relationship Id="rId104" Type="http://schemas.openxmlformats.org/officeDocument/2006/relationships/hyperlink" Target="https://ytenx.org/kyonh/yonhmiuk/%E9%98%AE/" TargetMode="External"/><Relationship Id="rId125" Type="http://schemas.openxmlformats.org/officeDocument/2006/relationships/hyperlink" Target="https://ytenx.org/kyonh/yonhmiuk/%E8%AB%AB/" TargetMode="External"/><Relationship Id="rId146" Type="http://schemas.openxmlformats.org/officeDocument/2006/relationships/hyperlink" Target="https://ytenx.org/kyonh/yonhmiuk/%E8%96%9BB/" TargetMode="External"/><Relationship Id="rId167" Type="http://schemas.openxmlformats.org/officeDocument/2006/relationships/hyperlink" Target="https://ytenx.org/kyonh/yonhmiuk/%E7%AE%87/" TargetMode="External"/><Relationship Id="rId188" Type="http://schemas.openxmlformats.org/officeDocument/2006/relationships/hyperlink" Target="https://ytenx.org/kyonh/yonhmiuk/%E8%AB%8D/" TargetMode="External"/><Relationship Id="rId71" Type="http://schemas.openxmlformats.org/officeDocument/2006/relationships/hyperlink" Target="https://ytenx.org/kyonh/yonhmiuk/%E7%9C%9E/" TargetMode="External"/><Relationship Id="rId92" Type="http://schemas.openxmlformats.org/officeDocument/2006/relationships/hyperlink" Target="https://ytenx.org/kyonh/yonhmiuk/%F0%A7%A4%9B/"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kanji-database.sourceforge.net/dict/sbgy/v4.html" TargetMode="External"/><Relationship Id="rId21" Type="http://schemas.openxmlformats.org/officeDocument/2006/relationships/hyperlink" Target="https://kanji-database.sourceforge.net/dict/sbgy/v4.html" TargetMode="External"/><Relationship Id="rId42" Type="http://schemas.openxmlformats.org/officeDocument/2006/relationships/hyperlink" Target="https://kanji-database.sourceforge.net/dict/sbgy/v1.html" TargetMode="External"/><Relationship Id="rId63" Type="http://schemas.openxmlformats.org/officeDocument/2006/relationships/hyperlink" Target="https://kanji-database.sourceforge.net/dict/sbgy/v5.html" TargetMode="External"/><Relationship Id="rId84" Type="http://schemas.openxmlformats.org/officeDocument/2006/relationships/hyperlink" Target="https://kanji-database.sourceforge.net/dict/sbgy/v5.html" TargetMode="External"/><Relationship Id="rId138" Type="http://schemas.openxmlformats.org/officeDocument/2006/relationships/hyperlink" Target="https://kanji-database.sourceforge.net/dict/sbgy/v2.html" TargetMode="External"/><Relationship Id="rId159" Type="http://schemas.openxmlformats.org/officeDocument/2006/relationships/hyperlink" Target="https://kanji-database.sourceforge.net/dict/sbgy/v3.html" TargetMode="External"/><Relationship Id="rId170" Type="http://schemas.openxmlformats.org/officeDocument/2006/relationships/hyperlink" Target="https://kanji-database.sourceforge.net/dict/sbgy/v4.html" TargetMode="External"/><Relationship Id="rId191" Type="http://schemas.openxmlformats.org/officeDocument/2006/relationships/hyperlink" Target="https://kanji-database.sourceforge.net/dict/sbgy/v2.html" TargetMode="External"/><Relationship Id="rId205" Type="http://schemas.openxmlformats.org/officeDocument/2006/relationships/hyperlink" Target="https://kanji-database.sourceforge.net/dict/sbgy/v4.html" TargetMode="External"/><Relationship Id="rId107" Type="http://schemas.openxmlformats.org/officeDocument/2006/relationships/hyperlink" Target="https://kanji-database.sourceforge.net/dict/sbgy/v4.html" TargetMode="External"/><Relationship Id="rId11" Type="http://schemas.openxmlformats.org/officeDocument/2006/relationships/hyperlink" Target="https://kanji-database.sourceforge.net/dict/sbgy/v5.html" TargetMode="External"/><Relationship Id="rId32" Type="http://schemas.openxmlformats.org/officeDocument/2006/relationships/hyperlink" Target="https://kanji-database.sourceforge.net/dict/sbgy/v3.html" TargetMode="External"/><Relationship Id="rId53" Type="http://schemas.openxmlformats.org/officeDocument/2006/relationships/hyperlink" Target="https://kanji-database.sourceforge.net/dict/sbgy/v3.html" TargetMode="External"/><Relationship Id="rId74" Type="http://schemas.openxmlformats.org/officeDocument/2006/relationships/hyperlink" Target="https://kanji-database.sourceforge.net/dict/sbgy/v1.html" TargetMode="External"/><Relationship Id="rId128" Type="http://schemas.openxmlformats.org/officeDocument/2006/relationships/hyperlink" Target="https://kanji-database.sourceforge.net/dict/sbgy/v3.html" TargetMode="External"/><Relationship Id="rId149" Type="http://schemas.openxmlformats.org/officeDocument/2006/relationships/hyperlink" Target="https://kanji-database.sourceforge.net/dict/sbgy/v5.html" TargetMode="External"/><Relationship Id="rId5" Type="http://schemas.openxmlformats.org/officeDocument/2006/relationships/hyperlink" Target="https://kanji-database.sourceforge.net/dict/sbgy/v1.html" TargetMode="External"/><Relationship Id="rId95" Type="http://schemas.openxmlformats.org/officeDocument/2006/relationships/hyperlink" Target="https://kanji-database.sourceforge.net/dict/sbgy/v4.html" TargetMode="External"/><Relationship Id="rId160" Type="http://schemas.openxmlformats.org/officeDocument/2006/relationships/hyperlink" Target="https://kanji-database.sourceforge.net/dict/sbgy/v4.html" TargetMode="External"/><Relationship Id="rId181" Type="http://schemas.openxmlformats.org/officeDocument/2006/relationships/hyperlink" Target="https://kanji-database.sourceforge.net/dict/sbgy/v4.html" TargetMode="External"/><Relationship Id="rId22" Type="http://schemas.openxmlformats.org/officeDocument/2006/relationships/hyperlink" Target="https://kanji-database.sourceforge.net/dict/sbgy/v1.html" TargetMode="External"/><Relationship Id="rId43" Type="http://schemas.openxmlformats.org/officeDocument/2006/relationships/hyperlink" Target="https://kanji-database.sourceforge.net/dict/sbgy/v3.html" TargetMode="External"/><Relationship Id="rId64" Type="http://schemas.openxmlformats.org/officeDocument/2006/relationships/hyperlink" Target="https://kanji-database.sourceforge.net/dict/sbgy/v1.html" TargetMode="External"/><Relationship Id="rId118" Type="http://schemas.openxmlformats.org/officeDocument/2006/relationships/hyperlink" Target="https://kanji-database.sourceforge.net/dict/sbgy/v2.html" TargetMode="External"/><Relationship Id="rId139" Type="http://schemas.openxmlformats.org/officeDocument/2006/relationships/hyperlink" Target="https://kanji-database.sourceforge.net/dict/sbgy/v3.html" TargetMode="External"/><Relationship Id="rId85" Type="http://schemas.openxmlformats.org/officeDocument/2006/relationships/hyperlink" Target="https://kanji-database.sourceforge.net/dict/sbgy/v1.html" TargetMode="External"/><Relationship Id="rId150" Type="http://schemas.openxmlformats.org/officeDocument/2006/relationships/hyperlink" Target="https://kanji-database.sourceforge.net/dict/sbgy/v2.html" TargetMode="External"/><Relationship Id="rId171" Type="http://schemas.openxmlformats.org/officeDocument/2006/relationships/hyperlink" Target="https://kanji-database.sourceforge.net/dict/sbgy/v2.html" TargetMode="External"/><Relationship Id="rId192" Type="http://schemas.openxmlformats.org/officeDocument/2006/relationships/hyperlink" Target="https://kanji-database.sourceforge.net/dict/sbgy/v3.html" TargetMode="External"/><Relationship Id="rId206" Type="http://schemas.openxmlformats.org/officeDocument/2006/relationships/hyperlink" Target="https://kanji-database.sourceforge.net/dict/sbgy/v5.html" TargetMode="External"/><Relationship Id="rId12" Type="http://schemas.openxmlformats.org/officeDocument/2006/relationships/hyperlink" Target="https://kanji-database.sourceforge.net/dict/sbgy/v1.html" TargetMode="External"/><Relationship Id="rId33" Type="http://schemas.openxmlformats.org/officeDocument/2006/relationships/hyperlink" Target="https://kanji-database.sourceforge.net/dict/sbgy/v4.html" TargetMode="External"/><Relationship Id="rId108" Type="http://schemas.openxmlformats.org/officeDocument/2006/relationships/hyperlink" Target="https://kanji-database.sourceforge.net/dict/sbgy/v5.html" TargetMode="External"/><Relationship Id="rId129" Type="http://schemas.openxmlformats.org/officeDocument/2006/relationships/hyperlink" Target="https://kanji-database.sourceforge.net/dict/sbgy/v4.html" TargetMode="External"/><Relationship Id="rId54" Type="http://schemas.openxmlformats.org/officeDocument/2006/relationships/hyperlink" Target="https://kanji-database.sourceforge.net/dict/sbgy/v4.html" TargetMode="External"/><Relationship Id="rId75" Type="http://schemas.openxmlformats.org/officeDocument/2006/relationships/hyperlink" Target="https://kanji-database.sourceforge.net/dict/sbgy/v3.html" TargetMode="External"/><Relationship Id="rId96" Type="http://schemas.openxmlformats.org/officeDocument/2006/relationships/hyperlink" Target="https://kanji-database.sourceforge.net/dict/sbgy/v5.html" TargetMode="External"/><Relationship Id="rId140" Type="http://schemas.openxmlformats.org/officeDocument/2006/relationships/hyperlink" Target="https://kanji-database.sourceforge.net/dict/sbgy/v4.html" TargetMode="External"/><Relationship Id="rId161" Type="http://schemas.openxmlformats.org/officeDocument/2006/relationships/hyperlink" Target="https://kanji-database.sourceforge.net/dict/sbgy/v5.html" TargetMode="External"/><Relationship Id="rId182" Type="http://schemas.openxmlformats.org/officeDocument/2006/relationships/hyperlink" Target="https://kanji-database.sourceforge.net/dict/sbgy/v5.html" TargetMode="External"/><Relationship Id="rId6" Type="http://schemas.openxmlformats.org/officeDocument/2006/relationships/hyperlink" Target="https://kanji-database.sourceforge.net/dict/sbgy/v4.html" TargetMode="External"/><Relationship Id="rId23" Type="http://schemas.openxmlformats.org/officeDocument/2006/relationships/hyperlink" Target="https://kanji-database.sourceforge.net/dict/sbgy/v3.html" TargetMode="External"/><Relationship Id="rId119" Type="http://schemas.openxmlformats.org/officeDocument/2006/relationships/hyperlink" Target="https://kanji-database.sourceforge.net/dict/sbgy/v3.html" TargetMode="External"/><Relationship Id="rId44" Type="http://schemas.openxmlformats.org/officeDocument/2006/relationships/hyperlink" Target="https://kanji-database.sourceforge.net/dict/sbgy/v4.html" TargetMode="External"/><Relationship Id="rId65" Type="http://schemas.openxmlformats.org/officeDocument/2006/relationships/hyperlink" Target="https://kanji-database.sourceforge.net/dict/sbgy/v5.html" TargetMode="External"/><Relationship Id="rId86" Type="http://schemas.openxmlformats.org/officeDocument/2006/relationships/hyperlink" Target="https://kanji-database.sourceforge.net/dict/sbgy/v3.html" TargetMode="External"/><Relationship Id="rId130" Type="http://schemas.openxmlformats.org/officeDocument/2006/relationships/hyperlink" Target="https://kanji-database.sourceforge.net/dict/sbgy/v2.html" TargetMode="External"/><Relationship Id="rId151" Type="http://schemas.openxmlformats.org/officeDocument/2006/relationships/hyperlink" Target="https://kanji-database.sourceforge.net/dict/sbgy/v3.html" TargetMode="External"/><Relationship Id="rId172" Type="http://schemas.openxmlformats.org/officeDocument/2006/relationships/hyperlink" Target="https://kanji-database.sourceforge.net/dict/sbgy/v3.html" TargetMode="External"/><Relationship Id="rId193" Type="http://schemas.openxmlformats.org/officeDocument/2006/relationships/hyperlink" Target="https://kanji-database.sourceforge.net/dict/sbgy/v4.html" TargetMode="External"/><Relationship Id="rId207" Type="http://schemas.openxmlformats.org/officeDocument/2006/relationships/printerSettings" Target="../printerSettings/printerSettings1.bin"/><Relationship Id="rId13" Type="http://schemas.openxmlformats.org/officeDocument/2006/relationships/hyperlink" Target="https://kanji-database.sourceforge.net/dict/sbgy/v3.html" TargetMode="External"/><Relationship Id="rId109" Type="http://schemas.openxmlformats.org/officeDocument/2006/relationships/hyperlink" Target="https://kanji-database.sourceforge.net/dict/sbgy/v2.html" TargetMode="External"/><Relationship Id="rId34" Type="http://schemas.openxmlformats.org/officeDocument/2006/relationships/hyperlink" Target="https://kanji-database.sourceforge.net/dict/sbgy/v1.html" TargetMode="External"/><Relationship Id="rId55" Type="http://schemas.openxmlformats.org/officeDocument/2006/relationships/hyperlink" Target="https://kanji-database.sourceforge.net/dict/sbgy/v4.html" TargetMode="External"/><Relationship Id="rId76" Type="http://schemas.openxmlformats.org/officeDocument/2006/relationships/hyperlink" Target="https://kanji-database.sourceforge.net/dict/sbgy/v4.html" TargetMode="External"/><Relationship Id="rId97" Type="http://schemas.openxmlformats.org/officeDocument/2006/relationships/hyperlink" Target="https://kanji-database.sourceforge.net/dict/sbgy/v1.html" TargetMode="External"/><Relationship Id="rId120" Type="http://schemas.openxmlformats.org/officeDocument/2006/relationships/hyperlink" Target="https://kanji-database.sourceforge.net/dict/sbgy/v4.html" TargetMode="External"/><Relationship Id="rId141" Type="http://schemas.openxmlformats.org/officeDocument/2006/relationships/hyperlink" Target="https://kanji-database.sourceforge.net/dict/sbgy/v5.html" TargetMode="External"/><Relationship Id="rId7" Type="http://schemas.openxmlformats.org/officeDocument/2006/relationships/hyperlink" Target="https://kanji-database.sourceforge.net/dict/sbgy/v5.html" TargetMode="External"/><Relationship Id="rId162" Type="http://schemas.openxmlformats.org/officeDocument/2006/relationships/hyperlink" Target="https://kanji-database.sourceforge.net/dict/sbgy/v2.html" TargetMode="External"/><Relationship Id="rId183" Type="http://schemas.openxmlformats.org/officeDocument/2006/relationships/hyperlink" Target="https://kanji-database.sourceforge.net/dict/sbgy/v2.html" TargetMode="External"/><Relationship Id="rId24" Type="http://schemas.openxmlformats.org/officeDocument/2006/relationships/hyperlink" Target="https://kanji-database.sourceforge.net/dict/sbgy/v4.html" TargetMode="External"/><Relationship Id="rId45" Type="http://schemas.openxmlformats.org/officeDocument/2006/relationships/hyperlink" Target="https://kanji-database.sourceforge.net/dict/sbgy/v1.html" TargetMode="External"/><Relationship Id="rId66" Type="http://schemas.openxmlformats.org/officeDocument/2006/relationships/hyperlink" Target="https://kanji-database.sourceforge.net/dict/sbgy/v1.html" TargetMode="External"/><Relationship Id="rId87" Type="http://schemas.openxmlformats.org/officeDocument/2006/relationships/hyperlink" Target="https://kanji-database.sourceforge.net/dict/sbgy/v4.html" TargetMode="External"/><Relationship Id="rId110" Type="http://schemas.openxmlformats.org/officeDocument/2006/relationships/hyperlink" Target="https://kanji-database.sourceforge.net/dict/sbgy/v3.html" TargetMode="External"/><Relationship Id="rId131" Type="http://schemas.openxmlformats.org/officeDocument/2006/relationships/hyperlink" Target="https://kanji-database.sourceforge.net/dict/sbgy/v3.html" TargetMode="External"/><Relationship Id="rId61" Type="http://schemas.openxmlformats.org/officeDocument/2006/relationships/hyperlink" Target="https://kanji-database.sourceforge.net/dict/sbgy/v3.html" TargetMode="External"/><Relationship Id="rId82" Type="http://schemas.openxmlformats.org/officeDocument/2006/relationships/hyperlink" Target="https://kanji-database.sourceforge.net/dict/sbgy/v3.html" TargetMode="External"/><Relationship Id="rId152" Type="http://schemas.openxmlformats.org/officeDocument/2006/relationships/hyperlink" Target="https://kanji-database.sourceforge.net/dict/sbgy/v4.html" TargetMode="External"/><Relationship Id="rId173" Type="http://schemas.openxmlformats.org/officeDocument/2006/relationships/hyperlink" Target="https://kanji-database.sourceforge.net/dict/sbgy/v4.html" TargetMode="External"/><Relationship Id="rId194" Type="http://schemas.openxmlformats.org/officeDocument/2006/relationships/hyperlink" Target="https://kanji-database.sourceforge.net/dict/sbgy/v5.html" TargetMode="External"/><Relationship Id="rId199" Type="http://schemas.openxmlformats.org/officeDocument/2006/relationships/hyperlink" Target="https://kanji-database.sourceforge.net/dict/sbgy/v2.html" TargetMode="External"/><Relationship Id="rId203" Type="http://schemas.openxmlformats.org/officeDocument/2006/relationships/hyperlink" Target="https://kanji-database.sourceforge.net/dict/sbgy/v2.html" TargetMode="External"/><Relationship Id="rId208" Type="http://schemas.openxmlformats.org/officeDocument/2006/relationships/vmlDrawing" Target="../drawings/vmlDrawing1.vml"/><Relationship Id="rId19" Type="http://schemas.openxmlformats.org/officeDocument/2006/relationships/hyperlink" Target="https://kanji-database.sourceforge.net/dict/sbgy/v1.html" TargetMode="External"/><Relationship Id="rId14" Type="http://schemas.openxmlformats.org/officeDocument/2006/relationships/hyperlink" Target="https://kanji-database.sourceforge.net/dict/sbgy/v4.html" TargetMode="External"/><Relationship Id="rId30" Type="http://schemas.openxmlformats.org/officeDocument/2006/relationships/hyperlink" Target="https://kanji-database.sourceforge.net/dict/sbgy/v4.html" TargetMode="External"/><Relationship Id="rId35" Type="http://schemas.openxmlformats.org/officeDocument/2006/relationships/hyperlink" Target="https://kanji-database.sourceforge.net/dict/sbgy/v3.html" TargetMode="External"/><Relationship Id="rId56" Type="http://schemas.openxmlformats.org/officeDocument/2006/relationships/hyperlink" Target="https://kanji-database.sourceforge.net/dict/sbgy/v1.html" TargetMode="External"/><Relationship Id="rId77" Type="http://schemas.openxmlformats.org/officeDocument/2006/relationships/hyperlink" Target="https://kanji-database.sourceforge.net/dict/sbgy/v5.html" TargetMode="External"/><Relationship Id="rId100" Type="http://schemas.openxmlformats.org/officeDocument/2006/relationships/hyperlink" Target="https://kanji-database.sourceforge.net/dict/sbgy/v5.html" TargetMode="External"/><Relationship Id="rId105" Type="http://schemas.openxmlformats.org/officeDocument/2006/relationships/hyperlink" Target="https://kanji-database.sourceforge.net/dict/sbgy/v2.html" TargetMode="External"/><Relationship Id="rId126" Type="http://schemas.openxmlformats.org/officeDocument/2006/relationships/hyperlink" Target="https://kanji-database.sourceforge.net/dict/sbgy/v4.html" TargetMode="External"/><Relationship Id="rId147" Type="http://schemas.openxmlformats.org/officeDocument/2006/relationships/hyperlink" Target="https://kanji-database.sourceforge.net/dict/sbgy/v3.html" TargetMode="External"/><Relationship Id="rId168" Type="http://schemas.openxmlformats.org/officeDocument/2006/relationships/hyperlink" Target="https://kanji-database.sourceforge.net/dict/sbgy/v2.html" TargetMode="External"/><Relationship Id="rId8" Type="http://schemas.openxmlformats.org/officeDocument/2006/relationships/hyperlink" Target="https://kanji-database.sourceforge.net/dict/sbgy/v1.html" TargetMode="External"/><Relationship Id="rId51" Type="http://schemas.openxmlformats.org/officeDocument/2006/relationships/hyperlink" Target="https://kanji-database.sourceforge.net/dict/sbgy/v4.html" TargetMode="External"/><Relationship Id="rId72" Type="http://schemas.openxmlformats.org/officeDocument/2006/relationships/hyperlink" Target="https://kanji-database.sourceforge.net/dict/sbgy/v4.html" TargetMode="External"/><Relationship Id="rId93" Type="http://schemas.openxmlformats.org/officeDocument/2006/relationships/hyperlink" Target="https://kanji-database.sourceforge.net/dict/sbgy/v1.html" TargetMode="External"/><Relationship Id="rId98" Type="http://schemas.openxmlformats.org/officeDocument/2006/relationships/hyperlink" Target="https://kanji-database.sourceforge.net/dict/sbgy/v3.html" TargetMode="External"/><Relationship Id="rId121" Type="http://schemas.openxmlformats.org/officeDocument/2006/relationships/hyperlink" Target="https://kanji-database.sourceforge.net/dict/sbgy/v2.html" TargetMode="External"/><Relationship Id="rId142" Type="http://schemas.openxmlformats.org/officeDocument/2006/relationships/hyperlink" Target="https://kanji-database.sourceforge.net/dict/sbgy/v2.html" TargetMode="External"/><Relationship Id="rId163" Type="http://schemas.openxmlformats.org/officeDocument/2006/relationships/hyperlink" Target="https://kanji-database.sourceforge.net/dict/sbgy/v3.html" TargetMode="External"/><Relationship Id="rId184" Type="http://schemas.openxmlformats.org/officeDocument/2006/relationships/hyperlink" Target="https://kanji-database.sourceforge.net/dict/sbgy/v3.html" TargetMode="External"/><Relationship Id="rId189" Type="http://schemas.openxmlformats.org/officeDocument/2006/relationships/hyperlink" Target="https://kanji-database.sourceforge.net/dict/sbgy/v4.html" TargetMode="External"/><Relationship Id="rId3" Type="http://schemas.openxmlformats.org/officeDocument/2006/relationships/hyperlink" Target="https://kanji-database.sourceforge.net/dict/sbgy/v4.html" TargetMode="External"/><Relationship Id="rId25" Type="http://schemas.openxmlformats.org/officeDocument/2006/relationships/hyperlink" Target="https://kanji-database.sourceforge.net/dict/sbgy/v1.html" TargetMode="External"/><Relationship Id="rId46" Type="http://schemas.openxmlformats.org/officeDocument/2006/relationships/hyperlink" Target="https://kanji-database.sourceforge.net/dict/sbgy/v3.html" TargetMode="External"/><Relationship Id="rId67" Type="http://schemas.openxmlformats.org/officeDocument/2006/relationships/hyperlink" Target="https://kanji-database.sourceforge.net/dict/sbgy/v3.html" TargetMode="External"/><Relationship Id="rId116" Type="http://schemas.openxmlformats.org/officeDocument/2006/relationships/hyperlink" Target="https://kanji-database.sourceforge.net/dict/sbgy/v3.html" TargetMode="External"/><Relationship Id="rId137" Type="http://schemas.openxmlformats.org/officeDocument/2006/relationships/hyperlink" Target="https://kanji-database.sourceforge.net/dict/sbgy/v5.html" TargetMode="External"/><Relationship Id="rId158" Type="http://schemas.openxmlformats.org/officeDocument/2006/relationships/hyperlink" Target="https://kanji-database.sourceforge.net/dict/sbgy/v2.html" TargetMode="External"/><Relationship Id="rId20" Type="http://schemas.openxmlformats.org/officeDocument/2006/relationships/hyperlink" Target="https://kanji-database.sourceforge.net/dict/sbgy/v3.html" TargetMode="External"/><Relationship Id="rId41" Type="http://schemas.openxmlformats.org/officeDocument/2006/relationships/hyperlink" Target="https://kanji-database.sourceforge.net/dict/sbgy/v4.html" TargetMode="External"/><Relationship Id="rId62" Type="http://schemas.openxmlformats.org/officeDocument/2006/relationships/hyperlink" Target="https://kanji-database.sourceforge.net/dict/sbgy/v4.html" TargetMode="External"/><Relationship Id="rId83" Type="http://schemas.openxmlformats.org/officeDocument/2006/relationships/hyperlink" Target="https://kanji-database.sourceforge.net/dict/sbgy/v4.html" TargetMode="External"/><Relationship Id="rId88" Type="http://schemas.openxmlformats.org/officeDocument/2006/relationships/hyperlink" Target="https://kanji-database.sourceforge.net/dict/sbgy/v5.html" TargetMode="External"/><Relationship Id="rId111" Type="http://schemas.openxmlformats.org/officeDocument/2006/relationships/hyperlink" Target="https://kanji-database.sourceforge.net/dict/sbgy/v4.html" TargetMode="External"/><Relationship Id="rId132" Type="http://schemas.openxmlformats.org/officeDocument/2006/relationships/hyperlink" Target="https://kanji-database.sourceforge.net/dict/sbgy/v4.html" TargetMode="External"/><Relationship Id="rId153" Type="http://schemas.openxmlformats.org/officeDocument/2006/relationships/hyperlink" Target="https://kanji-database.sourceforge.net/dict/sbgy/v5.html" TargetMode="External"/><Relationship Id="rId174" Type="http://schemas.openxmlformats.org/officeDocument/2006/relationships/hyperlink" Target="https://kanji-database.sourceforge.net/dict/sbgy/v5.html" TargetMode="External"/><Relationship Id="rId179" Type="http://schemas.openxmlformats.org/officeDocument/2006/relationships/hyperlink" Target="https://kanji-database.sourceforge.net/dict/sbgy/v2.html" TargetMode="External"/><Relationship Id="rId195" Type="http://schemas.openxmlformats.org/officeDocument/2006/relationships/hyperlink" Target="https://kanji-database.sourceforge.net/dict/sbgy/v2.html" TargetMode="External"/><Relationship Id="rId209" Type="http://schemas.openxmlformats.org/officeDocument/2006/relationships/comments" Target="../comments1.xml"/><Relationship Id="rId190" Type="http://schemas.openxmlformats.org/officeDocument/2006/relationships/hyperlink" Target="https://kanji-database.sourceforge.net/dict/sbgy/v5.html" TargetMode="External"/><Relationship Id="rId204" Type="http://schemas.openxmlformats.org/officeDocument/2006/relationships/hyperlink" Target="https://kanji-database.sourceforge.net/dict/sbgy/v3.html" TargetMode="External"/><Relationship Id="rId15" Type="http://schemas.openxmlformats.org/officeDocument/2006/relationships/hyperlink" Target="https://kanji-database.sourceforge.net/dict/sbgy/v5.html" TargetMode="External"/><Relationship Id="rId36" Type="http://schemas.openxmlformats.org/officeDocument/2006/relationships/hyperlink" Target="https://kanji-database.sourceforge.net/dict/sbgy/v4.html" TargetMode="External"/><Relationship Id="rId57" Type="http://schemas.openxmlformats.org/officeDocument/2006/relationships/hyperlink" Target="https://kanji-database.sourceforge.net/dict/sbgy/v3.html" TargetMode="External"/><Relationship Id="rId106" Type="http://schemas.openxmlformats.org/officeDocument/2006/relationships/hyperlink" Target="https://kanji-database.sourceforge.net/dict/sbgy/v3.html" TargetMode="External"/><Relationship Id="rId127" Type="http://schemas.openxmlformats.org/officeDocument/2006/relationships/hyperlink" Target="https://kanji-database.sourceforge.net/dict/sbgy/v2.html" TargetMode="External"/><Relationship Id="rId10" Type="http://schemas.openxmlformats.org/officeDocument/2006/relationships/hyperlink" Target="https://kanji-database.sourceforge.net/dict/sbgy/v4.html" TargetMode="External"/><Relationship Id="rId31" Type="http://schemas.openxmlformats.org/officeDocument/2006/relationships/hyperlink" Target="https://kanji-database.sourceforge.net/dict/sbgy/v1.html" TargetMode="External"/><Relationship Id="rId52" Type="http://schemas.openxmlformats.org/officeDocument/2006/relationships/hyperlink" Target="https://kanji-database.sourceforge.net/dict/sbgy/v1.html" TargetMode="External"/><Relationship Id="rId73" Type="http://schemas.openxmlformats.org/officeDocument/2006/relationships/hyperlink" Target="https://kanji-database.sourceforge.net/dict/sbgy/v5.html" TargetMode="External"/><Relationship Id="rId78" Type="http://schemas.openxmlformats.org/officeDocument/2006/relationships/hyperlink" Target="https://kanji-database.sourceforge.net/dict/sbgy/v1.html" TargetMode="External"/><Relationship Id="rId94" Type="http://schemas.openxmlformats.org/officeDocument/2006/relationships/hyperlink" Target="https://kanji-database.sourceforge.net/dict/sbgy/v3.html" TargetMode="External"/><Relationship Id="rId99" Type="http://schemas.openxmlformats.org/officeDocument/2006/relationships/hyperlink" Target="https://kanji-database.sourceforge.net/dict/sbgy/v4.html" TargetMode="External"/><Relationship Id="rId101" Type="http://schemas.openxmlformats.org/officeDocument/2006/relationships/hyperlink" Target="https://kanji-database.sourceforge.net/dict/sbgy/v2.html" TargetMode="External"/><Relationship Id="rId122" Type="http://schemas.openxmlformats.org/officeDocument/2006/relationships/hyperlink" Target="https://kanji-database.sourceforge.net/dict/sbgy/v3.html" TargetMode="External"/><Relationship Id="rId143" Type="http://schemas.openxmlformats.org/officeDocument/2006/relationships/hyperlink" Target="https://kanji-database.sourceforge.net/dict/sbgy/v3.html" TargetMode="External"/><Relationship Id="rId148" Type="http://schemas.openxmlformats.org/officeDocument/2006/relationships/hyperlink" Target="https://kanji-database.sourceforge.net/dict/sbgy/v4.html" TargetMode="External"/><Relationship Id="rId164" Type="http://schemas.openxmlformats.org/officeDocument/2006/relationships/hyperlink" Target="https://kanji-database.sourceforge.net/dict/sbgy/v4.html" TargetMode="External"/><Relationship Id="rId169" Type="http://schemas.openxmlformats.org/officeDocument/2006/relationships/hyperlink" Target="https://kanji-database.sourceforge.net/dict/sbgy/v3.html" TargetMode="External"/><Relationship Id="rId185" Type="http://schemas.openxmlformats.org/officeDocument/2006/relationships/hyperlink" Target="https://kanji-database.sourceforge.net/dict/sbgy/v4.html" TargetMode="External"/><Relationship Id="rId4" Type="http://schemas.openxmlformats.org/officeDocument/2006/relationships/hyperlink" Target="https://kanji-database.sourceforge.net/dict/sbgy/v5.html" TargetMode="External"/><Relationship Id="rId9" Type="http://schemas.openxmlformats.org/officeDocument/2006/relationships/hyperlink" Target="https://kanji-database.sourceforge.net/dict/sbgy/v3.html" TargetMode="External"/><Relationship Id="rId180" Type="http://schemas.openxmlformats.org/officeDocument/2006/relationships/hyperlink" Target="https://kanji-database.sourceforge.net/dict/sbgy/v3.html" TargetMode="External"/><Relationship Id="rId26" Type="http://schemas.openxmlformats.org/officeDocument/2006/relationships/hyperlink" Target="https://kanji-database.sourceforge.net/dict/sbgy/v3.html" TargetMode="External"/><Relationship Id="rId47" Type="http://schemas.openxmlformats.org/officeDocument/2006/relationships/hyperlink" Target="https://kanji-database.sourceforge.net/dict/sbgy/v4.html" TargetMode="External"/><Relationship Id="rId68" Type="http://schemas.openxmlformats.org/officeDocument/2006/relationships/hyperlink" Target="https://kanji-database.sourceforge.net/dict/sbgy/v4.html" TargetMode="External"/><Relationship Id="rId89" Type="http://schemas.openxmlformats.org/officeDocument/2006/relationships/hyperlink" Target="https://kanji-database.sourceforge.net/dict/sbgy/v1.html" TargetMode="External"/><Relationship Id="rId112" Type="http://schemas.openxmlformats.org/officeDocument/2006/relationships/hyperlink" Target="https://kanji-database.sourceforge.net/dict/sbgy/v2.html" TargetMode="External"/><Relationship Id="rId133" Type="http://schemas.openxmlformats.org/officeDocument/2006/relationships/hyperlink" Target="https://kanji-database.sourceforge.net/dict/sbgy/v5.html" TargetMode="External"/><Relationship Id="rId154" Type="http://schemas.openxmlformats.org/officeDocument/2006/relationships/hyperlink" Target="https://kanji-database.sourceforge.net/dict/sbgy/v2.html" TargetMode="External"/><Relationship Id="rId175" Type="http://schemas.openxmlformats.org/officeDocument/2006/relationships/hyperlink" Target="https://kanji-database.sourceforge.net/dict/sbgy/v2.html" TargetMode="External"/><Relationship Id="rId196" Type="http://schemas.openxmlformats.org/officeDocument/2006/relationships/hyperlink" Target="https://kanji-database.sourceforge.net/dict/sbgy/v3.html" TargetMode="External"/><Relationship Id="rId200" Type="http://schemas.openxmlformats.org/officeDocument/2006/relationships/hyperlink" Target="https://kanji-database.sourceforge.net/dict/sbgy/v3.html" TargetMode="External"/><Relationship Id="rId16" Type="http://schemas.openxmlformats.org/officeDocument/2006/relationships/hyperlink" Target="https://kanji-database.sourceforge.net/dict/sbgy/v1.html" TargetMode="External"/><Relationship Id="rId37" Type="http://schemas.openxmlformats.org/officeDocument/2006/relationships/hyperlink" Target="https://kanji-database.sourceforge.net/dict/sbgy/v1.html" TargetMode="External"/><Relationship Id="rId58" Type="http://schemas.openxmlformats.org/officeDocument/2006/relationships/hyperlink" Target="https://kanji-database.sourceforge.net/dict/sbgy/v4.html" TargetMode="External"/><Relationship Id="rId79" Type="http://schemas.openxmlformats.org/officeDocument/2006/relationships/hyperlink" Target="https://kanji-database.sourceforge.net/dict/sbgy/v3.html" TargetMode="External"/><Relationship Id="rId102" Type="http://schemas.openxmlformats.org/officeDocument/2006/relationships/hyperlink" Target="https://kanji-database.sourceforge.net/dict/sbgy/v3.html" TargetMode="External"/><Relationship Id="rId123" Type="http://schemas.openxmlformats.org/officeDocument/2006/relationships/hyperlink" Target="https://kanji-database.sourceforge.net/dict/sbgy/v4.html" TargetMode="External"/><Relationship Id="rId144" Type="http://schemas.openxmlformats.org/officeDocument/2006/relationships/hyperlink" Target="https://kanji-database.sourceforge.net/dict/sbgy/v4.html" TargetMode="External"/><Relationship Id="rId90" Type="http://schemas.openxmlformats.org/officeDocument/2006/relationships/hyperlink" Target="https://kanji-database.sourceforge.net/dict/sbgy/v3.html" TargetMode="External"/><Relationship Id="rId165" Type="http://schemas.openxmlformats.org/officeDocument/2006/relationships/hyperlink" Target="https://kanji-database.sourceforge.net/dict/sbgy/v2.html" TargetMode="External"/><Relationship Id="rId186" Type="http://schemas.openxmlformats.org/officeDocument/2006/relationships/hyperlink" Target="https://kanji-database.sourceforge.net/dict/sbgy/v5.html" TargetMode="External"/><Relationship Id="rId27" Type="http://schemas.openxmlformats.org/officeDocument/2006/relationships/hyperlink" Target="https://kanji-database.sourceforge.net/dict/sbgy/v4.html" TargetMode="External"/><Relationship Id="rId48" Type="http://schemas.openxmlformats.org/officeDocument/2006/relationships/hyperlink" Target="https://kanji-database.sourceforge.net/dict/sbgy/v4.html" TargetMode="External"/><Relationship Id="rId69" Type="http://schemas.openxmlformats.org/officeDocument/2006/relationships/hyperlink" Target="https://kanji-database.sourceforge.net/dict/sbgy/v5.html" TargetMode="External"/><Relationship Id="rId113" Type="http://schemas.openxmlformats.org/officeDocument/2006/relationships/hyperlink" Target="https://kanji-database.sourceforge.net/dict/sbgy/v3.html" TargetMode="External"/><Relationship Id="rId134" Type="http://schemas.openxmlformats.org/officeDocument/2006/relationships/hyperlink" Target="https://kanji-database.sourceforge.net/dict/sbgy/v2.html" TargetMode="External"/><Relationship Id="rId80" Type="http://schemas.openxmlformats.org/officeDocument/2006/relationships/hyperlink" Target="https://kanji-database.sourceforge.net/dict/sbgy/v4.html" TargetMode="External"/><Relationship Id="rId155" Type="http://schemas.openxmlformats.org/officeDocument/2006/relationships/hyperlink" Target="https://kanji-database.sourceforge.net/dict/sbgy/v3.html" TargetMode="External"/><Relationship Id="rId176" Type="http://schemas.openxmlformats.org/officeDocument/2006/relationships/hyperlink" Target="https://kanji-database.sourceforge.net/dict/sbgy/v3.html" TargetMode="External"/><Relationship Id="rId197" Type="http://schemas.openxmlformats.org/officeDocument/2006/relationships/hyperlink" Target="https://kanji-database.sourceforge.net/dict/sbgy/v4.html" TargetMode="External"/><Relationship Id="rId201" Type="http://schemas.openxmlformats.org/officeDocument/2006/relationships/hyperlink" Target="https://kanji-database.sourceforge.net/dict/sbgy/v4.html" TargetMode="External"/><Relationship Id="rId17" Type="http://schemas.openxmlformats.org/officeDocument/2006/relationships/hyperlink" Target="https://kanji-database.sourceforge.net/dict/sbgy/v3.html" TargetMode="External"/><Relationship Id="rId38" Type="http://schemas.openxmlformats.org/officeDocument/2006/relationships/hyperlink" Target="https://kanji-database.sourceforge.net/dict/sbgy/v3.html" TargetMode="External"/><Relationship Id="rId59" Type="http://schemas.openxmlformats.org/officeDocument/2006/relationships/hyperlink" Target="https://kanji-database.sourceforge.net/dict/sbgy/v5.html" TargetMode="External"/><Relationship Id="rId103" Type="http://schemas.openxmlformats.org/officeDocument/2006/relationships/hyperlink" Target="https://kanji-database.sourceforge.net/dict/sbgy/v4.html" TargetMode="External"/><Relationship Id="rId124" Type="http://schemas.openxmlformats.org/officeDocument/2006/relationships/hyperlink" Target="https://kanji-database.sourceforge.net/dict/sbgy/v2.html" TargetMode="External"/><Relationship Id="rId70" Type="http://schemas.openxmlformats.org/officeDocument/2006/relationships/hyperlink" Target="https://kanji-database.sourceforge.net/dict/sbgy/v1.html" TargetMode="External"/><Relationship Id="rId91" Type="http://schemas.openxmlformats.org/officeDocument/2006/relationships/hyperlink" Target="https://kanji-database.sourceforge.net/dict/sbgy/v4.html" TargetMode="External"/><Relationship Id="rId145" Type="http://schemas.openxmlformats.org/officeDocument/2006/relationships/hyperlink" Target="https://kanji-database.sourceforge.net/dict/sbgy/v5.html" TargetMode="External"/><Relationship Id="rId166" Type="http://schemas.openxmlformats.org/officeDocument/2006/relationships/hyperlink" Target="https://kanji-database.sourceforge.net/dict/sbgy/v3.html" TargetMode="External"/><Relationship Id="rId187" Type="http://schemas.openxmlformats.org/officeDocument/2006/relationships/hyperlink" Target="https://kanji-database.sourceforge.net/dict/sbgy/v2.html" TargetMode="External"/><Relationship Id="rId1" Type="http://schemas.openxmlformats.org/officeDocument/2006/relationships/hyperlink" Target="https://kanji-database.sourceforge.net/dict/sbgy/v1.html" TargetMode="External"/><Relationship Id="rId28" Type="http://schemas.openxmlformats.org/officeDocument/2006/relationships/hyperlink" Target="https://kanji-database.sourceforge.net/dict/sbgy/v1.html" TargetMode="External"/><Relationship Id="rId49" Type="http://schemas.openxmlformats.org/officeDocument/2006/relationships/hyperlink" Target="https://kanji-database.sourceforge.net/dict/sbgy/v1.html" TargetMode="External"/><Relationship Id="rId114" Type="http://schemas.openxmlformats.org/officeDocument/2006/relationships/hyperlink" Target="https://kanji-database.sourceforge.net/dict/sbgy/v4.html" TargetMode="External"/><Relationship Id="rId60" Type="http://schemas.openxmlformats.org/officeDocument/2006/relationships/hyperlink" Target="https://kanji-database.sourceforge.net/dict/sbgy/v1.html" TargetMode="External"/><Relationship Id="rId81" Type="http://schemas.openxmlformats.org/officeDocument/2006/relationships/hyperlink" Target="https://kanji-database.sourceforge.net/dict/sbgy/v1.html" TargetMode="External"/><Relationship Id="rId135" Type="http://schemas.openxmlformats.org/officeDocument/2006/relationships/hyperlink" Target="https://kanji-database.sourceforge.net/dict/sbgy/v3.html" TargetMode="External"/><Relationship Id="rId156" Type="http://schemas.openxmlformats.org/officeDocument/2006/relationships/hyperlink" Target="https://kanji-database.sourceforge.net/dict/sbgy/v4.html" TargetMode="External"/><Relationship Id="rId177" Type="http://schemas.openxmlformats.org/officeDocument/2006/relationships/hyperlink" Target="https://kanji-database.sourceforge.net/dict/sbgy/v4.html" TargetMode="External"/><Relationship Id="rId198" Type="http://schemas.openxmlformats.org/officeDocument/2006/relationships/hyperlink" Target="https://kanji-database.sourceforge.net/dict/sbgy/v5.html" TargetMode="External"/><Relationship Id="rId202" Type="http://schemas.openxmlformats.org/officeDocument/2006/relationships/hyperlink" Target="https://kanji-database.sourceforge.net/dict/sbgy/v5.html" TargetMode="External"/><Relationship Id="rId18" Type="http://schemas.openxmlformats.org/officeDocument/2006/relationships/hyperlink" Target="https://kanji-database.sourceforge.net/dict/sbgy/v4.html" TargetMode="External"/><Relationship Id="rId39" Type="http://schemas.openxmlformats.org/officeDocument/2006/relationships/hyperlink" Target="https://kanji-database.sourceforge.net/dict/sbgy/v4.html" TargetMode="External"/><Relationship Id="rId50" Type="http://schemas.openxmlformats.org/officeDocument/2006/relationships/hyperlink" Target="https://kanji-database.sourceforge.net/dict/sbgy/v3.html" TargetMode="External"/><Relationship Id="rId104" Type="http://schemas.openxmlformats.org/officeDocument/2006/relationships/hyperlink" Target="https://kanji-database.sourceforge.net/dict/sbgy/v5.html" TargetMode="External"/><Relationship Id="rId125" Type="http://schemas.openxmlformats.org/officeDocument/2006/relationships/hyperlink" Target="https://kanji-database.sourceforge.net/dict/sbgy/v3.html" TargetMode="External"/><Relationship Id="rId146" Type="http://schemas.openxmlformats.org/officeDocument/2006/relationships/hyperlink" Target="https://kanji-database.sourceforge.net/dict/sbgy/v2.html" TargetMode="External"/><Relationship Id="rId167" Type="http://schemas.openxmlformats.org/officeDocument/2006/relationships/hyperlink" Target="https://kanji-database.sourceforge.net/dict/sbgy/v4.html" TargetMode="External"/><Relationship Id="rId188" Type="http://schemas.openxmlformats.org/officeDocument/2006/relationships/hyperlink" Target="https://kanji-database.sourceforge.net/dict/sbgy/v3.html" TargetMode="External"/><Relationship Id="rId71" Type="http://schemas.openxmlformats.org/officeDocument/2006/relationships/hyperlink" Target="https://kanji-database.sourceforge.net/dict/sbgy/v3.html" TargetMode="External"/><Relationship Id="rId92" Type="http://schemas.openxmlformats.org/officeDocument/2006/relationships/hyperlink" Target="https://kanji-database.sourceforge.net/dict/sbgy/v5.html" TargetMode="External"/><Relationship Id="rId2" Type="http://schemas.openxmlformats.org/officeDocument/2006/relationships/hyperlink" Target="https://kanji-database.sourceforge.net/dict/sbgy/v3.html" TargetMode="External"/><Relationship Id="rId29" Type="http://schemas.openxmlformats.org/officeDocument/2006/relationships/hyperlink" Target="https://kanji-database.sourceforge.net/dict/sbgy/v3.html" TargetMode="External"/><Relationship Id="rId40" Type="http://schemas.openxmlformats.org/officeDocument/2006/relationships/hyperlink" Target="https://kanji-database.sourceforge.net/dict/sbgy/v4.html" TargetMode="External"/><Relationship Id="rId115" Type="http://schemas.openxmlformats.org/officeDocument/2006/relationships/hyperlink" Target="https://kanji-database.sourceforge.net/dict/sbgy/v2.html" TargetMode="External"/><Relationship Id="rId136" Type="http://schemas.openxmlformats.org/officeDocument/2006/relationships/hyperlink" Target="https://kanji-database.sourceforge.net/dict/sbgy/v4.html" TargetMode="External"/><Relationship Id="rId157" Type="http://schemas.openxmlformats.org/officeDocument/2006/relationships/hyperlink" Target="https://kanji-database.sourceforge.net/dict/sbgy/v5.html" TargetMode="External"/><Relationship Id="rId178" Type="http://schemas.openxmlformats.org/officeDocument/2006/relationships/hyperlink" Target="https://kanji-database.sourceforge.net/dict/sbgy/v5.html"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CCAB-351F-44B3-AD0F-6CE2CCFEC5DC}">
  <dimension ref="B1:X13"/>
  <sheetViews>
    <sheetView showGridLines="0" tabSelected="1" workbookViewId="0">
      <selection activeCell="X11" sqref="X11"/>
    </sheetView>
  </sheetViews>
  <sheetFormatPr defaultColWidth="12.875" defaultRowHeight="39" outlineLevelCol="1"/>
  <cols>
    <col min="1" max="1" width="4.75" style="45" customWidth="1"/>
    <col min="2" max="2" width="14" style="335" customWidth="1"/>
    <col min="3" max="3" width="13.5" style="45" customWidth="1"/>
    <col min="4" max="5" width="12.875" style="45" hidden="1" customWidth="1" outlineLevel="1"/>
    <col min="6" max="6" width="5.125" style="45" customWidth="1" collapsed="1"/>
    <col min="7" max="7" width="16.25" style="45" customWidth="1"/>
    <col min="8" max="8" width="12.875" style="45"/>
    <col min="9" max="9" width="5.125" style="45" customWidth="1"/>
    <col min="10" max="10" width="15.125" style="45" customWidth="1"/>
    <col min="11" max="11" width="10.625" style="45" customWidth="1"/>
    <col min="12" max="12" width="4.625" style="45" customWidth="1"/>
    <col min="13" max="13" width="15" style="45" customWidth="1"/>
    <col min="14" max="15" width="9.625" style="45" customWidth="1"/>
    <col min="16" max="16" width="12.875" style="45"/>
    <col min="17" max="18" width="12.875" style="45" hidden="1" customWidth="1" outlineLevel="1"/>
    <col min="19" max="21" width="20.5" style="45" hidden="1" customWidth="1" outlineLevel="1"/>
    <col min="22" max="22" width="12.875" style="45" collapsed="1"/>
    <col min="23" max="16384" width="12.875" style="45"/>
  </cols>
  <sheetData>
    <row r="1" spans="2:20" ht="20.25" customHeight="1"/>
    <row r="2" spans="2:20">
      <c r="B2" s="335" t="s">
        <v>2423</v>
      </c>
      <c r="C2" s="217" t="s">
        <v>2439</v>
      </c>
      <c r="G2" s="335" t="s">
        <v>2432</v>
      </c>
      <c r="H2" s="332" t="str">
        <f xml:space="preserve"> _xlfn.CONCAT(C5, C8, C10)</f>
        <v>hoo1</v>
      </c>
      <c r="I2" s="332"/>
      <c r="K2" s="333" t="str">
        <f xml:space="preserve"> _xlfn.CONCAT(H4, "遇", H7, N7:N7)</f>
        <v>匣遇模一</v>
      </c>
      <c r="Q2" s="45" t="s">
        <v>2107</v>
      </c>
      <c r="R2" s="45" t="s">
        <v>2108</v>
      </c>
      <c r="S2" s="45" t="s">
        <v>2109</v>
      </c>
    </row>
    <row r="3" spans="2:20" ht="27" customHeight="1">
      <c r="G3" s="335"/>
      <c r="J3" s="219"/>
      <c r="Q3" s="45" t="s">
        <v>2105</v>
      </c>
      <c r="R3" s="78" t="s">
        <v>893</v>
      </c>
      <c r="S3" s="215" t="s">
        <v>2106</v>
      </c>
      <c r="T3" s="215"/>
    </row>
    <row r="4" spans="2:20">
      <c r="B4" s="335" t="s">
        <v>2424</v>
      </c>
      <c r="C4" s="218" t="str">
        <f xml:space="preserve"> LEFT(TRIM($C$2),1)</f>
        <v>戶</v>
      </c>
      <c r="D4" s="59">
        <f>MATCH(E4, 切語上字表[切語上字集], 0)</f>
        <v>37</v>
      </c>
      <c r="E4" s="46" t="str">
        <f xml:space="preserve"> _xlfn.CONCAT("*", C4, "*")</f>
        <v>*戶*</v>
      </c>
      <c r="G4" s="335" t="s">
        <v>2425</v>
      </c>
      <c r="H4" s="218" t="str" cm="1">
        <f t="array" ref="H4" xml:space="preserve"> INDEX(切語上字表[聲母], 查詢!$D$4)</f>
        <v>匣</v>
      </c>
      <c r="J4" s="335" t="s">
        <v>2433</v>
      </c>
      <c r="K4" s="337" t="str" cm="1">
        <f t="array" ref="K4" xml:space="preserve"> INDEX(反切上字表[清濁], 查詢!$D$4)</f>
        <v>全清</v>
      </c>
      <c r="M4" s="46" t="str">
        <f xml:space="preserve"> IF( RIGHT(K4)="清", "陰", "陽" )</f>
        <v>陰</v>
      </c>
      <c r="N4" s="46"/>
      <c r="O4" s="46"/>
      <c r="Q4" s="45" t="s">
        <v>2105</v>
      </c>
      <c r="R4" s="78" t="s">
        <v>2124</v>
      </c>
      <c r="S4" s="215" t="s">
        <v>2106</v>
      </c>
    </row>
    <row r="5" spans="2:20">
      <c r="B5" s="335" t="s">
        <v>2426</v>
      </c>
      <c r="C5" s="218" t="str" cm="1">
        <f t="array" ref="C5" xml:space="preserve"> INDEX(切語上字表[聲母標音], 查詢!$D$4)</f>
        <v>h</v>
      </c>
      <c r="G5" s="335"/>
      <c r="J5" s="335"/>
      <c r="K5" s="334"/>
      <c r="M5" s="46"/>
      <c r="N5" s="46"/>
      <c r="O5" s="46"/>
      <c r="Q5" s="45" t="s">
        <v>2110</v>
      </c>
      <c r="R5" s="78" t="s">
        <v>2111</v>
      </c>
      <c r="S5" s="215" t="s">
        <v>2112</v>
      </c>
      <c r="T5" s="215"/>
    </row>
    <row r="6" spans="2:20">
      <c r="G6" s="335"/>
      <c r="J6" s="335"/>
      <c r="K6" s="334"/>
      <c r="Q6" s="45" t="s">
        <v>898</v>
      </c>
      <c r="R6" s="78" t="s">
        <v>2113</v>
      </c>
      <c r="S6" s="215" t="s">
        <v>2114</v>
      </c>
      <c r="T6" s="215" t="s">
        <v>2115</v>
      </c>
    </row>
    <row r="7" spans="2:20">
      <c r="B7" s="335" t="s">
        <v>2427</v>
      </c>
      <c r="C7" s="218" t="str">
        <f xml:space="preserve"> RIGHT(TRIM($C$2),1)</f>
        <v>吳</v>
      </c>
      <c r="D7" s="59">
        <f>MATCH(E7, 切語下字表[切語下字集], 0)</f>
        <v>47</v>
      </c>
      <c r="E7" s="46" t="str">
        <f xml:space="preserve"> _xlfn.CONCAT("*", C7, "*")</f>
        <v>*吳*</v>
      </c>
      <c r="G7" s="335" t="s">
        <v>2428</v>
      </c>
      <c r="H7" s="218" t="str" cm="1">
        <f t="array" ref="H7" xml:space="preserve"> INDEX(切語下字表[韻母], $D$7)</f>
        <v>模</v>
      </c>
      <c r="J7" s="335" t="s">
        <v>2437</v>
      </c>
      <c r="K7" s="337" t="str" cm="1">
        <f t="array" ref="K7" xml:space="preserve"> INDEX(切語下字表[攝], $D$7)</f>
        <v>遇</v>
      </c>
      <c r="M7" s="335" t="s">
        <v>2434</v>
      </c>
      <c r="N7" s="218" t="str" cm="1">
        <f t="array" ref="N7" xml:space="preserve"> TEXT(INDEX(切語下字表[等], $D$7), "[DBNum1]")</f>
        <v>一</v>
      </c>
      <c r="O7" s="218"/>
      <c r="Q7" s="45" t="s">
        <v>2116</v>
      </c>
      <c r="R7" s="78" t="s">
        <v>2118</v>
      </c>
      <c r="S7" s="215" t="s">
        <v>2121</v>
      </c>
      <c r="T7" s="215" t="s">
        <v>2122</v>
      </c>
    </row>
    <row r="8" spans="2:20">
      <c r="B8" s="335" t="s">
        <v>2429</v>
      </c>
      <c r="C8" s="218" t="str" cm="1">
        <f t="array" ref="C8" xml:space="preserve"> INDEX(切語下字表[韻母標音], $D$7)</f>
        <v>oo</v>
      </c>
      <c r="G8" s="335"/>
      <c r="J8" s="335" t="s">
        <v>2438</v>
      </c>
      <c r="K8" s="337" t="str" cm="1">
        <f t="array" ref="K8" xml:space="preserve"> INDEX(切語下字表[韻系], $D$7)</f>
        <v>模</v>
      </c>
      <c r="M8" s="335" t="s">
        <v>2435</v>
      </c>
      <c r="N8" s="218" t="str" cm="1">
        <f t="array" ref="N8" xml:space="preserve"> INDEX(切語下字表[呼], $D$7)</f>
        <v>開</v>
      </c>
      <c r="O8" s="218"/>
      <c r="Q8" s="45" t="s">
        <v>2117</v>
      </c>
      <c r="R8" s="78" t="s">
        <v>2119</v>
      </c>
      <c r="S8" s="216" t="s">
        <v>2123</v>
      </c>
      <c r="T8" s="215" t="s">
        <v>2120</v>
      </c>
    </row>
    <row r="9" spans="2:20">
      <c r="G9" s="335"/>
      <c r="J9" s="335"/>
      <c r="K9" s="334"/>
      <c r="M9" s="335" t="s">
        <v>2436</v>
      </c>
      <c r="N9" s="218" t="str" cm="1">
        <f t="array" ref="N9" xml:space="preserve"> INDEX(切語下字表[四聲], $D$7)</f>
        <v>平</v>
      </c>
      <c r="O9" s="218"/>
      <c r="S9" s="215"/>
      <c r="T9" s="215"/>
    </row>
    <row r="10" spans="2:20">
      <c r="B10" s="335" t="s">
        <v>2431</v>
      </c>
      <c r="C10" s="218">
        <f xml:space="preserve"> IF(K10 &lt;&gt; "陽上", _xlfn.XLOOKUP(K10, 反切規則表!M2:M9, 反切規則表!N2:N9, "調值有錯！"), IF( K4 = "全濁", 7, 2) )</f>
        <v>1</v>
      </c>
      <c r="G10" s="335" t="s">
        <v>2430</v>
      </c>
      <c r="H10" s="218" t="str">
        <f xml:space="preserve"> _xlfn.CONCAT( RIGHT(K4), N9)</f>
        <v>清平</v>
      </c>
      <c r="J10" s="335" t="s">
        <v>2440</v>
      </c>
      <c r="K10" s="337" t="str">
        <f xml:space="preserve"> _xlfn.CONCAT(M4,N9)</f>
        <v>陰平</v>
      </c>
      <c r="L10" s="46"/>
      <c r="S10" s="215"/>
      <c r="T10" s="215"/>
    </row>
    <row r="11" spans="2:20">
      <c r="S11" s="215"/>
      <c r="T11" s="215"/>
    </row>
    <row r="13" spans="2:20">
      <c r="S13" s="215"/>
      <c r="T13" s="215"/>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44DB-B64F-4B58-92DA-DE9FA1C24ABC}">
  <dimension ref="K2:S21"/>
  <sheetViews>
    <sheetView topLeftCell="A7" zoomScaleNormal="100" workbookViewId="0">
      <selection activeCell="X12" sqref="X12"/>
    </sheetView>
  </sheetViews>
  <sheetFormatPr defaultRowHeight="16.5"/>
  <cols>
    <col min="11" max="14" width="9" style="20"/>
    <col min="18" max="18" width="12.75" bestFit="1" customWidth="1"/>
  </cols>
  <sheetData>
    <row r="2" spans="11:19" ht="30">
      <c r="K2" s="220" t="s">
        <v>903</v>
      </c>
      <c r="L2" s="223" t="s">
        <v>896</v>
      </c>
      <c r="M2" s="228" t="str">
        <f xml:space="preserve"> _xlfn.CONCAT($K$2, L2)</f>
        <v>陰平</v>
      </c>
      <c r="N2" s="228">
        <v>1</v>
      </c>
      <c r="P2" s="205" t="s">
        <v>279</v>
      </c>
      <c r="Q2" s="205" t="s">
        <v>2100</v>
      </c>
      <c r="R2" s="205" t="s">
        <v>2101</v>
      </c>
      <c r="S2" s="205" t="s">
        <v>2103</v>
      </c>
    </row>
    <row r="3" spans="11:19" ht="33">
      <c r="K3" s="221"/>
      <c r="L3" s="223" t="s">
        <v>898</v>
      </c>
      <c r="M3" s="228" t="str">
        <f xml:space="preserve"> _xlfn.CONCAT($K$2, L3)</f>
        <v>陰上</v>
      </c>
      <c r="N3" s="228">
        <v>2</v>
      </c>
      <c r="P3" s="214" t="s">
        <v>152</v>
      </c>
      <c r="Q3" s="214" t="s">
        <v>2095</v>
      </c>
      <c r="R3" s="214" t="s">
        <v>2102</v>
      </c>
      <c r="S3" s="214">
        <v>7</v>
      </c>
    </row>
    <row r="4" spans="11:19" ht="33">
      <c r="K4" s="221"/>
      <c r="L4" s="223" t="s">
        <v>900</v>
      </c>
      <c r="M4" s="228" t="str">
        <f xml:space="preserve"> _xlfn.CONCAT($K$2, L4)</f>
        <v>陰去</v>
      </c>
      <c r="N4" s="228">
        <v>3</v>
      </c>
      <c r="P4" s="214" t="s">
        <v>44</v>
      </c>
      <c r="Q4" s="214" t="s">
        <v>2095</v>
      </c>
      <c r="R4" s="214" t="s">
        <v>2102</v>
      </c>
      <c r="S4" s="214">
        <v>7</v>
      </c>
    </row>
    <row r="5" spans="11:19" ht="33">
      <c r="K5" s="222"/>
      <c r="L5" s="223" t="s">
        <v>901</v>
      </c>
      <c r="M5" s="228" t="str">
        <f xml:space="preserve"> _xlfn.CONCAT($K$2, L5)</f>
        <v>陰入</v>
      </c>
      <c r="N5" s="228">
        <v>4</v>
      </c>
      <c r="P5" s="214" t="s">
        <v>57</v>
      </c>
      <c r="Q5" s="214" t="s">
        <v>2095</v>
      </c>
      <c r="R5" s="214" t="s">
        <v>2102</v>
      </c>
      <c r="S5" s="214">
        <v>7</v>
      </c>
    </row>
    <row r="6" spans="11:19" ht="33">
      <c r="K6" s="224" t="s">
        <v>902</v>
      </c>
      <c r="L6" s="225" t="s">
        <v>896</v>
      </c>
      <c r="M6" s="229" t="str">
        <f xml:space="preserve"> _xlfn.CONCAT($K$6, L6)</f>
        <v>陽平</v>
      </c>
      <c r="N6" s="229">
        <v>5</v>
      </c>
      <c r="P6" s="214" t="s">
        <v>18</v>
      </c>
      <c r="Q6" s="214" t="s">
        <v>2095</v>
      </c>
      <c r="R6" s="214" t="s">
        <v>2102</v>
      </c>
      <c r="S6" s="214">
        <v>7</v>
      </c>
    </row>
    <row r="7" spans="11:19" ht="33">
      <c r="K7" s="226"/>
      <c r="L7" s="225" t="s">
        <v>898</v>
      </c>
      <c r="M7" s="229" t="str">
        <f xml:space="preserve"> _xlfn.CONCAT($K$6, L7)</f>
        <v>陽上</v>
      </c>
      <c r="N7" s="229">
        <v>6</v>
      </c>
      <c r="P7" s="214" t="s">
        <v>32</v>
      </c>
      <c r="Q7" s="214" t="s">
        <v>2095</v>
      </c>
      <c r="R7" s="214" t="s">
        <v>2102</v>
      </c>
      <c r="S7" s="214">
        <v>7</v>
      </c>
    </row>
    <row r="8" spans="11:19" ht="33">
      <c r="K8" s="226"/>
      <c r="L8" s="225" t="s">
        <v>900</v>
      </c>
      <c r="M8" s="229" t="str">
        <f xml:space="preserve"> _xlfn.CONCAT($K$6, L8)</f>
        <v>陽去</v>
      </c>
      <c r="N8" s="229">
        <v>7</v>
      </c>
      <c r="P8" s="214" t="s">
        <v>71</v>
      </c>
      <c r="Q8" s="214" t="s">
        <v>2095</v>
      </c>
      <c r="R8" s="214" t="s">
        <v>2102</v>
      </c>
      <c r="S8" s="214">
        <v>7</v>
      </c>
    </row>
    <row r="9" spans="11:19" ht="33">
      <c r="K9" s="227"/>
      <c r="L9" s="225" t="s">
        <v>901</v>
      </c>
      <c r="M9" s="229" t="str">
        <f xml:space="preserve"> _xlfn.CONCAT($K$6, L9)</f>
        <v>陽入</v>
      </c>
      <c r="N9" s="229">
        <v>8</v>
      </c>
      <c r="P9" s="214" t="s">
        <v>77</v>
      </c>
      <c r="Q9" s="214" t="s">
        <v>2095</v>
      </c>
      <c r="R9" s="214" t="s">
        <v>2102</v>
      </c>
      <c r="S9" s="214">
        <v>7</v>
      </c>
    </row>
    <row r="10" spans="11:19" ht="33">
      <c r="P10" s="214" t="s">
        <v>2064</v>
      </c>
      <c r="Q10" s="214" t="s">
        <v>2095</v>
      </c>
      <c r="R10" s="214" t="s">
        <v>2102</v>
      </c>
      <c r="S10" s="214">
        <v>7</v>
      </c>
    </row>
    <row r="11" spans="11:19" ht="33">
      <c r="P11" s="214" t="s">
        <v>191</v>
      </c>
      <c r="Q11" s="214" t="s">
        <v>2095</v>
      </c>
      <c r="R11" s="214" t="s">
        <v>2102</v>
      </c>
      <c r="S11" s="214">
        <v>7</v>
      </c>
    </row>
    <row r="12" spans="11:19" ht="33">
      <c r="P12" s="214" t="s">
        <v>195</v>
      </c>
      <c r="Q12" s="214" t="s">
        <v>2095</v>
      </c>
      <c r="R12" s="214" t="s">
        <v>2102</v>
      </c>
      <c r="S12" s="214">
        <v>7</v>
      </c>
    </row>
    <row r="13" spans="11:19" ht="33">
      <c r="P13" s="214" t="s">
        <v>128</v>
      </c>
      <c r="Q13" s="214" t="s">
        <v>2095</v>
      </c>
      <c r="R13" s="214" t="s">
        <v>2102</v>
      </c>
      <c r="S13" s="214">
        <v>7</v>
      </c>
    </row>
    <row r="14" spans="11:19" ht="33">
      <c r="P14" s="214" t="s">
        <v>47</v>
      </c>
      <c r="Q14" s="214" t="s">
        <v>2099</v>
      </c>
      <c r="R14" s="214" t="s">
        <v>2104</v>
      </c>
      <c r="S14" s="214">
        <v>2</v>
      </c>
    </row>
    <row r="15" spans="11:19" ht="33">
      <c r="P15" s="214" t="s">
        <v>60</v>
      </c>
      <c r="Q15" s="214" t="s">
        <v>2099</v>
      </c>
      <c r="R15" s="214" t="s">
        <v>2104</v>
      </c>
      <c r="S15" s="214">
        <v>3</v>
      </c>
    </row>
    <row r="16" spans="11:19" ht="33">
      <c r="P16" s="214" t="s">
        <v>22</v>
      </c>
      <c r="Q16" s="214" t="s">
        <v>2099</v>
      </c>
      <c r="R16" s="214" t="s">
        <v>2104</v>
      </c>
      <c r="S16" s="214">
        <v>4</v>
      </c>
    </row>
    <row r="17" spans="16:19" ht="33">
      <c r="P17" s="214" t="s">
        <v>34</v>
      </c>
      <c r="Q17" s="214" t="s">
        <v>2099</v>
      </c>
      <c r="R17" s="214" t="s">
        <v>2104</v>
      </c>
      <c r="S17" s="214">
        <v>5</v>
      </c>
    </row>
    <row r="18" spans="16:19" ht="33">
      <c r="P18" s="214" t="s">
        <v>200</v>
      </c>
      <c r="Q18" s="214" t="s">
        <v>2099</v>
      </c>
      <c r="R18" s="214" t="s">
        <v>2104</v>
      </c>
      <c r="S18" s="214">
        <v>6</v>
      </c>
    </row>
    <row r="19" spans="16:19" ht="33">
      <c r="P19" s="214" t="s">
        <v>202</v>
      </c>
      <c r="Q19" s="214" t="s">
        <v>2099</v>
      </c>
      <c r="R19" s="214" t="s">
        <v>2104</v>
      </c>
      <c r="S19" s="214">
        <v>7</v>
      </c>
    </row>
    <row r="20" spans="16:19" ht="33">
      <c r="P20" s="214" t="s">
        <v>137</v>
      </c>
      <c r="Q20" s="214" t="s">
        <v>2099</v>
      </c>
      <c r="R20" s="214" t="s">
        <v>2104</v>
      </c>
      <c r="S20" s="214">
        <v>8</v>
      </c>
    </row>
    <row r="21" spans="16:19" ht="33">
      <c r="P21" s="214" t="s">
        <v>140</v>
      </c>
      <c r="Q21" s="214" t="s">
        <v>2099</v>
      </c>
      <c r="R21" s="214" t="s">
        <v>2104</v>
      </c>
      <c r="S21" s="214">
        <v>9</v>
      </c>
    </row>
  </sheetData>
  <phoneticPr fontId="10"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47D4-8987-4FB3-B4A8-85F06A51C947}">
  <dimension ref="B2:E4"/>
  <sheetViews>
    <sheetView workbookViewId="0">
      <selection activeCell="I12" sqref="I12"/>
    </sheetView>
  </sheetViews>
  <sheetFormatPr defaultRowHeight="30"/>
  <cols>
    <col min="1" max="1" width="9" style="195"/>
    <col min="2" max="2" width="27.125" style="195" bestFit="1" customWidth="1"/>
    <col min="3" max="3" width="17.75" style="195" bestFit="1" customWidth="1"/>
    <col min="4" max="4" width="30" style="195" bestFit="1" customWidth="1"/>
    <col min="5" max="5" width="24.375" style="195" bestFit="1" customWidth="1"/>
    <col min="6" max="16384" width="9" style="195"/>
  </cols>
  <sheetData>
    <row r="2" spans="2:5">
      <c r="B2" s="199" t="s">
        <v>2083</v>
      </c>
      <c r="C2" s="200" t="s">
        <v>2084</v>
      </c>
      <c r="D2" s="200" t="s">
        <v>2085</v>
      </c>
      <c r="E2" s="201" t="s">
        <v>2086</v>
      </c>
    </row>
    <row r="3" spans="2:5">
      <c r="B3" s="197" t="s">
        <v>2087</v>
      </c>
      <c r="C3" s="196" t="s">
        <v>2088</v>
      </c>
      <c r="D3" s="196" t="s">
        <v>2089</v>
      </c>
      <c r="E3" s="198" t="s">
        <v>2090</v>
      </c>
    </row>
    <row r="4" spans="2:5">
      <c r="B4" s="202" t="s">
        <v>2091</v>
      </c>
      <c r="C4" s="203" t="s">
        <v>2092</v>
      </c>
      <c r="D4" s="203" t="s">
        <v>2093</v>
      </c>
      <c r="E4" s="204" t="s">
        <v>2094</v>
      </c>
    </row>
  </sheetData>
  <phoneticPr fontId="1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5B2A-43DE-458E-B503-1D35FC0AE149}">
  <dimension ref="A1:I42"/>
  <sheetViews>
    <sheetView workbookViewId="0">
      <selection activeCell="O13" sqref="O13"/>
    </sheetView>
  </sheetViews>
  <sheetFormatPr defaultRowHeight="27" customHeight="1"/>
  <cols>
    <col min="1" max="1" width="9" style="36"/>
    <col min="2" max="2" width="20.375" style="43" customWidth="1"/>
    <col min="3" max="5" width="9" style="36"/>
    <col min="6" max="7" width="13.75" style="43" customWidth="1"/>
    <col min="8" max="8" width="86.5" style="43" customWidth="1"/>
    <col min="9" max="16384" width="9" style="36"/>
  </cols>
  <sheetData>
    <row r="1" spans="1:9" s="34" customFormat="1" ht="27" customHeight="1">
      <c r="A1" s="33" t="s">
        <v>144</v>
      </c>
      <c r="B1" s="44" t="s">
        <v>145</v>
      </c>
      <c r="C1" s="33" t="s">
        <v>146</v>
      </c>
      <c r="D1" s="33" t="s">
        <v>3</v>
      </c>
      <c r="E1" s="33" t="s">
        <v>147</v>
      </c>
      <c r="F1" s="44" t="s">
        <v>148</v>
      </c>
      <c r="G1" s="44"/>
      <c r="H1" s="39" t="s">
        <v>5</v>
      </c>
      <c r="I1" s="33" t="s">
        <v>149</v>
      </c>
    </row>
    <row r="2" spans="1:9" ht="27" customHeight="1">
      <c r="A2" s="35">
        <v>1</v>
      </c>
      <c r="B2" s="40" t="s">
        <v>107</v>
      </c>
      <c r="C2" s="35" t="s">
        <v>108</v>
      </c>
      <c r="D2" s="35" t="s">
        <v>8</v>
      </c>
      <c r="E2" s="35" t="s">
        <v>9</v>
      </c>
      <c r="F2" s="40" t="s">
        <v>109</v>
      </c>
      <c r="G2" s="40"/>
      <c r="H2" s="40" t="s">
        <v>150</v>
      </c>
      <c r="I2" s="35">
        <v>17</v>
      </c>
    </row>
    <row r="3" spans="1:9" ht="27" customHeight="1">
      <c r="A3" s="35">
        <v>2</v>
      </c>
      <c r="B3" s="40" t="s">
        <v>107</v>
      </c>
      <c r="C3" s="35" t="s">
        <v>111</v>
      </c>
      <c r="D3" s="35" t="s">
        <v>13</v>
      </c>
      <c r="E3" s="35" t="s">
        <v>14</v>
      </c>
      <c r="F3" s="40" t="s">
        <v>112</v>
      </c>
      <c r="G3" s="40"/>
      <c r="H3" s="40" t="s">
        <v>151</v>
      </c>
      <c r="I3" s="35">
        <v>18</v>
      </c>
    </row>
    <row r="4" spans="1:9" ht="27" customHeight="1">
      <c r="A4" s="35">
        <v>3</v>
      </c>
      <c r="B4" s="40" t="s">
        <v>107</v>
      </c>
      <c r="C4" s="35" t="s">
        <v>152</v>
      </c>
      <c r="D4" s="35" t="s">
        <v>19</v>
      </c>
      <c r="E4" s="35"/>
      <c r="F4" s="40" t="s">
        <v>112</v>
      </c>
      <c r="G4" s="40"/>
      <c r="H4" s="40" t="s">
        <v>153</v>
      </c>
      <c r="I4" s="35">
        <v>19</v>
      </c>
    </row>
    <row r="5" spans="1:9" ht="27" customHeight="1">
      <c r="A5" s="35">
        <v>4</v>
      </c>
      <c r="B5" s="40" t="s">
        <v>107</v>
      </c>
      <c r="C5" s="35" t="s">
        <v>117</v>
      </c>
      <c r="D5" s="35" t="s">
        <v>23</v>
      </c>
      <c r="E5" s="35" t="s">
        <v>24</v>
      </c>
      <c r="F5" s="40" t="s">
        <v>154</v>
      </c>
      <c r="G5" s="40"/>
      <c r="H5" s="40" t="s">
        <v>155</v>
      </c>
      <c r="I5" s="35">
        <v>20</v>
      </c>
    </row>
    <row r="6" spans="1:9" ht="27" customHeight="1">
      <c r="A6" s="37">
        <v>5</v>
      </c>
      <c r="B6" s="41" t="s">
        <v>36</v>
      </c>
      <c r="C6" s="37" t="s">
        <v>37</v>
      </c>
      <c r="D6" s="37" t="s">
        <v>8</v>
      </c>
      <c r="E6" s="37" t="s">
        <v>9</v>
      </c>
      <c r="F6" s="41" t="s">
        <v>38</v>
      </c>
      <c r="G6" s="41"/>
      <c r="H6" s="41" t="s">
        <v>156</v>
      </c>
      <c r="I6" s="37">
        <v>9</v>
      </c>
    </row>
    <row r="7" spans="1:9" ht="27" customHeight="1">
      <c r="A7" s="37">
        <v>6</v>
      </c>
      <c r="B7" s="41" t="s">
        <v>36</v>
      </c>
      <c r="C7" s="37" t="s">
        <v>40</v>
      </c>
      <c r="D7" s="37" t="s">
        <v>13</v>
      </c>
      <c r="E7" s="37" t="s">
        <v>14</v>
      </c>
      <c r="F7" s="41" t="s">
        <v>41</v>
      </c>
      <c r="G7" s="41"/>
      <c r="H7" s="41" t="s">
        <v>157</v>
      </c>
      <c r="I7" s="37">
        <v>10</v>
      </c>
    </row>
    <row r="8" spans="1:9" ht="27" customHeight="1">
      <c r="A8" s="37">
        <v>7</v>
      </c>
      <c r="B8" s="41" t="s">
        <v>36</v>
      </c>
      <c r="C8" s="37" t="s">
        <v>44</v>
      </c>
      <c r="D8" s="37" t="s">
        <v>19</v>
      </c>
      <c r="E8" s="37"/>
      <c r="F8" s="41" t="s">
        <v>38</v>
      </c>
      <c r="G8" s="41"/>
      <c r="H8" s="41" t="s">
        <v>158</v>
      </c>
      <c r="I8" s="37">
        <v>11</v>
      </c>
    </row>
    <row r="9" spans="1:9" ht="27" customHeight="1">
      <c r="A9" s="37">
        <v>8</v>
      </c>
      <c r="B9" s="41" t="s">
        <v>36</v>
      </c>
      <c r="C9" s="37" t="s">
        <v>47</v>
      </c>
      <c r="D9" s="37" t="s">
        <v>23</v>
      </c>
      <c r="E9" s="37" t="s">
        <v>24</v>
      </c>
      <c r="F9" s="41" t="s">
        <v>48</v>
      </c>
      <c r="G9" s="41"/>
      <c r="H9" s="41" t="s">
        <v>159</v>
      </c>
      <c r="I9" s="37">
        <v>12</v>
      </c>
    </row>
    <row r="10" spans="1:9" ht="27" customHeight="1">
      <c r="A10" s="38">
        <v>9</v>
      </c>
      <c r="B10" s="42" t="s">
        <v>50</v>
      </c>
      <c r="C10" s="38" t="s">
        <v>51</v>
      </c>
      <c r="D10" s="38" t="s">
        <v>8</v>
      </c>
      <c r="E10" s="38" t="s">
        <v>9</v>
      </c>
      <c r="F10" s="42" t="s">
        <v>38</v>
      </c>
      <c r="G10" s="42"/>
      <c r="H10" s="42" t="s">
        <v>160</v>
      </c>
      <c r="I10" s="38">
        <v>13</v>
      </c>
    </row>
    <row r="11" spans="1:9" ht="27" customHeight="1">
      <c r="A11" s="38">
        <v>10</v>
      </c>
      <c r="B11" s="42" t="s">
        <v>50</v>
      </c>
      <c r="C11" s="38" t="s">
        <v>54</v>
      </c>
      <c r="D11" s="38" t="s">
        <v>13</v>
      </c>
      <c r="E11" s="38" t="s">
        <v>14</v>
      </c>
      <c r="F11" s="42" t="s">
        <v>41</v>
      </c>
      <c r="G11" s="42"/>
      <c r="H11" s="42" t="s">
        <v>161</v>
      </c>
      <c r="I11" s="38">
        <v>14</v>
      </c>
    </row>
    <row r="12" spans="1:9" ht="27" customHeight="1">
      <c r="A12" s="38">
        <v>11</v>
      </c>
      <c r="B12" s="42" t="s">
        <v>50</v>
      </c>
      <c r="C12" s="38" t="s">
        <v>57</v>
      </c>
      <c r="D12" s="38" t="s">
        <v>19</v>
      </c>
      <c r="E12" s="38"/>
      <c r="F12" s="42" t="s">
        <v>38</v>
      </c>
      <c r="G12" s="42"/>
      <c r="H12" s="42" t="s">
        <v>162</v>
      </c>
      <c r="I12" s="38">
        <v>15</v>
      </c>
    </row>
    <row r="13" spans="1:9" ht="27" customHeight="1">
      <c r="A13" s="38">
        <v>12</v>
      </c>
      <c r="B13" s="42" t="s">
        <v>50</v>
      </c>
      <c r="C13" s="38" t="s">
        <v>163</v>
      </c>
      <c r="D13" s="38" t="s">
        <v>23</v>
      </c>
      <c r="E13" s="38" t="s">
        <v>24</v>
      </c>
      <c r="F13" s="42" t="s">
        <v>48</v>
      </c>
      <c r="G13" s="42"/>
      <c r="H13" s="42" t="s">
        <v>164</v>
      </c>
      <c r="I13" s="38">
        <v>16</v>
      </c>
    </row>
    <row r="14" spans="1:9" ht="27" customHeight="1">
      <c r="A14" s="37">
        <v>13</v>
      </c>
      <c r="B14" s="41" t="s">
        <v>6</v>
      </c>
      <c r="C14" s="37" t="s">
        <v>7</v>
      </c>
      <c r="D14" s="37" t="s">
        <v>8</v>
      </c>
      <c r="E14" s="37" t="s">
        <v>9</v>
      </c>
      <c r="F14" s="41" t="s">
        <v>10</v>
      </c>
      <c r="G14" s="41"/>
      <c r="H14" s="41" t="s">
        <v>165</v>
      </c>
      <c r="I14" s="37">
        <v>1</v>
      </c>
    </row>
    <row r="15" spans="1:9" ht="27" customHeight="1">
      <c r="A15" s="37">
        <v>14</v>
      </c>
      <c r="B15" s="41" t="s">
        <v>6</v>
      </c>
      <c r="C15" s="37" t="s">
        <v>12</v>
      </c>
      <c r="D15" s="37" t="s">
        <v>13</v>
      </c>
      <c r="E15" s="37" t="s">
        <v>14</v>
      </c>
      <c r="F15" s="41" t="s">
        <v>15</v>
      </c>
      <c r="G15" s="41"/>
      <c r="H15" s="41" t="s">
        <v>166</v>
      </c>
      <c r="I15" s="37">
        <v>2</v>
      </c>
    </row>
    <row r="16" spans="1:9" ht="27" customHeight="1">
      <c r="A16" s="37">
        <v>15</v>
      </c>
      <c r="B16" s="41" t="s">
        <v>6</v>
      </c>
      <c r="C16" s="37" t="s">
        <v>18</v>
      </c>
      <c r="D16" s="37" t="s">
        <v>19</v>
      </c>
      <c r="E16" s="37"/>
      <c r="F16" s="41" t="s">
        <v>10</v>
      </c>
      <c r="G16" s="41"/>
      <c r="H16" s="41" t="s">
        <v>167</v>
      </c>
      <c r="I16" s="37">
        <v>3</v>
      </c>
    </row>
    <row r="17" spans="1:9" ht="27" customHeight="1">
      <c r="A17" s="37">
        <v>16</v>
      </c>
      <c r="B17" s="41" t="s">
        <v>6</v>
      </c>
      <c r="C17" s="37" t="s">
        <v>22</v>
      </c>
      <c r="D17" s="37" t="s">
        <v>23</v>
      </c>
      <c r="E17" s="37" t="s">
        <v>24</v>
      </c>
      <c r="F17" s="41" t="s">
        <v>25</v>
      </c>
      <c r="G17" s="41"/>
      <c r="H17" s="41" t="s">
        <v>168</v>
      </c>
      <c r="I17" s="37">
        <v>4</v>
      </c>
    </row>
    <row r="18" spans="1:9" ht="27" customHeight="1">
      <c r="A18" s="35">
        <v>17</v>
      </c>
      <c r="B18" s="40" t="s">
        <v>27</v>
      </c>
      <c r="C18" s="35" t="s">
        <v>28</v>
      </c>
      <c r="D18" s="35" t="s">
        <v>8</v>
      </c>
      <c r="E18" s="35" t="s">
        <v>9</v>
      </c>
      <c r="F18" s="40" t="s">
        <v>29</v>
      </c>
      <c r="G18" s="40"/>
      <c r="H18" s="40" t="s">
        <v>169</v>
      </c>
      <c r="I18" s="35">
        <v>5</v>
      </c>
    </row>
    <row r="19" spans="1:9" ht="27" customHeight="1">
      <c r="A19" s="35">
        <v>18</v>
      </c>
      <c r="B19" s="40" t="s">
        <v>27</v>
      </c>
      <c r="C19" s="35" t="s">
        <v>30</v>
      </c>
      <c r="D19" s="35" t="s">
        <v>13</v>
      </c>
      <c r="E19" s="35" t="s">
        <v>14</v>
      </c>
      <c r="F19" s="40" t="s">
        <v>29</v>
      </c>
      <c r="G19" s="40"/>
      <c r="H19" s="40" t="s">
        <v>170</v>
      </c>
      <c r="I19" s="35">
        <v>6</v>
      </c>
    </row>
    <row r="20" spans="1:9" ht="27" customHeight="1">
      <c r="A20" s="35">
        <v>19</v>
      </c>
      <c r="B20" s="40" t="s">
        <v>27</v>
      </c>
      <c r="C20" s="35" t="s">
        <v>32</v>
      </c>
      <c r="D20" s="35" t="s">
        <v>19</v>
      </c>
      <c r="E20" s="35"/>
      <c r="F20" s="40" t="s">
        <v>29</v>
      </c>
      <c r="G20" s="40"/>
      <c r="H20" s="40" t="s">
        <v>171</v>
      </c>
      <c r="I20" s="35">
        <v>7</v>
      </c>
    </row>
    <row r="21" spans="1:9" ht="27" customHeight="1">
      <c r="A21" s="35">
        <v>20</v>
      </c>
      <c r="B21" s="40" t="s">
        <v>27</v>
      </c>
      <c r="C21" s="35" t="s">
        <v>34</v>
      </c>
      <c r="D21" s="35" t="s">
        <v>23</v>
      </c>
      <c r="E21" s="35" t="s">
        <v>24</v>
      </c>
      <c r="F21" s="40" t="s">
        <v>20</v>
      </c>
      <c r="G21" s="40"/>
      <c r="H21" s="40" t="s">
        <v>172</v>
      </c>
      <c r="I21" s="35">
        <v>8</v>
      </c>
    </row>
    <row r="22" spans="1:9" ht="27" customHeight="1">
      <c r="A22" s="37">
        <v>21</v>
      </c>
      <c r="B22" s="41" t="s">
        <v>63</v>
      </c>
      <c r="C22" s="37" t="s">
        <v>64</v>
      </c>
      <c r="D22" s="37" t="s">
        <v>8</v>
      </c>
      <c r="E22" s="37" t="s">
        <v>9</v>
      </c>
      <c r="F22" s="41" t="s">
        <v>78</v>
      </c>
      <c r="G22" s="41"/>
      <c r="H22" s="41" t="s">
        <v>173</v>
      </c>
      <c r="I22" s="37">
        <v>21</v>
      </c>
    </row>
    <row r="23" spans="1:9" ht="27" customHeight="1">
      <c r="A23" s="37">
        <v>22</v>
      </c>
      <c r="B23" s="41" t="s">
        <v>63</v>
      </c>
      <c r="C23" s="37" t="s">
        <v>67</v>
      </c>
      <c r="D23" s="37" t="s">
        <v>13</v>
      </c>
      <c r="E23" s="37" t="s">
        <v>14</v>
      </c>
      <c r="F23" s="41" t="s">
        <v>174</v>
      </c>
      <c r="G23" s="41"/>
      <c r="H23" s="41" t="s">
        <v>175</v>
      </c>
      <c r="I23" s="37">
        <v>22</v>
      </c>
    </row>
    <row r="24" spans="1:9" ht="27" customHeight="1">
      <c r="A24" s="37">
        <v>23</v>
      </c>
      <c r="B24" s="41" t="s">
        <v>63</v>
      </c>
      <c r="C24" s="37" t="s">
        <v>71</v>
      </c>
      <c r="D24" s="37" t="s">
        <v>19</v>
      </c>
      <c r="E24" s="37"/>
      <c r="F24" s="41" t="s">
        <v>78</v>
      </c>
      <c r="G24" s="41"/>
      <c r="H24" s="41" t="s">
        <v>176</v>
      </c>
      <c r="I24" s="37">
        <v>23</v>
      </c>
    </row>
    <row r="25" spans="1:9" ht="27" customHeight="1">
      <c r="A25" s="37">
        <v>24</v>
      </c>
      <c r="B25" s="41" t="s">
        <v>63</v>
      </c>
      <c r="C25" s="37" t="s">
        <v>74</v>
      </c>
      <c r="D25" s="37" t="s">
        <v>8</v>
      </c>
      <c r="E25" s="37" t="s">
        <v>14</v>
      </c>
      <c r="F25" s="41" t="s">
        <v>75</v>
      </c>
      <c r="G25" s="41"/>
      <c r="H25" s="41" t="s">
        <v>177</v>
      </c>
      <c r="I25" s="37">
        <v>24</v>
      </c>
    </row>
    <row r="26" spans="1:9" ht="27" customHeight="1">
      <c r="A26" s="37">
        <v>25</v>
      </c>
      <c r="B26" s="41" t="s">
        <v>63</v>
      </c>
      <c r="C26" s="37" t="s">
        <v>77</v>
      </c>
      <c r="D26" s="37" t="s">
        <v>19</v>
      </c>
      <c r="E26" s="37" t="s">
        <v>14</v>
      </c>
      <c r="F26" s="41" t="s">
        <v>75</v>
      </c>
      <c r="G26" s="41"/>
      <c r="H26" s="41" t="s">
        <v>178</v>
      </c>
      <c r="I26" s="37">
        <v>25</v>
      </c>
    </row>
    <row r="27" spans="1:9" ht="27" customHeight="1">
      <c r="A27" s="38">
        <v>26</v>
      </c>
      <c r="B27" s="42" t="s">
        <v>179</v>
      </c>
      <c r="C27" s="38" t="s">
        <v>81</v>
      </c>
      <c r="D27" s="38" t="s">
        <v>8</v>
      </c>
      <c r="E27" s="38" t="s">
        <v>9</v>
      </c>
      <c r="F27" s="42" t="s">
        <v>78</v>
      </c>
      <c r="G27" s="42"/>
      <c r="H27" s="42" t="s">
        <v>180</v>
      </c>
      <c r="I27" s="38">
        <v>31</v>
      </c>
    </row>
    <row r="28" spans="1:9" ht="27" customHeight="1">
      <c r="A28" s="38">
        <v>27</v>
      </c>
      <c r="B28" s="42" t="s">
        <v>179</v>
      </c>
      <c r="C28" s="38" t="s">
        <v>84</v>
      </c>
      <c r="D28" s="38" t="s">
        <v>13</v>
      </c>
      <c r="E28" s="38" t="s">
        <v>14</v>
      </c>
      <c r="F28" s="42" t="s">
        <v>174</v>
      </c>
      <c r="G28" s="42"/>
      <c r="H28" s="42" t="s">
        <v>181</v>
      </c>
      <c r="I28" s="38">
        <v>32</v>
      </c>
    </row>
    <row r="29" spans="1:9" ht="27" customHeight="1">
      <c r="A29" s="38">
        <v>28</v>
      </c>
      <c r="B29" s="42" t="s">
        <v>179</v>
      </c>
      <c r="C29" s="38" t="s">
        <v>182</v>
      </c>
      <c r="D29" s="38" t="s">
        <v>19</v>
      </c>
      <c r="E29" s="38"/>
      <c r="F29" s="42" t="s">
        <v>78</v>
      </c>
      <c r="G29" s="42"/>
      <c r="H29" s="42" t="s">
        <v>183</v>
      </c>
      <c r="I29" s="38">
        <v>33</v>
      </c>
    </row>
    <row r="30" spans="1:9" ht="27" customHeight="1">
      <c r="A30" s="38">
        <v>29</v>
      </c>
      <c r="B30" s="42" t="s">
        <v>179</v>
      </c>
      <c r="C30" s="38" t="s">
        <v>184</v>
      </c>
      <c r="D30" s="38" t="s">
        <v>19</v>
      </c>
      <c r="E30" s="38" t="s">
        <v>14</v>
      </c>
      <c r="F30" s="42" t="s">
        <v>75</v>
      </c>
      <c r="G30" s="42"/>
      <c r="H30" s="42" t="s">
        <v>185</v>
      </c>
      <c r="I30" s="38">
        <v>34</v>
      </c>
    </row>
    <row r="31" spans="1:9" ht="27" customHeight="1">
      <c r="A31" s="37">
        <v>30</v>
      </c>
      <c r="B31" s="41" t="s">
        <v>186</v>
      </c>
      <c r="C31" s="37" t="s">
        <v>187</v>
      </c>
      <c r="D31" s="37" t="s">
        <v>8</v>
      </c>
      <c r="E31" s="37" t="s">
        <v>9</v>
      </c>
      <c r="F31" s="41" t="s">
        <v>78</v>
      </c>
      <c r="G31" s="41"/>
      <c r="H31" s="41" t="s">
        <v>188</v>
      </c>
      <c r="I31" s="37">
        <v>26</v>
      </c>
    </row>
    <row r="32" spans="1:9" ht="27" customHeight="1">
      <c r="A32" s="37">
        <v>31</v>
      </c>
      <c r="B32" s="41" t="s">
        <v>186</v>
      </c>
      <c r="C32" s="37" t="s">
        <v>189</v>
      </c>
      <c r="D32" s="37" t="s">
        <v>13</v>
      </c>
      <c r="E32" s="37" t="s">
        <v>14</v>
      </c>
      <c r="F32" s="41" t="s">
        <v>174</v>
      </c>
      <c r="G32" s="41"/>
      <c r="H32" s="41" t="s">
        <v>190</v>
      </c>
      <c r="I32" s="37">
        <v>27</v>
      </c>
    </row>
    <row r="33" spans="1:9" ht="27" customHeight="1">
      <c r="A33" s="37">
        <v>32</v>
      </c>
      <c r="B33" s="41" t="s">
        <v>186</v>
      </c>
      <c r="C33" s="37" t="s">
        <v>191</v>
      </c>
      <c r="D33" s="37" t="s">
        <v>19</v>
      </c>
      <c r="E33" s="37" t="s">
        <v>14</v>
      </c>
      <c r="F33" s="41" t="s">
        <v>75</v>
      </c>
      <c r="G33" s="41"/>
      <c r="H33" s="41" t="s">
        <v>192</v>
      </c>
      <c r="I33" s="37">
        <v>28</v>
      </c>
    </row>
    <row r="34" spans="1:9" ht="27" customHeight="1">
      <c r="A34" s="37">
        <v>33</v>
      </c>
      <c r="B34" s="41" t="s">
        <v>186</v>
      </c>
      <c r="C34" s="37" t="s">
        <v>193</v>
      </c>
      <c r="D34" s="37" t="s">
        <v>8</v>
      </c>
      <c r="E34" s="37" t="s">
        <v>14</v>
      </c>
      <c r="F34" s="41" t="s">
        <v>75</v>
      </c>
      <c r="G34" s="41"/>
      <c r="H34" s="41" t="s">
        <v>194</v>
      </c>
      <c r="I34" s="37">
        <v>29</v>
      </c>
    </row>
    <row r="35" spans="1:9" ht="27" customHeight="1">
      <c r="A35" s="37">
        <v>34</v>
      </c>
      <c r="B35" s="41" t="s">
        <v>186</v>
      </c>
      <c r="C35" s="37" t="s">
        <v>195</v>
      </c>
      <c r="D35" s="37" t="s">
        <v>19</v>
      </c>
      <c r="E35" s="37" t="s">
        <v>14</v>
      </c>
      <c r="F35" s="41" t="s">
        <v>75</v>
      </c>
      <c r="G35" s="41"/>
      <c r="H35" s="41" t="s">
        <v>196</v>
      </c>
      <c r="I35" s="37">
        <v>30</v>
      </c>
    </row>
    <row r="36" spans="1:9" ht="27" customHeight="1">
      <c r="A36" s="35">
        <v>35</v>
      </c>
      <c r="B36" s="40" t="s">
        <v>121</v>
      </c>
      <c r="C36" s="35" t="s">
        <v>122</v>
      </c>
      <c r="D36" s="35" t="s">
        <v>8</v>
      </c>
      <c r="E36" s="35" t="s">
        <v>9</v>
      </c>
      <c r="F36" s="40" t="s">
        <v>123</v>
      </c>
      <c r="G36" s="40"/>
      <c r="H36" s="40" t="s">
        <v>197</v>
      </c>
      <c r="I36" s="35">
        <v>35</v>
      </c>
    </row>
    <row r="37" spans="1:9" ht="27" customHeight="1">
      <c r="A37" s="35">
        <v>36</v>
      </c>
      <c r="B37" s="40" t="s">
        <v>121</v>
      </c>
      <c r="C37" s="35" t="s">
        <v>125</v>
      </c>
      <c r="D37" s="35" t="s">
        <v>13</v>
      </c>
      <c r="E37" s="35" t="s">
        <v>14</v>
      </c>
      <c r="F37" s="40" t="s">
        <v>29</v>
      </c>
      <c r="G37" s="40"/>
      <c r="H37" s="40" t="s">
        <v>198</v>
      </c>
      <c r="I37" s="35">
        <v>36</v>
      </c>
    </row>
    <row r="38" spans="1:9" ht="27" customHeight="1">
      <c r="A38" s="35">
        <v>37</v>
      </c>
      <c r="B38" s="40" t="s">
        <v>121</v>
      </c>
      <c r="C38" s="35" t="s">
        <v>128</v>
      </c>
      <c r="D38" s="35" t="s">
        <v>19</v>
      </c>
      <c r="E38" s="35" t="s">
        <v>14</v>
      </c>
      <c r="F38" s="40" t="s">
        <v>29</v>
      </c>
      <c r="G38" s="40"/>
      <c r="H38" s="40" t="s">
        <v>199</v>
      </c>
      <c r="I38" s="35">
        <v>37</v>
      </c>
    </row>
    <row r="39" spans="1:9" ht="27" customHeight="1">
      <c r="A39" s="35">
        <v>38</v>
      </c>
      <c r="B39" s="40" t="s">
        <v>121</v>
      </c>
      <c r="C39" s="35" t="s">
        <v>200</v>
      </c>
      <c r="D39" s="35" t="s">
        <v>23</v>
      </c>
      <c r="E39" s="35" t="s">
        <v>9</v>
      </c>
      <c r="F39" s="40" t="s">
        <v>123</v>
      </c>
      <c r="G39" s="40"/>
      <c r="H39" s="40" t="s">
        <v>201</v>
      </c>
      <c r="I39" s="35">
        <v>39</v>
      </c>
    </row>
    <row r="40" spans="1:9" ht="27" customHeight="1">
      <c r="A40" s="35">
        <v>39</v>
      </c>
      <c r="B40" s="40" t="s">
        <v>121</v>
      </c>
      <c r="C40" s="35" t="s">
        <v>202</v>
      </c>
      <c r="D40" s="35" t="s">
        <v>23</v>
      </c>
      <c r="E40" s="35" t="s">
        <v>9</v>
      </c>
      <c r="F40" s="40" t="s">
        <v>123</v>
      </c>
      <c r="G40" s="40"/>
      <c r="H40" s="40" t="s">
        <v>203</v>
      </c>
      <c r="I40" s="35">
        <v>38</v>
      </c>
    </row>
    <row r="41" spans="1:9" ht="27" customHeight="1">
      <c r="A41" s="37">
        <v>40</v>
      </c>
      <c r="B41" s="41" t="s">
        <v>204</v>
      </c>
      <c r="C41" s="37" t="s">
        <v>137</v>
      </c>
      <c r="D41" s="37" t="s">
        <v>23</v>
      </c>
      <c r="E41" s="37" t="s">
        <v>24</v>
      </c>
      <c r="F41" s="41" t="s">
        <v>61</v>
      </c>
      <c r="G41" s="41"/>
      <c r="H41" s="41" t="s">
        <v>205</v>
      </c>
      <c r="I41" s="37">
        <v>40</v>
      </c>
    </row>
    <row r="42" spans="1:9" ht="27" customHeight="1">
      <c r="A42" s="38">
        <v>41</v>
      </c>
      <c r="B42" s="42" t="s">
        <v>206</v>
      </c>
      <c r="C42" s="38" t="s">
        <v>140</v>
      </c>
      <c r="D42" s="38" t="s">
        <v>23</v>
      </c>
      <c r="E42" s="38" t="s">
        <v>24</v>
      </c>
      <c r="F42" s="42" t="s">
        <v>134</v>
      </c>
      <c r="G42" s="42"/>
      <c r="H42" s="42" t="s">
        <v>207</v>
      </c>
      <c r="I42" s="38">
        <v>41</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AAF3A-9AE0-4E21-A78D-745CB1D464E4}">
  <dimension ref="A1:I37"/>
  <sheetViews>
    <sheetView showGridLines="0" workbookViewId="0">
      <pane xSplit="4" ySplit="3" topLeftCell="E4" activePane="bottomRight" state="frozen"/>
      <selection pane="topRight" activeCell="E1" sqref="E1"/>
      <selection pane="bottomLeft" activeCell="A4" sqref="A4"/>
      <selection pane="bottomRight" activeCell="E16" sqref="E16"/>
    </sheetView>
  </sheetViews>
  <sheetFormatPr defaultRowHeight="16.5"/>
  <cols>
    <col min="1" max="2" width="18" style="20" customWidth="1"/>
    <col min="3" max="3" width="11.75" style="20" customWidth="1"/>
    <col min="4" max="4" width="13.375" style="20" customWidth="1"/>
    <col min="5" max="8" width="22.25" style="20" customWidth="1"/>
    <col min="9" max="9" width="9" style="20"/>
  </cols>
  <sheetData>
    <row r="1" spans="1:9" ht="25.5">
      <c r="A1" s="297" t="s">
        <v>208</v>
      </c>
      <c r="B1" s="297"/>
      <c r="C1" s="298" t="s">
        <v>209</v>
      </c>
      <c r="D1" s="298"/>
      <c r="E1" s="298"/>
      <c r="F1" s="298"/>
      <c r="G1" s="298"/>
      <c r="H1" s="298"/>
      <c r="I1" s="18"/>
    </row>
    <row r="2" spans="1:9" ht="25.5">
      <c r="A2" s="299" t="s">
        <v>145</v>
      </c>
      <c r="B2" s="299" t="s">
        <v>210</v>
      </c>
      <c r="C2" s="301" t="s">
        <v>211</v>
      </c>
      <c r="D2" s="301"/>
      <c r="E2" s="19" t="s">
        <v>8</v>
      </c>
      <c r="F2" s="19" t="s">
        <v>13</v>
      </c>
      <c r="G2" s="19" t="s">
        <v>19</v>
      </c>
      <c r="H2" s="19" t="s">
        <v>23</v>
      </c>
    </row>
    <row r="3" spans="1:9" ht="18.75">
      <c r="A3" s="300"/>
      <c r="B3" s="300"/>
      <c r="C3" s="302"/>
      <c r="D3" s="302"/>
      <c r="E3" s="21" t="s">
        <v>212</v>
      </c>
      <c r="F3" s="21" t="s">
        <v>213</v>
      </c>
      <c r="G3" s="21" t="s">
        <v>214</v>
      </c>
      <c r="H3" s="21" t="s">
        <v>215</v>
      </c>
    </row>
    <row r="4" spans="1:9" ht="25.5">
      <c r="A4" s="289" t="s">
        <v>216</v>
      </c>
      <c r="B4" s="291" t="s">
        <v>217</v>
      </c>
      <c r="C4" s="293" t="s">
        <v>218</v>
      </c>
      <c r="D4" s="294"/>
      <c r="E4" s="22" t="s">
        <v>7</v>
      </c>
      <c r="F4" s="22" t="s">
        <v>12</v>
      </c>
      <c r="G4" s="22" t="s">
        <v>18</v>
      </c>
      <c r="H4" s="22" t="s">
        <v>22</v>
      </c>
    </row>
    <row r="5" spans="1:9" ht="23.25">
      <c r="A5" s="290"/>
      <c r="B5" s="292"/>
      <c r="C5" s="295"/>
      <c r="D5" s="296"/>
      <c r="E5" s="23" t="s">
        <v>219</v>
      </c>
      <c r="F5" s="23" t="s">
        <v>220</v>
      </c>
      <c r="G5" s="23" t="s">
        <v>221</v>
      </c>
      <c r="H5" s="23" t="s">
        <v>222</v>
      </c>
    </row>
    <row r="6" spans="1:9" ht="25.5">
      <c r="A6" s="289" t="s">
        <v>223</v>
      </c>
      <c r="B6" s="291" t="s">
        <v>224</v>
      </c>
      <c r="C6" s="293" t="s">
        <v>136</v>
      </c>
      <c r="D6" s="294"/>
      <c r="E6" s="22"/>
      <c r="F6" s="22"/>
      <c r="G6" s="22" t="s">
        <v>137</v>
      </c>
      <c r="H6" s="22"/>
    </row>
    <row r="7" spans="1:9" ht="23.25">
      <c r="A7" s="303"/>
      <c r="B7" s="292"/>
      <c r="C7" s="295"/>
      <c r="D7" s="296"/>
      <c r="E7" s="23"/>
      <c r="F7" s="23"/>
      <c r="G7" s="23" t="s">
        <v>225</v>
      </c>
      <c r="H7" s="23"/>
    </row>
    <row r="8" spans="1:9" ht="25.5">
      <c r="A8" s="303"/>
      <c r="B8" s="291" t="s">
        <v>217</v>
      </c>
      <c r="C8" s="304" t="s">
        <v>226</v>
      </c>
      <c r="D8" s="307" t="s">
        <v>36</v>
      </c>
      <c r="E8" s="22" t="s">
        <v>37</v>
      </c>
      <c r="F8" s="22" t="s">
        <v>40</v>
      </c>
      <c r="G8" s="22" t="s">
        <v>44</v>
      </c>
      <c r="H8" s="22" t="s">
        <v>47</v>
      </c>
    </row>
    <row r="9" spans="1:9" ht="23.25">
      <c r="A9" s="290"/>
      <c r="B9" s="292"/>
      <c r="C9" s="305"/>
      <c r="D9" s="308"/>
      <c r="E9" s="23" t="s">
        <v>227</v>
      </c>
      <c r="F9" s="23" t="s">
        <v>228</v>
      </c>
      <c r="G9" s="23" t="s">
        <v>229</v>
      </c>
      <c r="H9" s="23" t="s">
        <v>230</v>
      </c>
    </row>
    <row r="10" spans="1:9" ht="25.5">
      <c r="A10" s="309" t="s">
        <v>231</v>
      </c>
      <c r="B10" s="291" t="s">
        <v>217</v>
      </c>
      <c r="C10" s="305"/>
      <c r="D10" s="307" t="s">
        <v>50</v>
      </c>
      <c r="E10" s="22" t="s">
        <v>51</v>
      </c>
      <c r="F10" s="22" t="s">
        <v>54</v>
      </c>
      <c r="G10" s="22" t="s">
        <v>57</v>
      </c>
      <c r="H10" s="22" t="s">
        <v>163</v>
      </c>
    </row>
    <row r="11" spans="1:9" ht="25.5">
      <c r="A11" s="310"/>
      <c r="B11" s="292"/>
      <c r="C11" s="306"/>
      <c r="D11" s="308"/>
      <c r="E11" s="24" t="s">
        <v>232</v>
      </c>
      <c r="F11" s="24" t="s">
        <v>233</v>
      </c>
      <c r="G11" s="24" t="s">
        <v>234</v>
      </c>
      <c r="H11" s="24" t="s">
        <v>235</v>
      </c>
    </row>
    <row r="12" spans="1:9" ht="25.5">
      <c r="A12" s="289" t="s">
        <v>223</v>
      </c>
      <c r="B12" s="291" t="s">
        <v>236</v>
      </c>
      <c r="C12" s="304" t="s">
        <v>237</v>
      </c>
      <c r="D12" s="307" t="s">
        <v>63</v>
      </c>
      <c r="E12" s="22" t="s">
        <v>64</v>
      </c>
      <c r="F12" s="22" t="s">
        <v>67</v>
      </c>
      <c r="G12" s="22" t="s">
        <v>71</v>
      </c>
      <c r="H12" s="22"/>
    </row>
    <row r="13" spans="1:9" ht="25.5">
      <c r="A13" s="303"/>
      <c r="B13" s="292"/>
      <c r="C13" s="305"/>
      <c r="D13" s="312"/>
      <c r="E13" s="23" t="s">
        <v>238</v>
      </c>
      <c r="F13" s="23" t="s">
        <v>239</v>
      </c>
      <c r="G13" s="23" t="s">
        <v>240</v>
      </c>
      <c r="H13" s="24"/>
    </row>
    <row r="14" spans="1:9" ht="25.5">
      <c r="A14" s="303"/>
      <c r="B14" s="291" t="s">
        <v>241</v>
      </c>
      <c r="C14" s="305"/>
      <c r="D14" s="312"/>
      <c r="E14" s="22" t="s">
        <v>74</v>
      </c>
      <c r="F14" s="22"/>
      <c r="G14" s="22" t="s">
        <v>77</v>
      </c>
      <c r="H14" s="22"/>
    </row>
    <row r="15" spans="1:9" ht="23.25">
      <c r="A15" s="290"/>
      <c r="B15" s="292"/>
      <c r="C15" s="305"/>
      <c r="D15" s="308"/>
      <c r="E15" s="23" t="s">
        <v>242</v>
      </c>
      <c r="F15" s="23"/>
      <c r="G15" s="23" t="s">
        <v>243</v>
      </c>
      <c r="H15" s="23"/>
    </row>
    <row r="16" spans="1:9" ht="25.5">
      <c r="A16" s="309" t="s">
        <v>244</v>
      </c>
      <c r="B16" s="291" t="s">
        <v>236</v>
      </c>
      <c r="C16" s="305"/>
      <c r="D16" s="314" t="s">
        <v>245</v>
      </c>
      <c r="E16" s="22" t="s">
        <v>81</v>
      </c>
      <c r="F16" s="22" t="s">
        <v>84</v>
      </c>
      <c r="G16" s="22" t="s">
        <v>87</v>
      </c>
      <c r="H16" s="22"/>
    </row>
    <row r="17" spans="1:9" ht="23.25">
      <c r="A17" s="313"/>
      <c r="B17" s="292"/>
      <c r="C17" s="305"/>
      <c r="D17" s="315"/>
      <c r="E17" s="23" t="s">
        <v>246</v>
      </c>
      <c r="F17" s="23" t="s">
        <v>247</v>
      </c>
      <c r="G17" s="23" t="s">
        <v>248</v>
      </c>
      <c r="H17" s="23"/>
    </row>
    <row r="18" spans="1:9" ht="25.5">
      <c r="A18" s="313"/>
      <c r="B18" s="291" t="s">
        <v>241</v>
      </c>
      <c r="C18" s="305"/>
      <c r="D18" s="315"/>
      <c r="E18" s="22" t="s">
        <v>90</v>
      </c>
      <c r="F18" s="22"/>
      <c r="G18" s="22"/>
      <c r="H18" s="22" t="s">
        <v>93</v>
      </c>
      <c r="I18" s="316"/>
    </row>
    <row r="19" spans="1:9" ht="23.25">
      <c r="A19" s="310"/>
      <c r="B19" s="292"/>
      <c r="C19" s="305"/>
      <c r="D19" s="315"/>
      <c r="E19" s="23" t="s">
        <v>249</v>
      </c>
      <c r="F19" s="23"/>
      <c r="G19" s="23"/>
      <c r="H19" s="23" t="s">
        <v>250</v>
      </c>
      <c r="I19" s="316"/>
    </row>
    <row r="20" spans="1:9" ht="25.5">
      <c r="A20" s="289" t="s">
        <v>251</v>
      </c>
      <c r="B20" s="317" t="s">
        <v>236</v>
      </c>
      <c r="C20" s="311"/>
      <c r="D20" s="319" t="s">
        <v>252</v>
      </c>
      <c r="E20" s="25" t="s">
        <v>97</v>
      </c>
      <c r="F20" s="22" t="s">
        <v>99</v>
      </c>
      <c r="G20" s="22" t="s">
        <v>101</v>
      </c>
      <c r="H20" s="22"/>
    </row>
    <row r="21" spans="1:9" ht="23.25">
      <c r="A21" s="303"/>
      <c r="B21" s="318"/>
      <c r="C21" s="311"/>
      <c r="D21" s="320"/>
      <c r="E21" s="26" t="s">
        <v>253</v>
      </c>
      <c r="F21" s="23" t="s">
        <v>254</v>
      </c>
      <c r="G21" s="23" t="s">
        <v>255</v>
      </c>
      <c r="H21" s="23"/>
    </row>
    <row r="22" spans="1:9" ht="25.5">
      <c r="A22" s="303"/>
      <c r="B22" s="317" t="s">
        <v>241</v>
      </c>
      <c r="C22" s="311"/>
      <c r="D22" s="320"/>
      <c r="E22" s="25" t="s">
        <v>103</v>
      </c>
      <c r="F22" s="22"/>
      <c r="G22" s="22" t="s">
        <v>105</v>
      </c>
      <c r="H22" s="22"/>
    </row>
    <row r="23" spans="1:9" ht="23.25">
      <c r="A23" s="303"/>
      <c r="B23" s="318"/>
      <c r="C23" s="295"/>
      <c r="D23" s="321"/>
      <c r="E23" s="26" t="s">
        <v>256</v>
      </c>
      <c r="F23" s="23"/>
      <c r="G23" s="23" t="s">
        <v>257</v>
      </c>
      <c r="H23" s="23"/>
    </row>
    <row r="24" spans="1:9" ht="25.5">
      <c r="A24" s="303"/>
      <c r="B24" s="322" t="s">
        <v>258</v>
      </c>
      <c r="C24" s="293" t="s">
        <v>139</v>
      </c>
      <c r="D24" s="324"/>
      <c r="E24" s="27"/>
      <c r="F24" s="22"/>
      <c r="G24" s="22"/>
      <c r="H24" s="22" t="s">
        <v>140</v>
      </c>
    </row>
    <row r="25" spans="1:9" ht="23.25">
      <c r="A25" s="290"/>
      <c r="B25" s="323"/>
      <c r="C25" s="295"/>
      <c r="D25" s="296"/>
      <c r="E25" s="23"/>
      <c r="F25" s="23"/>
      <c r="G25" s="23"/>
      <c r="H25" s="23" t="s">
        <v>259</v>
      </c>
    </row>
    <row r="26" spans="1:9" ht="25.5">
      <c r="A26" s="289" t="s">
        <v>260</v>
      </c>
      <c r="B26" s="291" t="s">
        <v>217</v>
      </c>
      <c r="C26" s="293" t="s">
        <v>107</v>
      </c>
      <c r="D26" s="294"/>
      <c r="E26" s="22" t="s">
        <v>108</v>
      </c>
      <c r="F26" s="22" t="s">
        <v>111</v>
      </c>
      <c r="G26" s="22" t="s">
        <v>152</v>
      </c>
      <c r="H26" s="22" t="s">
        <v>117</v>
      </c>
    </row>
    <row r="27" spans="1:9" ht="23.25">
      <c r="A27" s="303"/>
      <c r="B27" s="292"/>
      <c r="C27" s="295"/>
      <c r="D27" s="296"/>
      <c r="E27" s="23" t="s">
        <v>261</v>
      </c>
      <c r="F27" s="23" t="s">
        <v>262</v>
      </c>
      <c r="G27" s="23" t="s">
        <v>263</v>
      </c>
      <c r="H27" s="23" t="s">
        <v>264</v>
      </c>
    </row>
    <row r="28" spans="1:9" ht="25.5">
      <c r="A28" s="303"/>
      <c r="B28" s="291" t="s">
        <v>265</v>
      </c>
      <c r="C28" s="293" t="s">
        <v>121</v>
      </c>
      <c r="D28" s="294"/>
      <c r="E28" s="22" t="s">
        <v>125</v>
      </c>
      <c r="F28" s="22"/>
      <c r="G28" s="22" t="s">
        <v>128</v>
      </c>
      <c r="H28" s="22" t="s">
        <v>131</v>
      </c>
    </row>
    <row r="29" spans="1:9" ht="23.25">
      <c r="A29" s="290"/>
      <c r="B29" s="292"/>
      <c r="C29" s="311"/>
      <c r="D29" s="324"/>
      <c r="E29" s="23" t="s">
        <v>266</v>
      </c>
      <c r="F29" s="23"/>
      <c r="G29" s="23" t="s">
        <v>267</v>
      </c>
      <c r="H29" s="23" t="s">
        <v>267</v>
      </c>
    </row>
    <row r="30" spans="1:9" ht="25.5">
      <c r="A30" s="289" t="s">
        <v>268</v>
      </c>
      <c r="B30" s="322" t="s">
        <v>269</v>
      </c>
      <c r="C30" s="311"/>
      <c r="D30" s="324"/>
      <c r="E30" s="22"/>
      <c r="F30" s="22"/>
      <c r="G30" s="22"/>
      <c r="H30" s="22" t="s">
        <v>133</v>
      </c>
    </row>
    <row r="31" spans="1:9" ht="23.25">
      <c r="A31" s="290"/>
      <c r="B31" s="323"/>
      <c r="C31" s="311"/>
      <c r="D31" s="324"/>
      <c r="E31" s="23"/>
      <c r="F31" s="23"/>
      <c r="G31" s="23"/>
      <c r="H31" s="23" t="s">
        <v>270</v>
      </c>
    </row>
    <row r="32" spans="1:9" ht="25.5">
      <c r="A32" s="289" t="s">
        <v>271</v>
      </c>
      <c r="B32" s="322" t="s">
        <v>272</v>
      </c>
      <c r="C32" s="311"/>
      <c r="D32" s="324"/>
      <c r="E32" s="22" t="s">
        <v>122</v>
      </c>
      <c r="F32" s="22"/>
      <c r="G32" s="22"/>
      <c r="H32" s="22"/>
    </row>
    <row r="33" spans="1:8" ht="23.25">
      <c r="A33" s="303"/>
      <c r="B33" s="323"/>
      <c r="C33" s="311"/>
      <c r="D33" s="324"/>
      <c r="E33" s="23" t="s">
        <v>273</v>
      </c>
      <c r="F33" s="23"/>
      <c r="G33" s="23"/>
      <c r="H33" s="23"/>
    </row>
    <row r="34" spans="1:8" ht="25.5">
      <c r="A34" s="303"/>
      <c r="B34" s="322" t="s">
        <v>274</v>
      </c>
      <c r="C34" s="311"/>
      <c r="D34" s="324"/>
      <c r="E34" s="22" t="s">
        <v>125</v>
      </c>
      <c r="F34" s="22"/>
      <c r="G34" s="22" t="s">
        <v>128</v>
      </c>
      <c r="H34" s="22" t="s">
        <v>131</v>
      </c>
    </row>
    <row r="35" spans="1:8" ht="23.25">
      <c r="A35" s="290"/>
      <c r="B35" s="323"/>
      <c r="C35" s="311"/>
      <c r="D35" s="324"/>
      <c r="E35" s="23" t="s">
        <v>275</v>
      </c>
      <c r="F35" s="23"/>
      <c r="G35" s="23" t="s">
        <v>276</v>
      </c>
      <c r="H35" s="23" t="s">
        <v>276</v>
      </c>
    </row>
    <row r="36" spans="1:8" ht="25.5">
      <c r="A36" s="325" t="s">
        <v>277</v>
      </c>
      <c r="B36" s="326"/>
      <c r="C36" s="311"/>
      <c r="D36" s="324"/>
      <c r="E36" s="22"/>
      <c r="F36" s="22"/>
      <c r="G36" s="22"/>
      <c r="H36" s="22" t="s">
        <v>131</v>
      </c>
    </row>
    <row r="37" spans="1:8" ht="23.25">
      <c r="A37" s="327"/>
      <c r="B37" s="328"/>
      <c r="C37" s="295"/>
      <c r="D37" s="296"/>
      <c r="E37" s="23"/>
      <c r="F37" s="23"/>
      <c r="G37" s="23"/>
      <c r="H37" s="23" t="s">
        <v>278</v>
      </c>
    </row>
  </sheetData>
  <mergeCells count="44">
    <mergeCell ref="A36:B37"/>
    <mergeCell ref="A26:A29"/>
    <mergeCell ref="B26:B27"/>
    <mergeCell ref="C26:D27"/>
    <mergeCell ref="B28:B29"/>
    <mergeCell ref="C28:D37"/>
    <mergeCell ref="A30:A31"/>
    <mergeCell ref="B30:B31"/>
    <mergeCell ref="A32:A35"/>
    <mergeCell ref="B32:B33"/>
    <mergeCell ref="B34:B35"/>
    <mergeCell ref="I18:I19"/>
    <mergeCell ref="A20:A25"/>
    <mergeCell ref="B20:B21"/>
    <mergeCell ref="D20:D23"/>
    <mergeCell ref="B22:B23"/>
    <mergeCell ref="B24:B25"/>
    <mergeCell ref="C24:D25"/>
    <mergeCell ref="A12:A15"/>
    <mergeCell ref="B12:B13"/>
    <mergeCell ref="C12:C23"/>
    <mergeCell ref="D12:D15"/>
    <mergeCell ref="B14:B15"/>
    <mergeCell ref="A16:A19"/>
    <mergeCell ref="B16:B17"/>
    <mergeCell ref="D16:D19"/>
    <mergeCell ref="B18:B19"/>
    <mergeCell ref="A6:A9"/>
    <mergeCell ref="B6:B7"/>
    <mergeCell ref="C6:D7"/>
    <mergeCell ref="B8:B9"/>
    <mergeCell ref="C8:C11"/>
    <mergeCell ref="D8:D9"/>
    <mergeCell ref="A10:A11"/>
    <mergeCell ref="B10:B11"/>
    <mergeCell ref="D10:D11"/>
    <mergeCell ref="A4:A5"/>
    <mergeCell ref="B4:B5"/>
    <mergeCell ref="C4:D5"/>
    <mergeCell ref="A1:B1"/>
    <mergeCell ref="C1:H1"/>
    <mergeCell ref="A2:A3"/>
    <mergeCell ref="B2:B3"/>
    <mergeCell ref="C2:D3"/>
  </mergeCells>
  <phoneticPr fontId="10" type="noConversion"/>
  <hyperlinks>
    <hyperlink ref="A2" r:id="rId1" tooltip="發音部位" display="https://zh.wikipedia.org/wiki/%E7%99%BC%E9%9F%B3%E9%83%A8%E4%BD%8D" xr:uid="{3D4A0924-B611-4F7E-A46C-66036C44B605}"/>
    <hyperlink ref="B2" r:id="rId2" tooltip="發音方法" display="https://zh.wikipedia.org/wiki/%E7%99%BC%E9%9F%B3%E6%96%B9%E6%B3%95" xr:uid="{C1EE6DCE-D1F2-4B2E-9596-A83A993E1501}"/>
    <hyperlink ref="A4" r:id="rId3" tooltip="雙唇音" display="https://zh.wikipedia.org/wiki/%E9%9B%99%E5%94%87%E9%9F%B3" xr:uid="{03E15644-CA99-4E8F-8969-E470DB810051}"/>
    <hyperlink ref="E4" r:id="rId4" tooltip="幫母" display="https://zh.wikipedia.org/wiki/%E5%B9%AB%E6%AF%8D" xr:uid="{2E1DD29C-6A4E-420B-8D3F-54625893A365}"/>
    <hyperlink ref="E5" r:id="rId5" tooltip="清雙唇塞音" display="https://zh.wikipedia.org/zh-tw/%E6%B8%85%E9%9B%99%E5%94%87%E5%A1%9E%E9%9F%B3" xr:uid="{6AD5F49D-B4A4-4B76-87F2-FCDC6E94F7A7}"/>
    <hyperlink ref="F4" r:id="rId6" tooltip="滂母" display="https://zh.wikipedia.org/wiki/%E6%BB%82%E6%AF%8D" xr:uid="{8522AA39-F265-4F80-ADDC-E23BA16DD262}"/>
    <hyperlink ref="F5" r:id="rId7" tooltip="送氣" display="https://zh.wikipedia.org/wiki/%E9%80%81%E6%B0%A3" xr:uid="{7DF85F41-238F-4F70-A5BB-201CD66D9205}"/>
    <hyperlink ref="G4" r:id="rId8" tooltip="並母" display="https://zh.wikipedia.org/wiki/%E4%B8%A6%E6%AF%8D" xr:uid="{B6178A37-523D-45C4-AD1D-6EA88B5D0267}"/>
    <hyperlink ref="G5" r:id="rId9" tooltip="濁雙唇塞音" display="https://zh.wikipedia.org/wiki/%E6%BF%81%E9%9B%99%E5%94%87%E5%A1%9E%E9%9F%B3" xr:uid="{F443A417-4011-4688-AAEB-6319F9E742A1}"/>
    <hyperlink ref="H4" r:id="rId10" tooltip="明母" display="https://zh.wikipedia.org/wiki/%E6%98%8E%E6%AF%8D" xr:uid="{1A812BB6-69CD-4BA9-BE8C-354B9E25D692}"/>
    <hyperlink ref="H5" r:id="rId11" tooltip="雙唇鼻音" display="https://zh.wikipedia.org/wiki/%E9%9B%99%E5%94%87%E9%BC%BB%E9%9F%B3" xr:uid="{531D70D2-62C7-4DC5-92BF-3897920B7CF6}"/>
    <hyperlink ref="A6" r:id="rId12" tooltip="齒齦音" display="https://zh.wikipedia.org/wiki/%E9%BD%92%E9%BD%A6%E9%9F%B3" xr:uid="{0AC0CE3E-5DCC-422E-A23E-65023A260455}"/>
    <hyperlink ref="G6" r:id="rId13" tooltip="來母" display="https://zh.wikipedia.org/wiki/%E4%BE%86%E6%AF%8D" xr:uid="{BE5E3537-94B0-49F8-AEC1-F5F10C9109E2}"/>
    <hyperlink ref="G7" r:id="rId14" tooltip="齒齦邊近音" display="https://zh.wikipedia.org/wiki/%E9%BD%BF%E9%BE%88%E8%BE%B9%E8%BF%91%E9%9F%B3" xr:uid="{E11B6361-B4C6-4EA2-B72F-70E70D212174}"/>
    <hyperlink ref="E8" r:id="rId15" tooltip="端母" display="https://zh.wikipedia.org/wiki/%E7%AB%AF%E6%AF%8D" xr:uid="{D6BF18B4-3D28-47C3-B513-4C0F36A3380D}"/>
    <hyperlink ref="E9" r:id="rId16" tooltip="清齒齦塞音" display="https://zh.wikipedia.org/wiki/%E6%B8%85%E9%BD%92%E9%BD%A6%E5%A1%9E%E9%9F%B3" xr:uid="{E7CA5EAD-A397-4AD3-B990-874D4E066614}"/>
    <hyperlink ref="F8" r:id="rId17" tooltip="透母" display="https://zh.wikipedia.org/wiki/%E9%80%8F%E6%AF%8D" xr:uid="{9536FE5B-AA3A-44FC-B135-443A352C7E41}"/>
    <hyperlink ref="F9" r:id="rId18" tooltip="送氣" display="https://zh.wikipedia.org/wiki/%E9%80%81%E6%B0%A3" xr:uid="{8DC77BDA-F051-4935-A454-44A50FCA9447}"/>
    <hyperlink ref="G8" r:id="rId19" tooltip="定母" display="https://zh.wikipedia.org/wiki/%E5%AE%9A%E6%AF%8D" xr:uid="{B40437F2-B12D-413D-A4EB-A1F042FA3616}"/>
    <hyperlink ref="G9" r:id="rId20" tooltip="濁齒齦塞音" display="https://zh.wikipedia.org/wiki/%E6%BF%81%E9%BD%92%E9%BD%A6%E5%A1%9E%E9%9F%B3" xr:uid="{C9535B47-AB6B-44BB-B16C-EFBA7A713D32}"/>
    <hyperlink ref="H8" r:id="rId21" tooltip="泥母" display="https://zh.wikipedia.org/wiki/%E6%B3%A5%E6%AF%8D" xr:uid="{CF3F5B39-FB14-4300-8E7D-C5B00391C203}"/>
    <hyperlink ref="H9" r:id="rId22" tooltip="齒齦鼻音" display="https://zh.wikipedia.org/wiki/%E9%BD%92%E9%BD%A6%E9%BC%BB%E9%9F%B3" xr:uid="{4E74BACF-8F58-40AB-97CB-8808196CEB01}"/>
    <hyperlink ref="A10" r:id="rId23" tooltip="捲舌音" display="https://zh.wikipedia.org/wiki/%E6%8D%B2%E8%88%8C%E9%9F%B3" xr:uid="{20B15464-2840-4977-AB0B-DFC4F6EA47E2}"/>
    <hyperlink ref="E10" r:id="rId24" tooltip="知母 (音韻)" display="https://zh.wikipedia.org/wiki/%E7%9F%A5%E6%AF%8D_(%E9%9F%B3%E9%9F%BB)" xr:uid="{ED8BE70E-13B7-4245-A945-FEA9DEB6E3B4}"/>
    <hyperlink ref="F10" r:id="rId25" tooltip="徹母" display="https://zh.wikipedia.org/wiki/%E5%BE%B9%E6%AF%8D" xr:uid="{5675196C-B391-4AD8-BD6D-B25F71BD0E2F}"/>
    <hyperlink ref="G10" r:id="rId26" tooltip="澄母" display="https://zh.wikipedia.org/wiki/%E6%BE%84%E6%AF%8D" xr:uid="{D9CD9099-D4CF-4A88-83D9-3D0232CBDA6E}"/>
    <hyperlink ref="H10" r:id="rId27" tooltip="娘母" display="https://zh.wikipedia.org/wiki/%E5%A8%98%E6%AF%8D" xr:uid="{8E1EBEF1-818E-4BF2-A3BE-F19C99EBF2D3}"/>
    <hyperlink ref="A12" r:id="rId28" tooltip="齒齦音" display="https://zh.wikipedia.org/wiki/%E9%BD%92%E9%BD%A6%E9%9F%B3" xr:uid="{02021FBF-87FE-4C93-BD26-49BF83E4C6A0}"/>
    <hyperlink ref="E12" r:id="rId29" tooltip="精母" display="https://zh.wikipedia.org/wiki/%E7%B2%BE%E6%AF%8D" xr:uid="{F59C7290-13EF-47D2-A059-379C77531243}"/>
    <hyperlink ref="E13" r:id="rId30" tooltip="清齒齦塞擦音" display="https://zh.wikipedia.org/wiki/%E6%B8%85%E9%BD%92%E9%BD%A6%E5%A1%9E%E6%93%A6%E9%9F%B3" xr:uid="{0EA17509-D52A-4363-AE05-F2853D652C43}"/>
    <hyperlink ref="F12" r:id="rId31" tooltip="清母" display="https://zh.wikipedia.org/wiki/%E6%B8%85%E6%AF%8D" xr:uid="{AC7BF084-E047-4E39-8244-A7E3C8F240D2}"/>
    <hyperlink ref="F13" r:id="rId32" tooltip="送氣" display="https://zh.wikipedia.org/wiki/%E9%80%81%E6%B0%A3" xr:uid="{A4B58F9E-C633-4136-AC4E-E5C474856C42}"/>
    <hyperlink ref="G12" r:id="rId33" tooltip="從母" display="https://zh.wikipedia.org/wiki/%E5%BE%9E%E6%AF%8D" xr:uid="{3CCD027A-61B0-4A06-A135-6B62DED59D3D}"/>
    <hyperlink ref="G13" r:id="rId34" tooltip="濁齒齦塞擦音" display="https://zh.wikipedia.org/wiki/%E6%BF%81%E9%BD%92%E9%BD%A6%E5%A1%9E%E6%93%A6%E9%9F%B3" xr:uid="{7D60CAD6-F3E7-429D-B455-1655B2EBB5C6}"/>
    <hyperlink ref="E14" r:id="rId35" tooltip="心母" display="https://zh.wikipedia.org/wiki/%E5%BF%83%E6%AF%8D" xr:uid="{C1BD97B3-1CE2-4B39-9161-6F6C852D9B50}"/>
    <hyperlink ref="E15" r:id="rId36" tooltip="清齒齦擦音" display="https://zh.wikipedia.org/wiki/%E6%B8%85%E9%BD%92%E9%BD%A6%E6%93%A6%E9%9F%B3" xr:uid="{82504318-44C6-4B5A-A913-405FFF1CC784}"/>
    <hyperlink ref="G14" r:id="rId37" tooltip="邪母" display="https://zh.wikipedia.org/wiki/%E9%82%AA%E6%AF%8D" xr:uid="{26007AD6-9940-4659-90C5-481F22BD384E}"/>
    <hyperlink ref="G15" r:id="rId38" tooltip="濁齒齦擦音" display="https://zh.wikipedia.org/wiki/%E6%BF%81%E9%BD%92%E9%BD%A6%E6%93%A6%E9%9F%B3" xr:uid="{5942A02C-87FF-4518-9056-BAC99DDB55F9}"/>
    <hyperlink ref="A16" r:id="rId39" tooltip="捲舌音" display="https://zh.wikipedia.org/wiki/%E6%8D%B2%E8%88%8C%E9%9F%B3" xr:uid="{44EDBE53-07AE-42CA-AF06-FC681DE10905}"/>
    <hyperlink ref="E16" r:id="rId40" tooltip="莊母" display="https://zh.wikipedia.org/wiki/%E8%8E%8A%E6%AF%8D" xr:uid="{BCB6B7E1-165D-4DB1-AE8A-B6CDEFF1BA99}"/>
    <hyperlink ref="F16" r:id="rId41" tooltip="初母" display="https://zh.wikipedia.org/wiki/%E5%88%9D%E6%AF%8D" xr:uid="{27C06255-229F-4531-BAE6-DC1DF0A9AAF5}"/>
    <hyperlink ref="G16" r:id="rId42" tooltip="崇母" display="https://zh.wikipedia.org/wiki/%E5%B4%87%E6%AF%8D" xr:uid="{B62E1C5F-1681-48DE-85A2-13C10EB9779B}"/>
    <hyperlink ref="E18" r:id="rId43" tooltip="生母" display="https://zh.wikipedia.org/wiki/%E7%94%9F%E6%AF%8D" xr:uid="{B41F9C7D-032F-43FD-9FBD-233CD17A40DA}"/>
    <hyperlink ref="H18" r:id="rId44" tooltip="俟母" display="https://zh.wikipedia.org/wiki/%E4%BF%9F%E6%AF%8D" xr:uid="{EEFAA8EB-6745-49BB-A826-2A42D3691A3B}"/>
    <hyperlink ref="A20" r:id="rId45" tooltip="齦顎音" display="https://zh.wikipedia.org/wiki/%E9%BD%A6%E9%A1%8E%E9%9F%B3" xr:uid="{8B9594D6-F74C-47F5-97CA-9E22C09214FC}"/>
    <hyperlink ref="E20" r:id="rId46" tooltip="章母" display="https://zh.wikipedia.org/wiki/%E7%AB%A0%E6%AF%8D" xr:uid="{AE0BCDDF-6F50-4F23-A85F-741828C47383}"/>
    <hyperlink ref="E21" r:id="rId47" tooltip="清齦齶塞擦音" display="https://zh.wikipedia.org/wiki/%E6%B8%85%E9%BD%A6%E8%85%AD%E5%A1%9E%E6%93%A6%E9%9F%B3" xr:uid="{C9323530-231E-4C6F-A67E-2727E92ACC6E}"/>
    <hyperlink ref="F20" r:id="rId48" tooltip="昌母" display="https://zh.wikipedia.org/wiki/%E6%98%8C%E6%AF%8D" xr:uid="{4F14E172-23F0-48B7-AE87-0EB4ACE06E64}"/>
    <hyperlink ref="F21" r:id="rId49" tooltip="送氣" display="https://zh.wikipedia.org/wiki/%E9%80%81%E6%B0%A3" xr:uid="{E5C14A10-AE36-4ED5-AED9-FCCE67BF8CFF}"/>
    <hyperlink ref="G20" r:id="rId50" tooltip="常母" display="https://zh.wikipedia.org/wiki/%E5%B8%B8%E6%AF%8D" xr:uid="{ADB9C5EC-8347-4229-A34C-928F6E18016F}"/>
    <hyperlink ref="G21" r:id="rId51" tooltip="濁齦齶塞擦音" display="https://zh.wikipedia.org/wiki/%E6%B5%8A%E9%BE%88%E8%85%AD%E5%A1%9E%E6%93%A6%E9%9F%B3" xr:uid="{5E7B7DCE-8773-4A0E-8217-E4310F7508B9}"/>
    <hyperlink ref="G22" r:id="rId52" tooltip="船母" display="https://zh.wikipedia.org/wiki/%E8%88%B9%E6%AF%8D" xr:uid="{3DED3CAA-E74C-4EAD-80FB-106985B5D19C}"/>
    <hyperlink ref="G23" r:id="rId53" tooltip="濁齦齶擦音" display="https://zh.wikipedia.org/wiki/%E6%BF%81%E9%BD%A6%E8%85%AD%E6%93%A6%E9%9F%B3" xr:uid="{32916D58-1C59-4EA8-8ED1-FED697568C82}"/>
    <hyperlink ref="B24" r:id="rId54" tooltip="鼻音 (輔音)" display="https://zh.wikipedia.org/wiki/%E9%BC%BB%E9%9F%B3_(%E8%BE%85%E9%9F%B3)" xr:uid="{9013CE9D-A233-449E-B2D8-471C34413B07}"/>
    <hyperlink ref="H24" r:id="rId55" tooltip="日母" display="https://zh.wikipedia.org/wiki/%E6%97%A5%E6%AF%8D" xr:uid="{68379E39-80F4-4F6F-87EE-5D9109FCAD98}"/>
    <hyperlink ref="A26" r:id="rId56" tooltip="軟顎音" display="https://zh.wikipedia.org/wiki/%E8%BB%9F%E9%A1%8E%E9%9F%B3" xr:uid="{F77EB3B1-7CB3-4FBE-8B33-FCB311A120FB}"/>
    <hyperlink ref="E26" r:id="rId57" tooltip="見母" display="https://zh.wikipedia.org/wiki/%E8%A6%8B%E6%AF%8D" xr:uid="{AF83F55E-DECA-4777-9034-348CEABB67D1}"/>
    <hyperlink ref="E27" r:id="rId58" tooltip="清軟齶塞音" display="https://zh.wikipedia.org/wiki/%E6%B8%85%E8%BB%9F%E8%85%AD%E5%A1%9E%E9%9F%B3" xr:uid="{B0CFDAB4-67BC-41BE-AB42-092241E11D0D}"/>
    <hyperlink ref="F26" r:id="rId59" tooltip="溪母" display="https://zh.wikipedia.org/wiki/%E6%BA%AA%E6%AF%8D" xr:uid="{906E3B66-C39A-4545-B98D-B4E5498187A8}"/>
    <hyperlink ref="F27" r:id="rId60" tooltip="送氣" display="https://zh.wikipedia.org/wiki/%E9%80%81%E6%B0%A3" xr:uid="{3B7C41B0-B9BF-47C8-A50D-919FBBE7CFF9}"/>
    <hyperlink ref="G26" r:id="rId61" tooltip="群母" display="https://zh.wikipedia.org/wiki/%E7%BE%A4%E6%AF%8D" xr:uid="{475C5E5A-8D92-4DA1-A56C-E7F666F5C895}"/>
    <hyperlink ref="G27" r:id="rId62" tooltip="濁軟齶塞音" display="https://zh.wikipedia.org/wiki/%E6%BF%81%E8%BB%9F%E8%85%AD%E5%A1%9E%E9%9F%B3" xr:uid="{B3F17FC5-1B03-49EA-9AAA-BC93552AF163}"/>
    <hyperlink ref="H26" r:id="rId63" tooltip="疑母" display="https://zh.wikipedia.org/wiki/%E7%96%91%E6%AF%8D" xr:uid="{C2A5397D-80D6-4A66-8D03-0F891668C1CF}"/>
    <hyperlink ref="H27" r:id="rId64" tooltip="軟齶鼻音" display="https://zh.wikipedia.org/wiki/%E8%BB%9F%E8%85%AD%E9%BC%BB%E9%9F%B3" xr:uid="{D966591A-5493-4CF0-90E0-D62379B1D950}"/>
    <hyperlink ref="E28" r:id="rId65" tooltip="曉母" display="https://zh.wikipedia.org/wiki/%E6%9B%89%E6%AF%8D" xr:uid="{26F2904D-826B-4E1E-BD71-319E7B2FA1EC}"/>
    <hyperlink ref="G28" r:id="rId66" tooltip="匣母" display="https://zh.wikipedia.org/wiki/%E5%8C%A3%E6%AF%8D" xr:uid="{884487D8-122B-434B-84A4-AF6767A2193A}"/>
    <hyperlink ref="H28" r:id="rId67" tooltip="雲母 (廣韻)" display="https://zh.wikipedia.org/wiki/%E4%BA%91%E6%AF%8D_(%E5%BB%A3%E9%9F%BB)" xr:uid="{D3015D39-70CA-449F-A66E-E6D29298C9F9}"/>
    <hyperlink ref="A30" r:id="rId68" tooltip="硬顎音" display="https://zh.wikipedia.org/wiki/%E7%A1%AC%E9%A1%8E%E9%9F%B3" xr:uid="{A98428B0-09EA-4BCD-89B4-BF4D384D60F0}"/>
    <hyperlink ref="B30" r:id="rId69" tooltip="近音" display="https://zh.wikipedia.org/wiki/%E8%BF%91%E9%9F%B3" xr:uid="{D56EA041-A069-46D9-809F-E99AC4A68FE2}"/>
    <hyperlink ref="H30" r:id="rId70" tooltip="以母" display="https://zh.wikipedia.org/wiki/%E4%BB%A5%E6%AF%8D" xr:uid="{72F34997-1F48-45B9-900E-55505A683879}"/>
    <hyperlink ref="A32" r:id="rId71" tooltip="聲門音" display="https://zh.wikipedia.org/wiki/%E8%81%B2%E9%96%80%E9%9F%B3" xr:uid="{F16ADEFF-C7AC-4051-AD70-0BC005549F6F}"/>
    <hyperlink ref="B32" r:id="rId72" tooltip="塞音" display="https://zh.wikipedia.org/wiki/%E5%A1%9E%E9%9F%B3" xr:uid="{06DABF46-A5BD-461A-A2F0-6FA1CA723595}"/>
    <hyperlink ref="E32" r:id="rId73" tooltip="影母" display="https://zh.wikipedia.org/wiki/%E5%BD%B1%E6%AF%8D" xr:uid="{4D14F772-70A8-43BF-BAF7-AA2B4EE5905C}"/>
    <hyperlink ref="E33" r:id="rId74" tooltip="聲門塞音" display="https://zh.wikipedia.org/wiki/%E8%81%B2%E9%96%80%E5%A1%9E%E9%9F%B3" xr:uid="{147566E0-263F-4F06-B78C-E57B6168D070}"/>
    <hyperlink ref="B34" r:id="rId75" tooltip="擦音" display="https://zh.wikipedia.org/wiki/%E6%93%A6%E9%9F%B3" xr:uid="{2BD11A0D-6E90-4797-9A3C-955E111A7676}"/>
    <hyperlink ref="E34" r:id="rId76" tooltip="曉母" display="https://zh.wikipedia.org/wiki/%E6%9B%89%E6%AF%8D" xr:uid="{F7D27FF7-E218-4606-B91A-CB6467FB0AD5}"/>
    <hyperlink ref="G34" r:id="rId77" tooltip="匣母" display="https://zh.wikipedia.org/wiki/%E5%8C%A3%E6%AF%8D" xr:uid="{A90F37F1-0419-4AB7-859B-E42272AEF8D7}"/>
    <hyperlink ref="H34" r:id="rId78" tooltip="雲母 (廣韻)" display="https://zh.wikipedia.org/wiki/%E4%BA%91%E6%AF%8D_(%E5%BB%A3%E9%9F%BB)" xr:uid="{A2304A35-63D3-48D9-B324-3D58AF778BDB}"/>
    <hyperlink ref="A36" r:id="rId79" tooltip="零聲母" display="https://zh.wikipedia.org/wiki/%E9%9B%B6%E8%81%B2%E6%AF%8D" xr:uid="{0B5FEEA7-5661-4609-A82F-46852385B3EF}"/>
    <hyperlink ref="H36" r:id="rId80" tooltip="雲母 (廣韻)" display="https://zh.wikipedia.org/wiki/%E4%BA%91%E6%AF%8D_(%E5%BB%A3%E9%9F%BB)" xr:uid="{A71E4B5E-BE51-4BEE-907A-105FF1A235AC}"/>
    <hyperlink ref="E22" r:id="rId81" tooltip="書母" display="https://zh.wikipedia.org/wiki/%E6%9B%B8%E6%AF%8D" xr:uid="{9ACA02AC-BA9E-49EE-A964-0CE51FC1FB9E}"/>
    <hyperlink ref="E23" r:id="rId82" tooltip="清齦齶擦音" display="https://zh.wikipedia.org/wiki/%E6%B8%85%E9%BD%A6%E8%85%AD%E6%93%A6%E9%9F%B3" xr:uid="{5E836C6A-1563-463B-B890-BF03C4B0C78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36B05-9AC0-4A7C-81D7-8D44135F0E31}">
  <sheetPr>
    <tabColor theme="8" tint="-0.249977111117893"/>
  </sheetPr>
  <dimension ref="A1:U42"/>
  <sheetViews>
    <sheetView workbookViewId="0">
      <pane ySplit="1" topLeftCell="A2" activePane="bottomLeft" state="frozen"/>
      <selection pane="bottomLeft" activeCell="K1" sqref="K1:U1048576"/>
    </sheetView>
  </sheetViews>
  <sheetFormatPr defaultRowHeight="21" customHeight="1"/>
  <cols>
    <col min="1" max="1" width="11.125" style="189" customWidth="1"/>
    <col min="2" max="2" width="11.875" style="190" bestFit="1" customWidth="1"/>
    <col min="3" max="3" width="18.125" style="189" customWidth="1"/>
    <col min="4" max="4" width="8.25" style="191" customWidth="1"/>
    <col min="5" max="5" width="8.25" style="192" customWidth="1"/>
    <col min="6" max="6" width="10.75" style="193" customWidth="1"/>
    <col min="7" max="7" width="16.875" style="189" bestFit="1" customWidth="1"/>
    <col min="8" max="8" width="91.875" style="194" customWidth="1"/>
    <col min="9" max="9" width="19.375" style="189" customWidth="1"/>
    <col min="10" max="10" width="7" style="155" customWidth="1"/>
    <col min="22" max="16384" width="9" style="174"/>
  </cols>
  <sheetData>
    <row r="1" spans="1:9" s="145" customFormat="1" ht="49.5" customHeight="1">
      <c r="A1" s="140" t="s">
        <v>2029</v>
      </c>
      <c r="B1" s="141" t="s">
        <v>2030</v>
      </c>
      <c r="C1" s="142" t="s">
        <v>2031</v>
      </c>
      <c r="D1" s="141" t="s">
        <v>2032</v>
      </c>
      <c r="E1" s="141" t="s">
        <v>2033</v>
      </c>
      <c r="F1" s="141" t="s">
        <v>4</v>
      </c>
      <c r="G1" s="143" t="s">
        <v>2034</v>
      </c>
      <c r="H1" s="142" t="s">
        <v>2035</v>
      </c>
      <c r="I1" s="144" t="s">
        <v>2036</v>
      </c>
    </row>
    <row r="2" spans="1:9" ht="25.5">
      <c r="A2" s="146">
        <v>1</v>
      </c>
      <c r="B2" s="147" t="s">
        <v>107</v>
      </c>
      <c r="C2" s="148" t="s">
        <v>107</v>
      </c>
      <c r="D2" s="149" t="s">
        <v>108</v>
      </c>
      <c r="E2" s="150" t="s">
        <v>8</v>
      </c>
      <c r="F2" s="151" t="s">
        <v>9</v>
      </c>
      <c r="G2" s="152" t="s">
        <v>109</v>
      </c>
      <c r="H2" s="153" t="s">
        <v>2037</v>
      </c>
      <c r="I2" s="154"/>
    </row>
    <row r="3" spans="1:9" ht="25.5">
      <c r="A3" s="146">
        <v>2</v>
      </c>
      <c r="B3" s="147" t="s">
        <v>107</v>
      </c>
      <c r="C3" s="148" t="s">
        <v>107</v>
      </c>
      <c r="D3" s="149" t="s">
        <v>111</v>
      </c>
      <c r="E3" s="150" t="s">
        <v>13</v>
      </c>
      <c r="F3" s="151" t="s">
        <v>14</v>
      </c>
      <c r="G3" s="152" t="s">
        <v>112</v>
      </c>
      <c r="H3" s="153" t="s">
        <v>2038</v>
      </c>
      <c r="I3" s="156"/>
    </row>
    <row r="4" spans="1:9" ht="25.5">
      <c r="A4" s="146">
        <v>3</v>
      </c>
      <c r="B4" s="147" t="s">
        <v>107</v>
      </c>
      <c r="C4" s="148" t="s">
        <v>107</v>
      </c>
      <c r="D4" s="149" t="s">
        <v>152</v>
      </c>
      <c r="E4" s="157" t="s">
        <v>19</v>
      </c>
      <c r="F4" s="151" t="s">
        <v>2039</v>
      </c>
      <c r="G4" s="158" t="s">
        <v>109</v>
      </c>
      <c r="H4" s="159" t="s">
        <v>2040</v>
      </c>
      <c r="I4" s="156"/>
    </row>
    <row r="5" spans="1:9" ht="25.5">
      <c r="A5" s="146">
        <v>4</v>
      </c>
      <c r="B5" s="147" t="s">
        <v>107</v>
      </c>
      <c r="C5" s="148" t="s">
        <v>107</v>
      </c>
      <c r="D5" s="149" t="s">
        <v>117</v>
      </c>
      <c r="E5" s="160" t="s">
        <v>23</v>
      </c>
      <c r="F5" s="161" t="s">
        <v>24</v>
      </c>
      <c r="G5" s="152" t="s">
        <v>154</v>
      </c>
      <c r="H5" s="159" t="s">
        <v>2041</v>
      </c>
      <c r="I5" s="156"/>
    </row>
    <row r="6" spans="1:9" ht="25.5">
      <c r="A6" s="146">
        <v>5</v>
      </c>
      <c r="B6" s="162" t="s">
        <v>226</v>
      </c>
      <c r="C6" s="163" t="s">
        <v>36</v>
      </c>
      <c r="D6" s="149" t="s">
        <v>37</v>
      </c>
      <c r="E6" s="150" t="s">
        <v>8</v>
      </c>
      <c r="F6" s="151" t="s">
        <v>9</v>
      </c>
      <c r="G6" s="164" t="s">
        <v>38</v>
      </c>
      <c r="H6" s="159" t="s">
        <v>2042</v>
      </c>
      <c r="I6" s="156"/>
    </row>
    <row r="7" spans="1:9" s="165" customFormat="1" ht="25.5">
      <c r="A7" s="146">
        <v>6</v>
      </c>
      <c r="B7" s="162" t="s">
        <v>226</v>
      </c>
      <c r="C7" s="148" t="s">
        <v>36</v>
      </c>
      <c r="D7" s="149" t="s">
        <v>40</v>
      </c>
      <c r="E7" s="150" t="s">
        <v>13</v>
      </c>
      <c r="F7" s="151" t="s">
        <v>14</v>
      </c>
      <c r="G7" s="152" t="s">
        <v>41</v>
      </c>
      <c r="H7" s="159" t="s">
        <v>2043</v>
      </c>
      <c r="I7" s="156"/>
    </row>
    <row r="8" spans="1:9" ht="25.5">
      <c r="A8" s="146">
        <v>7</v>
      </c>
      <c r="B8" s="162" t="s">
        <v>226</v>
      </c>
      <c r="C8" s="148" t="s">
        <v>36</v>
      </c>
      <c r="D8" s="149" t="s">
        <v>44</v>
      </c>
      <c r="E8" s="157" t="s">
        <v>19</v>
      </c>
      <c r="F8" s="151" t="s">
        <v>2039</v>
      </c>
      <c r="G8" s="166" t="s">
        <v>38</v>
      </c>
      <c r="H8" s="159" t="s">
        <v>2044</v>
      </c>
      <c r="I8" s="156"/>
    </row>
    <row r="9" spans="1:9" ht="25.5">
      <c r="A9" s="146">
        <v>8</v>
      </c>
      <c r="B9" s="162" t="s">
        <v>226</v>
      </c>
      <c r="C9" s="148" t="s">
        <v>36</v>
      </c>
      <c r="D9" s="149" t="s">
        <v>47</v>
      </c>
      <c r="E9" s="160" t="s">
        <v>23</v>
      </c>
      <c r="F9" s="161" t="s">
        <v>24</v>
      </c>
      <c r="G9" s="158" t="s">
        <v>48</v>
      </c>
      <c r="H9" s="159" t="s">
        <v>2045</v>
      </c>
      <c r="I9" s="156"/>
    </row>
    <row r="10" spans="1:9" ht="25.5">
      <c r="A10" s="146">
        <v>9</v>
      </c>
      <c r="B10" s="162" t="s">
        <v>226</v>
      </c>
      <c r="C10" s="148" t="s">
        <v>50</v>
      </c>
      <c r="D10" s="149" t="s">
        <v>51</v>
      </c>
      <c r="E10" s="150" t="s">
        <v>8</v>
      </c>
      <c r="F10" s="151" t="s">
        <v>9</v>
      </c>
      <c r="G10" s="152" t="s">
        <v>38</v>
      </c>
      <c r="H10" s="159" t="s">
        <v>2046</v>
      </c>
      <c r="I10" s="154"/>
    </row>
    <row r="11" spans="1:9" ht="25.5">
      <c r="A11" s="146">
        <v>10</v>
      </c>
      <c r="B11" s="162" t="s">
        <v>226</v>
      </c>
      <c r="C11" s="167" t="s">
        <v>50</v>
      </c>
      <c r="D11" s="149" t="s">
        <v>54</v>
      </c>
      <c r="E11" s="150" t="s">
        <v>13</v>
      </c>
      <c r="F11" s="151" t="s">
        <v>14</v>
      </c>
      <c r="G11" s="168" t="s">
        <v>41</v>
      </c>
      <c r="H11" s="159" t="s">
        <v>2047</v>
      </c>
      <c r="I11" s="154"/>
    </row>
    <row r="12" spans="1:9" ht="25.5">
      <c r="A12" s="146">
        <v>11</v>
      </c>
      <c r="B12" s="162" t="s">
        <v>226</v>
      </c>
      <c r="C12" s="167" t="s">
        <v>50</v>
      </c>
      <c r="D12" s="149" t="s">
        <v>57</v>
      </c>
      <c r="E12" s="150" t="s">
        <v>19</v>
      </c>
      <c r="F12" s="151" t="s">
        <v>2039</v>
      </c>
      <c r="G12" s="168" t="s">
        <v>38</v>
      </c>
      <c r="H12" s="159" t="s">
        <v>2048</v>
      </c>
      <c r="I12" s="154"/>
    </row>
    <row r="13" spans="1:9" ht="25.5">
      <c r="A13" s="146">
        <v>12</v>
      </c>
      <c r="B13" s="162" t="s">
        <v>226</v>
      </c>
      <c r="C13" s="167" t="s">
        <v>50</v>
      </c>
      <c r="D13" s="149" t="s">
        <v>60</v>
      </c>
      <c r="E13" s="150" t="s">
        <v>23</v>
      </c>
      <c r="F13" s="161" t="s">
        <v>24</v>
      </c>
      <c r="G13" s="168" t="s">
        <v>61</v>
      </c>
      <c r="H13" s="159" t="s">
        <v>164</v>
      </c>
      <c r="I13" s="169" t="s">
        <v>163</v>
      </c>
    </row>
    <row r="14" spans="1:9" ht="25.5">
      <c r="A14" s="146">
        <v>13</v>
      </c>
      <c r="B14" s="162" t="s">
        <v>2049</v>
      </c>
      <c r="C14" s="148" t="s">
        <v>6</v>
      </c>
      <c r="D14" s="149" t="s">
        <v>7</v>
      </c>
      <c r="E14" s="170" t="s">
        <v>8</v>
      </c>
      <c r="F14" s="151" t="s">
        <v>9</v>
      </c>
      <c r="G14" s="171" t="s">
        <v>10</v>
      </c>
      <c r="H14" s="153" t="s">
        <v>2050</v>
      </c>
      <c r="I14" s="156"/>
    </row>
    <row r="15" spans="1:9" ht="25.5">
      <c r="A15" s="146">
        <v>14</v>
      </c>
      <c r="B15" s="162" t="s">
        <v>2049</v>
      </c>
      <c r="C15" s="148" t="s">
        <v>6</v>
      </c>
      <c r="D15" s="149" t="s">
        <v>12</v>
      </c>
      <c r="E15" s="170" t="s">
        <v>13</v>
      </c>
      <c r="F15" s="151" t="s">
        <v>14</v>
      </c>
      <c r="G15" s="171" t="s">
        <v>15</v>
      </c>
      <c r="H15" s="159" t="s">
        <v>2051</v>
      </c>
      <c r="I15" s="156"/>
    </row>
    <row r="16" spans="1:9" ht="25.5">
      <c r="A16" s="146">
        <v>15</v>
      </c>
      <c r="B16" s="162" t="s">
        <v>2049</v>
      </c>
      <c r="C16" s="148" t="s">
        <v>6</v>
      </c>
      <c r="D16" s="149" t="s">
        <v>18</v>
      </c>
      <c r="E16" s="157" t="s">
        <v>19</v>
      </c>
      <c r="F16" s="151" t="s">
        <v>2039</v>
      </c>
      <c r="G16" s="171" t="s">
        <v>10</v>
      </c>
      <c r="H16" s="159" t="s">
        <v>2052</v>
      </c>
      <c r="I16" s="156"/>
    </row>
    <row r="17" spans="1:10" ht="25.5">
      <c r="A17" s="146">
        <v>16</v>
      </c>
      <c r="B17" s="162" t="s">
        <v>2049</v>
      </c>
      <c r="C17" s="148" t="s">
        <v>6</v>
      </c>
      <c r="D17" s="149" t="s">
        <v>22</v>
      </c>
      <c r="E17" s="172" t="s">
        <v>23</v>
      </c>
      <c r="F17" s="161" t="s">
        <v>24</v>
      </c>
      <c r="G17" s="173" t="s">
        <v>25</v>
      </c>
      <c r="H17" s="159" t="s">
        <v>168</v>
      </c>
      <c r="I17" s="154"/>
      <c r="J17" s="174"/>
    </row>
    <row r="18" spans="1:10" ht="25.5">
      <c r="A18" s="146">
        <v>17</v>
      </c>
      <c r="B18" s="162" t="s">
        <v>2049</v>
      </c>
      <c r="C18" s="167" t="s">
        <v>27</v>
      </c>
      <c r="D18" s="149" t="s">
        <v>28</v>
      </c>
      <c r="E18" s="150" t="s">
        <v>8</v>
      </c>
      <c r="F18" s="151" t="s">
        <v>9</v>
      </c>
      <c r="G18" s="168" t="s">
        <v>29</v>
      </c>
      <c r="H18" s="159" t="s">
        <v>169</v>
      </c>
      <c r="I18" s="156"/>
      <c r="J18" s="174"/>
    </row>
    <row r="19" spans="1:10" ht="25.5">
      <c r="A19" s="146">
        <v>18</v>
      </c>
      <c r="B19" s="162" t="s">
        <v>2049</v>
      </c>
      <c r="C19" s="167" t="s">
        <v>27</v>
      </c>
      <c r="D19" s="149" t="s">
        <v>30</v>
      </c>
      <c r="E19" s="150" t="s">
        <v>13</v>
      </c>
      <c r="F19" s="151" t="s">
        <v>14</v>
      </c>
      <c r="G19" s="168" t="s">
        <v>29</v>
      </c>
      <c r="H19" s="159" t="s">
        <v>2053</v>
      </c>
      <c r="I19" s="156"/>
      <c r="J19" s="174"/>
    </row>
    <row r="20" spans="1:10" ht="25.5">
      <c r="A20" s="146">
        <v>19</v>
      </c>
      <c r="B20" s="162" t="s">
        <v>2049</v>
      </c>
      <c r="C20" s="167" t="s">
        <v>27</v>
      </c>
      <c r="D20" s="149" t="s">
        <v>32</v>
      </c>
      <c r="E20" s="157" t="s">
        <v>19</v>
      </c>
      <c r="F20" s="151" t="s">
        <v>2039</v>
      </c>
      <c r="G20" s="168" t="s">
        <v>29</v>
      </c>
      <c r="H20" s="159" t="s">
        <v>2054</v>
      </c>
      <c r="I20" s="156"/>
      <c r="J20" s="174"/>
    </row>
    <row r="21" spans="1:10" ht="25.5">
      <c r="A21" s="146">
        <v>20</v>
      </c>
      <c r="B21" s="162" t="s">
        <v>2049</v>
      </c>
      <c r="C21" s="167" t="s">
        <v>27</v>
      </c>
      <c r="D21" s="149" t="s">
        <v>34</v>
      </c>
      <c r="E21" s="150" t="s">
        <v>23</v>
      </c>
      <c r="F21" s="151" t="s">
        <v>24</v>
      </c>
      <c r="G21" s="175" t="s">
        <v>20</v>
      </c>
      <c r="H21" s="159" t="s">
        <v>2055</v>
      </c>
      <c r="I21" s="156"/>
      <c r="J21" s="174"/>
    </row>
    <row r="22" spans="1:10" ht="25.5">
      <c r="A22" s="146">
        <v>21</v>
      </c>
      <c r="B22" s="147" t="s">
        <v>237</v>
      </c>
      <c r="C22" s="167" t="s">
        <v>63</v>
      </c>
      <c r="D22" s="149" t="s">
        <v>64</v>
      </c>
      <c r="E22" s="150" t="s">
        <v>8</v>
      </c>
      <c r="F22" s="151" t="s">
        <v>9</v>
      </c>
      <c r="G22" s="175" t="s">
        <v>78</v>
      </c>
      <c r="H22" s="176" t="s">
        <v>2056</v>
      </c>
      <c r="I22" s="156"/>
      <c r="J22" s="174"/>
    </row>
    <row r="23" spans="1:10" ht="25.5">
      <c r="A23" s="146">
        <v>22</v>
      </c>
      <c r="B23" s="147" t="s">
        <v>237</v>
      </c>
      <c r="C23" s="147" t="s">
        <v>63</v>
      </c>
      <c r="D23" s="149" t="s">
        <v>67</v>
      </c>
      <c r="E23" s="150" t="s">
        <v>13</v>
      </c>
      <c r="F23" s="151" t="s">
        <v>14</v>
      </c>
      <c r="G23" s="175" t="s">
        <v>174</v>
      </c>
      <c r="H23" s="159" t="s">
        <v>2057</v>
      </c>
      <c r="I23" s="156"/>
      <c r="J23" s="174"/>
    </row>
    <row r="24" spans="1:10" ht="25.5">
      <c r="A24" s="146">
        <v>23</v>
      </c>
      <c r="B24" s="147" t="s">
        <v>237</v>
      </c>
      <c r="C24" s="147" t="s">
        <v>63</v>
      </c>
      <c r="D24" s="149" t="s">
        <v>71</v>
      </c>
      <c r="E24" s="157" t="s">
        <v>19</v>
      </c>
      <c r="F24" s="151" t="s">
        <v>2039</v>
      </c>
      <c r="G24" s="158" t="s">
        <v>78</v>
      </c>
      <c r="H24" s="159" t="s">
        <v>2058</v>
      </c>
      <c r="I24" s="154" t="s">
        <v>2059</v>
      </c>
      <c r="J24" s="174"/>
    </row>
    <row r="25" spans="1:10" ht="25.5">
      <c r="A25" s="146">
        <v>24</v>
      </c>
      <c r="B25" s="147" t="s">
        <v>237</v>
      </c>
      <c r="C25" s="147" t="s">
        <v>63</v>
      </c>
      <c r="D25" s="149" t="s">
        <v>74</v>
      </c>
      <c r="E25" s="150" t="s">
        <v>8</v>
      </c>
      <c r="F25" s="177" t="s">
        <v>9</v>
      </c>
      <c r="G25" s="152" t="s">
        <v>75</v>
      </c>
      <c r="H25" s="159" t="s">
        <v>2060</v>
      </c>
      <c r="I25" s="156"/>
      <c r="J25" s="174"/>
    </row>
    <row r="26" spans="1:10" ht="25.5">
      <c r="A26" s="146">
        <v>25</v>
      </c>
      <c r="B26" s="147" t="s">
        <v>237</v>
      </c>
      <c r="C26" s="147" t="s">
        <v>63</v>
      </c>
      <c r="D26" s="149" t="s">
        <v>77</v>
      </c>
      <c r="E26" s="157" t="s">
        <v>19</v>
      </c>
      <c r="F26" s="151"/>
      <c r="G26" s="152" t="s">
        <v>75</v>
      </c>
      <c r="H26" s="159" t="s">
        <v>2061</v>
      </c>
      <c r="I26" s="178"/>
      <c r="J26" s="174"/>
    </row>
    <row r="27" spans="1:10" ht="25.5">
      <c r="A27" s="146">
        <v>26</v>
      </c>
      <c r="B27" s="147" t="s">
        <v>237</v>
      </c>
      <c r="C27" s="179" t="s">
        <v>179</v>
      </c>
      <c r="D27" s="149" t="s">
        <v>81</v>
      </c>
      <c r="E27" s="150" t="s">
        <v>8</v>
      </c>
      <c r="F27" s="177" t="s">
        <v>9</v>
      </c>
      <c r="G27" s="180" t="s">
        <v>78</v>
      </c>
      <c r="H27" s="153" t="s">
        <v>2062</v>
      </c>
      <c r="I27" s="181"/>
      <c r="J27" s="174"/>
    </row>
    <row r="28" spans="1:10" ht="25.5">
      <c r="A28" s="146">
        <v>27</v>
      </c>
      <c r="B28" s="147" t="s">
        <v>237</v>
      </c>
      <c r="C28" s="179" t="s">
        <v>179</v>
      </c>
      <c r="D28" s="149" t="s">
        <v>84</v>
      </c>
      <c r="E28" s="150" t="s">
        <v>13</v>
      </c>
      <c r="F28" s="177" t="s">
        <v>14</v>
      </c>
      <c r="G28" s="180" t="s">
        <v>174</v>
      </c>
      <c r="H28" s="153" t="s">
        <v>2063</v>
      </c>
      <c r="I28" s="181"/>
      <c r="J28" s="174"/>
    </row>
    <row r="29" spans="1:10" s="182" customFormat="1" ht="25.5">
      <c r="A29" s="146">
        <v>28</v>
      </c>
      <c r="B29" s="147" t="s">
        <v>237</v>
      </c>
      <c r="C29" s="179" t="s">
        <v>179</v>
      </c>
      <c r="D29" s="149" t="s">
        <v>2064</v>
      </c>
      <c r="E29" s="157" t="s">
        <v>19</v>
      </c>
      <c r="F29" s="177" t="s">
        <v>2039</v>
      </c>
      <c r="G29" s="180" t="s">
        <v>78</v>
      </c>
      <c r="H29" s="159" t="s">
        <v>2065</v>
      </c>
      <c r="I29" s="181"/>
    </row>
    <row r="30" spans="1:10" s="182" customFormat="1" ht="25.5">
      <c r="A30" s="146">
        <v>29</v>
      </c>
      <c r="B30" s="147" t="s">
        <v>237</v>
      </c>
      <c r="C30" s="179" t="s">
        <v>179</v>
      </c>
      <c r="D30" s="149" t="s">
        <v>184</v>
      </c>
      <c r="E30" s="170" t="s">
        <v>8</v>
      </c>
      <c r="F30" s="183" t="s">
        <v>2066</v>
      </c>
      <c r="G30" s="173" t="s">
        <v>75</v>
      </c>
      <c r="H30" s="159" t="s">
        <v>2067</v>
      </c>
      <c r="I30" s="181"/>
    </row>
    <row r="31" spans="1:10" s="182" customFormat="1" ht="25.5">
      <c r="A31" s="146">
        <v>30</v>
      </c>
      <c r="B31" s="147" t="s">
        <v>237</v>
      </c>
      <c r="C31" s="184" t="s">
        <v>186</v>
      </c>
      <c r="D31" s="149" t="s">
        <v>187</v>
      </c>
      <c r="E31" s="170" t="s">
        <v>8</v>
      </c>
      <c r="F31" s="151" t="s">
        <v>9</v>
      </c>
      <c r="G31" s="180" t="s">
        <v>78</v>
      </c>
      <c r="H31" s="159" t="s">
        <v>2068</v>
      </c>
      <c r="I31" s="154" t="s">
        <v>2069</v>
      </c>
    </row>
    <row r="32" spans="1:10" s="182" customFormat="1" ht="25.5">
      <c r="A32" s="146">
        <v>31</v>
      </c>
      <c r="B32" s="147" t="s">
        <v>237</v>
      </c>
      <c r="C32" s="184" t="s">
        <v>186</v>
      </c>
      <c r="D32" s="149" t="s">
        <v>189</v>
      </c>
      <c r="E32" s="170" t="s">
        <v>13</v>
      </c>
      <c r="F32" s="185" t="s">
        <v>14</v>
      </c>
      <c r="G32" s="173" t="s">
        <v>174</v>
      </c>
      <c r="H32" s="159" t="s">
        <v>2070</v>
      </c>
      <c r="I32" s="154"/>
    </row>
    <row r="33" spans="1:9" s="182" customFormat="1" ht="25.5">
      <c r="A33" s="146">
        <v>32</v>
      </c>
      <c r="B33" s="147" t="s">
        <v>237</v>
      </c>
      <c r="C33" s="184" t="s">
        <v>186</v>
      </c>
      <c r="D33" s="149" t="s">
        <v>191</v>
      </c>
      <c r="E33" s="170" t="s">
        <v>19</v>
      </c>
      <c r="F33" s="186" t="s">
        <v>14</v>
      </c>
      <c r="G33" s="171" t="s">
        <v>75</v>
      </c>
      <c r="H33" s="159" t="s">
        <v>2071</v>
      </c>
      <c r="I33" s="154"/>
    </row>
    <row r="34" spans="1:9" s="182" customFormat="1" ht="25.5">
      <c r="A34" s="146">
        <v>33</v>
      </c>
      <c r="B34" s="147" t="s">
        <v>237</v>
      </c>
      <c r="C34" s="184" t="s">
        <v>186</v>
      </c>
      <c r="D34" s="149" t="s">
        <v>193</v>
      </c>
      <c r="E34" s="150" t="s">
        <v>8</v>
      </c>
      <c r="F34" s="151" t="s">
        <v>14</v>
      </c>
      <c r="G34" s="168" t="s">
        <v>75</v>
      </c>
      <c r="H34" s="187" t="s">
        <v>2072</v>
      </c>
      <c r="I34" s="156"/>
    </row>
    <row r="35" spans="1:9" s="182" customFormat="1" ht="25.5">
      <c r="A35" s="146">
        <v>34</v>
      </c>
      <c r="B35" s="147" t="s">
        <v>237</v>
      </c>
      <c r="C35" s="184" t="s">
        <v>186</v>
      </c>
      <c r="D35" s="149" t="s">
        <v>195</v>
      </c>
      <c r="E35" s="157" t="s">
        <v>19</v>
      </c>
      <c r="F35" s="186" t="s">
        <v>14</v>
      </c>
      <c r="G35" s="188" t="s">
        <v>75</v>
      </c>
      <c r="H35" s="187" t="s">
        <v>2073</v>
      </c>
      <c r="I35" s="156"/>
    </row>
    <row r="36" spans="1:9" ht="25.5">
      <c r="A36" s="146">
        <v>35</v>
      </c>
      <c r="B36" s="147" t="s">
        <v>121</v>
      </c>
      <c r="C36" s="167" t="s">
        <v>121</v>
      </c>
      <c r="D36" s="149" t="s">
        <v>122</v>
      </c>
      <c r="E36" s="150" t="s">
        <v>8</v>
      </c>
      <c r="F36" s="151" t="s">
        <v>2074</v>
      </c>
      <c r="G36" s="168" t="s">
        <v>123</v>
      </c>
      <c r="H36" s="187" t="s">
        <v>2075</v>
      </c>
      <c r="I36" s="156"/>
    </row>
    <row r="37" spans="1:9" ht="25.5">
      <c r="A37" s="146">
        <v>36</v>
      </c>
      <c r="B37" s="162" t="s">
        <v>121</v>
      </c>
      <c r="C37" s="167" t="s">
        <v>121</v>
      </c>
      <c r="D37" s="149" t="s">
        <v>125</v>
      </c>
      <c r="E37" s="170" t="s">
        <v>13</v>
      </c>
      <c r="F37" s="151" t="s">
        <v>14</v>
      </c>
      <c r="G37" s="168" t="s">
        <v>29</v>
      </c>
      <c r="H37" s="187" t="s">
        <v>2076</v>
      </c>
      <c r="I37" s="156"/>
    </row>
    <row r="38" spans="1:9" ht="25.5">
      <c r="A38" s="146">
        <v>37</v>
      </c>
      <c r="B38" s="162" t="s">
        <v>121</v>
      </c>
      <c r="C38" s="167" t="s">
        <v>121</v>
      </c>
      <c r="D38" s="149" t="s">
        <v>128</v>
      </c>
      <c r="E38" s="157" t="s">
        <v>19</v>
      </c>
      <c r="F38" s="186" t="s">
        <v>14</v>
      </c>
      <c r="G38" s="168" t="s">
        <v>29</v>
      </c>
      <c r="H38" s="187" t="s">
        <v>2077</v>
      </c>
      <c r="I38" s="156"/>
    </row>
    <row r="39" spans="1:9" ht="25.5">
      <c r="A39" s="146">
        <v>38</v>
      </c>
      <c r="B39" s="162" t="s">
        <v>121</v>
      </c>
      <c r="C39" s="167" t="s">
        <v>121</v>
      </c>
      <c r="D39" s="149" t="s">
        <v>200</v>
      </c>
      <c r="E39" s="150" t="s">
        <v>23</v>
      </c>
      <c r="F39" s="151" t="s">
        <v>2074</v>
      </c>
      <c r="G39" s="168" t="s">
        <v>123</v>
      </c>
      <c r="H39" s="187" t="s">
        <v>2078</v>
      </c>
      <c r="I39" s="156"/>
    </row>
    <row r="40" spans="1:9" ht="25.5">
      <c r="A40" s="146">
        <v>39</v>
      </c>
      <c r="B40" s="162" t="s">
        <v>121</v>
      </c>
      <c r="C40" s="148" t="s">
        <v>121</v>
      </c>
      <c r="D40" s="149" t="s">
        <v>202</v>
      </c>
      <c r="E40" s="150" t="s">
        <v>23</v>
      </c>
      <c r="F40" s="183" t="s">
        <v>2074</v>
      </c>
      <c r="G40" s="152" t="s">
        <v>123</v>
      </c>
      <c r="H40" s="187" t="s">
        <v>2079</v>
      </c>
      <c r="I40" s="154" t="s">
        <v>2080</v>
      </c>
    </row>
    <row r="41" spans="1:9" ht="25.5">
      <c r="A41" s="146">
        <v>40</v>
      </c>
      <c r="B41" s="162" t="s">
        <v>136</v>
      </c>
      <c r="C41" s="148" t="s">
        <v>204</v>
      </c>
      <c r="D41" s="149" t="s">
        <v>137</v>
      </c>
      <c r="E41" s="160" t="s">
        <v>23</v>
      </c>
      <c r="F41" s="151" t="s">
        <v>24</v>
      </c>
      <c r="G41" s="152" t="s">
        <v>61</v>
      </c>
      <c r="H41" s="187" t="s">
        <v>2081</v>
      </c>
      <c r="I41" s="156"/>
    </row>
    <row r="42" spans="1:9" ht="25.5">
      <c r="A42" s="146">
        <v>41</v>
      </c>
      <c r="B42" s="162" t="s">
        <v>139</v>
      </c>
      <c r="C42" s="148" t="s">
        <v>206</v>
      </c>
      <c r="D42" s="149" t="s">
        <v>140</v>
      </c>
      <c r="E42" s="160" t="s">
        <v>23</v>
      </c>
      <c r="F42" s="151" t="s">
        <v>24</v>
      </c>
      <c r="G42" s="152" t="s">
        <v>134</v>
      </c>
      <c r="H42" s="187" t="s">
        <v>2082</v>
      </c>
      <c r="I42" s="154"/>
    </row>
  </sheetData>
  <phoneticPr fontId="10"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54474-5810-480C-8DF7-83D928F6A32C}">
  <sheetPr>
    <tabColor rgb="FFFFC000"/>
  </sheetPr>
  <dimension ref="A1:AA302"/>
  <sheetViews>
    <sheetView workbookViewId="0">
      <pane ySplit="1" topLeftCell="A45" activePane="bottomLeft" state="frozen"/>
      <selection pane="bottomLeft" activeCell="S52" sqref="S1:S1048576"/>
    </sheetView>
  </sheetViews>
  <sheetFormatPr defaultRowHeight="25.5" outlineLevelCol="1"/>
  <cols>
    <col min="1" max="1" width="13" style="103" customWidth="1"/>
    <col min="2" max="2" width="13" style="103" hidden="1" customWidth="1" outlineLevel="1"/>
    <col min="3" max="3" width="13.625" style="86" hidden="1" customWidth="1" outlineLevel="1"/>
    <col min="4" max="4" width="12.875" style="117" hidden="1" customWidth="1" outlineLevel="1" collapsed="1"/>
    <col min="5" max="5" width="9" hidden="1" customWidth="1" outlineLevel="1"/>
    <col min="6" max="6" width="10.25" style="118" hidden="1" customWidth="1" outlineLevel="1"/>
    <col min="7" max="7" width="10.875" style="103" hidden="1" customWidth="1" outlineLevel="1"/>
    <col min="8" max="8" width="13.875" style="123" customWidth="1" collapsed="1"/>
    <col min="9" max="9" width="12.875" style="119" customWidth="1"/>
    <col min="10" max="10" width="12.875" style="86" customWidth="1"/>
    <col min="11" max="11" width="12.875" customWidth="1"/>
    <col min="12" max="12" width="13.25" style="117" customWidth="1"/>
    <col min="13" max="13" width="13.25" style="119" hidden="1" customWidth="1" outlineLevel="1"/>
    <col min="14" max="14" width="11.25" customWidth="1" collapsed="1"/>
    <col min="15" max="16" width="11.25" customWidth="1"/>
    <col min="17" max="17" width="11.25" style="117" customWidth="1"/>
    <col min="18" max="18" width="13.625" style="86" bestFit="1" customWidth="1" collapsed="1"/>
    <col min="19" max="19" width="53.5" style="120" bestFit="1" customWidth="1"/>
    <col min="20" max="20" width="25.75" style="86" customWidth="1"/>
    <col min="21" max="21" width="8.25" style="121" customWidth="1"/>
    <col min="22" max="22" width="8.25" style="86" customWidth="1"/>
    <col min="23" max="23" width="8.25" style="117" customWidth="1"/>
    <col min="24" max="24" width="48.125" style="86" customWidth="1"/>
    <col min="25" max="25" width="49.25" style="117" customWidth="1"/>
    <col min="26" max="26" width="70.5" style="86" customWidth="1" collapsed="1"/>
    <col min="27" max="27" width="34.125" style="86" customWidth="1"/>
    <col min="28" max="28" width="8.375" style="103" customWidth="1"/>
    <col min="29" max="29" width="13.75" style="103" bestFit="1" customWidth="1"/>
    <col min="30" max="30" width="9" style="103" customWidth="1"/>
    <col min="31" max="31" width="14.875" style="103" customWidth="1"/>
    <col min="32" max="32" width="15.625" style="103" customWidth="1"/>
    <col min="33" max="16384" width="9" style="103"/>
  </cols>
  <sheetData>
    <row r="1" spans="1:27" s="94" customFormat="1" ht="62.25" customHeight="1">
      <c r="A1" s="90" t="s">
        <v>907</v>
      </c>
      <c r="B1" s="90" t="s">
        <v>1812</v>
      </c>
      <c r="C1" s="91" t="s">
        <v>908</v>
      </c>
      <c r="D1" s="91" t="s">
        <v>909</v>
      </c>
      <c r="E1" s="90" t="s">
        <v>892</v>
      </c>
      <c r="F1" s="92" t="s">
        <v>910</v>
      </c>
      <c r="G1" s="90" t="s">
        <v>914</v>
      </c>
      <c r="H1" s="90" t="s">
        <v>1814</v>
      </c>
      <c r="I1" s="90" t="s">
        <v>905</v>
      </c>
      <c r="J1" s="90" t="s">
        <v>911</v>
      </c>
      <c r="K1" s="90" t="s">
        <v>912</v>
      </c>
      <c r="L1" s="90" t="s">
        <v>1813</v>
      </c>
      <c r="M1" s="90" t="s">
        <v>913</v>
      </c>
      <c r="N1" s="90" t="s">
        <v>915</v>
      </c>
      <c r="O1" s="90" t="s">
        <v>916</v>
      </c>
      <c r="P1" s="90" t="s">
        <v>286</v>
      </c>
      <c r="Q1" s="90" t="s">
        <v>287</v>
      </c>
      <c r="R1" s="93" t="s">
        <v>917</v>
      </c>
      <c r="S1" s="90" t="s">
        <v>918</v>
      </c>
      <c r="T1" s="90" t="s">
        <v>919</v>
      </c>
    </row>
    <row r="2" spans="1:27" ht="30">
      <c r="A2" s="99">
        <v>1</v>
      </c>
      <c r="B2" s="95">
        <v>1</v>
      </c>
      <c r="C2" s="96">
        <v>1</v>
      </c>
      <c r="D2" s="97">
        <v>1</v>
      </c>
      <c r="E2" s="98" t="s">
        <v>920</v>
      </c>
      <c r="F2" s="99">
        <v>1</v>
      </c>
      <c r="G2" s="96" t="s">
        <v>1458</v>
      </c>
      <c r="H2" s="122" t="s">
        <v>1460</v>
      </c>
      <c r="I2" s="95" t="s">
        <v>292</v>
      </c>
      <c r="J2" s="98" t="s">
        <v>296</v>
      </c>
      <c r="K2" s="100" t="s">
        <v>293</v>
      </c>
      <c r="L2" s="95" t="s">
        <v>895</v>
      </c>
      <c r="M2" s="95">
        <v>1</v>
      </c>
      <c r="N2" s="95" t="s">
        <v>1459</v>
      </c>
      <c r="O2" s="100" t="s">
        <v>921</v>
      </c>
      <c r="P2" s="95">
        <v>1</v>
      </c>
      <c r="Q2" s="95" t="s">
        <v>295</v>
      </c>
      <c r="R2" s="101" t="s">
        <v>297</v>
      </c>
      <c r="S2" s="102" t="s">
        <v>922</v>
      </c>
      <c r="T2" s="103"/>
      <c r="U2" s="103"/>
      <c r="V2" s="103"/>
      <c r="W2" s="103"/>
      <c r="X2" s="103"/>
      <c r="Y2" s="103"/>
      <c r="Z2" s="103"/>
      <c r="AA2" s="103"/>
    </row>
    <row r="3" spans="1:27" ht="30">
      <c r="A3" s="99">
        <v>2</v>
      </c>
      <c r="B3" s="95">
        <v>3</v>
      </c>
      <c r="C3" s="96">
        <v>1</v>
      </c>
      <c r="D3" s="97">
        <v>58</v>
      </c>
      <c r="E3" s="98" t="s">
        <v>923</v>
      </c>
      <c r="F3" s="99">
        <v>1</v>
      </c>
      <c r="G3" s="96" t="s">
        <v>1458</v>
      </c>
      <c r="H3" s="122" t="s">
        <v>1462</v>
      </c>
      <c r="I3" s="95" t="s">
        <v>292</v>
      </c>
      <c r="J3" s="98" t="s">
        <v>296</v>
      </c>
      <c r="K3" s="100" t="s">
        <v>1461</v>
      </c>
      <c r="L3" s="95" t="s">
        <v>897</v>
      </c>
      <c r="M3" s="95">
        <v>2</v>
      </c>
      <c r="N3" s="95" t="s">
        <v>1459</v>
      </c>
      <c r="O3" s="100" t="s">
        <v>921</v>
      </c>
      <c r="P3" s="95">
        <v>1</v>
      </c>
      <c r="Q3" s="95" t="s">
        <v>295</v>
      </c>
      <c r="R3" s="101" t="s">
        <v>297</v>
      </c>
      <c r="S3" s="102" t="s">
        <v>924</v>
      </c>
      <c r="T3" s="103"/>
      <c r="U3" s="103"/>
      <c r="V3" s="103"/>
      <c r="W3" s="103"/>
      <c r="X3" s="103"/>
      <c r="Y3" s="103"/>
      <c r="Z3" s="103"/>
      <c r="AA3" s="103"/>
    </row>
    <row r="4" spans="1:27" ht="30">
      <c r="A4" s="99">
        <v>3</v>
      </c>
      <c r="B4" s="95">
        <v>5</v>
      </c>
      <c r="C4" s="96">
        <v>1</v>
      </c>
      <c r="D4" s="97">
        <v>113</v>
      </c>
      <c r="E4" s="98" t="s">
        <v>925</v>
      </c>
      <c r="F4" s="99">
        <v>1</v>
      </c>
      <c r="G4" s="96" t="s">
        <v>1458</v>
      </c>
      <c r="H4" s="122" t="s">
        <v>1464</v>
      </c>
      <c r="I4" s="95" t="s">
        <v>292</v>
      </c>
      <c r="J4" s="98" t="s">
        <v>296</v>
      </c>
      <c r="K4" s="100" t="s">
        <v>1463</v>
      </c>
      <c r="L4" s="95" t="s">
        <v>899</v>
      </c>
      <c r="M4" s="95">
        <v>3</v>
      </c>
      <c r="N4" s="95" t="s">
        <v>1459</v>
      </c>
      <c r="O4" s="100" t="s">
        <v>921</v>
      </c>
      <c r="P4" s="95">
        <v>1</v>
      </c>
      <c r="Q4" s="95" t="s">
        <v>295</v>
      </c>
      <c r="R4" s="101" t="s">
        <v>297</v>
      </c>
      <c r="S4" s="102" t="s">
        <v>926</v>
      </c>
      <c r="T4" s="103"/>
      <c r="U4" s="103"/>
      <c r="V4" s="103"/>
      <c r="W4" s="103"/>
      <c r="X4" s="103"/>
      <c r="Y4" s="103"/>
      <c r="Z4" s="103"/>
      <c r="AA4" s="103"/>
    </row>
    <row r="5" spans="1:27" ht="30">
      <c r="A5" s="99">
        <v>4</v>
      </c>
      <c r="B5" s="95">
        <v>7</v>
      </c>
      <c r="C5" s="96">
        <v>1</v>
      </c>
      <c r="D5" s="97">
        <v>174</v>
      </c>
      <c r="E5" s="98" t="s">
        <v>927</v>
      </c>
      <c r="F5" s="99">
        <v>1</v>
      </c>
      <c r="G5" s="96" t="s">
        <v>1458</v>
      </c>
      <c r="H5" s="122" t="s">
        <v>1466</v>
      </c>
      <c r="I5" s="95" t="s">
        <v>292</v>
      </c>
      <c r="J5" s="98" t="s">
        <v>296</v>
      </c>
      <c r="K5" s="100" t="s">
        <v>1465</v>
      </c>
      <c r="L5" s="95" t="s">
        <v>861</v>
      </c>
      <c r="M5" s="95">
        <v>4</v>
      </c>
      <c r="N5" s="95" t="s">
        <v>1459</v>
      </c>
      <c r="O5" s="100" t="s">
        <v>921</v>
      </c>
      <c r="P5" s="95">
        <v>1</v>
      </c>
      <c r="Q5" s="95" t="s">
        <v>295</v>
      </c>
      <c r="R5" s="101" t="s">
        <v>317</v>
      </c>
      <c r="S5" s="102" t="s">
        <v>928</v>
      </c>
      <c r="T5" s="103"/>
      <c r="U5" s="103"/>
      <c r="V5" s="103"/>
      <c r="W5" s="103"/>
      <c r="X5" s="103"/>
      <c r="Y5" s="103"/>
      <c r="Z5" s="103"/>
      <c r="AA5" s="103"/>
    </row>
    <row r="6" spans="1:27" ht="30">
      <c r="A6" s="99">
        <v>5</v>
      </c>
      <c r="B6" s="95">
        <v>2</v>
      </c>
      <c r="C6" s="96">
        <v>2</v>
      </c>
      <c r="D6" s="97">
        <v>1</v>
      </c>
      <c r="E6" s="98" t="s">
        <v>929</v>
      </c>
      <c r="F6" s="99">
        <v>1</v>
      </c>
      <c r="G6" s="96" t="s">
        <v>1468</v>
      </c>
      <c r="H6" s="122" t="s">
        <v>1460</v>
      </c>
      <c r="I6" s="95" t="s">
        <v>292</v>
      </c>
      <c r="J6" s="98" t="s">
        <v>1467</v>
      </c>
      <c r="K6" s="100" t="s">
        <v>293</v>
      </c>
      <c r="L6" s="95" t="s">
        <v>895</v>
      </c>
      <c r="M6" s="95">
        <v>1</v>
      </c>
      <c r="N6" s="95" t="s">
        <v>1459</v>
      </c>
      <c r="O6" s="100" t="s">
        <v>930</v>
      </c>
      <c r="P6" s="95">
        <v>3</v>
      </c>
      <c r="Q6" s="95" t="s">
        <v>295</v>
      </c>
      <c r="R6" s="101" t="s">
        <v>302</v>
      </c>
      <c r="S6" s="102" t="s">
        <v>931</v>
      </c>
      <c r="T6" s="103"/>
      <c r="U6" s="103"/>
      <c r="V6" s="103"/>
      <c r="W6" s="103"/>
      <c r="X6" s="103"/>
      <c r="Y6" s="103"/>
      <c r="Z6" s="103"/>
      <c r="AA6" s="103"/>
    </row>
    <row r="7" spans="1:27" ht="30">
      <c r="A7" s="99">
        <v>6</v>
      </c>
      <c r="B7" s="95">
        <v>4</v>
      </c>
      <c r="C7" s="96">
        <v>2</v>
      </c>
      <c r="D7" s="97">
        <v>58</v>
      </c>
      <c r="E7" s="98" t="s">
        <v>932</v>
      </c>
      <c r="F7" s="99">
        <v>1</v>
      </c>
      <c r="G7" s="96" t="s">
        <v>1468</v>
      </c>
      <c r="H7" s="122" t="s">
        <v>1462</v>
      </c>
      <c r="I7" s="95" t="s">
        <v>292</v>
      </c>
      <c r="J7" s="98" t="s">
        <v>1467</v>
      </c>
      <c r="K7" s="100" t="s">
        <v>1461</v>
      </c>
      <c r="L7" s="95" t="s">
        <v>897</v>
      </c>
      <c r="M7" s="95">
        <v>2</v>
      </c>
      <c r="N7" s="95" t="s">
        <v>1459</v>
      </c>
      <c r="O7" s="100" t="s">
        <v>930</v>
      </c>
      <c r="P7" s="95">
        <v>3</v>
      </c>
      <c r="Q7" s="95" t="s">
        <v>295</v>
      </c>
      <c r="R7" s="101" t="s">
        <v>302</v>
      </c>
      <c r="S7" s="104"/>
      <c r="T7" s="105" t="s">
        <v>933</v>
      </c>
      <c r="U7" s="103"/>
      <c r="V7" s="103"/>
      <c r="W7" s="103"/>
      <c r="X7" s="103"/>
      <c r="Y7" s="103"/>
      <c r="Z7" s="103"/>
      <c r="AA7" s="103"/>
    </row>
    <row r="8" spans="1:27" ht="30">
      <c r="A8" s="99">
        <v>7</v>
      </c>
      <c r="B8" s="95">
        <v>6</v>
      </c>
      <c r="C8" s="96">
        <v>2</v>
      </c>
      <c r="D8" s="97">
        <v>113</v>
      </c>
      <c r="E8" s="98" t="s">
        <v>934</v>
      </c>
      <c r="F8" s="99">
        <v>1</v>
      </c>
      <c r="G8" s="96" t="s">
        <v>1468</v>
      </c>
      <c r="H8" s="122" t="s">
        <v>1464</v>
      </c>
      <c r="I8" s="95" t="s">
        <v>292</v>
      </c>
      <c r="J8" s="98" t="s">
        <v>1467</v>
      </c>
      <c r="K8" s="100" t="s">
        <v>1463</v>
      </c>
      <c r="L8" s="95" t="s">
        <v>899</v>
      </c>
      <c r="M8" s="95">
        <v>3</v>
      </c>
      <c r="N8" s="95" t="s">
        <v>1459</v>
      </c>
      <c r="O8" s="100" t="s">
        <v>930</v>
      </c>
      <c r="P8" s="95">
        <v>3</v>
      </c>
      <c r="Q8" s="95" t="s">
        <v>295</v>
      </c>
      <c r="R8" s="101" t="s">
        <v>302</v>
      </c>
      <c r="S8" s="102" t="s">
        <v>935</v>
      </c>
      <c r="T8" s="103"/>
      <c r="U8" s="103"/>
      <c r="V8" s="103"/>
      <c r="W8" s="103"/>
      <c r="X8" s="103"/>
      <c r="Y8" s="103"/>
      <c r="Z8" s="103"/>
      <c r="AA8" s="103"/>
    </row>
    <row r="9" spans="1:27" ht="30">
      <c r="A9" s="99">
        <v>8</v>
      </c>
      <c r="B9" s="95">
        <v>8</v>
      </c>
      <c r="C9" s="96">
        <v>2</v>
      </c>
      <c r="D9" s="97">
        <v>174</v>
      </c>
      <c r="E9" s="98" t="s">
        <v>936</v>
      </c>
      <c r="F9" s="99">
        <v>1</v>
      </c>
      <c r="G9" s="96" t="s">
        <v>1468</v>
      </c>
      <c r="H9" s="122" t="s">
        <v>1466</v>
      </c>
      <c r="I9" s="95" t="s">
        <v>292</v>
      </c>
      <c r="J9" s="98" t="s">
        <v>1467</v>
      </c>
      <c r="K9" s="100" t="s">
        <v>1465</v>
      </c>
      <c r="L9" s="95" t="s">
        <v>861</v>
      </c>
      <c r="M9" s="95">
        <v>4</v>
      </c>
      <c r="N9" s="95" t="s">
        <v>1459</v>
      </c>
      <c r="O9" s="100" t="s">
        <v>930</v>
      </c>
      <c r="P9" s="95">
        <v>3</v>
      </c>
      <c r="Q9" s="95" t="s">
        <v>295</v>
      </c>
      <c r="R9" s="101" t="s">
        <v>321</v>
      </c>
      <c r="S9" s="102" t="s">
        <v>937</v>
      </c>
      <c r="T9" s="103"/>
      <c r="U9" s="103"/>
      <c r="V9" s="103"/>
      <c r="W9" s="103"/>
      <c r="X9" s="103"/>
      <c r="Y9" s="103"/>
      <c r="Z9" s="103"/>
      <c r="AA9" s="103"/>
    </row>
    <row r="10" spans="1:27" ht="30">
      <c r="A10" s="99">
        <v>9</v>
      </c>
      <c r="B10" s="95">
        <v>9</v>
      </c>
      <c r="C10" s="96">
        <v>3</v>
      </c>
      <c r="D10" s="97">
        <v>2</v>
      </c>
      <c r="E10" s="98" t="s">
        <v>938</v>
      </c>
      <c r="F10" s="99">
        <v>2</v>
      </c>
      <c r="G10" s="96" t="s">
        <v>1469</v>
      </c>
      <c r="H10" s="122" t="s">
        <v>1470</v>
      </c>
      <c r="I10" s="95" t="s">
        <v>292</v>
      </c>
      <c r="J10" s="98" t="s">
        <v>305</v>
      </c>
      <c r="K10" s="100" t="s">
        <v>305</v>
      </c>
      <c r="L10" s="95" t="s">
        <v>895</v>
      </c>
      <c r="M10" s="95">
        <v>1</v>
      </c>
      <c r="N10" s="95" t="s">
        <v>1459</v>
      </c>
      <c r="O10" s="100" t="s">
        <v>921</v>
      </c>
      <c r="P10" s="95">
        <v>1</v>
      </c>
      <c r="Q10" s="95" t="s">
        <v>295</v>
      </c>
      <c r="R10" s="101" t="s">
        <v>297</v>
      </c>
      <c r="S10" s="102" t="s">
        <v>939</v>
      </c>
      <c r="T10" s="103"/>
      <c r="U10" s="103"/>
      <c r="V10" s="103"/>
      <c r="W10" s="103"/>
      <c r="X10" s="103"/>
      <c r="Y10" s="103"/>
      <c r="Z10" s="103"/>
      <c r="AA10" s="103"/>
    </row>
    <row r="11" spans="1:27" ht="30">
      <c r="A11" s="99">
        <v>10</v>
      </c>
      <c r="B11" s="95">
        <v>10</v>
      </c>
      <c r="C11" s="96">
        <v>3</v>
      </c>
      <c r="D11" s="97">
        <v>114</v>
      </c>
      <c r="E11" s="98" t="s">
        <v>940</v>
      </c>
      <c r="F11" s="99">
        <v>2</v>
      </c>
      <c r="G11" s="96" t="s">
        <v>1469</v>
      </c>
      <c r="H11" s="122" t="s">
        <v>1472</v>
      </c>
      <c r="I11" s="95" t="s">
        <v>292</v>
      </c>
      <c r="J11" s="98" t="s">
        <v>305</v>
      </c>
      <c r="K11" s="100" t="s">
        <v>1471</v>
      </c>
      <c r="L11" s="95" t="s">
        <v>899</v>
      </c>
      <c r="M11" s="95">
        <v>3</v>
      </c>
      <c r="N11" s="95" t="s">
        <v>1459</v>
      </c>
      <c r="O11" s="100" t="s">
        <v>921</v>
      </c>
      <c r="P11" s="95">
        <v>1</v>
      </c>
      <c r="Q11" s="95" t="s">
        <v>295</v>
      </c>
      <c r="R11" s="101" t="s">
        <v>297</v>
      </c>
      <c r="S11" s="102" t="s">
        <v>941</v>
      </c>
      <c r="T11" s="103"/>
      <c r="U11" s="103"/>
      <c r="V11" s="103"/>
      <c r="W11" s="103"/>
      <c r="X11" s="103"/>
      <c r="Y11" s="103"/>
      <c r="Z11" s="103"/>
      <c r="AA11" s="103"/>
    </row>
    <row r="12" spans="1:27" ht="30">
      <c r="A12" s="99">
        <v>11</v>
      </c>
      <c r="B12" s="95">
        <v>11</v>
      </c>
      <c r="C12" s="96">
        <v>3</v>
      </c>
      <c r="D12" s="97">
        <v>175</v>
      </c>
      <c r="E12" s="98" t="s">
        <v>942</v>
      </c>
      <c r="F12" s="99">
        <v>2</v>
      </c>
      <c r="G12" s="96" t="s">
        <v>1469</v>
      </c>
      <c r="H12" s="122" t="s">
        <v>1473</v>
      </c>
      <c r="I12" s="95" t="s">
        <v>292</v>
      </c>
      <c r="J12" s="98" t="s">
        <v>305</v>
      </c>
      <c r="K12" s="100" t="s">
        <v>324</v>
      </c>
      <c r="L12" s="95" t="s">
        <v>861</v>
      </c>
      <c r="M12" s="95">
        <v>4</v>
      </c>
      <c r="N12" s="95" t="s">
        <v>1459</v>
      </c>
      <c r="O12" s="100" t="s">
        <v>921</v>
      </c>
      <c r="P12" s="95">
        <v>1</v>
      </c>
      <c r="Q12" s="95" t="s">
        <v>295</v>
      </c>
      <c r="R12" s="101" t="s">
        <v>317</v>
      </c>
      <c r="S12" s="102" t="s">
        <v>943</v>
      </c>
      <c r="T12" s="103"/>
      <c r="U12" s="103"/>
      <c r="V12" s="103"/>
      <c r="W12" s="103"/>
      <c r="X12" s="103"/>
      <c r="Y12" s="103"/>
      <c r="Z12" s="103"/>
      <c r="AA12" s="103"/>
    </row>
    <row r="13" spans="1:27" ht="30">
      <c r="A13" s="99">
        <v>12</v>
      </c>
      <c r="B13" s="95">
        <v>12</v>
      </c>
      <c r="C13" s="96">
        <v>4</v>
      </c>
      <c r="D13" s="97">
        <v>3</v>
      </c>
      <c r="E13" s="98" t="s">
        <v>308</v>
      </c>
      <c r="F13" s="99">
        <v>3</v>
      </c>
      <c r="G13" s="96" t="s">
        <v>1474</v>
      </c>
      <c r="H13" s="122" t="s">
        <v>1475</v>
      </c>
      <c r="I13" s="95" t="s">
        <v>292</v>
      </c>
      <c r="J13" s="98" t="s">
        <v>308</v>
      </c>
      <c r="K13" s="100" t="s">
        <v>308</v>
      </c>
      <c r="L13" s="95" t="s">
        <v>895</v>
      </c>
      <c r="M13" s="95">
        <v>1</v>
      </c>
      <c r="N13" s="95" t="s">
        <v>1459</v>
      </c>
      <c r="O13" s="100" t="s">
        <v>930</v>
      </c>
      <c r="P13" s="95">
        <v>3</v>
      </c>
      <c r="Q13" s="95" t="s">
        <v>295</v>
      </c>
      <c r="R13" s="101" t="s">
        <v>302</v>
      </c>
      <c r="S13" s="102" t="s">
        <v>944</v>
      </c>
      <c r="T13" s="103"/>
      <c r="U13" s="103"/>
      <c r="V13" s="103"/>
      <c r="W13" s="103"/>
      <c r="X13" s="103"/>
      <c r="Y13" s="103"/>
      <c r="Z13" s="103"/>
      <c r="AA13" s="103"/>
    </row>
    <row r="14" spans="1:27" ht="30">
      <c r="A14" s="99">
        <v>13</v>
      </c>
      <c r="B14" s="95">
        <v>13</v>
      </c>
      <c r="C14" s="96">
        <v>4</v>
      </c>
      <c r="D14" s="97">
        <v>59</v>
      </c>
      <c r="E14" s="98" t="s">
        <v>945</v>
      </c>
      <c r="F14" s="99">
        <v>3</v>
      </c>
      <c r="G14" s="96" t="s">
        <v>1474</v>
      </c>
      <c r="H14" s="122" t="s">
        <v>1476</v>
      </c>
      <c r="I14" s="95" t="s">
        <v>292</v>
      </c>
      <c r="J14" s="98" t="s">
        <v>308</v>
      </c>
      <c r="K14" s="100" t="s">
        <v>945</v>
      </c>
      <c r="L14" s="95" t="s">
        <v>897</v>
      </c>
      <c r="M14" s="95">
        <v>2</v>
      </c>
      <c r="N14" s="95" t="s">
        <v>1459</v>
      </c>
      <c r="O14" s="100" t="s">
        <v>930</v>
      </c>
      <c r="P14" s="95">
        <v>3</v>
      </c>
      <c r="Q14" s="95" t="s">
        <v>295</v>
      </c>
      <c r="R14" s="101" t="s">
        <v>302</v>
      </c>
      <c r="S14" s="102" t="s">
        <v>946</v>
      </c>
      <c r="T14" s="103"/>
      <c r="U14" s="103"/>
      <c r="V14" s="103"/>
      <c r="W14" s="103"/>
      <c r="X14" s="103"/>
      <c r="Y14" s="103"/>
      <c r="Z14" s="103"/>
      <c r="AA14" s="103"/>
    </row>
    <row r="15" spans="1:27" ht="30">
      <c r="A15" s="99">
        <v>14</v>
      </c>
      <c r="B15" s="95">
        <v>14</v>
      </c>
      <c r="C15" s="96">
        <v>4</v>
      </c>
      <c r="D15" s="97">
        <v>115</v>
      </c>
      <c r="E15" s="98" t="s">
        <v>947</v>
      </c>
      <c r="F15" s="99">
        <v>3</v>
      </c>
      <c r="G15" s="96" t="s">
        <v>1474</v>
      </c>
      <c r="H15" s="122" t="s">
        <v>1477</v>
      </c>
      <c r="I15" s="95" t="s">
        <v>292</v>
      </c>
      <c r="J15" s="98" t="s">
        <v>308</v>
      </c>
      <c r="K15" s="100" t="s">
        <v>947</v>
      </c>
      <c r="L15" s="95" t="s">
        <v>899</v>
      </c>
      <c r="M15" s="95">
        <v>3</v>
      </c>
      <c r="N15" s="95" t="s">
        <v>1459</v>
      </c>
      <c r="O15" s="100" t="s">
        <v>930</v>
      </c>
      <c r="P15" s="95">
        <v>3</v>
      </c>
      <c r="Q15" s="95" t="s">
        <v>295</v>
      </c>
      <c r="R15" s="101" t="s">
        <v>302</v>
      </c>
      <c r="S15" s="102" t="s">
        <v>948</v>
      </c>
      <c r="T15" s="103"/>
      <c r="U15" s="103"/>
      <c r="V15" s="103"/>
      <c r="W15" s="103"/>
      <c r="X15" s="103"/>
      <c r="Y15" s="103"/>
      <c r="Z15" s="103"/>
      <c r="AA15" s="103"/>
    </row>
    <row r="16" spans="1:27" ht="30">
      <c r="A16" s="99">
        <v>15</v>
      </c>
      <c r="B16" s="95">
        <v>15</v>
      </c>
      <c r="C16" s="96">
        <v>4</v>
      </c>
      <c r="D16" s="97">
        <v>176</v>
      </c>
      <c r="E16" s="98" t="s">
        <v>327</v>
      </c>
      <c r="F16" s="99">
        <v>3</v>
      </c>
      <c r="G16" s="96" t="s">
        <v>1474</v>
      </c>
      <c r="H16" s="122" t="s">
        <v>1478</v>
      </c>
      <c r="I16" s="95" t="s">
        <v>292</v>
      </c>
      <c r="J16" s="98" t="s">
        <v>308</v>
      </c>
      <c r="K16" s="100" t="s">
        <v>327</v>
      </c>
      <c r="L16" s="95" t="s">
        <v>861</v>
      </c>
      <c r="M16" s="95">
        <v>4</v>
      </c>
      <c r="N16" s="95" t="s">
        <v>1459</v>
      </c>
      <c r="O16" s="100" t="s">
        <v>930</v>
      </c>
      <c r="P16" s="95">
        <v>3</v>
      </c>
      <c r="Q16" s="95" t="s">
        <v>295</v>
      </c>
      <c r="R16" s="101" t="s">
        <v>321</v>
      </c>
      <c r="S16" s="102" t="s">
        <v>949</v>
      </c>
      <c r="T16" s="103"/>
      <c r="U16" s="103"/>
      <c r="V16" s="103"/>
      <c r="W16" s="103"/>
      <c r="X16" s="103"/>
      <c r="Y16" s="103"/>
      <c r="Z16" s="103"/>
      <c r="AA16" s="103"/>
    </row>
    <row r="17" spans="1:27" ht="30">
      <c r="A17" s="99">
        <v>16</v>
      </c>
      <c r="B17" s="95">
        <v>16</v>
      </c>
      <c r="C17" s="96">
        <v>5</v>
      </c>
      <c r="D17" s="97">
        <v>4</v>
      </c>
      <c r="E17" s="98" t="s">
        <v>311</v>
      </c>
      <c r="F17" s="99">
        <v>4</v>
      </c>
      <c r="G17" s="96" t="s">
        <v>1479</v>
      </c>
      <c r="H17" s="122" t="s">
        <v>1480</v>
      </c>
      <c r="I17" s="95" t="s">
        <v>311</v>
      </c>
      <c r="J17" s="98" t="s">
        <v>311</v>
      </c>
      <c r="K17" s="100" t="s">
        <v>311</v>
      </c>
      <c r="L17" s="95" t="s">
        <v>895</v>
      </c>
      <c r="M17" s="95">
        <v>1</v>
      </c>
      <c r="N17" s="95" t="s">
        <v>1459</v>
      </c>
      <c r="O17" s="100" t="s">
        <v>921</v>
      </c>
      <c r="P17" s="95">
        <v>2</v>
      </c>
      <c r="Q17" s="95" t="s">
        <v>295</v>
      </c>
      <c r="R17" s="101" t="s">
        <v>313</v>
      </c>
      <c r="S17" s="102" t="s">
        <v>950</v>
      </c>
      <c r="T17" s="103"/>
      <c r="U17" s="103"/>
      <c r="V17" s="103"/>
      <c r="W17" s="103"/>
      <c r="X17" s="103"/>
      <c r="Y17" s="103"/>
      <c r="Z17" s="103"/>
      <c r="AA17" s="103"/>
    </row>
    <row r="18" spans="1:27" ht="30">
      <c r="A18" s="99">
        <v>17</v>
      </c>
      <c r="B18" s="95">
        <v>17</v>
      </c>
      <c r="C18" s="96">
        <v>5</v>
      </c>
      <c r="D18" s="97">
        <v>60</v>
      </c>
      <c r="E18" s="98" t="s">
        <v>951</v>
      </c>
      <c r="F18" s="99">
        <v>4</v>
      </c>
      <c r="G18" s="96" t="s">
        <v>1479</v>
      </c>
      <c r="H18" s="122" t="s">
        <v>1481</v>
      </c>
      <c r="I18" s="95" t="s">
        <v>311</v>
      </c>
      <c r="J18" s="98" t="s">
        <v>311</v>
      </c>
      <c r="K18" s="100" t="s">
        <v>951</v>
      </c>
      <c r="L18" s="95" t="s">
        <v>897</v>
      </c>
      <c r="M18" s="95">
        <v>2</v>
      </c>
      <c r="N18" s="95" t="s">
        <v>1459</v>
      </c>
      <c r="O18" s="100" t="s">
        <v>921</v>
      </c>
      <c r="P18" s="95">
        <v>2</v>
      </c>
      <c r="Q18" s="95" t="s">
        <v>295</v>
      </c>
      <c r="R18" s="101" t="s">
        <v>313</v>
      </c>
      <c r="S18" s="102" t="s">
        <v>952</v>
      </c>
      <c r="T18" s="103"/>
      <c r="U18" s="103"/>
      <c r="V18" s="103"/>
      <c r="W18" s="103"/>
      <c r="X18" s="103"/>
      <c r="Y18" s="103"/>
      <c r="Z18" s="103"/>
      <c r="AA18" s="103"/>
    </row>
    <row r="19" spans="1:27" ht="30">
      <c r="A19" s="99">
        <v>18</v>
      </c>
      <c r="B19" s="95">
        <v>18</v>
      </c>
      <c r="C19" s="96">
        <v>5</v>
      </c>
      <c r="D19" s="97">
        <v>116</v>
      </c>
      <c r="E19" s="98" t="s">
        <v>953</v>
      </c>
      <c r="F19" s="99">
        <v>4</v>
      </c>
      <c r="G19" s="96" t="s">
        <v>1479</v>
      </c>
      <c r="H19" s="122" t="s">
        <v>1482</v>
      </c>
      <c r="I19" s="95" t="s">
        <v>311</v>
      </c>
      <c r="J19" s="98" t="s">
        <v>311</v>
      </c>
      <c r="K19" s="100" t="s">
        <v>953</v>
      </c>
      <c r="L19" s="95" t="s">
        <v>899</v>
      </c>
      <c r="M19" s="95">
        <v>3</v>
      </c>
      <c r="N19" s="95" t="s">
        <v>1459</v>
      </c>
      <c r="O19" s="100" t="s">
        <v>921</v>
      </c>
      <c r="P19" s="95">
        <v>2</v>
      </c>
      <c r="Q19" s="95" t="s">
        <v>295</v>
      </c>
      <c r="R19" s="101" t="s">
        <v>313</v>
      </c>
      <c r="S19" s="102" t="s">
        <v>954</v>
      </c>
      <c r="T19" s="103"/>
      <c r="U19" s="103"/>
      <c r="V19" s="103"/>
      <c r="W19" s="103"/>
      <c r="X19" s="103"/>
      <c r="Y19" s="103"/>
      <c r="Z19" s="103"/>
      <c r="AA19" s="103"/>
    </row>
    <row r="20" spans="1:27" ht="30">
      <c r="A20" s="99">
        <v>19</v>
      </c>
      <c r="B20" s="95">
        <v>19</v>
      </c>
      <c r="C20" s="96">
        <v>5</v>
      </c>
      <c r="D20" s="97">
        <v>177</v>
      </c>
      <c r="E20" s="98" t="s">
        <v>330</v>
      </c>
      <c r="F20" s="99">
        <v>4</v>
      </c>
      <c r="G20" s="96" t="s">
        <v>1479</v>
      </c>
      <c r="H20" s="122" t="s">
        <v>1483</v>
      </c>
      <c r="I20" s="95" t="s">
        <v>311</v>
      </c>
      <c r="J20" s="98" t="s">
        <v>311</v>
      </c>
      <c r="K20" s="100" t="s">
        <v>330</v>
      </c>
      <c r="L20" s="95" t="s">
        <v>861</v>
      </c>
      <c r="M20" s="95">
        <v>4</v>
      </c>
      <c r="N20" s="95" t="s">
        <v>1459</v>
      </c>
      <c r="O20" s="100" t="s">
        <v>921</v>
      </c>
      <c r="P20" s="95">
        <v>2</v>
      </c>
      <c r="Q20" s="95" t="s">
        <v>295</v>
      </c>
      <c r="R20" s="101" t="s">
        <v>331</v>
      </c>
      <c r="S20" s="102" t="s">
        <v>955</v>
      </c>
      <c r="T20" s="103"/>
      <c r="U20" s="103"/>
      <c r="V20" s="103"/>
      <c r="W20" s="103"/>
      <c r="X20" s="103"/>
      <c r="Y20" s="103"/>
      <c r="Z20" s="103"/>
      <c r="AA20" s="103"/>
    </row>
    <row r="21" spans="1:27" ht="30">
      <c r="A21" s="99">
        <v>20</v>
      </c>
      <c r="B21" s="95">
        <v>20</v>
      </c>
      <c r="C21" s="96">
        <v>6</v>
      </c>
      <c r="D21" s="97">
        <v>5</v>
      </c>
      <c r="E21" s="98" t="s">
        <v>956</v>
      </c>
      <c r="F21" s="99">
        <v>5</v>
      </c>
      <c r="G21" s="96" t="s">
        <v>1484</v>
      </c>
      <c r="H21" s="122" t="s">
        <v>1485</v>
      </c>
      <c r="I21" s="95" t="s">
        <v>334</v>
      </c>
      <c r="J21" s="98" t="s">
        <v>956</v>
      </c>
      <c r="K21" s="100" t="s">
        <v>335</v>
      </c>
      <c r="L21" s="95" t="s">
        <v>895</v>
      </c>
      <c r="M21" s="95">
        <v>1</v>
      </c>
      <c r="N21" s="95" t="s">
        <v>1459</v>
      </c>
      <c r="O21" s="100" t="s">
        <v>957</v>
      </c>
      <c r="P21" s="95">
        <v>3</v>
      </c>
      <c r="Q21" s="95" t="s">
        <v>295</v>
      </c>
      <c r="R21" s="101" t="s">
        <v>337</v>
      </c>
      <c r="S21" s="102" t="s">
        <v>958</v>
      </c>
      <c r="T21" s="103"/>
      <c r="U21" s="103"/>
      <c r="V21" s="103"/>
      <c r="W21" s="103"/>
      <c r="X21" s="103"/>
      <c r="Y21" s="103"/>
      <c r="Z21" s="103"/>
      <c r="AA21" s="103"/>
    </row>
    <row r="22" spans="1:27" s="95" customFormat="1" ht="30">
      <c r="A22" s="99">
        <v>21</v>
      </c>
      <c r="B22" s="95">
        <v>22</v>
      </c>
      <c r="C22" s="96">
        <v>6</v>
      </c>
      <c r="D22" s="97">
        <v>61</v>
      </c>
      <c r="E22" s="98" t="s">
        <v>959</v>
      </c>
      <c r="F22" s="99">
        <v>5</v>
      </c>
      <c r="G22" s="96" t="s">
        <v>1484</v>
      </c>
      <c r="H22" s="122" t="s">
        <v>1487</v>
      </c>
      <c r="I22" s="95" t="s">
        <v>334</v>
      </c>
      <c r="J22" s="98" t="s">
        <v>956</v>
      </c>
      <c r="K22" s="100" t="s">
        <v>1486</v>
      </c>
      <c r="L22" s="95" t="s">
        <v>897</v>
      </c>
      <c r="M22" s="95">
        <v>2</v>
      </c>
      <c r="N22" s="95" t="s">
        <v>1459</v>
      </c>
      <c r="O22" s="100" t="s">
        <v>957</v>
      </c>
      <c r="P22" s="95">
        <v>3</v>
      </c>
      <c r="Q22" s="95" t="s">
        <v>295</v>
      </c>
      <c r="R22" s="101" t="s">
        <v>337</v>
      </c>
      <c r="S22" s="102" t="s">
        <v>960</v>
      </c>
      <c r="T22" s="103"/>
    </row>
    <row r="23" spans="1:27" s="95" customFormat="1" ht="30">
      <c r="A23" s="99">
        <v>22</v>
      </c>
      <c r="B23" s="95">
        <v>24</v>
      </c>
      <c r="C23" s="96">
        <v>6</v>
      </c>
      <c r="D23" s="97">
        <v>117</v>
      </c>
      <c r="E23" s="98" t="s">
        <v>961</v>
      </c>
      <c r="F23" s="99">
        <v>5</v>
      </c>
      <c r="G23" s="96" t="s">
        <v>1484</v>
      </c>
      <c r="H23" s="122" t="s">
        <v>1489</v>
      </c>
      <c r="I23" s="95" t="s">
        <v>334</v>
      </c>
      <c r="J23" s="98" t="s">
        <v>956</v>
      </c>
      <c r="K23" s="100" t="s">
        <v>1488</v>
      </c>
      <c r="L23" s="95" t="s">
        <v>899</v>
      </c>
      <c r="M23" s="95">
        <v>3</v>
      </c>
      <c r="N23" s="95" t="s">
        <v>1459</v>
      </c>
      <c r="O23" s="100" t="s">
        <v>957</v>
      </c>
      <c r="P23" s="95">
        <v>3</v>
      </c>
      <c r="Q23" s="95" t="s">
        <v>295</v>
      </c>
      <c r="R23" s="101" t="s">
        <v>337</v>
      </c>
      <c r="S23" s="102" t="s">
        <v>962</v>
      </c>
      <c r="T23" s="103"/>
    </row>
    <row r="24" spans="1:27" s="95" customFormat="1" ht="30">
      <c r="A24" s="99">
        <v>23</v>
      </c>
      <c r="B24" s="95">
        <v>21</v>
      </c>
      <c r="C24" s="96">
        <v>7</v>
      </c>
      <c r="D24" s="97">
        <v>5</v>
      </c>
      <c r="E24" s="98" t="s">
        <v>963</v>
      </c>
      <c r="F24" s="99">
        <v>5</v>
      </c>
      <c r="G24" s="96" t="s">
        <v>1490</v>
      </c>
      <c r="H24" s="122" t="s">
        <v>1485</v>
      </c>
      <c r="I24" s="95" t="s">
        <v>334</v>
      </c>
      <c r="J24" s="98" t="s">
        <v>963</v>
      </c>
      <c r="K24" s="100" t="s">
        <v>335</v>
      </c>
      <c r="L24" s="95" t="s">
        <v>895</v>
      </c>
      <c r="M24" s="95">
        <v>1</v>
      </c>
      <c r="N24" s="95" t="s">
        <v>1459</v>
      </c>
      <c r="O24" s="100" t="s">
        <v>964</v>
      </c>
      <c r="P24" s="95">
        <v>3</v>
      </c>
      <c r="Q24" s="95" t="s">
        <v>340</v>
      </c>
      <c r="R24" s="101" t="s">
        <v>342</v>
      </c>
      <c r="S24" s="102" t="s">
        <v>965</v>
      </c>
      <c r="T24" s="103"/>
    </row>
    <row r="25" spans="1:27" s="95" customFormat="1" ht="30">
      <c r="A25" s="99">
        <v>24</v>
      </c>
      <c r="B25" s="95">
        <v>23</v>
      </c>
      <c r="C25" s="96">
        <v>7</v>
      </c>
      <c r="D25" s="97">
        <v>61</v>
      </c>
      <c r="E25" s="98" t="s">
        <v>966</v>
      </c>
      <c r="F25" s="99">
        <v>5</v>
      </c>
      <c r="G25" s="96" t="s">
        <v>1490</v>
      </c>
      <c r="H25" s="122" t="s">
        <v>1487</v>
      </c>
      <c r="I25" s="95" t="s">
        <v>334</v>
      </c>
      <c r="J25" s="98" t="s">
        <v>963</v>
      </c>
      <c r="K25" s="100" t="s">
        <v>1486</v>
      </c>
      <c r="L25" s="95" t="s">
        <v>897</v>
      </c>
      <c r="M25" s="95">
        <v>2</v>
      </c>
      <c r="N25" s="95" t="s">
        <v>1459</v>
      </c>
      <c r="O25" s="100" t="s">
        <v>964</v>
      </c>
      <c r="P25" s="95">
        <v>3</v>
      </c>
      <c r="Q25" s="95" t="s">
        <v>340</v>
      </c>
      <c r="R25" s="101" t="s">
        <v>342</v>
      </c>
      <c r="S25" s="102" t="s">
        <v>967</v>
      </c>
      <c r="T25" s="103"/>
    </row>
    <row r="26" spans="1:27" s="95" customFormat="1" ht="30">
      <c r="A26" s="99">
        <v>25</v>
      </c>
      <c r="B26" s="95">
        <v>25</v>
      </c>
      <c r="C26" s="96">
        <v>7</v>
      </c>
      <c r="D26" s="97">
        <v>117</v>
      </c>
      <c r="E26" s="98" t="s">
        <v>968</v>
      </c>
      <c r="F26" s="99">
        <v>5</v>
      </c>
      <c r="G26" s="96" t="s">
        <v>1490</v>
      </c>
      <c r="H26" s="122" t="s">
        <v>1489</v>
      </c>
      <c r="I26" s="95" t="s">
        <v>334</v>
      </c>
      <c r="J26" s="98" t="s">
        <v>963</v>
      </c>
      <c r="K26" s="100" t="s">
        <v>1488</v>
      </c>
      <c r="L26" s="95" t="s">
        <v>899</v>
      </c>
      <c r="M26" s="95">
        <v>3</v>
      </c>
      <c r="N26" s="95" t="s">
        <v>1459</v>
      </c>
      <c r="O26" s="100" t="s">
        <v>964</v>
      </c>
      <c r="P26" s="95">
        <v>3</v>
      </c>
      <c r="Q26" s="95" t="s">
        <v>340</v>
      </c>
      <c r="R26" s="101" t="s">
        <v>342</v>
      </c>
      <c r="S26" s="102" t="s">
        <v>969</v>
      </c>
      <c r="T26" s="103"/>
    </row>
    <row r="27" spans="1:27" s="95" customFormat="1" ht="30">
      <c r="A27" s="99">
        <v>26</v>
      </c>
      <c r="B27" s="95">
        <v>26</v>
      </c>
      <c r="C27" s="96">
        <v>8</v>
      </c>
      <c r="D27" s="97">
        <v>6</v>
      </c>
      <c r="E27" s="98" t="s">
        <v>970</v>
      </c>
      <c r="F27" s="99">
        <v>6</v>
      </c>
      <c r="G27" s="96" t="s">
        <v>1491</v>
      </c>
      <c r="H27" s="122" t="s">
        <v>1492</v>
      </c>
      <c r="I27" s="95" t="s">
        <v>334</v>
      </c>
      <c r="J27" s="98" t="s">
        <v>970</v>
      </c>
      <c r="K27" s="100" t="s">
        <v>356</v>
      </c>
      <c r="L27" s="95" t="s">
        <v>895</v>
      </c>
      <c r="M27" s="95">
        <v>1</v>
      </c>
      <c r="N27" s="95" t="s">
        <v>1459</v>
      </c>
      <c r="O27" s="100" t="s">
        <v>957</v>
      </c>
      <c r="P27" s="95">
        <v>3</v>
      </c>
      <c r="Q27" s="95" t="s">
        <v>295</v>
      </c>
      <c r="R27" s="101" t="s">
        <v>337</v>
      </c>
      <c r="S27" s="102" t="s">
        <v>971</v>
      </c>
      <c r="T27" s="103"/>
    </row>
    <row r="28" spans="1:27" s="95" customFormat="1" ht="30">
      <c r="A28" s="99">
        <v>27</v>
      </c>
      <c r="B28" s="95">
        <v>28</v>
      </c>
      <c r="C28" s="96">
        <v>8</v>
      </c>
      <c r="D28" s="97">
        <v>62</v>
      </c>
      <c r="E28" s="98" t="s">
        <v>972</v>
      </c>
      <c r="F28" s="99">
        <v>6</v>
      </c>
      <c r="G28" s="96" t="s">
        <v>1491</v>
      </c>
      <c r="H28" s="122" t="s">
        <v>1494</v>
      </c>
      <c r="I28" s="95" t="s">
        <v>334</v>
      </c>
      <c r="J28" s="98" t="s">
        <v>970</v>
      </c>
      <c r="K28" s="100" t="s">
        <v>1493</v>
      </c>
      <c r="L28" s="95" t="s">
        <v>897</v>
      </c>
      <c r="M28" s="95">
        <v>2</v>
      </c>
      <c r="N28" s="95" t="s">
        <v>1459</v>
      </c>
      <c r="O28" s="100" t="s">
        <v>957</v>
      </c>
      <c r="P28" s="95">
        <v>3</v>
      </c>
      <c r="Q28" s="95" t="s">
        <v>295</v>
      </c>
      <c r="R28" s="101" t="s">
        <v>337</v>
      </c>
      <c r="S28" s="102" t="s">
        <v>973</v>
      </c>
      <c r="T28" s="103"/>
    </row>
    <row r="29" spans="1:27" s="95" customFormat="1" ht="30">
      <c r="A29" s="99">
        <v>28</v>
      </c>
      <c r="B29" s="95">
        <v>30</v>
      </c>
      <c r="C29" s="96">
        <v>8</v>
      </c>
      <c r="D29" s="97">
        <v>118</v>
      </c>
      <c r="E29" s="98" t="s">
        <v>974</v>
      </c>
      <c r="F29" s="99">
        <v>6</v>
      </c>
      <c r="G29" s="96" t="s">
        <v>1491</v>
      </c>
      <c r="H29" s="122" t="s">
        <v>1496</v>
      </c>
      <c r="I29" s="95" t="s">
        <v>334</v>
      </c>
      <c r="J29" s="98" t="s">
        <v>970</v>
      </c>
      <c r="K29" s="100" t="s">
        <v>1495</v>
      </c>
      <c r="L29" s="95" t="s">
        <v>899</v>
      </c>
      <c r="M29" s="95">
        <v>3</v>
      </c>
      <c r="N29" s="95" t="s">
        <v>1459</v>
      </c>
      <c r="O29" s="100" t="s">
        <v>957</v>
      </c>
      <c r="P29" s="95">
        <v>3</v>
      </c>
      <c r="Q29" s="95" t="s">
        <v>295</v>
      </c>
      <c r="R29" s="101" t="s">
        <v>337</v>
      </c>
      <c r="S29" s="102" t="s">
        <v>975</v>
      </c>
      <c r="T29" s="103"/>
    </row>
    <row r="30" spans="1:27" s="95" customFormat="1" ht="30">
      <c r="A30" s="99">
        <v>29</v>
      </c>
      <c r="B30" s="95">
        <v>27</v>
      </c>
      <c r="C30" s="96">
        <v>9</v>
      </c>
      <c r="D30" s="97">
        <v>6</v>
      </c>
      <c r="E30" s="98" t="s">
        <v>976</v>
      </c>
      <c r="F30" s="99">
        <v>6</v>
      </c>
      <c r="G30" s="96" t="s">
        <v>1497</v>
      </c>
      <c r="H30" s="122" t="s">
        <v>1492</v>
      </c>
      <c r="I30" s="95" t="s">
        <v>334</v>
      </c>
      <c r="J30" s="98" t="s">
        <v>976</v>
      </c>
      <c r="K30" s="100" t="s">
        <v>356</v>
      </c>
      <c r="L30" s="95" t="s">
        <v>895</v>
      </c>
      <c r="M30" s="95">
        <v>1</v>
      </c>
      <c r="N30" s="95" t="s">
        <v>1459</v>
      </c>
      <c r="O30" s="100" t="s">
        <v>964</v>
      </c>
      <c r="P30" s="95">
        <v>3</v>
      </c>
      <c r="Q30" s="95" t="s">
        <v>340</v>
      </c>
      <c r="R30" s="101" t="s">
        <v>342</v>
      </c>
      <c r="S30" s="102" t="s">
        <v>977</v>
      </c>
      <c r="T30" s="103"/>
    </row>
    <row r="31" spans="1:27" s="95" customFormat="1" ht="30">
      <c r="A31" s="99">
        <v>30</v>
      </c>
      <c r="B31" s="95">
        <v>29</v>
      </c>
      <c r="C31" s="96">
        <v>9</v>
      </c>
      <c r="D31" s="97">
        <v>62</v>
      </c>
      <c r="E31" s="98" t="s">
        <v>978</v>
      </c>
      <c r="F31" s="99">
        <v>6</v>
      </c>
      <c r="G31" s="96" t="s">
        <v>1497</v>
      </c>
      <c r="H31" s="122" t="s">
        <v>1494</v>
      </c>
      <c r="I31" s="95" t="s">
        <v>334</v>
      </c>
      <c r="J31" s="98" t="s">
        <v>976</v>
      </c>
      <c r="K31" s="100" t="s">
        <v>1493</v>
      </c>
      <c r="L31" s="95" t="s">
        <v>897</v>
      </c>
      <c r="M31" s="95">
        <v>2</v>
      </c>
      <c r="N31" s="95" t="s">
        <v>1459</v>
      </c>
      <c r="O31" s="100" t="s">
        <v>964</v>
      </c>
      <c r="P31" s="95">
        <v>3</v>
      </c>
      <c r="Q31" s="95" t="s">
        <v>340</v>
      </c>
      <c r="R31" s="101" t="s">
        <v>342</v>
      </c>
      <c r="S31" s="102" t="s">
        <v>979</v>
      </c>
      <c r="T31" s="103"/>
    </row>
    <row r="32" spans="1:27" s="95" customFormat="1" ht="30">
      <c r="A32" s="99">
        <v>31</v>
      </c>
      <c r="B32" s="95">
        <v>31</v>
      </c>
      <c r="C32" s="96">
        <v>9</v>
      </c>
      <c r="D32" s="97">
        <v>118</v>
      </c>
      <c r="E32" s="98" t="s">
        <v>980</v>
      </c>
      <c r="F32" s="99">
        <v>6</v>
      </c>
      <c r="G32" s="96" t="s">
        <v>1497</v>
      </c>
      <c r="H32" s="122" t="s">
        <v>1496</v>
      </c>
      <c r="I32" s="95" t="s">
        <v>334</v>
      </c>
      <c r="J32" s="98" t="s">
        <v>976</v>
      </c>
      <c r="K32" s="100" t="s">
        <v>1495</v>
      </c>
      <c r="L32" s="95" t="s">
        <v>899</v>
      </c>
      <c r="M32" s="95">
        <v>3</v>
      </c>
      <c r="N32" s="95" t="s">
        <v>1459</v>
      </c>
      <c r="O32" s="100" t="s">
        <v>964</v>
      </c>
      <c r="P32" s="95">
        <v>3</v>
      </c>
      <c r="Q32" s="95" t="s">
        <v>340</v>
      </c>
      <c r="R32" s="101" t="s">
        <v>342</v>
      </c>
      <c r="S32" s="102" t="s">
        <v>981</v>
      </c>
      <c r="T32" s="103"/>
    </row>
    <row r="33" spans="1:20" s="95" customFormat="1" ht="30">
      <c r="A33" s="99">
        <v>32</v>
      </c>
      <c r="B33" s="95">
        <v>32</v>
      </c>
      <c r="C33" s="96">
        <v>10</v>
      </c>
      <c r="D33" s="97">
        <v>7</v>
      </c>
      <c r="E33" s="98" t="s">
        <v>373</v>
      </c>
      <c r="F33" s="99">
        <v>7</v>
      </c>
      <c r="G33" s="96" t="s">
        <v>1498</v>
      </c>
      <c r="H33" s="122" t="s">
        <v>1499</v>
      </c>
      <c r="I33" s="95" t="s">
        <v>334</v>
      </c>
      <c r="J33" s="98" t="s">
        <v>373</v>
      </c>
      <c r="K33" s="100" t="s">
        <v>373</v>
      </c>
      <c r="L33" s="95" t="s">
        <v>895</v>
      </c>
      <c r="M33" s="95">
        <v>1</v>
      </c>
      <c r="N33" s="95" t="s">
        <v>1459</v>
      </c>
      <c r="O33" s="100" t="s">
        <v>930</v>
      </c>
      <c r="P33" s="95">
        <v>3</v>
      </c>
      <c r="Q33" s="95" t="s">
        <v>295</v>
      </c>
      <c r="R33" s="101" t="s">
        <v>337</v>
      </c>
      <c r="S33" s="102" t="s">
        <v>982</v>
      </c>
      <c r="T33" s="103"/>
    </row>
    <row r="34" spans="1:20" s="95" customFormat="1" ht="30">
      <c r="A34" s="99">
        <v>33</v>
      </c>
      <c r="B34" s="95">
        <v>33</v>
      </c>
      <c r="C34" s="96">
        <v>10</v>
      </c>
      <c r="D34" s="97">
        <v>63</v>
      </c>
      <c r="E34" s="98" t="s">
        <v>334</v>
      </c>
      <c r="F34" s="99">
        <v>7</v>
      </c>
      <c r="G34" s="96" t="s">
        <v>1498</v>
      </c>
      <c r="H34" s="122" t="s">
        <v>1500</v>
      </c>
      <c r="I34" s="95" t="s">
        <v>334</v>
      </c>
      <c r="J34" s="98" t="s">
        <v>373</v>
      </c>
      <c r="K34" s="100" t="s">
        <v>334</v>
      </c>
      <c r="L34" s="95" t="s">
        <v>897</v>
      </c>
      <c r="M34" s="95">
        <v>2</v>
      </c>
      <c r="N34" s="95" t="s">
        <v>1459</v>
      </c>
      <c r="O34" s="100" t="s">
        <v>930</v>
      </c>
      <c r="P34" s="95">
        <v>3</v>
      </c>
      <c r="Q34" s="95" t="s">
        <v>295</v>
      </c>
      <c r="R34" s="101" t="s">
        <v>337</v>
      </c>
      <c r="S34" s="102" t="s">
        <v>983</v>
      </c>
      <c r="T34" s="103"/>
    </row>
    <row r="35" spans="1:20" s="95" customFormat="1" ht="30">
      <c r="A35" s="99">
        <v>34</v>
      </c>
      <c r="B35" s="95">
        <v>34</v>
      </c>
      <c r="C35" s="96">
        <v>10</v>
      </c>
      <c r="D35" s="97">
        <v>119</v>
      </c>
      <c r="E35" s="98" t="s">
        <v>984</v>
      </c>
      <c r="F35" s="99">
        <v>7</v>
      </c>
      <c r="G35" s="96" t="s">
        <v>1498</v>
      </c>
      <c r="H35" s="122" t="s">
        <v>1501</v>
      </c>
      <c r="I35" s="95" t="s">
        <v>334</v>
      </c>
      <c r="J35" s="98" t="s">
        <v>373</v>
      </c>
      <c r="K35" s="100" t="s">
        <v>984</v>
      </c>
      <c r="L35" s="95" t="s">
        <v>899</v>
      </c>
      <c r="M35" s="95">
        <v>3</v>
      </c>
      <c r="N35" s="95" t="s">
        <v>1459</v>
      </c>
      <c r="O35" s="100" t="s">
        <v>930</v>
      </c>
      <c r="P35" s="95">
        <v>3</v>
      </c>
      <c r="Q35" s="95" t="s">
        <v>295</v>
      </c>
      <c r="R35" s="101" t="s">
        <v>337</v>
      </c>
      <c r="S35" s="102" t="s">
        <v>985</v>
      </c>
      <c r="T35" s="103"/>
    </row>
    <row r="36" spans="1:20" s="95" customFormat="1" ht="30">
      <c r="A36" s="99">
        <v>35</v>
      </c>
      <c r="B36" s="95">
        <v>35</v>
      </c>
      <c r="C36" s="96">
        <v>11</v>
      </c>
      <c r="D36" s="97">
        <v>8</v>
      </c>
      <c r="E36" s="98" t="s">
        <v>986</v>
      </c>
      <c r="F36" s="99">
        <v>8</v>
      </c>
      <c r="G36" s="96" t="s">
        <v>1502</v>
      </c>
      <c r="H36" s="122" t="s">
        <v>1503</v>
      </c>
      <c r="I36" s="95" t="s">
        <v>334</v>
      </c>
      <c r="J36" s="98" t="s">
        <v>986</v>
      </c>
      <c r="K36" s="100" t="s">
        <v>34</v>
      </c>
      <c r="L36" s="95" t="s">
        <v>895</v>
      </c>
      <c r="M36" s="95">
        <v>1</v>
      </c>
      <c r="N36" s="95" t="s">
        <v>1459</v>
      </c>
      <c r="O36" s="100" t="s">
        <v>957</v>
      </c>
      <c r="P36" s="95">
        <v>3</v>
      </c>
      <c r="Q36" s="95" t="s">
        <v>295</v>
      </c>
      <c r="R36" s="101" t="s">
        <v>337</v>
      </c>
      <c r="S36" s="102" t="s">
        <v>987</v>
      </c>
      <c r="T36" s="103"/>
    </row>
    <row r="37" spans="1:20" s="95" customFormat="1" ht="30">
      <c r="A37" s="99">
        <v>36</v>
      </c>
      <c r="B37" s="95">
        <v>37</v>
      </c>
      <c r="C37" s="96">
        <v>11</v>
      </c>
      <c r="D37" s="97">
        <v>64</v>
      </c>
      <c r="E37" s="98" t="s">
        <v>988</v>
      </c>
      <c r="F37" s="99">
        <v>8</v>
      </c>
      <c r="G37" s="96" t="s">
        <v>1502</v>
      </c>
      <c r="H37" s="122" t="s">
        <v>1505</v>
      </c>
      <c r="I37" s="95" t="s">
        <v>334</v>
      </c>
      <c r="J37" s="98" t="s">
        <v>986</v>
      </c>
      <c r="K37" s="100" t="s">
        <v>1504</v>
      </c>
      <c r="L37" s="95" t="s">
        <v>897</v>
      </c>
      <c r="M37" s="95">
        <v>2</v>
      </c>
      <c r="N37" s="95" t="s">
        <v>1459</v>
      </c>
      <c r="O37" s="100" t="s">
        <v>957</v>
      </c>
      <c r="P37" s="95">
        <v>3</v>
      </c>
      <c r="Q37" s="95" t="s">
        <v>295</v>
      </c>
      <c r="R37" s="101" t="s">
        <v>337</v>
      </c>
      <c r="S37" s="102" t="s">
        <v>989</v>
      </c>
      <c r="T37" s="103"/>
    </row>
    <row r="38" spans="1:20" s="95" customFormat="1" ht="30">
      <c r="A38" s="99">
        <v>37</v>
      </c>
      <c r="B38" s="95">
        <v>39</v>
      </c>
      <c r="C38" s="96">
        <v>11</v>
      </c>
      <c r="D38" s="97">
        <v>120</v>
      </c>
      <c r="E38" s="98" t="s">
        <v>990</v>
      </c>
      <c r="F38" s="99">
        <v>8</v>
      </c>
      <c r="G38" s="96" t="s">
        <v>1502</v>
      </c>
      <c r="H38" s="122" t="s">
        <v>1507</v>
      </c>
      <c r="I38" s="95" t="s">
        <v>334</v>
      </c>
      <c r="J38" s="98" t="s">
        <v>986</v>
      </c>
      <c r="K38" s="100" t="s">
        <v>1506</v>
      </c>
      <c r="L38" s="95" t="s">
        <v>899</v>
      </c>
      <c r="M38" s="95">
        <v>3</v>
      </c>
      <c r="N38" s="95" t="s">
        <v>1459</v>
      </c>
      <c r="O38" s="100" t="s">
        <v>957</v>
      </c>
      <c r="P38" s="95">
        <v>3</v>
      </c>
      <c r="Q38" s="95" t="s">
        <v>295</v>
      </c>
      <c r="R38" s="101" t="s">
        <v>337</v>
      </c>
      <c r="S38" s="102" t="s">
        <v>991</v>
      </c>
      <c r="T38" s="103"/>
    </row>
    <row r="39" spans="1:20" s="95" customFormat="1" ht="30">
      <c r="A39" s="99">
        <v>38</v>
      </c>
      <c r="B39" s="95">
        <v>36</v>
      </c>
      <c r="C39" s="96">
        <v>12</v>
      </c>
      <c r="D39" s="97">
        <v>8</v>
      </c>
      <c r="E39" s="98" t="s">
        <v>992</v>
      </c>
      <c r="F39" s="99">
        <v>8</v>
      </c>
      <c r="G39" s="96" t="s">
        <v>1508</v>
      </c>
      <c r="H39" s="122" t="s">
        <v>1503</v>
      </c>
      <c r="I39" s="95" t="s">
        <v>334</v>
      </c>
      <c r="J39" s="98" t="s">
        <v>992</v>
      </c>
      <c r="K39" s="100" t="s">
        <v>34</v>
      </c>
      <c r="L39" s="95" t="s">
        <v>895</v>
      </c>
      <c r="M39" s="95">
        <v>1</v>
      </c>
      <c r="N39" s="95" t="s">
        <v>1459</v>
      </c>
      <c r="O39" s="100" t="s">
        <v>964</v>
      </c>
      <c r="P39" s="95">
        <v>3</v>
      </c>
      <c r="Q39" s="95" t="s">
        <v>340</v>
      </c>
      <c r="R39" s="101" t="s">
        <v>342</v>
      </c>
      <c r="S39" s="102" t="s">
        <v>993</v>
      </c>
      <c r="T39" s="103"/>
    </row>
    <row r="40" spans="1:20" s="95" customFormat="1" ht="30">
      <c r="A40" s="99">
        <v>39</v>
      </c>
      <c r="B40" s="95">
        <v>38</v>
      </c>
      <c r="C40" s="96">
        <v>12</v>
      </c>
      <c r="D40" s="97">
        <v>64</v>
      </c>
      <c r="E40" s="98" t="s">
        <v>994</v>
      </c>
      <c r="F40" s="99">
        <v>8</v>
      </c>
      <c r="G40" s="96" t="s">
        <v>1508</v>
      </c>
      <c r="H40" s="122" t="s">
        <v>1505</v>
      </c>
      <c r="I40" s="95" t="s">
        <v>334</v>
      </c>
      <c r="J40" s="98" t="s">
        <v>992</v>
      </c>
      <c r="K40" s="100" t="s">
        <v>1504</v>
      </c>
      <c r="L40" s="95" t="s">
        <v>897</v>
      </c>
      <c r="M40" s="95">
        <v>2</v>
      </c>
      <c r="N40" s="95" t="s">
        <v>1459</v>
      </c>
      <c r="O40" s="100" t="s">
        <v>964</v>
      </c>
      <c r="P40" s="95">
        <v>3</v>
      </c>
      <c r="Q40" s="95" t="s">
        <v>340</v>
      </c>
      <c r="R40" s="101" t="s">
        <v>342</v>
      </c>
      <c r="S40" s="102" t="s">
        <v>995</v>
      </c>
      <c r="T40" s="103"/>
    </row>
    <row r="41" spans="1:20" s="95" customFormat="1" ht="30">
      <c r="A41" s="99">
        <v>40</v>
      </c>
      <c r="B41" s="95">
        <v>40</v>
      </c>
      <c r="C41" s="96">
        <v>12</v>
      </c>
      <c r="D41" s="97">
        <v>120</v>
      </c>
      <c r="E41" s="98" t="s">
        <v>996</v>
      </c>
      <c r="F41" s="99">
        <v>8</v>
      </c>
      <c r="G41" s="96" t="s">
        <v>1508</v>
      </c>
      <c r="H41" s="122" t="s">
        <v>1507</v>
      </c>
      <c r="I41" s="95" t="s">
        <v>334</v>
      </c>
      <c r="J41" s="98" t="s">
        <v>992</v>
      </c>
      <c r="K41" s="100" t="s">
        <v>1506</v>
      </c>
      <c r="L41" s="95" t="s">
        <v>899</v>
      </c>
      <c r="M41" s="95">
        <v>3</v>
      </c>
      <c r="N41" s="95" t="s">
        <v>1459</v>
      </c>
      <c r="O41" s="100" t="s">
        <v>964</v>
      </c>
      <c r="P41" s="95">
        <v>3</v>
      </c>
      <c r="Q41" s="95" t="s">
        <v>340</v>
      </c>
      <c r="R41" s="101" t="s">
        <v>342</v>
      </c>
      <c r="S41" s="102" t="s">
        <v>997</v>
      </c>
      <c r="T41" s="103"/>
    </row>
    <row r="42" spans="1:20" s="95" customFormat="1" ht="30">
      <c r="A42" s="99">
        <v>41</v>
      </c>
      <c r="B42" s="95">
        <v>41</v>
      </c>
      <c r="C42" s="96">
        <v>13</v>
      </c>
      <c r="D42" s="97">
        <v>9</v>
      </c>
      <c r="E42" s="98" t="s">
        <v>383</v>
      </c>
      <c r="F42" s="99">
        <v>9</v>
      </c>
      <c r="G42" s="96" t="s">
        <v>1509</v>
      </c>
      <c r="H42" s="122" t="s">
        <v>1510</v>
      </c>
      <c r="I42" s="95" t="s">
        <v>382</v>
      </c>
      <c r="J42" s="98" t="s">
        <v>383</v>
      </c>
      <c r="K42" s="100" t="s">
        <v>383</v>
      </c>
      <c r="L42" s="95" t="s">
        <v>895</v>
      </c>
      <c r="M42" s="95">
        <v>1</v>
      </c>
      <c r="N42" s="95" t="s">
        <v>1459</v>
      </c>
      <c r="O42" s="100" t="s">
        <v>930</v>
      </c>
      <c r="P42" s="95">
        <v>3</v>
      </c>
      <c r="Q42" s="95" t="s">
        <v>295</v>
      </c>
      <c r="R42" s="101" t="s">
        <v>391</v>
      </c>
      <c r="S42" s="102" t="s">
        <v>998</v>
      </c>
      <c r="T42" s="103"/>
    </row>
    <row r="43" spans="1:20" s="95" customFormat="1" ht="30">
      <c r="A43" s="99">
        <v>42</v>
      </c>
      <c r="B43" s="95">
        <v>42</v>
      </c>
      <c r="C43" s="96">
        <v>13</v>
      </c>
      <c r="D43" s="97">
        <v>65</v>
      </c>
      <c r="E43" s="98" t="s">
        <v>999</v>
      </c>
      <c r="F43" s="99">
        <v>9</v>
      </c>
      <c r="G43" s="96" t="s">
        <v>1509</v>
      </c>
      <c r="H43" s="122" t="s">
        <v>1511</v>
      </c>
      <c r="I43" s="95" t="s">
        <v>382</v>
      </c>
      <c r="J43" s="98" t="s">
        <v>383</v>
      </c>
      <c r="K43" s="100" t="s">
        <v>999</v>
      </c>
      <c r="L43" s="95" t="s">
        <v>897</v>
      </c>
      <c r="M43" s="95">
        <v>2</v>
      </c>
      <c r="N43" s="95" t="s">
        <v>1459</v>
      </c>
      <c r="O43" s="100" t="s">
        <v>930</v>
      </c>
      <c r="P43" s="95">
        <v>3</v>
      </c>
      <c r="Q43" s="95" t="s">
        <v>295</v>
      </c>
      <c r="R43" s="101" t="s">
        <v>391</v>
      </c>
      <c r="S43" s="102" t="s">
        <v>1000</v>
      </c>
      <c r="T43" s="103"/>
    </row>
    <row r="44" spans="1:20" s="95" customFormat="1" ht="30">
      <c r="A44" s="99">
        <v>43</v>
      </c>
      <c r="B44" s="95">
        <v>43</v>
      </c>
      <c r="C44" s="96">
        <v>13</v>
      </c>
      <c r="D44" s="97">
        <v>121</v>
      </c>
      <c r="E44" s="98" t="s">
        <v>1001</v>
      </c>
      <c r="F44" s="99">
        <v>9</v>
      </c>
      <c r="G44" s="96" t="s">
        <v>1509</v>
      </c>
      <c r="H44" s="122" t="s">
        <v>1512</v>
      </c>
      <c r="I44" s="95" t="s">
        <v>382</v>
      </c>
      <c r="J44" s="98" t="s">
        <v>383</v>
      </c>
      <c r="K44" s="100" t="s">
        <v>1001</v>
      </c>
      <c r="L44" s="95" t="s">
        <v>899</v>
      </c>
      <c r="M44" s="95">
        <v>3</v>
      </c>
      <c r="N44" s="95" t="s">
        <v>1459</v>
      </c>
      <c r="O44" s="100" t="s">
        <v>930</v>
      </c>
      <c r="P44" s="95">
        <v>3</v>
      </c>
      <c r="Q44" s="95" t="s">
        <v>295</v>
      </c>
      <c r="R44" s="101" t="s">
        <v>391</v>
      </c>
      <c r="S44" s="102" t="s">
        <v>1002</v>
      </c>
      <c r="T44" s="103"/>
    </row>
    <row r="45" spans="1:20" s="95" customFormat="1" ht="30">
      <c r="A45" s="99">
        <v>44</v>
      </c>
      <c r="B45" s="95">
        <v>44</v>
      </c>
      <c r="C45" s="96">
        <v>14</v>
      </c>
      <c r="D45" s="97">
        <v>10</v>
      </c>
      <c r="E45" s="98" t="s">
        <v>390</v>
      </c>
      <c r="F45" s="99">
        <v>10</v>
      </c>
      <c r="G45" s="96" t="s">
        <v>1513</v>
      </c>
      <c r="H45" s="122" t="s">
        <v>1514</v>
      </c>
      <c r="I45" s="95" t="s">
        <v>382</v>
      </c>
      <c r="J45" s="98" t="s">
        <v>390</v>
      </c>
      <c r="K45" s="100" t="s">
        <v>390</v>
      </c>
      <c r="L45" s="95" t="s">
        <v>895</v>
      </c>
      <c r="M45" s="95">
        <v>1</v>
      </c>
      <c r="N45" s="95" t="s">
        <v>1459</v>
      </c>
      <c r="O45" s="100" t="s">
        <v>930</v>
      </c>
      <c r="P45" s="95">
        <v>3</v>
      </c>
      <c r="Q45" s="95" t="s">
        <v>295</v>
      </c>
      <c r="R45" s="101" t="s">
        <v>391</v>
      </c>
      <c r="S45" s="102" t="s">
        <v>1003</v>
      </c>
      <c r="T45" s="103"/>
    </row>
    <row r="46" spans="1:20" s="95" customFormat="1" ht="30">
      <c r="A46" s="99">
        <v>45</v>
      </c>
      <c r="B46" s="95">
        <v>45</v>
      </c>
      <c r="C46" s="96">
        <v>14</v>
      </c>
      <c r="D46" s="97">
        <v>66</v>
      </c>
      <c r="E46" s="98" t="s">
        <v>1004</v>
      </c>
      <c r="F46" s="99">
        <v>10</v>
      </c>
      <c r="G46" s="96" t="s">
        <v>1513</v>
      </c>
      <c r="H46" s="122" t="s">
        <v>1515</v>
      </c>
      <c r="I46" s="95" t="s">
        <v>382</v>
      </c>
      <c r="J46" s="98" t="s">
        <v>390</v>
      </c>
      <c r="K46" s="100" t="s">
        <v>1004</v>
      </c>
      <c r="L46" s="95" t="s">
        <v>897</v>
      </c>
      <c r="M46" s="95">
        <v>2</v>
      </c>
      <c r="N46" s="95" t="s">
        <v>1459</v>
      </c>
      <c r="O46" s="100" t="s">
        <v>930</v>
      </c>
      <c r="P46" s="95">
        <v>3</v>
      </c>
      <c r="Q46" s="95" t="s">
        <v>295</v>
      </c>
      <c r="R46" s="101" t="s">
        <v>391</v>
      </c>
      <c r="S46" s="102" t="s">
        <v>1005</v>
      </c>
      <c r="T46" s="103"/>
    </row>
    <row r="47" spans="1:20" s="95" customFormat="1" ht="30">
      <c r="A47" s="99">
        <v>46</v>
      </c>
      <c r="B47" s="95">
        <v>46</v>
      </c>
      <c r="C47" s="96">
        <v>14</v>
      </c>
      <c r="D47" s="97">
        <v>122</v>
      </c>
      <c r="E47" s="98" t="s">
        <v>382</v>
      </c>
      <c r="F47" s="99">
        <v>10</v>
      </c>
      <c r="G47" s="96" t="s">
        <v>1513</v>
      </c>
      <c r="H47" s="122" t="s">
        <v>1516</v>
      </c>
      <c r="I47" s="95" t="s">
        <v>382</v>
      </c>
      <c r="J47" s="98" t="s">
        <v>390</v>
      </c>
      <c r="K47" s="100" t="s">
        <v>382</v>
      </c>
      <c r="L47" s="95" t="s">
        <v>899</v>
      </c>
      <c r="M47" s="95">
        <v>3</v>
      </c>
      <c r="N47" s="95" t="s">
        <v>1459</v>
      </c>
      <c r="O47" s="100" t="s">
        <v>930</v>
      </c>
      <c r="P47" s="95">
        <v>3</v>
      </c>
      <c r="Q47" s="95" t="s">
        <v>295</v>
      </c>
      <c r="R47" s="101" t="s">
        <v>391</v>
      </c>
      <c r="S47" s="102" t="s">
        <v>1006</v>
      </c>
      <c r="T47" s="103"/>
    </row>
    <row r="48" spans="1:20" s="95" customFormat="1" ht="30">
      <c r="A48" s="99">
        <v>47</v>
      </c>
      <c r="B48" s="95">
        <v>47</v>
      </c>
      <c r="C48" s="96">
        <v>15</v>
      </c>
      <c r="D48" s="97">
        <v>11</v>
      </c>
      <c r="E48" s="98" t="s">
        <v>386</v>
      </c>
      <c r="F48" s="99">
        <v>11</v>
      </c>
      <c r="G48" s="96" t="s">
        <v>1517</v>
      </c>
      <c r="H48" s="122" t="s">
        <v>1518</v>
      </c>
      <c r="I48" s="95" t="s">
        <v>382</v>
      </c>
      <c r="J48" s="98" t="s">
        <v>386</v>
      </c>
      <c r="K48" s="100" t="s">
        <v>386</v>
      </c>
      <c r="L48" s="95" t="s">
        <v>895</v>
      </c>
      <c r="M48" s="95">
        <v>1</v>
      </c>
      <c r="N48" s="95" t="s">
        <v>1459</v>
      </c>
      <c r="O48" s="100" t="s">
        <v>921</v>
      </c>
      <c r="P48" s="95">
        <v>1</v>
      </c>
      <c r="Q48" s="95" t="s">
        <v>295</v>
      </c>
      <c r="R48" s="101" t="s">
        <v>387</v>
      </c>
      <c r="S48" s="102" t="s">
        <v>1007</v>
      </c>
      <c r="T48" s="103"/>
    </row>
    <row r="49" spans="1:20" s="95" customFormat="1" ht="30">
      <c r="A49" s="99">
        <v>48</v>
      </c>
      <c r="B49" s="95">
        <v>48</v>
      </c>
      <c r="C49" s="96">
        <v>15</v>
      </c>
      <c r="D49" s="97">
        <v>67</v>
      </c>
      <c r="E49" s="98" t="s">
        <v>1008</v>
      </c>
      <c r="F49" s="99">
        <v>11</v>
      </c>
      <c r="G49" s="96" t="s">
        <v>1517</v>
      </c>
      <c r="H49" s="122" t="s">
        <v>1519</v>
      </c>
      <c r="I49" s="95" t="s">
        <v>382</v>
      </c>
      <c r="J49" s="98" t="s">
        <v>386</v>
      </c>
      <c r="K49" s="100" t="s">
        <v>1008</v>
      </c>
      <c r="L49" s="95" t="s">
        <v>897</v>
      </c>
      <c r="M49" s="95">
        <v>2</v>
      </c>
      <c r="N49" s="95" t="s">
        <v>1459</v>
      </c>
      <c r="O49" s="100" t="s">
        <v>921</v>
      </c>
      <c r="P49" s="95">
        <v>1</v>
      </c>
      <c r="Q49" s="95" t="s">
        <v>295</v>
      </c>
      <c r="R49" s="101" t="s">
        <v>387</v>
      </c>
      <c r="S49" s="102" t="s">
        <v>1009</v>
      </c>
      <c r="T49" s="103"/>
    </row>
    <row r="50" spans="1:20" s="95" customFormat="1" ht="30">
      <c r="A50" s="99">
        <v>49</v>
      </c>
      <c r="B50" s="95">
        <v>49</v>
      </c>
      <c r="C50" s="96">
        <v>15</v>
      </c>
      <c r="D50" s="97">
        <v>123</v>
      </c>
      <c r="E50" s="98" t="s">
        <v>1010</v>
      </c>
      <c r="F50" s="99">
        <v>11</v>
      </c>
      <c r="G50" s="96" t="s">
        <v>1517</v>
      </c>
      <c r="H50" s="122" t="s">
        <v>1520</v>
      </c>
      <c r="I50" s="95" t="s">
        <v>382</v>
      </c>
      <c r="J50" s="98" t="s">
        <v>386</v>
      </c>
      <c r="K50" s="100" t="s">
        <v>1010</v>
      </c>
      <c r="L50" s="95" t="s">
        <v>899</v>
      </c>
      <c r="M50" s="95">
        <v>3</v>
      </c>
      <c r="N50" s="95" t="s">
        <v>1459</v>
      </c>
      <c r="O50" s="100" t="s">
        <v>921</v>
      </c>
      <c r="P50" s="95">
        <v>1</v>
      </c>
      <c r="Q50" s="95" t="s">
        <v>295</v>
      </c>
      <c r="R50" s="101" t="s">
        <v>387</v>
      </c>
      <c r="S50" s="102" t="s">
        <v>1011</v>
      </c>
      <c r="T50" s="103"/>
    </row>
    <row r="51" spans="1:20" s="95" customFormat="1" ht="30">
      <c r="A51" s="99">
        <v>50</v>
      </c>
      <c r="B51" s="95">
        <v>50</v>
      </c>
      <c r="C51" s="96">
        <v>16</v>
      </c>
      <c r="D51" s="97">
        <v>12</v>
      </c>
      <c r="E51" s="98" t="s">
        <v>1012</v>
      </c>
      <c r="F51" s="99">
        <v>12</v>
      </c>
      <c r="G51" s="96" t="s">
        <v>1521</v>
      </c>
      <c r="H51" s="122" t="s">
        <v>1522</v>
      </c>
      <c r="I51" s="95" t="s">
        <v>394</v>
      </c>
      <c r="J51" s="98" t="s">
        <v>1012</v>
      </c>
      <c r="K51" s="100" t="s">
        <v>452</v>
      </c>
      <c r="L51" s="95" t="s">
        <v>895</v>
      </c>
      <c r="M51" s="95">
        <v>1</v>
      </c>
      <c r="N51" s="95" t="s">
        <v>1459</v>
      </c>
      <c r="O51" s="100" t="s">
        <v>957</v>
      </c>
      <c r="P51" s="95">
        <v>4</v>
      </c>
      <c r="Q51" s="95" t="s">
        <v>295</v>
      </c>
      <c r="R51" s="101" t="s">
        <v>437</v>
      </c>
      <c r="S51" s="102" t="s">
        <v>1013</v>
      </c>
      <c r="T51" s="103"/>
    </row>
    <row r="52" spans="1:20" s="95" customFormat="1" ht="30">
      <c r="A52" s="99">
        <v>51</v>
      </c>
      <c r="B52" s="95">
        <v>52</v>
      </c>
      <c r="C52" s="96">
        <v>16</v>
      </c>
      <c r="D52" s="97">
        <v>68</v>
      </c>
      <c r="E52" s="98" t="s">
        <v>1014</v>
      </c>
      <c r="F52" s="99">
        <v>12</v>
      </c>
      <c r="G52" s="96" t="s">
        <v>1521</v>
      </c>
      <c r="H52" s="122" t="s">
        <v>1524</v>
      </c>
      <c r="I52" s="95" t="s">
        <v>394</v>
      </c>
      <c r="J52" s="98" t="s">
        <v>1012</v>
      </c>
      <c r="K52" s="100" t="s">
        <v>1523</v>
      </c>
      <c r="L52" s="95" t="s">
        <v>897</v>
      </c>
      <c r="M52" s="95">
        <v>2</v>
      </c>
      <c r="N52" s="95" t="s">
        <v>1459</v>
      </c>
      <c r="O52" s="100" t="s">
        <v>957</v>
      </c>
      <c r="P52" s="95">
        <v>4</v>
      </c>
      <c r="Q52" s="95" t="s">
        <v>295</v>
      </c>
      <c r="R52" s="101" t="s">
        <v>437</v>
      </c>
      <c r="S52" s="102" t="s">
        <v>1015</v>
      </c>
      <c r="T52" s="103"/>
    </row>
    <row r="53" spans="1:20" s="95" customFormat="1" ht="30">
      <c r="A53" s="99">
        <v>52</v>
      </c>
      <c r="B53" s="95">
        <v>54</v>
      </c>
      <c r="C53" s="96">
        <v>16</v>
      </c>
      <c r="D53" s="97">
        <v>124</v>
      </c>
      <c r="E53" s="98" t="s">
        <v>1016</v>
      </c>
      <c r="F53" s="99">
        <v>12</v>
      </c>
      <c r="G53" s="96" t="s">
        <v>1521</v>
      </c>
      <c r="H53" s="122" t="s">
        <v>1526</v>
      </c>
      <c r="I53" s="95" t="s">
        <v>394</v>
      </c>
      <c r="J53" s="98" t="s">
        <v>1012</v>
      </c>
      <c r="K53" s="100" t="s">
        <v>1525</v>
      </c>
      <c r="L53" s="95" t="s">
        <v>899</v>
      </c>
      <c r="M53" s="95">
        <v>3</v>
      </c>
      <c r="N53" s="95" t="s">
        <v>1459</v>
      </c>
      <c r="O53" s="100" t="s">
        <v>957</v>
      </c>
      <c r="P53" s="95">
        <v>4</v>
      </c>
      <c r="Q53" s="95" t="s">
        <v>295</v>
      </c>
      <c r="R53" s="101" t="s">
        <v>437</v>
      </c>
      <c r="S53" s="102" t="s">
        <v>1017</v>
      </c>
      <c r="T53" s="103"/>
    </row>
    <row r="54" spans="1:20" s="95" customFormat="1" ht="30">
      <c r="A54" s="99">
        <v>53</v>
      </c>
      <c r="B54" s="95">
        <v>51</v>
      </c>
      <c r="C54" s="96">
        <v>17</v>
      </c>
      <c r="D54" s="97">
        <v>12</v>
      </c>
      <c r="E54" s="98" t="s">
        <v>1018</v>
      </c>
      <c r="F54" s="99">
        <v>12</v>
      </c>
      <c r="G54" s="96" t="s">
        <v>1527</v>
      </c>
      <c r="H54" s="122" t="s">
        <v>1522</v>
      </c>
      <c r="I54" s="95" t="s">
        <v>394</v>
      </c>
      <c r="J54" s="98" t="s">
        <v>1018</v>
      </c>
      <c r="K54" s="100" t="s">
        <v>452</v>
      </c>
      <c r="L54" s="95" t="s">
        <v>895</v>
      </c>
      <c r="M54" s="95">
        <v>1</v>
      </c>
      <c r="N54" s="95" t="s">
        <v>1459</v>
      </c>
      <c r="O54" s="100" t="s">
        <v>964</v>
      </c>
      <c r="P54" s="95">
        <v>4</v>
      </c>
      <c r="Q54" s="95" t="s">
        <v>340</v>
      </c>
      <c r="R54" s="101" t="s">
        <v>342</v>
      </c>
      <c r="S54" s="102" t="s">
        <v>1019</v>
      </c>
      <c r="T54" s="106" t="s">
        <v>1020</v>
      </c>
    </row>
    <row r="55" spans="1:20" s="95" customFormat="1" ht="30">
      <c r="A55" s="99">
        <v>54</v>
      </c>
      <c r="B55" s="95">
        <v>53</v>
      </c>
      <c r="C55" s="96">
        <v>17</v>
      </c>
      <c r="D55" s="97">
        <v>68</v>
      </c>
      <c r="E55" s="98" t="s">
        <v>1021</v>
      </c>
      <c r="F55" s="99">
        <v>12</v>
      </c>
      <c r="G55" s="96" t="s">
        <v>1527</v>
      </c>
      <c r="H55" s="122" t="s">
        <v>1524</v>
      </c>
      <c r="I55" s="95" t="s">
        <v>394</v>
      </c>
      <c r="J55" s="98" t="s">
        <v>1018</v>
      </c>
      <c r="K55" s="100" t="s">
        <v>1523</v>
      </c>
      <c r="L55" s="95" t="s">
        <v>897</v>
      </c>
      <c r="M55" s="95">
        <v>2</v>
      </c>
      <c r="N55" s="95" t="s">
        <v>1459</v>
      </c>
      <c r="O55" s="100" t="s">
        <v>964</v>
      </c>
      <c r="P55" s="95">
        <v>4</v>
      </c>
      <c r="Q55" s="95" t="s">
        <v>340</v>
      </c>
      <c r="R55" s="101" t="s">
        <v>342</v>
      </c>
      <c r="S55" s="102"/>
      <c r="T55" s="106" t="s">
        <v>1022</v>
      </c>
    </row>
    <row r="56" spans="1:20" s="95" customFormat="1" ht="30">
      <c r="A56" s="99">
        <v>55</v>
      </c>
      <c r="B56" s="95">
        <v>55</v>
      </c>
      <c r="C56" s="96">
        <v>17</v>
      </c>
      <c r="D56" s="97">
        <v>124</v>
      </c>
      <c r="E56" s="98" t="s">
        <v>1023</v>
      </c>
      <c r="F56" s="99">
        <v>12</v>
      </c>
      <c r="G56" s="96" t="s">
        <v>1527</v>
      </c>
      <c r="H56" s="122" t="s">
        <v>1526</v>
      </c>
      <c r="I56" s="95" t="s">
        <v>394</v>
      </c>
      <c r="J56" s="98" t="s">
        <v>1018</v>
      </c>
      <c r="K56" s="100" t="s">
        <v>1525</v>
      </c>
      <c r="L56" s="95" t="s">
        <v>899</v>
      </c>
      <c r="M56" s="95">
        <v>3</v>
      </c>
      <c r="N56" s="95" t="s">
        <v>1459</v>
      </c>
      <c r="O56" s="100" t="s">
        <v>964</v>
      </c>
      <c r="P56" s="95">
        <v>4</v>
      </c>
      <c r="Q56" s="95" t="s">
        <v>340</v>
      </c>
      <c r="R56" s="101" t="s">
        <v>342</v>
      </c>
      <c r="S56" s="102" t="s">
        <v>1024</v>
      </c>
      <c r="T56" s="103"/>
    </row>
    <row r="57" spans="1:20" s="95" customFormat="1" ht="30">
      <c r="A57" s="99">
        <v>56</v>
      </c>
      <c r="B57" s="95">
        <v>56</v>
      </c>
      <c r="C57" s="96">
        <v>18</v>
      </c>
      <c r="D57" s="97">
        <v>125</v>
      </c>
      <c r="E57" s="98" t="s">
        <v>1025</v>
      </c>
      <c r="F57" s="99">
        <v>13</v>
      </c>
      <c r="G57" s="96" t="s">
        <v>1528</v>
      </c>
      <c r="H57" s="122" t="s">
        <v>1529</v>
      </c>
      <c r="I57" s="95" t="s">
        <v>394</v>
      </c>
      <c r="J57" s="98" t="s">
        <v>1025</v>
      </c>
      <c r="K57" s="100" t="s">
        <v>435</v>
      </c>
      <c r="L57" s="95" t="s">
        <v>899</v>
      </c>
      <c r="M57" s="95">
        <v>3</v>
      </c>
      <c r="N57" s="95" t="s">
        <v>1459</v>
      </c>
      <c r="O57" s="100" t="s">
        <v>957</v>
      </c>
      <c r="P57" s="95">
        <v>3</v>
      </c>
      <c r="Q57" s="95" t="s">
        <v>295</v>
      </c>
      <c r="R57" s="101" t="s">
        <v>437</v>
      </c>
      <c r="S57" s="102" t="s">
        <v>1026</v>
      </c>
      <c r="T57" s="103"/>
    </row>
    <row r="58" spans="1:20" s="95" customFormat="1" ht="30">
      <c r="A58" s="99">
        <v>57</v>
      </c>
      <c r="B58" s="95">
        <v>57</v>
      </c>
      <c r="C58" s="96">
        <v>19</v>
      </c>
      <c r="D58" s="97">
        <v>125</v>
      </c>
      <c r="E58" s="98" t="s">
        <v>1027</v>
      </c>
      <c r="F58" s="99">
        <v>13</v>
      </c>
      <c r="G58" s="96" t="s">
        <v>1530</v>
      </c>
      <c r="H58" s="122" t="s">
        <v>1529</v>
      </c>
      <c r="I58" s="95" t="s">
        <v>394</v>
      </c>
      <c r="J58" s="98" t="s">
        <v>1027</v>
      </c>
      <c r="K58" s="100" t="s">
        <v>435</v>
      </c>
      <c r="L58" s="95" t="s">
        <v>899</v>
      </c>
      <c r="M58" s="95">
        <v>3</v>
      </c>
      <c r="N58" s="95" t="s">
        <v>1459</v>
      </c>
      <c r="O58" s="100" t="s">
        <v>964</v>
      </c>
      <c r="P58" s="95">
        <v>3</v>
      </c>
      <c r="Q58" s="95" t="s">
        <v>340</v>
      </c>
      <c r="R58" s="101" t="s">
        <v>401</v>
      </c>
      <c r="S58" s="102" t="s">
        <v>1028</v>
      </c>
      <c r="T58" s="103"/>
    </row>
    <row r="59" spans="1:20" s="95" customFormat="1" ht="30">
      <c r="A59" s="99">
        <v>58</v>
      </c>
      <c r="B59" s="95">
        <v>58</v>
      </c>
      <c r="C59" s="96">
        <v>20</v>
      </c>
      <c r="D59" s="97">
        <v>126</v>
      </c>
      <c r="E59" s="98" t="s">
        <v>1029</v>
      </c>
      <c r="F59" s="99">
        <v>14</v>
      </c>
      <c r="G59" s="96" t="s">
        <v>1531</v>
      </c>
      <c r="H59" s="122" t="s">
        <v>1532</v>
      </c>
      <c r="I59" s="95" t="s">
        <v>394</v>
      </c>
      <c r="J59" s="98" t="s">
        <v>1029</v>
      </c>
      <c r="K59" s="100" t="s">
        <v>395</v>
      </c>
      <c r="L59" s="95" t="s">
        <v>899</v>
      </c>
      <c r="M59" s="95">
        <v>3</v>
      </c>
      <c r="N59" s="95" t="s">
        <v>1459</v>
      </c>
      <c r="O59" s="100" t="s">
        <v>1030</v>
      </c>
      <c r="P59" s="95">
        <v>1</v>
      </c>
      <c r="Q59" s="95" t="s">
        <v>295</v>
      </c>
      <c r="R59" s="101" t="s">
        <v>397</v>
      </c>
      <c r="S59" s="102" t="s">
        <v>1031</v>
      </c>
      <c r="T59" s="103"/>
    </row>
    <row r="60" spans="1:20" s="95" customFormat="1" ht="30">
      <c r="A60" s="99">
        <v>59</v>
      </c>
      <c r="B60" s="95">
        <v>59</v>
      </c>
      <c r="C60" s="96">
        <v>21</v>
      </c>
      <c r="D60" s="97">
        <v>126</v>
      </c>
      <c r="E60" s="98" t="s">
        <v>1032</v>
      </c>
      <c r="F60" s="99">
        <v>14</v>
      </c>
      <c r="G60" s="96" t="s">
        <v>1533</v>
      </c>
      <c r="H60" s="122" t="s">
        <v>1532</v>
      </c>
      <c r="I60" s="95" t="s">
        <v>394</v>
      </c>
      <c r="J60" s="98" t="s">
        <v>1032</v>
      </c>
      <c r="K60" s="100" t="s">
        <v>395</v>
      </c>
      <c r="L60" s="95" t="s">
        <v>899</v>
      </c>
      <c r="M60" s="95">
        <v>3</v>
      </c>
      <c r="N60" s="95" t="s">
        <v>1459</v>
      </c>
      <c r="O60" s="100" t="s">
        <v>1033</v>
      </c>
      <c r="P60" s="95">
        <v>1</v>
      </c>
      <c r="Q60" s="95" t="s">
        <v>340</v>
      </c>
      <c r="R60" s="101" t="s">
        <v>401</v>
      </c>
      <c r="S60" s="102" t="s">
        <v>1034</v>
      </c>
      <c r="T60" s="103"/>
    </row>
    <row r="61" spans="1:20" s="95" customFormat="1" ht="30">
      <c r="A61" s="99">
        <v>60</v>
      </c>
      <c r="B61" s="95">
        <v>60</v>
      </c>
      <c r="C61" s="96">
        <v>22</v>
      </c>
      <c r="D61" s="97">
        <v>13</v>
      </c>
      <c r="E61" s="98" t="s">
        <v>1035</v>
      </c>
      <c r="F61" s="99">
        <v>15</v>
      </c>
      <c r="G61" s="96" t="s">
        <v>1534</v>
      </c>
      <c r="H61" s="122" t="s">
        <v>1535</v>
      </c>
      <c r="I61" s="95" t="s">
        <v>394</v>
      </c>
      <c r="J61" s="98" t="s">
        <v>1035</v>
      </c>
      <c r="K61" s="100" t="s">
        <v>420</v>
      </c>
      <c r="L61" s="95" t="s">
        <v>895</v>
      </c>
      <c r="M61" s="95">
        <v>1</v>
      </c>
      <c r="N61" s="95" t="s">
        <v>1459</v>
      </c>
      <c r="O61" s="100" t="s">
        <v>1030</v>
      </c>
      <c r="P61" s="95">
        <v>2</v>
      </c>
      <c r="Q61" s="95" t="s">
        <v>295</v>
      </c>
      <c r="R61" s="101" t="s">
        <v>397</v>
      </c>
      <c r="S61" s="102" t="s">
        <v>1036</v>
      </c>
      <c r="T61" s="103"/>
    </row>
    <row r="62" spans="1:20" s="95" customFormat="1" ht="30">
      <c r="A62" s="99">
        <v>61</v>
      </c>
      <c r="B62" s="95">
        <v>62</v>
      </c>
      <c r="C62" s="96">
        <v>22</v>
      </c>
      <c r="D62" s="97">
        <v>69</v>
      </c>
      <c r="E62" s="98" t="s">
        <v>1037</v>
      </c>
      <c r="F62" s="99">
        <v>15</v>
      </c>
      <c r="G62" s="96" t="s">
        <v>1534</v>
      </c>
      <c r="H62" s="122" t="s">
        <v>1536</v>
      </c>
      <c r="I62" s="95" t="s">
        <v>394</v>
      </c>
      <c r="J62" s="98" t="s">
        <v>1035</v>
      </c>
      <c r="K62" s="100" t="s">
        <v>394</v>
      </c>
      <c r="L62" s="95" t="s">
        <v>897</v>
      </c>
      <c r="M62" s="95">
        <v>2</v>
      </c>
      <c r="N62" s="95" t="s">
        <v>1459</v>
      </c>
      <c r="O62" s="100" t="s">
        <v>1030</v>
      </c>
      <c r="P62" s="95">
        <v>2</v>
      </c>
      <c r="Q62" s="95" t="s">
        <v>295</v>
      </c>
      <c r="R62" s="101" t="s">
        <v>397</v>
      </c>
      <c r="S62" s="102" t="s">
        <v>1038</v>
      </c>
      <c r="T62" s="103"/>
    </row>
    <row r="63" spans="1:20" s="95" customFormat="1" ht="30">
      <c r="A63" s="99">
        <v>62</v>
      </c>
      <c r="B63" s="95">
        <v>64</v>
      </c>
      <c r="C63" s="96">
        <v>22</v>
      </c>
      <c r="D63" s="97">
        <v>127</v>
      </c>
      <c r="E63" s="98" t="s">
        <v>1039</v>
      </c>
      <c r="F63" s="99">
        <v>15</v>
      </c>
      <c r="G63" s="96" t="s">
        <v>1534</v>
      </c>
      <c r="H63" s="122" t="s">
        <v>1538</v>
      </c>
      <c r="I63" s="95" t="s">
        <v>394</v>
      </c>
      <c r="J63" s="98" t="s">
        <v>1035</v>
      </c>
      <c r="K63" s="100" t="s">
        <v>1537</v>
      </c>
      <c r="L63" s="95" t="s">
        <v>899</v>
      </c>
      <c r="M63" s="95">
        <v>3</v>
      </c>
      <c r="N63" s="95" t="s">
        <v>1459</v>
      </c>
      <c r="O63" s="100" t="s">
        <v>1030</v>
      </c>
      <c r="P63" s="95">
        <v>2</v>
      </c>
      <c r="Q63" s="95" t="s">
        <v>295</v>
      </c>
      <c r="R63" s="101" t="s">
        <v>397</v>
      </c>
      <c r="S63" s="102" t="s">
        <v>1040</v>
      </c>
      <c r="T63" s="103"/>
    </row>
    <row r="64" spans="1:20" s="95" customFormat="1" ht="30">
      <c r="A64" s="99">
        <v>63</v>
      </c>
      <c r="B64" s="95">
        <v>61</v>
      </c>
      <c r="C64" s="96">
        <v>23</v>
      </c>
      <c r="D64" s="97">
        <v>13</v>
      </c>
      <c r="E64" s="98" t="s">
        <v>1041</v>
      </c>
      <c r="F64" s="99">
        <v>15</v>
      </c>
      <c r="G64" s="96" t="s">
        <v>1539</v>
      </c>
      <c r="H64" s="122" t="s">
        <v>1535</v>
      </c>
      <c r="I64" s="95" t="s">
        <v>394</v>
      </c>
      <c r="J64" s="98" t="s">
        <v>1041</v>
      </c>
      <c r="K64" s="100" t="s">
        <v>420</v>
      </c>
      <c r="L64" s="95" t="s">
        <v>895</v>
      </c>
      <c r="M64" s="95">
        <v>1</v>
      </c>
      <c r="N64" s="95" t="s">
        <v>1459</v>
      </c>
      <c r="O64" s="100" t="s">
        <v>1033</v>
      </c>
      <c r="P64" s="95">
        <v>2</v>
      </c>
      <c r="Q64" s="95" t="s">
        <v>340</v>
      </c>
      <c r="R64" s="101" t="s">
        <v>425</v>
      </c>
      <c r="S64" s="102" t="s">
        <v>1042</v>
      </c>
      <c r="T64" s="103"/>
    </row>
    <row r="65" spans="1:20" s="95" customFormat="1" ht="30">
      <c r="A65" s="99">
        <v>64</v>
      </c>
      <c r="B65" s="95">
        <v>63</v>
      </c>
      <c r="C65" s="96">
        <v>23</v>
      </c>
      <c r="D65" s="97">
        <v>69</v>
      </c>
      <c r="E65" s="98" t="s">
        <v>1043</v>
      </c>
      <c r="F65" s="99">
        <v>15</v>
      </c>
      <c r="G65" s="96" t="s">
        <v>1539</v>
      </c>
      <c r="H65" s="122" t="s">
        <v>1536</v>
      </c>
      <c r="I65" s="95" t="s">
        <v>394</v>
      </c>
      <c r="J65" s="98" t="s">
        <v>1041</v>
      </c>
      <c r="K65" s="100" t="s">
        <v>394</v>
      </c>
      <c r="L65" s="95" t="s">
        <v>897</v>
      </c>
      <c r="M65" s="95">
        <v>2</v>
      </c>
      <c r="N65" s="95" t="s">
        <v>1459</v>
      </c>
      <c r="O65" s="100" t="s">
        <v>1033</v>
      </c>
      <c r="P65" s="95">
        <v>2</v>
      </c>
      <c r="Q65" s="95" t="s">
        <v>340</v>
      </c>
      <c r="R65" s="101" t="s">
        <v>425</v>
      </c>
      <c r="S65" s="107" t="s">
        <v>1044</v>
      </c>
      <c r="T65" s="103"/>
    </row>
    <row r="66" spans="1:20" s="95" customFormat="1" ht="30">
      <c r="A66" s="99">
        <v>65</v>
      </c>
      <c r="B66" s="95">
        <v>65</v>
      </c>
      <c r="C66" s="96">
        <v>23</v>
      </c>
      <c r="D66" s="97">
        <v>127</v>
      </c>
      <c r="E66" s="98" t="s">
        <v>1045</v>
      </c>
      <c r="F66" s="99">
        <v>15</v>
      </c>
      <c r="G66" s="96" t="s">
        <v>1539</v>
      </c>
      <c r="H66" s="122" t="s">
        <v>1538</v>
      </c>
      <c r="I66" s="95" t="s">
        <v>394</v>
      </c>
      <c r="J66" s="98" t="s">
        <v>1041</v>
      </c>
      <c r="K66" s="100" t="s">
        <v>1537</v>
      </c>
      <c r="L66" s="95" t="s">
        <v>899</v>
      </c>
      <c r="M66" s="95">
        <v>3</v>
      </c>
      <c r="N66" s="95" t="s">
        <v>1459</v>
      </c>
      <c r="O66" s="100" t="s">
        <v>1033</v>
      </c>
      <c r="P66" s="95">
        <v>2</v>
      </c>
      <c r="Q66" s="95" t="s">
        <v>340</v>
      </c>
      <c r="R66" s="101" t="s">
        <v>425</v>
      </c>
      <c r="S66" s="107"/>
      <c r="T66" s="103"/>
    </row>
    <row r="67" spans="1:20" s="95" customFormat="1" ht="30">
      <c r="A67" s="99">
        <v>66</v>
      </c>
      <c r="B67" s="95">
        <v>66</v>
      </c>
      <c r="C67" s="96">
        <v>24</v>
      </c>
      <c r="D67" s="97">
        <v>14</v>
      </c>
      <c r="E67" s="98" t="s">
        <v>1046</v>
      </c>
      <c r="F67" s="99">
        <v>16</v>
      </c>
      <c r="G67" s="96" t="s">
        <v>1540</v>
      </c>
      <c r="H67" s="122" t="s">
        <v>1541</v>
      </c>
      <c r="I67" s="95" t="s">
        <v>394</v>
      </c>
      <c r="J67" s="98" t="s">
        <v>1046</v>
      </c>
      <c r="K67" s="100" t="s">
        <v>428</v>
      </c>
      <c r="L67" s="95" t="s">
        <v>895</v>
      </c>
      <c r="M67" s="95">
        <v>1</v>
      </c>
      <c r="N67" s="95" t="s">
        <v>1459</v>
      </c>
      <c r="O67" s="100" t="s">
        <v>1030</v>
      </c>
      <c r="P67" s="95">
        <v>2</v>
      </c>
      <c r="Q67" s="95" t="s">
        <v>295</v>
      </c>
      <c r="R67" s="101" t="s">
        <v>397</v>
      </c>
      <c r="S67" s="102" t="s">
        <v>1047</v>
      </c>
      <c r="T67" s="103"/>
    </row>
    <row r="68" spans="1:20" s="95" customFormat="1" ht="30">
      <c r="A68" s="99">
        <v>67</v>
      </c>
      <c r="B68" s="95">
        <v>68</v>
      </c>
      <c r="C68" s="96">
        <v>24</v>
      </c>
      <c r="D68" s="97">
        <v>70</v>
      </c>
      <c r="E68" s="98" t="s">
        <v>1048</v>
      </c>
      <c r="F68" s="99">
        <v>16</v>
      </c>
      <c r="G68" s="96" t="s">
        <v>1540</v>
      </c>
      <c r="H68" s="122" t="s">
        <v>1543</v>
      </c>
      <c r="I68" s="95" t="s">
        <v>394</v>
      </c>
      <c r="J68" s="98" t="s">
        <v>1046</v>
      </c>
      <c r="K68" s="100" t="s">
        <v>1542</v>
      </c>
      <c r="L68" s="95" t="s">
        <v>897</v>
      </c>
      <c r="M68" s="95">
        <v>2</v>
      </c>
      <c r="N68" s="95" t="s">
        <v>1459</v>
      </c>
      <c r="O68" s="100" t="s">
        <v>1030</v>
      </c>
      <c r="P68" s="95">
        <v>2</v>
      </c>
      <c r="Q68" s="95" t="s">
        <v>295</v>
      </c>
      <c r="R68" s="101" t="s">
        <v>397</v>
      </c>
      <c r="S68" s="102" t="s">
        <v>1049</v>
      </c>
      <c r="T68" s="103"/>
    </row>
    <row r="69" spans="1:20" s="95" customFormat="1" ht="30">
      <c r="A69" s="99">
        <v>68</v>
      </c>
      <c r="B69" s="95">
        <v>70</v>
      </c>
      <c r="C69" s="96">
        <v>24</v>
      </c>
      <c r="D69" s="97">
        <v>128</v>
      </c>
      <c r="E69" s="98" t="s">
        <v>1050</v>
      </c>
      <c r="F69" s="99">
        <v>16</v>
      </c>
      <c r="G69" s="96" t="s">
        <v>1540</v>
      </c>
      <c r="H69" s="122" t="s">
        <v>1545</v>
      </c>
      <c r="I69" s="95" t="s">
        <v>394</v>
      </c>
      <c r="J69" s="98" t="s">
        <v>1046</v>
      </c>
      <c r="K69" s="100" t="s">
        <v>1544</v>
      </c>
      <c r="L69" s="95" t="s">
        <v>899</v>
      </c>
      <c r="M69" s="95">
        <v>3</v>
      </c>
      <c r="N69" s="95" t="s">
        <v>1459</v>
      </c>
      <c r="O69" s="100" t="s">
        <v>1030</v>
      </c>
      <c r="P69" s="95">
        <v>2</v>
      </c>
      <c r="Q69" s="95" t="s">
        <v>295</v>
      </c>
      <c r="R69" s="101" t="s">
        <v>397</v>
      </c>
      <c r="S69" s="102" t="s">
        <v>1051</v>
      </c>
      <c r="T69" s="103"/>
    </row>
    <row r="70" spans="1:20" s="95" customFormat="1" ht="30">
      <c r="A70" s="99">
        <v>69</v>
      </c>
      <c r="B70" s="95">
        <v>67</v>
      </c>
      <c r="C70" s="96">
        <v>25</v>
      </c>
      <c r="D70" s="97">
        <v>14</v>
      </c>
      <c r="E70" s="98" t="s">
        <v>1052</v>
      </c>
      <c r="F70" s="99">
        <v>16</v>
      </c>
      <c r="G70" s="96" t="s">
        <v>1546</v>
      </c>
      <c r="H70" s="122" t="s">
        <v>1541</v>
      </c>
      <c r="I70" s="95" t="s">
        <v>394</v>
      </c>
      <c r="J70" s="98" t="s">
        <v>1052</v>
      </c>
      <c r="K70" s="100" t="s">
        <v>428</v>
      </c>
      <c r="L70" s="95" t="s">
        <v>895</v>
      </c>
      <c r="M70" s="95">
        <v>1</v>
      </c>
      <c r="N70" s="95" t="s">
        <v>1459</v>
      </c>
      <c r="O70" s="100" t="s">
        <v>1033</v>
      </c>
      <c r="P70" s="95">
        <v>2</v>
      </c>
      <c r="Q70" s="95" t="s">
        <v>340</v>
      </c>
      <c r="R70" s="101" t="s">
        <v>417</v>
      </c>
      <c r="S70" s="102" t="s">
        <v>1053</v>
      </c>
      <c r="T70" s="103"/>
    </row>
    <row r="71" spans="1:20" s="95" customFormat="1" ht="30">
      <c r="A71" s="99">
        <v>70</v>
      </c>
      <c r="B71" s="95">
        <v>69</v>
      </c>
      <c r="C71" s="96">
        <v>25</v>
      </c>
      <c r="D71" s="97">
        <v>70</v>
      </c>
      <c r="E71" s="98" t="s">
        <v>1054</v>
      </c>
      <c r="F71" s="99">
        <v>16</v>
      </c>
      <c r="G71" s="96" t="s">
        <v>1546</v>
      </c>
      <c r="H71" s="122" t="s">
        <v>1543</v>
      </c>
      <c r="I71" s="95" t="s">
        <v>394</v>
      </c>
      <c r="J71" s="98" t="s">
        <v>1052</v>
      </c>
      <c r="K71" s="100" t="s">
        <v>1542</v>
      </c>
      <c r="L71" s="95" t="s">
        <v>897</v>
      </c>
      <c r="M71" s="95">
        <v>2</v>
      </c>
      <c r="N71" s="95" t="s">
        <v>1459</v>
      </c>
      <c r="O71" s="100" t="s">
        <v>1033</v>
      </c>
      <c r="P71" s="95">
        <v>2</v>
      </c>
      <c r="Q71" s="95" t="s">
        <v>340</v>
      </c>
      <c r="R71" s="101" t="s">
        <v>417</v>
      </c>
      <c r="S71" s="102"/>
      <c r="T71" s="103"/>
    </row>
    <row r="72" spans="1:20" s="95" customFormat="1" ht="30">
      <c r="A72" s="99">
        <v>71</v>
      </c>
      <c r="B72" s="95">
        <v>71</v>
      </c>
      <c r="C72" s="96">
        <v>25</v>
      </c>
      <c r="D72" s="97">
        <v>128</v>
      </c>
      <c r="E72" s="98" t="s">
        <v>1055</v>
      </c>
      <c r="F72" s="99">
        <v>16</v>
      </c>
      <c r="G72" s="96" t="s">
        <v>1546</v>
      </c>
      <c r="H72" s="122" t="s">
        <v>1545</v>
      </c>
      <c r="I72" s="95" t="s">
        <v>394</v>
      </c>
      <c r="J72" s="98" t="s">
        <v>1052</v>
      </c>
      <c r="K72" s="100" t="s">
        <v>1544</v>
      </c>
      <c r="L72" s="95" t="s">
        <v>899</v>
      </c>
      <c r="M72" s="95">
        <v>3</v>
      </c>
      <c r="N72" s="95" t="s">
        <v>1459</v>
      </c>
      <c r="O72" s="100" t="s">
        <v>1033</v>
      </c>
      <c r="P72" s="95">
        <v>2</v>
      </c>
      <c r="Q72" s="95" t="s">
        <v>340</v>
      </c>
      <c r="R72" s="101" t="s">
        <v>417</v>
      </c>
      <c r="S72" s="102" t="s">
        <v>1056</v>
      </c>
      <c r="T72" s="103"/>
    </row>
    <row r="73" spans="1:20" s="95" customFormat="1" ht="30">
      <c r="A73" s="99">
        <v>72</v>
      </c>
      <c r="B73" s="95">
        <v>72</v>
      </c>
      <c r="C73" s="96">
        <v>26</v>
      </c>
      <c r="D73" s="97">
        <v>129</v>
      </c>
      <c r="E73" s="98" t="s">
        <v>1057</v>
      </c>
      <c r="F73" s="99">
        <v>17</v>
      </c>
      <c r="G73" s="96" t="s">
        <v>1547</v>
      </c>
      <c r="H73" s="122" t="s">
        <v>1548</v>
      </c>
      <c r="I73" s="95" t="s">
        <v>394</v>
      </c>
      <c r="J73" s="98" t="s">
        <v>1057</v>
      </c>
      <c r="K73" s="100" t="s">
        <v>412</v>
      </c>
      <c r="L73" s="95" t="s">
        <v>899</v>
      </c>
      <c r="M73" s="95">
        <v>3</v>
      </c>
      <c r="N73" s="95" t="s">
        <v>1459</v>
      </c>
      <c r="O73" s="100" t="s">
        <v>1030</v>
      </c>
      <c r="P73" s="95">
        <v>2</v>
      </c>
      <c r="Q73" s="95" t="s">
        <v>295</v>
      </c>
      <c r="R73" s="101" t="s">
        <v>397</v>
      </c>
      <c r="S73" s="102" t="s">
        <v>1058</v>
      </c>
      <c r="T73" s="103"/>
    </row>
    <row r="74" spans="1:20" s="95" customFormat="1" ht="30">
      <c r="A74" s="99">
        <v>73</v>
      </c>
      <c r="B74" s="95">
        <v>73</v>
      </c>
      <c r="C74" s="96">
        <v>27</v>
      </c>
      <c r="D74" s="97">
        <v>129</v>
      </c>
      <c r="E74" s="98" t="s">
        <v>1059</v>
      </c>
      <c r="F74" s="99">
        <v>17</v>
      </c>
      <c r="G74" s="96" t="s">
        <v>1549</v>
      </c>
      <c r="H74" s="122" t="s">
        <v>1548</v>
      </c>
      <c r="I74" s="95" t="s">
        <v>394</v>
      </c>
      <c r="J74" s="98" t="s">
        <v>1059</v>
      </c>
      <c r="K74" s="100" t="s">
        <v>412</v>
      </c>
      <c r="L74" s="95" t="s">
        <v>899</v>
      </c>
      <c r="M74" s="95">
        <v>3</v>
      </c>
      <c r="N74" s="95" t="s">
        <v>1459</v>
      </c>
      <c r="O74" s="100" t="s">
        <v>1033</v>
      </c>
      <c r="P74" s="95">
        <v>2</v>
      </c>
      <c r="Q74" s="95" t="s">
        <v>340</v>
      </c>
      <c r="R74" s="101" t="s">
        <v>417</v>
      </c>
      <c r="S74" s="102" t="s">
        <v>1060</v>
      </c>
      <c r="T74" s="103"/>
    </row>
    <row r="75" spans="1:20" s="95" customFormat="1" ht="30">
      <c r="A75" s="99">
        <v>74</v>
      </c>
      <c r="B75" s="95">
        <v>74</v>
      </c>
      <c r="C75" s="96">
        <v>28</v>
      </c>
      <c r="D75" s="97">
        <v>15</v>
      </c>
      <c r="E75" s="98" t="s">
        <v>463</v>
      </c>
      <c r="F75" s="99">
        <v>18</v>
      </c>
      <c r="G75" s="96" t="s">
        <v>1550</v>
      </c>
      <c r="H75" s="122" t="s">
        <v>1551</v>
      </c>
      <c r="I75" s="95" t="s">
        <v>394</v>
      </c>
      <c r="J75" s="98" t="s">
        <v>463</v>
      </c>
      <c r="K75" s="100" t="s">
        <v>463</v>
      </c>
      <c r="L75" s="95" t="s">
        <v>895</v>
      </c>
      <c r="M75" s="95">
        <v>1</v>
      </c>
      <c r="N75" s="95" t="s">
        <v>1459</v>
      </c>
      <c r="O75" s="100" t="s">
        <v>1033</v>
      </c>
      <c r="P75" s="95">
        <v>1</v>
      </c>
      <c r="Q75" s="95" t="s">
        <v>340</v>
      </c>
      <c r="R75" s="101" t="s">
        <v>401</v>
      </c>
      <c r="S75" s="102" t="s">
        <v>1061</v>
      </c>
      <c r="T75" s="103"/>
    </row>
    <row r="76" spans="1:20" s="95" customFormat="1" ht="30">
      <c r="A76" s="99">
        <v>75</v>
      </c>
      <c r="B76" s="95">
        <v>75</v>
      </c>
      <c r="C76" s="96">
        <v>28</v>
      </c>
      <c r="D76" s="97">
        <v>71</v>
      </c>
      <c r="E76" s="98" t="s">
        <v>1062</v>
      </c>
      <c r="F76" s="99">
        <v>18</v>
      </c>
      <c r="G76" s="96" t="s">
        <v>1550</v>
      </c>
      <c r="H76" s="122" t="s">
        <v>1552</v>
      </c>
      <c r="I76" s="95" t="s">
        <v>394</v>
      </c>
      <c r="J76" s="98" t="s">
        <v>463</v>
      </c>
      <c r="K76" s="100" t="s">
        <v>1062</v>
      </c>
      <c r="L76" s="95" t="s">
        <v>897</v>
      </c>
      <c r="M76" s="95">
        <v>2</v>
      </c>
      <c r="N76" s="95" t="s">
        <v>1459</v>
      </c>
      <c r="O76" s="100" t="s">
        <v>1033</v>
      </c>
      <c r="P76" s="95">
        <v>1</v>
      </c>
      <c r="Q76" s="95" t="s">
        <v>340</v>
      </c>
      <c r="R76" s="101" t="s">
        <v>401</v>
      </c>
      <c r="S76" s="102" t="s">
        <v>1063</v>
      </c>
      <c r="T76" s="103"/>
    </row>
    <row r="77" spans="1:20" s="95" customFormat="1" ht="30">
      <c r="A77" s="99">
        <v>76</v>
      </c>
      <c r="B77" s="95">
        <v>76</v>
      </c>
      <c r="C77" s="96">
        <v>28</v>
      </c>
      <c r="D77" s="97">
        <v>130</v>
      </c>
      <c r="E77" s="98" t="s">
        <v>1064</v>
      </c>
      <c r="F77" s="99">
        <v>18</v>
      </c>
      <c r="G77" s="96" t="s">
        <v>1550</v>
      </c>
      <c r="H77" s="122" t="s">
        <v>1553</v>
      </c>
      <c r="I77" s="95" t="s">
        <v>394</v>
      </c>
      <c r="J77" s="98" t="s">
        <v>463</v>
      </c>
      <c r="K77" s="100" t="s">
        <v>1064</v>
      </c>
      <c r="L77" s="95" t="s">
        <v>899</v>
      </c>
      <c r="M77" s="95">
        <v>3</v>
      </c>
      <c r="N77" s="95" t="s">
        <v>1459</v>
      </c>
      <c r="O77" s="100" t="s">
        <v>1033</v>
      </c>
      <c r="P77" s="95">
        <v>1</v>
      </c>
      <c r="Q77" s="95" t="s">
        <v>340</v>
      </c>
      <c r="R77" s="101" t="s">
        <v>401</v>
      </c>
      <c r="S77" s="102" t="s">
        <v>1065</v>
      </c>
      <c r="T77" s="103"/>
    </row>
    <row r="78" spans="1:20" s="95" customFormat="1" ht="30">
      <c r="A78" s="99">
        <v>77</v>
      </c>
      <c r="B78" s="95">
        <v>77</v>
      </c>
      <c r="C78" s="96">
        <v>29</v>
      </c>
      <c r="D78" s="97">
        <v>16</v>
      </c>
      <c r="E78" s="98" t="s">
        <v>460</v>
      </c>
      <c r="F78" s="99">
        <v>19</v>
      </c>
      <c r="G78" s="96" t="s">
        <v>1554</v>
      </c>
      <c r="H78" s="122" t="s">
        <v>1555</v>
      </c>
      <c r="I78" s="95" t="s">
        <v>394</v>
      </c>
      <c r="J78" s="98" t="s">
        <v>460</v>
      </c>
      <c r="K78" s="100" t="s">
        <v>460</v>
      </c>
      <c r="L78" s="95" t="s">
        <v>895</v>
      </c>
      <c r="M78" s="95">
        <v>1</v>
      </c>
      <c r="N78" s="95" t="s">
        <v>1459</v>
      </c>
      <c r="O78" s="100" t="s">
        <v>1030</v>
      </c>
      <c r="P78" s="95">
        <v>1</v>
      </c>
      <c r="Q78" s="95" t="s">
        <v>295</v>
      </c>
      <c r="R78" s="101" t="s">
        <v>397</v>
      </c>
      <c r="S78" s="102" t="s">
        <v>1066</v>
      </c>
      <c r="T78" s="103"/>
    </row>
    <row r="79" spans="1:20" s="95" customFormat="1" ht="30">
      <c r="A79" s="99">
        <v>78</v>
      </c>
      <c r="B79" s="95">
        <v>78</v>
      </c>
      <c r="C79" s="96">
        <v>29</v>
      </c>
      <c r="D79" s="97">
        <v>72</v>
      </c>
      <c r="E79" s="98" t="s">
        <v>1067</v>
      </c>
      <c r="F79" s="99">
        <v>19</v>
      </c>
      <c r="G79" s="96" t="s">
        <v>1554</v>
      </c>
      <c r="H79" s="122" t="s">
        <v>1556</v>
      </c>
      <c r="I79" s="95" t="s">
        <v>394</v>
      </c>
      <c r="J79" s="98" t="s">
        <v>460</v>
      </c>
      <c r="K79" s="100" t="s">
        <v>1067</v>
      </c>
      <c r="L79" s="95" t="s">
        <v>897</v>
      </c>
      <c r="M79" s="95">
        <v>2</v>
      </c>
      <c r="N79" s="95" t="s">
        <v>1459</v>
      </c>
      <c r="O79" s="100" t="s">
        <v>1030</v>
      </c>
      <c r="P79" s="95">
        <v>1</v>
      </c>
      <c r="Q79" s="95" t="s">
        <v>295</v>
      </c>
      <c r="R79" s="101" t="s">
        <v>397</v>
      </c>
      <c r="S79" s="107" t="s">
        <v>1068</v>
      </c>
      <c r="T79" s="103"/>
    </row>
    <row r="80" spans="1:20" s="95" customFormat="1" ht="30">
      <c r="A80" s="99">
        <v>79</v>
      </c>
      <c r="B80" s="95">
        <v>79</v>
      </c>
      <c r="C80" s="96">
        <v>29</v>
      </c>
      <c r="D80" s="97">
        <v>131</v>
      </c>
      <c r="E80" s="98" t="s">
        <v>1069</v>
      </c>
      <c r="F80" s="99">
        <v>19</v>
      </c>
      <c r="G80" s="96" t="s">
        <v>1554</v>
      </c>
      <c r="H80" s="122" t="s">
        <v>1557</v>
      </c>
      <c r="I80" s="95" t="s">
        <v>394</v>
      </c>
      <c r="J80" s="98" t="s">
        <v>460</v>
      </c>
      <c r="K80" s="100" t="s">
        <v>1069</v>
      </c>
      <c r="L80" s="95" t="s">
        <v>899</v>
      </c>
      <c r="M80" s="95">
        <v>3</v>
      </c>
      <c r="N80" s="95" t="s">
        <v>1459</v>
      </c>
      <c r="O80" s="100" t="s">
        <v>1030</v>
      </c>
      <c r="P80" s="95">
        <v>1</v>
      </c>
      <c r="Q80" s="95" t="s">
        <v>295</v>
      </c>
      <c r="R80" s="101" t="s">
        <v>397</v>
      </c>
      <c r="S80" s="102" t="s">
        <v>1070</v>
      </c>
      <c r="T80" s="108"/>
    </row>
    <row r="81" spans="1:20" s="95" customFormat="1" ht="30">
      <c r="A81" s="99">
        <v>80</v>
      </c>
      <c r="B81" s="95">
        <v>80</v>
      </c>
      <c r="C81" s="96">
        <v>30</v>
      </c>
      <c r="D81" s="97">
        <v>132</v>
      </c>
      <c r="E81" s="98" t="s">
        <v>404</v>
      </c>
      <c r="F81" s="99">
        <v>20</v>
      </c>
      <c r="G81" s="96" t="s">
        <v>1558</v>
      </c>
      <c r="H81" s="122" t="s">
        <v>1559</v>
      </c>
      <c r="I81" s="95" t="s">
        <v>394</v>
      </c>
      <c r="J81" s="98" t="s">
        <v>404</v>
      </c>
      <c r="K81" s="100" t="s">
        <v>404</v>
      </c>
      <c r="L81" s="95" t="s">
        <v>899</v>
      </c>
      <c r="M81" s="95">
        <v>3</v>
      </c>
      <c r="N81" s="95" t="s">
        <v>1459</v>
      </c>
      <c r="O81" s="100" t="s">
        <v>964</v>
      </c>
      <c r="P81" s="95">
        <v>3</v>
      </c>
      <c r="Q81" s="95" t="s">
        <v>340</v>
      </c>
      <c r="R81" s="101" t="s">
        <v>401</v>
      </c>
      <c r="S81" s="102" t="s">
        <v>1071</v>
      </c>
      <c r="T81" s="103"/>
    </row>
    <row r="82" spans="1:20" s="95" customFormat="1" ht="30">
      <c r="A82" s="99">
        <v>81</v>
      </c>
      <c r="B82" s="95">
        <v>81</v>
      </c>
      <c r="C82" s="96">
        <v>31</v>
      </c>
      <c r="D82" s="97">
        <v>17</v>
      </c>
      <c r="E82" s="98" t="s">
        <v>1072</v>
      </c>
      <c r="F82" s="99">
        <v>21</v>
      </c>
      <c r="G82" s="96" t="s">
        <v>1560</v>
      </c>
      <c r="H82" s="122" t="s">
        <v>1561</v>
      </c>
      <c r="I82" s="95" t="s">
        <v>466</v>
      </c>
      <c r="J82" s="98" t="s">
        <v>1072</v>
      </c>
      <c r="K82" s="100" t="s">
        <v>1072</v>
      </c>
      <c r="L82" s="95" t="s">
        <v>895</v>
      </c>
      <c r="M82" s="95">
        <v>1</v>
      </c>
      <c r="N82" s="95" t="s">
        <v>1459</v>
      </c>
      <c r="O82" s="100" t="s">
        <v>957</v>
      </c>
      <c r="P82" s="95">
        <v>3</v>
      </c>
      <c r="Q82" s="95" t="s">
        <v>295</v>
      </c>
      <c r="R82" s="101" t="s">
        <v>469</v>
      </c>
      <c r="S82" s="102" t="s">
        <v>1073</v>
      </c>
      <c r="T82" s="103"/>
    </row>
    <row r="83" spans="1:20" s="95" customFormat="1" ht="30">
      <c r="A83" s="99">
        <v>82</v>
      </c>
      <c r="B83" s="95">
        <v>82</v>
      </c>
      <c r="C83" s="96">
        <v>31</v>
      </c>
      <c r="D83" s="97">
        <v>73</v>
      </c>
      <c r="E83" s="98" t="s">
        <v>1074</v>
      </c>
      <c r="F83" s="99">
        <v>21</v>
      </c>
      <c r="G83" s="96" t="s">
        <v>1560</v>
      </c>
      <c r="H83" s="122" t="s">
        <v>1562</v>
      </c>
      <c r="I83" s="95" t="s">
        <v>466</v>
      </c>
      <c r="J83" s="98" t="s">
        <v>1072</v>
      </c>
      <c r="K83" s="100" t="s">
        <v>1074</v>
      </c>
      <c r="L83" s="95" t="s">
        <v>897</v>
      </c>
      <c r="M83" s="95">
        <v>2</v>
      </c>
      <c r="N83" s="95" t="s">
        <v>1459</v>
      </c>
      <c r="O83" s="100" t="s">
        <v>957</v>
      </c>
      <c r="P83" s="95">
        <v>3</v>
      </c>
      <c r="Q83" s="95" t="s">
        <v>295</v>
      </c>
      <c r="R83" s="101" t="s">
        <v>469</v>
      </c>
      <c r="S83" s="102" t="s">
        <v>1075</v>
      </c>
      <c r="T83" s="103"/>
    </row>
    <row r="84" spans="1:20" s="95" customFormat="1" ht="30">
      <c r="A84" s="99">
        <v>83</v>
      </c>
      <c r="B84" s="95">
        <v>83</v>
      </c>
      <c r="C84" s="96">
        <v>31</v>
      </c>
      <c r="D84" s="97">
        <v>133</v>
      </c>
      <c r="E84" s="98" t="s">
        <v>1076</v>
      </c>
      <c r="F84" s="99">
        <v>21</v>
      </c>
      <c r="G84" s="96" t="s">
        <v>1560</v>
      </c>
      <c r="H84" s="122" t="s">
        <v>1563</v>
      </c>
      <c r="I84" s="95" t="s">
        <v>466</v>
      </c>
      <c r="J84" s="98" t="s">
        <v>1072</v>
      </c>
      <c r="K84" s="100" t="s">
        <v>1076</v>
      </c>
      <c r="L84" s="95" t="s">
        <v>899</v>
      </c>
      <c r="M84" s="95">
        <v>3</v>
      </c>
      <c r="N84" s="95" t="s">
        <v>1459</v>
      </c>
      <c r="O84" s="100" t="s">
        <v>957</v>
      </c>
      <c r="P84" s="95">
        <v>3</v>
      </c>
      <c r="Q84" s="95" t="s">
        <v>295</v>
      </c>
      <c r="R84" s="101" t="s">
        <v>469</v>
      </c>
      <c r="S84" s="102" t="s">
        <v>1077</v>
      </c>
      <c r="T84" s="103"/>
    </row>
    <row r="85" spans="1:20" s="95" customFormat="1" ht="30">
      <c r="A85" s="99">
        <v>84</v>
      </c>
      <c r="B85" s="95">
        <v>84</v>
      </c>
      <c r="C85" s="96">
        <v>31</v>
      </c>
      <c r="D85" s="97">
        <v>178</v>
      </c>
      <c r="E85" s="98" t="s">
        <v>1078</v>
      </c>
      <c r="F85" s="99">
        <v>21</v>
      </c>
      <c r="G85" s="96" t="s">
        <v>1560</v>
      </c>
      <c r="H85" s="122" t="s">
        <v>1564</v>
      </c>
      <c r="I85" s="95" t="s">
        <v>466</v>
      </c>
      <c r="J85" s="98" t="s">
        <v>1072</v>
      </c>
      <c r="K85" s="100" t="s">
        <v>1078</v>
      </c>
      <c r="L85" s="95" t="s">
        <v>861</v>
      </c>
      <c r="M85" s="95">
        <v>4</v>
      </c>
      <c r="N85" s="95" t="s">
        <v>1459</v>
      </c>
      <c r="O85" s="100" t="s">
        <v>957</v>
      </c>
      <c r="P85" s="95">
        <v>3</v>
      </c>
      <c r="Q85" s="95" t="s">
        <v>295</v>
      </c>
      <c r="R85" s="101" t="s">
        <v>556</v>
      </c>
      <c r="S85" s="102" t="s">
        <v>1079</v>
      </c>
      <c r="T85" s="103"/>
    </row>
    <row r="86" spans="1:20" s="95" customFormat="1" ht="30">
      <c r="A86" s="99">
        <v>85</v>
      </c>
      <c r="B86" s="95">
        <v>85</v>
      </c>
      <c r="C86" s="96">
        <v>32</v>
      </c>
      <c r="D86" s="97">
        <v>18</v>
      </c>
      <c r="E86" s="98" t="s">
        <v>482</v>
      </c>
      <c r="F86" s="99">
        <v>22</v>
      </c>
      <c r="G86" s="96" t="s">
        <v>1565</v>
      </c>
      <c r="H86" s="122" t="s">
        <v>1566</v>
      </c>
      <c r="I86" s="95" t="s">
        <v>466</v>
      </c>
      <c r="J86" s="98" t="s">
        <v>482</v>
      </c>
      <c r="K86" s="100" t="s">
        <v>482</v>
      </c>
      <c r="L86" s="95" t="s">
        <v>895</v>
      </c>
      <c r="M86" s="95">
        <v>1</v>
      </c>
      <c r="N86" s="95" t="s">
        <v>1459</v>
      </c>
      <c r="O86" s="100" t="s">
        <v>964</v>
      </c>
      <c r="P86" s="95">
        <v>3</v>
      </c>
      <c r="Q86" s="95" t="s">
        <v>295</v>
      </c>
      <c r="R86" s="101" t="s">
        <v>483</v>
      </c>
      <c r="S86" s="102" t="s">
        <v>1080</v>
      </c>
      <c r="T86" s="103"/>
    </row>
    <row r="87" spans="1:20" s="95" customFormat="1" ht="30">
      <c r="A87" s="99">
        <v>86</v>
      </c>
      <c r="B87" s="95">
        <v>86</v>
      </c>
      <c r="C87" s="96">
        <v>32</v>
      </c>
      <c r="D87" s="97">
        <v>74</v>
      </c>
      <c r="E87" s="98" t="s">
        <v>1081</v>
      </c>
      <c r="F87" s="99">
        <v>22</v>
      </c>
      <c r="G87" s="96" t="s">
        <v>1565</v>
      </c>
      <c r="H87" s="122" t="s">
        <v>1567</v>
      </c>
      <c r="I87" s="95" t="s">
        <v>466</v>
      </c>
      <c r="J87" s="98" t="s">
        <v>482</v>
      </c>
      <c r="K87" s="100" t="s">
        <v>1081</v>
      </c>
      <c r="L87" s="95" t="s">
        <v>897</v>
      </c>
      <c r="M87" s="95">
        <v>2</v>
      </c>
      <c r="N87" s="95" t="s">
        <v>1459</v>
      </c>
      <c r="O87" s="100" t="s">
        <v>964</v>
      </c>
      <c r="P87" s="95">
        <v>3</v>
      </c>
      <c r="Q87" s="95" t="s">
        <v>295</v>
      </c>
      <c r="R87" s="101" t="s">
        <v>483</v>
      </c>
      <c r="S87" s="102" t="s">
        <v>1082</v>
      </c>
      <c r="T87" s="103"/>
    </row>
    <row r="88" spans="1:20" s="95" customFormat="1" ht="30">
      <c r="A88" s="99">
        <v>87</v>
      </c>
      <c r="B88" s="95">
        <v>87</v>
      </c>
      <c r="C88" s="96">
        <v>32</v>
      </c>
      <c r="D88" s="97">
        <v>134</v>
      </c>
      <c r="E88" s="98" t="s">
        <v>1083</v>
      </c>
      <c r="F88" s="99">
        <v>22</v>
      </c>
      <c r="G88" s="96" t="s">
        <v>1565</v>
      </c>
      <c r="H88" s="122" t="s">
        <v>1568</v>
      </c>
      <c r="I88" s="95" t="s">
        <v>466</v>
      </c>
      <c r="J88" s="98" t="s">
        <v>482</v>
      </c>
      <c r="K88" s="100" t="s">
        <v>1083</v>
      </c>
      <c r="L88" s="95" t="s">
        <v>899</v>
      </c>
      <c r="M88" s="95">
        <v>3</v>
      </c>
      <c r="N88" s="95" t="s">
        <v>1459</v>
      </c>
      <c r="O88" s="100" t="s">
        <v>964</v>
      </c>
      <c r="P88" s="95">
        <v>3</v>
      </c>
      <c r="Q88" s="95" t="s">
        <v>295</v>
      </c>
      <c r="R88" s="101" t="s">
        <v>483</v>
      </c>
      <c r="S88" s="102" t="s">
        <v>1084</v>
      </c>
      <c r="T88" s="103"/>
    </row>
    <row r="89" spans="1:20" s="95" customFormat="1" ht="30">
      <c r="A89" s="99">
        <v>88</v>
      </c>
      <c r="B89" s="95">
        <v>88</v>
      </c>
      <c r="C89" s="96">
        <v>32</v>
      </c>
      <c r="D89" s="97">
        <v>179</v>
      </c>
      <c r="E89" s="98" t="s">
        <v>569</v>
      </c>
      <c r="F89" s="99">
        <v>22</v>
      </c>
      <c r="G89" s="96" t="s">
        <v>1565</v>
      </c>
      <c r="H89" s="122" t="s">
        <v>1569</v>
      </c>
      <c r="I89" s="95" t="s">
        <v>466</v>
      </c>
      <c r="J89" s="98" t="s">
        <v>482</v>
      </c>
      <c r="K89" s="100" t="s">
        <v>569</v>
      </c>
      <c r="L89" s="95" t="s">
        <v>861</v>
      </c>
      <c r="M89" s="95">
        <v>4</v>
      </c>
      <c r="N89" s="95" t="s">
        <v>1459</v>
      </c>
      <c r="O89" s="100" t="s">
        <v>964</v>
      </c>
      <c r="P89" s="95">
        <v>3</v>
      </c>
      <c r="Q89" s="95" t="s">
        <v>295</v>
      </c>
      <c r="R89" s="101" t="s">
        <v>570</v>
      </c>
      <c r="S89" s="102" t="s">
        <v>1085</v>
      </c>
      <c r="T89" s="103"/>
    </row>
    <row r="90" spans="1:20" s="95" customFormat="1" ht="30">
      <c r="A90" s="99">
        <v>89</v>
      </c>
      <c r="B90" s="95">
        <v>89</v>
      </c>
      <c r="C90" s="96">
        <v>33</v>
      </c>
      <c r="D90" s="97">
        <v>19</v>
      </c>
      <c r="E90" s="98" t="s">
        <v>466</v>
      </c>
      <c r="F90" s="99">
        <v>23</v>
      </c>
      <c r="G90" s="96" t="s">
        <v>1570</v>
      </c>
      <c r="H90" s="122" t="s">
        <v>1571</v>
      </c>
      <c r="I90" s="95" t="s">
        <v>466</v>
      </c>
      <c r="J90" s="98" t="s">
        <v>466</v>
      </c>
      <c r="K90" s="100" t="s">
        <v>466</v>
      </c>
      <c r="L90" s="95" t="s">
        <v>895</v>
      </c>
      <c r="M90" s="95">
        <v>1</v>
      </c>
      <c r="N90" s="95" t="s">
        <v>1459</v>
      </c>
      <c r="O90" s="100" t="s">
        <v>1030</v>
      </c>
      <c r="P90" s="95">
        <v>2</v>
      </c>
      <c r="Q90" s="95" t="s">
        <v>295</v>
      </c>
      <c r="R90" s="101" t="s">
        <v>469</v>
      </c>
      <c r="S90" s="102" t="s">
        <v>1086</v>
      </c>
      <c r="T90" s="103"/>
    </row>
    <row r="91" spans="1:20" s="95" customFormat="1" ht="30">
      <c r="A91" s="99">
        <v>90</v>
      </c>
      <c r="B91" s="95">
        <v>90</v>
      </c>
      <c r="C91" s="96">
        <v>33</v>
      </c>
      <c r="D91" s="97">
        <v>135</v>
      </c>
      <c r="E91" s="98" t="s">
        <v>1087</v>
      </c>
      <c r="F91" s="99">
        <v>23</v>
      </c>
      <c r="G91" s="96" t="s">
        <v>1570</v>
      </c>
      <c r="H91" s="122" t="s">
        <v>1572</v>
      </c>
      <c r="I91" s="95" t="s">
        <v>466</v>
      </c>
      <c r="J91" s="98" t="s">
        <v>466</v>
      </c>
      <c r="K91" s="100" t="s">
        <v>1087</v>
      </c>
      <c r="L91" s="95" t="s">
        <v>899</v>
      </c>
      <c r="M91" s="95">
        <v>3</v>
      </c>
      <c r="N91" s="95" t="s">
        <v>1459</v>
      </c>
      <c r="O91" s="100" t="s">
        <v>1030</v>
      </c>
      <c r="P91" s="95">
        <v>2</v>
      </c>
      <c r="Q91" s="95" t="s">
        <v>295</v>
      </c>
      <c r="R91" s="101" t="s">
        <v>469</v>
      </c>
      <c r="S91" s="109"/>
      <c r="T91" s="110" t="s">
        <v>1088</v>
      </c>
    </row>
    <row r="92" spans="1:20" s="95" customFormat="1" ht="30">
      <c r="A92" s="99">
        <v>91</v>
      </c>
      <c r="B92" s="95">
        <v>91</v>
      </c>
      <c r="C92" s="96">
        <v>33</v>
      </c>
      <c r="D92" s="97">
        <v>180</v>
      </c>
      <c r="E92" s="98" t="s">
        <v>566</v>
      </c>
      <c r="F92" s="99">
        <v>23</v>
      </c>
      <c r="G92" s="96" t="s">
        <v>1570</v>
      </c>
      <c r="H92" s="122" t="s">
        <v>1573</v>
      </c>
      <c r="I92" s="95" t="s">
        <v>466</v>
      </c>
      <c r="J92" s="98" t="s">
        <v>466</v>
      </c>
      <c r="K92" s="100" t="s">
        <v>566</v>
      </c>
      <c r="L92" s="95" t="s">
        <v>861</v>
      </c>
      <c r="M92" s="95">
        <v>4</v>
      </c>
      <c r="N92" s="95" t="s">
        <v>1459</v>
      </c>
      <c r="O92" s="100" t="s">
        <v>1030</v>
      </c>
      <c r="P92" s="95">
        <v>2</v>
      </c>
      <c r="Q92" s="95" t="s">
        <v>295</v>
      </c>
      <c r="R92" s="101" t="s">
        <v>556</v>
      </c>
      <c r="S92" s="102" t="s">
        <v>1089</v>
      </c>
      <c r="T92" s="103"/>
    </row>
    <row r="93" spans="1:20" s="95" customFormat="1" ht="30">
      <c r="A93" s="99">
        <v>92</v>
      </c>
      <c r="B93" s="95">
        <v>92</v>
      </c>
      <c r="C93" s="96">
        <v>34</v>
      </c>
      <c r="D93" s="97">
        <v>20</v>
      </c>
      <c r="E93" s="98" t="s">
        <v>498</v>
      </c>
      <c r="F93" s="99">
        <v>24</v>
      </c>
      <c r="G93" s="96" t="s">
        <v>1574</v>
      </c>
      <c r="H93" s="122" t="s">
        <v>1575</v>
      </c>
      <c r="I93" s="95" t="s">
        <v>466</v>
      </c>
      <c r="J93" s="98" t="s">
        <v>498</v>
      </c>
      <c r="K93" s="100" t="s">
        <v>498</v>
      </c>
      <c r="L93" s="95" t="s">
        <v>895</v>
      </c>
      <c r="M93" s="95">
        <v>1</v>
      </c>
      <c r="N93" s="95" t="s">
        <v>1459</v>
      </c>
      <c r="O93" s="100" t="s">
        <v>964</v>
      </c>
      <c r="P93" s="95">
        <v>3</v>
      </c>
      <c r="Q93" s="95" t="s">
        <v>295</v>
      </c>
      <c r="R93" s="101" t="s">
        <v>483</v>
      </c>
      <c r="S93" s="102" t="s">
        <v>1090</v>
      </c>
      <c r="T93" s="103"/>
    </row>
    <row r="94" spans="1:20" s="95" customFormat="1" ht="30">
      <c r="A94" s="99">
        <v>93</v>
      </c>
      <c r="B94" s="95">
        <v>93</v>
      </c>
      <c r="C94" s="96">
        <v>34</v>
      </c>
      <c r="D94" s="97">
        <v>75</v>
      </c>
      <c r="E94" s="98" t="s">
        <v>1091</v>
      </c>
      <c r="F94" s="99">
        <v>24</v>
      </c>
      <c r="G94" s="96" t="s">
        <v>1574</v>
      </c>
      <c r="H94" s="122" t="s">
        <v>1576</v>
      </c>
      <c r="I94" s="95" t="s">
        <v>466</v>
      </c>
      <c r="J94" s="98" t="s">
        <v>498</v>
      </c>
      <c r="K94" s="100" t="s">
        <v>1091</v>
      </c>
      <c r="L94" s="95" t="s">
        <v>897</v>
      </c>
      <c r="M94" s="95">
        <v>2</v>
      </c>
      <c r="N94" s="95" t="s">
        <v>1459</v>
      </c>
      <c r="O94" s="100" t="s">
        <v>964</v>
      </c>
      <c r="P94" s="95">
        <v>3</v>
      </c>
      <c r="Q94" s="95" t="s">
        <v>295</v>
      </c>
      <c r="R94" s="101" t="s">
        <v>483</v>
      </c>
      <c r="S94" s="102" t="s">
        <v>1092</v>
      </c>
      <c r="T94" s="103"/>
    </row>
    <row r="95" spans="1:20" s="95" customFormat="1" ht="30">
      <c r="A95" s="99">
        <v>94</v>
      </c>
      <c r="B95" s="95">
        <v>94</v>
      </c>
      <c r="C95" s="96">
        <v>34</v>
      </c>
      <c r="D95" s="97">
        <v>136</v>
      </c>
      <c r="E95" s="98" t="s">
        <v>1093</v>
      </c>
      <c r="F95" s="99">
        <v>24</v>
      </c>
      <c r="G95" s="96" t="s">
        <v>1574</v>
      </c>
      <c r="H95" s="122" t="s">
        <v>1577</v>
      </c>
      <c r="I95" s="95" t="s">
        <v>466</v>
      </c>
      <c r="J95" s="98" t="s">
        <v>498</v>
      </c>
      <c r="K95" s="100" t="s">
        <v>1093</v>
      </c>
      <c r="L95" s="95" t="s">
        <v>899</v>
      </c>
      <c r="M95" s="95">
        <v>3</v>
      </c>
      <c r="N95" s="95" t="s">
        <v>1459</v>
      </c>
      <c r="O95" s="100" t="s">
        <v>964</v>
      </c>
      <c r="P95" s="95">
        <v>3</v>
      </c>
      <c r="Q95" s="95" t="s">
        <v>295</v>
      </c>
      <c r="R95" s="101" t="s">
        <v>483</v>
      </c>
      <c r="S95" s="102" t="s">
        <v>1094</v>
      </c>
      <c r="T95" s="103"/>
    </row>
    <row r="96" spans="1:20" s="95" customFormat="1" ht="30">
      <c r="A96" s="99">
        <v>95</v>
      </c>
      <c r="B96" s="95">
        <v>95</v>
      </c>
      <c r="C96" s="96">
        <v>34</v>
      </c>
      <c r="D96" s="97">
        <v>181</v>
      </c>
      <c r="E96" s="98" t="s">
        <v>584</v>
      </c>
      <c r="F96" s="99">
        <v>24</v>
      </c>
      <c r="G96" s="96" t="s">
        <v>1574</v>
      </c>
      <c r="H96" s="122" t="s">
        <v>1578</v>
      </c>
      <c r="I96" s="95" t="s">
        <v>466</v>
      </c>
      <c r="J96" s="98" t="s">
        <v>498</v>
      </c>
      <c r="K96" s="100" t="s">
        <v>584</v>
      </c>
      <c r="L96" s="95" t="s">
        <v>861</v>
      </c>
      <c r="M96" s="95">
        <v>4</v>
      </c>
      <c r="N96" s="95" t="s">
        <v>1459</v>
      </c>
      <c r="O96" s="100" t="s">
        <v>964</v>
      </c>
      <c r="P96" s="95">
        <v>3</v>
      </c>
      <c r="Q96" s="95" t="s">
        <v>295</v>
      </c>
      <c r="R96" s="101" t="s">
        <v>570</v>
      </c>
      <c r="S96" s="102" t="s">
        <v>1095</v>
      </c>
      <c r="T96" s="103"/>
    </row>
    <row r="97" spans="1:20" s="95" customFormat="1" ht="30">
      <c r="A97" s="99">
        <v>96</v>
      </c>
      <c r="B97" s="95">
        <v>96</v>
      </c>
      <c r="C97" s="96">
        <v>35</v>
      </c>
      <c r="D97" s="97">
        <v>21</v>
      </c>
      <c r="E97" s="98" t="s">
        <v>1096</v>
      </c>
      <c r="F97" s="99">
        <v>25</v>
      </c>
      <c r="G97" s="96" t="s">
        <v>1579</v>
      </c>
      <c r="H97" s="122" t="s">
        <v>1580</v>
      </c>
      <c r="I97" s="95" t="s">
        <v>466</v>
      </c>
      <c r="J97" s="98" t="s">
        <v>1096</v>
      </c>
      <c r="K97" s="100" t="s">
        <v>1096</v>
      </c>
      <c r="L97" s="95" t="s">
        <v>895</v>
      </c>
      <c r="M97" s="95">
        <v>1</v>
      </c>
      <c r="N97" s="95" t="s">
        <v>1459</v>
      </c>
      <c r="O97" s="100" t="s">
        <v>957</v>
      </c>
      <c r="P97" s="95">
        <v>3</v>
      </c>
      <c r="Q97" s="95" t="s">
        <v>295</v>
      </c>
      <c r="R97" s="101" t="s">
        <v>469</v>
      </c>
      <c r="S97" s="102" t="s">
        <v>1097</v>
      </c>
      <c r="T97" s="103"/>
    </row>
    <row r="98" spans="1:20" s="95" customFormat="1" ht="30">
      <c r="A98" s="99">
        <v>97</v>
      </c>
      <c r="B98" s="95">
        <v>97</v>
      </c>
      <c r="C98" s="96">
        <v>35</v>
      </c>
      <c r="D98" s="97">
        <v>76</v>
      </c>
      <c r="E98" s="98" t="s">
        <v>1098</v>
      </c>
      <c r="F98" s="99">
        <v>25</v>
      </c>
      <c r="G98" s="96" t="s">
        <v>1579</v>
      </c>
      <c r="H98" s="122" t="s">
        <v>1581</v>
      </c>
      <c r="I98" s="95" t="s">
        <v>466</v>
      </c>
      <c r="J98" s="98" t="s">
        <v>1096</v>
      </c>
      <c r="K98" s="100" t="s">
        <v>1098</v>
      </c>
      <c r="L98" s="95" t="s">
        <v>897</v>
      </c>
      <c r="M98" s="95">
        <v>2</v>
      </c>
      <c r="N98" s="95" t="s">
        <v>1459</v>
      </c>
      <c r="O98" s="100" t="s">
        <v>957</v>
      </c>
      <c r="P98" s="95">
        <v>3</v>
      </c>
      <c r="Q98" s="95" t="s">
        <v>295</v>
      </c>
      <c r="R98" s="101" t="s">
        <v>469</v>
      </c>
      <c r="S98" s="102" t="s">
        <v>1099</v>
      </c>
      <c r="T98" s="103"/>
    </row>
    <row r="99" spans="1:20" s="95" customFormat="1" ht="30">
      <c r="A99" s="99">
        <v>98</v>
      </c>
      <c r="B99" s="95">
        <v>98</v>
      </c>
      <c r="C99" s="96">
        <v>35</v>
      </c>
      <c r="D99" s="97">
        <v>137</v>
      </c>
      <c r="E99" s="98" t="s">
        <v>1100</v>
      </c>
      <c r="F99" s="99">
        <v>25</v>
      </c>
      <c r="G99" s="96" t="s">
        <v>1579</v>
      </c>
      <c r="H99" s="122" t="s">
        <v>1582</v>
      </c>
      <c r="I99" s="95" t="s">
        <v>466</v>
      </c>
      <c r="J99" s="98" t="s">
        <v>1096</v>
      </c>
      <c r="K99" s="100" t="s">
        <v>1100</v>
      </c>
      <c r="L99" s="95" t="s">
        <v>899</v>
      </c>
      <c r="M99" s="95">
        <v>3</v>
      </c>
      <c r="N99" s="95" t="s">
        <v>1459</v>
      </c>
      <c r="O99" s="100" t="s">
        <v>957</v>
      </c>
      <c r="P99" s="95">
        <v>3</v>
      </c>
      <c r="Q99" s="95" t="s">
        <v>295</v>
      </c>
      <c r="R99" s="101" t="s">
        <v>469</v>
      </c>
      <c r="S99" s="102" t="s">
        <v>1101</v>
      </c>
      <c r="T99" s="103"/>
    </row>
    <row r="100" spans="1:20" s="95" customFormat="1" ht="30">
      <c r="A100" s="99">
        <v>99</v>
      </c>
      <c r="B100" s="95">
        <v>99</v>
      </c>
      <c r="C100" s="96">
        <v>35</v>
      </c>
      <c r="D100" s="97">
        <v>182</v>
      </c>
      <c r="E100" s="98" t="s">
        <v>581</v>
      </c>
      <c r="F100" s="99">
        <v>25</v>
      </c>
      <c r="G100" s="96" t="s">
        <v>1579</v>
      </c>
      <c r="H100" s="122" t="s">
        <v>1583</v>
      </c>
      <c r="I100" s="95" t="s">
        <v>466</v>
      </c>
      <c r="J100" s="98" t="s">
        <v>1096</v>
      </c>
      <c r="K100" s="100" t="s">
        <v>581</v>
      </c>
      <c r="L100" s="95" t="s">
        <v>861</v>
      </c>
      <c r="M100" s="95">
        <v>4</v>
      </c>
      <c r="N100" s="95" t="s">
        <v>1459</v>
      </c>
      <c r="O100" s="100" t="s">
        <v>957</v>
      </c>
      <c r="P100" s="95">
        <v>3</v>
      </c>
      <c r="Q100" s="95" t="s">
        <v>295</v>
      </c>
      <c r="R100" s="101" t="s">
        <v>556</v>
      </c>
      <c r="S100" s="102" t="s">
        <v>1102</v>
      </c>
      <c r="T100" s="103"/>
    </row>
    <row r="101" spans="1:20" s="95" customFormat="1" ht="30">
      <c r="A101" s="99">
        <v>100</v>
      </c>
      <c r="B101" s="95">
        <v>100</v>
      </c>
      <c r="C101" s="96">
        <v>36</v>
      </c>
      <c r="D101" s="97">
        <v>22</v>
      </c>
      <c r="E101" s="98" t="s">
        <v>1103</v>
      </c>
      <c r="F101" s="99">
        <v>26</v>
      </c>
      <c r="G101" s="96" t="s">
        <v>1584</v>
      </c>
      <c r="H101" s="122" t="s">
        <v>1585</v>
      </c>
      <c r="I101" s="95" t="s">
        <v>466</v>
      </c>
      <c r="J101" s="98" t="s">
        <v>1103</v>
      </c>
      <c r="K101" s="100" t="s">
        <v>510</v>
      </c>
      <c r="L101" s="95" t="s">
        <v>895</v>
      </c>
      <c r="M101" s="95">
        <v>1</v>
      </c>
      <c r="N101" s="95" t="s">
        <v>1459</v>
      </c>
      <c r="O101" s="100" t="s">
        <v>957</v>
      </c>
      <c r="P101" s="95">
        <v>3</v>
      </c>
      <c r="Q101" s="95" t="s">
        <v>295</v>
      </c>
      <c r="R101" s="101" t="s">
        <v>512</v>
      </c>
      <c r="S101" s="102" t="s">
        <v>1104</v>
      </c>
      <c r="T101" s="103"/>
    </row>
    <row r="102" spans="1:20" s="95" customFormat="1" ht="30">
      <c r="A102" s="99">
        <v>101</v>
      </c>
      <c r="B102" s="95">
        <v>102</v>
      </c>
      <c r="C102" s="96">
        <v>36</v>
      </c>
      <c r="D102" s="97">
        <v>77</v>
      </c>
      <c r="E102" s="98" t="s">
        <v>1105</v>
      </c>
      <c r="F102" s="99">
        <v>26</v>
      </c>
      <c r="G102" s="96" t="s">
        <v>1584</v>
      </c>
      <c r="H102" s="122" t="s">
        <v>1587</v>
      </c>
      <c r="I102" s="95" t="s">
        <v>466</v>
      </c>
      <c r="J102" s="98" t="s">
        <v>1103</v>
      </c>
      <c r="K102" s="100" t="s">
        <v>1586</v>
      </c>
      <c r="L102" s="95" t="s">
        <v>897</v>
      </c>
      <c r="M102" s="95">
        <v>2</v>
      </c>
      <c r="N102" s="95" t="s">
        <v>1459</v>
      </c>
      <c r="O102" s="100" t="s">
        <v>957</v>
      </c>
      <c r="P102" s="95">
        <v>3</v>
      </c>
      <c r="Q102" s="95" t="s">
        <v>295</v>
      </c>
      <c r="R102" s="101" t="s">
        <v>512</v>
      </c>
      <c r="S102" s="102" t="s">
        <v>1106</v>
      </c>
      <c r="T102" s="103"/>
    </row>
    <row r="103" spans="1:20" s="95" customFormat="1" ht="30">
      <c r="A103" s="99">
        <v>102</v>
      </c>
      <c r="B103" s="95">
        <v>104</v>
      </c>
      <c r="C103" s="96">
        <v>36</v>
      </c>
      <c r="D103" s="97">
        <v>138</v>
      </c>
      <c r="E103" s="98" t="s">
        <v>1107</v>
      </c>
      <c r="F103" s="99">
        <v>26</v>
      </c>
      <c r="G103" s="96" t="s">
        <v>1584</v>
      </c>
      <c r="H103" s="122" t="s">
        <v>1589</v>
      </c>
      <c r="I103" s="95" t="s">
        <v>466</v>
      </c>
      <c r="J103" s="98" t="s">
        <v>1103</v>
      </c>
      <c r="K103" s="100" t="s">
        <v>1588</v>
      </c>
      <c r="L103" s="95" t="s">
        <v>899</v>
      </c>
      <c r="M103" s="95">
        <v>3</v>
      </c>
      <c r="N103" s="95" t="s">
        <v>1459</v>
      </c>
      <c r="O103" s="100" t="s">
        <v>957</v>
      </c>
      <c r="P103" s="95">
        <v>3</v>
      </c>
      <c r="Q103" s="95" t="s">
        <v>295</v>
      </c>
      <c r="R103" s="101" t="s">
        <v>512</v>
      </c>
      <c r="S103" s="102" t="s">
        <v>1108</v>
      </c>
      <c r="T103" s="103"/>
    </row>
    <row r="104" spans="1:20" s="95" customFormat="1" ht="30">
      <c r="A104" s="99">
        <v>103</v>
      </c>
      <c r="B104" s="95">
        <v>106</v>
      </c>
      <c r="C104" s="96">
        <v>36</v>
      </c>
      <c r="D104" s="97">
        <v>183</v>
      </c>
      <c r="E104" s="98" t="s">
        <v>1109</v>
      </c>
      <c r="F104" s="99">
        <v>26</v>
      </c>
      <c r="G104" s="96" t="s">
        <v>1584</v>
      </c>
      <c r="H104" s="122" t="s">
        <v>1591</v>
      </c>
      <c r="I104" s="95" t="s">
        <v>466</v>
      </c>
      <c r="J104" s="98" t="s">
        <v>1103</v>
      </c>
      <c r="K104" s="100" t="s">
        <v>1590</v>
      </c>
      <c r="L104" s="95" t="s">
        <v>861</v>
      </c>
      <c r="M104" s="95">
        <v>4</v>
      </c>
      <c r="N104" s="95" t="s">
        <v>1459</v>
      </c>
      <c r="O104" s="100" t="s">
        <v>957</v>
      </c>
      <c r="P104" s="95">
        <v>3</v>
      </c>
      <c r="Q104" s="95" t="s">
        <v>295</v>
      </c>
      <c r="R104" s="101" t="s">
        <v>596</v>
      </c>
      <c r="S104" s="102" t="s">
        <v>1110</v>
      </c>
      <c r="T104" s="103"/>
    </row>
    <row r="105" spans="1:20" s="95" customFormat="1" ht="30">
      <c r="A105" s="99">
        <v>104</v>
      </c>
      <c r="B105" s="95">
        <v>101</v>
      </c>
      <c r="C105" s="96">
        <v>37</v>
      </c>
      <c r="D105" s="97">
        <v>22</v>
      </c>
      <c r="E105" s="98" t="s">
        <v>1111</v>
      </c>
      <c r="F105" s="99">
        <v>26</v>
      </c>
      <c r="G105" s="96" t="s">
        <v>1592</v>
      </c>
      <c r="H105" s="122" t="s">
        <v>1585</v>
      </c>
      <c r="I105" s="95" t="s">
        <v>466</v>
      </c>
      <c r="J105" s="98" t="s">
        <v>1111</v>
      </c>
      <c r="K105" s="100" t="s">
        <v>510</v>
      </c>
      <c r="L105" s="95" t="s">
        <v>895</v>
      </c>
      <c r="M105" s="95">
        <v>1</v>
      </c>
      <c r="N105" s="95" t="s">
        <v>1459</v>
      </c>
      <c r="O105" s="100" t="s">
        <v>964</v>
      </c>
      <c r="P105" s="95">
        <v>3</v>
      </c>
      <c r="Q105" s="95" t="s">
        <v>340</v>
      </c>
      <c r="R105" s="101" t="s">
        <v>507</v>
      </c>
      <c r="S105" s="102" t="s">
        <v>1112</v>
      </c>
      <c r="T105" s="103"/>
    </row>
    <row r="106" spans="1:20" s="95" customFormat="1" ht="30">
      <c r="A106" s="99">
        <v>105</v>
      </c>
      <c r="B106" s="95">
        <v>103</v>
      </c>
      <c r="C106" s="96">
        <v>37</v>
      </c>
      <c r="D106" s="97">
        <v>77</v>
      </c>
      <c r="E106" s="98" t="s">
        <v>1113</v>
      </c>
      <c r="F106" s="99">
        <v>26</v>
      </c>
      <c r="G106" s="96" t="s">
        <v>1592</v>
      </c>
      <c r="H106" s="122" t="s">
        <v>1587</v>
      </c>
      <c r="I106" s="95" t="s">
        <v>466</v>
      </c>
      <c r="J106" s="98" t="s">
        <v>1111</v>
      </c>
      <c r="K106" s="100" t="s">
        <v>1586</v>
      </c>
      <c r="L106" s="95" t="s">
        <v>897</v>
      </c>
      <c r="M106" s="95">
        <v>2</v>
      </c>
      <c r="N106" s="95" t="s">
        <v>1459</v>
      </c>
      <c r="O106" s="100" t="s">
        <v>964</v>
      </c>
      <c r="P106" s="95">
        <v>3</v>
      </c>
      <c r="Q106" s="95" t="s">
        <v>340</v>
      </c>
      <c r="R106" s="101" t="s">
        <v>507</v>
      </c>
      <c r="S106" s="102" t="s">
        <v>1114</v>
      </c>
      <c r="T106" s="103"/>
    </row>
    <row r="107" spans="1:20" s="95" customFormat="1" ht="30">
      <c r="A107" s="99">
        <v>106</v>
      </c>
      <c r="B107" s="95">
        <v>105</v>
      </c>
      <c r="C107" s="96">
        <v>37</v>
      </c>
      <c r="D107" s="97">
        <v>138</v>
      </c>
      <c r="E107" s="98" t="s">
        <v>1115</v>
      </c>
      <c r="F107" s="99">
        <v>26</v>
      </c>
      <c r="G107" s="96" t="s">
        <v>1592</v>
      </c>
      <c r="H107" s="122" t="s">
        <v>1589</v>
      </c>
      <c r="I107" s="95" t="s">
        <v>466</v>
      </c>
      <c r="J107" s="98" t="s">
        <v>1111</v>
      </c>
      <c r="K107" s="100" t="s">
        <v>1588</v>
      </c>
      <c r="L107" s="95" t="s">
        <v>899</v>
      </c>
      <c r="M107" s="95">
        <v>3</v>
      </c>
      <c r="N107" s="95" t="s">
        <v>1459</v>
      </c>
      <c r="O107" s="100" t="s">
        <v>964</v>
      </c>
      <c r="P107" s="95">
        <v>3</v>
      </c>
      <c r="Q107" s="95" t="s">
        <v>340</v>
      </c>
      <c r="R107" s="101" t="s">
        <v>507</v>
      </c>
      <c r="S107" s="102" t="s">
        <v>1116</v>
      </c>
      <c r="T107" s="103"/>
    </row>
    <row r="108" spans="1:20" s="95" customFormat="1" ht="30">
      <c r="A108" s="99">
        <v>107</v>
      </c>
      <c r="B108" s="95">
        <v>107</v>
      </c>
      <c r="C108" s="96">
        <v>37</v>
      </c>
      <c r="D108" s="97">
        <v>183</v>
      </c>
      <c r="E108" s="98" t="s">
        <v>1117</v>
      </c>
      <c r="F108" s="99">
        <v>26</v>
      </c>
      <c r="G108" s="96" t="s">
        <v>1592</v>
      </c>
      <c r="H108" s="122" t="s">
        <v>1591</v>
      </c>
      <c r="I108" s="95" t="s">
        <v>466</v>
      </c>
      <c r="J108" s="98" t="s">
        <v>1111</v>
      </c>
      <c r="K108" s="100" t="s">
        <v>1590</v>
      </c>
      <c r="L108" s="95" t="s">
        <v>861</v>
      </c>
      <c r="M108" s="95">
        <v>4</v>
      </c>
      <c r="N108" s="95" t="s">
        <v>1459</v>
      </c>
      <c r="O108" s="100" t="s">
        <v>964</v>
      </c>
      <c r="P108" s="95">
        <v>3</v>
      </c>
      <c r="Q108" s="95" t="s">
        <v>340</v>
      </c>
      <c r="R108" s="101" t="s">
        <v>592</v>
      </c>
      <c r="S108" s="102" t="s">
        <v>1118</v>
      </c>
      <c r="T108" s="103"/>
    </row>
    <row r="109" spans="1:20" s="95" customFormat="1" ht="30">
      <c r="A109" s="99">
        <v>108</v>
      </c>
      <c r="B109" s="95">
        <v>108</v>
      </c>
      <c r="C109" s="96">
        <v>38</v>
      </c>
      <c r="D109" s="97">
        <v>23</v>
      </c>
      <c r="E109" s="98" t="s">
        <v>492</v>
      </c>
      <c r="F109" s="99">
        <v>27</v>
      </c>
      <c r="G109" s="96" t="s">
        <v>1593</v>
      </c>
      <c r="H109" s="122" t="s">
        <v>1594</v>
      </c>
      <c r="I109" s="95" t="s">
        <v>466</v>
      </c>
      <c r="J109" s="98" t="s">
        <v>492</v>
      </c>
      <c r="K109" s="100" t="s">
        <v>492</v>
      </c>
      <c r="L109" s="95" t="s">
        <v>895</v>
      </c>
      <c r="M109" s="95">
        <v>1</v>
      </c>
      <c r="N109" s="95" t="s">
        <v>1459</v>
      </c>
      <c r="O109" s="100" t="s">
        <v>1033</v>
      </c>
      <c r="P109" s="95">
        <v>1</v>
      </c>
      <c r="Q109" s="95" t="s">
        <v>295</v>
      </c>
      <c r="R109" s="101" t="s">
        <v>483</v>
      </c>
      <c r="S109" s="102" t="s">
        <v>1119</v>
      </c>
      <c r="T109" s="103"/>
    </row>
    <row r="110" spans="1:20" s="95" customFormat="1" ht="30">
      <c r="A110" s="99">
        <v>109</v>
      </c>
      <c r="B110" s="95">
        <v>109</v>
      </c>
      <c r="C110" s="96">
        <v>38</v>
      </c>
      <c r="D110" s="97">
        <v>78</v>
      </c>
      <c r="E110" s="98" t="s">
        <v>1120</v>
      </c>
      <c r="F110" s="99">
        <v>27</v>
      </c>
      <c r="G110" s="96" t="s">
        <v>1593</v>
      </c>
      <c r="H110" s="122" t="s">
        <v>1595</v>
      </c>
      <c r="I110" s="95" t="s">
        <v>466</v>
      </c>
      <c r="J110" s="98" t="s">
        <v>492</v>
      </c>
      <c r="K110" s="100" t="s">
        <v>1120</v>
      </c>
      <c r="L110" s="95" t="s">
        <v>897</v>
      </c>
      <c r="M110" s="95">
        <v>2</v>
      </c>
      <c r="N110" s="95" t="s">
        <v>1459</v>
      </c>
      <c r="O110" s="100" t="s">
        <v>1033</v>
      </c>
      <c r="P110" s="95">
        <v>1</v>
      </c>
      <c r="Q110" s="95" t="s">
        <v>295</v>
      </c>
      <c r="R110" s="101" t="s">
        <v>483</v>
      </c>
      <c r="S110" s="102" t="s">
        <v>1121</v>
      </c>
      <c r="T110" s="103"/>
    </row>
    <row r="111" spans="1:20" s="95" customFormat="1" ht="30">
      <c r="A111" s="99">
        <v>110</v>
      </c>
      <c r="B111" s="95">
        <v>110</v>
      </c>
      <c r="C111" s="96">
        <v>38</v>
      </c>
      <c r="D111" s="97">
        <v>139</v>
      </c>
      <c r="E111" s="98" t="s">
        <v>1122</v>
      </c>
      <c r="F111" s="99">
        <v>27</v>
      </c>
      <c r="G111" s="96" t="s">
        <v>1593</v>
      </c>
      <c r="H111" s="122" t="s">
        <v>1596</v>
      </c>
      <c r="I111" s="95" t="s">
        <v>466</v>
      </c>
      <c r="J111" s="98" t="s">
        <v>492</v>
      </c>
      <c r="K111" s="100" t="s">
        <v>1122</v>
      </c>
      <c r="L111" s="95" t="s">
        <v>899</v>
      </c>
      <c r="M111" s="95">
        <v>3</v>
      </c>
      <c r="N111" s="95" t="s">
        <v>1459</v>
      </c>
      <c r="O111" s="100" t="s">
        <v>1033</v>
      </c>
      <c r="P111" s="95">
        <v>1</v>
      </c>
      <c r="Q111" s="95" t="s">
        <v>295</v>
      </c>
      <c r="R111" s="101" t="s">
        <v>483</v>
      </c>
      <c r="S111" s="102" t="s">
        <v>1123</v>
      </c>
      <c r="T111" s="103"/>
    </row>
    <row r="112" spans="1:20" s="95" customFormat="1" ht="30">
      <c r="A112" s="99">
        <v>111</v>
      </c>
      <c r="B112" s="95">
        <v>111</v>
      </c>
      <c r="C112" s="96">
        <v>38</v>
      </c>
      <c r="D112" s="97">
        <v>184</v>
      </c>
      <c r="E112" s="98" t="s">
        <v>578</v>
      </c>
      <c r="F112" s="99">
        <v>27</v>
      </c>
      <c r="G112" s="96" t="s">
        <v>1593</v>
      </c>
      <c r="H112" s="122" t="s">
        <v>1597</v>
      </c>
      <c r="I112" s="95" t="s">
        <v>466</v>
      </c>
      <c r="J112" s="98" t="s">
        <v>492</v>
      </c>
      <c r="K112" s="100" t="s">
        <v>578</v>
      </c>
      <c r="L112" s="95" t="s">
        <v>861</v>
      </c>
      <c r="M112" s="95">
        <v>4</v>
      </c>
      <c r="N112" s="95" t="s">
        <v>1459</v>
      </c>
      <c r="O112" s="100" t="s">
        <v>1033</v>
      </c>
      <c r="P112" s="95">
        <v>1</v>
      </c>
      <c r="Q112" s="95" t="s">
        <v>295</v>
      </c>
      <c r="R112" s="101" t="s">
        <v>570</v>
      </c>
      <c r="S112" s="102" t="s">
        <v>1124</v>
      </c>
      <c r="T112" s="103"/>
    </row>
    <row r="113" spans="1:20" s="95" customFormat="1" ht="30">
      <c r="A113" s="99">
        <v>112</v>
      </c>
      <c r="B113" s="95">
        <v>112</v>
      </c>
      <c r="C113" s="96">
        <v>39</v>
      </c>
      <c r="D113" s="97">
        <v>24</v>
      </c>
      <c r="E113" s="98" t="s">
        <v>488</v>
      </c>
      <c r="F113" s="99">
        <v>28</v>
      </c>
      <c r="G113" s="96" t="s">
        <v>1598</v>
      </c>
      <c r="H113" s="122" t="s">
        <v>1599</v>
      </c>
      <c r="I113" s="95" t="s">
        <v>466</v>
      </c>
      <c r="J113" s="98" t="s">
        <v>488</v>
      </c>
      <c r="K113" s="100" t="s">
        <v>488</v>
      </c>
      <c r="L113" s="95" t="s">
        <v>895</v>
      </c>
      <c r="M113" s="95">
        <v>1</v>
      </c>
      <c r="N113" s="95" t="s">
        <v>1459</v>
      </c>
      <c r="O113" s="100" t="s">
        <v>1030</v>
      </c>
      <c r="P113" s="95">
        <v>1</v>
      </c>
      <c r="Q113" s="95" t="s">
        <v>295</v>
      </c>
      <c r="R113" s="101" t="s">
        <v>483</v>
      </c>
      <c r="S113" s="102" t="s">
        <v>1125</v>
      </c>
      <c r="T113" s="103"/>
    </row>
    <row r="114" spans="1:20" s="95" customFormat="1" ht="30">
      <c r="A114" s="99">
        <v>113</v>
      </c>
      <c r="B114" s="95">
        <v>113</v>
      </c>
      <c r="C114" s="96">
        <v>39</v>
      </c>
      <c r="D114" s="97">
        <v>79</v>
      </c>
      <c r="E114" s="98" t="s">
        <v>1126</v>
      </c>
      <c r="F114" s="99">
        <v>28</v>
      </c>
      <c r="G114" s="96" t="s">
        <v>1598</v>
      </c>
      <c r="H114" s="122" t="s">
        <v>1600</v>
      </c>
      <c r="I114" s="95" t="s">
        <v>466</v>
      </c>
      <c r="J114" s="98" t="s">
        <v>488</v>
      </c>
      <c r="K114" s="100" t="s">
        <v>1126</v>
      </c>
      <c r="L114" s="95" t="s">
        <v>897</v>
      </c>
      <c r="M114" s="95">
        <v>2</v>
      </c>
      <c r="N114" s="95" t="s">
        <v>1459</v>
      </c>
      <c r="O114" s="100" t="s">
        <v>1030</v>
      </c>
      <c r="P114" s="95">
        <v>1</v>
      </c>
      <c r="Q114" s="95" t="s">
        <v>295</v>
      </c>
      <c r="R114" s="101" t="s">
        <v>483</v>
      </c>
      <c r="S114" s="102" t="s">
        <v>1127</v>
      </c>
      <c r="T114" s="103"/>
    </row>
    <row r="115" spans="1:20" s="95" customFormat="1" ht="30">
      <c r="A115" s="99">
        <v>114</v>
      </c>
      <c r="B115" s="95">
        <v>114</v>
      </c>
      <c r="C115" s="96">
        <v>39</v>
      </c>
      <c r="D115" s="97">
        <v>140</v>
      </c>
      <c r="E115" s="98" t="s">
        <v>1128</v>
      </c>
      <c r="F115" s="99">
        <v>28</v>
      </c>
      <c r="G115" s="96" t="s">
        <v>1598</v>
      </c>
      <c r="H115" s="122" t="s">
        <v>1601</v>
      </c>
      <c r="I115" s="95" t="s">
        <v>466</v>
      </c>
      <c r="J115" s="98" t="s">
        <v>488</v>
      </c>
      <c r="K115" s="100" t="s">
        <v>1128</v>
      </c>
      <c r="L115" s="95" t="s">
        <v>899</v>
      </c>
      <c r="M115" s="95">
        <v>3</v>
      </c>
      <c r="N115" s="95" t="s">
        <v>1459</v>
      </c>
      <c r="O115" s="100" t="s">
        <v>1030</v>
      </c>
      <c r="P115" s="95">
        <v>1</v>
      </c>
      <c r="Q115" s="95" t="s">
        <v>295</v>
      </c>
      <c r="R115" s="101" t="s">
        <v>483</v>
      </c>
      <c r="S115" s="102" t="s">
        <v>1129</v>
      </c>
      <c r="T115" s="103"/>
    </row>
    <row r="116" spans="1:20" s="95" customFormat="1" ht="30">
      <c r="A116" s="99">
        <v>115</v>
      </c>
      <c r="B116" s="95">
        <v>115</v>
      </c>
      <c r="C116" s="96">
        <v>39</v>
      </c>
      <c r="D116" s="97">
        <v>185</v>
      </c>
      <c r="E116" s="98" t="s">
        <v>575</v>
      </c>
      <c r="F116" s="99">
        <v>28</v>
      </c>
      <c r="G116" s="96" t="s">
        <v>1598</v>
      </c>
      <c r="H116" s="122" t="s">
        <v>1602</v>
      </c>
      <c r="I116" s="95" t="s">
        <v>466</v>
      </c>
      <c r="J116" s="98" t="s">
        <v>488</v>
      </c>
      <c r="K116" s="100" t="s">
        <v>575</v>
      </c>
      <c r="L116" s="95" t="s">
        <v>861</v>
      </c>
      <c r="M116" s="95">
        <v>4</v>
      </c>
      <c r="N116" s="95" t="s">
        <v>1459</v>
      </c>
      <c r="O116" s="100" t="s">
        <v>1030</v>
      </c>
      <c r="P116" s="95">
        <v>1</v>
      </c>
      <c r="Q116" s="95" t="s">
        <v>295</v>
      </c>
      <c r="R116" s="101" t="s">
        <v>570</v>
      </c>
      <c r="S116" s="102"/>
      <c r="T116" s="103"/>
    </row>
    <row r="117" spans="1:20" s="95" customFormat="1" ht="30">
      <c r="A117" s="99">
        <v>116</v>
      </c>
      <c r="B117" s="95">
        <v>116</v>
      </c>
      <c r="C117" s="96">
        <v>40</v>
      </c>
      <c r="D117" s="97">
        <v>25</v>
      </c>
      <c r="E117" s="98" t="s">
        <v>502</v>
      </c>
      <c r="F117" s="99">
        <v>29</v>
      </c>
      <c r="G117" s="96" t="s">
        <v>1603</v>
      </c>
      <c r="H117" s="122" t="s">
        <v>1604</v>
      </c>
      <c r="I117" s="95" t="s">
        <v>501</v>
      </c>
      <c r="J117" s="98" t="s">
        <v>502</v>
      </c>
      <c r="K117" s="100" t="s">
        <v>502</v>
      </c>
      <c r="L117" s="95" t="s">
        <v>895</v>
      </c>
      <c r="M117" s="95">
        <v>1</v>
      </c>
      <c r="N117" s="95" t="s">
        <v>1459</v>
      </c>
      <c r="O117" s="100" t="s">
        <v>1030</v>
      </c>
      <c r="P117" s="95">
        <v>1</v>
      </c>
      <c r="Q117" s="95" t="s">
        <v>295</v>
      </c>
      <c r="R117" s="101" t="s">
        <v>503</v>
      </c>
      <c r="S117" s="102" t="s">
        <v>1130</v>
      </c>
      <c r="T117" s="103"/>
    </row>
    <row r="118" spans="1:20" s="95" customFormat="1" ht="30">
      <c r="A118" s="99">
        <v>117</v>
      </c>
      <c r="B118" s="95">
        <v>117</v>
      </c>
      <c r="C118" s="96">
        <v>40</v>
      </c>
      <c r="D118" s="97">
        <v>80</v>
      </c>
      <c r="E118" s="98" t="s">
        <v>1131</v>
      </c>
      <c r="F118" s="99">
        <v>29</v>
      </c>
      <c r="G118" s="96" t="s">
        <v>1603</v>
      </c>
      <c r="H118" s="122" t="s">
        <v>1605</v>
      </c>
      <c r="I118" s="95" t="s">
        <v>501</v>
      </c>
      <c r="J118" s="98" t="s">
        <v>502</v>
      </c>
      <c r="K118" s="100" t="s">
        <v>1131</v>
      </c>
      <c r="L118" s="95" t="s">
        <v>897</v>
      </c>
      <c r="M118" s="95">
        <v>2</v>
      </c>
      <c r="N118" s="95" t="s">
        <v>1459</v>
      </c>
      <c r="O118" s="100" t="s">
        <v>1030</v>
      </c>
      <c r="P118" s="95">
        <v>1</v>
      </c>
      <c r="Q118" s="95" t="s">
        <v>295</v>
      </c>
      <c r="R118" s="101" t="s">
        <v>503</v>
      </c>
      <c r="S118" s="102" t="s">
        <v>1132</v>
      </c>
      <c r="T118" s="103"/>
    </row>
    <row r="119" spans="1:20" s="95" customFormat="1" ht="30">
      <c r="A119" s="99">
        <v>118</v>
      </c>
      <c r="B119" s="95">
        <v>118</v>
      </c>
      <c r="C119" s="96">
        <v>40</v>
      </c>
      <c r="D119" s="97">
        <v>141</v>
      </c>
      <c r="E119" s="98" t="s">
        <v>1133</v>
      </c>
      <c r="F119" s="99">
        <v>29</v>
      </c>
      <c r="G119" s="96" t="s">
        <v>1603</v>
      </c>
      <c r="H119" s="122" t="s">
        <v>1606</v>
      </c>
      <c r="I119" s="95" t="s">
        <v>501</v>
      </c>
      <c r="J119" s="98" t="s">
        <v>502</v>
      </c>
      <c r="K119" s="100" t="s">
        <v>1133</v>
      </c>
      <c r="L119" s="95" t="s">
        <v>899</v>
      </c>
      <c r="M119" s="95">
        <v>3</v>
      </c>
      <c r="N119" s="95" t="s">
        <v>1459</v>
      </c>
      <c r="O119" s="100" t="s">
        <v>1030</v>
      </c>
      <c r="P119" s="95">
        <v>1</v>
      </c>
      <c r="Q119" s="95" t="s">
        <v>295</v>
      </c>
      <c r="R119" s="101" t="s">
        <v>503</v>
      </c>
      <c r="S119" s="102" t="s">
        <v>1134</v>
      </c>
      <c r="T119" s="103"/>
    </row>
    <row r="120" spans="1:20" s="95" customFormat="1" ht="30">
      <c r="A120" s="99">
        <v>119</v>
      </c>
      <c r="B120" s="95">
        <v>119</v>
      </c>
      <c r="C120" s="96">
        <v>40</v>
      </c>
      <c r="D120" s="97">
        <v>186</v>
      </c>
      <c r="E120" s="98" t="s">
        <v>587</v>
      </c>
      <c r="F120" s="99">
        <v>29</v>
      </c>
      <c r="G120" s="96" t="s">
        <v>1603</v>
      </c>
      <c r="H120" s="122" t="s">
        <v>1607</v>
      </c>
      <c r="I120" s="95" t="s">
        <v>501</v>
      </c>
      <c r="J120" s="98" t="s">
        <v>502</v>
      </c>
      <c r="K120" s="100" t="s">
        <v>587</v>
      </c>
      <c r="L120" s="95" t="s">
        <v>861</v>
      </c>
      <c r="M120" s="95">
        <v>4</v>
      </c>
      <c r="N120" s="95" t="s">
        <v>1459</v>
      </c>
      <c r="O120" s="100" t="s">
        <v>1030</v>
      </c>
      <c r="P120" s="95">
        <v>1</v>
      </c>
      <c r="Q120" s="95" t="s">
        <v>295</v>
      </c>
      <c r="R120" s="101" t="s">
        <v>588</v>
      </c>
      <c r="S120" s="102" t="s">
        <v>1135</v>
      </c>
      <c r="T120" s="103"/>
    </row>
    <row r="121" spans="1:20" s="95" customFormat="1" ht="30">
      <c r="A121" s="99">
        <v>120</v>
      </c>
      <c r="B121" s="95">
        <v>120</v>
      </c>
      <c r="C121" s="96">
        <v>41</v>
      </c>
      <c r="D121" s="97">
        <v>26</v>
      </c>
      <c r="E121" s="98" t="s">
        <v>506</v>
      </c>
      <c r="F121" s="99">
        <v>30</v>
      </c>
      <c r="G121" s="96" t="s">
        <v>1608</v>
      </c>
      <c r="H121" s="122" t="s">
        <v>1609</v>
      </c>
      <c r="I121" s="95" t="s">
        <v>501</v>
      </c>
      <c r="J121" s="98" t="s">
        <v>506</v>
      </c>
      <c r="K121" s="100" t="s">
        <v>506</v>
      </c>
      <c r="L121" s="95" t="s">
        <v>895</v>
      </c>
      <c r="M121" s="95">
        <v>1</v>
      </c>
      <c r="N121" s="95" t="s">
        <v>1459</v>
      </c>
      <c r="O121" s="100" t="s">
        <v>1033</v>
      </c>
      <c r="P121" s="95">
        <v>1</v>
      </c>
      <c r="Q121" s="95" t="s">
        <v>340</v>
      </c>
      <c r="R121" s="101" t="s">
        <v>507</v>
      </c>
      <c r="S121" s="102" t="s">
        <v>1136</v>
      </c>
      <c r="T121" s="103"/>
    </row>
    <row r="122" spans="1:20" s="95" customFormat="1" ht="30">
      <c r="A122" s="99">
        <v>121</v>
      </c>
      <c r="B122" s="95">
        <v>121</v>
      </c>
      <c r="C122" s="96">
        <v>41</v>
      </c>
      <c r="D122" s="97">
        <v>81</v>
      </c>
      <c r="E122" s="98" t="s">
        <v>1137</v>
      </c>
      <c r="F122" s="99">
        <v>30</v>
      </c>
      <c r="G122" s="96" t="s">
        <v>1608</v>
      </c>
      <c r="H122" s="122" t="s">
        <v>1610</v>
      </c>
      <c r="I122" s="95" t="s">
        <v>501</v>
      </c>
      <c r="J122" s="98" t="s">
        <v>506</v>
      </c>
      <c r="K122" s="100" t="s">
        <v>1137</v>
      </c>
      <c r="L122" s="95" t="s">
        <v>897</v>
      </c>
      <c r="M122" s="95">
        <v>2</v>
      </c>
      <c r="N122" s="95" t="s">
        <v>1459</v>
      </c>
      <c r="O122" s="100" t="s">
        <v>1033</v>
      </c>
      <c r="P122" s="95">
        <v>1</v>
      </c>
      <c r="Q122" s="95" t="s">
        <v>340</v>
      </c>
      <c r="R122" s="101" t="s">
        <v>507</v>
      </c>
      <c r="S122" s="102" t="s">
        <v>1138</v>
      </c>
      <c r="T122" s="103"/>
    </row>
    <row r="123" spans="1:20" s="95" customFormat="1" ht="30">
      <c r="A123" s="99">
        <v>122</v>
      </c>
      <c r="B123" s="95">
        <v>122</v>
      </c>
      <c r="C123" s="96">
        <v>41</v>
      </c>
      <c r="D123" s="97">
        <v>142</v>
      </c>
      <c r="E123" s="98" t="s">
        <v>1139</v>
      </c>
      <c r="F123" s="99">
        <v>30</v>
      </c>
      <c r="G123" s="96" t="s">
        <v>1608</v>
      </c>
      <c r="H123" s="122" t="s">
        <v>1611</v>
      </c>
      <c r="I123" s="95" t="s">
        <v>501</v>
      </c>
      <c r="J123" s="98" t="s">
        <v>506</v>
      </c>
      <c r="K123" s="100" t="s">
        <v>1139</v>
      </c>
      <c r="L123" s="95" t="s">
        <v>899</v>
      </c>
      <c r="M123" s="95">
        <v>3</v>
      </c>
      <c r="N123" s="95" t="s">
        <v>1459</v>
      </c>
      <c r="O123" s="100" t="s">
        <v>1033</v>
      </c>
      <c r="P123" s="95">
        <v>1</v>
      </c>
      <c r="Q123" s="95" t="s">
        <v>340</v>
      </c>
      <c r="R123" s="101" t="s">
        <v>507</v>
      </c>
      <c r="S123" s="102" t="s">
        <v>1140</v>
      </c>
      <c r="T123" s="103"/>
    </row>
    <row r="124" spans="1:20" s="95" customFormat="1" ht="30">
      <c r="A124" s="99">
        <v>123</v>
      </c>
      <c r="B124" s="95">
        <v>123</v>
      </c>
      <c r="C124" s="96">
        <v>41</v>
      </c>
      <c r="D124" s="97">
        <v>187</v>
      </c>
      <c r="E124" s="98" t="s">
        <v>591</v>
      </c>
      <c r="F124" s="99">
        <v>30</v>
      </c>
      <c r="G124" s="96" t="s">
        <v>1608</v>
      </c>
      <c r="H124" s="122" t="s">
        <v>1612</v>
      </c>
      <c r="I124" s="95" t="s">
        <v>501</v>
      </c>
      <c r="J124" s="98" t="s">
        <v>506</v>
      </c>
      <c r="K124" s="100" t="s">
        <v>591</v>
      </c>
      <c r="L124" s="95" t="s">
        <v>861</v>
      </c>
      <c r="M124" s="95">
        <v>4</v>
      </c>
      <c r="N124" s="95" t="s">
        <v>1459</v>
      </c>
      <c r="O124" s="100" t="s">
        <v>1033</v>
      </c>
      <c r="P124" s="95">
        <v>1</v>
      </c>
      <c r="Q124" s="95" t="s">
        <v>340</v>
      </c>
      <c r="R124" s="101" t="s">
        <v>592</v>
      </c>
      <c r="S124" s="102" t="s">
        <v>1141</v>
      </c>
      <c r="T124" s="103"/>
    </row>
    <row r="125" spans="1:20" s="95" customFormat="1" ht="30">
      <c r="A125" s="99">
        <v>124</v>
      </c>
      <c r="B125" s="95">
        <v>124</v>
      </c>
      <c r="C125" s="96">
        <v>42</v>
      </c>
      <c r="D125" s="97">
        <v>27</v>
      </c>
      <c r="E125" s="98" t="s">
        <v>1142</v>
      </c>
      <c r="F125" s="99">
        <v>31</v>
      </c>
      <c r="G125" s="96" t="s">
        <v>1613</v>
      </c>
      <c r="H125" s="122" t="s">
        <v>1614</v>
      </c>
      <c r="I125" s="95" t="s">
        <v>501</v>
      </c>
      <c r="J125" s="98" t="s">
        <v>1142</v>
      </c>
      <c r="K125" s="100" t="s">
        <v>518</v>
      </c>
      <c r="L125" s="95" t="s">
        <v>895</v>
      </c>
      <c r="M125" s="95">
        <v>1</v>
      </c>
      <c r="N125" s="95" t="s">
        <v>1459</v>
      </c>
      <c r="O125" s="100" t="s">
        <v>1030</v>
      </c>
      <c r="P125" s="95">
        <v>2</v>
      </c>
      <c r="Q125" s="95" t="s">
        <v>295</v>
      </c>
      <c r="R125" s="101" t="s">
        <v>503</v>
      </c>
      <c r="S125" s="102" t="s">
        <v>1143</v>
      </c>
      <c r="T125" s="103"/>
    </row>
    <row r="126" spans="1:20" s="95" customFormat="1" ht="30">
      <c r="A126" s="99">
        <v>125</v>
      </c>
      <c r="B126" s="95">
        <v>126</v>
      </c>
      <c r="C126" s="96">
        <v>42</v>
      </c>
      <c r="D126" s="97">
        <v>82</v>
      </c>
      <c r="E126" s="98" t="s">
        <v>1144</v>
      </c>
      <c r="F126" s="99">
        <v>31</v>
      </c>
      <c r="G126" s="96" t="s">
        <v>1613</v>
      </c>
      <c r="H126" s="122" t="s">
        <v>1616</v>
      </c>
      <c r="I126" s="95" t="s">
        <v>501</v>
      </c>
      <c r="J126" s="98" t="s">
        <v>1142</v>
      </c>
      <c r="K126" s="100" t="s">
        <v>1615</v>
      </c>
      <c r="L126" s="95" t="s">
        <v>897</v>
      </c>
      <c r="M126" s="95">
        <v>2</v>
      </c>
      <c r="N126" s="95" t="s">
        <v>1459</v>
      </c>
      <c r="O126" s="100" t="s">
        <v>1030</v>
      </c>
      <c r="P126" s="95">
        <v>2</v>
      </c>
      <c r="Q126" s="95" t="s">
        <v>295</v>
      </c>
      <c r="R126" s="101" t="s">
        <v>503</v>
      </c>
      <c r="S126" s="102" t="s">
        <v>1145</v>
      </c>
      <c r="T126" s="103"/>
    </row>
    <row r="127" spans="1:20" s="95" customFormat="1" ht="30">
      <c r="A127" s="99">
        <v>126</v>
      </c>
      <c r="B127" s="95">
        <v>128</v>
      </c>
      <c r="C127" s="96">
        <v>42</v>
      </c>
      <c r="D127" s="97">
        <v>143</v>
      </c>
      <c r="E127" s="98" t="s">
        <v>1146</v>
      </c>
      <c r="F127" s="99">
        <v>31</v>
      </c>
      <c r="G127" s="96" t="s">
        <v>1613</v>
      </c>
      <c r="H127" s="122" t="s">
        <v>1618</v>
      </c>
      <c r="I127" s="95" t="s">
        <v>501</v>
      </c>
      <c r="J127" s="98" t="s">
        <v>1142</v>
      </c>
      <c r="K127" s="100" t="s">
        <v>1617</v>
      </c>
      <c r="L127" s="95" t="s">
        <v>899</v>
      </c>
      <c r="M127" s="95">
        <v>3</v>
      </c>
      <c r="N127" s="95" t="s">
        <v>1459</v>
      </c>
      <c r="O127" s="100" t="s">
        <v>1030</v>
      </c>
      <c r="P127" s="95">
        <v>2</v>
      </c>
      <c r="Q127" s="95" t="s">
        <v>295</v>
      </c>
      <c r="R127" s="101" t="s">
        <v>503</v>
      </c>
      <c r="S127" s="102" t="s">
        <v>1147</v>
      </c>
      <c r="T127" s="103"/>
    </row>
    <row r="128" spans="1:20" s="95" customFormat="1" ht="30">
      <c r="A128" s="99">
        <v>127</v>
      </c>
      <c r="B128" s="95">
        <v>130</v>
      </c>
      <c r="C128" s="96">
        <v>42</v>
      </c>
      <c r="D128" s="97">
        <v>188</v>
      </c>
      <c r="E128" s="98" t="s">
        <v>1148</v>
      </c>
      <c r="F128" s="99">
        <v>31</v>
      </c>
      <c r="G128" s="96" t="s">
        <v>1613</v>
      </c>
      <c r="H128" s="122" t="s">
        <v>1620</v>
      </c>
      <c r="I128" s="95" t="s">
        <v>501</v>
      </c>
      <c r="J128" s="98" t="s">
        <v>1142</v>
      </c>
      <c r="K128" s="100" t="s">
        <v>1619</v>
      </c>
      <c r="L128" s="95" t="s">
        <v>861</v>
      </c>
      <c r="M128" s="95">
        <v>4</v>
      </c>
      <c r="N128" s="95" t="s">
        <v>1459</v>
      </c>
      <c r="O128" s="100" t="s">
        <v>1030</v>
      </c>
      <c r="P128" s="95">
        <v>2</v>
      </c>
      <c r="Q128" s="95" t="s">
        <v>295</v>
      </c>
      <c r="R128" s="101" t="s">
        <v>588</v>
      </c>
      <c r="S128" s="102" t="s">
        <v>1149</v>
      </c>
      <c r="T128" s="103"/>
    </row>
    <row r="129" spans="1:20" s="95" customFormat="1" ht="30">
      <c r="A129" s="99">
        <v>128</v>
      </c>
      <c r="B129" s="95">
        <v>125</v>
      </c>
      <c r="C129" s="96">
        <v>43</v>
      </c>
      <c r="D129" s="97">
        <v>27</v>
      </c>
      <c r="E129" s="98" t="s">
        <v>1150</v>
      </c>
      <c r="F129" s="99">
        <v>31</v>
      </c>
      <c r="G129" s="96" t="s">
        <v>1621</v>
      </c>
      <c r="H129" s="122" t="s">
        <v>1614</v>
      </c>
      <c r="I129" s="95" t="s">
        <v>501</v>
      </c>
      <c r="J129" s="98" t="s">
        <v>1150</v>
      </c>
      <c r="K129" s="100" t="s">
        <v>518</v>
      </c>
      <c r="L129" s="95" t="s">
        <v>895</v>
      </c>
      <c r="M129" s="95">
        <v>1</v>
      </c>
      <c r="N129" s="95" t="s">
        <v>1459</v>
      </c>
      <c r="O129" s="100" t="s">
        <v>1033</v>
      </c>
      <c r="P129" s="95">
        <v>2</v>
      </c>
      <c r="Q129" s="95" t="s">
        <v>340</v>
      </c>
      <c r="R129" s="101" t="s">
        <v>507</v>
      </c>
      <c r="S129" s="102" t="s">
        <v>1151</v>
      </c>
      <c r="T129" s="103"/>
    </row>
    <row r="130" spans="1:20" s="95" customFormat="1" ht="30">
      <c r="A130" s="99">
        <v>129</v>
      </c>
      <c r="B130" s="95">
        <v>127</v>
      </c>
      <c r="C130" s="96">
        <v>43</v>
      </c>
      <c r="D130" s="97">
        <v>82</v>
      </c>
      <c r="E130" s="98" t="s">
        <v>1152</v>
      </c>
      <c r="F130" s="99">
        <v>31</v>
      </c>
      <c r="G130" s="96" t="s">
        <v>1621</v>
      </c>
      <c r="H130" s="122" t="s">
        <v>1616</v>
      </c>
      <c r="I130" s="95" t="s">
        <v>501</v>
      </c>
      <c r="J130" s="98" t="s">
        <v>1150</v>
      </c>
      <c r="K130" s="100" t="s">
        <v>1615</v>
      </c>
      <c r="L130" s="95" t="s">
        <v>897</v>
      </c>
      <c r="M130" s="95">
        <v>2</v>
      </c>
      <c r="N130" s="95" t="s">
        <v>1459</v>
      </c>
      <c r="O130" s="100" t="s">
        <v>1033</v>
      </c>
      <c r="P130" s="95">
        <v>2</v>
      </c>
      <c r="Q130" s="95" t="s">
        <v>340</v>
      </c>
      <c r="R130" s="101" t="s">
        <v>507</v>
      </c>
      <c r="S130" s="102" t="s">
        <v>1153</v>
      </c>
      <c r="T130" s="103"/>
    </row>
    <row r="131" spans="1:20" s="95" customFormat="1" ht="30">
      <c r="A131" s="99">
        <v>130</v>
      </c>
      <c r="B131" s="95">
        <v>129</v>
      </c>
      <c r="C131" s="96">
        <v>43</v>
      </c>
      <c r="D131" s="97">
        <v>143</v>
      </c>
      <c r="E131" s="98" t="s">
        <v>1154</v>
      </c>
      <c r="F131" s="99">
        <v>31</v>
      </c>
      <c r="G131" s="96" t="s">
        <v>1621</v>
      </c>
      <c r="H131" s="122" t="s">
        <v>1618</v>
      </c>
      <c r="I131" s="95" t="s">
        <v>501</v>
      </c>
      <c r="J131" s="98" t="s">
        <v>1150</v>
      </c>
      <c r="K131" s="100" t="s">
        <v>1617</v>
      </c>
      <c r="L131" s="95" t="s">
        <v>899</v>
      </c>
      <c r="M131" s="95">
        <v>3</v>
      </c>
      <c r="N131" s="95" t="s">
        <v>1459</v>
      </c>
      <c r="O131" s="100" t="s">
        <v>1033</v>
      </c>
      <c r="P131" s="95">
        <v>2</v>
      </c>
      <c r="Q131" s="95" t="s">
        <v>340</v>
      </c>
      <c r="R131" s="101" t="s">
        <v>507</v>
      </c>
      <c r="S131" s="102" t="s">
        <v>1155</v>
      </c>
      <c r="T131" s="103"/>
    </row>
    <row r="132" spans="1:20" s="95" customFormat="1" ht="30">
      <c r="A132" s="99">
        <v>131</v>
      </c>
      <c r="B132" s="95">
        <v>131</v>
      </c>
      <c r="C132" s="96">
        <v>43</v>
      </c>
      <c r="D132" s="97">
        <v>188</v>
      </c>
      <c r="E132" s="98" t="s">
        <v>1156</v>
      </c>
      <c r="F132" s="99">
        <v>31</v>
      </c>
      <c r="G132" s="96" t="s">
        <v>1621</v>
      </c>
      <c r="H132" s="122" t="s">
        <v>1620</v>
      </c>
      <c r="I132" s="95" t="s">
        <v>501</v>
      </c>
      <c r="J132" s="98" t="s">
        <v>1150</v>
      </c>
      <c r="K132" s="100" t="s">
        <v>1619</v>
      </c>
      <c r="L132" s="95" t="s">
        <v>861</v>
      </c>
      <c r="M132" s="95">
        <v>4</v>
      </c>
      <c r="N132" s="95" t="s">
        <v>1459</v>
      </c>
      <c r="O132" s="100" t="s">
        <v>1033</v>
      </c>
      <c r="P132" s="95">
        <v>2</v>
      </c>
      <c r="Q132" s="95" t="s">
        <v>340</v>
      </c>
      <c r="R132" s="101" t="s">
        <v>592</v>
      </c>
      <c r="S132" s="102" t="s">
        <v>1157</v>
      </c>
      <c r="T132" s="103"/>
    </row>
    <row r="133" spans="1:20" s="95" customFormat="1" ht="30">
      <c r="A133" s="99">
        <v>132</v>
      </c>
      <c r="B133" s="95">
        <v>132</v>
      </c>
      <c r="C133" s="96">
        <v>44</v>
      </c>
      <c r="D133" s="97">
        <v>28</v>
      </c>
      <c r="E133" s="98" t="s">
        <v>1158</v>
      </c>
      <c r="F133" s="99">
        <v>32</v>
      </c>
      <c r="G133" s="96" t="s">
        <v>1622</v>
      </c>
      <c r="H133" s="122" t="s">
        <v>1623</v>
      </c>
      <c r="I133" s="95" t="s">
        <v>501</v>
      </c>
      <c r="J133" s="98" t="s">
        <v>1158</v>
      </c>
      <c r="K133" s="100" t="s">
        <v>501</v>
      </c>
      <c r="L133" s="95" t="s">
        <v>895</v>
      </c>
      <c r="M133" s="95">
        <v>1</v>
      </c>
      <c r="N133" s="95" t="s">
        <v>1459</v>
      </c>
      <c r="O133" s="100" t="s">
        <v>1030</v>
      </c>
      <c r="P133" s="95">
        <v>2</v>
      </c>
      <c r="Q133" s="95" t="s">
        <v>295</v>
      </c>
      <c r="R133" s="101" t="s">
        <v>503</v>
      </c>
      <c r="S133" s="102" t="s">
        <v>1159</v>
      </c>
      <c r="T133" s="103"/>
    </row>
    <row r="134" spans="1:20" s="95" customFormat="1" ht="30">
      <c r="A134" s="99">
        <v>133</v>
      </c>
      <c r="B134" s="95">
        <v>134</v>
      </c>
      <c r="C134" s="96">
        <v>44</v>
      </c>
      <c r="D134" s="97">
        <v>83</v>
      </c>
      <c r="E134" s="98" t="s">
        <v>1160</v>
      </c>
      <c r="F134" s="99">
        <v>32</v>
      </c>
      <c r="G134" s="96" t="s">
        <v>1622</v>
      </c>
      <c r="H134" s="122" t="s">
        <v>1625</v>
      </c>
      <c r="I134" s="95" t="s">
        <v>501</v>
      </c>
      <c r="J134" s="98" t="s">
        <v>1158</v>
      </c>
      <c r="K134" s="100" t="s">
        <v>1624</v>
      </c>
      <c r="L134" s="95" t="s">
        <v>897</v>
      </c>
      <c r="M134" s="95">
        <v>2</v>
      </c>
      <c r="N134" s="95" t="s">
        <v>1459</v>
      </c>
      <c r="O134" s="100" t="s">
        <v>1030</v>
      </c>
      <c r="P134" s="95">
        <v>2</v>
      </c>
      <c r="Q134" s="95" t="s">
        <v>295</v>
      </c>
      <c r="R134" s="101" t="s">
        <v>503</v>
      </c>
      <c r="S134" s="102" t="s">
        <v>1161</v>
      </c>
      <c r="T134" s="103"/>
    </row>
    <row r="135" spans="1:20" s="95" customFormat="1" ht="30">
      <c r="A135" s="99">
        <v>134</v>
      </c>
      <c r="B135" s="95">
        <v>136</v>
      </c>
      <c r="C135" s="96">
        <v>44</v>
      </c>
      <c r="D135" s="97">
        <v>144</v>
      </c>
      <c r="E135" s="98" t="s">
        <v>1162</v>
      </c>
      <c r="F135" s="99">
        <v>32</v>
      </c>
      <c r="G135" s="96" t="s">
        <v>1622</v>
      </c>
      <c r="H135" s="122" t="s">
        <v>1627</v>
      </c>
      <c r="I135" s="95" t="s">
        <v>501</v>
      </c>
      <c r="J135" s="98" t="s">
        <v>1158</v>
      </c>
      <c r="K135" s="100" t="s">
        <v>1626</v>
      </c>
      <c r="L135" s="95" t="s">
        <v>899</v>
      </c>
      <c r="M135" s="95">
        <v>3</v>
      </c>
      <c r="N135" s="95" t="s">
        <v>1459</v>
      </c>
      <c r="O135" s="100" t="s">
        <v>1030</v>
      </c>
      <c r="P135" s="95">
        <v>2</v>
      </c>
      <c r="Q135" s="95" t="s">
        <v>295</v>
      </c>
      <c r="R135" s="101" t="s">
        <v>503</v>
      </c>
      <c r="S135" s="102" t="s">
        <v>1163</v>
      </c>
      <c r="T135" s="103"/>
    </row>
    <row r="136" spans="1:20" s="95" customFormat="1" ht="30">
      <c r="A136" s="99">
        <v>135</v>
      </c>
      <c r="B136" s="95">
        <v>138</v>
      </c>
      <c r="C136" s="96">
        <v>44</v>
      </c>
      <c r="D136" s="97">
        <v>189</v>
      </c>
      <c r="E136" s="98" t="s">
        <v>1164</v>
      </c>
      <c r="F136" s="99">
        <v>32</v>
      </c>
      <c r="G136" s="96" t="s">
        <v>1622</v>
      </c>
      <c r="H136" s="122" t="s">
        <v>1629</v>
      </c>
      <c r="I136" s="95" t="s">
        <v>501</v>
      </c>
      <c r="J136" s="98" t="s">
        <v>1158</v>
      </c>
      <c r="K136" s="100" t="s">
        <v>1628</v>
      </c>
      <c r="L136" s="95" t="s">
        <v>861</v>
      </c>
      <c r="M136" s="95">
        <v>4</v>
      </c>
      <c r="N136" s="95" t="s">
        <v>1459</v>
      </c>
      <c r="O136" s="100" t="s">
        <v>1030</v>
      </c>
      <c r="P136" s="95">
        <v>2</v>
      </c>
      <c r="Q136" s="95" t="s">
        <v>295</v>
      </c>
      <c r="R136" s="101" t="s">
        <v>588</v>
      </c>
      <c r="S136" s="102" t="s">
        <v>1165</v>
      </c>
      <c r="T136" s="103"/>
    </row>
    <row r="137" spans="1:20" s="95" customFormat="1" ht="30">
      <c r="A137" s="99">
        <v>136</v>
      </c>
      <c r="B137" s="95">
        <v>133</v>
      </c>
      <c r="C137" s="96">
        <v>45</v>
      </c>
      <c r="D137" s="97">
        <v>28</v>
      </c>
      <c r="E137" s="98" t="s">
        <v>1158</v>
      </c>
      <c r="F137" s="99">
        <v>32</v>
      </c>
      <c r="G137" s="96" t="s">
        <v>1631</v>
      </c>
      <c r="H137" s="122" t="s">
        <v>1623</v>
      </c>
      <c r="I137" s="95" t="s">
        <v>501</v>
      </c>
      <c r="J137" s="98" t="s">
        <v>1630</v>
      </c>
      <c r="K137" s="100" t="s">
        <v>501</v>
      </c>
      <c r="L137" s="95" t="s">
        <v>895</v>
      </c>
      <c r="M137" s="95">
        <v>1</v>
      </c>
      <c r="N137" s="95" t="s">
        <v>1459</v>
      </c>
      <c r="O137" s="100" t="s">
        <v>1033</v>
      </c>
      <c r="P137" s="95">
        <v>2</v>
      </c>
      <c r="Q137" s="95" t="s">
        <v>340</v>
      </c>
      <c r="R137" s="101" t="s">
        <v>507</v>
      </c>
      <c r="S137" s="102" t="s">
        <v>1166</v>
      </c>
      <c r="T137" s="103"/>
    </row>
    <row r="138" spans="1:20" s="95" customFormat="1" ht="30">
      <c r="A138" s="99">
        <v>137</v>
      </c>
      <c r="B138" s="95">
        <v>135</v>
      </c>
      <c r="C138" s="96">
        <v>45</v>
      </c>
      <c r="D138" s="97">
        <v>83</v>
      </c>
      <c r="E138" s="98" t="s">
        <v>1160</v>
      </c>
      <c r="F138" s="99">
        <v>32</v>
      </c>
      <c r="G138" s="96" t="s">
        <v>1631</v>
      </c>
      <c r="H138" s="122" t="s">
        <v>1625</v>
      </c>
      <c r="I138" s="95" t="s">
        <v>501</v>
      </c>
      <c r="J138" s="98" t="s">
        <v>1630</v>
      </c>
      <c r="K138" s="100" t="s">
        <v>1624</v>
      </c>
      <c r="L138" s="95" t="s">
        <v>897</v>
      </c>
      <c r="M138" s="95">
        <v>2</v>
      </c>
      <c r="N138" s="95" t="s">
        <v>1459</v>
      </c>
      <c r="O138" s="100" t="s">
        <v>1033</v>
      </c>
      <c r="P138" s="95">
        <v>2</v>
      </c>
      <c r="Q138" s="95" t="s">
        <v>340</v>
      </c>
      <c r="R138" s="101" t="s">
        <v>507</v>
      </c>
      <c r="S138" s="102" t="s">
        <v>1167</v>
      </c>
      <c r="T138" s="103"/>
    </row>
    <row r="139" spans="1:20" s="95" customFormat="1" ht="30">
      <c r="A139" s="99">
        <v>138</v>
      </c>
      <c r="B139" s="95">
        <v>137</v>
      </c>
      <c r="C139" s="96">
        <v>45</v>
      </c>
      <c r="D139" s="97">
        <v>144</v>
      </c>
      <c r="E139" s="98" t="s">
        <v>1162</v>
      </c>
      <c r="F139" s="99">
        <v>32</v>
      </c>
      <c r="G139" s="96" t="s">
        <v>1631</v>
      </c>
      <c r="H139" s="122" t="s">
        <v>1627</v>
      </c>
      <c r="I139" s="95" t="s">
        <v>501</v>
      </c>
      <c r="J139" s="98" t="s">
        <v>1630</v>
      </c>
      <c r="K139" s="100" t="s">
        <v>1626</v>
      </c>
      <c r="L139" s="95" t="s">
        <v>899</v>
      </c>
      <c r="M139" s="95">
        <v>3</v>
      </c>
      <c r="N139" s="95" t="s">
        <v>1459</v>
      </c>
      <c r="O139" s="100" t="s">
        <v>1033</v>
      </c>
      <c r="P139" s="95">
        <v>2</v>
      </c>
      <c r="Q139" s="95" t="s">
        <v>340</v>
      </c>
      <c r="R139" s="101" t="s">
        <v>507</v>
      </c>
      <c r="S139" s="102" t="s">
        <v>1168</v>
      </c>
      <c r="T139" s="103"/>
    </row>
    <row r="140" spans="1:20" s="95" customFormat="1" ht="30">
      <c r="A140" s="99">
        <v>139</v>
      </c>
      <c r="B140" s="95">
        <v>139</v>
      </c>
      <c r="C140" s="96">
        <v>45</v>
      </c>
      <c r="D140" s="97">
        <v>189</v>
      </c>
      <c r="E140" s="98" t="s">
        <v>1164</v>
      </c>
      <c r="F140" s="99">
        <v>32</v>
      </c>
      <c r="G140" s="96" t="s">
        <v>1631</v>
      </c>
      <c r="H140" s="122" t="s">
        <v>1629</v>
      </c>
      <c r="I140" s="95" t="s">
        <v>501</v>
      </c>
      <c r="J140" s="98" t="s">
        <v>1630</v>
      </c>
      <c r="K140" s="100" t="s">
        <v>1628</v>
      </c>
      <c r="L140" s="95" t="s">
        <v>861</v>
      </c>
      <c r="M140" s="95">
        <v>4</v>
      </c>
      <c r="N140" s="95" t="s">
        <v>1459</v>
      </c>
      <c r="O140" s="100" t="s">
        <v>1033</v>
      </c>
      <c r="P140" s="95">
        <v>2</v>
      </c>
      <c r="Q140" s="95" t="s">
        <v>340</v>
      </c>
      <c r="R140" s="101" t="s">
        <v>592</v>
      </c>
      <c r="S140" s="102" t="s">
        <v>1169</v>
      </c>
      <c r="T140" s="103"/>
    </row>
    <row r="141" spans="1:20" s="95" customFormat="1" ht="30">
      <c r="A141" s="99">
        <v>140</v>
      </c>
      <c r="B141" s="95">
        <v>140</v>
      </c>
      <c r="C141" s="96">
        <v>46</v>
      </c>
      <c r="D141" s="97">
        <v>29</v>
      </c>
      <c r="E141" s="98" t="s">
        <v>1170</v>
      </c>
      <c r="F141" s="99">
        <v>33</v>
      </c>
      <c r="G141" s="96" t="s">
        <v>1632</v>
      </c>
      <c r="H141" s="122" t="s">
        <v>1633</v>
      </c>
      <c r="I141" s="95" t="s">
        <v>501</v>
      </c>
      <c r="J141" s="98" t="s">
        <v>1170</v>
      </c>
      <c r="K141" s="100" t="s">
        <v>548</v>
      </c>
      <c r="L141" s="95" t="s">
        <v>895</v>
      </c>
      <c r="M141" s="95">
        <v>1</v>
      </c>
      <c r="N141" s="95" t="s">
        <v>1459</v>
      </c>
      <c r="O141" s="100" t="s">
        <v>957</v>
      </c>
      <c r="P141" s="95">
        <v>4</v>
      </c>
      <c r="Q141" s="95" t="s">
        <v>295</v>
      </c>
      <c r="R141" s="101" t="s">
        <v>512</v>
      </c>
      <c r="S141" s="102" t="s">
        <v>1171</v>
      </c>
      <c r="T141" s="103"/>
    </row>
    <row r="142" spans="1:20" s="95" customFormat="1" ht="30">
      <c r="A142" s="99">
        <v>141</v>
      </c>
      <c r="B142" s="95">
        <v>142</v>
      </c>
      <c r="C142" s="96">
        <v>46</v>
      </c>
      <c r="D142" s="97">
        <v>84</v>
      </c>
      <c r="E142" s="98" t="s">
        <v>1172</v>
      </c>
      <c r="F142" s="99">
        <v>33</v>
      </c>
      <c r="G142" s="96" t="s">
        <v>1632</v>
      </c>
      <c r="H142" s="122" t="s">
        <v>1635</v>
      </c>
      <c r="I142" s="95" t="s">
        <v>501</v>
      </c>
      <c r="J142" s="98" t="s">
        <v>1170</v>
      </c>
      <c r="K142" s="100" t="s">
        <v>1634</v>
      </c>
      <c r="L142" s="95" t="s">
        <v>897</v>
      </c>
      <c r="M142" s="95">
        <v>2</v>
      </c>
      <c r="N142" s="95" t="s">
        <v>1459</v>
      </c>
      <c r="O142" s="100" t="s">
        <v>957</v>
      </c>
      <c r="P142" s="95">
        <v>4</v>
      </c>
      <c r="Q142" s="95" t="s">
        <v>295</v>
      </c>
      <c r="R142" s="101" t="s">
        <v>512</v>
      </c>
      <c r="S142" s="102" t="s">
        <v>1173</v>
      </c>
      <c r="T142" s="103"/>
    </row>
    <row r="143" spans="1:20" s="95" customFormat="1" ht="30">
      <c r="A143" s="99">
        <v>142</v>
      </c>
      <c r="B143" s="95">
        <v>144</v>
      </c>
      <c r="C143" s="96">
        <v>46</v>
      </c>
      <c r="D143" s="97">
        <v>145</v>
      </c>
      <c r="E143" s="98" t="s">
        <v>1174</v>
      </c>
      <c r="F143" s="99">
        <v>33</v>
      </c>
      <c r="G143" s="96" t="s">
        <v>1632</v>
      </c>
      <c r="H143" s="122" t="s">
        <v>1637</v>
      </c>
      <c r="I143" s="95" t="s">
        <v>501</v>
      </c>
      <c r="J143" s="98" t="s">
        <v>1170</v>
      </c>
      <c r="K143" s="100" t="s">
        <v>1636</v>
      </c>
      <c r="L143" s="95" t="s">
        <v>899</v>
      </c>
      <c r="M143" s="95">
        <v>3</v>
      </c>
      <c r="N143" s="95" t="s">
        <v>1459</v>
      </c>
      <c r="O143" s="100" t="s">
        <v>957</v>
      </c>
      <c r="P143" s="95">
        <v>4</v>
      </c>
      <c r="Q143" s="95" t="s">
        <v>295</v>
      </c>
      <c r="R143" s="101" t="s">
        <v>512</v>
      </c>
      <c r="S143" s="102" t="s">
        <v>1175</v>
      </c>
      <c r="T143" s="103"/>
    </row>
    <row r="144" spans="1:20" s="95" customFormat="1" ht="30">
      <c r="A144" s="99">
        <v>143</v>
      </c>
      <c r="B144" s="95">
        <v>146</v>
      </c>
      <c r="C144" s="96">
        <v>46</v>
      </c>
      <c r="D144" s="97">
        <v>190</v>
      </c>
      <c r="E144" s="98" t="s">
        <v>1176</v>
      </c>
      <c r="F144" s="99">
        <v>33</v>
      </c>
      <c r="G144" s="96" t="s">
        <v>1632</v>
      </c>
      <c r="H144" s="122" t="s">
        <v>1639</v>
      </c>
      <c r="I144" s="95" t="s">
        <v>501</v>
      </c>
      <c r="J144" s="98" t="s">
        <v>1170</v>
      </c>
      <c r="K144" s="100" t="s">
        <v>1638</v>
      </c>
      <c r="L144" s="95" t="s">
        <v>861</v>
      </c>
      <c r="M144" s="95">
        <v>4</v>
      </c>
      <c r="N144" s="95" t="s">
        <v>1459</v>
      </c>
      <c r="O144" s="100" t="s">
        <v>957</v>
      </c>
      <c r="P144" s="95">
        <v>4</v>
      </c>
      <c r="Q144" s="95" t="s">
        <v>295</v>
      </c>
      <c r="R144" s="101" t="s">
        <v>596</v>
      </c>
      <c r="S144" s="102" t="s">
        <v>1177</v>
      </c>
      <c r="T144" s="103"/>
    </row>
    <row r="145" spans="1:20" s="95" customFormat="1" ht="30">
      <c r="A145" s="99">
        <v>144</v>
      </c>
      <c r="B145" s="95">
        <v>141</v>
      </c>
      <c r="C145" s="96">
        <v>47</v>
      </c>
      <c r="D145" s="97">
        <v>29</v>
      </c>
      <c r="E145" s="98" t="s">
        <v>1178</v>
      </c>
      <c r="F145" s="99">
        <v>33</v>
      </c>
      <c r="G145" s="96" t="s">
        <v>1640</v>
      </c>
      <c r="H145" s="122" t="s">
        <v>1633</v>
      </c>
      <c r="I145" s="95" t="s">
        <v>501</v>
      </c>
      <c r="J145" s="98" t="s">
        <v>1178</v>
      </c>
      <c r="K145" s="100" t="s">
        <v>548</v>
      </c>
      <c r="L145" s="95" t="s">
        <v>895</v>
      </c>
      <c r="M145" s="95">
        <v>1</v>
      </c>
      <c r="N145" s="95" t="s">
        <v>1459</v>
      </c>
      <c r="O145" s="100" t="s">
        <v>964</v>
      </c>
      <c r="P145" s="95">
        <v>4</v>
      </c>
      <c r="Q145" s="95" t="s">
        <v>340</v>
      </c>
      <c r="R145" s="101" t="s">
        <v>512</v>
      </c>
      <c r="S145" s="102" t="s">
        <v>1179</v>
      </c>
      <c r="T145" s="103"/>
    </row>
    <row r="146" spans="1:20" s="95" customFormat="1" ht="30">
      <c r="A146" s="99">
        <v>145</v>
      </c>
      <c r="B146" s="95">
        <v>143</v>
      </c>
      <c r="C146" s="96">
        <v>47</v>
      </c>
      <c r="D146" s="97">
        <v>84</v>
      </c>
      <c r="E146" s="98" t="s">
        <v>1180</v>
      </c>
      <c r="F146" s="99">
        <v>33</v>
      </c>
      <c r="G146" s="96" t="s">
        <v>1640</v>
      </c>
      <c r="H146" s="122" t="s">
        <v>1635</v>
      </c>
      <c r="I146" s="95" t="s">
        <v>501</v>
      </c>
      <c r="J146" s="98" t="s">
        <v>1178</v>
      </c>
      <c r="K146" s="100" t="s">
        <v>1634</v>
      </c>
      <c r="L146" s="95" t="s">
        <v>897</v>
      </c>
      <c r="M146" s="95">
        <v>2</v>
      </c>
      <c r="N146" s="95" t="s">
        <v>1459</v>
      </c>
      <c r="O146" s="100" t="s">
        <v>964</v>
      </c>
      <c r="P146" s="95">
        <v>4</v>
      </c>
      <c r="Q146" s="95" t="s">
        <v>340</v>
      </c>
      <c r="R146" s="101" t="s">
        <v>512</v>
      </c>
      <c r="S146" s="102" t="s">
        <v>1181</v>
      </c>
      <c r="T146" s="103"/>
    </row>
    <row r="147" spans="1:20" s="95" customFormat="1" ht="30">
      <c r="A147" s="99">
        <v>146</v>
      </c>
      <c r="B147" s="95">
        <v>145</v>
      </c>
      <c r="C147" s="96">
        <v>47</v>
      </c>
      <c r="D147" s="97">
        <v>145</v>
      </c>
      <c r="E147" s="98" t="s">
        <v>1182</v>
      </c>
      <c r="F147" s="99">
        <v>33</v>
      </c>
      <c r="G147" s="96" t="s">
        <v>1640</v>
      </c>
      <c r="H147" s="122" t="s">
        <v>1637</v>
      </c>
      <c r="I147" s="95" t="s">
        <v>501</v>
      </c>
      <c r="J147" s="98" t="s">
        <v>1178</v>
      </c>
      <c r="K147" s="100" t="s">
        <v>1636</v>
      </c>
      <c r="L147" s="95" t="s">
        <v>899</v>
      </c>
      <c r="M147" s="95">
        <v>3</v>
      </c>
      <c r="N147" s="95" t="s">
        <v>1459</v>
      </c>
      <c r="O147" s="100" t="s">
        <v>964</v>
      </c>
      <c r="P147" s="95">
        <v>4</v>
      </c>
      <c r="Q147" s="95" t="s">
        <v>340</v>
      </c>
      <c r="R147" s="101" t="s">
        <v>512</v>
      </c>
      <c r="S147" s="102" t="s">
        <v>1183</v>
      </c>
      <c r="T147" s="103"/>
    </row>
    <row r="148" spans="1:20" s="95" customFormat="1" ht="30">
      <c r="A148" s="99">
        <v>147</v>
      </c>
      <c r="B148" s="95">
        <v>147</v>
      </c>
      <c r="C148" s="96">
        <v>47</v>
      </c>
      <c r="D148" s="97">
        <v>190</v>
      </c>
      <c r="E148" s="98" t="s">
        <v>1184</v>
      </c>
      <c r="F148" s="99">
        <v>33</v>
      </c>
      <c r="G148" s="96" t="s">
        <v>1640</v>
      </c>
      <c r="H148" s="122" t="s">
        <v>1639</v>
      </c>
      <c r="I148" s="95" t="s">
        <v>501</v>
      </c>
      <c r="J148" s="98" t="s">
        <v>1178</v>
      </c>
      <c r="K148" s="100" t="s">
        <v>1638</v>
      </c>
      <c r="L148" s="95" t="s">
        <v>861</v>
      </c>
      <c r="M148" s="95">
        <v>4</v>
      </c>
      <c r="N148" s="95" t="s">
        <v>1459</v>
      </c>
      <c r="O148" s="100" t="s">
        <v>964</v>
      </c>
      <c r="P148" s="95">
        <v>4</v>
      </c>
      <c r="Q148" s="95" t="s">
        <v>340</v>
      </c>
      <c r="R148" s="101" t="s">
        <v>596</v>
      </c>
      <c r="S148" s="102" t="s">
        <v>1185</v>
      </c>
      <c r="T148" s="103"/>
    </row>
    <row r="149" spans="1:20" s="95" customFormat="1" ht="30">
      <c r="A149" s="99">
        <v>148</v>
      </c>
      <c r="B149" s="95">
        <v>148</v>
      </c>
      <c r="C149" s="96">
        <v>48</v>
      </c>
      <c r="D149" s="97">
        <v>30</v>
      </c>
      <c r="E149" s="98" t="s">
        <v>1186</v>
      </c>
      <c r="F149" s="99">
        <v>34</v>
      </c>
      <c r="G149" s="96" t="s">
        <v>1641</v>
      </c>
      <c r="H149" s="122" t="s">
        <v>1642</v>
      </c>
      <c r="I149" s="95" t="s">
        <v>501</v>
      </c>
      <c r="J149" s="98" t="s">
        <v>1186</v>
      </c>
      <c r="K149" s="100" t="s">
        <v>531</v>
      </c>
      <c r="L149" s="95" t="s">
        <v>895</v>
      </c>
      <c r="M149" s="95">
        <v>1</v>
      </c>
      <c r="N149" s="95" t="s">
        <v>1459</v>
      </c>
      <c r="O149" s="100" t="s">
        <v>957</v>
      </c>
      <c r="P149" s="95">
        <v>3</v>
      </c>
      <c r="Q149" s="95" t="s">
        <v>295</v>
      </c>
      <c r="R149" s="101" t="s">
        <v>512</v>
      </c>
      <c r="S149" s="102" t="s">
        <v>1187</v>
      </c>
      <c r="T149" s="103"/>
    </row>
    <row r="150" spans="1:20" s="95" customFormat="1" ht="30">
      <c r="A150" s="99">
        <v>149</v>
      </c>
      <c r="B150" s="95">
        <v>150</v>
      </c>
      <c r="C150" s="96">
        <v>48</v>
      </c>
      <c r="D150" s="97">
        <v>85</v>
      </c>
      <c r="E150" s="98" t="s">
        <v>1188</v>
      </c>
      <c r="F150" s="99">
        <v>34</v>
      </c>
      <c r="G150" s="96" t="s">
        <v>1641</v>
      </c>
      <c r="H150" s="122" t="s">
        <v>1644</v>
      </c>
      <c r="I150" s="95" t="s">
        <v>501</v>
      </c>
      <c r="J150" s="98" t="s">
        <v>1186</v>
      </c>
      <c r="K150" s="100" t="s">
        <v>1643</v>
      </c>
      <c r="L150" s="95" t="s">
        <v>897</v>
      </c>
      <c r="M150" s="95">
        <v>2</v>
      </c>
      <c r="N150" s="95" t="s">
        <v>1459</v>
      </c>
      <c r="O150" s="100" t="s">
        <v>957</v>
      </c>
      <c r="P150" s="95">
        <v>3</v>
      </c>
      <c r="Q150" s="95" t="s">
        <v>295</v>
      </c>
      <c r="R150" s="101" t="s">
        <v>512</v>
      </c>
      <c r="S150" s="102" t="s">
        <v>1189</v>
      </c>
      <c r="T150" s="103"/>
    </row>
    <row r="151" spans="1:20" s="95" customFormat="1" ht="30">
      <c r="A151" s="99">
        <v>150</v>
      </c>
      <c r="B151" s="95">
        <v>152</v>
      </c>
      <c r="C151" s="96">
        <v>48</v>
      </c>
      <c r="D151" s="97">
        <v>146</v>
      </c>
      <c r="E151" s="98" t="s">
        <v>1190</v>
      </c>
      <c r="F151" s="99">
        <v>34</v>
      </c>
      <c r="G151" s="96" t="s">
        <v>1641</v>
      </c>
      <c r="H151" s="122" t="s">
        <v>1646</v>
      </c>
      <c r="I151" s="95" t="s">
        <v>501</v>
      </c>
      <c r="J151" s="98" t="s">
        <v>1186</v>
      </c>
      <c r="K151" s="100" t="s">
        <v>1645</v>
      </c>
      <c r="L151" s="95" t="s">
        <v>899</v>
      </c>
      <c r="M151" s="95">
        <v>3</v>
      </c>
      <c r="N151" s="95" t="s">
        <v>1459</v>
      </c>
      <c r="O151" s="100" t="s">
        <v>957</v>
      </c>
      <c r="P151" s="95">
        <v>3</v>
      </c>
      <c r="Q151" s="95" t="s">
        <v>295</v>
      </c>
      <c r="R151" s="101" t="s">
        <v>512</v>
      </c>
      <c r="S151" s="102" t="s">
        <v>1191</v>
      </c>
      <c r="T151" s="103"/>
    </row>
    <row r="152" spans="1:20" s="95" customFormat="1" ht="30">
      <c r="A152" s="99">
        <v>151</v>
      </c>
      <c r="B152" s="95">
        <v>154</v>
      </c>
      <c r="C152" s="96">
        <v>48</v>
      </c>
      <c r="D152" s="97">
        <v>191</v>
      </c>
      <c r="E152" s="98" t="s">
        <v>1192</v>
      </c>
      <c r="F152" s="99">
        <v>34</v>
      </c>
      <c r="G152" s="96" t="s">
        <v>1641</v>
      </c>
      <c r="H152" s="122" t="s">
        <v>1648</v>
      </c>
      <c r="I152" s="95" t="s">
        <v>501</v>
      </c>
      <c r="J152" s="98" t="s">
        <v>1186</v>
      </c>
      <c r="K152" s="100" t="s">
        <v>1647</v>
      </c>
      <c r="L152" s="95" t="s">
        <v>861</v>
      </c>
      <c r="M152" s="95">
        <v>4</v>
      </c>
      <c r="N152" s="95" t="s">
        <v>1459</v>
      </c>
      <c r="O152" s="100" t="s">
        <v>957</v>
      </c>
      <c r="P152" s="95">
        <v>3</v>
      </c>
      <c r="Q152" s="95" t="s">
        <v>295</v>
      </c>
      <c r="R152" s="101" t="s">
        <v>596</v>
      </c>
      <c r="S152" s="102" t="s">
        <v>1193</v>
      </c>
      <c r="T152" s="103"/>
    </row>
    <row r="153" spans="1:20" s="95" customFormat="1" ht="30">
      <c r="A153" s="99">
        <v>152</v>
      </c>
      <c r="B153" s="95">
        <v>149</v>
      </c>
      <c r="C153" s="96">
        <v>49</v>
      </c>
      <c r="D153" s="97">
        <v>30</v>
      </c>
      <c r="E153" s="98" t="s">
        <v>1194</v>
      </c>
      <c r="F153" s="99">
        <v>34</v>
      </c>
      <c r="G153" s="96" t="s">
        <v>1649</v>
      </c>
      <c r="H153" s="122" t="s">
        <v>1642</v>
      </c>
      <c r="I153" s="95" t="s">
        <v>501</v>
      </c>
      <c r="J153" s="98" t="s">
        <v>1194</v>
      </c>
      <c r="K153" s="100" t="s">
        <v>531</v>
      </c>
      <c r="L153" s="95" t="s">
        <v>895</v>
      </c>
      <c r="M153" s="95">
        <v>1</v>
      </c>
      <c r="N153" s="95" t="s">
        <v>1459</v>
      </c>
      <c r="O153" s="100" t="s">
        <v>964</v>
      </c>
      <c r="P153" s="95">
        <v>3</v>
      </c>
      <c r="Q153" s="95" t="s">
        <v>340</v>
      </c>
      <c r="R153" s="101" t="s">
        <v>507</v>
      </c>
      <c r="S153" s="102" t="s">
        <v>1195</v>
      </c>
      <c r="T153" s="103"/>
    </row>
    <row r="154" spans="1:20" s="95" customFormat="1" ht="30">
      <c r="A154" s="99">
        <v>153</v>
      </c>
      <c r="B154" s="95">
        <v>151</v>
      </c>
      <c r="C154" s="96">
        <v>49</v>
      </c>
      <c r="D154" s="97">
        <v>85</v>
      </c>
      <c r="E154" s="98" t="s">
        <v>1196</v>
      </c>
      <c r="F154" s="99">
        <v>34</v>
      </c>
      <c r="G154" s="96" t="s">
        <v>1649</v>
      </c>
      <c r="H154" s="122" t="s">
        <v>1644</v>
      </c>
      <c r="I154" s="95" t="s">
        <v>501</v>
      </c>
      <c r="J154" s="98" t="s">
        <v>1194</v>
      </c>
      <c r="K154" s="100" t="s">
        <v>1643</v>
      </c>
      <c r="L154" s="95" t="s">
        <v>897</v>
      </c>
      <c r="M154" s="95">
        <v>2</v>
      </c>
      <c r="N154" s="95" t="s">
        <v>1459</v>
      </c>
      <c r="O154" s="100" t="s">
        <v>964</v>
      </c>
      <c r="P154" s="95">
        <v>3</v>
      </c>
      <c r="Q154" s="95" t="s">
        <v>340</v>
      </c>
      <c r="R154" s="101" t="s">
        <v>507</v>
      </c>
      <c r="S154" s="102" t="s">
        <v>1197</v>
      </c>
      <c r="T154" s="103"/>
    </row>
    <row r="155" spans="1:20" s="95" customFormat="1" ht="30">
      <c r="A155" s="99">
        <v>154</v>
      </c>
      <c r="B155" s="95">
        <v>153</v>
      </c>
      <c r="C155" s="96">
        <v>49</v>
      </c>
      <c r="D155" s="97">
        <v>146</v>
      </c>
      <c r="E155" s="98" t="s">
        <v>1198</v>
      </c>
      <c r="F155" s="99">
        <v>34</v>
      </c>
      <c r="G155" s="96" t="s">
        <v>1649</v>
      </c>
      <c r="H155" s="122" t="s">
        <v>1646</v>
      </c>
      <c r="I155" s="95" t="s">
        <v>501</v>
      </c>
      <c r="J155" s="98" t="s">
        <v>1194</v>
      </c>
      <c r="K155" s="100" t="s">
        <v>1645</v>
      </c>
      <c r="L155" s="95" t="s">
        <v>899</v>
      </c>
      <c r="M155" s="95">
        <v>3</v>
      </c>
      <c r="N155" s="95" t="s">
        <v>1459</v>
      </c>
      <c r="O155" s="100" t="s">
        <v>964</v>
      </c>
      <c r="P155" s="95">
        <v>3</v>
      </c>
      <c r="Q155" s="95" t="s">
        <v>340</v>
      </c>
      <c r="R155" s="101" t="s">
        <v>507</v>
      </c>
      <c r="S155" s="102" t="s">
        <v>1199</v>
      </c>
      <c r="T155" s="103"/>
    </row>
    <row r="156" spans="1:20" s="95" customFormat="1" ht="30">
      <c r="A156" s="99">
        <v>155</v>
      </c>
      <c r="B156" s="95">
        <v>155</v>
      </c>
      <c r="C156" s="96">
        <v>49</v>
      </c>
      <c r="D156" s="97">
        <v>191</v>
      </c>
      <c r="E156" s="98" t="s">
        <v>1200</v>
      </c>
      <c r="F156" s="99">
        <v>34</v>
      </c>
      <c r="G156" s="96" t="s">
        <v>1649</v>
      </c>
      <c r="H156" s="122" t="s">
        <v>1648</v>
      </c>
      <c r="I156" s="95" t="s">
        <v>501</v>
      </c>
      <c r="J156" s="98" t="s">
        <v>1194</v>
      </c>
      <c r="K156" s="100" t="s">
        <v>1647</v>
      </c>
      <c r="L156" s="95" t="s">
        <v>861</v>
      </c>
      <c r="M156" s="95">
        <v>4</v>
      </c>
      <c r="N156" s="95" t="s">
        <v>1459</v>
      </c>
      <c r="O156" s="100" t="s">
        <v>964</v>
      </c>
      <c r="P156" s="95">
        <v>3</v>
      </c>
      <c r="Q156" s="95" t="s">
        <v>340</v>
      </c>
      <c r="R156" s="101" t="s">
        <v>592</v>
      </c>
      <c r="S156" s="102" t="s">
        <v>1201</v>
      </c>
      <c r="T156" s="103"/>
    </row>
    <row r="157" spans="1:20" s="95" customFormat="1" ht="30">
      <c r="A157" s="99">
        <v>156</v>
      </c>
      <c r="B157" s="95">
        <v>156</v>
      </c>
      <c r="C157" s="96">
        <v>50</v>
      </c>
      <c r="D157" s="97">
        <v>31</v>
      </c>
      <c r="E157" s="98" t="s">
        <v>651</v>
      </c>
      <c r="F157" s="99">
        <v>35</v>
      </c>
      <c r="G157" s="96" t="s">
        <v>1650</v>
      </c>
      <c r="H157" s="122" t="s">
        <v>1651</v>
      </c>
      <c r="I157" s="95" t="s">
        <v>634</v>
      </c>
      <c r="J157" s="98" t="s">
        <v>651</v>
      </c>
      <c r="K157" s="100" t="s">
        <v>651</v>
      </c>
      <c r="L157" s="95" t="s">
        <v>895</v>
      </c>
      <c r="M157" s="95">
        <v>1</v>
      </c>
      <c r="N157" s="95" t="s">
        <v>1459</v>
      </c>
      <c r="O157" s="100" t="s">
        <v>957</v>
      </c>
      <c r="P157" s="95">
        <v>4</v>
      </c>
      <c r="Q157" s="95" t="s">
        <v>295</v>
      </c>
      <c r="R157" s="101" t="s">
        <v>644</v>
      </c>
      <c r="S157" s="102" t="s">
        <v>1202</v>
      </c>
      <c r="T157" s="103"/>
    </row>
    <row r="158" spans="1:20" s="95" customFormat="1" ht="30">
      <c r="A158" s="99">
        <v>157</v>
      </c>
      <c r="B158" s="95">
        <v>157</v>
      </c>
      <c r="C158" s="96">
        <v>50</v>
      </c>
      <c r="D158" s="97">
        <v>86</v>
      </c>
      <c r="E158" s="98" t="s">
        <v>1203</v>
      </c>
      <c r="F158" s="99">
        <v>35</v>
      </c>
      <c r="G158" s="96" t="s">
        <v>1650</v>
      </c>
      <c r="H158" s="122" t="s">
        <v>1652</v>
      </c>
      <c r="I158" s="95" t="s">
        <v>634</v>
      </c>
      <c r="J158" s="98" t="s">
        <v>651</v>
      </c>
      <c r="K158" s="100" t="s">
        <v>1203</v>
      </c>
      <c r="L158" s="95" t="s">
        <v>897</v>
      </c>
      <c r="M158" s="95">
        <v>2</v>
      </c>
      <c r="N158" s="95" t="s">
        <v>1459</v>
      </c>
      <c r="O158" s="100" t="s">
        <v>957</v>
      </c>
      <c r="P158" s="95">
        <v>4</v>
      </c>
      <c r="Q158" s="95" t="s">
        <v>295</v>
      </c>
      <c r="R158" s="101" t="s">
        <v>644</v>
      </c>
      <c r="S158" s="102" t="s">
        <v>1204</v>
      </c>
      <c r="T158" s="103"/>
    </row>
    <row r="159" spans="1:20" s="95" customFormat="1" ht="30">
      <c r="A159" s="99">
        <v>158</v>
      </c>
      <c r="B159" s="95">
        <v>158</v>
      </c>
      <c r="C159" s="96">
        <v>50</v>
      </c>
      <c r="D159" s="97">
        <v>147</v>
      </c>
      <c r="E159" s="98" t="s">
        <v>1205</v>
      </c>
      <c r="F159" s="99">
        <v>35</v>
      </c>
      <c r="G159" s="96" t="s">
        <v>1650</v>
      </c>
      <c r="H159" s="122" t="s">
        <v>1653</v>
      </c>
      <c r="I159" s="95" t="s">
        <v>634</v>
      </c>
      <c r="J159" s="98" t="s">
        <v>651</v>
      </c>
      <c r="K159" s="100" t="s">
        <v>1205</v>
      </c>
      <c r="L159" s="95" t="s">
        <v>899</v>
      </c>
      <c r="M159" s="95">
        <v>3</v>
      </c>
      <c r="N159" s="95" t="s">
        <v>1459</v>
      </c>
      <c r="O159" s="100" t="s">
        <v>957</v>
      </c>
      <c r="P159" s="95">
        <v>4</v>
      </c>
      <c r="Q159" s="95" t="s">
        <v>295</v>
      </c>
      <c r="R159" s="101" t="s">
        <v>644</v>
      </c>
      <c r="S159" s="102" t="s">
        <v>1206</v>
      </c>
      <c r="T159" s="103"/>
    </row>
    <row r="160" spans="1:20" s="95" customFormat="1" ht="30">
      <c r="A160" s="99">
        <v>159</v>
      </c>
      <c r="B160" s="95">
        <v>159</v>
      </c>
      <c r="C160" s="96">
        <v>51</v>
      </c>
      <c r="D160" s="97">
        <v>32</v>
      </c>
      <c r="E160" s="98" t="s">
        <v>643</v>
      </c>
      <c r="F160" s="99">
        <v>36</v>
      </c>
      <c r="G160" s="96" t="s">
        <v>1654</v>
      </c>
      <c r="H160" s="122" t="s">
        <v>1655</v>
      </c>
      <c r="I160" s="95" t="s">
        <v>634</v>
      </c>
      <c r="J160" s="98" t="s">
        <v>643</v>
      </c>
      <c r="K160" s="100" t="s">
        <v>643</v>
      </c>
      <c r="L160" s="95" t="s">
        <v>895</v>
      </c>
      <c r="M160" s="95">
        <v>1</v>
      </c>
      <c r="N160" s="95" t="s">
        <v>1459</v>
      </c>
      <c r="O160" s="100" t="s">
        <v>957</v>
      </c>
      <c r="P160" s="95">
        <v>3</v>
      </c>
      <c r="Q160" s="95" t="s">
        <v>295</v>
      </c>
      <c r="R160" s="101" t="s">
        <v>644</v>
      </c>
      <c r="S160" s="102" t="s">
        <v>1207</v>
      </c>
      <c r="T160" s="103"/>
    </row>
    <row r="161" spans="1:20" s="95" customFormat="1" ht="30">
      <c r="A161" s="99">
        <v>160</v>
      </c>
      <c r="B161" s="95">
        <v>160</v>
      </c>
      <c r="C161" s="96">
        <v>51</v>
      </c>
      <c r="D161" s="97">
        <v>87</v>
      </c>
      <c r="E161" s="98" t="s">
        <v>1208</v>
      </c>
      <c r="F161" s="99">
        <v>36</v>
      </c>
      <c r="G161" s="96" t="s">
        <v>1654</v>
      </c>
      <c r="H161" s="122" t="s">
        <v>1656</v>
      </c>
      <c r="I161" s="95" t="s">
        <v>634</v>
      </c>
      <c r="J161" s="98" t="s">
        <v>643</v>
      </c>
      <c r="K161" s="100" t="s">
        <v>1208</v>
      </c>
      <c r="L161" s="95" t="s">
        <v>897</v>
      </c>
      <c r="M161" s="95">
        <v>2</v>
      </c>
      <c r="N161" s="95" t="s">
        <v>1459</v>
      </c>
      <c r="O161" s="100" t="s">
        <v>957</v>
      </c>
      <c r="P161" s="95">
        <v>3</v>
      </c>
      <c r="Q161" s="95" t="s">
        <v>295</v>
      </c>
      <c r="R161" s="101" t="s">
        <v>644</v>
      </c>
      <c r="S161" s="102" t="s">
        <v>1209</v>
      </c>
      <c r="T161" s="103"/>
    </row>
    <row r="162" spans="1:20" s="95" customFormat="1" ht="30">
      <c r="A162" s="99">
        <v>161</v>
      </c>
      <c r="B162" s="95">
        <v>161</v>
      </c>
      <c r="C162" s="96">
        <v>51</v>
      </c>
      <c r="D162" s="97">
        <v>148</v>
      </c>
      <c r="E162" s="98" t="s">
        <v>1210</v>
      </c>
      <c r="F162" s="99">
        <v>36</v>
      </c>
      <c r="G162" s="96" t="s">
        <v>1654</v>
      </c>
      <c r="H162" s="122" t="s">
        <v>1657</v>
      </c>
      <c r="I162" s="95" t="s">
        <v>634</v>
      </c>
      <c r="J162" s="98" t="s">
        <v>643</v>
      </c>
      <c r="K162" s="100" t="s">
        <v>1210</v>
      </c>
      <c r="L162" s="95" t="s">
        <v>899</v>
      </c>
      <c r="M162" s="95">
        <v>3</v>
      </c>
      <c r="N162" s="95" t="s">
        <v>1459</v>
      </c>
      <c r="O162" s="100" t="s">
        <v>957</v>
      </c>
      <c r="P162" s="95">
        <v>3</v>
      </c>
      <c r="Q162" s="95" t="s">
        <v>295</v>
      </c>
      <c r="R162" s="101" t="s">
        <v>644</v>
      </c>
      <c r="S162" s="102" t="s">
        <v>1211</v>
      </c>
      <c r="T162" s="103"/>
    </row>
    <row r="163" spans="1:20" s="95" customFormat="1" ht="30">
      <c r="A163" s="99">
        <v>162</v>
      </c>
      <c r="B163" s="95">
        <v>162</v>
      </c>
      <c r="C163" s="96">
        <v>52</v>
      </c>
      <c r="D163" s="97">
        <v>33</v>
      </c>
      <c r="E163" s="98" t="s">
        <v>639</v>
      </c>
      <c r="F163" s="99">
        <v>37</v>
      </c>
      <c r="G163" s="96" t="s">
        <v>1658</v>
      </c>
      <c r="H163" s="122" t="s">
        <v>1659</v>
      </c>
      <c r="I163" s="95" t="s">
        <v>634</v>
      </c>
      <c r="J163" s="98" t="s">
        <v>639</v>
      </c>
      <c r="K163" s="100" t="s">
        <v>639</v>
      </c>
      <c r="L163" s="95" t="s">
        <v>895</v>
      </c>
      <c r="M163" s="95">
        <v>1</v>
      </c>
      <c r="N163" s="95" t="s">
        <v>1459</v>
      </c>
      <c r="O163" s="100" t="s">
        <v>1030</v>
      </c>
      <c r="P163" s="95">
        <v>2</v>
      </c>
      <c r="Q163" s="95" t="s">
        <v>295</v>
      </c>
      <c r="R163" s="101" t="s">
        <v>640</v>
      </c>
      <c r="S163" s="102" t="s">
        <v>1212</v>
      </c>
      <c r="T163" s="103"/>
    </row>
    <row r="164" spans="1:20" s="95" customFormat="1" ht="30">
      <c r="A164" s="99">
        <v>163</v>
      </c>
      <c r="B164" s="95">
        <v>163</v>
      </c>
      <c r="C164" s="96">
        <v>52</v>
      </c>
      <c r="D164" s="97">
        <v>88</v>
      </c>
      <c r="E164" s="98" t="s">
        <v>1213</v>
      </c>
      <c r="F164" s="99">
        <v>37</v>
      </c>
      <c r="G164" s="96" t="s">
        <v>1658</v>
      </c>
      <c r="H164" s="122" t="s">
        <v>1660</v>
      </c>
      <c r="I164" s="95" t="s">
        <v>634</v>
      </c>
      <c r="J164" s="98" t="s">
        <v>639</v>
      </c>
      <c r="K164" s="100" t="s">
        <v>1213</v>
      </c>
      <c r="L164" s="95" t="s">
        <v>897</v>
      </c>
      <c r="M164" s="95">
        <v>2</v>
      </c>
      <c r="N164" s="95" t="s">
        <v>1459</v>
      </c>
      <c r="O164" s="100" t="s">
        <v>1030</v>
      </c>
      <c r="P164" s="95">
        <v>2</v>
      </c>
      <c r="Q164" s="95" t="s">
        <v>295</v>
      </c>
      <c r="R164" s="101" t="s">
        <v>640</v>
      </c>
      <c r="S164" s="102" t="s">
        <v>1214</v>
      </c>
      <c r="T164" s="103"/>
    </row>
    <row r="165" spans="1:20" s="95" customFormat="1" ht="30">
      <c r="A165" s="99">
        <v>164</v>
      </c>
      <c r="B165" s="95">
        <v>164</v>
      </c>
      <c r="C165" s="96">
        <v>52</v>
      </c>
      <c r="D165" s="97">
        <v>149</v>
      </c>
      <c r="E165" s="98" t="s">
        <v>634</v>
      </c>
      <c r="F165" s="99">
        <v>37</v>
      </c>
      <c r="G165" s="96" t="s">
        <v>1658</v>
      </c>
      <c r="H165" s="122" t="s">
        <v>1661</v>
      </c>
      <c r="I165" s="95" t="s">
        <v>634</v>
      </c>
      <c r="J165" s="98" t="s">
        <v>639</v>
      </c>
      <c r="K165" s="100" t="s">
        <v>634</v>
      </c>
      <c r="L165" s="95" t="s">
        <v>899</v>
      </c>
      <c r="M165" s="95">
        <v>3</v>
      </c>
      <c r="N165" s="95" t="s">
        <v>1459</v>
      </c>
      <c r="O165" s="100" t="s">
        <v>1030</v>
      </c>
      <c r="P165" s="95">
        <v>2</v>
      </c>
      <c r="Q165" s="95" t="s">
        <v>295</v>
      </c>
      <c r="R165" s="101" t="s">
        <v>640</v>
      </c>
      <c r="S165" s="102" t="s">
        <v>1215</v>
      </c>
      <c r="T165" s="103"/>
    </row>
    <row r="166" spans="1:20" s="95" customFormat="1" ht="30">
      <c r="A166" s="99">
        <v>165</v>
      </c>
      <c r="B166" s="95">
        <v>165</v>
      </c>
      <c r="C166" s="96">
        <v>53</v>
      </c>
      <c r="D166" s="97">
        <v>34</v>
      </c>
      <c r="E166" s="98" t="s">
        <v>635</v>
      </c>
      <c r="F166" s="99">
        <v>38</v>
      </c>
      <c r="G166" s="96" t="s">
        <v>1662</v>
      </c>
      <c r="H166" s="122" t="s">
        <v>1663</v>
      </c>
      <c r="I166" s="95" t="s">
        <v>634</v>
      </c>
      <c r="J166" s="98" t="s">
        <v>635</v>
      </c>
      <c r="K166" s="100" t="s">
        <v>635</v>
      </c>
      <c r="L166" s="95" t="s">
        <v>895</v>
      </c>
      <c r="M166" s="95">
        <v>1</v>
      </c>
      <c r="N166" s="95" t="s">
        <v>1459</v>
      </c>
      <c r="O166" s="100" t="s">
        <v>1030</v>
      </c>
      <c r="P166" s="95">
        <v>1</v>
      </c>
      <c r="Q166" s="95" t="s">
        <v>295</v>
      </c>
      <c r="R166" s="101" t="s">
        <v>655</v>
      </c>
      <c r="S166" s="102" t="s">
        <v>1216</v>
      </c>
      <c r="T166" s="103"/>
    </row>
    <row r="167" spans="1:20" s="95" customFormat="1" ht="30">
      <c r="A167" s="99">
        <v>166</v>
      </c>
      <c r="B167" s="95">
        <v>166</v>
      </c>
      <c r="C167" s="96">
        <v>53</v>
      </c>
      <c r="D167" s="97">
        <v>89</v>
      </c>
      <c r="E167" s="98" t="s">
        <v>1217</v>
      </c>
      <c r="F167" s="99">
        <v>38</v>
      </c>
      <c r="G167" s="96" t="s">
        <v>1662</v>
      </c>
      <c r="H167" s="122" t="s">
        <v>1664</v>
      </c>
      <c r="I167" s="95" t="s">
        <v>634</v>
      </c>
      <c r="J167" s="98" t="s">
        <v>635</v>
      </c>
      <c r="K167" s="100" t="s">
        <v>1217</v>
      </c>
      <c r="L167" s="95" t="s">
        <v>897</v>
      </c>
      <c r="M167" s="95">
        <v>2</v>
      </c>
      <c r="N167" s="95" t="s">
        <v>1459</v>
      </c>
      <c r="O167" s="100" t="s">
        <v>1030</v>
      </c>
      <c r="P167" s="95">
        <v>1</v>
      </c>
      <c r="Q167" s="95" t="s">
        <v>295</v>
      </c>
      <c r="R167" s="101" t="s">
        <v>655</v>
      </c>
      <c r="S167" s="102" t="s">
        <v>1218</v>
      </c>
      <c r="T167" s="103"/>
    </row>
    <row r="168" spans="1:20" s="95" customFormat="1" ht="30">
      <c r="A168" s="99">
        <v>167</v>
      </c>
      <c r="B168" s="95">
        <v>167</v>
      </c>
      <c r="C168" s="96">
        <v>53</v>
      </c>
      <c r="D168" s="97">
        <v>150</v>
      </c>
      <c r="E168" s="98" t="s">
        <v>1219</v>
      </c>
      <c r="F168" s="99">
        <v>38</v>
      </c>
      <c r="G168" s="96" t="s">
        <v>1662</v>
      </c>
      <c r="H168" s="122" t="s">
        <v>1665</v>
      </c>
      <c r="I168" s="95" t="s">
        <v>634</v>
      </c>
      <c r="J168" s="98" t="s">
        <v>635</v>
      </c>
      <c r="K168" s="100" t="s">
        <v>1219</v>
      </c>
      <c r="L168" s="95" t="s">
        <v>899</v>
      </c>
      <c r="M168" s="95">
        <v>3</v>
      </c>
      <c r="N168" s="95" t="s">
        <v>1459</v>
      </c>
      <c r="O168" s="100" t="s">
        <v>1030</v>
      </c>
      <c r="P168" s="95">
        <v>1</v>
      </c>
      <c r="Q168" s="95" t="s">
        <v>295</v>
      </c>
      <c r="R168" s="101" t="s">
        <v>655</v>
      </c>
      <c r="S168" s="102" t="s">
        <v>1220</v>
      </c>
      <c r="T168" s="103"/>
    </row>
    <row r="169" spans="1:20" s="95" customFormat="1" ht="30">
      <c r="A169" s="99">
        <v>168</v>
      </c>
      <c r="B169" s="95">
        <v>168</v>
      </c>
      <c r="C169" s="96">
        <v>54</v>
      </c>
      <c r="D169" s="97">
        <v>35</v>
      </c>
      <c r="E169" s="98" t="s">
        <v>654</v>
      </c>
      <c r="F169" s="99">
        <v>39</v>
      </c>
      <c r="G169" s="96" t="s">
        <v>1666</v>
      </c>
      <c r="H169" s="122" t="s">
        <v>1667</v>
      </c>
      <c r="I169" s="95" t="s">
        <v>653</v>
      </c>
      <c r="J169" s="98" t="s">
        <v>654</v>
      </c>
      <c r="K169" s="100" t="s">
        <v>654</v>
      </c>
      <c r="L169" s="95" t="s">
        <v>895</v>
      </c>
      <c r="M169" s="95">
        <v>1</v>
      </c>
      <c r="N169" s="95" t="s">
        <v>1459</v>
      </c>
      <c r="O169" s="100" t="s">
        <v>1030</v>
      </c>
      <c r="P169" s="95">
        <v>1</v>
      </c>
      <c r="Q169" s="95" t="s">
        <v>295</v>
      </c>
      <c r="R169" s="101" t="s">
        <v>655</v>
      </c>
      <c r="S169" s="102" t="s">
        <v>1221</v>
      </c>
      <c r="T169" s="103"/>
    </row>
    <row r="170" spans="1:20" s="95" customFormat="1" ht="30">
      <c r="A170" s="99">
        <v>169</v>
      </c>
      <c r="B170" s="95">
        <v>169</v>
      </c>
      <c r="C170" s="96">
        <v>54</v>
      </c>
      <c r="D170" s="97">
        <v>90</v>
      </c>
      <c r="E170" s="98" t="s">
        <v>1222</v>
      </c>
      <c r="F170" s="99">
        <v>39</v>
      </c>
      <c r="G170" s="96" t="s">
        <v>1666</v>
      </c>
      <c r="H170" s="122" t="s">
        <v>1668</v>
      </c>
      <c r="I170" s="95" t="s">
        <v>653</v>
      </c>
      <c r="J170" s="98" t="s">
        <v>654</v>
      </c>
      <c r="K170" s="100" t="s">
        <v>1222</v>
      </c>
      <c r="L170" s="95" t="s">
        <v>897</v>
      </c>
      <c r="M170" s="95">
        <v>2</v>
      </c>
      <c r="N170" s="95" t="s">
        <v>1459</v>
      </c>
      <c r="O170" s="100" t="s">
        <v>1030</v>
      </c>
      <c r="P170" s="95">
        <v>1</v>
      </c>
      <c r="Q170" s="95" t="s">
        <v>295</v>
      </c>
      <c r="R170" s="101" t="s">
        <v>655</v>
      </c>
      <c r="S170" s="102" t="s">
        <v>1223</v>
      </c>
      <c r="T170" s="103"/>
    </row>
    <row r="171" spans="1:20" s="95" customFormat="1" ht="30">
      <c r="A171" s="99">
        <v>170</v>
      </c>
      <c r="B171" s="95">
        <v>170</v>
      </c>
      <c r="C171" s="96">
        <v>54</v>
      </c>
      <c r="D171" s="97">
        <v>151</v>
      </c>
      <c r="E171" s="98" t="s">
        <v>1224</v>
      </c>
      <c r="F171" s="99">
        <v>39</v>
      </c>
      <c r="G171" s="96" t="s">
        <v>1666</v>
      </c>
      <c r="H171" s="122" t="s">
        <v>1669</v>
      </c>
      <c r="I171" s="95" t="s">
        <v>653</v>
      </c>
      <c r="J171" s="98" t="s">
        <v>654</v>
      </c>
      <c r="K171" s="100" t="s">
        <v>1224</v>
      </c>
      <c r="L171" s="95" t="s">
        <v>899</v>
      </c>
      <c r="M171" s="95">
        <v>3</v>
      </c>
      <c r="N171" s="95" t="s">
        <v>1459</v>
      </c>
      <c r="O171" s="100" t="s">
        <v>1030</v>
      </c>
      <c r="P171" s="95">
        <v>1</v>
      </c>
      <c r="Q171" s="95" t="s">
        <v>295</v>
      </c>
      <c r="R171" s="101" t="s">
        <v>655</v>
      </c>
      <c r="S171" s="102" t="s">
        <v>1225</v>
      </c>
      <c r="T171" s="103"/>
    </row>
    <row r="172" spans="1:20" s="95" customFormat="1" ht="30">
      <c r="A172" s="99">
        <v>171</v>
      </c>
      <c r="B172" s="95">
        <v>171</v>
      </c>
      <c r="C172" s="96">
        <v>55</v>
      </c>
      <c r="D172" s="97">
        <v>36</v>
      </c>
      <c r="E172" s="98" t="s">
        <v>1226</v>
      </c>
      <c r="F172" s="99">
        <v>40</v>
      </c>
      <c r="G172" s="96" t="s">
        <v>1670</v>
      </c>
      <c r="H172" s="122" t="s">
        <v>1671</v>
      </c>
      <c r="I172" s="95" t="s">
        <v>653</v>
      </c>
      <c r="J172" s="98" t="s">
        <v>1226</v>
      </c>
      <c r="K172" s="100" t="s">
        <v>658</v>
      </c>
      <c r="L172" s="95" t="s">
        <v>895</v>
      </c>
      <c r="M172" s="95">
        <v>1</v>
      </c>
      <c r="N172" s="95" t="s">
        <v>1459</v>
      </c>
      <c r="O172" s="100" t="s">
        <v>1033</v>
      </c>
      <c r="P172" s="95">
        <v>1</v>
      </c>
      <c r="Q172" s="95" t="s">
        <v>295</v>
      </c>
      <c r="R172" s="101" t="s">
        <v>655</v>
      </c>
      <c r="S172" s="102" t="s">
        <v>1227</v>
      </c>
      <c r="T172" s="103"/>
    </row>
    <row r="173" spans="1:20" s="95" customFormat="1" ht="30">
      <c r="A173" s="99">
        <v>172</v>
      </c>
      <c r="B173" s="95">
        <v>174</v>
      </c>
      <c r="C173" s="96">
        <v>55</v>
      </c>
      <c r="D173" s="97">
        <v>91</v>
      </c>
      <c r="E173" s="98" t="s">
        <v>1228</v>
      </c>
      <c r="F173" s="99">
        <v>40</v>
      </c>
      <c r="G173" s="96" t="s">
        <v>1670</v>
      </c>
      <c r="H173" s="122" t="s">
        <v>1672</v>
      </c>
      <c r="I173" s="95" t="s">
        <v>653</v>
      </c>
      <c r="J173" s="98" t="s">
        <v>1226</v>
      </c>
      <c r="K173" s="100" t="s">
        <v>653</v>
      </c>
      <c r="L173" s="95" t="s">
        <v>897</v>
      </c>
      <c r="M173" s="95">
        <v>2</v>
      </c>
      <c r="N173" s="95" t="s">
        <v>1459</v>
      </c>
      <c r="O173" s="100" t="s">
        <v>1033</v>
      </c>
      <c r="P173" s="95">
        <v>1</v>
      </c>
      <c r="Q173" s="95" t="s">
        <v>295</v>
      </c>
      <c r="R173" s="101" t="s">
        <v>655</v>
      </c>
      <c r="S173" s="102" t="s">
        <v>1229</v>
      </c>
      <c r="T173" s="103"/>
    </row>
    <row r="174" spans="1:20" s="95" customFormat="1" ht="30">
      <c r="A174" s="99">
        <v>173</v>
      </c>
      <c r="B174" s="95">
        <v>177</v>
      </c>
      <c r="C174" s="96">
        <v>55</v>
      </c>
      <c r="D174" s="97">
        <v>152</v>
      </c>
      <c r="E174" s="98" t="s">
        <v>1230</v>
      </c>
      <c r="F174" s="99">
        <v>40</v>
      </c>
      <c r="G174" s="96" t="s">
        <v>1670</v>
      </c>
      <c r="H174" s="122" t="s">
        <v>1674</v>
      </c>
      <c r="I174" s="95" t="s">
        <v>653</v>
      </c>
      <c r="J174" s="98" t="s">
        <v>1226</v>
      </c>
      <c r="K174" s="100" t="s">
        <v>1673</v>
      </c>
      <c r="L174" s="95" t="s">
        <v>899</v>
      </c>
      <c r="M174" s="95">
        <v>3</v>
      </c>
      <c r="N174" s="95" t="s">
        <v>1459</v>
      </c>
      <c r="O174" s="100" t="s">
        <v>1033</v>
      </c>
      <c r="P174" s="95">
        <v>1</v>
      </c>
      <c r="Q174" s="95" t="s">
        <v>295</v>
      </c>
      <c r="R174" s="101" t="s">
        <v>655</v>
      </c>
      <c r="S174" s="102" t="s">
        <v>1231</v>
      </c>
      <c r="T174" s="103"/>
    </row>
    <row r="175" spans="1:20" s="95" customFormat="1" ht="30">
      <c r="A175" s="99">
        <v>174</v>
      </c>
      <c r="B175" s="95">
        <v>172</v>
      </c>
      <c r="C175" s="96">
        <v>56</v>
      </c>
      <c r="D175" s="97">
        <v>36</v>
      </c>
      <c r="E175" s="98" t="s">
        <v>1232</v>
      </c>
      <c r="F175" s="99">
        <v>40</v>
      </c>
      <c r="G175" s="96" t="s">
        <v>1675</v>
      </c>
      <c r="H175" s="122" t="s">
        <v>1671</v>
      </c>
      <c r="I175" s="95" t="s">
        <v>653</v>
      </c>
      <c r="J175" s="98" t="s">
        <v>1232</v>
      </c>
      <c r="K175" s="100" t="s">
        <v>658</v>
      </c>
      <c r="L175" s="95" t="s">
        <v>895</v>
      </c>
      <c r="M175" s="95">
        <v>1</v>
      </c>
      <c r="N175" s="95" t="s">
        <v>1459</v>
      </c>
      <c r="O175" s="100" t="s">
        <v>957</v>
      </c>
      <c r="P175" s="95">
        <v>3</v>
      </c>
      <c r="Q175" s="95" t="s">
        <v>295</v>
      </c>
      <c r="R175" s="101" t="s">
        <v>678</v>
      </c>
      <c r="S175" s="102" t="s">
        <v>1233</v>
      </c>
      <c r="T175" s="103"/>
    </row>
    <row r="176" spans="1:20" s="95" customFormat="1" ht="30">
      <c r="A176" s="99">
        <v>175</v>
      </c>
      <c r="B176" s="95">
        <v>175</v>
      </c>
      <c r="C176" s="96">
        <v>56</v>
      </c>
      <c r="D176" s="97">
        <v>91</v>
      </c>
      <c r="E176" s="98" t="s">
        <v>1234</v>
      </c>
      <c r="F176" s="99">
        <v>40</v>
      </c>
      <c r="G176" s="96" t="s">
        <v>1675</v>
      </c>
      <c r="H176" s="122" t="s">
        <v>1672</v>
      </c>
      <c r="I176" s="95" t="s">
        <v>653</v>
      </c>
      <c r="J176" s="98" t="s">
        <v>1232</v>
      </c>
      <c r="K176" s="100" t="s">
        <v>653</v>
      </c>
      <c r="L176" s="95" t="s">
        <v>897</v>
      </c>
      <c r="M176" s="95">
        <v>2</v>
      </c>
      <c r="N176" s="95" t="s">
        <v>1459</v>
      </c>
      <c r="O176" s="100" t="s">
        <v>957</v>
      </c>
      <c r="P176" s="95">
        <v>3</v>
      </c>
      <c r="Q176" s="95" t="s">
        <v>295</v>
      </c>
      <c r="R176" s="101" t="s">
        <v>678</v>
      </c>
      <c r="S176" s="102"/>
      <c r="T176" s="103"/>
    </row>
    <row r="177" spans="1:20" s="95" customFormat="1" ht="30">
      <c r="A177" s="99">
        <v>176</v>
      </c>
      <c r="B177" s="95">
        <v>178</v>
      </c>
      <c r="C177" s="96">
        <v>56</v>
      </c>
      <c r="D177" s="97">
        <v>152</v>
      </c>
      <c r="E177" s="98" t="s">
        <v>1235</v>
      </c>
      <c r="F177" s="99">
        <v>40</v>
      </c>
      <c r="G177" s="96" t="s">
        <v>1675</v>
      </c>
      <c r="H177" s="122" t="s">
        <v>1674</v>
      </c>
      <c r="I177" s="95" t="s">
        <v>653</v>
      </c>
      <c r="J177" s="98" t="s">
        <v>1232</v>
      </c>
      <c r="K177" s="100" t="s">
        <v>1673</v>
      </c>
      <c r="L177" s="95" t="s">
        <v>899</v>
      </c>
      <c r="M177" s="95">
        <v>3</v>
      </c>
      <c r="N177" s="95" t="s">
        <v>1459</v>
      </c>
      <c r="O177" s="100" t="s">
        <v>957</v>
      </c>
      <c r="P177" s="95">
        <v>3</v>
      </c>
      <c r="Q177" s="95" t="s">
        <v>295</v>
      </c>
      <c r="R177" s="101" t="s">
        <v>678</v>
      </c>
      <c r="S177" s="102"/>
      <c r="T177" s="103"/>
    </row>
    <row r="178" spans="1:20" s="95" customFormat="1" ht="30">
      <c r="A178" s="99">
        <v>177</v>
      </c>
      <c r="B178" s="95">
        <v>173</v>
      </c>
      <c r="C178" s="96">
        <v>57</v>
      </c>
      <c r="D178" s="97">
        <v>36</v>
      </c>
      <c r="E178" s="98" t="s">
        <v>1236</v>
      </c>
      <c r="F178" s="99">
        <v>40</v>
      </c>
      <c r="G178" s="96" t="s">
        <v>1676</v>
      </c>
      <c r="H178" s="122" t="s">
        <v>1671</v>
      </c>
      <c r="I178" s="95" t="s">
        <v>653</v>
      </c>
      <c r="J178" s="98" t="s">
        <v>1236</v>
      </c>
      <c r="K178" s="100" t="s">
        <v>658</v>
      </c>
      <c r="L178" s="95" t="s">
        <v>895</v>
      </c>
      <c r="M178" s="95">
        <v>1</v>
      </c>
      <c r="N178" s="95" t="s">
        <v>1459</v>
      </c>
      <c r="O178" s="100" t="s">
        <v>964</v>
      </c>
      <c r="P178" s="95">
        <v>3</v>
      </c>
      <c r="Q178" s="95" t="s">
        <v>340</v>
      </c>
      <c r="R178" s="101" t="s">
        <v>678</v>
      </c>
      <c r="S178" s="102" t="s">
        <v>1237</v>
      </c>
      <c r="T178" s="103"/>
    </row>
    <row r="179" spans="1:20" s="95" customFormat="1" ht="30">
      <c r="A179" s="99">
        <v>178</v>
      </c>
      <c r="B179" s="95">
        <v>176</v>
      </c>
      <c r="C179" s="96">
        <v>57</v>
      </c>
      <c r="D179" s="97">
        <v>91</v>
      </c>
      <c r="E179" s="98" t="s">
        <v>1238</v>
      </c>
      <c r="F179" s="99">
        <v>40</v>
      </c>
      <c r="G179" s="96" t="s">
        <v>1676</v>
      </c>
      <c r="H179" s="122" t="s">
        <v>1672</v>
      </c>
      <c r="I179" s="95" t="s">
        <v>653</v>
      </c>
      <c r="J179" s="98" t="s">
        <v>1236</v>
      </c>
      <c r="K179" s="100" t="s">
        <v>653</v>
      </c>
      <c r="L179" s="95" t="s">
        <v>897</v>
      </c>
      <c r="M179" s="95">
        <v>2</v>
      </c>
      <c r="N179" s="95" t="s">
        <v>1459</v>
      </c>
      <c r="O179" s="100" t="s">
        <v>964</v>
      </c>
      <c r="P179" s="95">
        <v>3</v>
      </c>
      <c r="Q179" s="95" t="s">
        <v>340</v>
      </c>
      <c r="R179" s="101" t="s">
        <v>678</v>
      </c>
      <c r="S179" s="102"/>
      <c r="T179" s="103"/>
    </row>
    <row r="180" spans="1:20" s="95" customFormat="1" ht="30">
      <c r="A180" s="99">
        <v>179</v>
      </c>
      <c r="B180" s="95">
        <v>179</v>
      </c>
      <c r="C180" s="96">
        <v>57</v>
      </c>
      <c r="D180" s="97">
        <v>152</v>
      </c>
      <c r="E180" s="98" t="s">
        <v>1239</v>
      </c>
      <c r="F180" s="99">
        <v>40</v>
      </c>
      <c r="G180" s="96" t="s">
        <v>1676</v>
      </c>
      <c r="H180" s="122" t="s">
        <v>1674</v>
      </c>
      <c r="I180" s="95" t="s">
        <v>653</v>
      </c>
      <c r="J180" s="98" t="s">
        <v>1236</v>
      </c>
      <c r="K180" s="100" t="s">
        <v>1673</v>
      </c>
      <c r="L180" s="95" t="s">
        <v>899</v>
      </c>
      <c r="M180" s="95">
        <v>3</v>
      </c>
      <c r="N180" s="95" t="s">
        <v>1459</v>
      </c>
      <c r="O180" s="100" t="s">
        <v>964</v>
      </c>
      <c r="P180" s="95">
        <v>3</v>
      </c>
      <c r="Q180" s="95" t="s">
        <v>340</v>
      </c>
      <c r="R180" s="101" t="s">
        <v>678</v>
      </c>
      <c r="S180" s="102"/>
      <c r="T180" s="103"/>
    </row>
    <row r="181" spans="1:20" s="95" customFormat="1" ht="30">
      <c r="A181" s="99">
        <v>180</v>
      </c>
      <c r="B181" s="95">
        <v>180</v>
      </c>
      <c r="C181" s="96">
        <v>58</v>
      </c>
      <c r="D181" s="97">
        <v>37</v>
      </c>
      <c r="E181" s="98" t="s">
        <v>1240</v>
      </c>
      <c r="F181" s="99">
        <v>41</v>
      </c>
      <c r="G181" s="96" t="s">
        <v>1677</v>
      </c>
      <c r="H181" s="122" t="s">
        <v>1678</v>
      </c>
      <c r="I181" s="95" t="s">
        <v>668</v>
      </c>
      <c r="J181" s="98" t="s">
        <v>1240</v>
      </c>
      <c r="K181" s="100" t="s">
        <v>669</v>
      </c>
      <c r="L181" s="95" t="s">
        <v>895</v>
      </c>
      <c r="M181" s="95">
        <v>1</v>
      </c>
      <c r="N181" s="95" t="s">
        <v>1459</v>
      </c>
      <c r="O181" s="100" t="s">
        <v>1030</v>
      </c>
      <c r="P181" s="95">
        <v>2</v>
      </c>
      <c r="Q181" s="95" t="s">
        <v>295</v>
      </c>
      <c r="R181" s="101" t="s">
        <v>671</v>
      </c>
      <c r="S181" s="102" t="s">
        <v>1241</v>
      </c>
      <c r="T181" s="103"/>
    </row>
    <row r="182" spans="1:20" s="95" customFormat="1" ht="30">
      <c r="A182" s="99">
        <v>181</v>
      </c>
      <c r="B182" s="95">
        <v>183</v>
      </c>
      <c r="C182" s="96">
        <v>58</v>
      </c>
      <c r="D182" s="97">
        <v>92</v>
      </c>
      <c r="E182" s="98" t="s">
        <v>1242</v>
      </c>
      <c r="F182" s="99">
        <v>41</v>
      </c>
      <c r="G182" s="96" t="s">
        <v>1677</v>
      </c>
      <c r="H182" s="122" t="s">
        <v>1680</v>
      </c>
      <c r="I182" s="95" t="s">
        <v>668</v>
      </c>
      <c r="J182" s="98" t="s">
        <v>1240</v>
      </c>
      <c r="K182" s="100" t="s">
        <v>1679</v>
      </c>
      <c r="L182" s="95" t="s">
        <v>897</v>
      </c>
      <c r="M182" s="95">
        <v>2</v>
      </c>
      <c r="N182" s="95" t="s">
        <v>1459</v>
      </c>
      <c r="O182" s="100" t="s">
        <v>1030</v>
      </c>
      <c r="P182" s="95">
        <v>2</v>
      </c>
      <c r="Q182" s="95" t="s">
        <v>295</v>
      </c>
      <c r="R182" s="101" t="s">
        <v>671</v>
      </c>
      <c r="S182" s="102" t="s">
        <v>1243</v>
      </c>
      <c r="T182" s="103"/>
    </row>
    <row r="183" spans="1:20" s="95" customFormat="1" ht="30">
      <c r="A183" s="99">
        <v>182</v>
      </c>
      <c r="B183" s="95">
        <v>186</v>
      </c>
      <c r="C183" s="96">
        <v>58</v>
      </c>
      <c r="D183" s="97">
        <v>153</v>
      </c>
      <c r="E183" s="98" t="s">
        <v>1244</v>
      </c>
      <c r="F183" s="99">
        <v>41</v>
      </c>
      <c r="G183" s="96" t="s">
        <v>1677</v>
      </c>
      <c r="H183" s="122" t="s">
        <v>1682</v>
      </c>
      <c r="I183" s="95" t="s">
        <v>668</v>
      </c>
      <c r="J183" s="98" t="s">
        <v>1240</v>
      </c>
      <c r="K183" s="100" t="s">
        <v>1681</v>
      </c>
      <c r="L183" s="95" t="s">
        <v>899</v>
      </c>
      <c r="M183" s="95">
        <v>3</v>
      </c>
      <c r="N183" s="95" t="s">
        <v>1459</v>
      </c>
      <c r="O183" s="100" t="s">
        <v>1030</v>
      </c>
      <c r="P183" s="95">
        <v>2</v>
      </c>
      <c r="Q183" s="95" t="s">
        <v>295</v>
      </c>
      <c r="R183" s="101" t="s">
        <v>671</v>
      </c>
      <c r="S183" s="102" t="s">
        <v>1245</v>
      </c>
      <c r="T183" s="103"/>
    </row>
    <row r="184" spans="1:20" s="95" customFormat="1" ht="30">
      <c r="A184" s="99">
        <v>183</v>
      </c>
      <c r="B184" s="95">
        <v>181</v>
      </c>
      <c r="C184" s="96">
        <v>59</v>
      </c>
      <c r="D184" s="97">
        <v>37</v>
      </c>
      <c r="E184" s="98" t="s">
        <v>1246</v>
      </c>
      <c r="F184" s="99">
        <v>41</v>
      </c>
      <c r="G184" s="96" t="s">
        <v>1683</v>
      </c>
      <c r="H184" s="122" t="s">
        <v>1678</v>
      </c>
      <c r="I184" s="95" t="s">
        <v>668</v>
      </c>
      <c r="J184" s="98" t="s">
        <v>1246</v>
      </c>
      <c r="K184" s="100" t="s">
        <v>669</v>
      </c>
      <c r="L184" s="95" t="s">
        <v>895</v>
      </c>
      <c r="M184" s="95">
        <v>1</v>
      </c>
      <c r="N184" s="95" t="s">
        <v>1459</v>
      </c>
      <c r="O184" s="100" t="s">
        <v>1033</v>
      </c>
      <c r="P184" s="95">
        <v>2</v>
      </c>
      <c r="Q184" s="95" t="s">
        <v>340</v>
      </c>
      <c r="R184" s="101" t="s">
        <v>425</v>
      </c>
      <c r="S184" s="102" t="s">
        <v>1247</v>
      </c>
      <c r="T184" s="103"/>
    </row>
    <row r="185" spans="1:20" s="95" customFormat="1" ht="30">
      <c r="A185" s="99">
        <v>184</v>
      </c>
      <c r="B185" s="95">
        <v>184</v>
      </c>
      <c r="C185" s="96">
        <v>59</v>
      </c>
      <c r="D185" s="97">
        <v>92</v>
      </c>
      <c r="E185" s="98" t="s">
        <v>1248</v>
      </c>
      <c r="F185" s="99">
        <v>41</v>
      </c>
      <c r="G185" s="96" t="s">
        <v>1683</v>
      </c>
      <c r="H185" s="122" t="s">
        <v>1680</v>
      </c>
      <c r="I185" s="95" t="s">
        <v>668</v>
      </c>
      <c r="J185" s="98" t="s">
        <v>1246</v>
      </c>
      <c r="K185" s="100" t="s">
        <v>1679</v>
      </c>
      <c r="L185" s="95" t="s">
        <v>897</v>
      </c>
      <c r="M185" s="95">
        <v>2</v>
      </c>
      <c r="N185" s="95" t="s">
        <v>1459</v>
      </c>
      <c r="O185" s="100" t="s">
        <v>1033</v>
      </c>
      <c r="P185" s="95">
        <v>2</v>
      </c>
      <c r="Q185" s="95" t="s">
        <v>340</v>
      </c>
      <c r="R185" s="101" t="s">
        <v>425</v>
      </c>
      <c r="S185" s="102" t="s">
        <v>1249</v>
      </c>
      <c r="T185" s="103"/>
    </row>
    <row r="186" spans="1:20" s="95" customFormat="1" ht="30">
      <c r="A186" s="99">
        <v>185</v>
      </c>
      <c r="B186" s="95">
        <v>187</v>
      </c>
      <c r="C186" s="96">
        <v>59</v>
      </c>
      <c r="D186" s="97">
        <v>153</v>
      </c>
      <c r="E186" s="98" t="s">
        <v>1250</v>
      </c>
      <c r="F186" s="99">
        <v>41</v>
      </c>
      <c r="G186" s="96" t="s">
        <v>1683</v>
      </c>
      <c r="H186" s="122" t="s">
        <v>1682</v>
      </c>
      <c r="I186" s="95" t="s">
        <v>668</v>
      </c>
      <c r="J186" s="98" t="s">
        <v>1246</v>
      </c>
      <c r="K186" s="100" t="s">
        <v>1681</v>
      </c>
      <c r="L186" s="95" t="s">
        <v>899</v>
      </c>
      <c r="M186" s="95">
        <v>3</v>
      </c>
      <c r="N186" s="95" t="s">
        <v>1459</v>
      </c>
      <c r="O186" s="100" t="s">
        <v>1033</v>
      </c>
      <c r="P186" s="95">
        <v>2</v>
      </c>
      <c r="Q186" s="95" t="s">
        <v>340</v>
      </c>
      <c r="R186" s="101" t="s">
        <v>425</v>
      </c>
      <c r="S186" s="102" t="s">
        <v>1251</v>
      </c>
      <c r="T186" s="103"/>
    </row>
    <row r="187" spans="1:20" s="95" customFormat="1" ht="30">
      <c r="A187" s="99">
        <v>186</v>
      </c>
      <c r="B187" s="95">
        <v>182</v>
      </c>
      <c r="C187" s="96">
        <v>60</v>
      </c>
      <c r="D187" s="97">
        <v>37</v>
      </c>
      <c r="E187" s="98" t="s">
        <v>1252</v>
      </c>
      <c r="F187" s="99">
        <v>41</v>
      </c>
      <c r="G187" s="96" t="s">
        <v>1684</v>
      </c>
      <c r="H187" s="122" t="s">
        <v>1678</v>
      </c>
      <c r="I187" s="95" t="s">
        <v>668</v>
      </c>
      <c r="J187" s="98" t="s">
        <v>1252</v>
      </c>
      <c r="K187" s="100" t="s">
        <v>669</v>
      </c>
      <c r="L187" s="95" t="s">
        <v>895</v>
      </c>
      <c r="M187" s="95">
        <v>1</v>
      </c>
      <c r="N187" s="95" t="s">
        <v>1459</v>
      </c>
      <c r="O187" s="100" t="s">
        <v>957</v>
      </c>
      <c r="P187" s="95">
        <v>3</v>
      </c>
      <c r="Q187" s="95" t="s">
        <v>295</v>
      </c>
      <c r="R187" s="101" t="s">
        <v>678</v>
      </c>
      <c r="S187" s="102" t="s">
        <v>1253</v>
      </c>
      <c r="T187" s="103"/>
    </row>
    <row r="188" spans="1:20" s="95" customFormat="1" ht="30">
      <c r="A188" s="99">
        <v>187</v>
      </c>
      <c r="B188" s="95">
        <v>185</v>
      </c>
      <c r="C188" s="96">
        <v>60</v>
      </c>
      <c r="D188" s="97">
        <v>92</v>
      </c>
      <c r="E188" s="98" t="s">
        <v>1254</v>
      </c>
      <c r="F188" s="99">
        <v>41</v>
      </c>
      <c r="G188" s="96" t="s">
        <v>1684</v>
      </c>
      <c r="H188" s="122" t="s">
        <v>1680</v>
      </c>
      <c r="I188" s="95" t="s">
        <v>668</v>
      </c>
      <c r="J188" s="98" t="s">
        <v>1252</v>
      </c>
      <c r="K188" s="100" t="s">
        <v>1679</v>
      </c>
      <c r="L188" s="95" t="s">
        <v>897</v>
      </c>
      <c r="M188" s="95">
        <v>2</v>
      </c>
      <c r="N188" s="95" t="s">
        <v>1459</v>
      </c>
      <c r="O188" s="100" t="s">
        <v>957</v>
      </c>
      <c r="P188" s="95">
        <v>3</v>
      </c>
      <c r="Q188" s="95" t="s">
        <v>295</v>
      </c>
      <c r="R188" s="101" t="s">
        <v>678</v>
      </c>
      <c r="S188" s="102" t="s">
        <v>1255</v>
      </c>
      <c r="T188" s="103"/>
    </row>
    <row r="189" spans="1:20" s="95" customFormat="1" ht="30">
      <c r="A189" s="99">
        <v>188</v>
      </c>
      <c r="B189" s="95">
        <v>188</v>
      </c>
      <c r="C189" s="96">
        <v>60</v>
      </c>
      <c r="D189" s="97">
        <v>153</v>
      </c>
      <c r="E189" s="98" t="s">
        <v>1256</v>
      </c>
      <c r="F189" s="99">
        <v>41</v>
      </c>
      <c r="G189" s="96" t="s">
        <v>1684</v>
      </c>
      <c r="H189" s="122" t="s">
        <v>1682</v>
      </c>
      <c r="I189" s="95" t="s">
        <v>668</v>
      </c>
      <c r="J189" s="98" t="s">
        <v>1252</v>
      </c>
      <c r="K189" s="100" t="s">
        <v>1681</v>
      </c>
      <c r="L189" s="95" t="s">
        <v>899</v>
      </c>
      <c r="M189" s="95">
        <v>3</v>
      </c>
      <c r="N189" s="95" t="s">
        <v>1459</v>
      </c>
      <c r="O189" s="100" t="s">
        <v>957</v>
      </c>
      <c r="P189" s="95">
        <v>3</v>
      </c>
      <c r="Q189" s="95" t="s">
        <v>295</v>
      </c>
      <c r="R189" s="101" t="s">
        <v>678</v>
      </c>
      <c r="S189" s="102" t="s">
        <v>1257</v>
      </c>
      <c r="T189" s="103"/>
    </row>
    <row r="190" spans="1:20" s="95" customFormat="1" ht="30">
      <c r="A190" s="99">
        <v>189</v>
      </c>
      <c r="B190" s="95">
        <v>189</v>
      </c>
      <c r="C190" s="96">
        <v>61</v>
      </c>
      <c r="D190" s="97">
        <v>38</v>
      </c>
      <c r="E190" s="98" t="s">
        <v>1258</v>
      </c>
      <c r="F190" s="99">
        <v>42</v>
      </c>
      <c r="G190" s="96" t="s">
        <v>1685</v>
      </c>
      <c r="H190" s="122" t="s">
        <v>1686</v>
      </c>
      <c r="I190" s="95" t="s">
        <v>681</v>
      </c>
      <c r="J190" s="98" t="s">
        <v>1258</v>
      </c>
      <c r="K190" s="100" t="s">
        <v>689</v>
      </c>
      <c r="L190" s="95" t="s">
        <v>895</v>
      </c>
      <c r="M190" s="95">
        <v>1</v>
      </c>
      <c r="N190" s="95" t="s">
        <v>1459</v>
      </c>
      <c r="O190" s="100" t="s">
        <v>957</v>
      </c>
      <c r="P190" s="95">
        <v>3</v>
      </c>
      <c r="Q190" s="95" t="s">
        <v>295</v>
      </c>
      <c r="R190" s="101" t="s">
        <v>302</v>
      </c>
      <c r="S190" s="102" t="s">
        <v>1259</v>
      </c>
      <c r="T190" s="103"/>
    </row>
    <row r="191" spans="1:20" s="95" customFormat="1" ht="30">
      <c r="A191" s="99">
        <v>190</v>
      </c>
      <c r="B191" s="95">
        <v>191</v>
      </c>
      <c r="C191" s="96">
        <v>61</v>
      </c>
      <c r="D191" s="97">
        <v>93</v>
      </c>
      <c r="E191" s="98" t="s">
        <v>1260</v>
      </c>
      <c r="F191" s="99">
        <v>42</v>
      </c>
      <c r="G191" s="96" t="s">
        <v>1685</v>
      </c>
      <c r="H191" s="122" t="s">
        <v>1688</v>
      </c>
      <c r="I191" s="95" t="s">
        <v>681</v>
      </c>
      <c r="J191" s="98" t="s">
        <v>1258</v>
      </c>
      <c r="K191" s="100" t="s">
        <v>1687</v>
      </c>
      <c r="L191" s="95" t="s">
        <v>897</v>
      </c>
      <c r="M191" s="95">
        <v>2</v>
      </c>
      <c r="N191" s="95" t="s">
        <v>1459</v>
      </c>
      <c r="O191" s="100" t="s">
        <v>957</v>
      </c>
      <c r="P191" s="95">
        <v>3</v>
      </c>
      <c r="Q191" s="95" t="s">
        <v>295</v>
      </c>
      <c r="R191" s="101" t="s">
        <v>302</v>
      </c>
      <c r="S191" s="102" t="s">
        <v>1261</v>
      </c>
      <c r="T191" s="103"/>
    </row>
    <row r="192" spans="1:20" s="95" customFormat="1" ht="30">
      <c r="A192" s="99">
        <v>191</v>
      </c>
      <c r="B192" s="95">
        <v>193</v>
      </c>
      <c r="C192" s="96">
        <v>61</v>
      </c>
      <c r="D192" s="97">
        <v>154</v>
      </c>
      <c r="E192" s="98" t="s">
        <v>1262</v>
      </c>
      <c r="F192" s="99">
        <v>42</v>
      </c>
      <c r="G192" s="96" t="s">
        <v>1685</v>
      </c>
      <c r="H192" s="122" t="s">
        <v>1690</v>
      </c>
      <c r="I192" s="95" t="s">
        <v>681</v>
      </c>
      <c r="J192" s="98" t="s">
        <v>1258</v>
      </c>
      <c r="K192" s="100" t="s">
        <v>1689</v>
      </c>
      <c r="L192" s="95" t="s">
        <v>899</v>
      </c>
      <c r="M192" s="95">
        <v>3</v>
      </c>
      <c r="N192" s="95" t="s">
        <v>1459</v>
      </c>
      <c r="O192" s="100" t="s">
        <v>957</v>
      </c>
      <c r="P192" s="95">
        <v>3</v>
      </c>
      <c r="Q192" s="95" t="s">
        <v>295</v>
      </c>
      <c r="R192" s="101" t="s">
        <v>302</v>
      </c>
      <c r="S192" s="102" t="s">
        <v>1263</v>
      </c>
      <c r="T192" s="103"/>
    </row>
    <row r="193" spans="1:20" s="95" customFormat="1" ht="30">
      <c r="A193" s="99">
        <v>192</v>
      </c>
      <c r="B193" s="95">
        <v>195</v>
      </c>
      <c r="C193" s="96">
        <v>61</v>
      </c>
      <c r="D193" s="97">
        <v>192</v>
      </c>
      <c r="E193" s="98" t="s">
        <v>1264</v>
      </c>
      <c r="F193" s="99">
        <v>42</v>
      </c>
      <c r="G193" s="96" t="s">
        <v>1685</v>
      </c>
      <c r="H193" s="122" t="s">
        <v>1692</v>
      </c>
      <c r="I193" s="95" t="s">
        <v>681</v>
      </c>
      <c r="J193" s="98" t="s">
        <v>1258</v>
      </c>
      <c r="K193" s="100" t="s">
        <v>1691</v>
      </c>
      <c r="L193" s="95" t="s">
        <v>861</v>
      </c>
      <c r="M193" s="95">
        <v>4</v>
      </c>
      <c r="N193" s="95" t="s">
        <v>1459</v>
      </c>
      <c r="O193" s="100" t="s">
        <v>957</v>
      </c>
      <c r="P193" s="95">
        <v>3</v>
      </c>
      <c r="Q193" s="95" t="s">
        <v>295</v>
      </c>
      <c r="R193" s="101" t="s">
        <v>321</v>
      </c>
      <c r="S193" s="102" t="s">
        <v>1265</v>
      </c>
      <c r="T193" s="103"/>
    </row>
    <row r="194" spans="1:20" s="95" customFormat="1" ht="30">
      <c r="A194" s="99">
        <v>193</v>
      </c>
      <c r="B194" s="95">
        <v>190</v>
      </c>
      <c r="C194" s="96">
        <v>62</v>
      </c>
      <c r="D194" s="97">
        <v>38</v>
      </c>
      <c r="E194" s="98" t="s">
        <v>1266</v>
      </c>
      <c r="F194" s="99">
        <v>42</v>
      </c>
      <c r="G194" s="96" t="s">
        <v>1693</v>
      </c>
      <c r="H194" s="122" t="s">
        <v>1686</v>
      </c>
      <c r="I194" s="95" t="s">
        <v>681</v>
      </c>
      <c r="J194" s="98" t="s">
        <v>1266</v>
      </c>
      <c r="K194" s="100" t="s">
        <v>689</v>
      </c>
      <c r="L194" s="95" t="s">
        <v>895</v>
      </c>
      <c r="M194" s="95">
        <v>1</v>
      </c>
      <c r="N194" s="95" t="s">
        <v>1459</v>
      </c>
      <c r="O194" s="100" t="s">
        <v>964</v>
      </c>
      <c r="P194" s="95">
        <v>3</v>
      </c>
      <c r="Q194" s="95" t="s">
        <v>340</v>
      </c>
      <c r="R194" s="101" t="s">
        <v>297</v>
      </c>
      <c r="S194" s="102" t="s">
        <v>1267</v>
      </c>
      <c r="T194" s="103"/>
    </row>
    <row r="195" spans="1:20" s="95" customFormat="1" ht="30">
      <c r="A195" s="99">
        <v>194</v>
      </c>
      <c r="B195" s="95">
        <v>192</v>
      </c>
      <c r="C195" s="96">
        <v>62</v>
      </c>
      <c r="D195" s="97">
        <v>93</v>
      </c>
      <c r="E195" s="98" t="s">
        <v>1268</v>
      </c>
      <c r="F195" s="99">
        <v>42</v>
      </c>
      <c r="G195" s="96" t="s">
        <v>1693</v>
      </c>
      <c r="H195" s="122" t="s">
        <v>1688</v>
      </c>
      <c r="I195" s="95" t="s">
        <v>681</v>
      </c>
      <c r="J195" s="98" t="s">
        <v>1266</v>
      </c>
      <c r="K195" s="100" t="s">
        <v>1687</v>
      </c>
      <c r="L195" s="95" t="s">
        <v>897</v>
      </c>
      <c r="M195" s="95">
        <v>2</v>
      </c>
      <c r="N195" s="95" t="s">
        <v>1459</v>
      </c>
      <c r="O195" s="100" t="s">
        <v>964</v>
      </c>
      <c r="P195" s="95">
        <v>3</v>
      </c>
      <c r="Q195" s="95" t="s">
        <v>340</v>
      </c>
      <c r="R195" s="101" t="s">
        <v>297</v>
      </c>
      <c r="S195" s="102" t="s">
        <v>1269</v>
      </c>
      <c r="T195" s="103"/>
    </row>
    <row r="196" spans="1:20" s="95" customFormat="1" ht="30">
      <c r="A196" s="99">
        <v>195</v>
      </c>
      <c r="B196" s="95">
        <v>194</v>
      </c>
      <c r="C196" s="96">
        <v>62</v>
      </c>
      <c r="D196" s="97">
        <v>154</v>
      </c>
      <c r="E196" s="98" t="s">
        <v>1270</v>
      </c>
      <c r="F196" s="99">
        <v>42</v>
      </c>
      <c r="G196" s="96" t="s">
        <v>1693</v>
      </c>
      <c r="H196" s="122" t="s">
        <v>1690</v>
      </c>
      <c r="I196" s="95" t="s">
        <v>681</v>
      </c>
      <c r="J196" s="98" t="s">
        <v>1266</v>
      </c>
      <c r="K196" s="100" t="s">
        <v>1689</v>
      </c>
      <c r="L196" s="95" t="s">
        <v>899</v>
      </c>
      <c r="M196" s="95">
        <v>3</v>
      </c>
      <c r="N196" s="95" t="s">
        <v>1459</v>
      </c>
      <c r="O196" s="100" t="s">
        <v>964</v>
      </c>
      <c r="P196" s="95">
        <v>3</v>
      </c>
      <c r="Q196" s="95" t="s">
        <v>340</v>
      </c>
      <c r="R196" s="101" t="s">
        <v>297</v>
      </c>
      <c r="S196" s="102" t="s">
        <v>1271</v>
      </c>
      <c r="T196" s="103"/>
    </row>
    <row r="197" spans="1:20" s="95" customFormat="1" ht="30">
      <c r="A197" s="99">
        <v>196</v>
      </c>
      <c r="B197" s="95">
        <v>196</v>
      </c>
      <c r="C197" s="96">
        <v>62</v>
      </c>
      <c r="D197" s="97">
        <v>192</v>
      </c>
      <c r="E197" s="98" t="s">
        <v>1272</v>
      </c>
      <c r="F197" s="99">
        <v>42</v>
      </c>
      <c r="G197" s="96" t="s">
        <v>1693</v>
      </c>
      <c r="H197" s="122" t="s">
        <v>1692</v>
      </c>
      <c r="I197" s="95" t="s">
        <v>681</v>
      </c>
      <c r="J197" s="98" t="s">
        <v>1266</v>
      </c>
      <c r="K197" s="100" t="s">
        <v>1691</v>
      </c>
      <c r="L197" s="95" t="s">
        <v>861</v>
      </c>
      <c r="M197" s="95">
        <v>4</v>
      </c>
      <c r="N197" s="95" t="s">
        <v>1459</v>
      </c>
      <c r="O197" s="100" t="s">
        <v>964</v>
      </c>
      <c r="P197" s="95">
        <v>3</v>
      </c>
      <c r="Q197" s="95" t="s">
        <v>340</v>
      </c>
      <c r="R197" s="101" t="s">
        <v>317</v>
      </c>
      <c r="S197" s="102" t="s">
        <v>1273</v>
      </c>
      <c r="T197" s="103"/>
    </row>
    <row r="198" spans="1:20" s="95" customFormat="1" ht="30">
      <c r="A198" s="99">
        <v>197</v>
      </c>
      <c r="B198" s="95">
        <v>197</v>
      </c>
      <c r="C198" s="96">
        <v>63</v>
      </c>
      <c r="D198" s="97">
        <v>39</v>
      </c>
      <c r="E198" s="98" t="s">
        <v>1274</v>
      </c>
      <c r="F198" s="99">
        <v>43</v>
      </c>
      <c r="G198" s="96" t="s">
        <v>1694</v>
      </c>
      <c r="H198" s="122" t="s">
        <v>1695</v>
      </c>
      <c r="I198" s="95" t="s">
        <v>681</v>
      </c>
      <c r="J198" s="98" t="s">
        <v>1274</v>
      </c>
      <c r="K198" s="100" t="s">
        <v>682</v>
      </c>
      <c r="L198" s="95" t="s">
        <v>895</v>
      </c>
      <c r="M198" s="95">
        <v>1</v>
      </c>
      <c r="N198" s="95" t="s">
        <v>1459</v>
      </c>
      <c r="O198" s="100" t="s">
        <v>1030</v>
      </c>
      <c r="P198" s="95">
        <v>1</v>
      </c>
      <c r="Q198" s="95" t="s">
        <v>295</v>
      </c>
      <c r="R198" s="101" t="s">
        <v>297</v>
      </c>
      <c r="S198" s="102" t="s">
        <v>1275</v>
      </c>
      <c r="T198" s="103"/>
    </row>
    <row r="199" spans="1:20" s="95" customFormat="1" ht="30">
      <c r="A199" s="99">
        <v>198</v>
      </c>
      <c r="B199" s="95">
        <v>199</v>
      </c>
      <c r="C199" s="96">
        <v>63</v>
      </c>
      <c r="D199" s="97">
        <v>94</v>
      </c>
      <c r="E199" s="98" t="s">
        <v>1276</v>
      </c>
      <c r="F199" s="99">
        <v>43</v>
      </c>
      <c r="G199" s="96" t="s">
        <v>1694</v>
      </c>
      <c r="H199" s="122" t="s">
        <v>1697</v>
      </c>
      <c r="I199" s="95" t="s">
        <v>681</v>
      </c>
      <c r="J199" s="98" t="s">
        <v>1274</v>
      </c>
      <c r="K199" s="100" t="s">
        <v>1696</v>
      </c>
      <c r="L199" s="95" t="s">
        <v>897</v>
      </c>
      <c r="M199" s="95">
        <v>2</v>
      </c>
      <c r="N199" s="95" t="s">
        <v>1459</v>
      </c>
      <c r="O199" s="100" t="s">
        <v>1030</v>
      </c>
      <c r="P199" s="95">
        <v>1</v>
      </c>
      <c r="Q199" s="95" t="s">
        <v>295</v>
      </c>
      <c r="R199" s="101" t="s">
        <v>297</v>
      </c>
      <c r="S199" s="102" t="s">
        <v>1277</v>
      </c>
      <c r="T199" s="103"/>
    </row>
    <row r="200" spans="1:20" s="95" customFormat="1" ht="30">
      <c r="A200" s="99">
        <v>199</v>
      </c>
      <c r="B200" s="95">
        <v>201</v>
      </c>
      <c r="C200" s="96">
        <v>63</v>
      </c>
      <c r="D200" s="97">
        <v>155</v>
      </c>
      <c r="E200" s="98" t="s">
        <v>1278</v>
      </c>
      <c r="F200" s="99">
        <v>43</v>
      </c>
      <c r="G200" s="96" t="s">
        <v>1694</v>
      </c>
      <c r="H200" s="122" t="s">
        <v>1698</v>
      </c>
      <c r="I200" s="95" t="s">
        <v>681</v>
      </c>
      <c r="J200" s="98" t="s">
        <v>1274</v>
      </c>
      <c r="K200" s="100" t="s">
        <v>681</v>
      </c>
      <c r="L200" s="95" t="s">
        <v>899</v>
      </c>
      <c r="M200" s="95">
        <v>3</v>
      </c>
      <c r="N200" s="95" t="s">
        <v>1459</v>
      </c>
      <c r="O200" s="100" t="s">
        <v>1030</v>
      </c>
      <c r="P200" s="95">
        <v>1</v>
      </c>
      <c r="Q200" s="95" t="s">
        <v>295</v>
      </c>
      <c r="R200" s="101" t="s">
        <v>297</v>
      </c>
      <c r="S200" s="102" t="s">
        <v>1279</v>
      </c>
      <c r="T200" s="103"/>
    </row>
    <row r="201" spans="1:20" s="95" customFormat="1" ht="30">
      <c r="A201" s="99">
        <v>200</v>
      </c>
      <c r="B201" s="95">
        <v>203</v>
      </c>
      <c r="C201" s="96">
        <v>63</v>
      </c>
      <c r="D201" s="97">
        <v>193</v>
      </c>
      <c r="E201" s="98" t="s">
        <v>1280</v>
      </c>
      <c r="F201" s="99">
        <v>43</v>
      </c>
      <c r="G201" s="96" t="s">
        <v>1694</v>
      </c>
      <c r="H201" s="122" t="s">
        <v>1700</v>
      </c>
      <c r="I201" s="95" t="s">
        <v>681</v>
      </c>
      <c r="J201" s="98" t="s">
        <v>1274</v>
      </c>
      <c r="K201" s="100" t="s">
        <v>1699</v>
      </c>
      <c r="L201" s="95" t="s">
        <v>861</v>
      </c>
      <c r="M201" s="95">
        <v>4</v>
      </c>
      <c r="N201" s="95" t="s">
        <v>1459</v>
      </c>
      <c r="O201" s="100" t="s">
        <v>1030</v>
      </c>
      <c r="P201" s="95">
        <v>1</v>
      </c>
      <c r="Q201" s="95" t="s">
        <v>295</v>
      </c>
      <c r="R201" s="101" t="s">
        <v>317</v>
      </c>
      <c r="S201" s="102" t="s">
        <v>1281</v>
      </c>
      <c r="T201" s="103"/>
    </row>
    <row r="202" spans="1:20" s="95" customFormat="1" ht="30">
      <c r="A202" s="99">
        <v>201</v>
      </c>
      <c r="B202" s="95">
        <v>198</v>
      </c>
      <c r="C202" s="96">
        <v>64</v>
      </c>
      <c r="D202" s="97">
        <v>39</v>
      </c>
      <c r="E202" s="98" t="s">
        <v>1282</v>
      </c>
      <c r="F202" s="99">
        <v>43</v>
      </c>
      <c r="G202" s="96" t="s">
        <v>1701</v>
      </c>
      <c r="H202" s="122" t="s">
        <v>1695</v>
      </c>
      <c r="I202" s="95" t="s">
        <v>681</v>
      </c>
      <c r="J202" s="98" t="s">
        <v>1282</v>
      </c>
      <c r="K202" s="100" t="s">
        <v>682</v>
      </c>
      <c r="L202" s="95" t="s">
        <v>895</v>
      </c>
      <c r="M202" s="95">
        <v>1</v>
      </c>
      <c r="N202" s="95" t="s">
        <v>1459</v>
      </c>
      <c r="O202" s="100" t="s">
        <v>1033</v>
      </c>
      <c r="P202" s="95">
        <v>1</v>
      </c>
      <c r="Q202" s="95" t="s">
        <v>340</v>
      </c>
      <c r="R202" s="101" t="s">
        <v>297</v>
      </c>
      <c r="S202" s="102" t="s">
        <v>1283</v>
      </c>
      <c r="T202" s="103"/>
    </row>
    <row r="203" spans="1:20" s="95" customFormat="1" ht="30">
      <c r="A203" s="99">
        <v>202</v>
      </c>
      <c r="B203" s="95">
        <v>200</v>
      </c>
      <c r="C203" s="96">
        <v>64</v>
      </c>
      <c r="D203" s="97">
        <v>94</v>
      </c>
      <c r="E203" s="98" t="s">
        <v>1284</v>
      </c>
      <c r="F203" s="99">
        <v>43</v>
      </c>
      <c r="G203" s="96" t="s">
        <v>1701</v>
      </c>
      <c r="H203" s="122" t="s">
        <v>1697</v>
      </c>
      <c r="I203" s="95" t="s">
        <v>681</v>
      </c>
      <c r="J203" s="98" t="s">
        <v>1282</v>
      </c>
      <c r="K203" s="100" t="s">
        <v>1696</v>
      </c>
      <c r="L203" s="95" t="s">
        <v>897</v>
      </c>
      <c r="M203" s="95">
        <v>2</v>
      </c>
      <c r="N203" s="95" t="s">
        <v>1459</v>
      </c>
      <c r="O203" s="100" t="s">
        <v>1033</v>
      </c>
      <c r="P203" s="95">
        <v>1</v>
      </c>
      <c r="Q203" s="95" t="s">
        <v>340</v>
      </c>
      <c r="R203" s="101" t="s">
        <v>297</v>
      </c>
      <c r="S203" s="102" t="s">
        <v>1285</v>
      </c>
      <c r="T203" s="103"/>
    </row>
    <row r="204" spans="1:20" s="95" customFormat="1" ht="30">
      <c r="A204" s="99">
        <v>203</v>
      </c>
      <c r="B204" s="95">
        <v>202</v>
      </c>
      <c r="C204" s="96">
        <v>64</v>
      </c>
      <c r="D204" s="97">
        <v>155</v>
      </c>
      <c r="E204" s="98" t="s">
        <v>1286</v>
      </c>
      <c r="F204" s="99">
        <v>43</v>
      </c>
      <c r="G204" s="96" t="s">
        <v>1701</v>
      </c>
      <c r="H204" s="122" t="s">
        <v>1698</v>
      </c>
      <c r="I204" s="95" t="s">
        <v>681</v>
      </c>
      <c r="J204" s="98" t="s">
        <v>1282</v>
      </c>
      <c r="K204" s="100" t="s">
        <v>681</v>
      </c>
      <c r="L204" s="95" t="s">
        <v>899</v>
      </c>
      <c r="M204" s="95">
        <v>3</v>
      </c>
      <c r="N204" s="95" t="s">
        <v>1459</v>
      </c>
      <c r="O204" s="100" t="s">
        <v>1033</v>
      </c>
      <c r="P204" s="95">
        <v>1</v>
      </c>
      <c r="Q204" s="95" t="s">
        <v>340</v>
      </c>
      <c r="R204" s="101" t="s">
        <v>297</v>
      </c>
      <c r="S204" s="102" t="s">
        <v>1287</v>
      </c>
      <c r="T204" s="103"/>
    </row>
    <row r="205" spans="1:20" s="95" customFormat="1" ht="30">
      <c r="A205" s="99">
        <v>204</v>
      </c>
      <c r="B205" s="95">
        <v>204</v>
      </c>
      <c r="C205" s="96">
        <v>64</v>
      </c>
      <c r="D205" s="97">
        <v>193</v>
      </c>
      <c r="E205" s="98" t="s">
        <v>1288</v>
      </c>
      <c r="F205" s="99">
        <v>43</v>
      </c>
      <c r="G205" s="96" t="s">
        <v>1701</v>
      </c>
      <c r="H205" s="122" t="s">
        <v>1700</v>
      </c>
      <c r="I205" s="95" t="s">
        <v>681</v>
      </c>
      <c r="J205" s="98" t="s">
        <v>1282</v>
      </c>
      <c r="K205" s="100" t="s">
        <v>1699</v>
      </c>
      <c r="L205" s="95" t="s">
        <v>861</v>
      </c>
      <c r="M205" s="95">
        <v>4</v>
      </c>
      <c r="N205" s="95" t="s">
        <v>1459</v>
      </c>
      <c r="O205" s="100" t="s">
        <v>1033</v>
      </c>
      <c r="P205" s="95">
        <v>1</v>
      </c>
      <c r="Q205" s="95" t="s">
        <v>340</v>
      </c>
      <c r="R205" s="101" t="s">
        <v>317</v>
      </c>
      <c r="S205" s="102" t="s">
        <v>1289</v>
      </c>
      <c r="T205" s="103"/>
    </row>
    <row r="206" spans="1:20" s="95" customFormat="1" ht="30">
      <c r="A206" s="99">
        <v>205</v>
      </c>
      <c r="B206" s="95">
        <v>205</v>
      </c>
      <c r="C206" s="96">
        <v>65</v>
      </c>
      <c r="D206" s="97">
        <v>40</v>
      </c>
      <c r="E206" s="98" t="s">
        <v>1290</v>
      </c>
      <c r="F206" s="99">
        <v>44</v>
      </c>
      <c r="G206" s="96" t="s">
        <v>1702</v>
      </c>
      <c r="H206" s="122" t="s">
        <v>1703</v>
      </c>
      <c r="I206" s="95" t="s">
        <v>696</v>
      </c>
      <c r="J206" s="98" t="s">
        <v>1290</v>
      </c>
      <c r="K206" s="100" t="s">
        <v>697</v>
      </c>
      <c r="L206" s="95" t="s">
        <v>895</v>
      </c>
      <c r="M206" s="95">
        <v>1</v>
      </c>
      <c r="N206" s="95" t="s">
        <v>1459</v>
      </c>
      <c r="O206" s="100" t="s">
        <v>1030</v>
      </c>
      <c r="P206" s="95">
        <v>2</v>
      </c>
      <c r="Q206" s="95" t="s">
        <v>295</v>
      </c>
      <c r="R206" s="101" t="s">
        <v>699</v>
      </c>
      <c r="S206" s="102" t="s">
        <v>1291</v>
      </c>
      <c r="T206" s="103"/>
    </row>
    <row r="207" spans="1:20" s="95" customFormat="1" ht="30">
      <c r="A207" s="99">
        <v>206</v>
      </c>
      <c r="B207" s="95">
        <v>209</v>
      </c>
      <c r="C207" s="96">
        <v>65</v>
      </c>
      <c r="D207" s="97">
        <v>95</v>
      </c>
      <c r="E207" s="98" t="s">
        <v>1292</v>
      </c>
      <c r="F207" s="99">
        <v>44</v>
      </c>
      <c r="G207" s="96" t="s">
        <v>1702</v>
      </c>
      <c r="H207" s="122" t="s">
        <v>1704</v>
      </c>
      <c r="I207" s="95" t="s">
        <v>696</v>
      </c>
      <c r="J207" s="98" t="s">
        <v>1290</v>
      </c>
      <c r="K207" s="100" t="s">
        <v>696</v>
      </c>
      <c r="L207" s="95" t="s">
        <v>897</v>
      </c>
      <c r="M207" s="95">
        <v>2</v>
      </c>
      <c r="N207" s="95" t="s">
        <v>1459</v>
      </c>
      <c r="O207" s="100" t="s">
        <v>1030</v>
      </c>
      <c r="P207" s="95">
        <v>2</v>
      </c>
      <c r="Q207" s="95" t="s">
        <v>295</v>
      </c>
      <c r="R207" s="101" t="s">
        <v>699</v>
      </c>
      <c r="S207" s="102" t="s">
        <v>1293</v>
      </c>
      <c r="T207" s="103"/>
    </row>
    <row r="208" spans="1:20" s="95" customFormat="1" ht="30">
      <c r="A208" s="99">
        <v>207</v>
      </c>
      <c r="B208" s="95">
        <v>213</v>
      </c>
      <c r="C208" s="96">
        <v>65</v>
      </c>
      <c r="D208" s="97">
        <v>156</v>
      </c>
      <c r="E208" s="98" t="s">
        <v>1294</v>
      </c>
      <c r="F208" s="99">
        <v>44</v>
      </c>
      <c r="G208" s="96" t="s">
        <v>1702</v>
      </c>
      <c r="H208" s="122" t="s">
        <v>1706</v>
      </c>
      <c r="I208" s="95" t="s">
        <v>696</v>
      </c>
      <c r="J208" s="98" t="s">
        <v>1290</v>
      </c>
      <c r="K208" s="100" t="s">
        <v>1705</v>
      </c>
      <c r="L208" s="95" t="s">
        <v>899</v>
      </c>
      <c r="M208" s="95">
        <v>3</v>
      </c>
      <c r="N208" s="95" t="s">
        <v>1459</v>
      </c>
      <c r="O208" s="100" t="s">
        <v>1030</v>
      </c>
      <c r="P208" s="95">
        <v>2</v>
      </c>
      <c r="Q208" s="95" t="s">
        <v>295</v>
      </c>
      <c r="R208" s="101" t="s">
        <v>699</v>
      </c>
      <c r="S208" s="102" t="s">
        <v>1295</v>
      </c>
      <c r="T208" s="103"/>
    </row>
    <row r="209" spans="1:20" s="95" customFormat="1" ht="30">
      <c r="A209" s="99">
        <v>208</v>
      </c>
      <c r="B209" s="95">
        <v>217</v>
      </c>
      <c r="C209" s="96">
        <v>65</v>
      </c>
      <c r="D209" s="97">
        <v>194</v>
      </c>
      <c r="E209" s="98" t="s">
        <v>1296</v>
      </c>
      <c r="F209" s="99">
        <v>44</v>
      </c>
      <c r="G209" s="96" t="s">
        <v>1702</v>
      </c>
      <c r="H209" s="122" t="s">
        <v>1708</v>
      </c>
      <c r="I209" s="95" t="s">
        <v>696</v>
      </c>
      <c r="J209" s="98" t="s">
        <v>1290</v>
      </c>
      <c r="K209" s="100" t="s">
        <v>1707</v>
      </c>
      <c r="L209" s="95" t="s">
        <v>861</v>
      </c>
      <c r="M209" s="95">
        <v>4</v>
      </c>
      <c r="N209" s="95" t="s">
        <v>1459</v>
      </c>
      <c r="O209" s="100" t="s">
        <v>1030</v>
      </c>
      <c r="P209" s="95">
        <v>2</v>
      </c>
      <c r="Q209" s="95" t="s">
        <v>295</v>
      </c>
      <c r="R209" s="101" t="s">
        <v>760</v>
      </c>
      <c r="S209" s="102" t="s">
        <v>1297</v>
      </c>
      <c r="T209" s="103"/>
    </row>
    <row r="210" spans="1:20" s="95" customFormat="1" ht="30">
      <c r="A210" s="99">
        <v>209</v>
      </c>
      <c r="B210" s="95">
        <v>206</v>
      </c>
      <c r="C210" s="96">
        <v>66</v>
      </c>
      <c r="D210" s="97">
        <v>40</v>
      </c>
      <c r="E210" s="98" t="s">
        <v>1298</v>
      </c>
      <c r="F210" s="99">
        <v>44</v>
      </c>
      <c r="G210" s="96" t="s">
        <v>1709</v>
      </c>
      <c r="H210" s="122" t="s">
        <v>1703</v>
      </c>
      <c r="I210" s="95" t="s">
        <v>696</v>
      </c>
      <c r="J210" s="98" t="s">
        <v>1298</v>
      </c>
      <c r="K210" s="100" t="s">
        <v>697</v>
      </c>
      <c r="L210" s="95" t="s">
        <v>895</v>
      </c>
      <c r="M210" s="95">
        <v>1</v>
      </c>
      <c r="N210" s="95" t="s">
        <v>1459</v>
      </c>
      <c r="O210" s="100" t="s">
        <v>1033</v>
      </c>
      <c r="P210" s="95">
        <v>2</v>
      </c>
      <c r="Q210" s="95" t="s">
        <v>340</v>
      </c>
      <c r="R210" s="101" t="s">
        <v>297</v>
      </c>
      <c r="S210" s="102" t="s">
        <v>1299</v>
      </c>
      <c r="T210" s="103"/>
    </row>
    <row r="211" spans="1:20" s="95" customFormat="1" ht="30">
      <c r="A211" s="99">
        <v>210</v>
      </c>
      <c r="B211" s="95">
        <v>210</v>
      </c>
      <c r="C211" s="96">
        <v>66</v>
      </c>
      <c r="D211" s="97">
        <v>95</v>
      </c>
      <c r="E211" s="98" t="s">
        <v>1300</v>
      </c>
      <c r="F211" s="99">
        <v>44</v>
      </c>
      <c r="G211" s="96" t="s">
        <v>1709</v>
      </c>
      <c r="H211" s="122" t="s">
        <v>1704</v>
      </c>
      <c r="I211" s="95" t="s">
        <v>696</v>
      </c>
      <c r="J211" s="98" t="s">
        <v>1298</v>
      </c>
      <c r="K211" s="100" t="s">
        <v>696</v>
      </c>
      <c r="L211" s="95" t="s">
        <v>897</v>
      </c>
      <c r="M211" s="95">
        <v>2</v>
      </c>
      <c r="N211" s="95" t="s">
        <v>1459</v>
      </c>
      <c r="O211" s="100" t="s">
        <v>1033</v>
      </c>
      <c r="P211" s="95">
        <v>2</v>
      </c>
      <c r="Q211" s="95" t="s">
        <v>340</v>
      </c>
      <c r="R211" s="101" t="s">
        <v>297</v>
      </c>
      <c r="S211" s="102" t="s">
        <v>1301</v>
      </c>
      <c r="T211" s="103"/>
    </row>
    <row r="212" spans="1:20" s="95" customFormat="1" ht="30">
      <c r="A212" s="99">
        <v>211</v>
      </c>
      <c r="B212" s="95">
        <v>214</v>
      </c>
      <c r="C212" s="96">
        <v>66</v>
      </c>
      <c r="D212" s="97">
        <v>156</v>
      </c>
      <c r="E212" s="98" t="s">
        <v>1302</v>
      </c>
      <c r="F212" s="99">
        <v>44</v>
      </c>
      <c r="G212" s="96" t="s">
        <v>1709</v>
      </c>
      <c r="H212" s="122" t="s">
        <v>1706</v>
      </c>
      <c r="I212" s="95" t="s">
        <v>696</v>
      </c>
      <c r="J212" s="98" t="s">
        <v>1298</v>
      </c>
      <c r="K212" s="100" t="s">
        <v>1705</v>
      </c>
      <c r="L212" s="95" t="s">
        <v>899</v>
      </c>
      <c r="M212" s="95">
        <v>3</v>
      </c>
      <c r="N212" s="95" t="s">
        <v>1459</v>
      </c>
      <c r="O212" s="100" t="s">
        <v>1033</v>
      </c>
      <c r="P212" s="95">
        <v>2</v>
      </c>
      <c r="Q212" s="95" t="s">
        <v>340</v>
      </c>
      <c r="R212" s="101" t="s">
        <v>297</v>
      </c>
      <c r="S212" s="102" t="s">
        <v>1303</v>
      </c>
      <c r="T212" s="103"/>
    </row>
    <row r="213" spans="1:20" s="95" customFormat="1" ht="30">
      <c r="A213" s="99">
        <v>212</v>
      </c>
      <c r="B213" s="95">
        <v>218</v>
      </c>
      <c r="C213" s="96">
        <v>66</v>
      </c>
      <c r="D213" s="97">
        <v>194</v>
      </c>
      <c r="E213" s="98" t="s">
        <v>1304</v>
      </c>
      <c r="F213" s="99">
        <v>44</v>
      </c>
      <c r="G213" s="96" t="s">
        <v>1709</v>
      </c>
      <c r="H213" s="122" t="s">
        <v>1708</v>
      </c>
      <c r="I213" s="95" t="s">
        <v>696</v>
      </c>
      <c r="J213" s="98" t="s">
        <v>1298</v>
      </c>
      <c r="K213" s="100" t="s">
        <v>1707</v>
      </c>
      <c r="L213" s="95" t="s">
        <v>861</v>
      </c>
      <c r="M213" s="95">
        <v>4</v>
      </c>
      <c r="N213" s="95" t="s">
        <v>1459</v>
      </c>
      <c r="O213" s="100" t="s">
        <v>1033</v>
      </c>
      <c r="P213" s="95">
        <v>2</v>
      </c>
      <c r="Q213" s="95" t="s">
        <v>340</v>
      </c>
      <c r="R213" s="101" t="s">
        <v>317</v>
      </c>
      <c r="S213" s="102" t="s">
        <v>1305</v>
      </c>
      <c r="T213" s="103"/>
    </row>
    <row r="214" spans="1:20" s="95" customFormat="1" ht="30">
      <c r="A214" s="99">
        <v>213</v>
      </c>
      <c r="B214" s="95">
        <v>207</v>
      </c>
      <c r="C214" s="96">
        <v>67</v>
      </c>
      <c r="D214" s="97">
        <v>40</v>
      </c>
      <c r="E214" s="98" t="s">
        <v>1306</v>
      </c>
      <c r="F214" s="99">
        <v>44</v>
      </c>
      <c r="G214" s="96" t="s">
        <v>1710</v>
      </c>
      <c r="H214" s="122" t="s">
        <v>1703</v>
      </c>
      <c r="I214" s="95" t="s">
        <v>696</v>
      </c>
      <c r="J214" s="98" t="s">
        <v>1306</v>
      </c>
      <c r="K214" s="100" t="s">
        <v>697</v>
      </c>
      <c r="L214" s="95" t="s">
        <v>895</v>
      </c>
      <c r="M214" s="95">
        <v>1</v>
      </c>
      <c r="N214" s="95" t="s">
        <v>1459</v>
      </c>
      <c r="O214" s="100" t="s">
        <v>957</v>
      </c>
      <c r="P214" s="95">
        <v>3</v>
      </c>
      <c r="Q214" s="95" t="s">
        <v>295</v>
      </c>
      <c r="R214" s="101" t="s">
        <v>699</v>
      </c>
      <c r="S214" s="102" t="s">
        <v>1307</v>
      </c>
      <c r="T214" s="103"/>
    </row>
    <row r="215" spans="1:20" s="95" customFormat="1" ht="30">
      <c r="A215" s="99">
        <v>214</v>
      </c>
      <c r="B215" s="95">
        <v>211</v>
      </c>
      <c r="C215" s="96">
        <v>67</v>
      </c>
      <c r="D215" s="97">
        <v>95</v>
      </c>
      <c r="E215" s="98" t="s">
        <v>1308</v>
      </c>
      <c r="F215" s="99">
        <v>44</v>
      </c>
      <c r="G215" s="96" t="s">
        <v>1710</v>
      </c>
      <c r="H215" s="122" t="s">
        <v>1704</v>
      </c>
      <c r="I215" s="95" t="s">
        <v>696</v>
      </c>
      <c r="J215" s="98" t="s">
        <v>1306</v>
      </c>
      <c r="K215" s="100" t="s">
        <v>696</v>
      </c>
      <c r="L215" s="95" t="s">
        <v>897</v>
      </c>
      <c r="M215" s="95">
        <v>2</v>
      </c>
      <c r="N215" s="95" t="s">
        <v>1459</v>
      </c>
      <c r="O215" s="100" t="s">
        <v>957</v>
      </c>
      <c r="P215" s="95">
        <v>3</v>
      </c>
      <c r="Q215" s="95" t="s">
        <v>295</v>
      </c>
      <c r="R215" s="101" t="s">
        <v>699</v>
      </c>
      <c r="S215" s="102" t="s">
        <v>1309</v>
      </c>
      <c r="T215" s="103"/>
    </row>
    <row r="216" spans="1:20" s="95" customFormat="1" ht="30">
      <c r="A216" s="99">
        <v>215</v>
      </c>
      <c r="B216" s="95">
        <v>215</v>
      </c>
      <c r="C216" s="96">
        <v>67</v>
      </c>
      <c r="D216" s="97">
        <v>156</v>
      </c>
      <c r="E216" s="98" t="s">
        <v>1310</v>
      </c>
      <c r="F216" s="99">
        <v>44</v>
      </c>
      <c r="G216" s="96" t="s">
        <v>1710</v>
      </c>
      <c r="H216" s="122" t="s">
        <v>1706</v>
      </c>
      <c r="I216" s="95" t="s">
        <v>696</v>
      </c>
      <c r="J216" s="98" t="s">
        <v>1306</v>
      </c>
      <c r="K216" s="100" t="s">
        <v>1705</v>
      </c>
      <c r="L216" s="95" t="s">
        <v>899</v>
      </c>
      <c r="M216" s="95">
        <v>3</v>
      </c>
      <c r="N216" s="95" t="s">
        <v>1459</v>
      </c>
      <c r="O216" s="100" t="s">
        <v>957</v>
      </c>
      <c r="P216" s="95">
        <v>3</v>
      </c>
      <c r="Q216" s="95" t="s">
        <v>295</v>
      </c>
      <c r="R216" s="101" t="s">
        <v>699</v>
      </c>
      <c r="S216" s="102" t="s">
        <v>1311</v>
      </c>
      <c r="T216" s="103"/>
    </row>
    <row r="217" spans="1:20" s="95" customFormat="1" ht="30">
      <c r="A217" s="99">
        <v>216</v>
      </c>
      <c r="B217" s="95">
        <v>219</v>
      </c>
      <c r="C217" s="96">
        <v>67</v>
      </c>
      <c r="D217" s="97">
        <v>194</v>
      </c>
      <c r="E217" s="98" t="s">
        <v>1312</v>
      </c>
      <c r="F217" s="99">
        <v>44</v>
      </c>
      <c r="G217" s="96" t="s">
        <v>1710</v>
      </c>
      <c r="H217" s="122" t="s">
        <v>1708</v>
      </c>
      <c r="I217" s="95" t="s">
        <v>696</v>
      </c>
      <c r="J217" s="98" t="s">
        <v>1306</v>
      </c>
      <c r="K217" s="100" t="s">
        <v>1707</v>
      </c>
      <c r="L217" s="95" t="s">
        <v>861</v>
      </c>
      <c r="M217" s="95">
        <v>4</v>
      </c>
      <c r="N217" s="95" t="s">
        <v>1459</v>
      </c>
      <c r="O217" s="100" t="s">
        <v>957</v>
      </c>
      <c r="P217" s="95">
        <v>3</v>
      </c>
      <c r="Q217" s="95" t="s">
        <v>295</v>
      </c>
      <c r="R217" s="101" t="s">
        <v>760</v>
      </c>
      <c r="S217" s="102" t="s">
        <v>1313</v>
      </c>
      <c r="T217" s="103"/>
    </row>
    <row r="218" spans="1:20" s="95" customFormat="1" ht="30">
      <c r="A218" s="99">
        <v>217</v>
      </c>
      <c r="B218" s="95">
        <v>208</v>
      </c>
      <c r="C218" s="96">
        <v>68</v>
      </c>
      <c r="D218" s="97">
        <v>40</v>
      </c>
      <c r="E218" s="98" t="s">
        <v>1314</v>
      </c>
      <c r="F218" s="99">
        <v>44</v>
      </c>
      <c r="G218" s="96" t="s">
        <v>1711</v>
      </c>
      <c r="H218" s="122" t="s">
        <v>1703</v>
      </c>
      <c r="I218" s="95" t="s">
        <v>696</v>
      </c>
      <c r="J218" s="98" t="s">
        <v>1314</v>
      </c>
      <c r="K218" s="100" t="s">
        <v>697</v>
      </c>
      <c r="L218" s="95" t="s">
        <v>895</v>
      </c>
      <c r="M218" s="95">
        <v>1</v>
      </c>
      <c r="N218" s="95" t="s">
        <v>1459</v>
      </c>
      <c r="O218" s="100" t="s">
        <v>964</v>
      </c>
      <c r="P218" s="95">
        <v>3</v>
      </c>
      <c r="Q218" s="95" t="s">
        <v>340</v>
      </c>
      <c r="R218" s="101" t="s">
        <v>699</v>
      </c>
      <c r="S218" s="102" t="s">
        <v>1315</v>
      </c>
      <c r="T218" s="103"/>
    </row>
    <row r="219" spans="1:20" s="95" customFormat="1" ht="30">
      <c r="A219" s="99">
        <v>218</v>
      </c>
      <c r="B219" s="95">
        <v>212</v>
      </c>
      <c r="C219" s="96">
        <v>68</v>
      </c>
      <c r="D219" s="97">
        <v>95</v>
      </c>
      <c r="E219" s="98" t="s">
        <v>1316</v>
      </c>
      <c r="F219" s="99">
        <v>44</v>
      </c>
      <c r="G219" s="96" t="s">
        <v>1711</v>
      </c>
      <c r="H219" s="122" t="s">
        <v>1704</v>
      </c>
      <c r="I219" s="95" t="s">
        <v>696</v>
      </c>
      <c r="J219" s="98" t="s">
        <v>1314</v>
      </c>
      <c r="K219" s="100" t="s">
        <v>696</v>
      </c>
      <c r="L219" s="95" t="s">
        <v>897</v>
      </c>
      <c r="M219" s="95">
        <v>2</v>
      </c>
      <c r="N219" s="95" t="s">
        <v>1459</v>
      </c>
      <c r="O219" s="100" t="s">
        <v>964</v>
      </c>
      <c r="P219" s="95">
        <v>3</v>
      </c>
      <c r="Q219" s="95" t="s">
        <v>340</v>
      </c>
      <c r="R219" s="101" t="s">
        <v>699</v>
      </c>
      <c r="S219" s="102" t="s">
        <v>1317</v>
      </c>
      <c r="T219" s="103"/>
    </row>
    <row r="220" spans="1:20" s="95" customFormat="1" ht="30">
      <c r="A220" s="99">
        <v>219</v>
      </c>
      <c r="B220" s="95">
        <v>216</v>
      </c>
      <c r="C220" s="96">
        <v>68</v>
      </c>
      <c r="D220" s="97">
        <v>156</v>
      </c>
      <c r="E220" s="98" t="s">
        <v>1318</v>
      </c>
      <c r="F220" s="99">
        <v>44</v>
      </c>
      <c r="G220" s="96" t="s">
        <v>1711</v>
      </c>
      <c r="H220" s="122" t="s">
        <v>1706</v>
      </c>
      <c r="I220" s="95" t="s">
        <v>696</v>
      </c>
      <c r="J220" s="98" t="s">
        <v>1314</v>
      </c>
      <c r="K220" s="100" t="s">
        <v>1705</v>
      </c>
      <c r="L220" s="95" t="s">
        <v>899</v>
      </c>
      <c r="M220" s="95">
        <v>3</v>
      </c>
      <c r="N220" s="95" t="s">
        <v>1459</v>
      </c>
      <c r="O220" s="100" t="s">
        <v>964</v>
      </c>
      <c r="P220" s="95">
        <v>3</v>
      </c>
      <c r="Q220" s="95" t="s">
        <v>340</v>
      </c>
      <c r="R220" s="101" t="s">
        <v>699</v>
      </c>
      <c r="S220" s="102" t="s">
        <v>1319</v>
      </c>
      <c r="T220" s="103"/>
    </row>
    <row r="221" spans="1:20" s="95" customFormat="1" ht="30">
      <c r="A221" s="99">
        <v>220</v>
      </c>
      <c r="B221" s="95">
        <v>220</v>
      </c>
      <c r="C221" s="96">
        <v>68</v>
      </c>
      <c r="D221" s="97">
        <v>194</v>
      </c>
      <c r="E221" s="98" t="s">
        <v>1320</v>
      </c>
      <c r="F221" s="99">
        <v>44</v>
      </c>
      <c r="G221" s="96" t="s">
        <v>1711</v>
      </c>
      <c r="H221" s="122" t="s">
        <v>1708</v>
      </c>
      <c r="I221" s="95" t="s">
        <v>696</v>
      </c>
      <c r="J221" s="98" t="s">
        <v>1314</v>
      </c>
      <c r="K221" s="100" t="s">
        <v>1707</v>
      </c>
      <c r="L221" s="95" t="s">
        <v>861</v>
      </c>
      <c r="M221" s="95">
        <v>4</v>
      </c>
      <c r="N221" s="95" t="s">
        <v>1459</v>
      </c>
      <c r="O221" s="100" t="s">
        <v>964</v>
      </c>
      <c r="P221" s="95">
        <v>3</v>
      </c>
      <c r="Q221" s="95" t="s">
        <v>340</v>
      </c>
      <c r="R221" s="101" t="s">
        <v>760</v>
      </c>
      <c r="S221" s="102"/>
      <c r="T221" s="103"/>
    </row>
    <row r="222" spans="1:20" s="95" customFormat="1" ht="30">
      <c r="A222" s="99">
        <v>221</v>
      </c>
      <c r="B222" s="95">
        <v>221</v>
      </c>
      <c r="C222" s="96">
        <v>69</v>
      </c>
      <c r="D222" s="97">
        <v>41</v>
      </c>
      <c r="E222" s="98" t="s">
        <v>1321</v>
      </c>
      <c r="F222" s="99">
        <v>45</v>
      </c>
      <c r="G222" s="96" t="s">
        <v>1712</v>
      </c>
      <c r="H222" s="122" t="s">
        <v>1713</v>
      </c>
      <c r="I222" s="95" t="s">
        <v>696</v>
      </c>
      <c r="J222" s="98" t="s">
        <v>1321</v>
      </c>
      <c r="K222" s="100" t="s">
        <v>711</v>
      </c>
      <c r="L222" s="95" t="s">
        <v>895</v>
      </c>
      <c r="M222" s="95">
        <v>1</v>
      </c>
      <c r="N222" s="95" t="s">
        <v>1459</v>
      </c>
      <c r="O222" s="100" t="s">
        <v>1030</v>
      </c>
      <c r="P222" s="95">
        <v>2</v>
      </c>
      <c r="Q222" s="95" t="s">
        <v>295</v>
      </c>
      <c r="R222" s="101" t="s">
        <v>699</v>
      </c>
      <c r="S222" s="102" t="s">
        <v>1322</v>
      </c>
      <c r="T222" s="103"/>
    </row>
    <row r="223" spans="1:20" s="95" customFormat="1" ht="30">
      <c r="A223" s="99">
        <v>222</v>
      </c>
      <c r="B223" s="95">
        <v>223</v>
      </c>
      <c r="C223" s="96">
        <v>69</v>
      </c>
      <c r="D223" s="97">
        <v>96</v>
      </c>
      <c r="E223" s="98" t="s">
        <v>1323</v>
      </c>
      <c r="F223" s="99">
        <v>45</v>
      </c>
      <c r="G223" s="96" t="s">
        <v>1712</v>
      </c>
      <c r="H223" s="122" t="s">
        <v>1715</v>
      </c>
      <c r="I223" s="95" t="s">
        <v>696</v>
      </c>
      <c r="J223" s="98" t="s">
        <v>1321</v>
      </c>
      <c r="K223" s="100" t="s">
        <v>1714</v>
      </c>
      <c r="L223" s="95" t="s">
        <v>897</v>
      </c>
      <c r="M223" s="95">
        <v>2</v>
      </c>
      <c r="N223" s="95" t="s">
        <v>1459</v>
      </c>
      <c r="O223" s="100" t="s">
        <v>1030</v>
      </c>
      <c r="P223" s="95">
        <v>2</v>
      </c>
      <c r="Q223" s="95" t="s">
        <v>295</v>
      </c>
      <c r="R223" s="101" t="s">
        <v>699</v>
      </c>
      <c r="S223" s="102" t="s">
        <v>1324</v>
      </c>
      <c r="T223" s="103"/>
    </row>
    <row r="224" spans="1:20" s="95" customFormat="1" ht="30">
      <c r="A224" s="99">
        <v>223</v>
      </c>
      <c r="B224" s="95">
        <v>225</v>
      </c>
      <c r="C224" s="96">
        <v>69</v>
      </c>
      <c r="D224" s="97">
        <v>157</v>
      </c>
      <c r="E224" s="98" t="s">
        <v>1325</v>
      </c>
      <c r="F224" s="99">
        <v>45</v>
      </c>
      <c r="G224" s="96" t="s">
        <v>1712</v>
      </c>
      <c r="H224" s="122" t="s">
        <v>1717</v>
      </c>
      <c r="I224" s="95" t="s">
        <v>696</v>
      </c>
      <c r="J224" s="98" t="s">
        <v>1321</v>
      </c>
      <c r="K224" s="100" t="s">
        <v>1716</v>
      </c>
      <c r="L224" s="95" t="s">
        <v>899</v>
      </c>
      <c r="M224" s="95">
        <v>3</v>
      </c>
      <c r="N224" s="95" t="s">
        <v>1459</v>
      </c>
      <c r="O224" s="100" t="s">
        <v>1030</v>
      </c>
      <c r="P224" s="95">
        <v>2</v>
      </c>
      <c r="Q224" s="95" t="s">
        <v>295</v>
      </c>
      <c r="R224" s="101" t="s">
        <v>699</v>
      </c>
      <c r="S224" s="102" t="s">
        <v>1326</v>
      </c>
      <c r="T224" s="103"/>
    </row>
    <row r="225" spans="1:20" s="95" customFormat="1" ht="30">
      <c r="A225" s="99">
        <v>224</v>
      </c>
      <c r="B225" s="95">
        <v>227</v>
      </c>
      <c r="C225" s="96">
        <v>69</v>
      </c>
      <c r="D225" s="97">
        <v>195</v>
      </c>
      <c r="E225" s="98" t="s">
        <v>1327</v>
      </c>
      <c r="F225" s="99">
        <v>45</v>
      </c>
      <c r="G225" s="96" t="s">
        <v>1712</v>
      </c>
      <c r="H225" s="122" t="s">
        <v>1719</v>
      </c>
      <c r="I225" s="95" t="s">
        <v>696</v>
      </c>
      <c r="J225" s="98" t="s">
        <v>1321</v>
      </c>
      <c r="K225" s="100" t="s">
        <v>1718</v>
      </c>
      <c r="L225" s="95" t="s">
        <v>861</v>
      </c>
      <c r="M225" s="95">
        <v>4</v>
      </c>
      <c r="N225" s="95" t="s">
        <v>1459</v>
      </c>
      <c r="O225" s="100" t="s">
        <v>1030</v>
      </c>
      <c r="P225" s="95">
        <v>2</v>
      </c>
      <c r="Q225" s="95" t="s">
        <v>295</v>
      </c>
      <c r="R225" s="101" t="s">
        <v>760</v>
      </c>
      <c r="S225" s="102" t="s">
        <v>1328</v>
      </c>
      <c r="T225" s="103"/>
    </row>
    <row r="226" spans="1:20" s="95" customFormat="1" ht="30">
      <c r="A226" s="99">
        <v>225</v>
      </c>
      <c r="B226" s="95">
        <v>222</v>
      </c>
      <c r="C226" s="96">
        <v>70</v>
      </c>
      <c r="D226" s="97">
        <v>41</v>
      </c>
      <c r="E226" s="98" t="s">
        <v>1329</v>
      </c>
      <c r="F226" s="99">
        <v>45</v>
      </c>
      <c r="G226" s="96" t="s">
        <v>1720</v>
      </c>
      <c r="H226" s="122" t="s">
        <v>1713</v>
      </c>
      <c r="I226" s="95" t="s">
        <v>696</v>
      </c>
      <c r="J226" s="98" t="s">
        <v>1329</v>
      </c>
      <c r="K226" s="100" t="s">
        <v>711</v>
      </c>
      <c r="L226" s="95" t="s">
        <v>895</v>
      </c>
      <c r="M226" s="95">
        <v>1</v>
      </c>
      <c r="N226" s="95" t="s">
        <v>1459</v>
      </c>
      <c r="O226" s="100" t="s">
        <v>1033</v>
      </c>
      <c r="P226" s="95">
        <v>2</v>
      </c>
      <c r="Q226" s="95" t="s">
        <v>340</v>
      </c>
      <c r="R226" s="101" t="s">
        <v>297</v>
      </c>
      <c r="S226" s="102" t="s">
        <v>1330</v>
      </c>
      <c r="T226" s="103"/>
    </row>
    <row r="227" spans="1:20" s="95" customFormat="1" ht="30">
      <c r="A227" s="99">
        <v>226</v>
      </c>
      <c r="B227" s="95">
        <v>224</v>
      </c>
      <c r="C227" s="96">
        <v>70</v>
      </c>
      <c r="D227" s="97">
        <v>96</v>
      </c>
      <c r="E227" s="98" t="s">
        <v>1331</v>
      </c>
      <c r="F227" s="99">
        <v>45</v>
      </c>
      <c r="G227" s="96" t="s">
        <v>1720</v>
      </c>
      <c r="H227" s="122" t="s">
        <v>1715</v>
      </c>
      <c r="I227" s="95" t="s">
        <v>696</v>
      </c>
      <c r="J227" s="98" t="s">
        <v>1329</v>
      </c>
      <c r="K227" s="100" t="s">
        <v>1714</v>
      </c>
      <c r="L227" s="95" t="s">
        <v>897</v>
      </c>
      <c r="M227" s="95">
        <v>2</v>
      </c>
      <c r="N227" s="95" t="s">
        <v>1459</v>
      </c>
      <c r="O227" s="100" t="s">
        <v>1033</v>
      </c>
      <c r="P227" s="95">
        <v>2</v>
      </c>
      <c r="Q227" s="95" t="s">
        <v>340</v>
      </c>
      <c r="R227" s="101" t="s">
        <v>297</v>
      </c>
      <c r="S227" s="102"/>
      <c r="T227" s="103"/>
    </row>
    <row r="228" spans="1:20" s="95" customFormat="1" ht="30">
      <c r="A228" s="99">
        <v>227</v>
      </c>
      <c r="B228" s="95">
        <v>226</v>
      </c>
      <c r="C228" s="96">
        <v>70</v>
      </c>
      <c r="D228" s="97">
        <v>157</v>
      </c>
      <c r="E228" s="98" t="s">
        <v>1332</v>
      </c>
      <c r="F228" s="99">
        <v>45</v>
      </c>
      <c r="G228" s="96" t="s">
        <v>1720</v>
      </c>
      <c r="H228" s="122" t="s">
        <v>1717</v>
      </c>
      <c r="I228" s="95" t="s">
        <v>696</v>
      </c>
      <c r="J228" s="98" t="s">
        <v>1329</v>
      </c>
      <c r="K228" s="100" t="s">
        <v>1716</v>
      </c>
      <c r="L228" s="95" t="s">
        <v>899</v>
      </c>
      <c r="M228" s="95">
        <v>3</v>
      </c>
      <c r="N228" s="95" t="s">
        <v>1459</v>
      </c>
      <c r="O228" s="100" t="s">
        <v>1033</v>
      </c>
      <c r="P228" s="95">
        <v>2</v>
      </c>
      <c r="Q228" s="95" t="s">
        <v>340</v>
      </c>
      <c r="R228" s="101" t="s">
        <v>297</v>
      </c>
      <c r="S228" s="102"/>
      <c r="T228" s="103"/>
    </row>
    <row r="229" spans="1:20" s="95" customFormat="1" ht="30">
      <c r="A229" s="99">
        <v>228</v>
      </c>
      <c r="B229" s="95">
        <v>228</v>
      </c>
      <c r="C229" s="96">
        <v>70</v>
      </c>
      <c r="D229" s="97">
        <v>195</v>
      </c>
      <c r="E229" s="98" t="s">
        <v>1333</v>
      </c>
      <c r="F229" s="99">
        <v>45</v>
      </c>
      <c r="G229" s="96" t="s">
        <v>1720</v>
      </c>
      <c r="H229" s="122" t="s">
        <v>1719</v>
      </c>
      <c r="I229" s="95" t="s">
        <v>696</v>
      </c>
      <c r="J229" s="98" t="s">
        <v>1329</v>
      </c>
      <c r="K229" s="100" t="s">
        <v>1718</v>
      </c>
      <c r="L229" s="95" t="s">
        <v>861</v>
      </c>
      <c r="M229" s="95">
        <v>4</v>
      </c>
      <c r="N229" s="95" t="s">
        <v>1459</v>
      </c>
      <c r="O229" s="100" t="s">
        <v>1033</v>
      </c>
      <c r="P229" s="95">
        <v>2</v>
      </c>
      <c r="Q229" s="95" t="s">
        <v>340</v>
      </c>
      <c r="R229" s="101" t="s">
        <v>317</v>
      </c>
      <c r="S229" s="102" t="s">
        <v>1334</v>
      </c>
      <c r="T229" s="103"/>
    </row>
    <row r="230" spans="1:20" s="95" customFormat="1" ht="30">
      <c r="A230" s="99">
        <v>229</v>
      </c>
      <c r="B230" s="95">
        <v>229</v>
      </c>
      <c r="C230" s="96">
        <v>71</v>
      </c>
      <c r="D230" s="97">
        <v>42</v>
      </c>
      <c r="E230" s="98" t="s">
        <v>1335</v>
      </c>
      <c r="F230" s="99">
        <v>46</v>
      </c>
      <c r="G230" s="96" t="s">
        <v>1721</v>
      </c>
      <c r="H230" s="122" t="s">
        <v>1722</v>
      </c>
      <c r="I230" s="95" t="s">
        <v>696</v>
      </c>
      <c r="J230" s="98" t="s">
        <v>1335</v>
      </c>
      <c r="K230" s="100" t="s">
        <v>67</v>
      </c>
      <c r="L230" s="95" t="s">
        <v>895</v>
      </c>
      <c r="M230" s="95">
        <v>1</v>
      </c>
      <c r="N230" s="95" t="s">
        <v>1459</v>
      </c>
      <c r="O230" s="100" t="s">
        <v>957</v>
      </c>
      <c r="P230" s="95">
        <v>3</v>
      </c>
      <c r="Q230" s="95" t="s">
        <v>295</v>
      </c>
      <c r="R230" s="101" t="s">
        <v>699</v>
      </c>
      <c r="S230" s="102" t="s">
        <v>1336</v>
      </c>
      <c r="T230" s="103"/>
    </row>
    <row r="231" spans="1:20" s="95" customFormat="1" ht="30">
      <c r="A231" s="99">
        <v>230</v>
      </c>
      <c r="B231" s="95">
        <v>231</v>
      </c>
      <c r="C231" s="96">
        <v>71</v>
      </c>
      <c r="D231" s="97">
        <v>97</v>
      </c>
      <c r="E231" s="98" t="s">
        <v>1337</v>
      </c>
      <c r="F231" s="99">
        <v>46</v>
      </c>
      <c r="G231" s="96" t="s">
        <v>1721</v>
      </c>
      <c r="H231" s="122" t="s">
        <v>1724</v>
      </c>
      <c r="I231" s="95" t="s">
        <v>696</v>
      </c>
      <c r="J231" s="98" t="s">
        <v>1335</v>
      </c>
      <c r="K231" s="100" t="s">
        <v>1723</v>
      </c>
      <c r="L231" s="95" t="s">
        <v>897</v>
      </c>
      <c r="M231" s="95">
        <v>2</v>
      </c>
      <c r="N231" s="95" t="s">
        <v>1459</v>
      </c>
      <c r="O231" s="100" t="s">
        <v>957</v>
      </c>
      <c r="P231" s="95">
        <v>3</v>
      </c>
      <c r="Q231" s="95" t="s">
        <v>295</v>
      </c>
      <c r="R231" s="101" t="s">
        <v>699</v>
      </c>
      <c r="S231" s="102" t="s">
        <v>1338</v>
      </c>
      <c r="T231" s="103"/>
    </row>
    <row r="232" spans="1:20" s="95" customFormat="1" ht="30">
      <c r="A232" s="99">
        <v>231</v>
      </c>
      <c r="B232" s="95">
        <v>233</v>
      </c>
      <c r="C232" s="96">
        <v>71</v>
      </c>
      <c r="D232" s="97">
        <v>158</v>
      </c>
      <c r="E232" s="98" t="s">
        <v>1339</v>
      </c>
      <c r="F232" s="99">
        <v>46</v>
      </c>
      <c r="G232" s="96" t="s">
        <v>1721</v>
      </c>
      <c r="H232" s="122" t="s">
        <v>1726</v>
      </c>
      <c r="I232" s="95" t="s">
        <v>696</v>
      </c>
      <c r="J232" s="98" t="s">
        <v>1335</v>
      </c>
      <c r="K232" s="100" t="s">
        <v>1725</v>
      </c>
      <c r="L232" s="95" t="s">
        <v>899</v>
      </c>
      <c r="M232" s="95">
        <v>3</v>
      </c>
      <c r="N232" s="95" t="s">
        <v>1459</v>
      </c>
      <c r="O232" s="100" t="s">
        <v>957</v>
      </c>
      <c r="P232" s="95">
        <v>3</v>
      </c>
      <c r="Q232" s="95" t="s">
        <v>295</v>
      </c>
      <c r="R232" s="101" t="s">
        <v>699</v>
      </c>
      <c r="S232" s="102" t="s">
        <v>1340</v>
      </c>
      <c r="T232" s="103"/>
    </row>
    <row r="233" spans="1:20" s="95" customFormat="1" ht="30">
      <c r="A233" s="99">
        <v>232</v>
      </c>
      <c r="B233" s="95">
        <v>235</v>
      </c>
      <c r="C233" s="96">
        <v>71</v>
      </c>
      <c r="D233" s="97">
        <v>196</v>
      </c>
      <c r="E233" s="98" t="s">
        <v>1341</v>
      </c>
      <c r="F233" s="99">
        <v>46</v>
      </c>
      <c r="G233" s="96" t="s">
        <v>1721</v>
      </c>
      <c r="H233" s="122" t="s">
        <v>1728</v>
      </c>
      <c r="I233" s="95" t="s">
        <v>696</v>
      </c>
      <c r="J233" s="98" t="s">
        <v>1335</v>
      </c>
      <c r="K233" s="100" t="s">
        <v>1727</v>
      </c>
      <c r="L233" s="95" t="s">
        <v>861</v>
      </c>
      <c r="M233" s="95">
        <v>4</v>
      </c>
      <c r="N233" s="95" t="s">
        <v>1459</v>
      </c>
      <c r="O233" s="100" t="s">
        <v>957</v>
      </c>
      <c r="P233" s="95">
        <v>3</v>
      </c>
      <c r="Q233" s="95" t="s">
        <v>295</v>
      </c>
      <c r="R233" s="101" t="s">
        <v>760</v>
      </c>
      <c r="S233" s="102" t="s">
        <v>1342</v>
      </c>
      <c r="T233" s="103"/>
    </row>
    <row r="234" spans="1:20" s="95" customFormat="1" ht="30">
      <c r="A234" s="99">
        <v>233</v>
      </c>
      <c r="B234" s="95">
        <v>230</v>
      </c>
      <c r="C234" s="96">
        <v>72</v>
      </c>
      <c r="D234" s="97">
        <v>42</v>
      </c>
      <c r="E234" s="98" t="s">
        <v>1343</v>
      </c>
      <c r="F234" s="99">
        <v>46</v>
      </c>
      <c r="G234" s="96" t="s">
        <v>1729</v>
      </c>
      <c r="H234" s="122" t="s">
        <v>1722</v>
      </c>
      <c r="I234" s="95" t="s">
        <v>696</v>
      </c>
      <c r="J234" s="98" t="s">
        <v>1343</v>
      </c>
      <c r="K234" s="100" t="s">
        <v>67</v>
      </c>
      <c r="L234" s="95" t="s">
        <v>895</v>
      </c>
      <c r="M234" s="95">
        <v>1</v>
      </c>
      <c r="N234" s="95" t="s">
        <v>1459</v>
      </c>
      <c r="O234" s="100" t="s">
        <v>964</v>
      </c>
      <c r="P234" s="95">
        <v>3</v>
      </c>
      <c r="Q234" s="95" t="s">
        <v>340</v>
      </c>
      <c r="R234" s="101" t="s">
        <v>699</v>
      </c>
      <c r="S234" s="102" t="s">
        <v>1344</v>
      </c>
      <c r="T234" s="103"/>
    </row>
    <row r="235" spans="1:20" s="95" customFormat="1" ht="30">
      <c r="A235" s="99">
        <v>234</v>
      </c>
      <c r="B235" s="95">
        <v>232</v>
      </c>
      <c r="C235" s="96">
        <v>72</v>
      </c>
      <c r="D235" s="97">
        <v>97</v>
      </c>
      <c r="E235" s="98" t="s">
        <v>1345</v>
      </c>
      <c r="F235" s="99">
        <v>46</v>
      </c>
      <c r="G235" s="96" t="s">
        <v>1729</v>
      </c>
      <c r="H235" s="122" t="s">
        <v>1724</v>
      </c>
      <c r="I235" s="95" t="s">
        <v>696</v>
      </c>
      <c r="J235" s="98" t="s">
        <v>1343</v>
      </c>
      <c r="K235" s="100" t="s">
        <v>1723</v>
      </c>
      <c r="L235" s="95" t="s">
        <v>897</v>
      </c>
      <c r="M235" s="95">
        <v>2</v>
      </c>
      <c r="N235" s="95" t="s">
        <v>1459</v>
      </c>
      <c r="O235" s="100" t="s">
        <v>964</v>
      </c>
      <c r="P235" s="95">
        <v>3</v>
      </c>
      <c r="Q235" s="95" t="s">
        <v>340</v>
      </c>
      <c r="R235" s="101" t="s">
        <v>699</v>
      </c>
      <c r="S235" s="102" t="s">
        <v>1346</v>
      </c>
      <c r="T235" s="103"/>
    </row>
    <row r="236" spans="1:20" s="95" customFormat="1" ht="30">
      <c r="A236" s="99">
        <v>235</v>
      </c>
      <c r="B236" s="95">
        <v>234</v>
      </c>
      <c r="C236" s="96">
        <v>72</v>
      </c>
      <c r="D236" s="97">
        <v>158</v>
      </c>
      <c r="E236" s="98" t="s">
        <v>1347</v>
      </c>
      <c r="F236" s="99">
        <v>46</v>
      </c>
      <c r="G236" s="96" t="s">
        <v>1729</v>
      </c>
      <c r="H236" s="122" t="s">
        <v>1726</v>
      </c>
      <c r="I236" s="95" t="s">
        <v>696</v>
      </c>
      <c r="J236" s="98" t="s">
        <v>1343</v>
      </c>
      <c r="K236" s="100" t="s">
        <v>1725</v>
      </c>
      <c r="L236" s="95" t="s">
        <v>899</v>
      </c>
      <c r="M236" s="95">
        <v>3</v>
      </c>
      <c r="N236" s="95" t="s">
        <v>1459</v>
      </c>
      <c r="O236" s="100" t="s">
        <v>964</v>
      </c>
      <c r="P236" s="95">
        <v>3</v>
      </c>
      <c r="Q236" s="95" t="s">
        <v>340</v>
      </c>
      <c r="R236" s="101" t="s">
        <v>699</v>
      </c>
      <c r="S236" s="102"/>
      <c r="T236" s="103"/>
    </row>
    <row r="237" spans="1:20" s="95" customFormat="1" ht="30">
      <c r="A237" s="99">
        <v>236</v>
      </c>
      <c r="B237" s="95">
        <v>236</v>
      </c>
      <c r="C237" s="96">
        <v>72</v>
      </c>
      <c r="D237" s="97">
        <v>196</v>
      </c>
      <c r="E237" s="98" t="s">
        <v>1348</v>
      </c>
      <c r="F237" s="99">
        <v>46</v>
      </c>
      <c r="G237" s="96" t="s">
        <v>1729</v>
      </c>
      <c r="H237" s="122" t="s">
        <v>1728</v>
      </c>
      <c r="I237" s="95" t="s">
        <v>696</v>
      </c>
      <c r="J237" s="98" t="s">
        <v>1343</v>
      </c>
      <c r="K237" s="100" t="s">
        <v>1727</v>
      </c>
      <c r="L237" s="95" t="s">
        <v>861</v>
      </c>
      <c r="M237" s="95">
        <v>4</v>
      </c>
      <c r="N237" s="95" t="s">
        <v>1459</v>
      </c>
      <c r="O237" s="100" t="s">
        <v>964</v>
      </c>
      <c r="P237" s="95">
        <v>3</v>
      </c>
      <c r="Q237" s="95" t="s">
        <v>340</v>
      </c>
      <c r="R237" s="101" t="s">
        <v>760</v>
      </c>
      <c r="S237" s="102" t="s">
        <v>1349</v>
      </c>
      <c r="T237" s="103"/>
    </row>
    <row r="238" spans="1:20" s="95" customFormat="1" ht="30">
      <c r="A238" s="99">
        <v>237</v>
      </c>
      <c r="B238" s="95">
        <v>237</v>
      </c>
      <c r="C238" s="96">
        <v>73</v>
      </c>
      <c r="D238" s="97">
        <v>43</v>
      </c>
      <c r="E238" s="98" t="s">
        <v>1350</v>
      </c>
      <c r="F238" s="99">
        <v>47</v>
      </c>
      <c r="G238" s="96" t="s">
        <v>1730</v>
      </c>
      <c r="H238" s="122" t="s">
        <v>1731</v>
      </c>
      <c r="I238" s="95" t="s">
        <v>696</v>
      </c>
      <c r="J238" s="98" t="s">
        <v>1350</v>
      </c>
      <c r="K238" s="100" t="s">
        <v>729</v>
      </c>
      <c r="L238" s="95" t="s">
        <v>895</v>
      </c>
      <c r="M238" s="95">
        <v>1</v>
      </c>
      <c r="N238" s="95" t="s">
        <v>1459</v>
      </c>
      <c r="O238" s="100" t="s">
        <v>957</v>
      </c>
      <c r="P238" s="95">
        <v>4</v>
      </c>
      <c r="Q238" s="95" t="s">
        <v>295</v>
      </c>
      <c r="R238" s="101" t="s">
        <v>699</v>
      </c>
      <c r="S238" s="102" t="s">
        <v>1351</v>
      </c>
      <c r="T238" s="103"/>
    </row>
    <row r="239" spans="1:20" s="95" customFormat="1" ht="30">
      <c r="A239" s="99">
        <v>238</v>
      </c>
      <c r="B239" s="95">
        <v>239</v>
      </c>
      <c r="C239" s="96">
        <v>73</v>
      </c>
      <c r="D239" s="97">
        <v>98</v>
      </c>
      <c r="E239" s="98" t="s">
        <v>1352</v>
      </c>
      <c r="F239" s="99">
        <v>47</v>
      </c>
      <c r="G239" s="96" t="s">
        <v>1730</v>
      </c>
      <c r="H239" s="122" t="s">
        <v>1733</v>
      </c>
      <c r="I239" s="95" t="s">
        <v>696</v>
      </c>
      <c r="J239" s="98" t="s">
        <v>1350</v>
      </c>
      <c r="K239" s="100" t="s">
        <v>1732</v>
      </c>
      <c r="L239" s="95" t="s">
        <v>897</v>
      </c>
      <c r="M239" s="95">
        <v>2</v>
      </c>
      <c r="N239" s="95" t="s">
        <v>1459</v>
      </c>
      <c r="O239" s="100" t="s">
        <v>957</v>
      </c>
      <c r="P239" s="95">
        <v>4</v>
      </c>
      <c r="Q239" s="95" t="s">
        <v>295</v>
      </c>
      <c r="R239" s="101" t="s">
        <v>699</v>
      </c>
      <c r="S239" s="102" t="s">
        <v>1353</v>
      </c>
      <c r="T239" s="103"/>
    </row>
    <row r="240" spans="1:20" s="95" customFormat="1" ht="30">
      <c r="A240" s="99">
        <v>239</v>
      </c>
      <c r="B240" s="95">
        <v>241</v>
      </c>
      <c r="C240" s="96">
        <v>73</v>
      </c>
      <c r="D240" s="97">
        <v>159</v>
      </c>
      <c r="E240" s="98" t="s">
        <v>1354</v>
      </c>
      <c r="F240" s="99">
        <v>47</v>
      </c>
      <c r="G240" s="96" t="s">
        <v>1730</v>
      </c>
      <c r="H240" s="122" t="s">
        <v>1735</v>
      </c>
      <c r="I240" s="95" t="s">
        <v>696</v>
      </c>
      <c r="J240" s="98" t="s">
        <v>1350</v>
      </c>
      <c r="K240" s="100" t="s">
        <v>1734</v>
      </c>
      <c r="L240" s="95" t="s">
        <v>899</v>
      </c>
      <c r="M240" s="95">
        <v>3</v>
      </c>
      <c r="N240" s="95" t="s">
        <v>1459</v>
      </c>
      <c r="O240" s="100" t="s">
        <v>957</v>
      </c>
      <c r="P240" s="95">
        <v>4</v>
      </c>
      <c r="Q240" s="95" t="s">
        <v>295</v>
      </c>
      <c r="R240" s="101" t="s">
        <v>699</v>
      </c>
      <c r="S240" s="102" t="s">
        <v>1355</v>
      </c>
      <c r="T240" s="103"/>
    </row>
    <row r="241" spans="1:20" s="95" customFormat="1" ht="30">
      <c r="A241" s="99">
        <v>240</v>
      </c>
      <c r="B241" s="95">
        <v>243</v>
      </c>
      <c r="C241" s="96">
        <v>73</v>
      </c>
      <c r="D241" s="97">
        <v>197</v>
      </c>
      <c r="E241" s="98" t="s">
        <v>1356</v>
      </c>
      <c r="F241" s="99">
        <v>47</v>
      </c>
      <c r="G241" s="96" t="s">
        <v>1730</v>
      </c>
      <c r="H241" s="122" t="s">
        <v>1737</v>
      </c>
      <c r="I241" s="95" t="s">
        <v>696</v>
      </c>
      <c r="J241" s="98" t="s">
        <v>1350</v>
      </c>
      <c r="K241" s="100" t="s">
        <v>1736</v>
      </c>
      <c r="L241" s="95" t="s">
        <v>861</v>
      </c>
      <c r="M241" s="95">
        <v>4</v>
      </c>
      <c r="N241" s="95" t="s">
        <v>1459</v>
      </c>
      <c r="O241" s="100" t="s">
        <v>957</v>
      </c>
      <c r="P241" s="95">
        <v>4</v>
      </c>
      <c r="Q241" s="95" t="s">
        <v>295</v>
      </c>
      <c r="R241" s="101" t="s">
        <v>760</v>
      </c>
      <c r="S241" s="102" t="s">
        <v>1357</v>
      </c>
      <c r="T241" s="103"/>
    </row>
    <row r="242" spans="1:20" s="95" customFormat="1" ht="30">
      <c r="A242" s="99">
        <v>241</v>
      </c>
      <c r="B242" s="95">
        <v>238</v>
      </c>
      <c r="C242" s="96">
        <v>74</v>
      </c>
      <c r="D242" s="97">
        <v>43</v>
      </c>
      <c r="E242" s="98" t="s">
        <v>1358</v>
      </c>
      <c r="F242" s="99">
        <v>47</v>
      </c>
      <c r="G242" s="96" t="s">
        <v>1738</v>
      </c>
      <c r="H242" s="122" t="s">
        <v>1731</v>
      </c>
      <c r="I242" s="95" t="s">
        <v>696</v>
      </c>
      <c r="J242" s="98" t="s">
        <v>1358</v>
      </c>
      <c r="K242" s="100" t="s">
        <v>729</v>
      </c>
      <c r="L242" s="95" t="s">
        <v>895</v>
      </c>
      <c r="M242" s="95">
        <v>1</v>
      </c>
      <c r="N242" s="95" t="s">
        <v>1459</v>
      </c>
      <c r="O242" s="100" t="s">
        <v>964</v>
      </c>
      <c r="P242" s="95">
        <v>4</v>
      </c>
      <c r="Q242" s="95" t="s">
        <v>340</v>
      </c>
      <c r="R242" s="101" t="s">
        <v>699</v>
      </c>
      <c r="S242" s="102" t="s">
        <v>1359</v>
      </c>
      <c r="T242" s="103"/>
    </row>
    <row r="243" spans="1:20" s="95" customFormat="1" ht="30">
      <c r="A243" s="99">
        <v>242</v>
      </c>
      <c r="B243" s="95">
        <v>240</v>
      </c>
      <c r="C243" s="96">
        <v>74</v>
      </c>
      <c r="D243" s="97">
        <v>98</v>
      </c>
      <c r="E243" s="98" t="s">
        <v>1360</v>
      </c>
      <c r="F243" s="99">
        <v>47</v>
      </c>
      <c r="G243" s="96" t="s">
        <v>1738</v>
      </c>
      <c r="H243" s="122" t="s">
        <v>1733</v>
      </c>
      <c r="I243" s="95" t="s">
        <v>696</v>
      </c>
      <c r="J243" s="98" t="s">
        <v>1358</v>
      </c>
      <c r="K243" s="100" t="s">
        <v>1732</v>
      </c>
      <c r="L243" s="95" t="s">
        <v>897</v>
      </c>
      <c r="M243" s="95">
        <v>2</v>
      </c>
      <c r="N243" s="95" t="s">
        <v>1459</v>
      </c>
      <c r="O243" s="100" t="s">
        <v>964</v>
      </c>
      <c r="P243" s="95">
        <v>4</v>
      </c>
      <c r="Q243" s="95" t="s">
        <v>340</v>
      </c>
      <c r="R243" s="101" t="s">
        <v>699</v>
      </c>
      <c r="S243" s="102" t="s">
        <v>1361</v>
      </c>
      <c r="T243" s="103"/>
    </row>
    <row r="244" spans="1:20" s="95" customFormat="1" ht="30">
      <c r="A244" s="99">
        <v>243</v>
      </c>
      <c r="B244" s="95">
        <v>242</v>
      </c>
      <c r="C244" s="96">
        <v>74</v>
      </c>
      <c r="D244" s="97">
        <v>159</v>
      </c>
      <c r="E244" s="98" t="s">
        <v>1362</v>
      </c>
      <c r="F244" s="99">
        <v>47</v>
      </c>
      <c r="G244" s="96" t="s">
        <v>1738</v>
      </c>
      <c r="H244" s="122" t="s">
        <v>1735</v>
      </c>
      <c r="I244" s="95" t="s">
        <v>696</v>
      </c>
      <c r="J244" s="98" t="s">
        <v>1358</v>
      </c>
      <c r="K244" s="100" t="s">
        <v>1734</v>
      </c>
      <c r="L244" s="95" t="s">
        <v>899</v>
      </c>
      <c r="M244" s="95">
        <v>3</v>
      </c>
      <c r="N244" s="95" t="s">
        <v>1459</v>
      </c>
      <c r="O244" s="100" t="s">
        <v>964</v>
      </c>
      <c r="P244" s="95">
        <v>4</v>
      </c>
      <c r="Q244" s="95" t="s">
        <v>340</v>
      </c>
      <c r="R244" s="101" t="s">
        <v>699</v>
      </c>
      <c r="S244" s="102"/>
      <c r="T244" s="103"/>
    </row>
    <row r="245" spans="1:20" s="95" customFormat="1" ht="30">
      <c r="A245" s="99">
        <v>244</v>
      </c>
      <c r="B245" s="95">
        <v>244</v>
      </c>
      <c r="C245" s="96">
        <v>74</v>
      </c>
      <c r="D245" s="97">
        <v>197</v>
      </c>
      <c r="E245" s="98" t="s">
        <v>1363</v>
      </c>
      <c r="F245" s="99">
        <v>47</v>
      </c>
      <c r="G245" s="96" t="s">
        <v>1738</v>
      </c>
      <c r="H245" s="122" t="s">
        <v>1737</v>
      </c>
      <c r="I245" s="95" t="s">
        <v>696</v>
      </c>
      <c r="J245" s="98" t="s">
        <v>1358</v>
      </c>
      <c r="K245" s="100" t="s">
        <v>1736</v>
      </c>
      <c r="L245" s="95" t="s">
        <v>861</v>
      </c>
      <c r="M245" s="95">
        <v>4</v>
      </c>
      <c r="N245" s="95" t="s">
        <v>1459</v>
      </c>
      <c r="O245" s="100" t="s">
        <v>964</v>
      </c>
      <c r="P245" s="95">
        <v>4</v>
      </c>
      <c r="Q245" s="95" t="s">
        <v>340</v>
      </c>
      <c r="R245" s="101" t="s">
        <v>760</v>
      </c>
      <c r="S245" s="102" t="s">
        <v>1364</v>
      </c>
      <c r="T245" s="103"/>
    </row>
    <row r="246" spans="1:20" s="95" customFormat="1" ht="30">
      <c r="A246" s="99">
        <v>245</v>
      </c>
      <c r="B246" s="95">
        <v>245</v>
      </c>
      <c r="C246" s="96">
        <v>75</v>
      </c>
      <c r="D246" s="97">
        <v>44</v>
      </c>
      <c r="E246" s="98" t="s">
        <v>744</v>
      </c>
      <c r="F246" s="99">
        <v>48</v>
      </c>
      <c r="G246" s="96" t="s">
        <v>1739</v>
      </c>
      <c r="H246" s="122" t="s">
        <v>1740</v>
      </c>
      <c r="I246" s="95" t="s">
        <v>736</v>
      </c>
      <c r="J246" s="98" t="s">
        <v>744</v>
      </c>
      <c r="K246" s="100" t="s">
        <v>744</v>
      </c>
      <c r="L246" s="95" t="s">
        <v>895</v>
      </c>
      <c r="M246" s="95">
        <v>1</v>
      </c>
      <c r="N246" s="95" t="s">
        <v>1459</v>
      </c>
      <c r="O246" s="100" t="s">
        <v>957</v>
      </c>
      <c r="P246" s="95">
        <v>3</v>
      </c>
      <c r="Q246" s="95" t="s">
        <v>295</v>
      </c>
      <c r="R246" s="101" t="s">
        <v>699</v>
      </c>
      <c r="S246" s="102" t="s">
        <v>1365</v>
      </c>
      <c r="T246" s="103"/>
    </row>
    <row r="247" spans="1:20" s="95" customFormat="1" ht="30">
      <c r="A247" s="99">
        <v>246</v>
      </c>
      <c r="B247" s="95">
        <v>246</v>
      </c>
      <c r="C247" s="96">
        <v>75</v>
      </c>
      <c r="D247" s="97">
        <v>99</v>
      </c>
      <c r="E247" s="98" t="s">
        <v>1366</v>
      </c>
      <c r="F247" s="99">
        <v>48</v>
      </c>
      <c r="G247" s="96" t="s">
        <v>1739</v>
      </c>
      <c r="H247" s="122" t="s">
        <v>1741</v>
      </c>
      <c r="I247" s="95" t="s">
        <v>736</v>
      </c>
      <c r="J247" s="98" t="s">
        <v>744</v>
      </c>
      <c r="K247" s="100" t="s">
        <v>1366</v>
      </c>
      <c r="L247" s="95" t="s">
        <v>897</v>
      </c>
      <c r="M247" s="95">
        <v>2</v>
      </c>
      <c r="N247" s="95" t="s">
        <v>1459</v>
      </c>
      <c r="O247" s="100" t="s">
        <v>957</v>
      </c>
      <c r="P247" s="95">
        <v>3</v>
      </c>
      <c r="Q247" s="95" t="s">
        <v>295</v>
      </c>
      <c r="R247" s="101" t="s">
        <v>699</v>
      </c>
      <c r="S247" s="107" t="s">
        <v>1367</v>
      </c>
      <c r="T247" s="103"/>
    </row>
    <row r="248" spans="1:20" s="95" customFormat="1" ht="30">
      <c r="A248" s="99">
        <v>247</v>
      </c>
      <c r="B248" s="95">
        <v>247</v>
      </c>
      <c r="C248" s="96">
        <v>75</v>
      </c>
      <c r="D248" s="97">
        <v>160</v>
      </c>
      <c r="E248" s="98" t="s">
        <v>1368</v>
      </c>
      <c r="F248" s="99">
        <v>48</v>
      </c>
      <c r="G248" s="96" t="s">
        <v>1739</v>
      </c>
      <c r="H248" s="122" t="s">
        <v>1742</v>
      </c>
      <c r="I248" s="95" t="s">
        <v>736</v>
      </c>
      <c r="J248" s="98" t="s">
        <v>744</v>
      </c>
      <c r="K248" s="100" t="s">
        <v>1368</v>
      </c>
      <c r="L248" s="95" t="s">
        <v>899</v>
      </c>
      <c r="M248" s="95">
        <v>3</v>
      </c>
      <c r="N248" s="95" t="s">
        <v>1459</v>
      </c>
      <c r="O248" s="100" t="s">
        <v>957</v>
      </c>
      <c r="P248" s="95">
        <v>3</v>
      </c>
      <c r="Q248" s="95" t="s">
        <v>295</v>
      </c>
      <c r="R248" s="101" t="s">
        <v>699</v>
      </c>
      <c r="S248" s="102" t="s">
        <v>1369</v>
      </c>
      <c r="T248" s="103"/>
    </row>
    <row r="249" spans="1:20" s="95" customFormat="1" ht="30">
      <c r="A249" s="99">
        <v>248</v>
      </c>
      <c r="B249" s="95">
        <v>248</v>
      </c>
      <c r="C249" s="96">
        <v>75</v>
      </c>
      <c r="D249" s="97">
        <v>198</v>
      </c>
      <c r="E249" s="98" t="s">
        <v>1370</v>
      </c>
      <c r="F249" s="99">
        <v>48</v>
      </c>
      <c r="G249" s="96" t="s">
        <v>1739</v>
      </c>
      <c r="H249" s="122" t="s">
        <v>1743</v>
      </c>
      <c r="I249" s="95" t="s">
        <v>736</v>
      </c>
      <c r="J249" s="98" t="s">
        <v>744</v>
      </c>
      <c r="K249" s="100" t="s">
        <v>1370</v>
      </c>
      <c r="L249" s="95" t="s">
        <v>861</v>
      </c>
      <c r="M249" s="95">
        <v>4</v>
      </c>
      <c r="N249" s="95" t="s">
        <v>1459</v>
      </c>
      <c r="O249" s="100" t="s">
        <v>957</v>
      </c>
      <c r="P249" s="95">
        <v>3</v>
      </c>
      <c r="Q249" s="95" t="s">
        <v>295</v>
      </c>
      <c r="R249" s="101" t="s">
        <v>760</v>
      </c>
      <c r="S249" s="102" t="s">
        <v>1371</v>
      </c>
      <c r="T249" s="103"/>
    </row>
    <row r="250" spans="1:20" s="95" customFormat="1" ht="30">
      <c r="A250" s="99">
        <v>249</v>
      </c>
      <c r="B250" s="95">
        <v>249</v>
      </c>
      <c r="C250" s="96">
        <v>76</v>
      </c>
      <c r="D250" s="97">
        <v>45</v>
      </c>
      <c r="E250" s="98" t="s">
        <v>1372</v>
      </c>
      <c r="F250" s="99">
        <v>49</v>
      </c>
      <c r="G250" s="96" t="s">
        <v>1744</v>
      </c>
      <c r="H250" s="122" t="s">
        <v>1745</v>
      </c>
      <c r="I250" s="95" t="s">
        <v>736</v>
      </c>
      <c r="J250" s="98" t="s">
        <v>1372</v>
      </c>
      <c r="K250" s="100" t="s">
        <v>737</v>
      </c>
      <c r="L250" s="95" t="s">
        <v>895</v>
      </c>
      <c r="M250" s="95">
        <v>1</v>
      </c>
      <c r="N250" s="95" t="s">
        <v>1459</v>
      </c>
      <c r="O250" s="100" t="s">
        <v>1030</v>
      </c>
      <c r="P250" s="95">
        <v>1</v>
      </c>
      <c r="Q250" s="95" t="s">
        <v>295</v>
      </c>
      <c r="R250" s="101" t="s">
        <v>699</v>
      </c>
      <c r="S250" s="102" t="s">
        <v>1373</v>
      </c>
      <c r="T250" s="103"/>
    </row>
    <row r="251" spans="1:20" s="95" customFormat="1" ht="30">
      <c r="A251" s="99">
        <v>250</v>
      </c>
      <c r="B251" s="95">
        <v>251</v>
      </c>
      <c r="C251" s="96">
        <v>76</v>
      </c>
      <c r="D251" s="97">
        <v>100</v>
      </c>
      <c r="E251" s="98" t="s">
        <v>1374</v>
      </c>
      <c r="F251" s="99">
        <v>49</v>
      </c>
      <c r="G251" s="96" t="s">
        <v>1744</v>
      </c>
      <c r="H251" s="122" t="s">
        <v>1746</v>
      </c>
      <c r="I251" s="95" t="s">
        <v>736</v>
      </c>
      <c r="J251" s="98" t="s">
        <v>1372</v>
      </c>
      <c r="K251" s="100" t="s">
        <v>286</v>
      </c>
      <c r="L251" s="95" t="s">
        <v>897</v>
      </c>
      <c r="M251" s="95">
        <v>2</v>
      </c>
      <c r="N251" s="95" t="s">
        <v>1459</v>
      </c>
      <c r="O251" s="100" t="s">
        <v>1030</v>
      </c>
      <c r="P251" s="95">
        <v>1</v>
      </c>
      <c r="Q251" s="95" t="s">
        <v>295</v>
      </c>
      <c r="R251" s="101" t="s">
        <v>699</v>
      </c>
      <c r="S251" s="102" t="s">
        <v>1375</v>
      </c>
      <c r="T251" s="103"/>
    </row>
    <row r="252" spans="1:20" s="95" customFormat="1" ht="30">
      <c r="A252" s="99">
        <v>251</v>
      </c>
      <c r="B252" s="95">
        <v>253</v>
      </c>
      <c r="C252" s="96">
        <v>76</v>
      </c>
      <c r="D252" s="97">
        <v>161</v>
      </c>
      <c r="E252" s="98" t="s">
        <v>1376</v>
      </c>
      <c r="F252" s="99">
        <v>49</v>
      </c>
      <c r="G252" s="96" t="s">
        <v>1744</v>
      </c>
      <c r="H252" s="122" t="s">
        <v>1748</v>
      </c>
      <c r="I252" s="95" t="s">
        <v>736</v>
      </c>
      <c r="J252" s="98" t="s">
        <v>1372</v>
      </c>
      <c r="K252" s="100" t="s">
        <v>1747</v>
      </c>
      <c r="L252" s="95" t="s">
        <v>899</v>
      </c>
      <c r="M252" s="95">
        <v>3</v>
      </c>
      <c r="N252" s="95" t="s">
        <v>1459</v>
      </c>
      <c r="O252" s="100" t="s">
        <v>1030</v>
      </c>
      <c r="P252" s="95">
        <v>1</v>
      </c>
      <c r="Q252" s="95" t="s">
        <v>295</v>
      </c>
      <c r="R252" s="101" t="s">
        <v>699</v>
      </c>
      <c r="S252" s="102" t="s">
        <v>1377</v>
      </c>
      <c r="T252" s="103"/>
    </row>
    <row r="253" spans="1:20" s="95" customFormat="1" ht="30">
      <c r="A253" s="99">
        <v>252</v>
      </c>
      <c r="B253" s="95">
        <v>255</v>
      </c>
      <c r="C253" s="96">
        <v>76</v>
      </c>
      <c r="D253" s="97">
        <v>199</v>
      </c>
      <c r="E253" s="98" t="s">
        <v>1378</v>
      </c>
      <c r="F253" s="99">
        <v>49</v>
      </c>
      <c r="G253" s="96" t="s">
        <v>1744</v>
      </c>
      <c r="H253" s="122" t="s">
        <v>1750</v>
      </c>
      <c r="I253" s="95" t="s">
        <v>736</v>
      </c>
      <c r="J253" s="98" t="s">
        <v>1372</v>
      </c>
      <c r="K253" s="100" t="s">
        <v>1749</v>
      </c>
      <c r="L253" s="95" t="s">
        <v>861</v>
      </c>
      <c r="M253" s="95">
        <v>4</v>
      </c>
      <c r="N253" s="95" t="s">
        <v>1459</v>
      </c>
      <c r="O253" s="100" t="s">
        <v>1030</v>
      </c>
      <c r="P253" s="95">
        <v>1</v>
      </c>
      <c r="Q253" s="95" t="s">
        <v>295</v>
      </c>
      <c r="R253" s="101" t="s">
        <v>760</v>
      </c>
      <c r="S253" s="102" t="s">
        <v>1379</v>
      </c>
      <c r="T253" s="103"/>
    </row>
    <row r="254" spans="1:20" s="95" customFormat="1" ht="30">
      <c r="A254" s="99">
        <v>253</v>
      </c>
      <c r="B254" s="95">
        <v>250</v>
      </c>
      <c r="C254" s="96">
        <v>77</v>
      </c>
      <c r="D254" s="97">
        <v>45</v>
      </c>
      <c r="E254" s="98" t="s">
        <v>1380</v>
      </c>
      <c r="F254" s="99">
        <v>49</v>
      </c>
      <c r="G254" s="96" t="s">
        <v>1751</v>
      </c>
      <c r="H254" s="122" t="s">
        <v>1745</v>
      </c>
      <c r="I254" s="95" t="s">
        <v>736</v>
      </c>
      <c r="J254" s="98" t="s">
        <v>1380</v>
      </c>
      <c r="K254" s="100" t="s">
        <v>737</v>
      </c>
      <c r="L254" s="95" t="s">
        <v>895</v>
      </c>
      <c r="M254" s="95">
        <v>1</v>
      </c>
      <c r="N254" s="95" t="s">
        <v>1459</v>
      </c>
      <c r="O254" s="100" t="s">
        <v>1033</v>
      </c>
      <c r="P254" s="95">
        <v>1</v>
      </c>
      <c r="Q254" s="95" t="s">
        <v>340</v>
      </c>
      <c r="R254" s="101" t="s">
        <v>297</v>
      </c>
      <c r="S254" s="102" t="s">
        <v>1381</v>
      </c>
      <c r="T254" s="103"/>
    </row>
    <row r="255" spans="1:20" s="95" customFormat="1" ht="30">
      <c r="A255" s="99">
        <v>254</v>
      </c>
      <c r="B255" s="95">
        <v>252</v>
      </c>
      <c r="C255" s="96">
        <v>77</v>
      </c>
      <c r="D255" s="97">
        <v>100</v>
      </c>
      <c r="E255" s="98" t="s">
        <v>1382</v>
      </c>
      <c r="F255" s="99">
        <v>49</v>
      </c>
      <c r="G255" s="96" t="s">
        <v>1751</v>
      </c>
      <c r="H255" s="122" t="s">
        <v>1746</v>
      </c>
      <c r="I255" s="95" t="s">
        <v>736</v>
      </c>
      <c r="J255" s="98" t="s">
        <v>1380</v>
      </c>
      <c r="K255" s="100" t="s">
        <v>286</v>
      </c>
      <c r="L255" s="95" t="s">
        <v>897</v>
      </c>
      <c r="M255" s="95">
        <v>2</v>
      </c>
      <c r="N255" s="95" t="s">
        <v>1459</v>
      </c>
      <c r="O255" s="100" t="s">
        <v>1033</v>
      </c>
      <c r="P255" s="95">
        <v>1</v>
      </c>
      <c r="Q255" s="95" t="s">
        <v>340</v>
      </c>
      <c r="R255" s="101" t="s">
        <v>297</v>
      </c>
      <c r="S255" s="102"/>
      <c r="T255" s="103"/>
    </row>
    <row r="256" spans="1:20" s="95" customFormat="1" ht="30">
      <c r="A256" s="99">
        <v>255</v>
      </c>
      <c r="B256" s="95">
        <v>254</v>
      </c>
      <c r="C256" s="96">
        <v>77</v>
      </c>
      <c r="D256" s="97">
        <v>161</v>
      </c>
      <c r="E256" s="98" t="s">
        <v>1383</v>
      </c>
      <c r="F256" s="99">
        <v>49</v>
      </c>
      <c r="G256" s="96" t="s">
        <v>1751</v>
      </c>
      <c r="H256" s="122" t="s">
        <v>1748</v>
      </c>
      <c r="I256" s="95" t="s">
        <v>736</v>
      </c>
      <c r="J256" s="98" t="s">
        <v>1380</v>
      </c>
      <c r="K256" s="100" t="s">
        <v>1747</v>
      </c>
      <c r="L256" s="95" t="s">
        <v>899</v>
      </c>
      <c r="M256" s="95">
        <v>3</v>
      </c>
      <c r="N256" s="95" t="s">
        <v>1459</v>
      </c>
      <c r="O256" s="100" t="s">
        <v>1033</v>
      </c>
      <c r="P256" s="95">
        <v>1</v>
      </c>
      <c r="Q256" s="95" t="s">
        <v>340</v>
      </c>
      <c r="R256" s="101" t="s">
        <v>297</v>
      </c>
      <c r="S256" s="102"/>
      <c r="T256" s="103"/>
    </row>
    <row r="257" spans="1:20" s="95" customFormat="1" ht="30">
      <c r="A257" s="99">
        <v>256</v>
      </c>
      <c r="B257" s="95">
        <v>256</v>
      </c>
      <c r="C257" s="96">
        <v>77</v>
      </c>
      <c r="D257" s="97">
        <v>199</v>
      </c>
      <c r="E257" s="98" t="s">
        <v>1384</v>
      </c>
      <c r="F257" s="99">
        <v>49</v>
      </c>
      <c r="G257" s="96" t="s">
        <v>1751</v>
      </c>
      <c r="H257" s="122" t="s">
        <v>1750</v>
      </c>
      <c r="I257" s="95" t="s">
        <v>736</v>
      </c>
      <c r="J257" s="98" t="s">
        <v>1380</v>
      </c>
      <c r="K257" s="100" t="s">
        <v>1749</v>
      </c>
      <c r="L257" s="95" t="s">
        <v>861</v>
      </c>
      <c r="M257" s="95">
        <v>4</v>
      </c>
      <c r="N257" s="95" t="s">
        <v>1459</v>
      </c>
      <c r="O257" s="100" t="s">
        <v>1033</v>
      </c>
      <c r="P257" s="95">
        <v>1</v>
      </c>
      <c r="Q257" s="95" t="s">
        <v>340</v>
      </c>
      <c r="R257" s="101" t="s">
        <v>317</v>
      </c>
      <c r="S257" s="102" t="s">
        <v>1385</v>
      </c>
      <c r="T257" s="103"/>
    </row>
    <row r="258" spans="1:20" s="95" customFormat="1" ht="30">
      <c r="A258" s="99">
        <v>257</v>
      </c>
      <c r="B258" s="95">
        <v>257</v>
      </c>
      <c r="C258" s="96">
        <v>78</v>
      </c>
      <c r="D258" s="97">
        <v>46</v>
      </c>
      <c r="E258" s="98" t="s">
        <v>806</v>
      </c>
      <c r="F258" s="99">
        <v>50</v>
      </c>
      <c r="G258" s="96" t="s">
        <v>1752</v>
      </c>
      <c r="H258" s="122" t="s">
        <v>1753</v>
      </c>
      <c r="I258" s="95" t="s">
        <v>805</v>
      </c>
      <c r="J258" s="98" t="s">
        <v>806</v>
      </c>
      <c r="K258" s="100" t="s">
        <v>806</v>
      </c>
      <c r="L258" s="95" t="s">
        <v>895</v>
      </c>
      <c r="M258" s="95">
        <v>1</v>
      </c>
      <c r="N258" s="95" t="s">
        <v>1459</v>
      </c>
      <c r="O258" s="100" t="s">
        <v>957</v>
      </c>
      <c r="P258" s="95">
        <v>3</v>
      </c>
      <c r="Q258" s="95" t="s">
        <v>295</v>
      </c>
      <c r="R258" s="101" t="s">
        <v>807</v>
      </c>
      <c r="S258" s="102" t="s">
        <v>1386</v>
      </c>
      <c r="T258" s="103"/>
    </row>
    <row r="259" spans="1:20" s="95" customFormat="1" ht="30">
      <c r="A259" s="99">
        <v>258</v>
      </c>
      <c r="B259" s="95">
        <v>258</v>
      </c>
      <c r="C259" s="96">
        <v>78</v>
      </c>
      <c r="D259" s="97">
        <v>101</v>
      </c>
      <c r="E259" s="98" t="s">
        <v>1387</v>
      </c>
      <c r="F259" s="99">
        <v>50</v>
      </c>
      <c r="G259" s="96" t="s">
        <v>1752</v>
      </c>
      <c r="H259" s="122" t="s">
        <v>1754</v>
      </c>
      <c r="I259" s="95" t="s">
        <v>805</v>
      </c>
      <c r="J259" s="98" t="s">
        <v>806</v>
      </c>
      <c r="K259" s="100" t="s">
        <v>1387</v>
      </c>
      <c r="L259" s="95" t="s">
        <v>897</v>
      </c>
      <c r="M259" s="95">
        <v>2</v>
      </c>
      <c r="N259" s="95" t="s">
        <v>1459</v>
      </c>
      <c r="O259" s="100" t="s">
        <v>957</v>
      </c>
      <c r="P259" s="95">
        <v>3</v>
      </c>
      <c r="Q259" s="95" t="s">
        <v>295</v>
      </c>
      <c r="R259" s="101" t="s">
        <v>807</v>
      </c>
      <c r="S259" s="102" t="s">
        <v>1388</v>
      </c>
      <c r="T259" s="103"/>
    </row>
    <row r="260" spans="1:20" s="95" customFormat="1" ht="30">
      <c r="A260" s="99">
        <v>259</v>
      </c>
      <c r="B260" s="95">
        <v>259</v>
      </c>
      <c r="C260" s="96">
        <v>78</v>
      </c>
      <c r="D260" s="97">
        <v>162</v>
      </c>
      <c r="E260" s="98" t="s">
        <v>1389</v>
      </c>
      <c r="F260" s="99">
        <v>50</v>
      </c>
      <c r="G260" s="96" t="s">
        <v>1752</v>
      </c>
      <c r="H260" s="122" t="s">
        <v>1755</v>
      </c>
      <c r="I260" s="95" t="s">
        <v>805</v>
      </c>
      <c r="J260" s="98" t="s">
        <v>806</v>
      </c>
      <c r="K260" s="100" t="s">
        <v>1389</v>
      </c>
      <c r="L260" s="95" t="s">
        <v>899</v>
      </c>
      <c r="M260" s="95">
        <v>3</v>
      </c>
      <c r="N260" s="95" t="s">
        <v>1459</v>
      </c>
      <c r="O260" s="100" t="s">
        <v>957</v>
      </c>
      <c r="P260" s="95">
        <v>3</v>
      </c>
      <c r="Q260" s="95" t="s">
        <v>295</v>
      </c>
      <c r="R260" s="101" t="s">
        <v>807</v>
      </c>
      <c r="S260" s="102" t="s">
        <v>1390</v>
      </c>
      <c r="T260" s="103"/>
    </row>
    <row r="261" spans="1:20" s="95" customFormat="1" ht="30">
      <c r="A261" s="99">
        <v>260</v>
      </c>
      <c r="B261" s="95">
        <v>260</v>
      </c>
      <c r="C261" s="96">
        <v>79</v>
      </c>
      <c r="D261" s="97">
        <v>47</v>
      </c>
      <c r="E261" s="98" t="s">
        <v>810</v>
      </c>
      <c r="F261" s="99">
        <v>51</v>
      </c>
      <c r="G261" s="96" t="s">
        <v>1756</v>
      </c>
      <c r="H261" s="122" t="s">
        <v>1757</v>
      </c>
      <c r="I261" s="95" t="s">
        <v>805</v>
      </c>
      <c r="J261" s="98" t="s">
        <v>810</v>
      </c>
      <c r="K261" s="100" t="s">
        <v>810</v>
      </c>
      <c r="L261" s="95" t="s">
        <v>895</v>
      </c>
      <c r="M261" s="95">
        <v>1</v>
      </c>
      <c r="N261" s="95" t="s">
        <v>1459</v>
      </c>
      <c r="O261" s="100" t="s">
        <v>1030</v>
      </c>
      <c r="P261" s="95">
        <v>1</v>
      </c>
      <c r="Q261" s="95" t="s">
        <v>295</v>
      </c>
      <c r="R261" s="101" t="s">
        <v>387</v>
      </c>
      <c r="S261" s="102" t="s">
        <v>1391</v>
      </c>
      <c r="T261" s="103"/>
    </row>
    <row r="262" spans="1:20" s="95" customFormat="1" ht="30">
      <c r="A262" s="99">
        <v>261</v>
      </c>
      <c r="B262" s="95">
        <v>261</v>
      </c>
      <c r="C262" s="96">
        <v>79</v>
      </c>
      <c r="D262" s="97">
        <v>102</v>
      </c>
      <c r="E262" s="98" t="s">
        <v>1392</v>
      </c>
      <c r="F262" s="99">
        <v>51</v>
      </c>
      <c r="G262" s="96" t="s">
        <v>1756</v>
      </c>
      <c r="H262" s="122" t="s">
        <v>1758</v>
      </c>
      <c r="I262" s="95" t="s">
        <v>805</v>
      </c>
      <c r="J262" s="98" t="s">
        <v>810</v>
      </c>
      <c r="K262" s="100" t="s">
        <v>1392</v>
      </c>
      <c r="L262" s="95" t="s">
        <v>897</v>
      </c>
      <c r="M262" s="95">
        <v>2</v>
      </c>
      <c r="N262" s="95" t="s">
        <v>1459</v>
      </c>
      <c r="O262" s="100" t="s">
        <v>1030</v>
      </c>
      <c r="P262" s="95">
        <v>1</v>
      </c>
      <c r="Q262" s="95" t="s">
        <v>295</v>
      </c>
      <c r="R262" s="101" t="s">
        <v>387</v>
      </c>
      <c r="S262" s="102" t="s">
        <v>1393</v>
      </c>
      <c r="T262" s="103"/>
    </row>
    <row r="263" spans="1:20" s="95" customFormat="1" ht="30">
      <c r="A263" s="112">
        <v>262</v>
      </c>
      <c r="B263" s="95">
        <v>262</v>
      </c>
      <c r="C263" s="96">
        <v>79</v>
      </c>
      <c r="D263" s="111">
        <v>163</v>
      </c>
      <c r="E263" s="98" t="s">
        <v>1394</v>
      </c>
      <c r="F263" s="112">
        <v>51</v>
      </c>
      <c r="G263" s="96" t="s">
        <v>1756</v>
      </c>
      <c r="H263" s="122" t="s">
        <v>1760</v>
      </c>
      <c r="I263" s="115" t="s">
        <v>805</v>
      </c>
      <c r="J263" s="98" t="s">
        <v>810</v>
      </c>
      <c r="K263" s="114" t="s">
        <v>1759</v>
      </c>
      <c r="L263" s="113" t="s">
        <v>899</v>
      </c>
      <c r="M263" s="100">
        <v>3</v>
      </c>
      <c r="N263" s="95" t="s">
        <v>1459</v>
      </c>
      <c r="O263" s="100" t="s">
        <v>1030</v>
      </c>
      <c r="P263" s="95">
        <v>1</v>
      </c>
      <c r="Q263" s="95" t="s">
        <v>295</v>
      </c>
      <c r="R263" s="101" t="s">
        <v>387</v>
      </c>
      <c r="S263" s="102" t="s">
        <v>1395</v>
      </c>
      <c r="T263" s="103"/>
    </row>
    <row r="264" spans="1:20" s="95" customFormat="1" ht="30">
      <c r="A264" s="99">
        <v>263</v>
      </c>
      <c r="B264" s="95">
        <v>263</v>
      </c>
      <c r="C264" s="96">
        <v>80</v>
      </c>
      <c r="D264" s="97">
        <v>48</v>
      </c>
      <c r="E264" s="98" t="s">
        <v>814</v>
      </c>
      <c r="F264" s="99">
        <v>52</v>
      </c>
      <c r="G264" s="96" t="s">
        <v>1761</v>
      </c>
      <c r="H264" s="122" t="s">
        <v>1762</v>
      </c>
      <c r="I264" s="95" t="s">
        <v>805</v>
      </c>
      <c r="J264" s="98" t="s">
        <v>814</v>
      </c>
      <c r="K264" s="100" t="s">
        <v>814</v>
      </c>
      <c r="L264" s="95" t="s">
        <v>895</v>
      </c>
      <c r="M264" s="95">
        <v>1</v>
      </c>
      <c r="N264" s="95" t="s">
        <v>1459</v>
      </c>
      <c r="O264" s="100" t="s">
        <v>957</v>
      </c>
      <c r="P264" s="95">
        <v>3</v>
      </c>
      <c r="Q264" s="95" t="s">
        <v>295</v>
      </c>
      <c r="R264" s="101" t="s">
        <v>807</v>
      </c>
      <c r="S264" s="102" t="s">
        <v>1396</v>
      </c>
      <c r="T264" s="103"/>
    </row>
    <row r="265" spans="1:20" s="95" customFormat="1" ht="30">
      <c r="A265" s="99">
        <v>264</v>
      </c>
      <c r="B265" s="95">
        <v>264</v>
      </c>
      <c r="C265" s="96">
        <v>80</v>
      </c>
      <c r="D265" s="97">
        <v>103</v>
      </c>
      <c r="E265" s="98" t="s">
        <v>1397</v>
      </c>
      <c r="F265" s="99">
        <v>52</v>
      </c>
      <c r="G265" s="96" t="s">
        <v>1761</v>
      </c>
      <c r="H265" s="122" t="s">
        <v>1763</v>
      </c>
      <c r="I265" s="95" t="s">
        <v>805</v>
      </c>
      <c r="J265" s="98" t="s">
        <v>814</v>
      </c>
      <c r="K265" s="100" t="s">
        <v>1397</v>
      </c>
      <c r="L265" s="95" t="s">
        <v>897</v>
      </c>
      <c r="M265" s="95">
        <v>2</v>
      </c>
      <c r="N265" s="95" t="s">
        <v>1459</v>
      </c>
      <c r="O265" s="100" t="s">
        <v>957</v>
      </c>
      <c r="P265" s="95">
        <v>3</v>
      </c>
      <c r="Q265" s="95" t="s">
        <v>295</v>
      </c>
      <c r="R265" s="101" t="s">
        <v>807</v>
      </c>
      <c r="S265" s="102" t="s">
        <v>1398</v>
      </c>
      <c r="T265" s="103"/>
    </row>
    <row r="266" spans="1:20" s="95" customFormat="1" ht="30">
      <c r="A266" s="99">
        <v>265</v>
      </c>
      <c r="B266" s="95">
        <v>265</v>
      </c>
      <c r="C266" s="96">
        <v>80</v>
      </c>
      <c r="D266" s="97">
        <v>164</v>
      </c>
      <c r="E266" s="98" t="s">
        <v>1399</v>
      </c>
      <c r="F266" s="99">
        <v>52</v>
      </c>
      <c r="G266" s="96" t="s">
        <v>1761</v>
      </c>
      <c r="H266" s="122" t="s">
        <v>1764</v>
      </c>
      <c r="I266" s="95" t="s">
        <v>805</v>
      </c>
      <c r="J266" s="98" t="s">
        <v>814</v>
      </c>
      <c r="K266" s="100" t="s">
        <v>1399</v>
      </c>
      <c r="L266" s="95" t="s">
        <v>899</v>
      </c>
      <c r="M266" s="95">
        <v>3</v>
      </c>
      <c r="N266" s="95" t="s">
        <v>1459</v>
      </c>
      <c r="O266" s="100" t="s">
        <v>957</v>
      </c>
      <c r="P266" s="95">
        <v>3</v>
      </c>
      <c r="Q266" s="95" t="s">
        <v>295</v>
      </c>
      <c r="R266" s="101" t="s">
        <v>807</v>
      </c>
      <c r="S266" s="102" t="s">
        <v>1400</v>
      </c>
      <c r="T266" s="103"/>
    </row>
    <row r="267" spans="1:20" s="95" customFormat="1" ht="30">
      <c r="A267" s="99">
        <v>266</v>
      </c>
      <c r="B267" s="95">
        <v>266</v>
      </c>
      <c r="C267" s="96">
        <v>81</v>
      </c>
      <c r="D267" s="97">
        <v>49</v>
      </c>
      <c r="E267" s="98" t="s">
        <v>818</v>
      </c>
      <c r="F267" s="99">
        <v>53</v>
      </c>
      <c r="G267" s="96" t="s">
        <v>1765</v>
      </c>
      <c r="H267" s="122" t="s">
        <v>1766</v>
      </c>
      <c r="I267" s="95" t="s">
        <v>817</v>
      </c>
      <c r="J267" s="98" t="s">
        <v>818</v>
      </c>
      <c r="K267" s="100" t="s">
        <v>818</v>
      </c>
      <c r="L267" s="95" t="s">
        <v>895</v>
      </c>
      <c r="M267" s="95">
        <v>1</v>
      </c>
      <c r="N267" s="95" t="s">
        <v>1459</v>
      </c>
      <c r="O267" s="100" t="s">
        <v>957</v>
      </c>
      <c r="P267" s="95">
        <v>3</v>
      </c>
      <c r="Q267" s="95" t="s">
        <v>295</v>
      </c>
      <c r="R267" s="101" t="s">
        <v>819</v>
      </c>
      <c r="S267" s="102" t="s">
        <v>1401</v>
      </c>
      <c r="T267" s="103"/>
    </row>
    <row r="268" spans="1:20" s="95" customFormat="1" ht="30">
      <c r="A268" s="99">
        <v>267</v>
      </c>
      <c r="B268" s="95">
        <v>267</v>
      </c>
      <c r="C268" s="96">
        <v>81</v>
      </c>
      <c r="D268" s="97">
        <v>104</v>
      </c>
      <c r="E268" s="98" t="s">
        <v>1402</v>
      </c>
      <c r="F268" s="99">
        <v>53</v>
      </c>
      <c r="G268" s="96" t="s">
        <v>1765</v>
      </c>
      <c r="H268" s="122" t="s">
        <v>1767</v>
      </c>
      <c r="I268" s="95" t="s">
        <v>817</v>
      </c>
      <c r="J268" s="98" t="s">
        <v>818</v>
      </c>
      <c r="K268" s="100" t="s">
        <v>1402</v>
      </c>
      <c r="L268" s="95" t="s">
        <v>897</v>
      </c>
      <c r="M268" s="95">
        <v>2</v>
      </c>
      <c r="N268" s="95" t="s">
        <v>1459</v>
      </c>
      <c r="O268" s="100" t="s">
        <v>957</v>
      </c>
      <c r="P268" s="95">
        <v>3</v>
      </c>
      <c r="Q268" s="95" t="s">
        <v>295</v>
      </c>
      <c r="R268" s="101" t="s">
        <v>819</v>
      </c>
      <c r="S268" s="102" t="s">
        <v>1403</v>
      </c>
      <c r="T268" s="103"/>
    </row>
    <row r="269" spans="1:20" s="95" customFormat="1" ht="30">
      <c r="A269" s="99">
        <v>268</v>
      </c>
      <c r="B269" s="95">
        <v>268</v>
      </c>
      <c r="C269" s="96">
        <v>81</v>
      </c>
      <c r="D269" s="97">
        <v>165</v>
      </c>
      <c r="E269" s="98" t="s">
        <v>1404</v>
      </c>
      <c r="F269" s="99">
        <v>53</v>
      </c>
      <c r="G269" s="96" t="s">
        <v>1765</v>
      </c>
      <c r="H269" s="122" t="s">
        <v>1768</v>
      </c>
      <c r="I269" s="95" t="s">
        <v>817</v>
      </c>
      <c r="J269" s="98" t="s">
        <v>818</v>
      </c>
      <c r="K269" s="100" t="s">
        <v>1404</v>
      </c>
      <c r="L269" s="95" t="s">
        <v>899</v>
      </c>
      <c r="M269" s="95">
        <v>3</v>
      </c>
      <c r="N269" s="95" t="s">
        <v>1459</v>
      </c>
      <c r="O269" s="100" t="s">
        <v>957</v>
      </c>
      <c r="P269" s="95">
        <v>3</v>
      </c>
      <c r="Q269" s="95" t="s">
        <v>295</v>
      </c>
      <c r="R269" s="101" t="s">
        <v>819</v>
      </c>
      <c r="S269" s="102" t="s">
        <v>1405</v>
      </c>
      <c r="T269" s="103"/>
    </row>
    <row r="270" spans="1:20" s="95" customFormat="1" ht="30">
      <c r="A270" s="99">
        <v>269</v>
      </c>
      <c r="B270" s="95">
        <v>269</v>
      </c>
      <c r="C270" s="96">
        <v>81</v>
      </c>
      <c r="D270" s="97">
        <v>200</v>
      </c>
      <c r="E270" s="98" t="s">
        <v>856</v>
      </c>
      <c r="F270" s="99">
        <v>53</v>
      </c>
      <c r="G270" s="96" t="s">
        <v>1765</v>
      </c>
      <c r="H270" s="122" t="s">
        <v>1769</v>
      </c>
      <c r="I270" s="95" t="s">
        <v>817</v>
      </c>
      <c r="J270" s="98" t="s">
        <v>818</v>
      </c>
      <c r="K270" s="100" t="s">
        <v>856</v>
      </c>
      <c r="L270" s="95" t="s">
        <v>861</v>
      </c>
      <c r="M270" s="95">
        <v>4</v>
      </c>
      <c r="N270" s="95" t="s">
        <v>1459</v>
      </c>
      <c r="O270" s="100" t="s">
        <v>957</v>
      </c>
      <c r="P270" s="95">
        <v>3</v>
      </c>
      <c r="Q270" s="95" t="s">
        <v>295</v>
      </c>
      <c r="R270" s="101" t="s">
        <v>857</v>
      </c>
      <c r="S270" s="102" t="s">
        <v>1406</v>
      </c>
      <c r="T270" s="103"/>
    </row>
    <row r="271" spans="1:20" s="95" customFormat="1" ht="30">
      <c r="A271" s="99">
        <v>270</v>
      </c>
      <c r="B271" s="95">
        <v>270</v>
      </c>
      <c r="C271" s="96">
        <v>82</v>
      </c>
      <c r="D271" s="97">
        <v>50</v>
      </c>
      <c r="E271" s="98" t="s">
        <v>853</v>
      </c>
      <c r="F271" s="99">
        <v>54</v>
      </c>
      <c r="G271" s="96" t="s">
        <v>1770</v>
      </c>
      <c r="H271" s="122" t="s">
        <v>1771</v>
      </c>
      <c r="I271" s="95" t="s">
        <v>826</v>
      </c>
      <c r="J271" s="98" t="s">
        <v>853</v>
      </c>
      <c r="K271" s="100" t="s">
        <v>853</v>
      </c>
      <c r="L271" s="95" t="s">
        <v>895</v>
      </c>
      <c r="M271" s="95">
        <v>1</v>
      </c>
      <c r="N271" s="95" t="s">
        <v>1459</v>
      </c>
      <c r="O271" s="100" t="s">
        <v>1030</v>
      </c>
      <c r="P271" s="95">
        <v>1</v>
      </c>
      <c r="Q271" s="95" t="s">
        <v>295</v>
      </c>
      <c r="R271" s="101" t="s">
        <v>828</v>
      </c>
      <c r="S271" s="102" t="s">
        <v>1407</v>
      </c>
      <c r="T271" s="103"/>
    </row>
    <row r="272" spans="1:20" s="95" customFormat="1" ht="30">
      <c r="A272" s="99">
        <v>271</v>
      </c>
      <c r="B272" s="95">
        <v>271</v>
      </c>
      <c r="C272" s="96">
        <v>82</v>
      </c>
      <c r="D272" s="97">
        <v>105</v>
      </c>
      <c r="E272" s="98" t="s">
        <v>1408</v>
      </c>
      <c r="F272" s="99">
        <v>54</v>
      </c>
      <c r="G272" s="96" t="s">
        <v>1770</v>
      </c>
      <c r="H272" s="122" t="s">
        <v>1772</v>
      </c>
      <c r="I272" s="95" t="s">
        <v>826</v>
      </c>
      <c r="J272" s="98" t="s">
        <v>853</v>
      </c>
      <c r="K272" s="100" t="s">
        <v>1408</v>
      </c>
      <c r="L272" s="95" t="s">
        <v>897</v>
      </c>
      <c r="M272" s="95">
        <v>2</v>
      </c>
      <c r="N272" s="95" t="s">
        <v>1459</v>
      </c>
      <c r="O272" s="100" t="s">
        <v>1030</v>
      </c>
      <c r="P272" s="95">
        <v>1</v>
      </c>
      <c r="Q272" s="95" t="s">
        <v>295</v>
      </c>
      <c r="R272" s="101" t="s">
        <v>828</v>
      </c>
      <c r="S272" s="102" t="s">
        <v>1409</v>
      </c>
      <c r="T272" s="103"/>
    </row>
    <row r="273" spans="1:20" s="95" customFormat="1" ht="30">
      <c r="A273" s="99">
        <v>272</v>
      </c>
      <c r="B273" s="95">
        <v>272</v>
      </c>
      <c r="C273" s="96">
        <v>82</v>
      </c>
      <c r="D273" s="97">
        <v>166</v>
      </c>
      <c r="E273" s="98" t="s">
        <v>1410</v>
      </c>
      <c r="F273" s="99">
        <v>54</v>
      </c>
      <c r="G273" s="96" t="s">
        <v>1770</v>
      </c>
      <c r="H273" s="122" t="s">
        <v>1773</v>
      </c>
      <c r="I273" s="95" t="s">
        <v>826</v>
      </c>
      <c r="J273" s="98" t="s">
        <v>853</v>
      </c>
      <c r="K273" s="100" t="s">
        <v>1410</v>
      </c>
      <c r="L273" s="95" t="s">
        <v>899</v>
      </c>
      <c r="M273" s="95">
        <v>3</v>
      </c>
      <c r="N273" s="95" t="s">
        <v>1459</v>
      </c>
      <c r="O273" s="100" t="s">
        <v>1030</v>
      </c>
      <c r="P273" s="95">
        <v>1</v>
      </c>
      <c r="Q273" s="95" t="s">
        <v>295</v>
      </c>
      <c r="R273" s="101" t="s">
        <v>828</v>
      </c>
      <c r="S273" s="102" t="s">
        <v>1411</v>
      </c>
      <c r="T273" s="103"/>
    </row>
    <row r="274" spans="1:20" s="95" customFormat="1" ht="30">
      <c r="A274" s="99">
        <v>273</v>
      </c>
      <c r="B274" s="95">
        <v>273</v>
      </c>
      <c r="C274" s="96">
        <v>82</v>
      </c>
      <c r="D274" s="97">
        <v>201</v>
      </c>
      <c r="E274" s="98" t="s">
        <v>340</v>
      </c>
      <c r="F274" s="99">
        <v>54</v>
      </c>
      <c r="G274" s="96" t="s">
        <v>1770</v>
      </c>
      <c r="H274" s="122" t="s">
        <v>1774</v>
      </c>
      <c r="I274" s="95" t="s">
        <v>826</v>
      </c>
      <c r="J274" s="98" t="s">
        <v>853</v>
      </c>
      <c r="K274" s="100" t="s">
        <v>340</v>
      </c>
      <c r="L274" s="95" t="s">
        <v>861</v>
      </c>
      <c r="M274" s="95">
        <v>4</v>
      </c>
      <c r="N274" s="95" t="s">
        <v>1459</v>
      </c>
      <c r="O274" s="100" t="s">
        <v>1030</v>
      </c>
      <c r="P274" s="95">
        <v>1</v>
      </c>
      <c r="Q274" s="95" t="s">
        <v>295</v>
      </c>
      <c r="R274" s="101" t="s">
        <v>865</v>
      </c>
      <c r="S274" s="102" t="s">
        <v>1412</v>
      </c>
      <c r="T274" s="103"/>
    </row>
    <row r="275" spans="1:20" s="95" customFormat="1" ht="30">
      <c r="A275" s="99">
        <v>274</v>
      </c>
      <c r="B275" s="95">
        <v>274</v>
      </c>
      <c r="C275" s="96">
        <v>83</v>
      </c>
      <c r="D275" s="97">
        <v>51</v>
      </c>
      <c r="E275" s="98" t="s">
        <v>827</v>
      </c>
      <c r="F275" s="99">
        <v>55</v>
      </c>
      <c r="G275" s="96" t="s">
        <v>1775</v>
      </c>
      <c r="H275" s="122" t="s">
        <v>1776</v>
      </c>
      <c r="I275" s="95" t="s">
        <v>826</v>
      </c>
      <c r="J275" s="98" t="s">
        <v>827</v>
      </c>
      <c r="K275" s="100" t="s">
        <v>827</v>
      </c>
      <c r="L275" s="95" t="s">
        <v>895</v>
      </c>
      <c r="M275" s="95">
        <v>1</v>
      </c>
      <c r="N275" s="95" t="s">
        <v>1459</v>
      </c>
      <c r="O275" s="100" t="s">
        <v>1030</v>
      </c>
      <c r="P275" s="95">
        <v>1</v>
      </c>
      <c r="Q275" s="95" t="s">
        <v>295</v>
      </c>
      <c r="R275" s="101" t="s">
        <v>828</v>
      </c>
      <c r="S275" s="102" t="s">
        <v>1413</v>
      </c>
      <c r="T275" s="103"/>
    </row>
    <row r="276" spans="1:20" s="95" customFormat="1" ht="30">
      <c r="A276" s="99">
        <v>275</v>
      </c>
      <c r="B276" s="95">
        <v>275</v>
      </c>
      <c r="C276" s="96">
        <v>83</v>
      </c>
      <c r="D276" s="97">
        <v>106</v>
      </c>
      <c r="E276" s="98" t="s">
        <v>1414</v>
      </c>
      <c r="F276" s="99">
        <v>55</v>
      </c>
      <c r="G276" s="96" t="s">
        <v>1775</v>
      </c>
      <c r="H276" s="122" t="s">
        <v>1777</v>
      </c>
      <c r="I276" s="95" t="s">
        <v>826</v>
      </c>
      <c r="J276" s="98" t="s">
        <v>827</v>
      </c>
      <c r="K276" s="100" t="s">
        <v>1414</v>
      </c>
      <c r="L276" s="95" t="s">
        <v>897</v>
      </c>
      <c r="M276" s="95">
        <v>2</v>
      </c>
      <c r="N276" s="95" t="s">
        <v>1459</v>
      </c>
      <c r="O276" s="100" t="s">
        <v>1030</v>
      </c>
      <c r="P276" s="95">
        <v>1</v>
      </c>
      <c r="Q276" s="95" t="s">
        <v>295</v>
      </c>
      <c r="R276" s="101" t="s">
        <v>828</v>
      </c>
      <c r="S276" s="102" t="s">
        <v>1415</v>
      </c>
      <c r="T276" s="103"/>
    </row>
    <row r="277" spans="1:20" s="95" customFormat="1" ht="30">
      <c r="A277" s="99">
        <v>276</v>
      </c>
      <c r="B277" s="95">
        <v>276</v>
      </c>
      <c r="C277" s="96">
        <v>83</v>
      </c>
      <c r="D277" s="97">
        <v>167</v>
      </c>
      <c r="E277" s="98" t="s">
        <v>1416</v>
      </c>
      <c r="F277" s="99">
        <v>55</v>
      </c>
      <c r="G277" s="96" t="s">
        <v>1775</v>
      </c>
      <c r="H277" s="122" t="s">
        <v>1778</v>
      </c>
      <c r="I277" s="95" t="s">
        <v>826</v>
      </c>
      <c r="J277" s="98" t="s">
        <v>827</v>
      </c>
      <c r="K277" s="100" t="s">
        <v>1416</v>
      </c>
      <c r="L277" s="95" t="s">
        <v>899</v>
      </c>
      <c r="M277" s="95">
        <v>3</v>
      </c>
      <c r="N277" s="95" t="s">
        <v>1459</v>
      </c>
      <c r="O277" s="100" t="s">
        <v>1030</v>
      </c>
      <c r="P277" s="95">
        <v>1</v>
      </c>
      <c r="Q277" s="95" t="s">
        <v>295</v>
      </c>
      <c r="R277" s="101" t="s">
        <v>828</v>
      </c>
      <c r="S277" s="102" t="s">
        <v>1417</v>
      </c>
      <c r="T277" s="103"/>
    </row>
    <row r="278" spans="1:20" s="95" customFormat="1" ht="30">
      <c r="A278" s="99">
        <v>277</v>
      </c>
      <c r="B278" s="95">
        <v>277</v>
      </c>
      <c r="C278" s="96">
        <v>83</v>
      </c>
      <c r="D278" s="97">
        <v>202</v>
      </c>
      <c r="E278" s="98" t="s">
        <v>864</v>
      </c>
      <c r="F278" s="99">
        <v>55</v>
      </c>
      <c r="G278" s="96" t="s">
        <v>1775</v>
      </c>
      <c r="H278" s="122" t="s">
        <v>1779</v>
      </c>
      <c r="I278" s="95" t="s">
        <v>826</v>
      </c>
      <c r="J278" s="98" t="s">
        <v>827</v>
      </c>
      <c r="K278" s="100" t="s">
        <v>864</v>
      </c>
      <c r="L278" s="95" t="s">
        <v>861</v>
      </c>
      <c r="M278" s="95">
        <v>4</v>
      </c>
      <c r="N278" s="95" t="s">
        <v>1459</v>
      </c>
      <c r="O278" s="100" t="s">
        <v>1030</v>
      </c>
      <c r="P278" s="95">
        <v>1</v>
      </c>
      <c r="Q278" s="95" t="s">
        <v>295</v>
      </c>
      <c r="R278" s="101" t="s">
        <v>865</v>
      </c>
      <c r="S278" s="102" t="s">
        <v>1418</v>
      </c>
      <c r="T278" s="103"/>
    </row>
    <row r="279" spans="1:20" s="95" customFormat="1" ht="30">
      <c r="A279" s="99">
        <v>278</v>
      </c>
      <c r="B279" s="95">
        <v>278</v>
      </c>
      <c r="C279" s="96">
        <v>84</v>
      </c>
      <c r="D279" s="97">
        <v>52</v>
      </c>
      <c r="E279" s="98" t="s">
        <v>843</v>
      </c>
      <c r="F279" s="99">
        <v>56</v>
      </c>
      <c r="G279" s="96" t="s">
        <v>1780</v>
      </c>
      <c r="H279" s="122" t="s">
        <v>1781</v>
      </c>
      <c r="I279" s="95" t="s">
        <v>826</v>
      </c>
      <c r="J279" s="98" t="s">
        <v>843</v>
      </c>
      <c r="K279" s="100" t="s">
        <v>843</v>
      </c>
      <c r="L279" s="95" t="s">
        <v>895</v>
      </c>
      <c r="M279" s="95">
        <v>1</v>
      </c>
      <c r="N279" s="95" t="s">
        <v>1459</v>
      </c>
      <c r="O279" s="100" t="s">
        <v>957</v>
      </c>
      <c r="P279" s="95">
        <v>3</v>
      </c>
      <c r="Q279" s="95" t="s">
        <v>295</v>
      </c>
      <c r="R279" s="101" t="s">
        <v>832</v>
      </c>
      <c r="S279" s="102" t="s">
        <v>1419</v>
      </c>
      <c r="T279" s="103"/>
    </row>
    <row r="280" spans="1:20" s="95" customFormat="1" ht="30">
      <c r="A280" s="99">
        <v>279</v>
      </c>
      <c r="B280" s="95">
        <v>279</v>
      </c>
      <c r="C280" s="96">
        <v>84</v>
      </c>
      <c r="D280" s="97">
        <v>107</v>
      </c>
      <c r="E280" s="98" t="s">
        <v>1420</v>
      </c>
      <c r="F280" s="99">
        <v>56</v>
      </c>
      <c r="G280" s="96" t="s">
        <v>1780</v>
      </c>
      <c r="H280" s="122" t="s">
        <v>1782</v>
      </c>
      <c r="I280" s="95" t="s">
        <v>826</v>
      </c>
      <c r="J280" s="98" t="s">
        <v>843</v>
      </c>
      <c r="K280" s="100" t="s">
        <v>1420</v>
      </c>
      <c r="L280" s="95" t="s">
        <v>897</v>
      </c>
      <c r="M280" s="95">
        <v>2</v>
      </c>
      <c r="N280" s="95" t="s">
        <v>1459</v>
      </c>
      <c r="O280" s="100" t="s">
        <v>957</v>
      </c>
      <c r="P280" s="95">
        <v>3</v>
      </c>
      <c r="Q280" s="95" t="s">
        <v>295</v>
      </c>
      <c r="R280" s="101" t="s">
        <v>832</v>
      </c>
      <c r="S280" s="102" t="s">
        <v>1421</v>
      </c>
      <c r="T280" s="103"/>
    </row>
    <row r="281" spans="1:20" s="95" customFormat="1" ht="30">
      <c r="A281" s="99">
        <v>280</v>
      </c>
      <c r="B281" s="95">
        <v>280</v>
      </c>
      <c r="C281" s="96">
        <v>84</v>
      </c>
      <c r="D281" s="97">
        <v>168</v>
      </c>
      <c r="E281" s="98" t="s">
        <v>1422</v>
      </c>
      <c r="F281" s="99">
        <v>56</v>
      </c>
      <c r="G281" s="96" t="s">
        <v>1780</v>
      </c>
      <c r="H281" s="122" t="s">
        <v>1783</v>
      </c>
      <c r="I281" s="95" t="s">
        <v>826</v>
      </c>
      <c r="J281" s="98" t="s">
        <v>843</v>
      </c>
      <c r="K281" s="100" t="s">
        <v>1422</v>
      </c>
      <c r="L281" s="95" t="s">
        <v>899</v>
      </c>
      <c r="M281" s="95">
        <v>3</v>
      </c>
      <c r="N281" s="95" t="s">
        <v>1459</v>
      </c>
      <c r="O281" s="100" t="s">
        <v>957</v>
      </c>
      <c r="P281" s="95">
        <v>3</v>
      </c>
      <c r="Q281" s="95" t="s">
        <v>295</v>
      </c>
      <c r="R281" s="101" t="s">
        <v>832</v>
      </c>
      <c r="S281" s="102" t="s">
        <v>1423</v>
      </c>
      <c r="T281" s="103"/>
    </row>
    <row r="282" spans="1:20" s="95" customFormat="1" ht="30">
      <c r="A282" s="99">
        <v>281</v>
      </c>
      <c r="B282" s="95">
        <v>281</v>
      </c>
      <c r="C282" s="96">
        <v>84</v>
      </c>
      <c r="D282" s="97">
        <v>203</v>
      </c>
      <c r="E282" s="98" t="s">
        <v>881</v>
      </c>
      <c r="F282" s="99">
        <v>56</v>
      </c>
      <c r="G282" s="96" t="s">
        <v>1780</v>
      </c>
      <c r="H282" s="122" t="s">
        <v>1784</v>
      </c>
      <c r="I282" s="95" t="s">
        <v>826</v>
      </c>
      <c r="J282" s="98" t="s">
        <v>843</v>
      </c>
      <c r="K282" s="100" t="s">
        <v>881</v>
      </c>
      <c r="L282" s="95" t="s">
        <v>861</v>
      </c>
      <c r="M282" s="95">
        <v>4</v>
      </c>
      <c r="N282" s="95" t="s">
        <v>1459</v>
      </c>
      <c r="O282" s="100" t="s">
        <v>957</v>
      </c>
      <c r="P282" s="95">
        <v>3</v>
      </c>
      <c r="Q282" s="95" t="s">
        <v>295</v>
      </c>
      <c r="R282" s="101" t="s">
        <v>869</v>
      </c>
      <c r="S282" s="102" t="s">
        <v>1424</v>
      </c>
      <c r="T282" s="103"/>
    </row>
    <row r="283" spans="1:20" s="95" customFormat="1" ht="30">
      <c r="A283" s="99">
        <v>282</v>
      </c>
      <c r="B283" s="95">
        <v>282</v>
      </c>
      <c r="C283" s="96">
        <v>85</v>
      </c>
      <c r="D283" s="97">
        <v>53</v>
      </c>
      <c r="E283" s="98" t="s">
        <v>850</v>
      </c>
      <c r="F283" s="99">
        <v>57</v>
      </c>
      <c r="G283" s="96" t="s">
        <v>1785</v>
      </c>
      <c r="H283" s="122" t="s">
        <v>1786</v>
      </c>
      <c r="I283" s="95" t="s">
        <v>826</v>
      </c>
      <c r="J283" s="98" t="s">
        <v>850</v>
      </c>
      <c r="K283" s="100" t="s">
        <v>850</v>
      </c>
      <c r="L283" s="95" t="s">
        <v>895</v>
      </c>
      <c r="M283" s="95">
        <v>1</v>
      </c>
      <c r="N283" s="95" t="s">
        <v>1459</v>
      </c>
      <c r="O283" s="100" t="s">
        <v>957</v>
      </c>
      <c r="P283" s="95">
        <v>4</v>
      </c>
      <c r="Q283" s="95" t="s">
        <v>295</v>
      </c>
      <c r="R283" s="101" t="s">
        <v>832</v>
      </c>
      <c r="S283" s="102" t="s">
        <v>1425</v>
      </c>
      <c r="T283" s="103"/>
    </row>
    <row r="284" spans="1:20" s="95" customFormat="1" ht="30">
      <c r="A284" s="99">
        <v>283</v>
      </c>
      <c r="B284" s="95">
        <v>283</v>
      </c>
      <c r="C284" s="96">
        <v>85</v>
      </c>
      <c r="D284" s="97">
        <v>108</v>
      </c>
      <c r="E284" s="98" t="s">
        <v>1426</v>
      </c>
      <c r="F284" s="99">
        <v>57</v>
      </c>
      <c r="G284" s="96" t="s">
        <v>1785</v>
      </c>
      <c r="H284" s="122" t="s">
        <v>1787</v>
      </c>
      <c r="I284" s="95" t="s">
        <v>826</v>
      </c>
      <c r="J284" s="98" t="s">
        <v>850</v>
      </c>
      <c r="K284" s="100" t="s">
        <v>1426</v>
      </c>
      <c r="L284" s="95" t="s">
        <v>897</v>
      </c>
      <c r="M284" s="95">
        <v>2</v>
      </c>
      <c r="N284" s="95" t="s">
        <v>1459</v>
      </c>
      <c r="O284" s="100" t="s">
        <v>957</v>
      </c>
      <c r="P284" s="95">
        <v>4</v>
      </c>
      <c r="Q284" s="95" t="s">
        <v>295</v>
      </c>
      <c r="R284" s="101" t="s">
        <v>832</v>
      </c>
      <c r="S284" s="102" t="s">
        <v>1427</v>
      </c>
      <c r="T284" s="103"/>
    </row>
    <row r="285" spans="1:20" s="95" customFormat="1" ht="30">
      <c r="A285" s="99">
        <v>284</v>
      </c>
      <c r="B285" s="95">
        <v>284</v>
      </c>
      <c r="C285" s="96">
        <v>85</v>
      </c>
      <c r="D285" s="97">
        <v>169</v>
      </c>
      <c r="E285" s="98" t="s">
        <v>1428</v>
      </c>
      <c r="F285" s="99">
        <v>57</v>
      </c>
      <c r="G285" s="96" t="s">
        <v>1785</v>
      </c>
      <c r="H285" s="122" t="s">
        <v>1789</v>
      </c>
      <c r="I285" s="95" t="s">
        <v>826</v>
      </c>
      <c r="J285" s="98" t="s">
        <v>850</v>
      </c>
      <c r="K285" s="100" t="s">
        <v>1788</v>
      </c>
      <c r="L285" s="95" t="s">
        <v>899</v>
      </c>
      <c r="M285" s="95">
        <v>3</v>
      </c>
      <c r="N285" s="95" t="s">
        <v>1459</v>
      </c>
      <c r="O285" s="100" t="s">
        <v>957</v>
      </c>
      <c r="P285" s="95">
        <v>4</v>
      </c>
      <c r="Q285" s="95" t="s">
        <v>295</v>
      </c>
      <c r="R285" s="101" t="s">
        <v>832</v>
      </c>
      <c r="S285" s="102" t="s">
        <v>1429</v>
      </c>
      <c r="T285" s="103"/>
    </row>
    <row r="286" spans="1:20" s="95" customFormat="1" ht="30">
      <c r="A286" s="99">
        <v>285</v>
      </c>
      <c r="B286" s="95">
        <v>285</v>
      </c>
      <c r="C286" s="96">
        <v>85</v>
      </c>
      <c r="D286" s="97">
        <v>204</v>
      </c>
      <c r="E286" s="98" t="s">
        <v>887</v>
      </c>
      <c r="F286" s="99">
        <v>57</v>
      </c>
      <c r="G286" s="96" t="s">
        <v>1785</v>
      </c>
      <c r="H286" s="122" t="s">
        <v>1790</v>
      </c>
      <c r="I286" s="95" t="s">
        <v>826</v>
      </c>
      <c r="J286" s="98" t="s">
        <v>850</v>
      </c>
      <c r="K286" s="100" t="s">
        <v>887</v>
      </c>
      <c r="L286" s="95" t="s">
        <v>861</v>
      </c>
      <c r="M286" s="95">
        <v>4</v>
      </c>
      <c r="N286" s="95" t="s">
        <v>1459</v>
      </c>
      <c r="O286" s="100" t="s">
        <v>957</v>
      </c>
      <c r="P286" s="116">
        <v>4</v>
      </c>
      <c r="Q286" s="95" t="s">
        <v>1430</v>
      </c>
      <c r="R286" s="101" t="s">
        <v>869</v>
      </c>
      <c r="S286" s="102" t="s">
        <v>1431</v>
      </c>
      <c r="T286" s="106" t="s">
        <v>1432</v>
      </c>
    </row>
    <row r="287" spans="1:20" s="95" customFormat="1" ht="30">
      <c r="A287" s="99">
        <v>286</v>
      </c>
      <c r="B287" s="95">
        <v>286</v>
      </c>
      <c r="C287" s="96">
        <v>86</v>
      </c>
      <c r="D287" s="97">
        <v>54</v>
      </c>
      <c r="E287" s="98" t="s">
        <v>826</v>
      </c>
      <c r="F287" s="99">
        <v>58</v>
      </c>
      <c r="G287" s="96" t="s">
        <v>1791</v>
      </c>
      <c r="H287" s="122" t="s">
        <v>1792</v>
      </c>
      <c r="I287" s="95" t="s">
        <v>826</v>
      </c>
      <c r="J287" s="98" t="s">
        <v>826</v>
      </c>
      <c r="K287" s="100" t="s">
        <v>826</v>
      </c>
      <c r="L287" s="95" t="s">
        <v>895</v>
      </c>
      <c r="M287" s="95">
        <v>1</v>
      </c>
      <c r="N287" s="95" t="s">
        <v>1459</v>
      </c>
      <c r="O287" s="100" t="s">
        <v>1030</v>
      </c>
      <c r="P287" s="116">
        <v>2</v>
      </c>
      <c r="Q287" s="95" t="s">
        <v>1430</v>
      </c>
      <c r="R287" s="101" t="s">
        <v>828</v>
      </c>
      <c r="S287" s="102" t="s">
        <v>1433</v>
      </c>
      <c r="T287" s="103"/>
    </row>
    <row r="288" spans="1:20" s="95" customFormat="1" ht="30">
      <c r="A288" s="99">
        <v>287</v>
      </c>
      <c r="B288" s="95">
        <v>287</v>
      </c>
      <c r="C288" s="96">
        <v>86</v>
      </c>
      <c r="D288" s="97">
        <v>109</v>
      </c>
      <c r="E288" s="98" t="s">
        <v>1434</v>
      </c>
      <c r="F288" s="99">
        <v>58</v>
      </c>
      <c r="G288" s="96" t="s">
        <v>1791</v>
      </c>
      <c r="H288" s="122" t="s">
        <v>1793</v>
      </c>
      <c r="I288" s="95" t="s">
        <v>826</v>
      </c>
      <c r="J288" s="98" t="s">
        <v>826</v>
      </c>
      <c r="K288" s="100" t="s">
        <v>1434</v>
      </c>
      <c r="L288" s="95" t="s">
        <v>897</v>
      </c>
      <c r="M288" s="95">
        <v>2</v>
      </c>
      <c r="N288" s="95" t="s">
        <v>1459</v>
      </c>
      <c r="O288" s="100" t="s">
        <v>1030</v>
      </c>
      <c r="P288" s="116">
        <v>2</v>
      </c>
      <c r="Q288" s="95" t="s">
        <v>1430</v>
      </c>
      <c r="R288" s="101" t="s">
        <v>828</v>
      </c>
      <c r="S288" s="102" t="s">
        <v>1435</v>
      </c>
      <c r="T288" s="103"/>
    </row>
    <row r="289" spans="1:20" s="95" customFormat="1" ht="30">
      <c r="A289" s="99">
        <v>288</v>
      </c>
      <c r="B289" s="95">
        <v>288</v>
      </c>
      <c r="C289" s="96">
        <v>86</v>
      </c>
      <c r="D289" s="97">
        <v>170</v>
      </c>
      <c r="E289" s="98" t="s">
        <v>1436</v>
      </c>
      <c r="F289" s="99">
        <v>58</v>
      </c>
      <c r="G289" s="96" t="s">
        <v>1791</v>
      </c>
      <c r="H289" s="122" t="s">
        <v>1794</v>
      </c>
      <c r="I289" s="95" t="s">
        <v>826</v>
      </c>
      <c r="J289" s="98" t="s">
        <v>826</v>
      </c>
      <c r="K289" s="100" t="s">
        <v>1436</v>
      </c>
      <c r="L289" s="95" t="s">
        <v>899</v>
      </c>
      <c r="M289" s="95">
        <v>3</v>
      </c>
      <c r="N289" s="95" t="s">
        <v>1459</v>
      </c>
      <c r="O289" s="100" t="s">
        <v>1030</v>
      </c>
      <c r="P289" s="116">
        <v>2</v>
      </c>
      <c r="Q289" s="95" t="s">
        <v>1430</v>
      </c>
      <c r="R289" s="101" t="s">
        <v>828</v>
      </c>
      <c r="S289" s="102" t="s">
        <v>1437</v>
      </c>
      <c r="T289" s="103"/>
    </row>
    <row r="290" spans="1:20" s="95" customFormat="1" ht="30">
      <c r="A290" s="99">
        <v>289</v>
      </c>
      <c r="B290" s="95">
        <v>289</v>
      </c>
      <c r="C290" s="96">
        <v>86</v>
      </c>
      <c r="D290" s="97">
        <v>205</v>
      </c>
      <c r="E290" s="98" t="s">
        <v>879</v>
      </c>
      <c r="F290" s="99">
        <v>58</v>
      </c>
      <c r="G290" s="96" t="s">
        <v>1791</v>
      </c>
      <c r="H290" s="122" t="s">
        <v>1795</v>
      </c>
      <c r="I290" s="95" t="s">
        <v>826</v>
      </c>
      <c r="J290" s="98" t="s">
        <v>826</v>
      </c>
      <c r="K290" s="100" t="s">
        <v>879</v>
      </c>
      <c r="L290" s="95" t="s">
        <v>861</v>
      </c>
      <c r="M290" s="95">
        <v>4</v>
      </c>
      <c r="N290" s="95" t="s">
        <v>1459</v>
      </c>
      <c r="O290" s="100" t="s">
        <v>1030</v>
      </c>
      <c r="P290" s="116">
        <v>2</v>
      </c>
      <c r="Q290" s="95" t="s">
        <v>1430</v>
      </c>
      <c r="R290" s="101" t="s">
        <v>865</v>
      </c>
      <c r="S290" s="102" t="s">
        <v>1438</v>
      </c>
      <c r="T290" s="103"/>
    </row>
    <row r="291" spans="1:20" s="95" customFormat="1" ht="30">
      <c r="A291" s="99">
        <v>290</v>
      </c>
      <c r="B291" s="95">
        <v>290</v>
      </c>
      <c r="C291" s="96">
        <v>87</v>
      </c>
      <c r="D291" s="97">
        <v>55</v>
      </c>
      <c r="E291" s="98" t="s">
        <v>839</v>
      </c>
      <c r="F291" s="99">
        <v>59</v>
      </c>
      <c r="G291" s="96" t="s">
        <v>1796</v>
      </c>
      <c r="H291" s="122" t="s">
        <v>1797</v>
      </c>
      <c r="I291" s="95" t="s">
        <v>826</v>
      </c>
      <c r="J291" s="98" t="s">
        <v>839</v>
      </c>
      <c r="K291" s="100" t="s">
        <v>839</v>
      </c>
      <c r="L291" s="95" t="s">
        <v>895</v>
      </c>
      <c r="M291" s="95">
        <v>1</v>
      </c>
      <c r="N291" s="95" t="s">
        <v>1459</v>
      </c>
      <c r="O291" s="100" t="s">
        <v>1030</v>
      </c>
      <c r="P291" s="116">
        <v>2</v>
      </c>
      <c r="Q291" s="95" t="s">
        <v>1430</v>
      </c>
      <c r="R291" s="101" t="s">
        <v>828</v>
      </c>
      <c r="S291" s="102" t="s">
        <v>1439</v>
      </c>
      <c r="T291" s="103"/>
    </row>
    <row r="292" spans="1:20" s="95" customFormat="1" ht="30">
      <c r="A292" s="99">
        <v>291</v>
      </c>
      <c r="B292" s="95">
        <v>291</v>
      </c>
      <c r="C292" s="96">
        <v>87</v>
      </c>
      <c r="D292" s="97">
        <v>110</v>
      </c>
      <c r="E292" s="98" t="s">
        <v>1440</v>
      </c>
      <c r="F292" s="99">
        <v>59</v>
      </c>
      <c r="G292" s="96" t="s">
        <v>1796</v>
      </c>
      <c r="H292" s="122" t="s">
        <v>1798</v>
      </c>
      <c r="I292" s="95" t="s">
        <v>826</v>
      </c>
      <c r="J292" s="98" t="s">
        <v>839</v>
      </c>
      <c r="K292" s="100" t="s">
        <v>1440</v>
      </c>
      <c r="L292" s="95" t="s">
        <v>897</v>
      </c>
      <c r="M292" s="95">
        <v>2</v>
      </c>
      <c r="N292" s="95" t="s">
        <v>1459</v>
      </c>
      <c r="O292" s="100" t="s">
        <v>1030</v>
      </c>
      <c r="P292" s="116">
        <v>2</v>
      </c>
      <c r="Q292" s="95" t="s">
        <v>1430</v>
      </c>
      <c r="R292" s="101" t="s">
        <v>828</v>
      </c>
      <c r="S292" s="102" t="s">
        <v>1441</v>
      </c>
      <c r="T292" s="103"/>
    </row>
    <row r="293" spans="1:20" s="95" customFormat="1" ht="30">
      <c r="A293" s="99">
        <v>292</v>
      </c>
      <c r="B293" s="95">
        <v>292</v>
      </c>
      <c r="C293" s="96">
        <v>87</v>
      </c>
      <c r="D293" s="97">
        <v>171</v>
      </c>
      <c r="E293" s="98" t="s">
        <v>1442</v>
      </c>
      <c r="F293" s="99">
        <v>59</v>
      </c>
      <c r="G293" s="96" t="s">
        <v>1796</v>
      </c>
      <c r="H293" s="122" t="s">
        <v>1799</v>
      </c>
      <c r="I293" s="95" t="s">
        <v>826</v>
      </c>
      <c r="J293" s="98" t="s">
        <v>839</v>
      </c>
      <c r="K293" s="100" t="s">
        <v>1442</v>
      </c>
      <c r="L293" s="95" t="s">
        <v>899</v>
      </c>
      <c r="M293" s="95">
        <v>3</v>
      </c>
      <c r="N293" s="95" t="s">
        <v>1459</v>
      </c>
      <c r="O293" s="100" t="s">
        <v>1030</v>
      </c>
      <c r="P293" s="116">
        <v>2</v>
      </c>
      <c r="Q293" s="95" t="s">
        <v>1430</v>
      </c>
      <c r="R293" s="101" t="s">
        <v>828</v>
      </c>
      <c r="S293" s="102" t="s">
        <v>1443</v>
      </c>
      <c r="T293" s="103"/>
    </row>
    <row r="294" spans="1:20" s="95" customFormat="1" ht="30">
      <c r="A294" s="99">
        <v>293</v>
      </c>
      <c r="B294" s="95">
        <v>293</v>
      </c>
      <c r="C294" s="96">
        <v>87</v>
      </c>
      <c r="D294" s="97">
        <v>206</v>
      </c>
      <c r="E294" s="98" t="s">
        <v>876</v>
      </c>
      <c r="F294" s="99">
        <v>59</v>
      </c>
      <c r="G294" s="96" t="s">
        <v>1796</v>
      </c>
      <c r="H294" s="122" t="s">
        <v>1800</v>
      </c>
      <c r="I294" s="95" t="s">
        <v>826</v>
      </c>
      <c r="J294" s="98" t="s">
        <v>839</v>
      </c>
      <c r="K294" s="100" t="s">
        <v>876</v>
      </c>
      <c r="L294" s="95" t="s">
        <v>861</v>
      </c>
      <c r="M294" s="95">
        <v>4</v>
      </c>
      <c r="N294" s="95" t="s">
        <v>1459</v>
      </c>
      <c r="O294" s="100" t="s">
        <v>1030</v>
      </c>
      <c r="P294" s="116">
        <v>2</v>
      </c>
      <c r="Q294" s="95" t="s">
        <v>1430</v>
      </c>
      <c r="R294" s="101" t="s">
        <v>865</v>
      </c>
      <c r="S294" s="102" t="s">
        <v>1444</v>
      </c>
      <c r="T294" s="103"/>
    </row>
    <row r="295" spans="1:20" s="95" customFormat="1" ht="30">
      <c r="A295" s="99">
        <v>294</v>
      </c>
      <c r="B295" s="95">
        <v>294</v>
      </c>
      <c r="C295" s="96">
        <v>88</v>
      </c>
      <c r="D295" s="97">
        <v>56</v>
      </c>
      <c r="E295" s="98" t="s">
        <v>831</v>
      </c>
      <c r="F295" s="99">
        <v>60</v>
      </c>
      <c r="G295" s="96" t="s">
        <v>1801</v>
      </c>
      <c r="H295" s="122" t="s">
        <v>1802</v>
      </c>
      <c r="I295" s="95" t="s">
        <v>826</v>
      </c>
      <c r="J295" s="98" t="s">
        <v>831</v>
      </c>
      <c r="K295" s="100" t="s">
        <v>831</v>
      </c>
      <c r="L295" s="95" t="s">
        <v>895</v>
      </c>
      <c r="M295" s="95">
        <v>1</v>
      </c>
      <c r="N295" s="95" t="s">
        <v>1459</v>
      </c>
      <c r="O295" s="100" t="s">
        <v>957</v>
      </c>
      <c r="P295" s="116">
        <v>3</v>
      </c>
      <c r="Q295" s="95" t="s">
        <v>1430</v>
      </c>
      <c r="R295" s="101" t="s">
        <v>832</v>
      </c>
      <c r="S295" s="102" t="s">
        <v>1445</v>
      </c>
      <c r="T295" s="103"/>
    </row>
    <row r="296" spans="1:20" s="95" customFormat="1" ht="30">
      <c r="A296" s="99">
        <v>295</v>
      </c>
      <c r="B296" s="95">
        <v>295</v>
      </c>
      <c r="C296" s="96">
        <v>88</v>
      </c>
      <c r="D296" s="97">
        <v>111</v>
      </c>
      <c r="E296" s="98" t="s">
        <v>1446</v>
      </c>
      <c r="F296" s="99">
        <v>60</v>
      </c>
      <c r="G296" s="96" t="s">
        <v>1801</v>
      </c>
      <c r="H296" s="122" t="s">
        <v>1803</v>
      </c>
      <c r="I296" s="95" t="s">
        <v>826</v>
      </c>
      <c r="J296" s="98" t="s">
        <v>831</v>
      </c>
      <c r="K296" s="100" t="s">
        <v>1446</v>
      </c>
      <c r="L296" s="95" t="s">
        <v>897</v>
      </c>
      <c r="M296" s="95">
        <v>2</v>
      </c>
      <c r="N296" s="95" t="s">
        <v>1459</v>
      </c>
      <c r="O296" s="100" t="s">
        <v>957</v>
      </c>
      <c r="P296" s="116">
        <v>3</v>
      </c>
      <c r="Q296" s="95" t="s">
        <v>1430</v>
      </c>
      <c r="R296" s="101" t="s">
        <v>832</v>
      </c>
      <c r="S296" s="102" t="s">
        <v>1447</v>
      </c>
      <c r="T296" s="103"/>
    </row>
    <row r="297" spans="1:20" s="95" customFormat="1" ht="30">
      <c r="A297" s="99">
        <v>296</v>
      </c>
      <c r="B297" s="95">
        <v>296</v>
      </c>
      <c r="C297" s="96">
        <v>88</v>
      </c>
      <c r="D297" s="97">
        <v>172</v>
      </c>
      <c r="E297" s="98" t="s">
        <v>1448</v>
      </c>
      <c r="F297" s="99">
        <v>60</v>
      </c>
      <c r="G297" s="96" t="s">
        <v>1801</v>
      </c>
      <c r="H297" s="122" t="s">
        <v>1804</v>
      </c>
      <c r="I297" s="95" t="s">
        <v>826</v>
      </c>
      <c r="J297" s="98" t="s">
        <v>831</v>
      </c>
      <c r="K297" s="100" t="s">
        <v>1448</v>
      </c>
      <c r="L297" s="95" t="s">
        <v>899</v>
      </c>
      <c r="M297" s="95">
        <v>3</v>
      </c>
      <c r="N297" s="95" t="s">
        <v>1459</v>
      </c>
      <c r="O297" s="100" t="s">
        <v>957</v>
      </c>
      <c r="P297" s="116">
        <v>3</v>
      </c>
      <c r="Q297" s="95" t="s">
        <v>1430</v>
      </c>
      <c r="R297" s="101" t="s">
        <v>832</v>
      </c>
      <c r="S297" s="102" t="s">
        <v>1449</v>
      </c>
      <c r="T297" s="103"/>
    </row>
    <row r="298" spans="1:20" s="95" customFormat="1" ht="30">
      <c r="A298" s="99">
        <v>297</v>
      </c>
      <c r="B298" s="95">
        <v>297</v>
      </c>
      <c r="C298" s="96">
        <v>88</v>
      </c>
      <c r="D298" s="97">
        <v>207</v>
      </c>
      <c r="E298" s="98" t="s">
        <v>868</v>
      </c>
      <c r="F298" s="99">
        <v>60</v>
      </c>
      <c r="G298" s="96" t="s">
        <v>1801</v>
      </c>
      <c r="H298" s="122" t="s">
        <v>1805</v>
      </c>
      <c r="I298" s="95" t="s">
        <v>826</v>
      </c>
      <c r="J298" s="98" t="s">
        <v>831</v>
      </c>
      <c r="K298" s="100" t="s">
        <v>868</v>
      </c>
      <c r="L298" s="95" t="s">
        <v>861</v>
      </c>
      <c r="M298" s="95">
        <v>4</v>
      </c>
      <c r="N298" s="95" t="s">
        <v>1459</v>
      </c>
      <c r="O298" s="100" t="s">
        <v>957</v>
      </c>
      <c r="P298" s="116">
        <v>3</v>
      </c>
      <c r="Q298" s="95" t="s">
        <v>1430</v>
      </c>
      <c r="R298" s="101" t="s">
        <v>869</v>
      </c>
      <c r="S298" s="102" t="s">
        <v>1450</v>
      </c>
      <c r="T298" s="103"/>
    </row>
    <row r="299" spans="1:20" s="95" customFormat="1" ht="30">
      <c r="A299" s="99">
        <v>298</v>
      </c>
      <c r="B299" s="95">
        <v>298</v>
      </c>
      <c r="C299" s="96">
        <v>89</v>
      </c>
      <c r="D299" s="97">
        <v>57</v>
      </c>
      <c r="E299" s="98" t="s">
        <v>835</v>
      </c>
      <c r="F299" s="99">
        <v>61</v>
      </c>
      <c r="G299" s="96" t="s">
        <v>1806</v>
      </c>
      <c r="H299" s="122" t="s">
        <v>1807</v>
      </c>
      <c r="I299" s="95" t="s">
        <v>826</v>
      </c>
      <c r="J299" s="98" t="s">
        <v>835</v>
      </c>
      <c r="K299" s="100" t="s">
        <v>835</v>
      </c>
      <c r="L299" s="95" t="s">
        <v>895</v>
      </c>
      <c r="M299" s="95">
        <v>1</v>
      </c>
      <c r="N299" s="95" t="s">
        <v>1459</v>
      </c>
      <c r="O299" s="100" t="s">
        <v>964</v>
      </c>
      <c r="P299" s="116">
        <v>3</v>
      </c>
      <c r="Q299" s="95" t="s">
        <v>1451</v>
      </c>
      <c r="R299" s="101" t="s">
        <v>507</v>
      </c>
      <c r="S299" s="102" t="s">
        <v>1452</v>
      </c>
      <c r="T299" s="103"/>
    </row>
    <row r="300" spans="1:20" s="95" customFormat="1" ht="30">
      <c r="A300" s="99">
        <v>299</v>
      </c>
      <c r="B300" s="95">
        <v>299</v>
      </c>
      <c r="C300" s="96">
        <v>89</v>
      </c>
      <c r="D300" s="97">
        <v>112</v>
      </c>
      <c r="E300" s="98" t="s">
        <v>1453</v>
      </c>
      <c r="F300" s="99">
        <v>61</v>
      </c>
      <c r="G300" s="96" t="s">
        <v>1806</v>
      </c>
      <c r="H300" s="122" t="s">
        <v>1808</v>
      </c>
      <c r="I300" s="95" t="s">
        <v>826</v>
      </c>
      <c r="J300" s="98" t="s">
        <v>835</v>
      </c>
      <c r="K300" s="100" t="s">
        <v>1453</v>
      </c>
      <c r="L300" s="95" t="s">
        <v>897</v>
      </c>
      <c r="M300" s="95">
        <v>2</v>
      </c>
      <c r="N300" s="95" t="s">
        <v>1459</v>
      </c>
      <c r="O300" s="100" t="s">
        <v>964</v>
      </c>
      <c r="P300" s="116">
        <v>3</v>
      </c>
      <c r="Q300" s="95" t="s">
        <v>1451</v>
      </c>
      <c r="R300" s="101" t="s">
        <v>507</v>
      </c>
      <c r="S300" s="102" t="s">
        <v>1454</v>
      </c>
      <c r="T300" s="103"/>
    </row>
    <row r="301" spans="1:20" s="95" customFormat="1" ht="30">
      <c r="A301" s="99">
        <v>300</v>
      </c>
      <c r="B301" s="95">
        <v>300</v>
      </c>
      <c r="C301" s="96">
        <v>89</v>
      </c>
      <c r="D301" s="97">
        <v>173</v>
      </c>
      <c r="E301" s="98" t="s">
        <v>1455</v>
      </c>
      <c r="F301" s="99">
        <v>61</v>
      </c>
      <c r="G301" s="96" t="s">
        <v>1806</v>
      </c>
      <c r="H301" s="122" t="s">
        <v>1809</v>
      </c>
      <c r="I301" s="95" t="s">
        <v>826</v>
      </c>
      <c r="J301" s="98" t="s">
        <v>835</v>
      </c>
      <c r="K301" s="100" t="s">
        <v>1455</v>
      </c>
      <c r="L301" s="95" t="s">
        <v>899</v>
      </c>
      <c r="M301" s="95">
        <v>3</v>
      </c>
      <c r="N301" s="95" t="s">
        <v>1459</v>
      </c>
      <c r="O301" s="100" t="s">
        <v>964</v>
      </c>
      <c r="P301" s="116">
        <v>3</v>
      </c>
      <c r="Q301" s="95" t="s">
        <v>1451</v>
      </c>
      <c r="R301" s="101" t="s">
        <v>507</v>
      </c>
      <c r="S301" s="102" t="s">
        <v>1456</v>
      </c>
      <c r="T301" s="103"/>
    </row>
    <row r="302" spans="1:20" s="95" customFormat="1" ht="30">
      <c r="A302" s="99">
        <v>301</v>
      </c>
      <c r="B302" s="95">
        <v>301</v>
      </c>
      <c r="C302" s="96">
        <v>89</v>
      </c>
      <c r="D302" s="97">
        <v>208</v>
      </c>
      <c r="E302" s="98" t="s">
        <v>872</v>
      </c>
      <c r="F302" s="99">
        <v>61</v>
      </c>
      <c r="G302" s="96" t="s">
        <v>1806</v>
      </c>
      <c r="H302" s="122" t="s">
        <v>1810</v>
      </c>
      <c r="I302" s="95" t="s">
        <v>826</v>
      </c>
      <c r="J302" s="98" t="s">
        <v>835</v>
      </c>
      <c r="K302" s="100" t="s">
        <v>872</v>
      </c>
      <c r="L302" s="95" t="s">
        <v>861</v>
      </c>
      <c r="M302" s="95">
        <v>4</v>
      </c>
      <c r="N302" s="95" t="s">
        <v>1459</v>
      </c>
      <c r="O302" s="100" t="s">
        <v>964</v>
      </c>
      <c r="P302" s="116">
        <v>3</v>
      </c>
      <c r="Q302" s="95" t="s">
        <v>1451</v>
      </c>
      <c r="R302" s="101" t="s">
        <v>592</v>
      </c>
      <c r="S302" s="102" t="s">
        <v>1457</v>
      </c>
      <c r="T302" s="103"/>
    </row>
  </sheetData>
  <phoneticPr fontId="10"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opLeftCell="B1" workbookViewId="0">
      <pane ySplit="1" topLeftCell="A2" activePane="bottomLeft" state="frozen"/>
      <selection activeCell="B1" sqref="B1"/>
      <selection pane="bottomLeft" activeCell="H52" sqref="H52"/>
    </sheetView>
  </sheetViews>
  <sheetFormatPr defaultRowHeight="21"/>
  <cols>
    <col min="1" max="1" width="7.625" style="16" customWidth="1"/>
    <col min="2" max="2" width="18.125" style="16" customWidth="1"/>
    <col min="3" max="5" width="11.125" style="16" customWidth="1"/>
    <col min="6" max="6" width="14.875" style="16" customWidth="1"/>
    <col min="7" max="7" width="15.25" style="16" customWidth="1"/>
    <col min="8" max="8" width="148.25" style="16" customWidth="1"/>
    <col min="9" max="16384" width="9" style="4"/>
  </cols>
  <sheetData>
    <row r="1" spans="1:8">
      <c r="A1" s="1" t="s">
        <v>0</v>
      </c>
      <c r="B1" s="2" t="s">
        <v>1</v>
      </c>
      <c r="C1" s="2" t="s">
        <v>2</v>
      </c>
      <c r="D1" s="3" t="s">
        <v>3</v>
      </c>
      <c r="E1" s="3" t="s">
        <v>4</v>
      </c>
      <c r="F1" s="3" t="s">
        <v>280</v>
      </c>
      <c r="G1" s="3" t="s">
        <v>281</v>
      </c>
      <c r="H1" s="3" t="s">
        <v>5</v>
      </c>
    </row>
    <row r="2" spans="1:8" ht="29.25">
      <c r="A2" s="5">
        <v>1</v>
      </c>
      <c r="B2" s="6" t="s">
        <v>6</v>
      </c>
      <c r="C2" s="47" t="s">
        <v>7</v>
      </c>
      <c r="D2" s="7" t="s">
        <v>8</v>
      </c>
      <c r="E2" s="7" t="s">
        <v>9</v>
      </c>
      <c r="F2" s="7" t="s">
        <v>10</v>
      </c>
      <c r="G2" s="7" t="s">
        <v>10</v>
      </c>
      <c r="H2" s="8" t="s">
        <v>11</v>
      </c>
    </row>
    <row r="3" spans="1:8" ht="30.75">
      <c r="A3" s="5">
        <v>2</v>
      </c>
      <c r="B3" s="6" t="s">
        <v>6</v>
      </c>
      <c r="C3" s="55" t="s">
        <v>12</v>
      </c>
      <c r="D3" s="7" t="s">
        <v>13</v>
      </c>
      <c r="E3" s="7" t="s">
        <v>14</v>
      </c>
      <c r="F3" s="7" t="s">
        <v>15</v>
      </c>
      <c r="G3" s="7" t="s">
        <v>16</v>
      </c>
      <c r="H3" s="8" t="s">
        <v>17</v>
      </c>
    </row>
    <row r="4" spans="1:8" ht="29.25">
      <c r="A4" s="5">
        <v>3</v>
      </c>
      <c r="B4" s="6" t="s">
        <v>6</v>
      </c>
      <c r="C4" s="47" t="s">
        <v>18</v>
      </c>
      <c r="D4" s="7" t="s">
        <v>19</v>
      </c>
      <c r="E4" s="7"/>
      <c r="F4" s="7" t="s">
        <v>20</v>
      </c>
      <c r="G4" s="7" t="s">
        <v>20</v>
      </c>
      <c r="H4" s="8" t="s">
        <v>21</v>
      </c>
    </row>
    <row r="5" spans="1:8" ht="29.25">
      <c r="A5" s="5">
        <v>4</v>
      </c>
      <c r="B5" s="6" t="s">
        <v>6</v>
      </c>
      <c r="C5" s="51" t="s">
        <v>22</v>
      </c>
      <c r="D5" s="7" t="s">
        <v>23</v>
      </c>
      <c r="E5" s="7" t="s">
        <v>24</v>
      </c>
      <c r="F5" s="7" t="s">
        <v>25</v>
      </c>
      <c r="G5" s="7" t="s">
        <v>25</v>
      </c>
      <c r="H5" s="8" t="s">
        <v>26</v>
      </c>
    </row>
    <row r="6" spans="1:8" ht="29.25">
      <c r="A6" s="29"/>
      <c r="B6" s="30" t="s">
        <v>27</v>
      </c>
      <c r="C6" s="48" t="s">
        <v>28</v>
      </c>
      <c r="D6" s="31" t="s">
        <v>8</v>
      </c>
      <c r="E6" s="7" t="s">
        <v>9</v>
      </c>
      <c r="F6" s="31" t="s">
        <v>29</v>
      </c>
      <c r="G6" s="31"/>
      <c r="H6" s="8" t="s">
        <v>282</v>
      </c>
    </row>
    <row r="7" spans="1:8" ht="29.25">
      <c r="A7" s="29"/>
      <c r="B7" s="30" t="s">
        <v>27</v>
      </c>
      <c r="C7" s="48" t="s">
        <v>30</v>
      </c>
      <c r="D7" s="31" t="s">
        <v>13</v>
      </c>
      <c r="E7" s="7" t="s">
        <v>14</v>
      </c>
      <c r="F7" s="31" t="s">
        <v>29</v>
      </c>
      <c r="G7" s="31"/>
      <c r="H7" s="32" t="s">
        <v>31</v>
      </c>
    </row>
    <row r="8" spans="1:8" ht="29.25">
      <c r="A8" s="29"/>
      <c r="B8" s="30" t="s">
        <v>27</v>
      </c>
      <c r="C8" s="48" t="s">
        <v>32</v>
      </c>
      <c r="D8" s="31" t="s">
        <v>19</v>
      </c>
      <c r="E8" s="7"/>
      <c r="F8" s="31" t="s">
        <v>29</v>
      </c>
      <c r="G8" s="31"/>
      <c r="H8" s="32" t="s">
        <v>33</v>
      </c>
    </row>
    <row r="9" spans="1:8" ht="29.25">
      <c r="A9" s="29"/>
      <c r="B9" s="30" t="s">
        <v>27</v>
      </c>
      <c r="C9" s="48" t="s">
        <v>34</v>
      </c>
      <c r="D9" s="31" t="s">
        <v>23</v>
      </c>
      <c r="E9" s="7" t="s">
        <v>24</v>
      </c>
      <c r="F9" s="31" t="s">
        <v>20</v>
      </c>
      <c r="G9" s="31"/>
      <c r="H9" s="32" t="s">
        <v>35</v>
      </c>
    </row>
    <row r="10" spans="1:8" ht="29.25">
      <c r="A10" s="5">
        <v>5</v>
      </c>
      <c r="B10" s="9" t="s">
        <v>36</v>
      </c>
      <c r="C10" s="48" t="s">
        <v>37</v>
      </c>
      <c r="D10" s="10" t="s">
        <v>8</v>
      </c>
      <c r="E10" s="7" t="s">
        <v>9</v>
      </c>
      <c r="F10" s="10" t="s">
        <v>38</v>
      </c>
      <c r="G10" s="10" t="s">
        <v>38</v>
      </c>
      <c r="H10" s="8" t="s">
        <v>39</v>
      </c>
    </row>
    <row r="11" spans="1:8" ht="29.25">
      <c r="A11" s="5">
        <v>6</v>
      </c>
      <c r="B11" s="9" t="s">
        <v>36</v>
      </c>
      <c r="C11" s="48" t="s">
        <v>40</v>
      </c>
      <c r="D11" s="10" t="s">
        <v>13</v>
      </c>
      <c r="E11" s="7" t="s">
        <v>14</v>
      </c>
      <c r="F11" s="10" t="s">
        <v>41</v>
      </c>
      <c r="G11" s="10" t="s">
        <v>42</v>
      </c>
      <c r="H11" s="8" t="s">
        <v>43</v>
      </c>
    </row>
    <row r="12" spans="1:8" ht="29.25">
      <c r="A12" s="5">
        <v>7</v>
      </c>
      <c r="B12" s="9" t="s">
        <v>36</v>
      </c>
      <c r="C12" s="48" t="s">
        <v>44</v>
      </c>
      <c r="D12" s="10" t="s">
        <v>19</v>
      </c>
      <c r="E12" s="7"/>
      <c r="F12" s="10" t="s">
        <v>45</v>
      </c>
      <c r="G12" s="10" t="s">
        <v>45</v>
      </c>
      <c r="H12" s="8" t="s">
        <v>46</v>
      </c>
    </row>
    <row r="13" spans="1:8" ht="29.25">
      <c r="A13" s="5">
        <v>8</v>
      </c>
      <c r="B13" s="9" t="s">
        <v>36</v>
      </c>
      <c r="C13" s="48" t="s">
        <v>47</v>
      </c>
      <c r="D13" s="10" t="s">
        <v>23</v>
      </c>
      <c r="E13" s="7" t="s">
        <v>24</v>
      </c>
      <c r="F13" s="10" t="s">
        <v>48</v>
      </c>
      <c r="G13" s="10" t="s">
        <v>48</v>
      </c>
      <c r="H13" s="8" t="s">
        <v>49</v>
      </c>
    </row>
    <row r="14" spans="1:8" ht="29.25">
      <c r="A14" s="5">
        <v>9</v>
      </c>
      <c r="B14" s="6" t="s">
        <v>50</v>
      </c>
      <c r="C14" s="50" t="s">
        <v>51</v>
      </c>
      <c r="D14" s="7" t="s">
        <v>8</v>
      </c>
      <c r="E14" s="7" t="s">
        <v>9</v>
      </c>
      <c r="F14" s="7" t="s">
        <v>38</v>
      </c>
      <c r="G14" s="7" t="s">
        <v>52</v>
      </c>
      <c r="H14" s="8" t="s">
        <v>53</v>
      </c>
    </row>
    <row r="15" spans="1:8" ht="29.25">
      <c r="A15" s="5">
        <v>10</v>
      </c>
      <c r="B15" s="6" t="s">
        <v>50</v>
      </c>
      <c r="C15" s="47" t="s">
        <v>54</v>
      </c>
      <c r="D15" s="7" t="s">
        <v>13</v>
      </c>
      <c r="E15" s="7" t="s">
        <v>14</v>
      </c>
      <c r="F15" s="7" t="s">
        <v>41</v>
      </c>
      <c r="G15" s="7" t="s">
        <v>55</v>
      </c>
      <c r="H15" s="8" t="s">
        <v>56</v>
      </c>
    </row>
    <row r="16" spans="1:8" ht="29.25">
      <c r="A16" s="5">
        <v>11</v>
      </c>
      <c r="B16" s="6" t="s">
        <v>50</v>
      </c>
      <c r="C16" s="50" t="s">
        <v>57</v>
      </c>
      <c r="D16" s="7" t="s">
        <v>19</v>
      </c>
      <c r="E16" s="7"/>
      <c r="F16" s="7" t="s">
        <v>38</v>
      </c>
      <c r="G16" s="7" t="s">
        <v>58</v>
      </c>
      <c r="H16" s="8" t="s">
        <v>59</v>
      </c>
    </row>
    <row r="17" spans="1:8" ht="29.25">
      <c r="A17" s="5">
        <v>12</v>
      </c>
      <c r="B17" s="6" t="s">
        <v>50</v>
      </c>
      <c r="C17" s="51" t="s">
        <v>60</v>
      </c>
      <c r="D17" s="7" t="s">
        <v>23</v>
      </c>
      <c r="E17" s="7" t="s">
        <v>24</v>
      </c>
      <c r="F17" s="7" t="s">
        <v>61</v>
      </c>
      <c r="G17" s="7" t="s">
        <v>48</v>
      </c>
      <c r="H17" s="8" t="s">
        <v>62</v>
      </c>
    </row>
    <row r="18" spans="1:8" ht="29.25">
      <c r="A18" s="5">
        <v>13</v>
      </c>
      <c r="B18" s="9" t="s">
        <v>63</v>
      </c>
      <c r="C18" s="48" t="s">
        <v>64</v>
      </c>
      <c r="D18" s="10" t="s">
        <v>8</v>
      </c>
      <c r="E18" s="7" t="s">
        <v>9</v>
      </c>
      <c r="F18" s="10" t="s">
        <v>65</v>
      </c>
      <c r="G18" s="10" t="s">
        <v>65</v>
      </c>
      <c r="H18" s="8" t="s">
        <v>66</v>
      </c>
    </row>
    <row r="19" spans="1:8" ht="29.25">
      <c r="A19" s="5">
        <v>14</v>
      </c>
      <c r="B19" s="9" t="s">
        <v>63</v>
      </c>
      <c r="C19" s="48" t="s">
        <v>67</v>
      </c>
      <c r="D19" s="10" t="s">
        <v>13</v>
      </c>
      <c r="E19" s="7" t="s">
        <v>14</v>
      </c>
      <c r="F19" s="10" t="s">
        <v>68</v>
      </c>
      <c r="G19" s="10" t="s">
        <v>69</v>
      </c>
      <c r="H19" s="8" t="s">
        <v>70</v>
      </c>
    </row>
    <row r="20" spans="1:8" ht="29.25">
      <c r="A20" s="5">
        <v>15</v>
      </c>
      <c r="B20" s="9" t="s">
        <v>63</v>
      </c>
      <c r="C20" s="48" t="s">
        <v>71</v>
      </c>
      <c r="D20" s="10" t="s">
        <v>19</v>
      </c>
      <c r="E20" s="7"/>
      <c r="F20" s="10" t="s">
        <v>65</v>
      </c>
      <c r="G20" s="10" t="s">
        <v>72</v>
      </c>
      <c r="H20" s="8" t="s">
        <v>73</v>
      </c>
    </row>
    <row r="21" spans="1:8" ht="29.25">
      <c r="A21" s="5">
        <v>16</v>
      </c>
      <c r="B21" s="9" t="s">
        <v>63</v>
      </c>
      <c r="C21" s="48" t="s">
        <v>74</v>
      </c>
      <c r="D21" s="10" t="s">
        <v>8</v>
      </c>
      <c r="E21" s="7" t="s">
        <v>24</v>
      </c>
      <c r="F21" s="10" t="s">
        <v>75</v>
      </c>
      <c r="G21" s="10" t="s">
        <v>75</v>
      </c>
      <c r="H21" s="8" t="s">
        <v>76</v>
      </c>
    </row>
    <row r="22" spans="1:8" ht="29.25">
      <c r="A22" s="5">
        <v>17</v>
      </c>
      <c r="B22" s="9" t="s">
        <v>63</v>
      </c>
      <c r="C22" s="48" t="s">
        <v>77</v>
      </c>
      <c r="D22" s="10" t="s">
        <v>19</v>
      </c>
      <c r="E22" s="10"/>
      <c r="F22" s="10" t="s">
        <v>75</v>
      </c>
      <c r="G22" s="10" t="s">
        <v>78</v>
      </c>
      <c r="H22" s="8" t="s">
        <v>79</v>
      </c>
    </row>
    <row r="23" spans="1:8" ht="29.25">
      <c r="A23" s="5">
        <v>18</v>
      </c>
      <c r="B23" s="11" t="s">
        <v>80</v>
      </c>
      <c r="C23" s="47" t="s">
        <v>81</v>
      </c>
      <c r="D23" s="7" t="s">
        <v>8</v>
      </c>
      <c r="E23" s="7" t="s">
        <v>9</v>
      </c>
      <c r="F23" s="7" t="s">
        <v>65</v>
      </c>
      <c r="G23" s="7" t="s">
        <v>82</v>
      </c>
      <c r="H23" s="8" t="s">
        <v>83</v>
      </c>
    </row>
    <row r="24" spans="1:8" ht="29.25">
      <c r="A24" s="5">
        <v>19</v>
      </c>
      <c r="B24" s="11" t="s">
        <v>80</v>
      </c>
      <c r="C24" s="47" t="s">
        <v>84</v>
      </c>
      <c r="D24" s="7" t="s">
        <v>13</v>
      </c>
      <c r="E24" s="7" t="s">
        <v>14</v>
      </c>
      <c r="F24" s="7" t="s">
        <v>68</v>
      </c>
      <c r="G24" s="7" t="s">
        <v>85</v>
      </c>
      <c r="H24" s="8" t="s">
        <v>86</v>
      </c>
    </row>
    <row r="25" spans="1:8" ht="29.25">
      <c r="A25" s="5">
        <v>20</v>
      </c>
      <c r="B25" s="11" t="s">
        <v>80</v>
      </c>
      <c r="C25" s="49" t="s">
        <v>87</v>
      </c>
      <c r="D25" s="7" t="s">
        <v>19</v>
      </c>
      <c r="E25" s="7"/>
      <c r="F25" s="7" t="s">
        <v>65</v>
      </c>
      <c r="G25" s="7" t="s">
        <v>88</v>
      </c>
      <c r="H25" s="8" t="s">
        <v>89</v>
      </c>
    </row>
    <row r="26" spans="1:8" ht="29.25">
      <c r="A26" s="5">
        <v>21</v>
      </c>
      <c r="B26" s="11" t="s">
        <v>80</v>
      </c>
      <c r="C26" s="52" t="s">
        <v>90</v>
      </c>
      <c r="D26" s="7" t="s">
        <v>8</v>
      </c>
      <c r="E26" s="7" t="s">
        <v>24</v>
      </c>
      <c r="F26" s="7" t="s">
        <v>75</v>
      </c>
      <c r="G26" s="7" t="s">
        <v>91</v>
      </c>
      <c r="H26" s="8" t="s">
        <v>92</v>
      </c>
    </row>
    <row r="27" spans="1:8" ht="29.25">
      <c r="A27" s="5">
        <v>22</v>
      </c>
      <c r="B27" s="11" t="s">
        <v>80</v>
      </c>
      <c r="C27" s="49" t="s">
        <v>93</v>
      </c>
      <c r="D27" s="7" t="s">
        <v>19</v>
      </c>
      <c r="E27" s="7"/>
      <c r="F27" s="7" t="s">
        <v>75</v>
      </c>
      <c r="G27" s="7" t="s">
        <v>94</v>
      </c>
      <c r="H27" s="8" t="s">
        <v>95</v>
      </c>
    </row>
    <row r="28" spans="1:8" ht="29.25">
      <c r="A28" s="5">
        <v>23</v>
      </c>
      <c r="B28" s="11" t="s">
        <v>96</v>
      </c>
      <c r="C28" s="49" t="s">
        <v>97</v>
      </c>
      <c r="D28" s="7" t="s">
        <v>8</v>
      </c>
      <c r="E28" s="7" t="s">
        <v>9</v>
      </c>
      <c r="F28" s="7" t="s">
        <v>65</v>
      </c>
      <c r="G28" s="7" t="s">
        <v>82</v>
      </c>
      <c r="H28" s="8" t="s">
        <v>98</v>
      </c>
    </row>
    <row r="29" spans="1:8" ht="29.25">
      <c r="A29" s="5">
        <v>24</v>
      </c>
      <c r="B29" s="11" t="s">
        <v>96</v>
      </c>
      <c r="C29" s="49" t="s">
        <v>99</v>
      </c>
      <c r="D29" s="7" t="s">
        <v>13</v>
      </c>
      <c r="E29" s="7" t="s">
        <v>14</v>
      </c>
      <c r="F29" s="7" t="s">
        <v>68</v>
      </c>
      <c r="G29" s="7" t="s">
        <v>85</v>
      </c>
      <c r="H29" s="8" t="s">
        <v>100</v>
      </c>
    </row>
    <row r="30" spans="1:8" ht="29.25">
      <c r="A30" s="5">
        <v>25</v>
      </c>
      <c r="B30" s="11" t="s">
        <v>96</v>
      </c>
      <c r="C30" s="49" t="s">
        <v>101</v>
      </c>
      <c r="D30" s="7" t="s">
        <v>19</v>
      </c>
      <c r="E30" s="7"/>
      <c r="F30" s="7" t="s">
        <v>65</v>
      </c>
      <c r="G30" s="7" t="s">
        <v>88</v>
      </c>
      <c r="H30" s="8" t="s">
        <v>102</v>
      </c>
    </row>
    <row r="31" spans="1:8" ht="29.25">
      <c r="A31" s="5">
        <v>26</v>
      </c>
      <c r="B31" s="11" t="s">
        <v>96</v>
      </c>
      <c r="C31" s="52" t="s">
        <v>103</v>
      </c>
      <c r="D31" s="7" t="s">
        <v>8</v>
      </c>
      <c r="E31" s="7" t="s">
        <v>24</v>
      </c>
      <c r="F31" s="7" t="s">
        <v>75</v>
      </c>
      <c r="G31" s="7" t="s">
        <v>91</v>
      </c>
      <c r="H31" s="8" t="s">
        <v>104</v>
      </c>
    </row>
    <row r="32" spans="1:8" ht="29.25">
      <c r="A32" s="5">
        <v>27</v>
      </c>
      <c r="B32" s="11" t="s">
        <v>96</v>
      </c>
      <c r="C32" s="53" t="s">
        <v>105</v>
      </c>
      <c r="D32" s="7" t="s">
        <v>19</v>
      </c>
      <c r="E32" s="7"/>
      <c r="F32" s="7" t="s">
        <v>75</v>
      </c>
      <c r="G32" s="7" t="s">
        <v>94</v>
      </c>
      <c r="H32" s="8" t="s">
        <v>106</v>
      </c>
    </row>
    <row r="33" spans="1:8" ht="29.25">
      <c r="A33" s="5">
        <v>28</v>
      </c>
      <c r="B33" s="9" t="s">
        <v>107</v>
      </c>
      <c r="C33" s="48" t="s">
        <v>108</v>
      </c>
      <c r="D33" s="10" t="s">
        <v>8</v>
      </c>
      <c r="E33" s="7" t="s">
        <v>9</v>
      </c>
      <c r="F33" s="10" t="s">
        <v>109</v>
      </c>
      <c r="G33" s="10" t="s">
        <v>109</v>
      </c>
      <c r="H33" s="8" t="s">
        <v>110</v>
      </c>
    </row>
    <row r="34" spans="1:8" ht="29.25">
      <c r="A34" s="5">
        <v>29</v>
      </c>
      <c r="B34" s="9" t="s">
        <v>107</v>
      </c>
      <c r="C34" s="48" t="s">
        <v>111</v>
      </c>
      <c r="D34" s="10" t="s">
        <v>13</v>
      </c>
      <c r="E34" s="7" t="s">
        <v>14</v>
      </c>
      <c r="F34" s="10" t="s">
        <v>112</v>
      </c>
      <c r="G34" s="10" t="s">
        <v>113</v>
      </c>
      <c r="H34" s="8" t="s">
        <v>114</v>
      </c>
    </row>
    <row r="35" spans="1:8" ht="29.25">
      <c r="A35" s="5">
        <v>30</v>
      </c>
      <c r="B35" s="9" t="s">
        <v>107</v>
      </c>
      <c r="C35" s="48" t="s">
        <v>283</v>
      </c>
      <c r="D35" s="10" t="s">
        <v>19</v>
      </c>
      <c r="E35" s="7"/>
      <c r="F35" s="10" t="s">
        <v>109</v>
      </c>
      <c r="G35" s="10" t="s">
        <v>115</v>
      </c>
      <c r="H35" s="8" t="s">
        <v>116</v>
      </c>
    </row>
    <row r="36" spans="1:8" ht="29.25">
      <c r="A36" s="5">
        <v>31</v>
      </c>
      <c r="B36" s="9" t="s">
        <v>107</v>
      </c>
      <c r="C36" s="48" t="s">
        <v>117</v>
      </c>
      <c r="D36" s="10" t="s">
        <v>23</v>
      </c>
      <c r="E36" s="7" t="s">
        <v>24</v>
      </c>
      <c r="F36" s="28" t="s">
        <v>118</v>
      </c>
      <c r="G36" s="10" t="s">
        <v>119</v>
      </c>
      <c r="H36" s="8" t="s">
        <v>120</v>
      </c>
    </row>
    <row r="37" spans="1:8" ht="29.25">
      <c r="A37" s="5">
        <v>34</v>
      </c>
      <c r="B37" s="6" t="s">
        <v>121</v>
      </c>
      <c r="C37" s="47" t="s">
        <v>122</v>
      </c>
      <c r="D37" s="7" t="s">
        <v>8</v>
      </c>
      <c r="E37" s="7" t="s">
        <v>9</v>
      </c>
      <c r="F37" s="7" t="s">
        <v>123</v>
      </c>
      <c r="G37" s="7"/>
      <c r="H37" s="8" t="s">
        <v>124</v>
      </c>
    </row>
    <row r="38" spans="1:8" ht="29.25">
      <c r="A38" s="5">
        <v>32</v>
      </c>
      <c r="B38" s="6" t="s">
        <v>121</v>
      </c>
      <c r="C38" s="47" t="s">
        <v>125</v>
      </c>
      <c r="D38" s="7" t="s">
        <v>8</v>
      </c>
      <c r="E38" s="7" t="s">
        <v>14</v>
      </c>
      <c r="F38" s="7" t="s">
        <v>29</v>
      </c>
      <c r="G38" s="7" t="s">
        <v>126</v>
      </c>
      <c r="H38" s="8" t="s">
        <v>127</v>
      </c>
    </row>
    <row r="39" spans="1:8" ht="29.25">
      <c r="A39" s="5">
        <v>33</v>
      </c>
      <c r="B39" s="6" t="s">
        <v>121</v>
      </c>
      <c r="C39" s="56" t="s">
        <v>128</v>
      </c>
      <c r="D39" s="7" t="s">
        <v>19</v>
      </c>
      <c r="E39" s="7"/>
      <c r="F39" s="7" t="s">
        <v>29</v>
      </c>
      <c r="G39" s="7" t="s">
        <v>129</v>
      </c>
      <c r="H39" s="8" t="s">
        <v>130</v>
      </c>
    </row>
    <row r="40" spans="1:8" ht="29.25">
      <c r="A40" s="5">
        <v>35</v>
      </c>
      <c r="B40" s="6" t="s">
        <v>121</v>
      </c>
      <c r="C40" s="49" t="s">
        <v>131</v>
      </c>
      <c r="D40" s="7" t="s">
        <v>23</v>
      </c>
      <c r="E40" s="7" t="s">
        <v>24</v>
      </c>
      <c r="F40" s="7" t="s">
        <v>123</v>
      </c>
      <c r="G40" s="7" t="s">
        <v>129</v>
      </c>
      <c r="H40" s="8" t="s">
        <v>132</v>
      </c>
    </row>
    <row r="41" spans="1:8" ht="29.25">
      <c r="A41" s="5">
        <v>36</v>
      </c>
      <c r="B41" s="6" t="s">
        <v>121</v>
      </c>
      <c r="C41" s="49" t="s">
        <v>133</v>
      </c>
      <c r="D41" s="7" t="s">
        <v>23</v>
      </c>
      <c r="E41" s="7" t="s">
        <v>24</v>
      </c>
      <c r="F41" s="7" t="s">
        <v>123</v>
      </c>
      <c r="G41" s="7" t="s">
        <v>134</v>
      </c>
      <c r="H41" s="8" t="s">
        <v>135</v>
      </c>
    </row>
    <row r="42" spans="1:8" ht="29.25">
      <c r="A42" s="5">
        <v>37</v>
      </c>
      <c r="B42" s="11" t="s">
        <v>136</v>
      </c>
      <c r="C42" s="48" t="s">
        <v>137</v>
      </c>
      <c r="D42" s="10" t="s">
        <v>23</v>
      </c>
      <c r="E42" s="7" t="s">
        <v>24</v>
      </c>
      <c r="F42" s="10" t="s">
        <v>61</v>
      </c>
      <c r="G42" s="10" t="s">
        <v>61</v>
      </c>
      <c r="H42" s="8" t="s">
        <v>138</v>
      </c>
    </row>
    <row r="43" spans="1:8" ht="29.25">
      <c r="A43" s="12">
        <v>38</v>
      </c>
      <c r="B43" s="13" t="s">
        <v>139</v>
      </c>
      <c r="C43" s="54" t="s">
        <v>140</v>
      </c>
      <c r="D43" s="10" t="s">
        <v>23</v>
      </c>
      <c r="E43" s="7" t="s">
        <v>24</v>
      </c>
      <c r="F43" s="14" t="s">
        <v>134</v>
      </c>
      <c r="G43" s="14" t="s">
        <v>141</v>
      </c>
      <c r="H43" s="15" t="s">
        <v>142</v>
      </c>
    </row>
    <row r="45" spans="1:8">
      <c r="B45" s="17" t="s">
        <v>143</v>
      </c>
    </row>
  </sheetData>
  <phoneticPr fontId="10" type="noConversion"/>
  <hyperlinks>
    <hyperlink ref="C2" r:id="rId1" xr:uid="{33FE52F6-9D5D-45D1-8549-6BB12E0A1028}"/>
    <hyperlink ref="C3" r:id="rId2" xr:uid="{B29E13F8-4F51-4B0C-93BA-E9AC23865DD7}"/>
    <hyperlink ref="C4" r:id="rId3" xr:uid="{98F91C34-B664-45DB-BF78-B348021A0212}"/>
    <hyperlink ref="C5" r:id="rId4" xr:uid="{3A1FF4EE-88D7-4099-B1D9-3DB974A3CB76}"/>
    <hyperlink ref="C10" r:id="rId5" xr:uid="{D2137219-D13C-46DD-A83E-C9121CA5B517}"/>
    <hyperlink ref="C11" r:id="rId6" xr:uid="{334E23AF-68D8-46D0-8274-2FA8A29847CB}"/>
    <hyperlink ref="C12" r:id="rId7" xr:uid="{30FCE56A-61DB-4121-8C1D-1240214E4CEE}"/>
    <hyperlink ref="C13" r:id="rId8" xr:uid="{481C4A49-804D-446A-9F59-1945E499991D}"/>
    <hyperlink ref="C14" r:id="rId9" xr:uid="{4129488B-A019-49FF-A52C-65A47739014B}"/>
    <hyperlink ref="C15" r:id="rId10" xr:uid="{738D4A20-3A8E-4A53-A7A8-FCA73CDC1932}"/>
    <hyperlink ref="C16" r:id="rId11" xr:uid="{2ACF24CF-AE28-4FD9-81DA-F041778CDF3D}"/>
    <hyperlink ref="C17" r:id="rId12" xr:uid="{D2B59B3A-45E2-437B-AB38-C0ACD573E37F}"/>
    <hyperlink ref="C18" r:id="rId13" xr:uid="{3FD813F9-0438-4501-B864-81B74BF35D0D}"/>
    <hyperlink ref="C19" r:id="rId14" xr:uid="{F0BD1B90-D2C5-4C00-ADC3-08AC44CCFCC4}"/>
    <hyperlink ref="C20" r:id="rId15" xr:uid="{81A6E9FC-7C44-4FE9-92AD-90788F86BBC3}"/>
    <hyperlink ref="C21" r:id="rId16" xr:uid="{5159D746-09F7-44EE-B0D9-BF9829F37457}"/>
    <hyperlink ref="C22" r:id="rId17" xr:uid="{424A81DF-14E6-4DBA-B733-0239FE1D03E1}"/>
    <hyperlink ref="C23" r:id="rId18" xr:uid="{DE088266-121E-4080-A7AB-EE855D53ACBF}"/>
    <hyperlink ref="C24" r:id="rId19" xr:uid="{1FCD7739-E373-43F9-9F50-B133FFAB5F8A}"/>
    <hyperlink ref="C25" r:id="rId20" xr:uid="{96AFBF2C-9766-4EC0-A69C-A6367ED5508B}"/>
    <hyperlink ref="C26" r:id="rId21" xr:uid="{AC314D93-7CC1-4C19-9D6D-71178698D1EF}"/>
    <hyperlink ref="C27" r:id="rId22" xr:uid="{8086C922-30A6-4F14-99C1-352E4DB49200}"/>
    <hyperlink ref="C28" r:id="rId23" xr:uid="{4CBE8900-13E5-4F19-9F4A-9D83252B9C37}"/>
    <hyperlink ref="C29" r:id="rId24" xr:uid="{4A7845A2-5EC5-4A38-9A98-AB49B8B01E30}"/>
    <hyperlink ref="C30" r:id="rId25" xr:uid="{70C1C0F3-1AC7-4137-BF99-29E6A294B790}"/>
    <hyperlink ref="C31" r:id="rId26" xr:uid="{CCB394ED-D3C6-4EA2-88F3-1092C3EEF581}"/>
    <hyperlink ref="C32" r:id="rId27" xr:uid="{C5756FE6-98F4-4055-AC94-2E2A9436BFCE}"/>
    <hyperlink ref="C33" r:id="rId28" xr:uid="{5FF52EAE-7D9B-4080-AE58-B86E349766E4}"/>
    <hyperlink ref="C34" r:id="rId29" xr:uid="{E6AC9312-DCBA-4F75-A22D-3359334F32ED}"/>
    <hyperlink ref="C35" r:id="rId30" display="羣" xr:uid="{F7BAF157-573B-4722-9E60-0B9076DCE7BD}"/>
    <hyperlink ref="C36" r:id="rId31" xr:uid="{D61C4FA0-26B0-448A-A1B1-98DBC5C66BC7}"/>
    <hyperlink ref="C38" r:id="rId32" xr:uid="{3B4EAFF4-EC93-43C1-BF6E-E5831C5DF20E}"/>
    <hyperlink ref="C39" r:id="rId33" xr:uid="{6DC37F80-A768-44ED-9861-A6D66B2EA556}"/>
    <hyperlink ref="C37" r:id="rId34" xr:uid="{CE659B53-8485-4883-B2D1-2EB7C5193C0E}"/>
    <hyperlink ref="C40" r:id="rId35" xr:uid="{36C93994-20CB-4A26-A5C4-AE8FA23EBA65}"/>
    <hyperlink ref="C41" r:id="rId36" xr:uid="{CA546122-0DC1-47C2-9CEE-102EB4B40DBC}"/>
    <hyperlink ref="C42" r:id="rId37" xr:uid="{26128564-0B04-48DE-9BAB-FB5C5C2B9E1A}"/>
    <hyperlink ref="C43" r:id="rId38" xr:uid="{9CC50B25-D252-42AC-B2FC-E2B9B9C7F000}"/>
    <hyperlink ref="B45" r:id="rId39" xr:uid="{1A571DC5-1066-4CBD-BE72-2130ECE643EC}"/>
  </hyperlinks>
  <pageMargins left="0.7" right="0.7" top="0.75" bottom="0.75" header="0.3" footer="0.3"/>
  <tableParts count="1">
    <tablePart r:id="rId4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E156-4A16-4095-9BC3-12A38FA193F1}">
  <dimension ref="A1:I187"/>
  <sheetViews>
    <sheetView workbookViewId="0">
      <pane ySplit="1" topLeftCell="A113" activePane="bottomLeft" state="frozen"/>
      <selection pane="bottomLeft" activeCell="I10" sqref="I10"/>
    </sheetView>
  </sheetViews>
  <sheetFormatPr defaultRowHeight="25.5"/>
  <cols>
    <col min="1" max="2" width="7" style="58" customWidth="1"/>
    <col min="3" max="3" width="10.5" style="58" customWidth="1"/>
    <col min="4" max="5" width="7" style="58" customWidth="1"/>
    <col min="6" max="6" width="12.75" style="58" customWidth="1"/>
    <col min="7" max="8" width="14.375" style="58" customWidth="1"/>
    <col min="9" max="9" width="125.875" style="58" customWidth="1"/>
    <col min="10" max="16384" width="9" style="57"/>
  </cols>
  <sheetData>
    <row r="1" spans="1:9">
      <c r="A1" s="60" t="s">
        <v>0</v>
      </c>
      <c r="B1" s="61" t="s">
        <v>284</v>
      </c>
      <c r="C1" s="61" t="s">
        <v>285</v>
      </c>
      <c r="D1" s="61" t="s">
        <v>286</v>
      </c>
      <c r="E1" s="61" t="s">
        <v>287</v>
      </c>
      <c r="F1" s="61" t="s">
        <v>288</v>
      </c>
      <c r="G1" s="61" t="s">
        <v>289</v>
      </c>
      <c r="H1" s="61" t="s">
        <v>290</v>
      </c>
      <c r="I1" s="62" t="s">
        <v>291</v>
      </c>
    </row>
    <row r="2" spans="1:9">
      <c r="A2" s="63">
        <v>1</v>
      </c>
      <c r="B2" s="64" t="s">
        <v>292</v>
      </c>
      <c r="C2" s="64" t="s">
        <v>293</v>
      </c>
      <c r="D2" s="64" t="s">
        <v>294</v>
      </c>
      <c r="E2" s="64" t="s">
        <v>295</v>
      </c>
      <c r="F2" s="65" t="s">
        <v>296</v>
      </c>
      <c r="G2" s="65" t="s">
        <v>297</v>
      </c>
      <c r="H2" s="65" t="s">
        <v>298</v>
      </c>
      <c r="I2" s="66" t="s">
        <v>299</v>
      </c>
    </row>
    <row r="3" spans="1:9">
      <c r="A3" s="63">
        <f>A2+1</f>
        <v>2</v>
      </c>
      <c r="B3" s="64" t="s">
        <v>292</v>
      </c>
      <c r="C3" s="64" t="s">
        <v>293</v>
      </c>
      <c r="D3" s="64" t="s">
        <v>300</v>
      </c>
      <c r="E3" s="64" t="s">
        <v>295</v>
      </c>
      <c r="F3" s="65" t="s">
        <v>301</v>
      </c>
      <c r="G3" s="65" t="s">
        <v>302</v>
      </c>
      <c r="H3" s="67" t="s">
        <v>303</v>
      </c>
      <c r="I3" s="66" t="s">
        <v>304</v>
      </c>
    </row>
    <row r="4" spans="1:9">
      <c r="A4" s="63">
        <f t="shared" ref="A4:A67" si="0">A3+1</f>
        <v>3</v>
      </c>
      <c r="B4" s="64" t="s">
        <v>292</v>
      </c>
      <c r="C4" s="64" t="s">
        <v>305</v>
      </c>
      <c r="D4" s="64" t="s">
        <v>294</v>
      </c>
      <c r="E4" s="64" t="s">
        <v>295</v>
      </c>
      <c r="F4" s="65" t="s">
        <v>305</v>
      </c>
      <c r="G4" s="65" t="s">
        <v>297</v>
      </c>
      <c r="H4" s="65" t="s">
        <v>306</v>
      </c>
      <c r="I4" s="66" t="s">
        <v>307</v>
      </c>
    </row>
    <row r="5" spans="1:9">
      <c r="A5" s="63">
        <f t="shared" si="0"/>
        <v>4</v>
      </c>
      <c r="B5" s="64" t="s">
        <v>292</v>
      </c>
      <c r="C5" s="64" t="s">
        <v>308</v>
      </c>
      <c r="D5" s="64" t="s">
        <v>300</v>
      </c>
      <c r="E5" s="64" t="s">
        <v>295</v>
      </c>
      <c r="F5" s="65" t="s">
        <v>308</v>
      </c>
      <c r="G5" s="65" t="s">
        <v>302</v>
      </c>
      <c r="H5" s="65" t="s">
        <v>309</v>
      </c>
      <c r="I5" s="66" t="s">
        <v>310</v>
      </c>
    </row>
    <row r="6" spans="1:9">
      <c r="A6" s="63">
        <f t="shared" si="0"/>
        <v>5</v>
      </c>
      <c r="B6" s="64" t="s">
        <v>311</v>
      </c>
      <c r="C6" s="64" t="s">
        <v>311</v>
      </c>
      <c r="D6" s="64" t="s">
        <v>312</v>
      </c>
      <c r="E6" s="64" t="s">
        <v>295</v>
      </c>
      <c r="F6" s="65" t="s">
        <v>311</v>
      </c>
      <c r="G6" s="65" t="s">
        <v>313</v>
      </c>
      <c r="H6" s="65" t="s">
        <v>314</v>
      </c>
      <c r="I6" s="66" t="s">
        <v>315</v>
      </c>
    </row>
    <row r="7" spans="1:9">
      <c r="A7" s="63">
        <f t="shared" si="0"/>
        <v>6</v>
      </c>
      <c r="B7" s="68" t="s">
        <v>292</v>
      </c>
      <c r="C7" s="68" t="s">
        <v>293</v>
      </c>
      <c r="D7" s="68" t="s">
        <v>294</v>
      </c>
      <c r="E7" s="68" t="s">
        <v>295</v>
      </c>
      <c r="F7" s="69" t="s">
        <v>316</v>
      </c>
      <c r="G7" s="69" t="s">
        <v>317</v>
      </c>
      <c r="H7" s="69" t="s">
        <v>318</v>
      </c>
      <c r="I7" s="70" t="s">
        <v>319</v>
      </c>
    </row>
    <row r="8" spans="1:9">
      <c r="A8" s="63">
        <f t="shared" si="0"/>
        <v>7</v>
      </c>
      <c r="B8" s="68" t="s">
        <v>292</v>
      </c>
      <c r="C8" s="68" t="s">
        <v>293</v>
      </c>
      <c r="D8" s="68" t="s">
        <v>300</v>
      </c>
      <c r="E8" s="68" t="s">
        <v>295</v>
      </c>
      <c r="F8" s="69" t="s">
        <v>320</v>
      </c>
      <c r="G8" s="69" t="s">
        <v>321</v>
      </c>
      <c r="H8" s="69" t="s">
        <v>322</v>
      </c>
      <c r="I8" s="70" t="s">
        <v>323</v>
      </c>
    </row>
    <row r="9" spans="1:9">
      <c r="A9" s="63">
        <f t="shared" si="0"/>
        <v>8</v>
      </c>
      <c r="B9" s="68" t="s">
        <v>292</v>
      </c>
      <c r="C9" s="68" t="s">
        <v>305</v>
      </c>
      <c r="D9" s="68" t="s">
        <v>294</v>
      </c>
      <c r="E9" s="68" t="s">
        <v>295</v>
      </c>
      <c r="F9" s="69" t="s">
        <v>324</v>
      </c>
      <c r="G9" s="69" t="s">
        <v>317</v>
      </c>
      <c r="H9" s="69" t="s">
        <v>325</v>
      </c>
      <c r="I9" s="70" t="s">
        <v>326</v>
      </c>
    </row>
    <row r="10" spans="1:9">
      <c r="A10" s="63">
        <f t="shared" si="0"/>
        <v>9</v>
      </c>
      <c r="B10" s="68" t="s">
        <v>292</v>
      </c>
      <c r="C10" s="68" t="s">
        <v>308</v>
      </c>
      <c r="D10" s="68" t="s">
        <v>300</v>
      </c>
      <c r="E10" s="68" t="s">
        <v>295</v>
      </c>
      <c r="F10" s="69" t="s">
        <v>327</v>
      </c>
      <c r="G10" s="69" t="s">
        <v>321</v>
      </c>
      <c r="H10" s="69" t="s">
        <v>328</v>
      </c>
      <c r="I10" s="70" t="s">
        <v>329</v>
      </c>
    </row>
    <row r="11" spans="1:9">
      <c r="A11" s="63">
        <f t="shared" si="0"/>
        <v>10</v>
      </c>
      <c r="B11" s="68" t="s">
        <v>311</v>
      </c>
      <c r="C11" s="68" t="s">
        <v>311</v>
      </c>
      <c r="D11" s="68" t="s">
        <v>312</v>
      </c>
      <c r="E11" s="68" t="s">
        <v>295</v>
      </c>
      <c r="F11" s="69" t="s">
        <v>330</v>
      </c>
      <c r="G11" s="69" t="s">
        <v>331</v>
      </c>
      <c r="H11" s="69" t="s">
        <v>332</v>
      </c>
      <c r="I11" s="70" t="s">
        <v>333</v>
      </c>
    </row>
    <row r="12" spans="1:9">
      <c r="A12" s="63">
        <f t="shared" si="0"/>
        <v>11</v>
      </c>
      <c r="B12" s="64" t="s">
        <v>334</v>
      </c>
      <c r="C12" s="64" t="s">
        <v>335</v>
      </c>
      <c r="D12" s="64" t="s">
        <v>300</v>
      </c>
      <c r="E12" s="64" t="s">
        <v>295</v>
      </c>
      <c r="F12" s="65" t="s">
        <v>336</v>
      </c>
      <c r="G12" s="65" t="s">
        <v>337</v>
      </c>
      <c r="H12" s="65" t="s">
        <v>338</v>
      </c>
      <c r="I12" s="66" t="s">
        <v>339</v>
      </c>
    </row>
    <row r="13" spans="1:9">
      <c r="A13" s="63">
        <f t="shared" si="0"/>
        <v>12</v>
      </c>
      <c r="B13" s="64" t="s">
        <v>334</v>
      </c>
      <c r="C13" s="64" t="s">
        <v>335</v>
      </c>
      <c r="D13" s="64" t="s">
        <v>300</v>
      </c>
      <c r="E13" s="64" t="s">
        <v>340</v>
      </c>
      <c r="F13" s="65" t="s">
        <v>341</v>
      </c>
      <c r="G13" s="65" t="s">
        <v>342</v>
      </c>
      <c r="H13" s="65" t="s">
        <v>343</v>
      </c>
      <c r="I13" s="66" t="s">
        <v>344</v>
      </c>
    </row>
    <row r="14" spans="1:9">
      <c r="A14" s="63">
        <f t="shared" si="0"/>
        <v>13</v>
      </c>
      <c r="B14" s="64" t="s">
        <v>334</v>
      </c>
      <c r="C14" s="64" t="s">
        <v>345</v>
      </c>
      <c r="D14" s="64" t="s">
        <v>300</v>
      </c>
      <c r="E14" s="64" t="s">
        <v>295</v>
      </c>
      <c r="F14" s="65" t="s">
        <v>346</v>
      </c>
      <c r="G14" s="69" t="s">
        <v>337</v>
      </c>
      <c r="H14" s="69" t="s">
        <v>338</v>
      </c>
      <c r="I14" s="66" t="s">
        <v>347</v>
      </c>
    </row>
    <row r="15" spans="1:9">
      <c r="A15" s="63">
        <f t="shared" si="0"/>
        <v>14</v>
      </c>
      <c r="B15" s="64" t="s">
        <v>334</v>
      </c>
      <c r="C15" s="64" t="s">
        <v>345</v>
      </c>
      <c r="D15" s="64" t="s">
        <v>300</v>
      </c>
      <c r="E15" s="64" t="s">
        <v>340</v>
      </c>
      <c r="F15" s="65" t="s">
        <v>348</v>
      </c>
      <c r="G15" s="69" t="s">
        <v>342</v>
      </c>
      <c r="H15" s="69" t="s">
        <v>343</v>
      </c>
      <c r="I15" s="66" t="s">
        <v>349</v>
      </c>
    </row>
    <row r="16" spans="1:9">
      <c r="A16" s="63">
        <f t="shared" si="0"/>
        <v>15</v>
      </c>
      <c r="B16" s="64" t="s">
        <v>334</v>
      </c>
      <c r="C16" s="64" t="s">
        <v>350</v>
      </c>
      <c r="D16" s="64" t="s">
        <v>300</v>
      </c>
      <c r="E16" s="64" t="s">
        <v>295</v>
      </c>
      <c r="F16" s="65" t="s">
        <v>351</v>
      </c>
      <c r="G16" s="69" t="s">
        <v>337</v>
      </c>
      <c r="H16" s="69" t="s">
        <v>338</v>
      </c>
      <c r="I16" s="66" t="s">
        <v>352</v>
      </c>
    </row>
    <row r="17" spans="1:9">
      <c r="A17" s="63">
        <f t="shared" si="0"/>
        <v>16</v>
      </c>
      <c r="B17" s="64" t="s">
        <v>334</v>
      </c>
      <c r="C17" s="64" t="s">
        <v>350</v>
      </c>
      <c r="D17" s="64" t="s">
        <v>300</v>
      </c>
      <c r="E17" s="64" t="s">
        <v>340</v>
      </c>
      <c r="F17" s="65" t="s">
        <v>353</v>
      </c>
      <c r="G17" s="69" t="s">
        <v>354</v>
      </c>
      <c r="H17" s="69" t="s">
        <v>343</v>
      </c>
      <c r="I17" s="66" t="s">
        <v>355</v>
      </c>
    </row>
    <row r="18" spans="1:9">
      <c r="A18" s="63">
        <f t="shared" si="0"/>
        <v>17</v>
      </c>
      <c r="B18" s="64" t="s">
        <v>334</v>
      </c>
      <c r="C18" s="64" t="s">
        <v>356</v>
      </c>
      <c r="D18" s="64" t="s">
        <v>300</v>
      </c>
      <c r="E18" s="64" t="s">
        <v>295</v>
      </c>
      <c r="F18" s="65" t="s">
        <v>357</v>
      </c>
      <c r="G18" s="65" t="s">
        <v>337</v>
      </c>
      <c r="H18" s="65" t="s">
        <v>358</v>
      </c>
      <c r="I18" s="66" t="s">
        <v>359</v>
      </c>
    </row>
    <row r="19" spans="1:9">
      <c r="A19" s="63">
        <f t="shared" si="0"/>
        <v>18</v>
      </c>
      <c r="B19" s="64" t="s">
        <v>334</v>
      </c>
      <c r="C19" s="64" t="s">
        <v>356</v>
      </c>
      <c r="D19" s="64" t="s">
        <v>300</v>
      </c>
      <c r="E19" s="64" t="s">
        <v>340</v>
      </c>
      <c r="F19" s="65" t="s">
        <v>360</v>
      </c>
      <c r="G19" s="65" t="s">
        <v>342</v>
      </c>
      <c r="H19" s="65" t="s">
        <v>361</v>
      </c>
      <c r="I19" s="66" t="s">
        <v>362</v>
      </c>
    </row>
    <row r="20" spans="1:9">
      <c r="A20" s="63">
        <f t="shared" si="0"/>
        <v>19</v>
      </c>
      <c r="B20" s="64" t="s">
        <v>334</v>
      </c>
      <c r="C20" s="64" t="s">
        <v>363</v>
      </c>
      <c r="D20" s="64" t="s">
        <v>300</v>
      </c>
      <c r="E20" s="64" t="s">
        <v>295</v>
      </c>
      <c r="F20" s="65" t="s">
        <v>364</v>
      </c>
      <c r="G20" s="69" t="s">
        <v>337</v>
      </c>
      <c r="H20" s="69" t="s">
        <v>358</v>
      </c>
      <c r="I20" s="66" t="s">
        <v>365</v>
      </c>
    </row>
    <row r="21" spans="1:9">
      <c r="A21" s="63">
        <f t="shared" si="0"/>
        <v>20</v>
      </c>
      <c r="B21" s="64" t="s">
        <v>334</v>
      </c>
      <c r="C21" s="64" t="s">
        <v>363</v>
      </c>
      <c r="D21" s="64" t="s">
        <v>300</v>
      </c>
      <c r="E21" s="64" t="s">
        <v>340</v>
      </c>
      <c r="F21" s="65" t="s">
        <v>366</v>
      </c>
      <c r="G21" s="69" t="s">
        <v>342</v>
      </c>
      <c r="H21" s="69" t="s">
        <v>361</v>
      </c>
      <c r="I21" s="66" t="s">
        <v>367</v>
      </c>
    </row>
    <row r="22" spans="1:9">
      <c r="A22" s="63">
        <f t="shared" si="0"/>
        <v>21</v>
      </c>
      <c r="B22" s="64" t="s">
        <v>334</v>
      </c>
      <c r="C22" s="64" t="s">
        <v>368</v>
      </c>
      <c r="D22" s="64" t="s">
        <v>300</v>
      </c>
      <c r="E22" s="64" t="s">
        <v>295</v>
      </c>
      <c r="F22" s="65" t="s">
        <v>369</v>
      </c>
      <c r="G22" s="69" t="s">
        <v>337</v>
      </c>
      <c r="H22" s="69" t="s">
        <v>358</v>
      </c>
      <c r="I22" s="66" t="s">
        <v>370</v>
      </c>
    </row>
    <row r="23" spans="1:9">
      <c r="A23" s="63">
        <f t="shared" si="0"/>
        <v>22</v>
      </c>
      <c r="B23" s="64" t="s">
        <v>334</v>
      </c>
      <c r="C23" s="64" t="s">
        <v>368</v>
      </c>
      <c r="D23" s="64" t="s">
        <v>300</v>
      </c>
      <c r="E23" s="64" t="s">
        <v>340</v>
      </c>
      <c r="F23" s="65" t="s">
        <v>371</v>
      </c>
      <c r="G23" s="69" t="s">
        <v>342</v>
      </c>
      <c r="H23" s="69" t="s">
        <v>361</v>
      </c>
      <c r="I23" s="66" t="s">
        <v>372</v>
      </c>
    </row>
    <row r="24" spans="1:9">
      <c r="A24" s="63">
        <f t="shared" si="0"/>
        <v>23</v>
      </c>
      <c r="B24" s="64" t="s">
        <v>334</v>
      </c>
      <c r="C24" s="64" t="s">
        <v>373</v>
      </c>
      <c r="D24" s="64" t="s">
        <v>300</v>
      </c>
      <c r="E24" s="64" t="s">
        <v>295</v>
      </c>
      <c r="F24" s="65" t="s">
        <v>373</v>
      </c>
      <c r="G24" s="65" t="s">
        <v>337</v>
      </c>
      <c r="H24" s="65" t="s">
        <v>374</v>
      </c>
      <c r="I24" s="66" t="s">
        <v>375</v>
      </c>
    </row>
    <row r="25" spans="1:9">
      <c r="A25" s="63">
        <f t="shared" si="0"/>
        <v>24</v>
      </c>
      <c r="B25" s="64" t="s">
        <v>334</v>
      </c>
      <c r="C25" s="64" t="s">
        <v>34</v>
      </c>
      <c r="D25" s="64" t="s">
        <v>300</v>
      </c>
      <c r="E25" s="64" t="s">
        <v>295</v>
      </c>
      <c r="F25" s="65" t="s">
        <v>376</v>
      </c>
      <c r="G25" s="65" t="s">
        <v>337</v>
      </c>
      <c r="H25" s="65" t="s">
        <v>377</v>
      </c>
      <c r="I25" s="66" t="s">
        <v>378</v>
      </c>
    </row>
    <row r="26" spans="1:9">
      <c r="A26" s="63">
        <f t="shared" si="0"/>
        <v>25</v>
      </c>
      <c r="B26" s="64" t="s">
        <v>334</v>
      </c>
      <c r="C26" s="64" t="s">
        <v>34</v>
      </c>
      <c r="D26" s="64" t="s">
        <v>300</v>
      </c>
      <c r="E26" s="64" t="s">
        <v>340</v>
      </c>
      <c r="F26" s="65" t="s">
        <v>379</v>
      </c>
      <c r="G26" s="65" t="s">
        <v>342</v>
      </c>
      <c r="H26" s="65" t="s">
        <v>380</v>
      </c>
      <c r="I26" s="66" t="s">
        <v>381</v>
      </c>
    </row>
    <row r="27" spans="1:9">
      <c r="A27" s="63">
        <f t="shared" si="0"/>
        <v>26</v>
      </c>
      <c r="B27" s="64" t="s">
        <v>382</v>
      </c>
      <c r="C27" s="64" t="s">
        <v>383</v>
      </c>
      <c r="D27" s="64" t="s">
        <v>300</v>
      </c>
      <c r="E27" s="64" t="s">
        <v>295</v>
      </c>
      <c r="F27" s="65" t="s">
        <v>383</v>
      </c>
      <c r="G27" s="65" t="s">
        <v>384</v>
      </c>
      <c r="H27" s="65" t="s">
        <v>385</v>
      </c>
      <c r="I27" s="66" t="s">
        <v>894</v>
      </c>
    </row>
    <row r="28" spans="1:9">
      <c r="A28" s="63">
        <f t="shared" si="0"/>
        <v>27</v>
      </c>
      <c r="B28" s="64" t="s">
        <v>382</v>
      </c>
      <c r="C28" s="64" t="s">
        <v>386</v>
      </c>
      <c r="D28" s="64" t="s">
        <v>294</v>
      </c>
      <c r="E28" s="64" t="s">
        <v>295</v>
      </c>
      <c r="F28" s="65" t="s">
        <v>386</v>
      </c>
      <c r="G28" s="65" t="s">
        <v>387</v>
      </c>
      <c r="H28" s="65" t="s">
        <v>388</v>
      </c>
      <c r="I28" s="66" t="s">
        <v>389</v>
      </c>
    </row>
    <row r="29" spans="1:9">
      <c r="A29" s="63">
        <f t="shared" si="0"/>
        <v>28</v>
      </c>
      <c r="B29" s="64" t="s">
        <v>382</v>
      </c>
      <c r="C29" s="64" t="s">
        <v>390</v>
      </c>
      <c r="D29" s="64" t="s">
        <v>300</v>
      </c>
      <c r="E29" s="64" t="s">
        <v>340</v>
      </c>
      <c r="F29" s="65" t="s">
        <v>390</v>
      </c>
      <c r="G29" s="65" t="s">
        <v>391</v>
      </c>
      <c r="H29" s="65" t="s">
        <v>392</v>
      </c>
      <c r="I29" s="66" t="s">
        <v>393</v>
      </c>
    </row>
    <row r="30" spans="1:9">
      <c r="A30" s="63">
        <f t="shared" si="0"/>
        <v>29</v>
      </c>
      <c r="B30" s="64" t="s">
        <v>394</v>
      </c>
      <c r="C30" s="64" t="s">
        <v>395</v>
      </c>
      <c r="D30" s="64" t="s">
        <v>294</v>
      </c>
      <c r="E30" s="64" t="s">
        <v>295</v>
      </c>
      <c r="F30" s="65" t="s">
        <v>396</v>
      </c>
      <c r="G30" s="65" t="s">
        <v>397</v>
      </c>
      <c r="H30" s="65" t="s">
        <v>398</v>
      </c>
      <c r="I30" s="66" t="s">
        <v>399</v>
      </c>
    </row>
    <row r="31" spans="1:9">
      <c r="A31" s="63">
        <f t="shared" si="0"/>
        <v>30</v>
      </c>
      <c r="B31" s="64" t="s">
        <v>394</v>
      </c>
      <c r="C31" s="64" t="s">
        <v>395</v>
      </c>
      <c r="D31" s="64" t="s">
        <v>294</v>
      </c>
      <c r="E31" s="64" t="s">
        <v>340</v>
      </c>
      <c r="F31" s="65" t="s">
        <v>400</v>
      </c>
      <c r="G31" s="65" t="s">
        <v>401</v>
      </c>
      <c r="H31" s="65" t="s">
        <v>402</v>
      </c>
      <c r="I31" s="66" t="s">
        <v>403</v>
      </c>
    </row>
    <row r="32" spans="1:9">
      <c r="A32" s="63">
        <f t="shared" si="0"/>
        <v>31</v>
      </c>
      <c r="B32" s="64" t="s">
        <v>394</v>
      </c>
      <c r="C32" s="64" t="s">
        <v>404</v>
      </c>
      <c r="D32" s="64" t="s">
        <v>300</v>
      </c>
      <c r="E32" s="64" t="s">
        <v>295</v>
      </c>
      <c r="F32" s="65" t="s">
        <v>405</v>
      </c>
      <c r="G32" s="69" t="s">
        <v>406</v>
      </c>
      <c r="H32" s="69" t="s">
        <v>407</v>
      </c>
      <c r="I32" s="71" t="s">
        <v>408</v>
      </c>
    </row>
    <row r="33" spans="1:9">
      <c r="A33" s="63">
        <f t="shared" si="0"/>
        <v>32</v>
      </c>
      <c r="B33" s="64" t="s">
        <v>394</v>
      </c>
      <c r="C33" s="64" t="s">
        <v>404</v>
      </c>
      <c r="D33" s="64" t="s">
        <v>300</v>
      </c>
      <c r="E33" s="64" t="s">
        <v>340</v>
      </c>
      <c r="F33" s="65" t="s">
        <v>409</v>
      </c>
      <c r="G33" s="65" t="s">
        <v>406</v>
      </c>
      <c r="H33" s="65" t="s">
        <v>410</v>
      </c>
      <c r="I33" s="66" t="s">
        <v>411</v>
      </c>
    </row>
    <row r="34" spans="1:9">
      <c r="A34" s="63">
        <f t="shared" si="0"/>
        <v>33</v>
      </c>
      <c r="B34" s="64" t="s">
        <v>394</v>
      </c>
      <c r="C34" s="64" t="s">
        <v>412</v>
      </c>
      <c r="D34" s="64" t="s">
        <v>312</v>
      </c>
      <c r="E34" s="64" t="s">
        <v>295</v>
      </c>
      <c r="F34" s="65" t="s">
        <v>413</v>
      </c>
      <c r="G34" s="65" t="s">
        <v>397</v>
      </c>
      <c r="H34" s="67" t="s">
        <v>414</v>
      </c>
      <c r="I34" s="66" t="s">
        <v>415</v>
      </c>
    </row>
    <row r="35" spans="1:9">
      <c r="A35" s="63">
        <f t="shared" si="0"/>
        <v>34</v>
      </c>
      <c r="B35" s="64" t="s">
        <v>394</v>
      </c>
      <c r="C35" s="64" t="s">
        <v>412</v>
      </c>
      <c r="D35" s="64" t="s">
        <v>312</v>
      </c>
      <c r="E35" s="64" t="s">
        <v>340</v>
      </c>
      <c r="F35" s="65" t="s">
        <v>416</v>
      </c>
      <c r="G35" s="65" t="s">
        <v>417</v>
      </c>
      <c r="H35" s="65" t="s">
        <v>418</v>
      </c>
      <c r="I35" s="66" t="s">
        <v>419</v>
      </c>
    </row>
    <row r="36" spans="1:9">
      <c r="A36" s="63">
        <f t="shared" si="0"/>
        <v>35</v>
      </c>
      <c r="B36" s="64" t="s">
        <v>394</v>
      </c>
      <c r="C36" s="64" t="s">
        <v>420</v>
      </c>
      <c r="D36" s="64" t="s">
        <v>312</v>
      </c>
      <c r="E36" s="64" t="s">
        <v>295</v>
      </c>
      <c r="F36" s="65" t="s">
        <v>421</v>
      </c>
      <c r="G36" s="65" t="s">
        <v>397</v>
      </c>
      <c r="H36" s="65" t="s">
        <v>422</v>
      </c>
      <c r="I36" s="66" t="s">
        <v>423</v>
      </c>
    </row>
    <row r="37" spans="1:9">
      <c r="A37" s="63">
        <f t="shared" si="0"/>
        <v>36</v>
      </c>
      <c r="B37" s="64" t="s">
        <v>394</v>
      </c>
      <c r="C37" s="64" t="s">
        <v>420</v>
      </c>
      <c r="D37" s="64" t="s">
        <v>312</v>
      </c>
      <c r="E37" s="64" t="s">
        <v>340</v>
      </c>
      <c r="F37" s="65" t="s">
        <v>424</v>
      </c>
      <c r="G37" s="65" t="s">
        <v>425</v>
      </c>
      <c r="H37" s="65" t="s">
        <v>426</v>
      </c>
      <c r="I37" s="66" t="s">
        <v>427</v>
      </c>
    </row>
    <row r="38" spans="1:9">
      <c r="A38" s="63">
        <f t="shared" si="0"/>
        <v>37</v>
      </c>
      <c r="B38" s="64" t="s">
        <v>394</v>
      </c>
      <c r="C38" s="64" t="s">
        <v>428</v>
      </c>
      <c r="D38" s="64" t="s">
        <v>312</v>
      </c>
      <c r="E38" s="64" t="s">
        <v>295</v>
      </c>
      <c r="F38" s="65" t="s">
        <v>429</v>
      </c>
      <c r="G38" s="65" t="s">
        <v>397</v>
      </c>
      <c r="H38" s="65" t="s">
        <v>430</v>
      </c>
      <c r="I38" s="66" t="s">
        <v>431</v>
      </c>
    </row>
    <row r="39" spans="1:9">
      <c r="A39" s="63">
        <f t="shared" si="0"/>
        <v>38</v>
      </c>
      <c r="B39" s="64" t="s">
        <v>394</v>
      </c>
      <c r="C39" s="64" t="s">
        <v>428</v>
      </c>
      <c r="D39" s="64" t="s">
        <v>312</v>
      </c>
      <c r="E39" s="64" t="s">
        <v>340</v>
      </c>
      <c r="F39" s="65" t="s">
        <v>432</v>
      </c>
      <c r="G39" s="65" t="s">
        <v>417</v>
      </c>
      <c r="H39" s="65" t="s">
        <v>433</v>
      </c>
      <c r="I39" s="66" t="s">
        <v>434</v>
      </c>
    </row>
    <row r="40" spans="1:9">
      <c r="A40" s="63">
        <f t="shared" si="0"/>
        <v>39</v>
      </c>
      <c r="B40" s="64" t="s">
        <v>394</v>
      </c>
      <c r="C40" s="64" t="s">
        <v>435</v>
      </c>
      <c r="D40" s="64" t="s">
        <v>300</v>
      </c>
      <c r="E40" s="64" t="s">
        <v>295</v>
      </c>
      <c r="F40" s="65" t="s">
        <v>436</v>
      </c>
      <c r="G40" s="65" t="s">
        <v>437</v>
      </c>
      <c r="H40" s="65" t="s">
        <v>438</v>
      </c>
      <c r="I40" s="66" t="s">
        <v>439</v>
      </c>
    </row>
    <row r="41" spans="1:9">
      <c r="A41" s="63">
        <f t="shared" si="0"/>
        <v>40</v>
      </c>
      <c r="B41" s="64" t="s">
        <v>394</v>
      </c>
      <c r="C41" s="64" t="s">
        <v>435</v>
      </c>
      <c r="D41" s="64" t="s">
        <v>300</v>
      </c>
      <c r="E41" s="64" t="s">
        <v>340</v>
      </c>
      <c r="F41" s="65" t="s">
        <v>440</v>
      </c>
      <c r="G41" s="65" t="s">
        <v>401</v>
      </c>
      <c r="H41" s="65" t="s">
        <v>441</v>
      </c>
      <c r="I41" s="66" t="s">
        <v>442</v>
      </c>
    </row>
    <row r="42" spans="1:9">
      <c r="A42" s="63">
        <f t="shared" si="0"/>
        <v>41</v>
      </c>
      <c r="B42" s="64" t="s">
        <v>394</v>
      </c>
      <c r="C42" s="64" t="s">
        <v>443</v>
      </c>
      <c r="D42" s="64" t="s">
        <v>300</v>
      </c>
      <c r="E42" s="64" t="s">
        <v>295</v>
      </c>
      <c r="F42" s="65" t="s">
        <v>444</v>
      </c>
      <c r="G42" s="69" t="s">
        <v>437</v>
      </c>
      <c r="H42" s="69" t="s">
        <v>438</v>
      </c>
      <c r="I42" s="66" t="s">
        <v>445</v>
      </c>
    </row>
    <row r="43" spans="1:9">
      <c r="A43" s="63">
        <f t="shared" si="0"/>
        <v>42</v>
      </c>
      <c r="B43" s="64" t="s">
        <v>394</v>
      </c>
      <c r="C43" s="64" t="s">
        <v>443</v>
      </c>
      <c r="D43" s="64" t="s">
        <v>300</v>
      </c>
      <c r="E43" s="64" t="s">
        <v>340</v>
      </c>
      <c r="F43" s="65" t="s">
        <v>446</v>
      </c>
      <c r="G43" s="69" t="s">
        <v>401</v>
      </c>
      <c r="H43" s="69" t="s">
        <v>441</v>
      </c>
      <c r="I43" s="66"/>
    </row>
    <row r="44" spans="1:9">
      <c r="A44" s="63">
        <f t="shared" si="0"/>
        <v>43</v>
      </c>
      <c r="B44" s="64" t="s">
        <v>394</v>
      </c>
      <c r="C44" s="64" t="s">
        <v>447</v>
      </c>
      <c r="D44" s="64" t="s">
        <v>300</v>
      </c>
      <c r="E44" s="64" t="s">
        <v>295</v>
      </c>
      <c r="F44" s="65" t="s">
        <v>448</v>
      </c>
      <c r="G44" s="69" t="s">
        <v>437</v>
      </c>
      <c r="H44" s="69" t="s">
        <v>438</v>
      </c>
      <c r="I44" s="66" t="s">
        <v>449</v>
      </c>
    </row>
    <row r="45" spans="1:9">
      <c r="A45" s="63">
        <f t="shared" si="0"/>
        <v>44</v>
      </c>
      <c r="B45" s="64" t="s">
        <v>394</v>
      </c>
      <c r="C45" s="64" t="s">
        <v>447</v>
      </c>
      <c r="D45" s="64" t="s">
        <v>300</v>
      </c>
      <c r="E45" s="64" t="s">
        <v>340</v>
      </c>
      <c r="F45" s="65" t="s">
        <v>450</v>
      </c>
      <c r="G45" s="69" t="s">
        <v>401</v>
      </c>
      <c r="H45" s="69" t="s">
        <v>441</v>
      </c>
      <c r="I45" s="71" t="s">
        <v>451</v>
      </c>
    </row>
    <row r="46" spans="1:9">
      <c r="A46" s="63">
        <f t="shared" si="0"/>
        <v>45</v>
      </c>
      <c r="B46" s="64" t="s">
        <v>394</v>
      </c>
      <c r="C46" s="64" t="s">
        <v>452</v>
      </c>
      <c r="D46" s="64" t="s">
        <v>453</v>
      </c>
      <c r="E46" s="64" t="s">
        <v>295</v>
      </c>
      <c r="F46" s="65" t="s">
        <v>454</v>
      </c>
      <c r="G46" s="65" t="s">
        <v>437</v>
      </c>
      <c r="H46" s="65" t="s">
        <v>455</v>
      </c>
      <c r="I46" s="66" t="s">
        <v>456</v>
      </c>
    </row>
    <row r="47" spans="1:9">
      <c r="A47" s="63">
        <f t="shared" si="0"/>
        <v>46</v>
      </c>
      <c r="B47" s="64" t="s">
        <v>394</v>
      </c>
      <c r="C47" s="64" t="s">
        <v>452</v>
      </c>
      <c r="D47" s="64" t="s">
        <v>453</v>
      </c>
      <c r="E47" s="64" t="s">
        <v>340</v>
      </c>
      <c r="F47" s="65" t="s">
        <v>457</v>
      </c>
      <c r="G47" s="65" t="s">
        <v>406</v>
      </c>
      <c r="H47" s="65" t="s">
        <v>458</v>
      </c>
      <c r="I47" s="66" t="s">
        <v>459</v>
      </c>
    </row>
    <row r="48" spans="1:9">
      <c r="A48" s="63">
        <f t="shared" si="0"/>
        <v>47</v>
      </c>
      <c r="B48" s="64" t="s">
        <v>394</v>
      </c>
      <c r="C48" s="64" t="s">
        <v>460</v>
      </c>
      <c r="D48" s="64" t="s">
        <v>294</v>
      </c>
      <c r="E48" s="64" t="s">
        <v>295</v>
      </c>
      <c r="F48" s="65" t="s">
        <v>460</v>
      </c>
      <c r="G48" s="65" t="s">
        <v>397</v>
      </c>
      <c r="H48" s="65" t="s">
        <v>461</v>
      </c>
      <c r="I48" s="66" t="s">
        <v>462</v>
      </c>
    </row>
    <row r="49" spans="1:9">
      <c r="A49" s="63">
        <f t="shared" si="0"/>
        <v>48</v>
      </c>
      <c r="B49" s="64" t="s">
        <v>394</v>
      </c>
      <c r="C49" s="64" t="s">
        <v>463</v>
      </c>
      <c r="D49" s="64" t="s">
        <v>294</v>
      </c>
      <c r="E49" s="64" t="s">
        <v>340</v>
      </c>
      <c r="F49" s="65" t="s">
        <v>463</v>
      </c>
      <c r="G49" s="65" t="s">
        <v>401</v>
      </c>
      <c r="H49" s="65" t="s">
        <v>464</v>
      </c>
      <c r="I49" s="66" t="s">
        <v>465</v>
      </c>
    </row>
    <row r="50" spans="1:9">
      <c r="A50" s="63">
        <f t="shared" si="0"/>
        <v>49</v>
      </c>
      <c r="B50" s="64" t="s">
        <v>466</v>
      </c>
      <c r="C50" s="64" t="s">
        <v>467</v>
      </c>
      <c r="D50" s="64" t="s">
        <v>300</v>
      </c>
      <c r="E50" s="64" t="s">
        <v>295</v>
      </c>
      <c r="F50" s="65" t="s">
        <v>468</v>
      </c>
      <c r="G50" s="65" t="s">
        <v>469</v>
      </c>
      <c r="H50" s="65"/>
      <c r="I50" s="66" t="s">
        <v>470</v>
      </c>
    </row>
    <row r="51" spans="1:9">
      <c r="A51" s="63">
        <f t="shared" si="0"/>
        <v>50</v>
      </c>
      <c r="B51" s="64" t="s">
        <v>466</v>
      </c>
      <c r="C51" s="64" t="s">
        <v>467</v>
      </c>
      <c r="D51" s="64" t="s">
        <v>300</v>
      </c>
      <c r="E51" s="64" t="s">
        <v>340</v>
      </c>
      <c r="F51" s="65" t="s">
        <v>471</v>
      </c>
      <c r="G51" s="65" t="s">
        <v>469</v>
      </c>
      <c r="H51" s="65"/>
      <c r="I51" s="66" t="s">
        <v>472</v>
      </c>
    </row>
    <row r="52" spans="1:9">
      <c r="A52" s="63">
        <f t="shared" si="0"/>
        <v>51</v>
      </c>
      <c r="B52" s="64" t="s">
        <v>466</v>
      </c>
      <c r="C52" s="64" t="s">
        <v>473</v>
      </c>
      <c r="D52" s="64" t="s">
        <v>300</v>
      </c>
      <c r="E52" s="64" t="s">
        <v>295</v>
      </c>
      <c r="F52" s="65" t="s">
        <v>473</v>
      </c>
      <c r="G52" s="65" t="s">
        <v>469</v>
      </c>
      <c r="H52" s="65"/>
      <c r="I52" s="66" t="s">
        <v>474</v>
      </c>
    </row>
    <row r="53" spans="1:9">
      <c r="A53" s="63">
        <f t="shared" si="0"/>
        <v>52</v>
      </c>
      <c r="B53" s="64" t="s">
        <v>466</v>
      </c>
      <c r="C53" s="64" t="s">
        <v>475</v>
      </c>
      <c r="D53" s="64" t="s">
        <v>300</v>
      </c>
      <c r="E53" s="64" t="s">
        <v>295</v>
      </c>
      <c r="F53" s="65" t="s">
        <v>476</v>
      </c>
      <c r="G53" s="65" t="s">
        <v>469</v>
      </c>
      <c r="H53" s="65"/>
      <c r="I53" s="66" t="s">
        <v>477</v>
      </c>
    </row>
    <row r="54" spans="1:9">
      <c r="A54" s="63">
        <f t="shared" si="0"/>
        <v>53</v>
      </c>
      <c r="B54" s="64" t="s">
        <v>466</v>
      </c>
      <c r="C54" s="64" t="s">
        <v>475</v>
      </c>
      <c r="D54" s="64" t="s">
        <v>300</v>
      </c>
      <c r="E54" s="64" t="s">
        <v>340</v>
      </c>
      <c r="F54" s="65" t="s">
        <v>478</v>
      </c>
      <c r="G54" s="65" t="s">
        <v>469</v>
      </c>
      <c r="H54" s="65"/>
      <c r="I54" s="66" t="s">
        <v>479</v>
      </c>
    </row>
    <row r="55" spans="1:9">
      <c r="A55" s="63">
        <f t="shared" si="0"/>
        <v>54</v>
      </c>
      <c r="B55" s="64" t="s">
        <v>466</v>
      </c>
      <c r="C55" s="64" t="s">
        <v>466</v>
      </c>
      <c r="D55" s="64" t="s">
        <v>300</v>
      </c>
      <c r="E55" s="64" t="s">
        <v>295</v>
      </c>
      <c r="F55" s="65" t="s">
        <v>466</v>
      </c>
      <c r="G55" s="65" t="s">
        <v>469</v>
      </c>
      <c r="H55" s="65" t="s">
        <v>480</v>
      </c>
      <c r="I55" s="66" t="s">
        <v>481</v>
      </c>
    </row>
    <row r="56" spans="1:9">
      <c r="A56" s="63">
        <f t="shared" si="0"/>
        <v>55</v>
      </c>
      <c r="B56" s="64" t="s">
        <v>466</v>
      </c>
      <c r="C56" s="64" t="s">
        <v>482</v>
      </c>
      <c r="D56" s="64" t="s">
        <v>300</v>
      </c>
      <c r="E56" s="64" t="s">
        <v>340</v>
      </c>
      <c r="F56" s="65" t="s">
        <v>482</v>
      </c>
      <c r="G56" s="65" t="s">
        <v>483</v>
      </c>
      <c r="H56" s="65" t="s">
        <v>484</v>
      </c>
      <c r="I56" s="66" t="s">
        <v>485</v>
      </c>
    </row>
    <row r="57" spans="1:9">
      <c r="A57" s="63">
        <f t="shared" si="0"/>
        <v>56</v>
      </c>
      <c r="B57" s="64" t="s">
        <v>466</v>
      </c>
      <c r="C57" s="64" t="s">
        <v>486</v>
      </c>
      <c r="D57" s="64" t="s">
        <v>300</v>
      </c>
      <c r="E57" s="64" t="s">
        <v>340</v>
      </c>
      <c r="F57" s="65" t="s">
        <v>486</v>
      </c>
      <c r="G57" s="65" t="s">
        <v>483</v>
      </c>
      <c r="H57" s="65" t="s">
        <v>484</v>
      </c>
      <c r="I57" s="66" t="s">
        <v>487</v>
      </c>
    </row>
    <row r="58" spans="1:9">
      <c r="A58" s="63">
        <f t="shared" si="0"/>
        <v>57</v>
      </c>
      <c r="B58" s="64" t="s">
        <v>466</v>
      </c>
      <c r="C58" s="64" t="s">
        <v>488</v>
      </c>
      <c r="D58" s="64" t="s">
        <v>294</v>
      </c>
      <c r="E58" s="64" t="s">
        <v>295</v>
      </c>
      <c r="F58" s="65" t="s">
        <v>488</v>
      </c>
      <c r="G58" s="65" t="s">
        <v>489</v>
      </c>
      <c r="H58" s="65" t="s">
        <v>490</v>
      </c>
      <c r="I58" s="66" t="s">
        <v>491</v>
      </c>
    </row>
    <row r="59" spans="1:9">
      <c r="A59" s="63">
        <f t="shared" si="0"/>
        <v>58</v>
      </c>
      <c r="B59" s="64" t="s">
        <v>466</v>
      </c>
      <c r="C59" s="64" t="s">
        <v>492</v>
      </c>
      <c r="D59" s="64" t="s">
        <v>294</v>
      </c>
      <c r="E59" s="64" t="s">
        <v>340</v>
      </c>
      <c r="F59" s="65" t="s">
        <v>492</v>
      </c>
      <c r="G59" s="65" t="s">
        <v>483</v>
      </c>
      <c r="H59" s="65" t="s">
        <v>493</v>
      </c>
      <c r="I59" s="66" t="s">
        <v>494</v>
      </c>
    </row>
    <row r="60" spans="1:9">
      <c r="A60" s="63">
        <f t="shared" si="0"/>
        <v>59</v>
      </c>
      <c r="B60" s="64" t="s">
        <v>466</v>
      </c>
      <c r="C60" s="64" t="s">
        <v>495</v>
      </c>
      <c r="D60" s="64" t="s">
        <v>300</v>
      </c>
      <c r="E60" s="64" t="s">
        <v>295</v>
      </c>
      <c r="F60" s="65" t="s">
        <v>495</v>
      </c>
      <c r="G60" s="65" t="s">
        <v>469</v>
      </c>
      <c r="H60" s="65" t="s">
        <v>496</v>
      </c>
      <c r="I60" s="66" t="s">
        <v>497</v>
      </c>
    </row>
    <row r="61" spans="1:9">
      <c r="A61" s="63">
        <f t="shared" si="0"/>
        <v>60</v>
      </c>
      <c r="B61" s="64" t="s">
        <v>466</v>
      </c>
      <c r="C61" s="64" t="s">
        <v>498</v>
      </c>
      <c r="D61" s="64" t="s">
        <v>300</v>
      </c>
      <c r="E61" s="64" t="s">
        <v>340</v>
      </c>
      <c r="F61" s="65" t="s">
        <v>498</v>
      </c>
      <c r="G61" s="65" t="s">
        <v>483</v>
      </c>
      <c r="H61" s="65" t="s">
        <v>499</v>
      </c>
      <c r="I61" s="66" t="s">
        <v>500</v>
      </c>
    </row>
    <row r="62" spans="1:9">
      <c r="A62" s="63">
        <f t="shared" si="0"/>
        <v>61</v>
      </c>
      <c r="B62" s="64" t="s">
        <v>501</v>
      </c>
      <c r="C62" s="64" t="s">
        <v>502</v>
      </c>
      <c r="D62" s="64" t="s">
        <v>294</v>
      </c>
      <c r="E62" s="64" t="s">
        <v>295</v>
      </c>
      <c r="F62" s="65" t="s">
        <v>502</v>
      </c>
      <c r="G62" s="65" t="s">
        <v>503</v>
      </c>
      <c r="H62" s="65" t="s">
        <v>504</v>
      </c>
      <c r="I62" s="66" t="s">
        <v>505</v>
      </c>
    </row>
    <row r="63" spans="1:9">
      <c r="A63" s="63">
        <f t="shared" si="0"/>
        <v>62</v>
      </c>
      <c r="B63" s="64" t="s">
        <v>501</v>
      </c>
      <c r="C63" s="64" t="s">
        <v>506</v>
      </c>
      <c r="D63" s="64" t="s">
        <v>294</v>
      </c>
      <c r="E63" s="64" t="s">
        <v>340</v>
      </c>
      <c r="F63" s="65" t="s">
        <v>506</v>
      </c>
      <c r="G63" s="65" t="s">
        <v>507</v>
      </c>
      <c r="H63" s="65" t="s">
        <v>508</v>
      </c>
      <c r="I63" s="66" t="s">
        <v>509</v>
      </c>
    </row>
    <row r="64" spans="1:9">
      <c r="A64" s="63">
        <f t="shared" si="0"/>
        <v>63</v>
      </c>
      <c r="B64" s="64" t="s">
        <v>466</v>
      </c>
      <c r="C64" s="64" t="s">
        <v>510</v>
      </c>
      <c r="D64" s="64" t="s">
        <v>300</v>
      </c>
      <c r="E64" s="64" t="s">
        <v>295</v>
      </c>
      <c r="F64" s="65" t="s">
        <v>511</v>
      </c>
      <c r="G64" s="65" t="s">
        <v>512</v>
      </c>
      <c r="H64" s="65" t="s">
        <v>513</v>
      </c>
      <c r="I64" s="66" t="s">
        <v>514</v>
      </c>
    </row>
    <row r="65" spans="1:9">
      <c r="A65" s="63">
        <f t="shared" si="0"/>
        <v>64</v>
      </c>
      <c r="B65" s="64" t="s">
        <v>466</v>
      </c>
      <c r="C65" s="64" t="s">
        <v>510</v>
      </c>
      <c r="D65" s="64" t="s">
        <v>300</v>
      </c>
      <c r="E65" s="64" t="s">
        <v>340</v>
      </c>
      <c r="F65" s="65" t="s">
        <v>515</v>
      </c>
      <c r="G65" s="65" t="s">
        <v>507</v>
      </c>
      <c r="H65" s="65" t="s">
        <v>516</v>
      </c>
      <c r="I65" s="66" t="s">
        <v>517</v>
      </c>
    </row>
    <row r="66" spans="1:9">
      <c r="A66" s="63">
        <f t="shared" si="0"/>
        <v>65</v>
      </c>
      <c r="B66" s="64" t="s">
        <v>501</v>
      </c>
      <c r="C66" s="64" t="s">
        <v>518</v>
      </c>
      <c r="D66" s="64" t="s">
        <v>312</v>
      </c>
      <c r="E66" s="64" t="s">
        <v>295</v>
      </c>
      <c r="F66" s="65" t="s">
        <v>519</v>
      </c>
      <c r="G66" s="65" t="s">
        <v>503</v>
      </c>
      <c r="H66" s="65" t="s">
        <v>520</v>
      </c>
      <c r="I66" s="66" t="s">
        <v>521</v>
      </c>
    </row>
    <row r="67" spans="1:9">
      <c r="A67" s="63">
        <f t="shared" si="0"/>
        <v>66</v>
      </c>
      <c r="B67" s="64" t="s">
        <v>501</v>
      </c>
      <c r="C67" s="64" t="s">
        <v>518</v>
      </c>
      <c r="D67" s="64" t="s">
        <v>312</v>
      </c>
      <c r="E67" s="64" t="s">
        <v>340</v>
      </c>
      <c r="F67" s="65" t="s">
        <v>522</v>
      </c>
      <c r="G67" s="65" t="s">
        <v>507</v>
      </c>
      <c r="H67" s="65" t="s">
        <v>523</v>
      </c>
      <c r="I67" s="66" t="s">
        <v>524</v>
      </c>
    </row>
    <row r="68" spans="1:9">
      <c r="A68" s="63">
        <f t="shared" ref="A68:A131" si="1">A67+1</f>
        <v>67</v>
      </c>
      <c r="B68" s="64" t="s">
        <v>501</v>
      </c>
      <c r="C68" s="64" t="s">
        <v>501</v>
      </c>
      <c r="D68" s="64" t="s">
        <v>312</v>
      </c>
      <c r="E68" s="64" t="s">
        <v>295</v>
      </c>
      <c r="F68" s="65" t="s">
        <v>525</v>
      </c>
      <c r="G68" s="65" t="s">
        <v>503</v>
      </c>
      <c r="H68" s="65" t="s">
        <v>526</v>
      </c>
      <c r="I68" s="66" t="s">
        <v>527</v>
      </c>
    </row>
    <row r="69" spans="1:9">
      <c r="A69" s="63">
        <f t="shared" si="1"/>
        <v>68</v>
      </c>
      <c r="B69" s="64" t="s">
        <v>501</v>
      </c>
      <c r="C69" s="64" t="s">
        <v>501</v>
      </c>
      <c r="D69" s="64" t="s">
        <v>312</v>
      </c>
      <c r="E69" s="64" t="s">
        <v>340</v>
      </c>
      <c r="F69" s="65" t="s">
        <v>528</v>
      </c>
      <c r="G69" s="65" t="s">
        <v>507</v>
      </c>
      <c r="H69" s="65" t="s">
        <v>529</v>
      </c>
      <c r="I69" s="66" t="s">
        <v>530</v>
      </c>
    </row>
    <row r="70" spans="1:9">
      <c r="A70" s="63">
        <f t="shared" si="1"/>
        <v>69</v>
      </c>
      <c r="B70" s="64" t="s">
        <v>501</v>
      </c>
      <c r="C70" s="64" t="s">
        <v>531</v>
      </c>
      <c r="D70" s="64" t="s">
        <v>300</v>
      </c>
      <c r="E70" s="64" t="s">
        <v>295</v>
      </c>
      <c r="F70" s="65" t="s">
        <v>532</v>
      </c>
      <c r="G70" s="65" t="s">
        <v>512</v>
      </c>
      <c r="H70" s="65" t="s">
        <v>533</v>
      </c>
      <c r="I70" s="66" t="s">
        <v>534</v>
      </c>
    </row>
    <row r="71" spans="1:9">
      <c r="A71" s="63">
        <f t="shared" si="1"/>
        <v>70</v>
      </c>
      <c r="B71" s="64" t="s">
        <v>501</v>
      </c>
      <c r="C71" s="64" t="s">
        <v>531</v>
      </c>
      <c r="D71" s="64" t="s">
        <v>300</v>
      </c>
      <c r="E71" s="64" t="s">
        <v>340</v>
      </c>
      <c r="F71" s="65" t="s">
        <v>535</v>
      </c>
      <c r="G71" s="65" t="s">
        <v>507</v>
      </c>
      <c r="H71" s="65" t="s">
        <v>536</v>
      </c>
      <c r="I71" s="66" t="s">
        <v>537</v>
      </c>
    </row>
    <row r="72" spans="1:9">
      <c r="A72" s="63">
        <f t="shared" si="1"/>
        <v>71</v>
      </c>
      <c r="B72" s="64" t="s">
        <v>501</v>
      </c>
      <c r="C72" s="64" t="s">
        <v>538</v>
      </c>
      <c r="D72" s="64" t="s">
        <v>300</v>
      </c>
      <c r="E72" s="64" t="s">
        <v>295</v>
      </c>
      <c r="F72" s="65" t="s">
        <v>539</v>
      </c>
      <c r="G72" s="65" t="s">
        <v>512</v>
      </c>
      <c r="H72" s="65" t="s">
        <v>533</v>
      </c>
      <c r="I72" s="66" t="s">
        <v>540</v>
      </c>
    </row>
    <row r="73" spans="1:9">
      <c r="A73" s="63">
        <f t="shared" si="1"/>
        <v>72</v>
      </c>
      <c r="B73" s="64" t="s">
        <v>501</v>
      </c>
      <c r="C73" s="64" t="s">
        <v>538</v>
      </c>
      <c r="D73" s="64" t="s">
        <v>300</v>
      </c>
      <c r="E73" s="64" t="s">
        <v>340</v>
      </c>
      <c r="F73" s="65" t="s">
        <v>541</v>
      </c>
      <c r="G73" s="65" t="s">
        <v>507</v>
      </c>
      <c r="H73" s="65" t="s">
        <v>536</v>
      </c>
      <c r="I73" s="66" t="s">
        <v>542</v>
      </c>
    </row>
    <row r="74" spans="1:9">
      <c r="A74" s="63">
        <f t="shared" si="1"/>
        <v>73</v>
      </c>
      <c r="B74" s="64" t="s">
        <v>501</v>
      </c>
      <c r="C74" s="64" t="s">
        <v>543</v>
      </c>
      <c r="D74" s="64" t="s">
        <v>300</v>
      </c>
      <c r="E74" s="64" t="s">
        <v>295</v>
      </c>
      <c r="F74" s="65" t="s">
        <v>544</v>
      </c>
      <c r="G74" s="65" t="s">
        <v>512</v>
      </c>
      <c r="H74" s="65" t="s">
        <v>533</v>
      </c>
      <c r="I74" s="66" t="s">
        <v>545</v>
      </c>
    </row>
    <row r="75" spans="1:9">
      <c r="A75" s="63">
        <f t="shared" si="1"/>
        <v>74</v>
      </c>
      <c r="B75" s="64" t="s">
        <v>501</v>
      </c>
      <c r="C75" s="64" t="s">
        <v>543</v>
      </c>
      <c r="D75" s="64" t="s">
        <v>300</v>
      </c>
      <c r="E75" s="64" t="s">
        <v>340</v>
      </c>
      <c r="F75" s="65" t="s">
        <v>546</v>
      </c>
      <c r="G75" s="65" t="s">
        <v>507</v>
      </c>
      <c r="H75" s="65" t="s">
        <v>536</v>
      </c>
      <c r="I75" s="66" t="s">
        <v>547</v>
      </c>
    </row>
    <row r="76" spans="1:9">
      <c r="A76" s="63">
        <f t="shared" si="1"/>
        <v>75</v>
      </c>
      <c r="B76" s="64" t="s">
        <v>501</v>
      </c>
      <c r="C76" s="64" t="s">
        <v>548</v>
      </c>
      <c r="D76" s="64" t="s">
        <v>453</v>
      </c>
      <c r="E76" s="64" t="s">
        <v>295</v>
      </c>
      <c r="F76" s="65" t="s">
        <v>549</v>
      </c>
      <c r="G76" s="65" t="s">
        <v>512</v>
      </c>
      <c r="H76" s="65" t="s">
        <v>550</v>
      </c>
      <c r="I76" s="66" t="s">
        <v>551</v>
      </c>
    </row>
    <row r="77" spans="1:9">
      <c r="A77" s="63">
        <f t="shared" si="1"/>
        <v>76</v>
      </c>
      <c r="B77" s="64" t="s">
        <v>501</v>
      </c>
      <c r="C77" s="64" t="s">
        <v>548</v>
      </c>
      <c r="D77" s="64" t="s">
        <v>453</v>
      </c>
      <c r="E77" s="64" t="s">
        <v>340</v>
      </c>
      <c r="F77" s="65" t="s">
        <v>552</v>
      </c>
      <c r="G77" s="65" t="s">
        <v>512</v>
      </c>
      <c r="H77" s="65" t="s">
        <v>553</v>
      </c>
      <c r="I77" s="66" t="s">
        <v>554</v>
      </c>
    </row>
    <row r="78" spans="1:9">
      <c r="A78" s="63">
        <f t="shared" si="1"/>
        <v>77</v>
      </c>
      <c r="B78" s="68" t="s">
        <v>466</v>
      </c>
      <c r="C78" s="68" t="s">
        <v>467</v>
      </c>
      <c r="D78" s="68" t="s">
        <v>300</v>
      </c>
      <c r="E78" s="68" t="s">
        <v>295</v>
      </c>
      <c r="F78" s="69" t="s">
        <v>555</v>
      </c>
      <c r="G78" s="69" t="s">
        <v>556</v>
      </c>
      <c r="H78" s="69"/>
      <c r="I78" s="70" t="s">
        <v>557</v>
      </c>
    </row>
    <row r="79" spans="1:9">
      <c r="A79" s="63">
        <f t="shared" si="1"/>
        <v>78</v>
      </c>
      <c r="B79" s="68" t="s">
        <v>466</v>
      </c>
      <c r="C79" s="68" t="s">
        <v>467</v>
      </c>
      <c r="D79" s="68" t="s">
        <v>300</v>
      </c>
      <c r="E79" s="68" t="s">
        <v>340</v>
      </c>
      <c r="F79" s="69" t="s">
        <v>558</v>
      </c>
      <c r="G79" s="69" t="s">
        <v>556</v>
      </c>
      <c r="H79" s="69"/>
      <c r="I79" s="70" t="s">
        <v>559</v>
      </c>
    </row>
    <row r="80" spans="1:9">
      <c r="A80" s="63">
        <f t="shared" si="1"/>
        <v>79</v>
      </c>
      <c r="B80" s="68" t="s">
        <v>466</v>
      </c>
      <c r="C80" s="68" t="s">
        <v>473</v>
      </c>
      <c r="D80" s="68" t="s">
        <v>300</v>
      </c>
      <c r="E80" s="68" t="s">
        <v>295</v>
      </c>
      <c r="F80" s="69" t="s">
        <v>560</v>
      </c>
      <c r="G80" s="69" t="s">
        <v>556</v>
      </c>
      <c r="H80" s="69"/>
      <c r="I80" s="70" t="s">
        <v>561</v>
      </c>
    </row>
    <row r="81" spans="1:9">
      <c r="A81" s="63">
        <f t="shared" si="1"/>
        <v>80</v>
      </c>
      <c r="B81" s="68" t="s">
        <v>466</v>
      </c>
      <c r="C81" s="68" t="s">
        <v>475</v>
      </c>
      <c r="D81" s="68" t="s">
        <v>300</v>
      </c>
      <c r="E81" s="68" t="s">
        <v>295</v>
      </c>
      <c r="F81" s="69" t="s">
        <v>562</v>
      </c>
      <c r="G81" s="69" t="s">
        <v>556</v>
      </c>
      <c r="H81" s="69"/>
      <c r="I81" s="70" t="s">
        <v>563</v>
      </c>
    </row>
    <row r="82" spans="1:9">
      <c r="A82" s="63">
        <f t="shared" si="1"/>
        <v>81</v>
      </c>
      <c r="B82" s="68" t="s">
        <v>466</v>
      </c>
      <c r="C82" s="68" t="s">
        <v>475</v>
      </c>
      <c r="D82" s="68" t="s">
        <v>300</v>
      </c>
      <c r="E82" s="68" t="s">
        <v>340</v>
      </c>
      <c r="F82" s="69" t="s">
        <v>564</v>
      </c>
      <c r="G82" s="69" t="s">
        <v>556</v>
      </c>
      <c r="H82" s="69"/>
      <c r="I82" s="70" t="s">
        <v>565</v>
      </c>
    </row>
    <row r="83" spans="1:9">
      <c r="A83" s="63">
        <f t="shared" si="1"/>
        <v>82</v>
      </c>
      <c r="B83" s="68" t="s">
        <v>466</v>
      </c>
      <c r="C83" s="68" t="s">
        <v>466</v>
      </c>
      <c r="D83" s="68" t="s">
        <v>300</v>
      </c>
      <c r="E83" s="68" t="s">
        <v>295</v>
      </c>
      <c r="F83" s="69" t="s">
        <v>566</v>
      </c>
      <c r="G83" s="69" t="s">
        <v>556</v>
      </c>
      <c r="H83" s="69" t="s">
        <v>567</v>
      </c>
      <c r="I83" s="70" t="s">
        <v>568</v>
      </c>
    </row>
    <row r="84" spans="1:9">
      <c r="A84" s="63">
        <f t="shared" si="1"/>
        <v>83</v>
      </c>
      <c r="B84" s="68" t="s">
        <v>466</v>
      </c>
      <c r="C84" s="68" t="s">
        <v>482</v>
      </c>
      <c r="D84" s="68" t="s">
        <v>300</v>
      </c>
      <c r="E84" s="68" t="s">
        <v>340</v>
      </c>
      <c r="F84" s="69" t="s">
        <v>569</v>
      </c>
      <c r="G84" s="69" t="s">
        <v>570</v>
      </c>
      <c r="H84" s="69" t="s">
        <v>571</v>
      </c>
      <c r="I84" s="70" t="s">
        <v>572</v>
      </c>
    </row>
    <row r="85" spans="1:9">
      <c r="A85" s="63">
        <f t="shared" si="1"/>
        <v>84</v>
      </c>
      <c r="B85" s="68" t="s">
        <v>466</v>
      </c>
      <c r="C85" s="68" t="s">
        <v>486</v>
      </c>
      <c r="D85" s="68" t="s">
        <v>300</v>
      </c>
      <c r="E85" s="68" t="s">
        <v>340</v>
      </c>
      <c r="F85" s="69" t="s">
        <v>573</v>
      </c>
      <c r="G85" s="69" t="s">
        <v>570</v>
      </c>
      <c r="H85" s="69" t="s">
        <v>571</v>
      </c>
      <c r="I85" s="70" t="s">
        <v>574</v>
      </c>
    </row>
    <row r="86" spans="1:9">
      <c r="A86" s="63">
        <f t="shared" si="1"/>
        <v>85</v>
      </c>
      <c r="B86" s="68" t="s">
        <v>466</v>
      </c>
      <c r="C86" s="68" t="s">
        <v>488</v>
      </c>
      <c r="D86" s="68" t="s">
        <v>294</v>
      </c>
      <c r="E86" s="68" t="s">
        <v>295</v>
      </c>
      <c r="F86" s="69" t="s">
        <v>575</v>
      </c>
      <c r="G86" s="69"/>
      <c r="H86" s="72" t="s">
        <v>576</v>
      </c>
      <c r="I86" s="70" t="s">
        <v>577</v>
      </c>
    </row>
    <row r="87" spans="1:9">
      <c r="A87" s="63">
        <f t="shared" si="1"/>
        <v>86</v>
      </c>
      <c r="B87" s="68" t="s">
        <v>466</v>
      </c>
      <c r="C87" s="68" t="s">
        <v>492</v>
      </c>
      <c r="D87" s="68" t="s">
        <v>294</v>
      </c>
      <c r="E87" s="68" t="s">
        <v>340</v>
      </c>
      <c r="F87" s="69" t="s">
        <v>578</v>
      </c>
      <c r="G87" s="69" t="s">
        <v>570</v>
      </c>
      <c r="H87" s="69" t="s">
        <v>579</v>
      </c>
      <c r="I87" s="70" t="s">
        <v>580</v>
      </c>
    </row>
    <row r="88" spans="1:9">
      <c r="A88" s="63">
        <f t="shared" si="1"/>
        <v>87</v>
      </c>
      <c r="B88" s="68" t="s">
        <v>466</v>
      </c>
      <c r="C88" s="68" t="s">
        <v>495</v>
      </c>
      <c r="D88" s="68" t="s">
        <v>300</v>
      </c>
      <c r="E88" s="68" t="s">
        <v>295</v>
      </c>
      <c r="F88" s="69" t="s">
        <v>581</v>
      </c>
      <c r="G88" s="69" t="s">
        <v>556</v>
      </c>
      <c r="H88" s="69" t="s">
        <v>582</v>
      </c>
      <c r="I88" s="70" t="s">
        <v>583</v>
      </c>
    </row>
    <row r="89" spans="1:9">
      <c r="A89" s="63">
        <f t="shared" si="1"/>
        <v>88</v>
      </c>
      <c r="B89" s="68" t="s">
        <v>466</v>
      </c>
      <c r="C89" s="68" t="s">
        <v>498</v>
      </c>
      <c r="D89" s="68" t="s">
        <v>300</v>
      </c>
      <c r="E89" s="68" t="s">
        <v>340</v>
      </c>
      <c r="F89" s="69" t="s">
        <v>584</v>
      </c>
      <c r="G89" s="69" t="s">
        <v>570</v>
      </c>
      <c r="H89" s="69" t="s">
        <v>585</v>
      </c>
      <c r="I89" s="70" t="s">
        <v>586</v>
      </c>
    </row>
    <row r="90" spans="1:9">
      <c r="A90" s="63">
        <f t="shared" si="1"/>
        <v>89</v>
      </c>
      <c r="B90" s="68" t="s">
        <v>501</v>
      </c>
      <c r="C90" s="68" t="s">
        <v>502</v>
      </c>
      <c r="D90" s="68" t="s">
        <v>294</v>
      </c>
      <c r="E90" s="68" t="s">
        <v>295</v>
      </c>
      <c r="F90" s="69" t="s">
        <v>587</v>
      </c>
      <c r="G90" s="69" t="s">
        <v>588</v>
      </c>
      <c r="H90" s="69" t="s">
        <v>589</v>
      </c>
      <c r="I90" s="70" t="s">
        <v>590</v>
      </c>
    </row>
    <row r="91" spans="1:9">
      <c r="A91" s="63">
        <f t="shared" si="1"/>
        <v>90</v>
      </c>
      <c r="B91" s="68" t="s">
        <v>501</v>
      </c>
      <c r="C91" s="68" t="s">
        <v>506</v>
      </c>
      <c r="D91" s="68" t="s">
        <v>294</v>
      </c>
      <c r="E91" s="68" t="s">
        <v>340</v>
      </c>
      <c r="F91" s="69" t="s">
        <v>591</v>
      </c>
      <c r="G91" s="69" t="s">
        <v>592</v>
      </c>
      <c r="H91" s="69" t="s">
        <v>593</v>
      </c>
      <c r="I91" s="70" t="s">
        <v>594</v>
      </c>
    </row>
    <row r="92" spans="1:9">
      <c r="A92" s="63">
        <f t="shared" si="1"/>
        <v>91</v>
      </c>
      <c r="B92" s="68" t="s">
        <v>466</v>
      </c>
      <c r="C92" s="68" t="s">
        <v>510</v>
      </c>
      <c r="D92" s="68" t="s">
        <v>300</v>
      </c>
      <c r="E92" s="68" t="s">
        <v>295</v>
      </c>
      <c r="F92" s="69" t="s">
        <v>595</v>
      </c>
      <c r="G92" s="69" t="s">
        <v>596</v>
      </c>
      <c r="H92" s="69" t="s">
        <v>597</v>
      </c>
      <c r="I92" s="70" t="s">
        <v>598</v>
      </c>
    </row>
    <row r="93" spans="1:9">
      <c r="A93" s="63">
        <f t="shared" si="1"/>
        <v>92</v>
      </c>
      <c r="B93" s="68" t="s">
        <v>466</v>
      </c>
      <c r="C93" s="68" t="s">
        <v>510</v>
      </c>
      <c r="D93" s="68" t="s">
        <v>300</v>
      </c>
      <c r="E93" s="68" t="s">
        <v>340</v>
      </c>
      <c r="F93" s="69" t="s">
        <v>599</v>
      </c>
      <c r="G93" s="69" t="s">
        <v>592</v>
      </c>
      <c r="H93" s="69" t="s">
        <v>600</v>
      </c>
      <c r="I93" s="70" t="s">
        <v>601</v>
      </c>
    </row>
    <row r="94" spans="1:9">
      <c r="A94" s="63">
        <f t="shared" si="1"/>
        <v>93</v>
      </c>
      <c r="B94" s="68" t="s">
        <v>501</v>
      </c>
      <c r="C94" s="68" t="s">
        <v>518</v>
      </c>
      <c r="D94" s="68" t="s">
        <v>312</v>
      </c>
      <c r="E94" s="68" t="s">
        <v>295</v>
      </c>
      <c r="F94" s="69" t="s">
        <v>602</v>
      </c>
      <c r="G94" s="69" t="s">
        <v>588</v>
      </c>
      <c r="H94" s="69" t="s">
        <v>603</v>
      </c>
      <c r="I94" s="70" t="s">
        <v>604</v>
      </c>
    </row>
    <row r="95" spans="1:9">
      <c r="A95" s="63">
        <f t="shared" si="1"/>
        <v>94</v>
      </c>
      <c r="B95" s="68" t="s">
        <v>501</v>
      </c>
      <c r="C95" s="68" t="s">
        <v>518</v>
      </c>
      <c r="D95" s="68" t="s">
        <v>312</v>
      </c>
      <c r="E95" s="68" t="s">
        <v>340</v>
      </c>
      <c r="F95" s="69" t="s">
        <v>605</v>
      </c>
      <c r="G95" s="69" t="s">
        <v>592</v>
      </c>
      <c r="H95" s="69" t="s">
        <v>606</v>
      </c>
      <c r="I95" s="70" t="s">
        <v>607</v>
      </c>
    </row>
    <row r="96" spans="1:9">
      <c r="A96" s="63">
        <f t="shared" si="1"/>
        <v>95</v>
      </c>
      <c r="B96" s="68" t="s">
        <v>501</v>
      </c>
      <c r="C96" s="68" t="s">
        <v>501</v>
      </c>
      <c r="D96" s="68" t="s">
        <v>312</v>
      </c>
      <c r="E96" s="68" t="s">
        <v>295</v>
      </c>
      <c r="F96" s="69" t="s">
        <v>608</v>
      </c>
      <c r="G96" s="69" t="s">
        <v>588</v>
      </c>
      <c r="H96" s="69" t="s">
        <v>609</v>
      </c>
      <c r="I96" s="70" t="s">
        <v>610</v>
      </c>
    </row>
    <row r="97" spans="1:9">
      <c r="A97" s="63">
        <f t="shared" si="1"/>
        <v>96</v>
      </c>
      <c r="B97" s="68" t="s">
        <v>501</v>
      </c>
      <c r="C97" s="68" t="s">
        <v>501</v>
      </c>
      <c r="D97" s="68" t="s">
        <v>312</v>
      </c>
      <c r="E97" s="68" t="s">
        <v>340</v>
      </c>
      <c r="F97" s="69" t="s">
        <v>611</v>
      </c>
      <c r="G97" s="69" t="s">
        <v>592</v>
      </c>
      <c r="H97" s="69" t="s">
        <v>612</v>
      </c>
      <c r="I97" s="70" t="s">
        <v>613</v>
      </c>
    </row>
    <row r="98" spans="1:9">
      <c r="A98" s="63">
        <f t="shared" si="1"/>
        <v>97</v>
      </c>
      <c r="B98" s="68" t="s">
        <v>501</v>
      </c>
      <c r="C98" s="68" t="s">
        <v>531</v>
      </c>
      <c r="D98" s="68" t="s">
        <v>300</v>
      </c>
      <c r="E98" s="68" t="s">
        <v>295</v>
      </c>
      <c r="F98" s="69" t="s">
        <v>614</v>
      </c>
      <c r="G98" s="69" t="s">
        <v>596</v>
      </c>
      <c r="H98" s="69" t="s">
        <v>615</v>
      </c>
      <c r="I98" s="70" t="s">
        <v>616</v>
      </c>
    </row>
    <row r="99" spans="1:9">
      <c r="A99" s="63">
        <f t="shared" si="1"/>
        <v>98</v>
      </c>
      <c r="B99" s="68" t="s">
        <v>501</v>
      </c>
      <c r="C99" s="68" t="s">
        <v>531</v>
      </c>
      <c r="D99" s="68" t="s">
        <v>300</v>
      </c>
      <c r="E99" s="68" t="s">
        <v>340</v>
      </c>
      <c r="F99" s="69" t="s">
        <v>617</v>
      </c>
      <c r="G99" s="69" t="s">
        <v>592</v>
      </c>
      <c r="H99" s="69" t="s">
        <v>618</v>
      </c>
      <c r="I99" s="70" t="s">
        <v>619</v>
      </c>
    </row>
    <row r="100" spans="1:9">
      <c r="A100" s="63">
        <f t="shared" si="1"/>
        <v>99</v>
      </c>
      <c r="B100" s="68" t="s">
        <v>501</v>
      </c>
      <c r="C100" s="68" t="s">
        <v>538</v>
      </c>
      <c r="D100" s="68" t="s">
        <v>300</v>
      </c>
      <c r="E100" s="68" t="s">
        <v>295</v>
      </c>
      <c r="F100" s="69" t="s">
        <v>620</v>
      </c>
      <c r="G100" s="69" t="s">
        <v>592</v>
      </c>
      <c r="H100" s="69" t="s">
        <v>615</v>
      </c>
      <c r="I100" s="70" t="s">
        <v>621</v>
      </c>
    </row>
    <row r="101" spans="1:9">
      <c r="A101" s="63">
        <f t="shared" si="1"/>
        <v>100</v>
      </c>
      <c r="B101" s="68" t="s">
        <v>501</v>
      </c>
      <c r="C101" s="68" t="s">
        <v>538</v>
      </c>
      <c r="D101" s="68" t="s">
        <v>300</v>
      </c>
      <c r="E101" s="68" t="s">
        <v>340</v>
      </c>
      <c r="F101" s="69" t="s">
        <v>622</v>
      </c>
      <c r="G101" s="69" t="s">
        <v>592</v>
      </c>
      <c r="H101" s="69" t="s">
        <v>618</v>
      </c>
      <c r="I101" s="70" t="s">
        <v>623</v>
      </c>
    </row>
    <row r="102" spans="1:9">
      <c r="A102" s="63">
        <f t="shared" si="1"/>
        <v>101</v>
      </c>
      <c r="B102" s="68" t="s">
        <v>501</v>
      </c>
      <c r="C102" s="68" t="s">
        <v>543</v>
      </c>
      <c r="D102" s="68" t="s">
        <v>300</v>
      </c>
      <c r="E102" s="68" t="s">
        <v>295</v>
      </c>
      <c r="F102" s="69" t="s">
        <v>624</v>
      </c>
      <c r="G102" s="69" t="s">
        <v>592</v>
      </c>
      <c r="H102" s="69" t="s">
        <v>615</v>
      </c>
      <c r="I102" s="70" t="s">
        <v>625</v>
      </c>
    </row>
    <row r="103" spans="1:9">
      <c r="A103" s="63">
        <f t="shared" si="1"/>
        <v>102</v>
      </c>
      <c r="B103" s="68" t="s">
        <v>501</v>
      </c>
      <c r="C103" s="68" t="s">
        <v>543</v>
      </c>
      <c r="D103" s="68" t="s">
        <v>300</v>
      </c>
      <c r="E103" s="68" t="s">
        <v>340</v>
      </c>
      <c r="F103" s="69" t="s">
        <v>626</v>
      </c>
      <c r="G103" s="69" t="s">
        <v>592</v>
      </c>
      <c r="H103" s="69" t="s">
        <v>618</v>
      </c>
      <c r="I103" s="70" t="s">
        <v>627</v>
      </c>
    </row>
    <row r="104" spans="1:9">
      <c r="A104" s="63">
        <f t="shared" si="1"/>
        <v>103</v>
      </c>
      <c r="B104" s="68" t="s">
        <v>501</v>
      </c>
      <c r="C104" s="68" t="s">
        <v>548</v>
      </c>
      <c r="D104" s="68" t="s">
        <v>453</v>
      </c>
      <c r="E104" s="68" t="s">
        <v>295</v>
      </c>
      <c r="F104" s="69" t="s">
        <v>628</v>
      </c>
      <c r="G104" s="69" t="s">
        <v>596</v>
      </c>
      <c r="H104" s="69" t="s">
        <v>629</v>
      </c>
      <c r="I104" s="70" t="s">
        <v>630</v>
      </c>
    </row>
    <row r="105" spans="1:9">
      <c r="A105" s="63">
        <f t="shared" si="1"/>
        <v>104</v>
      </c>
      <c r="B105" s="68" t="s">
        <v>501</v>
      </c>
      <c r="C105" s="68" t="s">
        <v>548</v>
      </c>
      <c r="D105" s="68" t="s">
        <v>453</v>
      </c>
      <c r="E105" s="68" t="s">
        <v>340</v>
      </c>
      <c r="F105" s="69" t="s">
        <v>631</v>
      </c>
      <c r="G105" s="69" t="s">
        <v>596</v>
      </c>
      <c r="H105" s="69" t="s">
        <v>632</v>
      </c>
      <c r="I105" s="70" t="s">
        <v>633</v>
      </c>
    </row>
    <row r="106" spans="1:9">
      <c r="A106" s="63">
        <f t="shared" si="1"/>
        <v>105</v>
      </c>
      <c r="B106" s="64" t="s">
        <v>634</v>
      </c>
      <c r="C106" s="64" t="s">
        <v>635</v>
      </c>
      <c r="D106" s="64" t="s">
        <v>294</v>
      </c>
      <c r="E106" s="64" t="s">
        <v>295</v>
      </c>
      <c r="F106" s="65" t="s">
        <v>635</v>
      </c>
      <c r="G106" s="65" t="s">
        <v>636</v>
      </c>
      <c r="H106" s="67" t="s">
        <v>637</v>
      </c>
      <c r="I106" s="66" t="s">
        <v>638</v>
      </c>
    </row>
    <row r="107" spans="1:9">
      <c r="A107" s="63">
        <f t="shared" si="1"/>
        <v>106</v>
      </c>
      <c r="B107" s="64" t="s">
        <v>634</v>
      </c>
      <c r="C107" s="64" t="s">
        <v>639</v>
      </c>
      <c r="D107" s="64" t="s">
        <v>312</v>
      </c>
      <c r="E107" s="64" t="s">
        <v>295</v>
      </c>
      <c r="F107" s="65" t="s">
        <v>639</v>
      </c>
      <c r="G107" s="65" t="s">
        <v>640</v>
      </c>
      <c r="H107" s="65" t="s">
        <v>641</v>
      </c>
      <c r="I107" s="66" t="s">
        <v>642</v>
      </c>
    </row>
    <row r="108" spans="1:9">
      <c r="A108" s="63">
        <f t="shared" si="1"/>
        <v>107</v>
      </c>
      <c r="B108" s="64" t="s">
        <v>634</v>
      </c>
      <c r="C108" s="64" t="s">
        <v>643</v>
      </c>
      <c r="D108" s="64" t="s">
        <v>300</v>
      </c>
      <c r="E108" s="64" t="s">
        <v>295</v>
      </c>
      <c r="F108" s="65" t="s">
        <v>643</v>
      </c>
      <c r="G108" s="65" t="s">
        <v>644</v>
      </c>
      <c r="H108" s="65" t="s">
        <v>645</v>
      </c>
      <c r="I108" s="66" t="s">
        <v>646</v>
      </c>
    </row>
    <row r="109" spans="1:9">
      <c r="A109" s="63">
        <f t="shared" si="1"/>
        <v>108</v>
      </c>
      <c r="B109" s="64" t="s">
        <v>634</v>
      </c>
      <c r="C109" s="64" t="s">
        <v>647</v>
      </c>
      <c r="D109" s="64" t="s">
        <v>300</v>
      </c>
      <c r="E109" s="64" t="s">
        <v>295</v>
      </c>
      <c r="F109" s="65" t="s">
        <v>647</v>
      </c>
      <c r="G109" s="69" t="s">
        <v>644</v>
      </c>
      <c r="H109" s="69" t="s">
        <v>645</v>
      </c>
      <c r="I109" s="66" t="s">
        <v>648</v>
      </c>
    </row>
    <row r="110" spans="1:9">
      <c r="A110" s="63">
        <f t="shared" si="1"/>
        <v>109</v>
      </c>
      <c r="B110" s="64" t="s">
        <v>634</v>
      </c>
      <c r="C110" s="64" t="s">
        <v>649</v>
      </c>
      <c r="D110" s="64" t="s">
        <v>300</v>
      </c>
      <c r="E110" s="64" t="s">
        <v>295</v>
      </c>
      <c r="F110" s="65" t="s">
        <v>649</v>
      </c>
      <c r="G110" s="69" t="s">
        <v>644</v>
      </c>
      <c r="H110" s="69" t="s">
        <v>645</v>
      </c>
      <c r="I110" s="66" t="s">
        <v>650</v>
      </c>
    </row>
    <row r="111" spans="1:9">
      <c r="A111" s="63">
        <f t="shared" si="1"/>
        <v>110</v>
      </c>
      <c r="B111" s="64" t="s">
        <v>634</v>
      </c>
      <c r="C111" s="64" t="s">
        <v>651</v>
      </c>
      <c r="D111" s="64" t="s">
        <v>453</v>
      </c>
      <c r="E111" s="64" t="s">
        <v>295</v>
      </c>
      <c r="F111" s="65" t="s">
        <v>651</v>
      </c>
      <c r="G111" s="65" t="s">
        <v>644</v>
      </c>
      <c r="H111" s="65" t="s">
        <v>645</v>
      </c>
      <c r="I111" s="66" t="s">
        <v>652</v>
      </c>
    </row>
    <row r="112" spans="1:9">
      <c r="A112" s="63">
        <f t="shared" si="1"/>
        <v>111</v>
      </c>
      <c r="B112" s="64" t="s">
        <v>653</v>
      </c>
      <c r="C112" s="64" t="s">
        <v>654</v>
      </c>
      <c r="D112" s="64" t="s">
        <v>294</v>
      </c>
      <c r="E112" s="64" t="s">
        <v>295</v>
      </c>
      <c r="F112" s="65" t="s">
        <v>654</v>
      </c>
      <c r="G112" s="65" t="s">
        <v>655</v>
      </c>
      <c r="H112" s="65" t="s">
        <v>656</v>
      </c>
      <c r="I112" s="66" t="s">
        <v>657</v>
      </c>
    </row>
    <row r="113" spans="1:9">
      <c r="A113" s="63">
        <f t="shared" si="1"/>
        <v>112</v>
      </c>
      <c r="B113" s="64" t="s">
        <v>653</v>
      </c>
      <c r="C113" s="64" t="s">
        <v>658</v>
      </c>
      <c r="D113" s="64" t="s">
        <v>294</v>
      </c>
      <c r="E113" s="64" t="s">
        <v>340</v>
      </c>
      <c r="F113" s="65" t="s">
        <v>659</v>
      </c>
      <c r="G113" s="65" t="s">
        <v>655</v>
      </c>
      <c r="H113" s="65" t="s">
        <v>660</v>
      </c>
      <c r="I113" s="66" t="s">
        <v>661</v>
      </c>
    </row>
    <row r="114" spans="1:9">
      <c r="A114" s="63">
        <f t="shared" si="1"/>
        <v>113</v>
      </c>
      <c r="B114" s="64" t="s">
        <v>653</v>
      </c>
      <c r="C114" s="64" t="s">
        <v>658</v>
      </c>
      <c r="D114" s="64" t="s">
        <v>300</v>
      </c>
      <c r="E114" s="64" t="s">
        <v>295</v>
      </c>
      <c r="F114" s="65" t="s">
        <v>662</v>
      </c>
      <c r="G114" s="73" t="s">
        <v>655</v>
      </c>
      <c r="H114" s="73" t="s">
        <v>663</v>
      </c>
      <c r="I114" s="66" t="s">
        <v>664</v>
      </c>
    </row>
    <row r="115" spans="1:9">
      <c r="A115" s="63">
        <f t="shared" si="1"/>
        <v>114</v>
      </c>
      <c r="B115" s="64" t="s">
        <v>653</v>
      </c>
      <c r="C115" s="64" t="s">
        <v>658</v>
      </c>
      <c r="D115" s="64" t="s">
        <v>300</v>
      </c>
      <c r="E115" s="64" t="s">
        <v>340</v>
      </c>
      <c r="F115" s="65" t="s">
        <v>665</v>
      </c>
      <c r="G115" s="73" t="s">
        <v>655</v>
      </c>
      <c r="H115" s="73" t="s">
        <v>666</v>
      </c>
      <c r="I115" s="66" t="s">
        <v>667</v>
      </c>
    </row>
    <row r="116" spans="1:9">
      <c r="A116" s="63">
        <f t="shared" si="1"/>
        <v>115</v>
      </c>
      <c r="B116" s="64" t="s">
        <v>668</v>
      </c>
      <c r="C116" s="64" t="s">
        <v>669</v>
      </c>
      <c r="D116" s="64" t="s">
        <v>312</v>
      </c>
      <c r="E116" s="64" t="s">
        <v>295</v>
      </c>
      <c r="F116" s="65" t="s">
        <v>670</v>
      </c>
      <c r="G116" s="65" t="s">
        <v>671</v>
      </c>
      <c r="H116" s="65" t="s">
        <v>672</v>
      </c>
      <c r="I116" s="66" t="s">
        <v>673</v>
      </c>
    </row>
    <row r="117" spans="1:9">
      <c r="A117" s="63">
        <f t="shared" si="1"/>
        <v>116</v>
      </c>
      <c r="B117" s="64" t="s">
        <v>668</v>
      </c>
      <c r="C117" s="64" t="s">
        <v>669</v>
      </c>
      <c r="D117" s="64" t="s">
        <v>312</v>
      </c>
      <c r="E117" s="64" t="s">
        <v>340</v>
      </c>
      <c r="F117" s="65" t="s">
        <v>674</v>
      </c>
      <c r="G117" s="65" t="s">
        <v>425</v>
      </c>
      <c r="H117" s="65" t="s">
        <v>675</v>
      </c>
      <c r="I117" s="66" t="s">
        <v>676</v>
      </c>
    </row>
    <row r="118" spans="1:9">
      <c r="A118" s="63">
        <f t="shared" si="1"/>
        <v>117</v>
      </c>
      <c r="B118" s="64" t="s">
        <v>668</v>
      </c>
      <c r="C118" s="64" t="s">
        <v>669</v>
      </c>
      <c r="D118" s="64" t="s">
        <v>300</v>
      </c>
      <c r="E118" s="64" t="s">
        <v>295</v>
      </c>
      <c r="F118" s="65" t="s">
        <v>677</v>
      </c>
      <c r="G118" s="65" t="s">
        <v>678</v>
      </c>
      <c r="H118" s="65" t="s">
        <v>679</v>
      </c>
      <c r="I118" s="66" t="s">
        <v>680</v>
      </c>
    </row>
    <row r="119" spans="1:9">
      <c r="A119" s="63">
        <f t="shared" si="1"/>
        <v>118</v>
      </c>
      <c r="B119" s="64" t="s">
        <v>681</v>
      </c>
      <c r="C119" s="64" t="s">
        <v>682</v>
      </c>
      <c r="D119" s="64" t="s">
        <v>294</v>
      </c>
      <c r="E119" s="64" t="s">
        <v>295</v>
      </c>
      <c r="F119" s="65" t="s">
        <v>683</v>
      </c>
      <c r="G119" s="65" t="s">
        <v>297</v>
      </c>
      <c r="H119" s="65" t="s">
        <v>684</v>
      </c>
      <c r="I119" s="66" t="s">
        <v>685</v>
      </c>
    </row>
    <row r="120" spans="1:9">
      <c r="A120" s="63">
        <f t="shared" si="1"/>
        <v>119</v>
      </c>
      <c r="B120" s="64" t="s">
        <v>681</v>
      </c>
      <c r="C120" s="64" t="s">
        <v>682</v>
      </c>
      <c r="D120" s="64" t="s">
        <v>294</v>
      </c>
      <c r="E120" s="64" t="s">
        <v>340</v>
      </c>
      <c r="F120" s="65" t="s">
        <v>686</v>
      </c>
      <c r="G120" s="65" t="s">
        <v>297</v>
      </c>
      <c r="H120" s="65" t="s">
        <v>687</v>
      </c>
      <c r="I120" s="66" t="s">
        <v>688</v>
      </c>
    </row>
    <row r="121" spans="1:9">
      <c r="A121" s="63">
        <f t="shared" si="1"/>
        <v>120</v>
      </c>
      <c r="B121" s="64" t="s">
        <v>681</v>
      </c>
      <c r="C121" s="64" t="s">
        <v>689</v>
      </c>
      <c r="D121" s="64" t="s">
        <v>300</v>
      </c>
      <c r="E121" s="64" t="s">
        <v>295</v>
      </c>
      <c r="F121" s="65" t="s">
        <v>690</v>
      </c>
      <c r="G121" s="65" t="s">
        <v>297</v>
      </c>
      <c r="H121" s="65" t="s">
        <v>691</v>
      </c>
      <c r="I121" s="66" t="s">
        <v>692</v>
      </c>
    </row>
    <row r="122" spans="1:9">
      <c r="A122" s="63">
        <f t="shared" si="1"/>
        <v>121</v>
      </c>
      <c r="B122" s="64" t="s">
        <v>681</v>
      </c>
      <c r="C122" s="64" t="s">
        <v>689</v>
      </c>
      <c r="D122" s="64" t="s">
        <v>300</v>
      </c>
      <c r="E122" s="64" t="s">
        <v>340</v>
      </c>
      <c r="F122" s="65" t="s">
        <v>693</v>
      </c>
      <c r="G122" s="65" t="s">
        <v>297</v>
      </c>
      <c r="H122" s="65" t="s">
        <v>694</v>
      </c>
      <c r="I122" s="66" t="s">
        <v>695</v>
      </c>
    </row>
    <row r="123" spans="1:9">
      <c r="A123" s="63">
        <f t="shared" si="1"/>
        <v>122</v>
      </c>
      <c r="B123" s="64" t="s">
        <v>696</v>
      </c>
      <c r="C123" s="64" t="s">
        <v>697</v>
      </c>
      <c r="D123" s="64" t="s">
        <v>312</v>
      </c>
      <c r="E123" s="64" t="s">
        <v>295</v>
      </c>
      <c r="F123" s="65" t="s">
        <v>698</v>
      </c>
      <c r="G123" s="65" t="s">
        <v>699</v>
      </c>
      <c r="H123" s="65" t="s">
        <v>700</v>
      </c>
      <c r="I123" s="66" t="s">
        <v>701</v>
      </c>
    </row>
    <row r="124" spans="1:9">
      <c r="A124" s="63">
        <f t="shared" si="1"/>
        <v>123</v>
      </c>
      <c r="B124" s="64" t="s">
        <v>696</v>
      </c>
      <c r="C124" s="64" t="s">
        <v>697</v>
      </c>
      <c r="D124" s="64" t="s">
        <v>312</v>
      </c>
      <c r="E124" s="64" t="s">
        <v>340</v>
      </c>
      <c r="F124" s="65" t="s">
        <v>702</v>
      </c>
      <c r="G124" s="65" t="s">
        <v>699</v>
      </c>
      <c r="H124" s="65" t="s">
        <v>703</v>
      </c>
      <c r="I124" s="66" t="s">
        <v>704</v>
      </c>
    </row>
    <row r="125" spans="1:9">
      <c r="A125" s="63">
        <f t="shared" si="1"/>
        <v>124</v>
      </c>
      <c r="B125" s="64" t="s">
        <v>696</v>
      </c>
      <c r="C125" s="64" t="s">
        <v>697</v>
      </c>
      <c r="D125" s="64" t="s">
        <v>300</v>
      </c>
      <c r="E125" s="64" t="s">
        <v>295</v>
      </c>
      <c r="F125" s="65" t="s">
        <v>705</v>
      </c>
      <c r="G125" s="65" t="s">
        <v>699</v>
      </c>
      <c r="H125" s="65" t="s">
        <v>706</v>
      </c>
      <c r="I125" s="66" t="s">
        <v>707</v>
      </c>
    </row>
    <row r="126" spans="1:9">
      <c r="A126" s="63">
        <f t="shared" si="1"/>
        <v>125</v>
      </c>
      <c r="B126" s="64" t="s">
        <v>696</v>
      </c>
      <c r="C126" s="64" t="s">
        <v>697</v>
      </c>
      <c r="D126" s="64" t="s">
        <v>300</v>
      </c>
      <c r="E126" s="64" t="s">
        <v>340</v>
      </c>
      <c r="F126" s="65" t="s">
        <v>708</v>
      </c>
      <c r="G126" s="65" t="s">
        <v>699</v>
      </c>
      <c r="H126" s="65" t="s">
        <v>709</v>
      </c>
      <c r="I126" s="66" t="s">
        <v>710</v>
      </c>
    </row>
    <row r="127" spans="1:9">
      <c r="A127" s="63">
        <f t="shared" si="1"/>
        <v>126</v>
      </c>
      <c r="B127" s="64" t="s">
        <v>696</v>
      </c>
      <c r="C127" s="64" t="s">
        <v>711</v>
      </c>
      <c r="D127" s="64" t="s">
        <v>312</v>
      </c>
      <c r="E127" s="64" t="s">
        <v>295</v>
      </c>
      <c r="F127" s="65" t="s">
        <v>712</v>
      </c>
      <c r="G127" s="65" t="s">
        <v>699</v>
      </c>
      <c r="H127" s="65" t="s">
        <v>713</v>
      </c>
      <c r="I127" s="66" t="s">
        <v>714</v>
      </c>
    </row>
    <row r="128" spans="1:9">
      <c r="A128" s="63">
        <f t="shared" si="1"/>
        <v>127</v>
      </c>
      <c r="B128" s="64" t="s">
        <v>696</v>
      </c>
      <c r="C128" s="64" t="s">
        <v>711</v>
      </c>
      <c r="D128" s="64" t="s">
        <v>312</v>
      </c>
      <c r="E128" s="64" t="s">
        <v>340</v>
      </c>
      <c r="F128" s="65" t="s">
        <v>715</v>
      </c>
      <c r="G128" s="65" t="s">
        <v>699</v>
      </c>
      <c r="H128" s="65" t="s">
        <v>716</v>
      </c>
      <c r="I128" s="66" t="s">
        <v>717</v>
      </c>
    </row>
    <row r="129" spans="1:9">
      <c r="A129" s="63">
        <f t="shared" si="1"/>
        <v>128</v>
      </c>
      <c r="B129" s="64" t="s">
        <v>696</v>
      </c>
      <c r="C129" s="64" t="s">
        <v>67</v>
      </c>
      <c r="D129" s="64" t="s">
        <v>300</v>
      </c>
      <c r="E129" s="64" t="s">
        <v>295</v>
      </c>
      <c r="F129" s="65" t="s">
        <v>718</v>
      </c>
      <c r="G129" s="65" t="s">
        <v>699</v>
      </c>
      <c r="H129" s="65" t="s">
        <v>719</v>
      </c>
      <c r="I129" s="66" t="s">
        <v>720</v>
      </c>
    </row>
    <row r="130" spans="1:9">
      <c r="A130" s="63">
        <f t="shared" si="1"/>
        <v>129</v>
      </c>
      <c r="B130" s="64" t="s">
        <v>696</v>
      </c>
      <c r="C130" s="64" t="s">
        <v>67</v>
      </c>
      <c r="D130" s="64" t="s">
        <v>300</v>
      </c>
      <c r="E130" s="64" t="s">
        <v>340</v>
      </c>
      <c r="F130" s="65" t="s">
        <v>721</v>
      </c>
      <c r="G130" s="65" t="s">
        <v>699</v>
      </c>
      <c r="H130" s="65" t="s">
        <v>722</v>
      </c>
      <c r="I130" s="66" t="s">
        <v>723</v>
      </c>
    </row>
    <row r="131" spans="1:9">
      <c r="A131" s="63">
        <f t="shared" si="1"/>
        <v>130</v>
      </c>
      <c r="B131" s="64" t="s">
        <v>696</v>
      </c>
      <c r="C131" s="64" t="s">
        <v>724</v>
      </c>
      <c r="D131" s="64" t="s">
        <v>300</v>
      </c>
      <c r="E131" s="64" t="s">
        <v>295</v>
      </c>
      <c r="F131" s="65" t="s">
        <v>725</v>
      </c>
      <c r="G131" s="65" t="s">
        <v>699</v>
      </c>
      <c r="H131" s="65" t="s">
        <v>719</v>
      </c>
      <c r="I131" s="66" t="s">
        <v>726</v>
      </c>
    </row>
    <row r="132" spans="1:9">
      <c r="A132" s="63">
        <f t="shared" ref="A132:A187" si="2">A131+1</f>
        <v>131</v>
      </c>
      <c r="B132" s="64" t="s">
        <v>696</v>
      </c>
      <c r="C132" s="64" t="s">
        <v>724</v>
      </c>
      <c r="D132" s="64" t="s">
        <v>300</v>
      </c>
      <c r="E132" s="64" t="s">
        <v>340</v>
      </c>
      <c r="F132" s="65" t="s">
        <v>727</v>
      </c>
      <c r="G132" s="65" t="s">
        <v>699</v>
      </c>
      <c r="H132" s="65" t="s">
        <v>722</v>
      </c>
      <c r="I132" s="66" t="s">
        <v>728</v>
      </c>
    </row>
    <row r="133" spans="1:9">
      <c r="A133" s="63">
        <f t="shared" si="2"/>
        <v>132</v>
      </c>
      <c r="B133" s="64" t="s">
        <v>696</v>
      </c>
      <c r="C133" s="64" t="s">
        <v>729</v>
      </c>
      <c r="D133" s="64" t="s">
        <v>453</v>
      </c>
      <c r="E133" s="64" t="s">
        <v>295</v>
      </c>
      <c r="F133" s="65" t="s">
        <v>730</v>
      </c>
      <c r="G133" s="65" t="s">
        <v>699</v>
      </c>
      <c r="H133" s="65" t="s">
        <v>731</v>
      </c>
      <c r="I133" s="66" t="s">
        <v>732</v>
      </c>
    </row>
    <row r="134" spans="1:9">
      <c r="A134" s="63">
        <f t="shared" si="2"/>
        <v>133</v>
      </c>
      <c r="B134" s="64" t="s">
        <v>696</v>
      </c>
      <c r="C134" s="64" t="s">
        <v>729</v>
      </c>
      <c r="D134" s="64" t="s">
        <v>453</v>
      </c>
      <c r="E134" s="64" t="s">
        <v>340</v>
      </c>
      <c r="F134" s="65" t="s">
        <v>733</v>
      </c>
      <c r="G134" s="65" t="s">
        <v>699</v>
      </c>
      <c r="H134" s="65" t="s">
        <v>734</v>
      </c>
      <c r="I134" s="66" t="s">
        <v>735</v>
      </c>
    </row>
    <row r="135" spans="1:9">
      <c r="A135" s="63">
        <f t="shared" si="2"/>
        <v>134</v>
      </c>
      <c r="B135" s="64" t="s">
        <v>736</v>
      </c>
      <c r="C135" s="64" t="s">
        <v>737</v>
      </c>
      <c r="D135" s="64" t="s">
        <v>294</v>
      </c>
      <c r="E135" s="64" t="s">
        <v>295</v>
      </c>
      <c r="F135" s="65" t="s">
        <v>738</v>
      </c>
      <c r="G135" s="65" t="s">
        <v>699</v>
      </c>
      <c r="H135" s="65" t="s">
        <v>739</v>
      </c>
      <c r="I135" s="66" t="s">
        <v>740</v>
      </c>
    </row>
    <row r="136" spans="1:9">
      <c r="A136" s="63">
        <f t="shared" si="2"/>
        <v>135</v>
      </c>
      <c r="B136" s="64" t="s">
        <v>736</v>
      </c>
      <c r="C136" s="64" t="s">
        <v>737</v>
      </c>
      <c r="D136" s="64" t="s">
        <v>294</v>
      </c>
      <c r="E136" s="64" t="s">
        <v>340</v>
      </c>
      <c r="F136" s="65" t="s">
        <v>741</v>
      </c>
      <c r="G136" s="65" t="s">
        <v>699</v>
      </c>
      <c r="H136" s="65" t="s">
        <v>742</v>
      </c>
      <c r="I136" s="66" t="s">
        <v>743</v>
      </c>
    </row>
    <row r="137" spans="1:9">
      <c r="A137" s="63">
        <f t="shared" si="2"/>
        <v>136</v>
      </c>
      <c r="B137" s="64" t="s">
        <v>736</v>
      </c>
      <c r="C137" s="64" t="s">
        <v>744</v>
      </c>
      <c r="D137" s="64" t="s">
        <v>300</v>
      </c>
      <c r="E137" s="64" t="s">
        <v>295</v>
      </c>
      <c r="F137" s="65" t="s">
        <v>744</v>
      </c>
      <c r="G137" s="65" t="s">
        <v>699</v>
      </c>
      <c r="H137" s="65" t="s">
        <v>745</v>
      </c>
      <c r="I137" s="66" t="s">
        <v>746</v>
      </c>
    </row>
    <row r="138" spans="1:9">
      <c r="A138" s="63">
        <f t="shared" si="2"/>
        <v>137</v>
      </c>
      <c r="B138" s="64" t="s">
        <v>736</v>
      </c>
      <c r="C138" s="64" t="s">
        <v>744</v>
      </c>
      <c r="D138" s="64" t="s">
        <v>300</v>
      </c>
      <c r="E138" s="64" t="s">
        <v>340</v>
      </c>
      <c r="F138" s="65"/>
      <c r="G138" s="65"/>
      <c r="H138" s="65"/>
      <c r="I138" s="66"/>
    </row>
    <row r="139" spans="1:9">
      <c r="A139" s="63">
        <f t="shared" si="2"/>
        <v>138</v>
      </c>
      <c r="B139" s="68" t="s">
        <v>681</v>
      </c>
      <c r="C139" s="68" t="s">
        <v>682</v>
      </c>
      <c r="D139" s="68" t="s">
        <v>294</v>
      </c>
      <c r="E139" s="68" t="s">
        <v>295</v>
      </c>
      <c r="F139" s="69" t="s">
        <v>747</v>
      </c>
      <c r="G139" s="69" t="s">
        <v>317</v>
      </c>
      <c r="H139" s="69" t="s">
        <v>748</v>
      </c>
      <c r="I139" s="70" t="s">
        <v>749</v>
      </c>
    </row>
    <row r="140" spans="1:9">
      <c r="A140" s="63">
        <f t="shared" si="2"/>
        <v>139</v>
      </c>
      <c r="B140" s="68" t="s">
        <v>681</v>
      </c>
      <c r="C140" s="68" t="s">
        <v>682</v>
      </c>
      <c r="D140" s="68" t="s">
        <v>294</v>
      </c>
      <c r="E140" s="68" t="s">
        <v>340</v>
      </c>
      <c r="F140" s="69" t="s">
        <v>750</v>
      </c>
      <c r="G140" s="69" t="s">
        <v>317</v>
      </c>
      <c r="H140" s="69" t="s">
        <v>751</v>
      </c>
      <c r="I140" s="70" t="s">
        <v>752</v>
      </c>
    </row>
    <row r="141" spans="1:9">
      <c r="A141" s="63">
        <f t="shared" si="2"/>
        <v>140</v>
      </c>
      <c r="B141" s="68" t="s">
        <v>681</v>
      </c>
      <c r="C141" s="68" t="s">
        <v>689</v>
      </c>
      <c r="D141" s="68" t="s">
        <v>300</v>
      </c>
      <c r="E141" s="68" t="s">
        <v>295</v>
      </c>
      <c r="F141" s="69" t="s">
        <v>753</v>
      </c>
      <c r="G141" s="69" t="s">
        <v>317</v>
      </c>
      <c r="H141" s="69" t="s">
        <v>754</v>
      </c>
      <c r="I141" s="70" t="s">
        <v>755</v>
      </c>
    </row>
    <row r="142" spans="1:9">
      <c r="A142" s="63">
        <f t="shared" si="2"/>
        <v>141</v>
      </c>
      <c r="B142" s="68" t="s">
        <v>681</v>
      </c>
      <c r="C142" s="68" t="s">
        <v>689</v>
      </c>
      <c r="D142" s="68" t="s">
        <v>300</v>
      </c>
      <c r="E142" s="68" t="s">
        <v>340</v>
      </c>
      <c r="F142" s="69" t="s">
        <v>756</v>
      </c>
      <c r="G142" s="69" t="s">
        <v>317</v>
      </c>
      <c r="H142" s="69" t="s">
        <v>757</v>
      </c>
      <c r="I142" s="70" t="s">
        <v>758</v>
      </c>
    </row>
    <row r="143" spans="1:9">
      <c r="A143" s="63">
        <f t="shared" si="2"/>
        <v>142</v>
      </c>
      <c r="B143" s="68" t="s">
        <v>696</v>
      </c>
      <c r="C143" s="68" t="s">
        <v>697</v>
      </c>
      <c r="D143" s="68" t="s">
        <v>312</v>
      </c>
      <c r="E143" s="68" t="s">
        <v>295</v>
      </c>
      <c r="F143" s="69" t="s">
        <v>759</v>
      </c>
      <c r="G143" s="69" t="s">
        <v>760</v>
      </c>
      <c r="H143" s="69" t="s">
        <v>761</v>
      </c>
      <c r="I143" s="70" t="s">
        <v>762</v>
      </c>
    </row>
    <row r="144" spans="1:9">
      <c r="A144" s="63">
        <f t="shared" si="2"/>
        <v>143</v>
      </c>
      <c r="B144" s="68" t="s">
        <v>696</v>
      </c>
      <c r="C144" s="68" t="s">
        <v>697</v>
      </c>
      <c r="D144" s="68" t="s">
        <v>312</v>
      </c>
      <c r="E144" s="68" t="s">
        <v>340</v>
      </c>
      <c r="F144" s="69" t="s">
        <v>763</v>
      </c>
      <c r="G144" s="69" t="s">
        <v>760</v>
      </c>
      <c r="H144" s="69" t="s">
        <v>764</v>
      </c>
      <c r="I144" s="70" t="s">
        <v>765</v>
      </c>
    </row>
    <row r="145" spans="1:9">
      <c r="A145" s="63">
        <f t="shared" si="2"/>
        <v>144</v>
      </c>
      <c r="B145" s="68" t="s">
        <v>696</v>
      </c>
      <c r="C145" s="68" t="s">
        <v>697</v>
      </c>
      <c r="D145" s="68" t="s">
        <v>300</v>
      </c>
      <c r="E145" s="68" t="s">
        <v>295</v>
      </c>
      <c r="F145" s="69" t="s">
        <v>766</v>
      </c>
      <c r="G145" s="69" t="s">
        <v>760</v>
      </c>
      <c r="H145" s="69" t="s">
        <v>767</v>
      </c>
      <c r="I145" s="70" t="s">
        <v>768</v>
      </c>
    </row>
    <row r="146" spans="1:9">
      <c r="A146" s="63">
        <f t="shared" si="2"/>
        <v>145</v>
      </c>
      <c r="B146" s="68" t="s">
        <v>696</v>
      </c>
      <c r="C146" s="68" t="s">
        <v>697</v>
      </c>
      <c r="D146" s="68" t="s">
        <v>300</v>
      </c>
      <c r="E146" s="68" t="s">
        <v>340</v>
      </c>
      <c r="F146" s="69" t="s">
        <v>769</v>
      </c>
      <c r="G146" s="69" t="s">
        <v>760</v>
      </c>
      <c r="H146" s="69" t="s">
        <v>770</v>
      </c>
      <c r="I146" s="70" t="s">
        <v>771</v>
      </c>
    </row>
    <row r="147" spans="1:9">
      <c r="A147" s="63">
        <f t="shared" si="2"/>
        <v>146</v>
      </c>
      <c r="B147" s="68" t="s">
        <v>696</v>
      </c>
      <c r="C147" s="68" t="s">
        <v>711</v>
      </c>
      <c r="D147" s="68" t="s">
        <v>312</v>
      </c>
      <c r="E147" s="68" t="s">
        <v>295</v>
      </c>
      <c r="F147" s="69" t="s">
        <v>772</v>
      </c>
      <c r="G147" s="69" t="s">
        <v>760</v>
      </c>
      <c r="H147" s="69" t="s">
        <v>773</v>
      </c>
      <c r="I147" s="70" t="s">
        <v>774</v>
      </c>
    </row>
    <row r="148" spans="1:9">
      <c r="A148" s="63">
        <f t="shared" si="2"/>
        <v>147</v>
      </c>
      <c r="B148" s="68" t="s">
        <v>696</v>
      </c>
      <c r="C148" s="68" t="s">
        <v>711</v>
      </c>
      <c r="D148" s="68" t="s">
        <v>312</v>
      </c>
      <c r="E148" s="68" t="s">
        <v>340</v>
      </c>
      <c r="F148" s="69" t="s">
        <v>775</v>
      </c>
      <c r="G148" s="69" t="s">
        <v>760</v>
      </c>
      <c r="H148" s="69" t="s">
        <v>776</v>
      </c>
      <c r="I148" s="70" t="s">
        <v>777</v>
      </c>
    </row>
    <row r="149" spans="1:9">
      <c r="A149" s="63">
        <f t="shared" si="2"/>
        <v>148</v>
      </c>
      <c r="B149" s="68" t="s">
        <v>696</v>
      </c>
      <c r="C149" s="68" t="s">
        <v>67</v>
      </c>
      <c r="D149" s="68" t="s">
        <v>300</v>
      </c>
      <c r="E149" s="68" t="s">
        <v>295</v>
      </c>
      <c r="F149" s="69" t="s">
        <v>778</v>
      </c>
      <c r="G149" s="69" t="s">
        <v>760</v>
      </c>
      <c r="H149" s="69" t="s">
        <v>779</v>
      </c>
      <c r="I149" s="70" t="s">
        <v>780</v>
      </c>
    </row>
    <row r="150" spans="1:9">
      <c r="A150" s="63">
        <f t="shared" si="2"/>
        <v>149</v>
      </c>
      <c r="B150" s="68" t="s">
        <v>696</v>
      </c>
      <c r="C150" s="68" t="s">
        <v>67</v>
      </c>
      <c r="D150" s="68" t="s">
        <v>300</v>
      </c>
      <c r="E150" s="68" t="s">
        <v>340</v>
      </c>
      <c r="F150" s="69" t="s">
        <v>781</v>
      </c>
      <c r="G150" s="69" t="s">
        <v>760</v>
      </c>
      <c r="H150" s="72" t="s">
        <v>782</v>
      </c>
      <c r="I150" s="70" t="s">
        <v>783</v>
      </c>
    </row>
    <row r="151" spans="1:9">
      <c r="A151" s="63">
        <f t="shared" si="2"/>
        <v>150</v>
      </c>
      <c r="B151" s="68" t="s">
        <v>696</v>
      </c>
      <c r="C151" s="68" t="s">
        <v>724</v>
      </c>
      <c r="D151" s="68" t="s">
        <v>300</v>
      </c>
      <c r="E151" s="68" t="s">
        <v>295</v>
      </c>
      <c r="F151" s="69" t="s">
        <v>784</v>
      </c>
      <c r="G151" s="69" t="s">
        <v>760</v>
      </c>
      <c r="H151" s="69" t="s">
        <v>779</v>
      </c>
      <c r="I151" s="70" t="s">
        <v>785</v>
      </c>
    </row>
    <row r="152" spans="1:9">
      <c r="A152" s="63">
        <f t="shared" si="2"/>
        <v>151</v>
      </c>
      <c r="B152" s="68" t="s">
        <v>696</v>
      </c>
      <c r="C152" s="68" t="s">
        <v>724</v>
      </c>
      <c r="D152" s="68" t="s">
        <v>300</v>
      </c>
      <c r="E152" s="68" t="s">
        <v>340</v>
      </c>
      <c r="F152" s="69" t="s">
        <v>786</v>
      </c>
      <c r="G152" s="69" t="s">
        <v>760</v>
      </c>
      <c r="H152" s="69" t="s">
        <v>782</v>
      </c>
      <c r="I152" s="70" t="s">
        <v>787</v>
      </c>
    </row>
    <row r="153" spans="1:9">
      <c r="A153" s="63">
        <f t="shared" si="2"/>
        <v>152</v>
      </c>
      <c r="B153" s="68" t="s">
        <v>696</v>
      </c>
      <c r="C153" s="68" t="s">
        <v>729</v>
      </c>
      <c r="D153" s="68" t="s">
        <v>453</v>
      </c>
      <c r="E153" s="68" t="s">
        <v>295</v>
      </c>
      <c r="F153" s="69" t="s">
        <v>788</v>
      </c>
      <c r="G153" s="69" t="s">
        <v>760</v>
      </c>
      <c r="H153" s="69" t="s">
        <v>789</v>
      </c>
      <c r="I153" s="70" t="s">
        <v>790</v>
      </c>
    </row>
    <row r="154" spans="1:9">
      <c r="A154" s="63">
        <f t="shared" si="2"/>
        <v>153</v>
      </c>
      <c r="B154" s="68" t="s">
        <v>696</v>
      </c>
      <c r="C154" s="68" t="s">
        <v>729</v>
      </c>
      <c r="D154" s="68" t="s">
        <v>453</v>
      </c>
      <c r="E154" s="68" t="s">
        <v>340</v>
      </c>
      <c r="F154" s="69" t="s">
        <v>791</v>
      </c>
      <c r="G154" s="69" t="s">
        <v>760</v>
      </c>
      <c r="H154" s="69" t="s">
        <v>792</v>
      </c>
      <c r="I154" s="70" t="s">
        <v>793</v>
      </c>
    </row>
    <row r="155" spans="1:9">
      <c r="A155" s="63">
        <f t="shared" si="2"/>
        <v>154</v>
      </c>
      <c r="B155" s="68" t="s">
        <v>736</v>
      </c>
      <c r="C155" s="68" t="s">
        <v>737</v>
      </c>
      <c r="D155" s="68" t="s">
        <v>294</v>
      </c>
      <c r="E155" s="68" t="s">
        <v>295</v>
      </c>
      <c r="F155" s="69" t="s">
        <v>794</v>
      </c>
      <c r="G155" s="69" t="s">
        <v>760</v>
      </c>
      <c r="H155" s="69" t="s">
        <v>795</v>
      </c>
      <c r="I155" s="70" t="s">
        <v>796</v>
      </c>
    </row>
    <row r="156" spans="1:9">
      <c r="A156" s="63">
        <f t="shared" si="2"/>
        <v>155</v>
      </c>
      <c r="B156" s="68" t="s">
        <v>736</v>
      </c>
      <c r="C156" s="68" t="s">
        <v>737</v>
      </c>
      <c r="D156" s="68" t="s">
        <v>294</v>
      </c>
      <c r="E156" s="68" t="s">
        <v>340</v>
      </c>
      <c r="F156" s="69" t="s">
        <v>797</v>
      </c>
      <c r="G156" s="69" t="s">
        <v>760</v>
      </c>
      <c r="H156" s="69" t="s">
        <v>798</v>
      </c>
      <c r="I156" s="70" t="s">
        <v>799</v>
      </c>
    </row>
    <row r="157" spans="1:9">
      <c r="A157" s="63">
        <f t="shared" si="2"/>
        <v>156</v>
      </c>
      <c r="B157" s="68" t="s">
        <v>736</v>
      </c>
      <c r="C157" s="68" t="s">
        <v>744</v>
      </c>
      <c r="D157" s="68" t="s">
        <v>300</v>
      </c>
      <c r="E157" s="68" t="s">
        <v>295</v>
      </c>
      <c r="F157" s="69" t="s">
        <v>800</v>
      </c>
      <c r="G157" s="69" t="s">
        <v>760</v>
      </c>
      <c r="H157" s="69" t="s">
        <v>779</v>
      </c>
      <c r="I157" s="70" t="s">
        <v>801</v>
      </c>
    </row>
    <row r="158" spans="1:9">
      <c r="A158" s="63">
        <f t="shared" si="2"/>
        <v>157</v>
      </c>
      <c r="B158" s="68" t="s">
        <v>736</v>
      </c>
      <c r="C158" s="68" t="s">
        <v>744</v>
      </c>
      <c r="D158" s="68" t="s">
        <v>300</v>
      </c>
      <c r="E158" s="68" t="s">
        <v>340</v>
      </c>
      <c r="F158" s="68" t="s">
        <v>802</v>
      </c>
      <c r="G158" s="68" t="s">
        <v>760</v>
      </c>
      <c r="H158" s="68" t="s">
        <v>803</v>
      </c>
      <c r="I158" s="70" t="s">
        <v>804</v>
      </c>
    </row>
    <row r="159" spans="1:9">
      <c r="A159" s="63">
        <f t="shared" si="2"/>
        <v>158</v>
      </c>
      <c r="B159" s="64" t="s">
        <v>805</v>
      </c>
      <c r="C159" s="64" t="s">
        <v>806</v>
      </c>
      <c r="D159" s="64" t="s">
        <v>300</v>
      </c>
      <c r="E159" s="64" t="s">
        <v>295</v>
      </c>
      <c r="F159" s="65" t="s">
        <v>806</v>
      </c>
      <c r="G159" s="65" t="s">
        <v>807</v>
      </c>
      <c r="H159" s="65" t="s">
        <v>808</v>
      </c>
      <c r="I159" s="66" t="s">
        <v>809</v>
      </c>
    </row>
    <row r="160" spans="1:9">
      <c r="A160" s="63">
        <f t="shared" si="2"/>
        <v>159</v>
      </c>
      <c r="B160" s="64" t="s">
        <v>805</v>
      </c>
      <c r="C160" s="64" t="s">
        <v>810</v>
      </c>
      <c r="D160" s="64" t="s">
        <v>294</v>
      </c>
      <c r="E160" s="64" t="s">
        <v>295</v>
      </c>
      <c r="F160" s="65" t="s">
        <v>810</v>
      </c>
      <c r="G160" s="65" t="s">
        <v>811</v>
      </c>
      <c r="H160" s="65" t="s">
        <v>812</v>
      </c>
      <c r="I160" s="66" t="s">
        <v>813</v>
      </c>
    </row>
    <row r="161" spans="1:9">
      <c r="A161" s="63">
        <f t="shared" si="2"/>
        <v>160</v>
      </c>
      <c r="B161" s="64" t="s">
        <v>805</v>
      </c>
      <c r="C161" s="64" t="s">
        <v>814</v>
      </c>
      <c r="D161" s="64" t="s">
        <v>300</v>
      </c>
      <c r="E161" s="64" t="s">
        <v>295</v>
      </c>
      <c r="F161" s="65" t="s">
        <v>814</v>
      </c>
      <c r="G161" s="65" t="s">
        <v>807</v>
      </c>
      <c r="H161" s="65" t="s">
        <v>815</v>
      </c>
      <c r="I161" s="66" t="s">
        <v>816</v>
      </c>
    </row>
    <row r="162" spans="1:9">
      <c r="A162" s="63">
        <f t="shared" si="2"/>
        <v>161</v>
      </c>
      <c r="B162" s="64" t="s">
        <v>817</v>
      </c>
      <c r="C162" s="64" t="s">
        <v>818</v>
      </c>
      <c r="D162" s="64" t="s">
        <v>300</v>
      </c>
      <c r="E162" s="64" t="s">
        <v>295</v>
      </c>
      <c r="F162" s="65" t="s">
        <v>818</v>
      </c>
      <c r="G162" s="65" t="s">
        <v>819</v>
      </c>
      <c r="H162" s="65" t="s">
        <v>820</v>
      </c>
      <c r="I162" s="66" t="s">
        <v>821</v>
      </c>
    </row>
    <row r="163" spans="1:9">
      <c r="A163" s="63">
        <f t="shared" si="2"/>
        <v>162</v>
      </c>
      <c r="B163" s="64" t="s">
        <v>817</v>
      </c>
      <c r="C163" s="64" t="s">
        <v>822</v>
      </c>
      <c r="D163" s="64" t="s">
        <v>300</v>
      </c>
      <c r="E163" s="64" t="s">
        <v>295</v>
      </c>
      <c r="F163" s="65" t="s">
        <v>822</v>
      </c>
      <c r="G163" s="65" t="s">
        <v>819</v>
      </c>
      <c r="H163" s="65" t="s">
        <v>820</v>
      </c>
      <c r="I163" s="66" t="s">
        <v>823</v>
      </c>
    </row>
    <row r="164" spans="1:9">
      <c r="A164" s="63">
        <f t="shared" si="2"/>
        <v>163</v>
      </c>
      <c r="B164" s="64" t="s">
        <v>817</v>
      </c>
      <c r="C164" s="64" t="s">
        <v>824</v>
      </c>
      <c r="D164" s="64" t="s">
        <v>300</v>
      </c>
      <c r="E164" s="64" t="s">
        <v>295</v>
      </c>
      <c r="F164" s="65" t="s">
        <v>824</v>
      </c>
      <c r="G164" s="65" t="s">
        <v>819</v>
      </c>
      <c r="H164" s="65" t="s">
        <v>820</v>
      </c>
      <c r="I164" s="66" t="s">
        <v>825</v>
      </c>
    </row>
    <row r="165" spans="1:9">
      <c r="A165" s="63">
        <f t="shared" si="2"/>
        <v>164</v>
      </c>
      <c r="B165" s="64" t="s">
        <v>826</v>
      </c>
      <c r="C165" s="64" t="s">
        <v>827</v>
      </c>
      <c r="D165" s="64" t="s">
        <v>294</v>
      </c>
      <c r="E165" s="64" t="s">
        <v>295</v>
      </c>
      <c r="F165" s="65" t="s">
        <v>827</v>
      </c>
      <c r="G165" s="65" t="s">
        <v>828</v>
      </c>
      <c r="H165" s="65" t="s">
        <v>829</v>
      </c>
      <c r="I165" s="66" t="s">
        <v>830</v>
      </c>
    </row>
    <row r="166" spans="1:9">
      <c r="A166" s="63">
        <f t="shared" si="2"/>
        <v>165</v>
      </c>
      <c r="B166" s="64" t="s">
        <v>826</v>
      </c>
      <c r="C166" s="64" t="s">
        <v>831</v>
      </c>
      <c r="D166" s="64" t="s">
        <v>300</v>
      </c>
      <c r="E166" s="64" t="s">
        <v>295</v>
      </c>
      <c r="F166" s="65" t="s">
        <v>831</v>
      </c>
      <c r="G166" s="65" t="s">
        <v>832</v>
      </c>
      <c r="H166" s="65" t="s">
        <v>833</v>
      </c>
      <c r="I166" s="66" t="s">
        <v>834</v>
      </c>
    </row>
    <row r="167" spans="1:9">
      <c r="A167" s="63">
        <f t="shared" si="2"/>
        <v>166</v>
      </c>
      <c r="B167" s="64" t="s">
        <v>826</v>
      </c>
      <c r="C167" s="64" t="s">
        <v>835</v>
      </c>
      <c r="D167" s="64" t="s">
        <v>300</v>
      </c>
      <c r="E167" s="64" t="s">
        <v>340</v>
      </c>
      <c r="F167" s="65" t="s">
        <v>835</v>
      </c>
      <c r="G167" s="65" t="s">
        <v>836</v>
      </c>
      <c r="H167" s="65" t="s">
        <v>837</v>
      </c>
      <c r="I167" s="66" t="s">
        <v>838</v>
      </c>
    </row>
    <row r="168" spans="1:9">
      <c r="A168" s="63">
        <f t="shared" si="2"/>
        <v>167</v>
      </c>
      <c r="B168" s="64" t="s">
        <v>826</v>
      </c>
      <c r="C168" s="64" t="s">
        <v>839</v>
      </c>
      <c r="D168" s="64" t="s">
        <v>312</v>
      </c>
      <c r="E168" s="64" t="s">
        <v>295</v>
      </c>
      <c r="F168" s="65" t="s">
        <v>839</v>
      </c>
      <c r="G168" s="65" t="s">
        <v>828</v>
      </c>
      <c r="H168" s="65" t="s">
        <v>840</v>
      </c>
      <c r="I168" s="66" t="s">
        <v>841</v>
      </c>
    </row>
    <row r="169" spans="1:9">
      <c r="A169" s="63">
        <f t="shared" si="2"/>
        <v>168</v>
      </c>
      <c r="B169" s="64" t="s">
        <v>826</v>
      </c>
      <c r="C169" s="64" t="s">
        <v>826</v>
      </c>
      <c r="D169" s="64" t="s">
        <v>312</v>
      </c>
      <c r="E169" s="64" t="s">
        <v>295</v>
      </c>
      <c r="F169" s="65" t="s">
        <v>826</v>
      </c>
      <c r="G169" s="65" t="s">
        <v>828</v>
      </c>
      <c r="H169" s="65"/>
      <c r="I169" s="66" t="s">
        <v>842</v>
      </c>
    </row>
    <row r="170" spans="1:9">
      <c r="A170" s="63">
        <f t="shared" si="2"/>
        <v>169</v>
      </c>
      <c r="B170" s="64" t="s">
        <v>826</v>
      </c>
      <c r="C170" s="64" t="s">
        <v>843</v>
      </c>
      <c r="D170" s="64" t="s">
        <v>300</v>
      </c>
      <c r="E170" s="64" t="s">
        <v>295</v>
      </c>
      <c r="F170" s="65" t="s">
        <v>843</v>
      </c>
      <c r="G170" s="65" t="s">
        <v>832</v>
      </c>
      <c r="H170" s="65" t="s">
        <v>844</v>
      </c>
      <c r="I170" s="66" t="s">
        <v>845</v>
      </c>
    </row>
    <row r="171" spans="1:9">
      <c r="A171" s="63">
        <f t="shared" si="2"/>
        <v>170</v>
      </c>
      <c r="B171" s="64" t="s">
        <v>826</v>
      </c>
      <c r="C171" s="64" t="s">
        <v>846</v>
      </c>
      <c r="D171" s="64" t="s">
        <v>300</v>
      </c>
      <c r="E171" s="64" t="s">
        <v>295</v>
      </c>
      <c r="F171" s="65" t="s">
        <v>846</v>
      </c>
      <c r="G171" s="65" t="s">
        <v>832</v>
      </c>
      <c r="H171" s="65" t="s">
        <v>844</v>
      </c>
      <c r="I171" s="66" t="s">
        <v>847</v>
      </c>
    </row>
    <row r="172" spans="1:9">
      <c r="A172" s="63">
        <f t="shared" si="2"/>
        <v>171</v>
      </c>
      <c r="B172" s="64" t="s">
        <v>826</v>
      </c>
      <c r="C172" s="64" t="s">
        <v>848</v>
      </c>
      <c r="D172" s="64" t="s">
        <v>300</v>
      </c>
      <c r="E172" s="64" t="s">
        <v>295</v>
      </c>
      <c r="F172" s="65" t="s">
        <v>848</v>
      </c>
      <c r="G172" s="65" t="s">
        <v>832</v>
      </c>
      <c r="H172" s="65" t="s">
        <v>844</v>
      </c>
      <c r="I172" s="66" t="s">
        <v>849</v>
      </c>
    </row>
    <row r="173" spans="1:9">
      <c r="A173" s="63">
        <f t="shared" si="2"/>
        <v>172</v>
      </c>
      <c r="B173" s="64" t="s">
        <v>826</v>
      </c>
      <c r="C173" s="64" t="s">
        <v>850</v>
      </c>
      <c r="D173" s="64" t="s">
        <v>453</v>
      </c>
      <c r="E173" s="64" t="s">
        <v>295</v>
      </c>
      <c r="F173" s="65" t="s">
        <v>850</v>
      </c>
      <c r="G173" s="65" t="s">
        <v>832</v>
      </c>
      <c r="H173" s="65" t="s">
        <v>851</v>
      </c>
      <c r="I173" s="66" t="s">
        <v>852</v>
      </c>
    </row>
    <row r="174" spans="1:9">
      <c r="A174" s="63">
        <f t="shared" si="2"/>
        <v>173</v>
      </c>
      <c r="B174" s="64" t="s">
        <v>826</v>
      </c>
      <c r="C174" s="64" t="s">
        <v>853</v>
      </c>
      <c r="D174" s="64" t="s">
        <v>294</v>
      </c>
      <c r="E174" s="64" t="s">
        <v>295</v>
      </c>
      <c r="F174" s="65" t="s">
        <v>853</v>
      </c>
      <c r="G174" s="65" t="s">
        <v>828</v>
      </c>
      <c r="H174" s="65" t="s">
        <v>854</v>
      </c>
      <c r="I174" s="66" t="s">
        <v>855</v>
      </c>
    </row>
    <row r="175" spans="1:9">
      <c r="A175" s="63">
        <f t="shared" si="2"/>
        <v>174</v>
      </c>
      <c r="B175" s="68" t="s">
        <v>817</v>
      </c>
      <c r="C175" s="68" t="s">
        <v>818</v>
      </c>
      <c r="D175" s="68" t="s">
        <v>300</v>
      </c>
      <c r="E175" s="68" t="s">
        <v>295</v>
      </c>
      <c r="F175" s="69" t="s">
        <v>856</v>
      </c>
      <c r="G175" s="69" t="s">
        <v>857</v>
      </c>
      <c r="H175" s="69" t="s">
        <v>858</v>
      </c>
      <c r="I175" s="70" t="s">
        <v>859</v>
      </c>
    </row>
    <row r="176" spans="1:9">
      <c r="A176" s="63">
        <f t="shared" si="2"/>
        <v>175</v>
      </c>
      <c r="B176" s="68" t="s">
        <v>817</v>
      </c>
      <c r="C176" s="68" t="s">
        <v>822</v>
      </c>
      <c r="D176" s="68" t="s">
        <v>300</v>
      </c>
      <c r="E176" s="68" t="s">
        <v>295</v>
      </c>
      <c r="F176" s="69" t="s">
        <v>860</v>
      </c>
      <c r="G176" s="69" t="s">
        <v>857</v>
      </c>
      <c r="H176" s="69" t="s">
        <v>858</v>
      </c>
      <c r="I176" s="70" t="s">
        <v>861</v>
      </c>
    </row>
    <row r="177" spans="1:9">
      <c r="A177" s="63">
        <f t="shared" si="2"/>
        <v>176</v>
      </c>
      <c r="B177" s="68" t="s">
        <v>817</v>
      </c>
      <c r="C177" s="68" t="s">
        <v>824</v>
      </c>
      <c r="D177" s="68" t="s">
        <v>300</v>
      </c>
      <c r="E177" s="68" t="s">
        <v>295</v>
      </c>
      <c r="F177" s="69" t="s">
        <v>862</v>
      </c>
      <c r="G177" s="69" t="s">
        <v>857</v>
      </c>
      <c r="H177" s="69" t="s">
        <v>858</v>
      </c>
      <c r="I177" s="70" t="s">
        <v>863</v>
      </c>
    </row>
    <row r="178" spans="1:9">
      <c r="A178" s="63">
        <f t="shared" si="2"/>
        <v>177</v>
      </c>
      <c r="B178" s="68" t="s">
        <v>826</v>
      </c>
      <c r="C178" s="68" t="s">
        <v>827</v>
      </c>
      <c r="D178" s="68" t="s">
        <v>294</v>
      </c>
      <c r="E178" s="68" t="s">
        <v>295</v>
      </c>
      <c r="F178" s="69" t="s">
        <v>864</v>
      </c>
      <c r="G178" s="69" t="s">
        <v>865</v>
      </c>
      <c r="H178" s="69" t="s">
        <v>866</v>
      </c>
      <c r="I178" s="70" t="s">
        <v>867</v>
      </c>
    </row>
    <row r="179" spans="1:9">
      <c r="A179" s="63">
        <f t="shared" si="2"/>
        <v>178</v>
      </c>
      <c r="B179" s="68" t="s">
        <v>826</v>
      </c>
      <c r="C179" s="68" t="s">
        <v>831</v>
      </c>
      <c r="D179" s="68" t="s">
        <v>300</v>
      </c>
      <c r="E179" s="68" t="s">
        <v>295</v>
      </c>
      <c r="F179" s="69" t="s">
        <v>868</v>
      </c>
      <c r="G179" s="69" t="s">
        <v>869</v>
      </c>
      <c r="H179" s="69" t="s">
        <v>870</v>
      </c>
      <c r="I179" s="70" t="s">
        <v>871</v>
      </c>
    </row>
    <row r="180" spans="1:9">
      <c r="A180" s="63">
        <f t="shared" si="2"/>
        <v>179</v>
      </c>
      <c r="B180" s="68" t="s">
        <v>826</v>
      </c>
      <c r="C180" s="68" t="s">
        <v>835</v>
      </c>
      <c r="D180" s="68" t="s">
        <v>300</v>
      </c>
      <c r="E180" s="68" t="s">
        <v>340</v>
      </c>
      <c r="F180" s="69" t="s">
        <v>872</v>
      </c>
      <c r="G180" s="69" t="s">
        <v>873</v>
      </c>
      <c r="H180" s="69" t="s">
        <v>874</v>
      </c>
      <c r="I180" s="70" t="s">
        <v>875</v>
      </c>
    </row>
    <row r="181" spans="1:9">
      <c r="A181" s="63">
        <f t="shared" si="2"/>
        <v>180</v>
      </c>
      <c r="B181" s="68" t="s">
        <v>826</v>
      </c>
      <c r="C181" s="68" t="s">
        <v>839</v>
      </c>
      <c r="D181" s="68" t="s">
        <v>312</v>
      </c>
      <c r="E181" s="68" t="s">
        <v>295</v>
      </c>
      <c r="F181" s="69" t="s">
        <v>876</v>
      </c>
      <c r="G181" s="69" t="s">
        <v>865</v>
      </c>
      <c r="H181" s="69" t="s">
        <v>877</v>
      </c>
      <c r="I181" s="70" t="s">
        <v>878</v>
      </c>
    </row>
    <row r="182" spans="1:9">
      <c r="A182" s="63">
        <f t="shared" si="2"/>
        <v>181</v>
      </c>
      <c r="B182" s="68" t="s">
        <v>826</v>
      </c>
      <c r="C182" s="68" t="s">
        <v>826</v>
      </c>
      <c r="D182" s="68" t="s">
        <v>312</v>
      </c>
      <c r="E182" s="68" t="s">
        <v>295</v>
      </c>
      <c r="F182" s="69" t="s">
        <v>879</v>
      </c>
      <c r="G182" s="69" t="s">
        <v>865</v>
      </c>
      <c r="H182" s="69"/>
      <c r="I182" s="70" t="s">
        <v>880</v>
      </c>
    </row>
    <row r="183" spans="1:9">
      <c r="A183" s="63">
        <f t="shared" si="2"/>
        <v>182</v>
      </c>
      <c r="B183" s="68" t="s">
        <v>826</v>
      </c>
      <c r="C183" s="68" t="s">
        <v>843</v>
      </c>
      <c r="D183" s="68" t="s">
        <v>300</v>
      </c>
      <c r="E183" s="68" t="s">
        <v>295</v>
      </c>
      <c r="F183" s="69" t="s">
        <v>881</v>
      </c>
      <c r="G183" s="69" t="s">
        <v>869</v>
      </c>
      <c r="H183" s="69" t="s">
        <v>870</v>
      </c>
      <c r="I183" s="70" t="s">
        <v>882</v>
      </c>
    </row>
    <row r="184" spans="1:9">
      <c r="A184" s="63">
        <f t="shared" si="2"/>
        <v>183</v>
      </c>
      <c r="B184" s="68" t="s">
        <v>826</v>
      </c>
      <c r="C184" s="68" t="s">
        <v>846</v>
      </c>
      <c r="D184" s="68" t="s">
        <v>300</v>
      </c>
      <c r="E184" s="68" t="s">
        <v>295</v>
      </c>
      <c r="F184" s="69" t="s">
        <v>883</v>
      </c>
      <c r="G184" s="69" t="s">
        <v>869</v>
      </c>
      <c r="H184" s="69" t="s">
        <v>870</v>
      </c>
      <c r="I184" s="70" t="s">
        <v>884</v>
      </c>
    </row>
    <row r="185" spans="1:9">
      <c r="A185" s="63">
        <f t="shared" si="2"/>
        <v>184</v>
      </c>
      <c r="B185" s="68" t="s">
        <v>826</v>
      </c>
      <c r="C185" s="68" t="s">
        <v>848</v>
      </c>
      <c r="D185" s="68" t="s">
        <v>300</v>
      </c>
      <c r="E185" s="68" t="s">
        <v>295</v>
      </c>
      <c r="F185" s="69" t="s">
        <v>885</v>
      </c>
      <c r="G185" s="69" t="s">
        <v>869</v>
      </c>
      <c r="H185" s="69" t="s">
        <v>870</v>
      </c>
      <c r="I185" s="70" t="s">
        <v>886</v>
      </c>
    </row>
    <row r="186" spans="1:9">
      <c r="A186" s="63">
        <f t="shared" si="2"/>
        <v>185</v>
      </c>
      <c r="B186" s="68" t="s">
        <v>826</v>
      </c>
      <c r="C186" s="68" t="s">
        <v>850</v>
      </c>
      <c r="D186" s="68" t="s">
        <v>453</v>
      </c>
      <c r="E186" s="68" t="s">
        <v>295</v>
      </c>
      <c r="F186" s="69" t="s">
        <v>887</v>
      </c>
      <c r="G186" s="69" t="s">
        <v>869</v>
      </c>
      <c r="H186" s="69" t="s">
        <v>888</v>
      </c>
      <c r="I186" s="70" t="s">
        <v>889</v>
      </c>
    </row>
    <row r="187" spans="1:9">
      <c r="A187" s="74">
        <f t="shared" si="2"/>
        <v>186</v>
      </c>
      <c r="B187" s="75" t="s">
        <v>826</v>
      </c>
      <c r="C187" s="75" t="s">
        <v>853</v>
      </c>
      <c r="D187" s="75" t="s">
        <v>294</v>
      </c>
      <c r="E187" s="75" t="s">
        <v>295</v>
      </c>
      <c r="F187" s="76" t="s">
        <v>340</v>
      </c>
      <c r="G187" s="76" t="s">
        <v>865</v>
      </c>
      <c r="H187" s="76" t="s">
        <v>890</v>
      </c>
      <c r="I187" s="77" t="s">
        <v>891</v>
      </c>
    </row>
  </sheetData>
  <phoneticPr fontId="10" type="noConversion"/>
  <hyperlinks>
    <hyperlink ref="F2" r:id="rId1" xr:uid="{93DB8826-D2D7-4001-AD7F-A9FCF0427099}"/>
    <hyperlink ref="F3" r:id="rId2" xr:uid="{EEDED85C-6ED7-464C-BDAE-D5AEEA43B53B}"/>
    <hyperlink ref="F4" r:id="rId3" xr:uid="{7A609BA4-1A07-4971-83A8-92AA878C4FD8}"/>
    <hyperlink ref="F5" r:id="rId4" xr:uid="{52DE365B-774E-4848-9706-24DB90EC47E9}"/>
    <hyperlink ref="F6" r:id="rId5" xr:uid="{DF22BD0A-463D-423F-9A72-AF82248525D9}"/>
    <hyperlink ref="F12" r:id="rId6" xr:uid="{42D55089-D85F-42CD-A1EA-1286EACC736D}"/>
    <hyperlink ref="F13" r:id="rId7" xr:uid="{FFC2E09A-9679-4509-8A25-CEACCA7FF303}"/>
    <hyperlink ref="F14" r:id="rId8" xr:uid="{14D109D9-8B8A-4AAC-8BD1-46554D3CB944}"/>
    <hyperlink ref="F15" r:id="rId9" xr:uid="{370A74FF-D5FF-4D31-BC97-764688A4E207}"/>
    <hyperlink ref="F16" r:id="rId10" xr:uid="{013914BD-C827-4653-B748-51AB518583AD}"/>
    <hyperlink ref="F17" r:id="rId11" xr:uid="{A5E1B5A4-3768-415D-BEFE-35E94145C682}"/>
    <hyperlink ref="F18" r:id="rId12" xr:uid="{9CAE1DA8-921E-4FCD-9E0C-861AE2277C3A}"/>
    <hyperlink ref="F19" r:id="rId13" xr:uid="{67A3348E-2CF6-4022-9AF3-45F9F8D64C3B}"/>
    <hyperlink ref="F20" r:id="rId14" xr:uid="{47E0F951-7CF6-4A88-A930-446C6924026B}"/>
    <hyperlink ref="F21" r:id="rId15" xr:uid="{B7366C7A-D26B-4E0C-8E2B-FFE7FF574ACC}"/>
    <hyperlink ref="F22" r:id="rId16" xr:uid="{D0304621-E44A-475C-A408-FB494AA7D268}"/>
    <hyperlink ref="F23" r:id="rId17" xr:uid="{374F8BD9-081D-4176-84C0-831A8B830A56}"/>
    <hyperlink ref="F24" r:id="rId18" xr:uid="{EB9D98AC-AACB-4AC2-ACAF-B68C40D36BE2}"/>
    <hyperlink ref="F25" r:id="rId19" xr:uid="{9EBDE066-C34E-4D81-9629-0F153DEF4432}"/>
    <hyperlink ref="F26" r:id="rId20" xr:uid="{80F4D98C-94CD-4B53-8E97-D655D6084EA4}"/>
    <hyperlink ref="F27" r:id="rId21" xr:uid="{B094255C-06A1-4F62-997A-4BA4FC02BEBC}"/>
    <hyperlink ref="F28" r:id="rId22" xr:uid="{334EE278-5170-426C-B0DD-8462B90D6896}"/>
    <hyperlink ref="F29" r:id="rId23" xr:uid="{A1555FDA-5B9F-483A-A94C-1C235DFE1FA1}"/>
    <hyperlink ref="F30" r:id="rId24" xr:uid="{B4C4380D-B2EF-45F4-8F65-0A7ED17EB740}"/>
    <hyperlink ref="F31" r:id="rId25" xr:uid="{3DE014A4-759E-40B1-82A7-F64A7EC329E7}"/>
    <hyperlink ref="F32" r:id="rId26" xr:uid="{671C8C5E-F018-4A93-8A9C-67A2537F7A41}"/>
    <hyperlink ref="I32" r:id="rId27" xr:uid="{FA0B729B-EBCB-476C-9CDB-AE853FCE36D9}"/>
    <hyperlink ref="F33" r:id="rId28" xr:uid="{065BCE8D-6CD7-4A5A-A237-F6CC46D6D720}"/>
    <hyperlink ref="F34" r:id="rId29" xr:uid="{6F57A99A-4A0D-4DEC-BD1E-CE307A971CB4}"/>
    <hyperlink ref="F35" r:id="rId30" xr:uid="{1ED915B7-0205-483B-A47B-8A72EF5F3EB6}"/>
    <hyperlink ref="F36" r:id="rId31" xr:uid="{F7BE551B-4A3D-4228-BA51-0FB772E83146}"/>
    <hyperlink ref="F37" r:id="rId32" xr:uid="{D53589CE-848E-40D9-9765-738569C71A14}"/>
    <hyperlink ref="F38" r:id="rId33" xr:uid="{D397CD61-D914-47CB-9DEE-0D3CF0FA5379}"/>
    <hyperlink ref="F39" r:id="rId34" xr:uid="{79EA965C-C1F4-45AD-ACE1-3AA9B44CC481}"/>
    <hyperlink ref="F40" r:id="rId35" xr:uid="{8DD232B1-6B5C-4658-A72B-1D95D51288C7}"/>
    <hyperlink ref="F41" r:id="rId36" xr:uid="{4FC5A4D1-7C71-413E-BD77-E7914E6CD6C7}"/>
    <hyperlink ref="F42" r:id="rId37" xr:uid="{68C766AB-4915-48C1-9FFD-317527445678}"/>
    <hyperlink ref="F43" r:id="rId38" xr:uid="{3B5E9887-91D3-4115-AA1A-1E2943F9F3FA}"/>
    <hyperlink ref="F44" r:id="rId39" xr:uid="{B6118FC5-9961-4C16-9A60-F79610140D1F}"/>
    <hyperlink ref="F45" r:id="rId40" xr:uid="{D189DD8B-D91C-4D5D-8131-B6F45DA1C30D}"/>
    <hyperlink ref="I45" r:id="rId41" xr:uid="{6D525BB0-F206-4DFE-8D36-F72BAE02235F}"/>
    <hyperlink ref="F46" r:id="rId42" xr:uid="{4B05A574-ADC0-4C4C-B6A0-511D69D8CE24}"/>
    <hyperlink ref="F47" r:id="rId43" xr:uid="{4C5F5AFF-DED9-4F73-A9BB-7F9A89C0FEC0}"/>
    <hyperlink ref="F48" r:id="rId44" xr:uid="{DFA074D3-A070-419F-B536-22EF9E0A7048}"/>
    <hyperlink ref="F49" r:id="rId45" xr:uid="{B116ABB9-FC94-433B-816D-AB15D766DC4F}"/>
    <hyperlink ref="F78" r:id="rId46" xr:uid="{AC47E6AC-220E-437A-A357-DC2BB2BAEA81}"/>
    <hyperlink ref="F79" r:id="rId47" xr:uid="{0C5DB610-8B0F-4233-AD97-779D03A4E03B}"/>
    <hyperlink ref="F80" r:id="rId48" xr:uid="{BDE4997D-CCB6-462C-B5B3-4D141C4C03F6}"/>
    <hyperlink ref="F81" r:id="rId49" xr:uid="{D01A922A-0583-43C4-914A-2296DA9DCD5E}"/>
    <hyperlink ref="F82" r:id="rId50" xr:uid="{84296244-72D8-44FF-8412-ED5E8909F319}"/>
    <hyperlink ref="F83" r:id="rId51" xr:uid="{ED8D4BB2-1981-4043-BA2F-22D5718081E4}"/>
    <hyperlink ref="F84" r:id="rId52" xr:uid="{3354064C-D69B-4830-8465-D572F4565DC2}"/>
    <hyperlink ref="F85" r:id="rId53" xr:uid="{4E7202CA-C737-4197-99C9-D0F9B02EDC07}"/>
    <hyperlink ref="F86" r:id="rId54" xr:uid="{1D7EBC2F-B53A-4B61-AFAF-4781DDFBC90A}"/>
    <hyperlink ref="F87" r:id="rId55" xr:uid="{383D7655-31AE-4790-902B-58B8B0DDC1BA}"/>
    <hyperlink ref="F88" r:id="rId56" xr:uid="{BAE8A250-DF48-4D98-8185-5D79AA064D41}"/>
    <hyperlink ref="F89" r:id="rId57" xr:uid="{DCF587C5-C618-4F58-BC36-6C6132A8A5A2}"/>
    <hyperlink ref="F90" r:id="rId58" xr:uid="{7AA0B690-C084-4444-837D-85AF901EF9B3}"/>
    <hyperlink ref="F91" r:id="rId59" xr:uid="{79A68569-131B-4164-B204-F0787E8A85B8}"/>
    <hyperlink ref="F92" r:id="rId60" xr:uid="{DDEAF4AC-421F-45A4-8DB3-2FB8CD7371BA}"/>
    <hyperlink ref="F93" r:id="rId61" xr:uid="{F546D35A-E123-457F-9A2A-C767F3ABC71C}"/>
    <hyperlink ref="F94" r:id="rId62" xr:uid="{C26E4DBB-5405-431E-9A35-FC58797FFB56}"/>
    <hyperlink ref="F95" r:id="rId63" xr:uid="{A5419D0E-813C-45AC-AA48-73424D790846}"/>
    <hyperlink ref="F96" r:id="rId64" xr:uid="{C9A6ACEF-2526-495B-B7C3-C27536ED3A89}"/>
    <hyperlink ref="F97" r:id="rId65" xr:uid="{F0AE5482-5E47-4059-B667-ED06E7581D8E}"/>
    <hyperlink ref="F98" r:id="rId66" xr:uid="{160FD001-9056-4317-8E73-59D30CCAB9E7}"/>
    <hyperlink ref="F99" r:id="rId67" xr:uid="{15335B3C-17CC-46FB-B795-0450CF782DC7}"/>
    <hyperlink ref="F100" r:id="rId68" xr:uid="{2DF06998-24AC-473D-858C-84CC8F521CAE}"/>
    <hyperlink ref="F101" r:id="rId69" xr:uid="{AA492FDE-EDC9-4650-A06A-E21DB896C3C9}"/>
    <hyperlink ref="F102" r:id="rId70" xr:uid="{92E18764-4EAB-4962-893A-B6ED89683D50}"/>
    <hyperlink ref="F103" r:id="rId71" xr:uid="{CA742E0B-63F3-4ABC-A63C-3C6B38E01383}"/>
    <hyperlink ref="F104" r:id="rId72" xr:uid="{2BE010DE-4A5C-414C-A804-EEF8A48CDA12}"/>
    <hyperlink ref="F105" r:id="rId73" xr:uid="{401C55E7-BCD1-4261-A663-E577DB7B89BE}"/>
    <hyperlink ref="F106" r:id="rId74" xr:uid="{C1F0AAF9-E5EF-4BBA-A137-C4C51BD7C747}"/>
    <hyperlink ref="F107" r:id="rId75" xr:uid="{E50FAA91-FFC1-4EEC-8FEC-FDE29EAFFA39}"/>
    <hyperlink ref="F108" r:id="rId76" xr:uid="{C89C43DC-D53A-4594-8A21-BA2062FC449C}"/>
    <hyperlink ref="F109" r:id="rId77" xr:uid="{03BEB20A-D025-485B-B220-FF5C85E16DFF}"/>
    <hyperlink ref="F110" r:id="rId78" xr:uid="{DF81928C-1056-4482-BDA5-1D9407BFAD05}"/>
    <hyperlink ref="F111" r:id="rId79" xr:uid="{973879BA-82E9-46AB-A117-786A5D0A2CA3}"/>
    <hyperlink ref="F112" r:id="rId80" xr:uid="{3B39DD2A-AD59-4298-85AB-66BC2AEF329C}"/>
    <hyperlink ref="F113" r:id="rId81" xr:uid="{D13086C1-C87E-4E4A-BFA9-4742641123AA}"/>
    <hyperlink ref="F114" r:id="rId82" xr:uid="{91C6620B-5A82-4130-A0CE-922CABB8A9C2}"/>
    <hyperlink ref="F115" r:id="rId83" xr:uid="{55B527A8-F5C6-4222-8AB0-F5D213EEA99D}"/>
    <hyperlink ref="F116" r:id="rId84" xr:uid="{5FD16789-9929-41FA-9880-AD165D3199D6}"/>
    <hyperlink ref="F117" r:id="rId85" xr:uid="{BBB30983-33F4-46E1-9A5E-E4245172CC6A}"/>
    <hyperlink ref="F118" r:id="rId86" xr:uid="{426611D4-6287-41D0-B02A-BE4C8FAE6E97}"/>
    <hyperlink ref="F139" r:id="rId87" xr:uid="{EE001B20-345E-42F7-BC9C-D14AC4B1B739}"/>
    <hyperlink ref="F140" r:id="rId88" xr:uid="{E348BA26-E344-4E44-BF6C-745CF2913E23}"/>
    <hyperlink ref="F141" r:id="rId89" xr:uid="{8E63F612-9B96-419A-9023-DE8963327FF4}"/>
    <hyperlink ref="F142" r:id="rId90" xr:uid="{A069BA35-AB73-4BED-B04F-EC6E2591967C}"/>
    <hyperlink ref="F143" r:id="rId91" xr:uid="{B5E3B36C-9DC4-48E0-AE39-2AFE4EB9C2CF}"/>
    <hyperlink ref="F144" r:id="rId92" xr:uid="{590FF8A9-5091-478F-BC76-BF191FB2964C}"/>
    <hyperlink ref="F145" r:id="rId93" xr:uid="{31607CC6-6846-4075-A8C2-1FB954B4B798}"/>
    <hyperlink ref="F146" r:id="rId94" xr:uid="{80DA83D8-1858-4C97-872E-29198F2E41FC}"/>
    <hyperlink ref="F147" r:id="rId95" xr:uid="{72FBEB45-6CF8-4203-B0CB-9813BFAE8158}"/>
    <hyperlink ref="F148" r:id="rId96" xr:uid="{94BA377A-11D2-4B3A-9501-BF3E09E70172}"/>
    <hyperlink ref="F149" r:id="rId97" xr:uid="{D2139764-ACFE-4C55-AA9A-A26503EC82AF}"/>
    <hyperlink ref="F150" r:id="rId98" xr:uid="{2CF43F29-3887-4ED3-8BF9-91D8383350D7}"/>
    <hyperlink ref="F151" r:id="rId99" xr:uid="{0B2DD884-4EB6-482B-809A-A0AA424DAEEA}"/>
    <hyperlink ref="F152" r:id="rId100" xr:uid="{D9429027-10E8-4856-8A6F-0045228EDF95}"/>
    <hyperlink ref="F153" r:id="rId101" xr:uid="{2707A121-897C-4221-84D7-67F46870B442}"/>
    <hyperlink ref="F154" r:id="rId102" xr:uid="{00A27C0B-CDF6-49F0-9666-0F3AF915E2C2}"/>
    <hyperlink ref="F155" r:id="rId103" xr:uid="{FC8C5136-55C2-4691-A8ED-F43DC5B4F940}"/>
    <hyperlink ref="F156" r:id="rId104" xr:uid="{7BCB78FC-B04D-4C9B-BC3A-FF97E1503866}"/>
    <hyperlink ref="F157" r:id="rId105" xr:uid="{ED473FC8-C6D1-4763-916D-BD36D096FA5D}"/>
    <hyperlink ref="F159" r:id="rId106" xr:uid="{69A017BB-0CC5-431D-887D-EE9DD4DDFBA3}"/>
    <hyperlink ref="F160" r:id="rId107" xr:uid="{F89FCC55-DBAF-4537-A015-BBA6DD01C5A3}"/>
    <hyperlink ref="F161" r:id="rId108" xr:uid="{1D3F1F8C-B3EE-4A67-B31C-EC313EE837FC}"/>
    <hyperlink ref="F175" r:id="rId109" xr:uid="{AD6F0146-F035-4941-8C00-0F2B412205C3}"/>
    <hyperlink ref="F176" r:id="rId110" xr:uid="{832C8750-7424-4071-9EF7-E49FFEA2C84A}"/>
    <hyperlink ref="F177" r:id="rId111" xr:uid="{65921C48-AA60-4E30-82DA-41C41ADEADC2}"/>
    <hyperlink ref="F178" r:id="rId112" xr:uid="{5023F547-530C-493E-8F64-E9C3E957E1D6}"/>
    <hyperlink ref="F179" r:id="rId113" xr:uid="{3DB348ED-E5CA-4DA0-851F-0B856BD284B5}"/>
    <hyperlink ref="F180" r:id="rId114" xr:uid="{8191F954-7BB7-42E9-90C4-5589877BF280}"/>
    <hyperlink ref="F181" r:id="rId115" xr:uid="{BCBC5700-3482-44E5-8953-946DCFE09A04}"/>
    <hyperlink ref="F182" r:id="rId116" xr:uid="{D6CCECDE-4267-43DD-A791-99FD911243E6}"/>
    <hyperlink ref="F183" r:id="rId117" xr:uid="{0B994732-0A82-49D5-B56C-EC7A6AE760C8}"/>
    <hyperlink ref="F184" r:id="rId118" xr:uid="{D860F791-4921-4A2D-B42F-06D1757320D8}"/>
    <hyperlink ref="F185" r:id="rId119" xr:uid="{D5E9315E-D2AF-4991-871E-AC623C641836}"/>
    <hyperlink ref="F186" r:id="rId120" xr:uid="{FAD30DC8-AFFB-4028-8895-10A17E02FABC}"/>
    <hyperlink ref="F187" r:id="rId121" xr:uid="{F17E878B-C79A-4A4B-A0E6-A34F56504A2C}"/>
  </hyperlinks>
  <pageMargins left="0.7" right="0.7" top="0.75" bottom="0.75" header="0.3" footer="0.3"/>
  <tableParts count="1">
    <tablePart r:id="rId12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57123-9CFC-496F-B5BF-BF974F41EF01}">
  <sheetPr>
    <tabColor rgb="FFFFC000"/>
  </sheetPr>
  <dimension ref="B1:Y61"/>
  <sheetViews>
    <sheetView showGridLines="0" workbookViewId="0">
      <pane ySplit="4" topLeftCell="A5" activePane="bottomLeft" state="frozen"/>
      <selection activeCell="P111" sqref="P111"/>
      <selection pane="bottomLeft" activeCell="G9" sqref="G9"/>
    </sheetView>
  </sheetViews>
  <sheetFormatPr defaultRowHeight="41.25" customHeight="1"/>
  <cols>
    <col min="1" max="1" width="2.875" style="86" customWidth="1"/>
    <col min="2" max="4" width="9.875" style="86" customWidth="1"/>
    <col min="5" max="5" width="21.625" style="86" bestFit="1" customWidth="1"/>
    <col min="6" max="9" width="9.25" style="230" customWidth="1"/>
    <col min="10" max="25" width="10.75" style="86" bestFit="1" customWidth="1"/>
    <col min="26" max="27" width="9" style="86"/>
    <col min="28" max="28" width="24.5" style="86" customWidth="1"/>
    <col min="29" max="29" width="22.5" style="86" customWidth="1"/>
    <col min="30" max="30" width="19.375" style="86" customWidth="1"/>
    <col min="31" max="16384" width="9" style="86"/>
  </cols>
  <sheetData>
    <row r="1" spans="2:25" ht="8.25" customHeight="1"/>
    <row r="2" spans="2:25" ht="33.75" customHeight="1">
      <c r="F2" s="231"/>
      <c r="G2" s="231"/>
      <c r="H2" s="231"/>
      <c r="I2" s="232"/>
      <c r="J2" s="331">
        <v>1</v>
      </c>
      <c r="K2" s="331"/>
      <c r="L2" s="331"/>
      <c r="M2" s="331"/>
      <c r="N2" s="331">
        <v>2</v>
      </c>
      <c r="O2" s="331"/>
      <c r="P2" s="331"/>
      <c r="Q2" s="331"/>
      <c r="R2" s="331">
        <v>3</v>
      </c>
      <c r="S2" s="331"/>
      <c r="T2" s="331"/>
      <c r="U2" s="331"/>
      <c r="V2" s="331">
        <v>4</v>
      </c>
      <c r="W2" s="331"/>
      <c r="X2" s="331"/>
      <c r="Y2" s="331"/>
    </row>
    <row r="3" spans="2:25" ht="24" customHeight="1">
      <c r="F3" s="231"/>
      <c r="G3" s="231"/>
      <c r="H3" s="231"/>
      <c r="I3" s="232"/>
      <c r="J3" s="329" t="s">
        <v>2125</v>
      </c>
      <c r="K3" s="329"/>
      <c r="L3" s="330" t="s">
        <v>2126</v>
      </c>
      <c r="M3" s="330"/>
      <c r="N3" s="329" t="s">
        <v>2125</v>
      </c>
      <c r="O3" s="329"/>
      <c r="P3" s="330" t="s">
        <v>2126</v>
      </c>
      <c r="Q3" s="330"/>
      <c r="R3" s="329" t="s">
        <v>2125</v>
      </c>
      <c r="S3" s="329"/>
      <c r="T3" s="330" t="s">
        <v>2126</v>
      </c>
      <c r="U3" s="330"/>
      <c r="V3" s="329" t="s">
        <v>2125</v>
      </c>
      <c r="W3" s="329"/>
      <c r="X3" s="330" t="s">
        <v>2126</v>
      </c>
      <c r="Y3" s="330"/>
    </row>
    <row r="4" spans="2:25" ht="48" customHeight="1">
      <c r="B4" s="233" t="s">
        <v>2127</v>
      </c>
      <c r="C4" s="234" t="s">
        <v>2128</v>
      </c>
      <c r="D4" s="234" t="s">
        <v>2129</v>
      </c>
      <c r="E4" s="234" t="s">
        <v>912</v>
      </c>
      <c r="F4" s="235" t="s">
        <v>2012</v>
      </c>
      <c r="G4" s="235" t="s">
        <v>2013</v>
      </c>
      <c r="H4" s="235" t="s">
        <v>2014</v>
      </c>
      <c r="I4" s="235" t="s">
        <v>2015</v>
      </c>
      <c r="J4" s="234" t="s">
        <v>2130</v>
      </c>
      <c r="K4" s="236" t="s">
        <v>2131</v>
      </c>
      <c r="L4" s="237" t="s">
        <v>2130</v>
      </c>
      <c r="M4" s="238" t="s">
        <v>2131</v>
      </c>
      <c r="N4" s="237" t="s">
        <v>2130</v>
      </c>
      <c r="O4" s="238" t="s">
        <v>2131</v>
      </c>
      <c r="P4" s="237" t="s">
        <v>2130</v>
      </c>
      <c r="Q4" s="238" t="s">
        <v>2131</v>
      </c>
      <c r="R4" s="237" t="s">
        <v>2130</v>
      </c>
      <c r="S4" s="238" t="s">
        <v>2131</v>
      </c>
      <c r="T4" s="237" t="s">
        <v>2130</v>
      </c>
      <c r="U4" s="238" t="s">
        <v>2131</v>
      </c>
      <c r="V4" s="237" t="s">
        <v>2130</v>
      </c>
      <c r="W4" s="238" t="s">
        <v>2131</v>
      </c>
      <c r="X4" s="237" t="s">
        <v>2130</v>
      </c>
      <c r="Y4" s="238" t="s">
        <v>2131</v>
      </c>
    </row>
    <row r="5" spans="2:25" ht="41.25" customHeight="1">
      <c r="B5" s="239">
        <v>1</v>
      </c>
      <c r="C5" s="336" t="s">
        <v>292</v>
      </c>
      <c r="D5" s="241" t="s">
        <v>2132</v>
      </c>
      <c r="E5" s="242" t="str">
        <f>_xlfn.CONCAT(韻表_3[[#This Row],[平聲]:[入聲]])</f>
        <v>東董送屋</v>
      </c>
      <c r="F5" s="251" t="s">
        <v>293</v>
      </c>
      <c r="G5" s="251" t="s">
        <v>1461</v>
      </c>
      <c r="H5" s="251" t="s">
        <v>1463</v>
      </c>
      <c r="I5" s="243" t="s">
        <v>1465</v>
      </c>
      <c r="J5" s="239" t="s">
        <v>2133</v>
      </c>
      <c r="K5" s="239" t="s">
        <v>2134</v>
      </c>
      <c r="L5" s="244"/>
      <c r="M5" s="245"/>
      <c r="N5" s="244"/>
      <c r="O5" s="245"/>
      <c r="P5" s="244"/>
      <c r="Q5" s="245"/>
      <c r="R5" s="244" t="s">
        <v>2135</v>
      </c>
      <c r="S5" s="245" t="s">
        <v>2136</v>
      </c>
      <c r="T5" s="244"/>
      <c r="U5" s="245"/>
      <c r="V5" s="244"/>
      <c r="W5" s="245"/>
      <c r="X5" s="244"/>
      <c r="Y5" s="245"/>
    </row>
    <row r="6" spans="2:25" ht="41.25" customHeight="1">
      <c r="B6" s="239">
        <v>2</v>
      </c>
      <c r="C6" s="336" t="s">
        <v>2137</v>
      </c>
      <c r="D6" s="241" t="s">
        <v>938</v>
      </c>
      <c r="E6" s="242" t="str">
        <f>_xlfn.CONCAT(韻表_3[[#This Row],[平聲]:[入聲]])</f>
        <v>冬∅宋沃</v>
      </c>
      <c r="F6" s="251" t="s">
        <v>305</v>
      </c>
      <c r="G6" s="243" t="s">
        <v>2138</v>
      </c>
      <c r="H6" s="243" t="s">
        <v>1471</v>
      </c>
      <c r="I6" s="251" t="s">
        <v>324</v>
      </c>
      <c r="J6" s="239" t="s">
        <v>2133</v>
      </c>
      <c r="K6" s="239" t="s">
        <v>2134</v>
      </c>
      <c r="L6" s="246"/>
      <c r="M6" s="247"/>
      <c r="N6" s="246"/>
      <c r="O6" s="247"/>
      <c r="P6" s="246"/>
      <c r="Q6" s="247"/>
      <c r="R6" s="246"/>
      <c r="S6" s="247"/>
      <c r="T6" s="246"/>
      <c r="U6" s="247"/>
      <c r="V6" s="246"/>
      <c r="W6" s="247"/>
      <c r="X6" s="246"/>
      <c r="Y6" s="247"/>
    </row>
    <row r="7" spans="2:25" ht="41.25" customHeight="1">
      <c r="B7" s="239">
        <v>3</v>
      </c>
      <c r="C7" s="248" t="s">
        <v>292</v>
      </c>
      <c r="D7" s="249" t="s">
        <v>308</v>
      </c>
      <c r="E7" s="242" t="str">
        <f>_xlfn.CONCAT(韻表_3[[#This Row],[平聲]:[入聲]])</f>
        <v>鍾腫用燭</v>
      </c>
      <c r="F7" s="243" t="s">
        <v>308</v>
      </c>
      <c r="G7" s="251" t="s">
        <v>945</v>
      </c>
      <c r="H7" s="251" t="s">
        <v>947</v>
      </c>
      <c r="I7" s="251" t="s">
        <v>327</v>
      </c>
      <c r="J7" s="239"/>
      <c r="K7" s="239"/>
      <c r="L7" s="244"/>
      <c r="M7" s="245"/>
      <c r="N7" s="244"/>
      <c r="O7" s="245"/>
      <c r="P7" s="244"/>
      <c r="Q7" s="245"/>
      <c r="R7" s="244" t="s">
        <v>2135</v>
      </c>
      <c r="S7" s="245" t="s">
        <v>2136</v>
      </c>
      <c r="T7" s="244"/>
      <c r="U7" s="245"/>
      <c r="V7" s="244"/>
      <c r="W7" s="245"/>
      <c r="X7" s="244"/>
      <c r="Y7" s="245"/>
    </row>
    <row r="8" spans="2:25" ht="41.25" customHeight="1">
      <c r="B8" s="239">
        <v>4</v>
      </c>
      <c r="C8" s="248" t="s">
        <v>311</v>
      </c>
      <c r="D8" s="249" t="s">
        <v>311</v>
      </c>
      <c r="E8" s="242" t="str">
        <f>_xlfn.CONCAT(韻表_3[[#This Row],[平聲]:[入聲]])</f>
        <v>江講絳覺</v>
      </c>
      <c r="F8" s="243" t="s">
        <v>311</v>
      </c>
      <c r="G8" s="251" t="s">
        <v>951</v>
      </c>
      <c r="H8" s="243" t="s">
        <v>953</v>
      </c>
      <c r="I8" s="243" t="s">
        <v>330</v>
      </c>
      <c r="J8" s="239"/>
      <c r="K8" s="239"/>
      <c r="L8" s="246"/>
      <c r="M8" s="247"/>
      <c r="N8" s="246" t="s">
        <v>2139</v>
      </c>
      <c r="O8" s="247" t="s">
        <v>2140</v>
      </c>
      <c r="P8" s="246"/>
      <c r="Q8" s="247"/>
      <c r="R8" s="246"/>
      <c r="S8" s="247"/>
      <c r="T8" s="246"/>
      <c r="U8" s="247"/>
      <c r="V8" s="246"/>
      <c r="W8" s="247"/>
      <c r="X8" s="246"/>
      <c r="Y8" s="247"/>
    </row>
    <row r="9" spans="2:25" ht="33.75">
      <c r="B9" s="239">
        <v>5</v>
      </c>
      <c r="C9" s="248" t="s">
        <v>334</v>
      </c>
      <c r="D9" s="249" t="s">
        <v>335</v>
      </c>
      <c r="E9" s="242" t="str">
        <f>_xlfn.CONCAT(韻表_3[[#This Row],[平聲]:[入聲]])</f>
        <v>支紙寘∅</v>
      </c>
      <c r="F9" s="243" t="s">
        <v>335</v>
      </c>
      <c r="G9" s="251" t="s">
        <v>1486</v>
      </c>
      <c r="H9" s="243" t="s">
        <v>1488</v>
      </c>
      <c r="I9" s="243" t="s">
        <v>2138</v>
      </c>
      <c r="J9" s="239"/>
      <c r="K9" s="239"/>
      <c r="L9" s="244"/>
      <c r="M9" s="245"/>
      <c r="N9" s="244"/>
      <c r="O9" s="245"/>
      <c r="P9" s="244"/>
      <c r="Q9" s="245"/>
      <c r="R9" s="244" t="s">
        <v>2141</v>
      </c>
      <c r="S9" s="245"/>
      <c r="T9" s="244" t="s">
        <v>354</v>
      </c>
      <c r="U9" s="245"/>
      <c r="V9" s="244"/>
      <c r="W9" s="245"/>
      <c r="X9" s="244"/>
      <c r="Y9" s="245"/>
    </row>
    <row r="10" spans="2:25" ht="41.25" customHeight="1">
      <c r="B10" s="239">
        <v>6</v>
      </c>
      <c r="C10" s="248" t="s">
        <v>334</v>
      </c>
      <c r="D10" s="249" t="s">
        <v>356</v>
      </c>
      <c r="E10" s="242" t="str">
        <f>_xlfn.CONCAT(韻表_3[[#This Row],[平聲]:[入聲]])</f>
        <v>脂旨至∅</v>
      </c>
      <c r="F10" s="243" t="s">
        <v>356</v>
      </c>
      <c r="G10" s="243" t="s">
        <v>1493</v>
      </c>
      <c r="H10" s="243" t="s">
        <v>1495</v>
      </c>
      <c r="I10" s="243" t="s">
        <v>2138</v>
      </c>
      <c r="J10" s="239"/>
      <c r="K10" s="239"/>
      <c r="L10" s="246"/>
      <c r="M10" s="247"/>
      <c r="N10" s="246"/>
      <c r="O10" s="247"/>
      <c r="P10" s="246"/>
      <c r="Q10" s="247"/>
      <c r="R10" s="246" t="s">
        <v>2141</v>
      </c>
      <c r="S10" s="247"/>
      <c r="T10" s="246" t="s">
        <v>354</v>
      </c>
      <c r="U10" s="247"/>
      <c r="V10" s="246"/>
      <c r="W10" s="247"/>
      <c r="X10" s="246"/>
      <c r="Y10" s="247"/>
    </row>
    <row r="11" spans="2:25" ht="41.25" customHeight="1">
      <c r="B11" s="239">
        <v>7</v>
      </c>
      <c r="C11" s="248" t="s">
        <v>334</v>
      </c>
      <c r="D11" s="249" t="s">
        <v>373</v>
      </c>
      <c r="E11" s="242" t="str">
        <f>_xlfn.CONCAT(韻表_3[[#This Row],[平聲]:[入聲]])</f>
        <v>之止志∅</v>
      </c>
      <c r="F11" s="243" t="s">
        <v>373</v>
      </c>
      <c r="G11" s="243" t="s">
        <v>334</v>
      </c>
      <c r="H11" s="243" t="s">
        <v>984</v>
      </c>
      <c r="I11" s="243" t="s">
        <v>2138</v>
      </c>
      <c r="J11" s="239"/>
      <c r="K11" s="239"/>
      <c r="L11" s="244"/>
      <c r="M11" s="245"/>
      <c r="N11" s="244"/>
      <c r="O11" s="245"/>
      <c r="P11" s="244"/>
      <c r="Q11" s="245"/>
      <c r="R11" s="244" t="s">
        <v>2141</v>
      </c>
      <c r="S11" s="245"/>
      <c r="T11" s="244"/>
      <c r="U11" s="245"/>
      <c r="V11" s="244"/>
      <c r="W11" s="245"/>
      <c r="X11" s="244"/>
      <c r="Y11" s="245"/>
    </row>
    <row r="12" spans="2:25" ht="41.25" customHeight="1">
      <c r="B12" s="239">
        <v>8</v>
      </c>
      <c r="C12" s="248" t="s">
        <v>334</v>
      </c>
      <c r="D12" s="249" t="s">
        <v>2142</v>
      </c>
      <c r="E12" s="242" t="str">
        <f>_xlfn.CONCAT(韻表_3[[#This Row],[平聲]:[入聲]])</f>
        <v>微尾未∅</v>
      </c>
      <c r="F12" s="243" t="s">
        <v>34</v>
      </c>
      <c r="G12" s="250" t="s">
        <v>1504</v>
      </c>
      <c r="H12" s="243" t="s">
        <v>1506</v>
      </c>
      <c r="I12" s="243" t="s">
        <v>2138</v>
      </c>
      <c r="J12" s="239"/>
      <c r="K12" s="239"/>
      <c r="L12" s="246"/>
      <c r="M12" s="247"/>
      <c r="N12" s="246"/>
      <c r="O12" s="247"/>
      <c r="P12" s="246"/>
      <c r="Q12" s="247"/>
      <c r="R12" s="246" t="s">
        <v>2141</v>
      </c>
      <c r="S12" s="247"/>
      <c r="T12" s="246" t="s">
        <v>354</v>
      </c>
      <c r="U12" s="247"/>
      <c r="V12" s="246"/>
      <c r="W12" s="247"/>
      <c r="X12" s="246"/>
      <c r="Y12" s="247"/>
    </row>
    <row r="13" spans="2:25" ht="41.25" customHeight="1">
      <c r="B13" s="239">
        <v>9</v>
      </c>
      <c r="C13" s="248" t="s">
        <v>382</v>
      </c>
      <c r="D13" s="241" t="s">
        <v>383</v>
      </c>
      <c r="E13" s="242" t="str">
        <f>_xlfn.CONCAT(韻表_3[[#This Row],[平聲]:[入聲]])</f>
        <v>魚語御∅</v>
      </c>
      <c r="F13" s="251" t="s">
        <v>383</v>
      </c>
      <c r="G13" s="243" t="s">
        <v>999</v>
      </c>
      <c r="H13" s="243" t="s">
        <v>1001</v>
      </c>
      <c r="I13" s="243" t="s">
        <v>2138</v>
      </c>
      <c r="J13" s="239"/>
      <c r="K13" s="239"/>
      <c r="L13" s="244"/>
      <c r="M13" s="245"/>
      <c r="N13" s="244"/>
      <c r="O13" s="245"/>
      <c r="P13" s="244"/>
      <c r="Q13" s="245"/>
      <c r="R13" s="244" t="s">
        <v>2143</v>
      </c>
      <c r="S13" s="245"/>
      <c r="T13" s="244"/>
      <c r="U13" s="245"/>
      <c r="V13" s="244"/>
      <c r="W13" s="245"/>
      <c r="X13" s="244"/>
      <c r="Y13" s="245"/>
    </row>
    <row r="14" spans="2:25" ht="41.25" customHeight="1">
      <c r="B14" s="239">
        <v>10</v>
      </c>
      <c r="C14" s="248" t="s">
        <v>382</v>
      </c>
      <c r="D14" s="249" t="s">
        <v>390</v>
      </c>
      <c r="E14" s="242" t="str">
        <f>_xlfn.CONCAT(韻表_3[[#This Row],[平聲]:[入聲]])</f>
        <v>虞麌遇∅</v>
      </c>
      <c r="F14" s="243" t="s">
        <v>390</v>
      </c>
      <c r="G14" s="243" t="s">
        <v>1004</v>
      </c>
      <c r="H14" s="243" t="s">
        <v>382</v>
      </c>
      <c r="I14" s="243" t="s">
        <v>2138</v>
      </c>
      <c r="J14" s="239"/>
      <c r="K14" s="239"/>
      <c r="L14" s="246"/>
      <c r="M14" s="247"/>
      <c r="N14" s="246"/>
      <c r="O14" s="247"/>
      <c r="P14" s="246"/>
      <c r="Q14" s="247"/>
      <c r="R14" s="246" t="s">
        <v>2144</v>
      </c>
      <c r="S14" s="247"/>
      <c r="T14" s="246"/>
      <c r="U14" s="247"/>
      <c r="V14" s="246"/>
      <c r="W14" s="247"/>
      <c r="X14" s="246"/>
      <c r="Y14" s="247"/>
    </row>
    <row r="15" spans="2:25" ht="41.25" customHeight="1">
      <c r="B15" s="239">
        <v>11</v>
      </c>
      <c r="C15" s="248" t="s">
        <v>382</v>
      </c>
      <c r="D15" s="249" t="s">
        <v>386</v>
      </c>
      <c r="E15" s="242" t="str">
        <f>_xlfn.CONCAT(韻表_3[[#This Row],[平聲]:[入聲]])</f>
        <v>模姥暮∅</v>
      </c>
      <c r="F15" s="252" t="s">
        <v>386</v>
      </c>
      <c r="G15" s="252" t="s">
        <v>1008</v>
      </c>
      <c r="H15" s="252" t="s">
        <v>1010</v>
      </c>
      <c r="I15" s="252" t="s">
        <v>2138</v>
      </c>
      <c r="J15" s="239" t="s">
        <v>2145</v>
      </c>
      <c r="K15" s="239"/>
      <c r="L15" s="244"/>
      <c r="M15" s="245"/>
      <c r="N15" s="244"/>
      <c r="O15" s="245"/>
      <c r="P15" s="244"/>
      <c r="Q15" s="245"/>
      <c r="R15" s="244"/>
      <c r="S15" s="245"/>
      <c r="T15" s="244"/>
      <c r="U15" s="245"/>
      <c r="V15" s="244"/>
      <c r="W15" s="245"/>
      <c r="X15" s="244"/>
      <c r="Y15" s="245"/>
    </row>
    <row r="16" spans="2:25" ht="41.25" customHeight="1">
      <c r="B16" s="239">
        <v>12</v>
      </c>
      <c r="C16" s="248" t="s">
        <v>394</v>
      </c>
      <c r="D16" s="249" t="s">
        <v>452</v>
      </c>
      <c r="E16" s="242" t="str">
        <f>_xlfn.CONCAT(韻表_3[[#This Row],[平聲]:[入聲]])</f>
        <v>齊薺霽∅</v>
      </c>
      <c r="F16" s="252" t="s">
        <v>452</v>
      </c>
      <c r="G16" s="252" t="s">
        <v>1523</v>
      </c>
      <c r="H16" s="252" t="s">
        <v>1525</v>
      </c>
      <c r="I16" s="252" t="s">
        <v>2138</v>
      </c>
      <c r="J16" s="239"/>
      <c r="K16" s="239"/>
      <c r="L16" s="246"/>
      <c r="M16" s="247"/>
      <c r="N16" s="246"/>
      <c r="O16" s="247"/>
      <c r="P16" s="246"/>
      <c r="Q16" s="247"/>
      <c r="R16" s="246"/>
      <c r="S16" s="247"/>
      <c r="T16" s="246"/>
      <c r="U16" s="247"/>
      <c r="V16" s="246" t="s">
        <v>2146</v>
      </c>
      <c r="W16" s="247"/>
      <c r="X16" s="246" t="s">
        <v>2147</v>
      </c>
      <c r="Y16" s="247"/>
    </row>
    <row r="17" spans="2:25" ht="41.25" customHeight="1">
      <c r="B17" s="239">
        <v>13</v>
      </c>
      <c r="C17" s="248" t="s">
        <v>394</v>
      </c>
      <c r="D17" s="253" t="s">
        <v>420</v>
      </c>
      <c r="E17" s="242" t="str">
        <f>_xlfn.CONCAT(韻表_3[[#This Row],[平聲]:[入聲]])</f>
        <v>佳蟹卦∅</v>
      </c>
      <c r="F17" s="254" t="s">
        <v>420</v>
      </c>
      <c r="G17" s="252" t="s">
        <v>394</v>
      </c>
      <c r="H17" s="255" t="s">
        <v>1537</v>
      </c>
      <c r="I17" s="252" t="s">
        <v>2138</v>
      </c>
      <c r="J17" s="239"/>
      <c r="K17" s="239"/>
      <c r="L17" s="244"/>
      <c r="M17" s="245"/>
      <c r="N17" s="244" t="s">
        <v>2148</v>
      </c>
      <c r="O17" s="245"/>
      <c r="P17" s="244" t="s">
        <v>2149</v>
      </c>
      <c r="Q17" s="245"/>
      <c r="R17" s="244"/>
      <c r="S17" s="245"/>
      <c r="T17" s="244"/>
      <c r="U17" s="245"/>
      <c r="V17" s="244"/>
      <c r="W17" s="245"/>
      <c r="X17" s="244"/>
      <c r="Y17" s="245"/>
    </row>
    <row r="18" spans="2:25" ht="41.25" customHeight="1">
      <c r="B18" s="239">
        <v>14</v>
      </c>
      <c r="C18" s="248" t="s">
        <v>394</v>
      </c>
      <c r="D18" s="249" t="s">
        <v>428</v>
      </c>
      <c r="E18" s="242" t="str">
        <f>_xlfn.CONCAT(韻表_3[[#This Row],[平聲]:[入聲]])</f>
        <v>皆駭怪∅</v>
      </c>
      <c r="F18" s="252" t="s">
        <v>428</v>
      </c>
      <c r="G18" s="252" t="s">
        <v>1542</v>
      </c>
      <c r="H18" s="252" t="s">
        <v>1544</v>
      </c>
      <c r="I18" s="252" t="s">
        <v>2138</v>
      </c>
      <c r="J18" s="239"/>
      <c r="K18" s="239"/>
      <c r="L18" s="246"/>
      <c r="M18" s="247"/>
      <c r="N18" s="246" t="s">
        <v>2148</v>
      </c>
      <c r="O18" s="247"/>
      <c r="P18" s="246" t="s">
        <v>2150</v>
      </c>
      <c r="Q18" s="247"/>
      <c r="R18" s="246"/>
      <c r="S18" s="247"/>
      <c r="T18" s="246"/>
      <c r="U18" s="247"/>
      <c r="V18" s="246"/>
      <c r="W18" s="247"/>
      <c r="X18" s="246"/>
      <c r="Y18" s="247"/>
    </row>
    <row r="19" spans="2:25" ht="41.25" customHeight="1">
      <c r="B19" s="239">
        <v>15</v>
      </c>
      <c r="C19" s="248" t="s">
        <v>394</v>
      </c>
      <c r="D19" s="249" t="s">
        <v>463</v>
      </c>
      <c r="E19" s="242" t="str">
        <f>_xlfn.CONCAT(韻表_3[[#This Row],[平聲]:[入聲]])</f>
        <v>灰賄隊∅</v>
      </c>
      <c r="F19" s="252" t="s">
        <v>463</v>
      </c>
      <c r="G19" s="252" t="s">
        <v>1062</v>
      </c>
      <c r="H19" s="255" t="s">
        <v>1064</v>
      </c>
      <c r="I19" s="252" t="s">
        <v>2138</v>
      </c>
      <c r="J19" s="239"/>
      <c r="K19" s="239" t="s">
        <v>2151</v>
      </c>
      <c r="L19" s="244"/>
      <c r="M19" s="245"/>
      <c r="N19" s="244"/>
      <c r="O19" s="245"/>
      <c r="P19" s="244"/>
      <c r="Q19" s="245"/>
      <c r="R19" s="244"/>
      <c r="S19" s="245"/>
      <c r="T19" s="244"/>
      <c r="U19" s="245"/>
      <c r="V19" s="244"/>
      <c r="W19" s="245"/>
      <c r="X19" s="244"/>
      <c r="Y19" s="245"/>
    </row>
    <row r="20" spans="2:25" ht="41.25" customHeight="1">
      <c r="B20" s="239">
        <v>16</v>
      </c>
      <c r="C20" s="248" t="s">
        <v>394</v>
      </c>
      <c r="D20" s="249" t="s">
        <v>460</v>
      </c>
      <c r="E20" s="242" t="str">
        <f>_xlfn.CONCAT(韻表_3[[#This Row],[平聲]:[入聲]])</f>
        <v>咍海代∅</v>
      </c>
      <c r="F20" s="252" t="s">
        <v>460</v>
      </c>
      <c r="G20" s="252" t="s">
        <v>1067</v>
      </c>
      <c r="H20" s="252" t="s">
        <v>1069</v>
      </c>
      <c r="I20" s="252" t="s">
        <v>2138</v>
      </c>
      <c r="J20" s="239" t="s">
        <v>2148</v>
      </c>
      <c r="K20" s="239"/>
      <c r="L20" s="246"/>
      <c r="M20" s="247"/>
      <c r="N20" s="246"/>
      <c r="O20" s="247"/>
      <c r="P20" s="246"/>
      <c r="Q20" s="247"/>
      <c r="R20" s="246"/>
      <c r="S20" s="247"/>
      <c r="T20" s="246"/>
      <c r="U20" s="247"/>
      <c r="V20" s="246"/>
      <c r="W20" s="247"/>
      <c r="X20" s="246"/>
      <c r="Y20" s="247"/>
    </row>
    <row r="21" spans="2:25" ht="41.25" customHeight="1">
      <c r="B21" s="239">
        <v>17</v>
      </c>
      <c r="C21" s="248" t="s">
        <v>466</v>
      </c>
      <c r="D21" s="249" t="s">
        <v>1072</v>
      </c>
      <c r="E21" s="242" t="str">
        <f>_xlfn.CONCAT(韻表_3[[#This Row],[平聲]:[入聲]])</f>
        <v>真軫震質</v>
      </c>
      <c r="F21" s="252" t="s">
        <v>1072</v>
      </c>
      <c r="G21" s="252" t="s">
        <v>1074</v>
      </c>
      <c r="H21" s="252" t="s">
        <v>1076</v>
      </c>
      <c r="I21" s="252" t="s">
        <v>1078</v>
      </c>
      <c r="J21" s="239"/>
      <c r="K21" s="239"/>
      <c r="L21" s="244"/>
      <c r="M21" s="245"/>
      <c r="N21" s="244"/>
      <c r="O21" s="245"/>
      <c r="P21" s="244"/>
      <c r="Q21" s="245"/>
      <c r="R21" s="244" t="s">
        <v>2152</v>
      </c>
      <c r="S21" s="245" t="s">
        <v>2153</v>
      </c>
      <c r="T21" s="244"/>
      <c r="U21" s="245"/>
      <c r="V21" s="244"/>
      <c r="W21" s="245"/>
      <c r="X21" s="244"/>
      <c r="Y21" s="245"/>
    </row>
    <row r="22" spans="2:25" ht="41.25" customHeight="1">
      <c r="B22" s="239">
        <v>18</v>
      </c>
      <c r="C22" s="248" t="s">
        <v>466</v>
      </c>
      <c r="D22" s="249" t="s">
        <v>482</v>
      </c>
      <c r="E22" s="242" t="str">
        <f>_xlfn.CONCAT(韻表_3[[#This Row],[平聲]:[入聲]])</f>
        <v>諄準稕術</v>
      </c>
      <c r="F22" s="252" t="s">
        <v>482</v>
      </c>
      <c r="G22" s="252" t="s">
        <v>1081</v>
      </c>
      <c r="H22" s="252" t="s">
        <v>1083</v>
      </c>
      <c r="I22" s="252" t="s">
        <v>569</v>
      </c>
      <c r="J22" s="239"/>
      <c r="K22" s="239"/>
      <c r="L22" s="246"/>
      <c r="M22" s="247"/>
      <c r="N22" s="246"/>
      <c r="O22" s="247"/>
      <c r="P22" s="246"/>
      <c r="Q22" s="247"/>
      <c r="R22" s="246" t="s">
        <v>2154</v>
      </c>
      <c r="S22" s="247" t="s">
        <v>2155</v>
      </c>
      <c r="T22" s="246"/>
      <c r="U22" s="247"/>
      <c r="V22" s="246"/>
      <c r="W22" s="247"/>
      <c r="X22" s="246"/>
      <c r="Y22" s="247"/>
    </row>
    <row r="23" spans="2:25" ht="41.25" customHeight="1">
      <c r="B23" s="239">
        <v>19</v>
      </c>
      <c r="C23" s="248" t="s">
        <v>466</v>
      </c>
      <c r="D23" s="249" t="s">
        <v>466</v>
      </c>
      <c r="E23" s="242" t="str">
        <f>_xlfn.CONCAT(韻表_3[[#This Row],[平聲]:[入聲]])</f>
        <v>臻∅齔櫛</v>
      </c>
      <c r="F23" s="252" t="s">
        <v>466</v>
      </c>
      <c r="G23" s="252" t="s">
        <v>2138</v>
      </c>
      <c r="H23" s="252" t="s">
        <v>1087</v>
      </c>
      <c r="I23" s="252" t="s">
        <v>566</v>
      </c>
      <c r="J23" s="239"/>
      <c r="K23" s="239"/>
      <c r="L23" s="244"/>
      <c r="M23" s="245"/>
      <c r="N23" s="244" t="s">
        <v>2152</v>
      </c>
      <c r="O23" s="245" t="s">
        <v>2153</v>
      </c>
      <c r="P23" s="244"/>
      <c r="Q23" s="245"/>
      <c r="R23" s="244"/>
      <c r="S23" s="245"/>
      <c r="T23" s="244"/>
      <c r="U23" s="245"/>
      <c r="V23" s="244"/>
      <c r="W23" s="245"/>
      <c r="X23" s="244"/>
      <c r="Y23" s="245"/>
    </row>
    <row r="24" spans="2:25" ht="41.25" customHeight="1">
      <c r="B24" s="239">
        <v>20</v>
      </c>
      <c r="C24" s="248" t="s">
        <v>466</v>
      </c>
      <c r="D24" s="249" t="s">
        <v>498</v>
      </c>
      <c r="E24" s="242" t="str">
        <f>_xlfn.CONCAT(韻表_3[[#This Row],[平聲]:[入聲]])</f>
        <v>文吻問物</v>
      </c>
      <c r="F24" s="252" t="s">
        <v>498</v>
      </c>
      <c r="G24" s="252" t="s">
        <v>1091</v>
      </c>
      <c r="H24" s="255" t="s">
        <v>1093</v>
      </c>
      <c r="I24" s="255" t="s">
        <v>584</v>
      </c>
      <c r="J24" s="239"/>
      <c r="K24" s="239"/>
      <c r="L24" s="246"/>
      <c r="M24" s="247"/>
      <c r="N24" s="246"/>
      <c r="O24" s="247"/>
      <c r="P24" s="246"/>
      <c r="Q24" s="247"/>
      <c r="R24" s="246" t="s">
        <v>2154</v>
      </c>
      <c r="S24" s="247" t="s">
        <v>2155</v>
      </c>
      <c r="T24" s="246"/>
      <c r="U24" s="247"/>
      <c r="V24" s="246"/>
      <c r="W24" s="247"/>
      <c r="X24" s="246"/>
      <c r="Y24" s="247"/>
    </row>
    <row r="25" spans="2:25" ht="41.25" customHeight="1">
      <c r="B25" s="239">
        <v>21</v>
      </c>
      <c r="C25" s="248" t="s">
        <v>466</v>
      </c>
      <c r="D25" s="249" t="s">
        <v>2156</v>
      </c>
      <c r="E25" s="242" t="str">
        <f>_xlfn.CONCAT(韻表_3[[#This Row],[平聲]:[入聲]])</f>
        <v>殷隱焮迄</v>
      </c>
      <c r="F25" s="256" t="s">
        <v>1096</v>
      </c>
      <c r="G25" s="254" t="s">
        <v>1098</v>
      </c>
      <c r="H25" s="256" t="s">
        <v>1100</v>
      </c>
      <c r="I25" s="252" t="s">
        <v>581</v>
      </c>
      <c r="J25" s="239"/>
      <c r="K25" s="239"/>
      <c r="L25" s="244"/>
      <c r="M25" s="245"/>
      <c r="N25" s="244"/>
      <c r="O25" s="245"/>
      <c r="P25" s="244"/>
      <c r="Q25" s="245"/>
      <c r="R25" s="244" t="s">
        <v>2152</v>
      </c>
      <c r="S25" s="245" t="s">
        <v>2153</v>
      </c>
      <c r="T25" s="244"/>
      <c r="U25" s="245"/>
      <c r="V25" s="244"/>
      <c r="W25" s="245"/>
      <c r="X25" s="244"/>
      <c r="Y25" s="245"/>
    </row>
    <row r="26" spans="2:25" ht="41.25" customHeight="1">
      <c r="B26" s="239">
        <v>22</v>
      </c>
      <c r="C26" s="248" t="s">
        <v>466</v>
      </c>
      <c r="D26" s="249" t="s">
        <v>510</v>
      </c>
      <c r="E26" s="242" t="str">
        <f>_xlfn.CONCAT(韻表_3[[#This Row],[平聲]:[入聲]])</f>
        <v>元阮願月</v>
      </c>
      <c r="F26" s="252" t="s">
        <v>510</v>
      </c>
      <c r="G26" s="252" t="s">
        <v>1586</v>
      </c>
      <c r="H26" s="252" t="s">
        <v>1588</v>
      </c>
      <c r="I26" s="255" t="s">
        <v>1590</v>
      </c>
      <c r="J26" s="239"/>
      <c r="K26" s="239"/>
      <c r="L26" s="246"/>
      <c r="M26" s="247"/>
      <c r="N26" s="246"/>
      <c r="O26" s="247"/>
      <c r="P26" s="246"/>
      <c r="Q26" s="247"/>
      <c r="R26" s="246" t="s">
        <v>2157</v>
      </c>
      <c r="S26" s="247" t="s">
        <v>2158</v>
      </c>
      <c r="T26" s="246" t="s">
        <v>2159</v>
      </c>
      <c r="U26" s="247" t="s">
        <v>2160</v>
      </c>
      <c r="V26" s="246"/>
      <c r="W26" s="247"/>
      <c r="X26" s="246"/>
      <c r="Y26" s="247"/>
    </row>
    <row r="27" spans="2:25" ht="41.25" customHeight="1">
      <c r="B27" s="239">
        <v>23</v>
      </c>
      <c r="C27" s="248" t="s">
        <v>466</v>
      </c>
      <c r="D27" s="249" t="s">
        <v>492</v>
      </c>
      <c r="E27" s="242" t="str">
        <f>_xlfn.CONCAT(韻表_3[[#This Row],[平聲]:[入聲]])</f>
        <v>魂混慁沒</v>
      </c>
      <c r="F27" s="252" t="s">
        <v>492</v>
      </c>
      <c r="G27" s="252" t="s">
        <v>1120</v>
      </c>
      <c r="H27" s="252" t="s">
        <v>1122</v>
      </c>
      <c r="I27" s="252" t="s">
        <v>578</v>
      </c>
      <c r="J27" s="239" t="s">
        <v>2154</v>
      </c>
      <c r="K27" s="239" t="s">
        <v>2155</v>
      </c>
      <c r="L27" s="244"/>
      <c r="M27" s="245"/>
      <c r="N27" s="244"/>
      <c r="O27" s="245"/>
      <c r="P27" s="244"/>
      <c r="Q27" s="245"/>
      <c r="R27" s="244"/>
      <c r="S27" s="245"/>
      <c r="T27" s="244"/>
      <c r="U27" s="245"/>
      <c r="V27" s="244"/>
      <c r="W27" s="245"/>
      <c r="X27" s="244"/>
      <c r="Y27" s="245"/>
    </row>
    <row r="28" spans="2:25" ht="41.25" customHeight="1">
      <c r="B28" s="239">
        <v>24</v>
      </c>
      <c r="C28" s="248" t="s">
        <v>466</v>
      </c>
      <c r="D28" s="249" t="s">
        <v>488</v>
      </c>
      <c r="E28" s="242" t="str">
        <f>_xlfn.CONCAT(韻表_3[[#This Row],[平聲]:[入聲]])</f>
        <v>痕很恨∅</v>
      </c>
      <c r="F28" s="252" t="s">
        <v>488</v>
      </c>
      <c r="G28" s="252" t="s">
        <v>1126</v>
      </c>
      <c r="H28" s="255" t="s">
        <v>1128</v>
      </c>
      <c r="I28" s="252" t="s">
        <v>2138</v>
      </c>
      <c r="J28" s="239" t="s">
        <v>2161</v>
      </c>
      <c r="K28" s="239"/>
      <c r="L28" s="246"/>
      <c r="M28" s="247"/>
      <c r="N28" s="246"/>
      <c r="O28" s="247"/>
      <c r="P28" s="246"/>
      <c r="Q28" s="247"/>
      <c r="R28" s="246"/>
      <c r="S28" s="247"/>
      <c r="T28" s="246"/>
      <c r="U28" s="247"/>
      <c r="V28" s="246"/>
      <c r="W28" s="247"/>
      <c r="X28" s="246"/>
      <c r="Y28" s="247"/>
    </row>
    <row r="29" spans="2:25" ht="41.25" customHeight="1">
      <c r="B29" s="239">
        <v>25</v>
      </c>
      <c r="C29" s="240" t="s">
        <v>501</v>
      </c>
      <c r="D29" s="249" t="s">
        <v>502</v>
      </c>
      <c r="E29" s="242" t="str">
        <f>_xlfn.CONCAT(韻表_3[[#This Row],[平聲]:[入聲]])</f>
        <v>寒旱翰曷</v>
      </c>
      <c r="F29" s="255" t="s">
        <v>502</v>
      </c>
      <c r="G29" s="252" t="s">
        <v>1131</v>
      </c>
      <c r="H29" s="252" t="s">
        <v>1133</v>
      </c>
      <c r="I29" s="252" t="s">
        <v>587</v>
      </c>
      <c r="J29" s="239" t="s">
        <v>2162</v>
      </c>
      <c r="K29" s="239" t="s">
        <v>2163</v>
      </c>
      <c r="L29" s="244"/>
      <c r="M29" s="245"/>
      <c r="N29" s="244"/>
      <c r="O29" s="245"/>
      <c r="P29" s="244"/>
      <c r="Q29" s="245"/>
      <c r="R29" s="244"/>
      <c r="S29" s="245"/>
      <c r="T29" s="244"/>
      <c r="U29" s="245"/>
      <c r="V29" s="244"/>
      <c r="W29" s="245"/>
      <c r="X29" s="244"/>
      <c r="Y29" s="245"/>
    </row>
    <row r="30" spans="2:25" ht="41.25" customHeight="1">
      <c r="B30" s="239">
        <v>26</v>
      </c>
      <c r="C30" s="240" t="s">
        <v>501</v>
      </c>
      <c r="D30" s="249" t="s">
        <v>506</v>
      </c>
      <c r="E30" s="242" t="str">
        <f>_xlfn.CONCAT(韻表_3[[#This Row],[平聲]:[入聲]])</f>
        <v>桓緩換末</v>
      </c>
      <c r="F30" s="252" t="s">
        <v>506</v>
      </c>
      <c r="G30" s="252" t="s">
        <v>1137</v>
      </c>
      <c r="H30" s="255" t="s">
        <v>1139</v>
      </c>
      <c r="I30" s="252" t="s">
        <v>591</v>
      </c>
      <c r="J30" s="239"/>
      <c r="K30" s="239"/>
      <c r="L30" s="246"/>
      <c r="M30" s="247"/>
      <c r="N30" s="246" t="s">
        <v>2159</v>
      </c>
      <c r="O30" s="247" t="s">
        <v>2160</v>
      </c>
      <c r="P30" s="246"/>
      <c r="Q30" s="247"/>
      <c r="R30" s="246"/>
      <c r="S30" s="247"/>
      <c r="T30" s="246"/>
      <c r="U30" s="247"/>
      <c r="V30" s="246"/>
      <c r="W30" s="247"/>
      <c r="X30" s="246"/>
      <c r="Y30" s="247"/>
    </row>
    <row r="31" spans="2:25" ht="41.25" customHeight="1">
      <c r="B31" s="239">
        <v>27</v>
      </c>
      <c r="C31" s="240" t="s">
        <v>501</v>
      </c>
      <c r="D31" s="249" t="s">
        <v>518</v>
      </c>
      <c r="E31" s="242" t="str">
        <f>_xlfn.CONCAT(韻表_3[[#This Row],[平聲]:[入聲]])</f>
        <v>刪潸諫黠</v>
      </c>
      <c r="F31" s="252" t="s">
        <v>518</v>
      </c>
      <c r="G31" s="252" t="s">
        <v>1615</v>
      </c>
      <c r="H31" s="252" t="s">
        <v>1617</v>
      </c>
      <c r="I31" s="252" t="s">
        <v>1619</v>
      </c>
      <c r="J31" s="239"/>
      <c r="K31" s="239"/>
      <c r="L31" s="244"/>
      <c r="M31" s="245"/>
      <c r="N31" s="244" t="s">
        <v>2162</v>
      </c>
      <c r="O31" s="245" t="s">
        <v>2163</v>
      </c>
      <c r="P31" s="244" t="s">
        <v>2159</v>
      </c>
      <c r="Q31" s="245" t="s">
        <v>2160</v>
      </c>
      <c r="R31" s="244"/>
      <c r="S31" s="245"/>
      <c r="T31" s="244"/>
      <c r="U31" s="245"/>
      <c r="V31" s="244"/>
      <c r="W31" s="245"/>
      <c r="X31" s="244"/>
      <c r="Y31" s="245"/>
    </row>
    <row r="32" spans="2:25" ht="41.25" customHeight="1">
      <c r="B32" s="239">
        <v>28</v>
      </c>
      <c r="C32" s="240" t="s">
        <v>501</v>
      </c>
      <c r="D32" s="241" t="s">
        <v>501</v>
      </c>
      <c r="E32" s="242" t="str">
        <f>_xlfn.CONCAT(韻表_3[[#This Row],[平聲]:[入聲]])</f>
        <v>山產襇鎋</v>
      </c>
      <c r="F32" s="255" t="s">
        <v>501</v>
      </c>
      <c r="G32" s="252" t="s">
        <v>1624</v>
      </c>
      <c r="H32" s="255" t="s">
        <v>1626</v>
      </c>
      <c r="I32" s="252" t="s">
        <v>1628</v>
      </c>
      <c r="J32" s="239"/>
      <c r="K32" s="239"/>
      <c r="L32" s="246"/>
      <c r="M32" s="247"/>
      <c r="N32" s="246" t="s">
        <v>503</v>
      </c>
      <c r="O32" s="247" t="s">
        <v>588</v>
      </c>
      <c r="P32" s="246" t="s">
        <v>507</v>
      </c>
      <c r="Q32" s="247" t="s">
        <v>592</v>
      </c>
      <c r="R32" s="246"/>
      <c r="S32" s="247"/>
      <c r="T32" s="246"/>
      <c r="U32" s="247"/>
      <c r="V32" s="246"/>
      <c r="W32" s="247"/>
      <c r="X32" s="246"/>
      <c r="Y32" s="247"/>
    </row>
    <row r="33" spans="2:25" ht="41.25" customHeight="1">
      <c r="B33" s="239">
        <v>29</v>
      </c>
      <c r="C33" s="240" t="s">
        <v>501</v>
      </c>
      <c r="D33" s="241" t="s">
        <v>548</v>
      </c>
      <c r="E33" s="242" t="str">
        <f>_xlfn.CONCAT(韻表_3[[#This Row],[平聲]:[入聲]])</f>
        <v>先銑霰屑</v>
      </c>
      <c r="F33" s="255" t="s">
        <v>548</v>
      </c>
      <c r="G33" s="252" t="s">
        <v>1634</v>
      </c>
      <c r="H33" s="252" t="s">
        <v>1636</v>
      </c>
      <c r="I33" s="255" t="s">
        <v>1638</v>
      </c>
      <c r="J33" s="239"/>
      <c r="K33" s="239"/>
      <c r="L33" s="244"/>
      <c r="M33" s="245"/>
      <c r="N33" s="244"/>
      <c r="O33" s="245"/>
      <c r="P33" s="244"/>
      <c r="Q33" s="245"/>
      <c r="R33" s="244"/>
      <c r="S33" s="245"/>
      <c r="T33" s="244"/>
      <c r="U33" s="245"/>
      <c r="V33" s="244" t="s">
        <v>2157</v>
      </c>
      <c r="W33" s="245" t="s">
        <v>2158</v>
      </c>
      <c r="X33" s="244"/>
      <c r="Y33" s="245"/>
    </row>
    <row r="34" spans="2:25" ht="41.25" customHeight="1">
      <c r="B34" s="239">
        <v>30</v>
      </c>
      <c r="C34" s="240" t="s">
        <v>501</v>
      </c>
      <c r="D34" s="249" t="s">
        <v>531</v>
      </c>
      <c r="E34" s="242" t="str">
        <f>_xlfn.CONCAT(韻表_3[[#This Row],[平聲]:[入聲]])</f>
        <v>仙獮線薛</v>
      </c>
      <c r="F34" s="252" t="s">
        <v>531</v>
      </c>
      <c r="G34" s="252" t="s">
        <v>1643</v>
      </c>
      <c r="H34" s="255" t="s">
        <v>1645</v>
      </c>
      <c r="I34" s="254" t="s">
        <v>1647</v>
      </c>
      <c r="J34" s="239"/>
      <c r="K34" s="239"/>
      <c r="L34" s="246"/>
      <c r="M34" s="247"/>
      <c r="N34" s="246"/>
      <c r="O34" s="247"/>
      <c r="P34" s="246"/>
      <c r="Q34" s="247"/>
      <c r="R34" s="246" t="s">
        <v>2157</v>
      </c>
      <c r="S34" s="247" t="s">
        <v>2158</v>
      </c>
      <c r="T34" s="246" t="s">
        <v>2159</v>
      </c>
      <c r="U34" s="247" t="s">
        <v>2160</v>
      </c>
      <c r="V34" s="246"/>
      <c r="W34" s="247"/>
      <c r="X34" s="246"/>
      <c r="Y34" s="247"/>
    </row>
    <row r="35" spans="2:25" ht="41.25" customHeight="1">
      <c r="B35" s="239">
        <v>31</v>
      </c>
      <c r="C35" s="248" t="s">
        <v>634</v>
      </c>
      <c r="D35" s="249" t="s">
        <v>651</v>
      </c>
      <c r="E35" s="242" t="str">
        <f>_xlfn.CONCAT(韻表_3[[#This Row],[平聲]:[入聲]])</f>
        <v>蕭篠嘯∅</v>
      </c>
      <c r="F35" s="252" t="s">
        <v>651</v>
      </c>
      <c r="G35" s="252" t="s">
        <v>1203</v>
      </c>
      <c r="H35" s="252" t="s">
        <v>1205</v>
      </c>
      <c r="I35" s="252" t="s">
        <v>2138</v>
      </c>
      <c r="J35" s="239"/>
      <c r="K35" s="239"/>
      <c r="L35" s="244"/>
      <c r="M35" s="245"/>
      <c r="N35" s="244"/>
      <c r="O35" s="245"/>
      <c r="P35" s="244"/>
      <c r="Q35" s="245"/>
      <c r="R35" s="244"/>
      <c r="S35" s="245"/>
      <c r="T35" s="244"/>
      <c r="U35" s="245"/>
      <c r="V35" s="244" t="s">
        <v>2164</v>
      </c>
      <c r="W35" s="245"/>
      <c r="X35" s="244"/>
      <c r="Y35" s="245"/>
    </row>
    <row r="36" spans="2:25" ht="41.25" customHeight="1">
      <c r="B36" s="239">
        <v>32</v>
      </c>
      <c r="C36" s="248" t="s">
        <v>634</v>
      </c>
      <c r="D36" s="249" t="s">
        <v>643</v>
      </c>
      <c r="E36" s="242" t="str">
        <f>_xlfn.CONCAT(韻表_3[[#This Row],[平聲]:[入聲]])</f>
        <v>宵小笑∅</v>
      </c>
      <c r="F36" s="252" t="s">
        <v>643</v>
      </c>
      <c r="G36" s="257" t="s">
        <v>1208</v>
      </c>
      <c r="H36" s="255" t="s">
        <v>1210</v>
      </c>
      <c r="I36" s="252" t="s">
        <v>2138</v>
      </c>
      <c r="J36" s="239"/>
      <c r="K36" s="239"/>
      <c r="L36" s="246"/>
      <c r="M36" s="247"/>
      <c r="N36" s="246"/>
      <c r="O36" s="247"/>
      <c r="P36" s="246"/>
      <c r="Q36" s="247"/>
      <c r="R36" s="246" t="s">
        <v>2164</v>
      </c>
      <c r="S36" s="247"/>
      <c r="T36" s="246"/>
      <c r="U36" s="247"/>
      <c r="V36" s="246"/>
      <c r="W36" s="247"/>
      <c r="X36" s="246"/>
      <c r="Y36" s="247"/>
    </row>
    <row r="37" spans="2:25" ht="41.25" customHeight="1">
      <c r="B37" s="239">
        <v>33</v>
      </c>
      <c r="C37" s="248" t="s">
        <v>634</v>
      </c>
      <c r="D37" s="249" t="s">
        <v>639</v>
      </c>
      <c r="E37" s="242" t="str">
        <f>_xlfn.CONCAT(韻表_3[[#This Row],[平聲]:[入聲]])</f>
        <v>肴巧效∅</v>
      </c>
      <c r="F37" s="252" t="s">
        <v>639</v>
      </c>
      <c r="G37" s="254" t="s">
        <v>1213</v>
      </c>
      <c r="H37" s="252" t="s">
        <v>634</v>
      </c>
      <c r="I37" s="252" t="s">
        <v>2138</v>
      </c>
      <c r="J37" s="239"/>
      <c r="K37" s="239"/>
      <c r="L37" s="244"/>
      <c r="M37" s="245"/>
      <c r="N37" s="244" t="s">
        <v>2165</v>
      </c>
      <c r="O37" s="245"/>
      <c r="P37" s="244"/>
      <c r="Q37" s="245"/>
      <c r="R37" s="244"/>
      <c r="S37" s="245"/>
      <c r="T37" s="244"/>
      <c r="U37" s="245"/>
      <c r="V37" s="244"/>
      <c r="W37" s="245"/>
      <c r="X37" s="244"/>
      <c r="Y37" s="245"/>
    </row>
    <row r="38" spans="2:25" ht="41.25" customHeight="1">
      <c r="B38" s="239">
        <v>34</v>
      </c>
      <c r="C38" s="248" t="s">
        <v>634</v>
      </c>
      <c r="D38" s="249" t="s">
        <v>635</v>
      </c>
      <c r="E38" s="242" t="str">
        <f>_xlfn.CONCAT(韻表_3[[#This Row],[平聲]:[入聲]])</f>
        <v>豪晧号∅</v>
      </c>
      <c r="F38" s="252" t="s">
        <v>635</v>
      </c>
      <c r="G38" s="252" t="s">
        <v>1217</v>
      </c>
      <c r="H38" s="252" t="s">
        <v>1219</v>
      </c>
      <c r="I38" s="252" t="s">
        <v>2138</v>
      </c>
      <c r="J38" s="239" t="s">
        <v>2166</v>
      </c>
      <c r="K38" s="239"/>
      <c r="L38" s="246"/>
      <c r="M38" s="247"/>
      <c r="N38" s="246"/>
      <c r="O38" s="247"/>
      <c r="P38" s="246"/>
      <c r="Q38" s="247"/>
      <c r="R38" s="246"/>
      <c r="S38" s="247"/>
      <c r="T38" s="246"/>
      <c r="U38" s="247"/>
      <c r="V38" s="246"/>
      <c r="W38" s="247"/>
      <c r="X38" s="246"/>
      <c r="Y38" s="247"/>
    </row>
    <row r="39" spans="2:25" ht="41.25" customHeight="1">
      <c r="B39" s="239">
        <v>35</v>
      </c>
      <c r="C39" s="248" t="s">
        <v>653</v>
      </c>
      <c r="D39" s="249" t="s">
        <v>654</v>
      </c>
      <c r="E39" s="242" t="str">
        <f>_xlfn.CONCAT(韻表_3[[#This Row],[平聲]:[入聲]])</f>
        <v>歌哿箇∅</v>
      </c>
      <c r="F39" s="252" t="s">
        <v>654</v>
      </c>
      <c r="G39" s="252" t="s">
        <v>1222</v>
      </c>
      <c r="H39" s="252" t="s">
        <v>1224</v>
      </c>
      <c r="I39" s="252" t="s">
        <v>2138</v>
      </c>
      <c r="J39" s="239" t="s">
        <v>2167</v>
      </c>
      <c r="K39" s="239"/>
      <c r="L39" s="244"/>
      <c r="M39" s="245"/>
      <c r="N39" s="244"/>
      <c r="O39" s="245"/>
      <c r="P39" s="244"/>
      <c r="Q39" s="245"/>
      <c r="R39" s="244"/>
      <c r="S39" s="245"/>
      <c r="T39" s="244"/>
      <c r="U39" s="245"/>
      <c r="V39" s="244"/>
      <c r="W39" s="245"/>
      <c r="X39" s="244"/>
      <c r="Y39" s="245"/>
    </row>
    <row r="40" spans="2:25" ht="41.25" customHeight="1">
      <c r="B40" s="239">
        <v>36</v>
      </c>
      <c r="C40" s="248" t="s">
        <v>653</v>
      </c>
      <c r="D40" s="249" t="s">
        <v>658</v>
      </c>
      <c r="E40" s="242" t="str">
        <f>_xlfn.CONCAT(韻表_3[[#This Row],[平聲]:[入聲]])</f>
        <v>戈果過∅</v>
      </c>
      <c r="F40" s="252" t="s">
        <v>658</v>
      </c>
      <c r="G40" s="252" t="s">
        <v>653</v>
      </c>
      <c r="H40" s="252" t="s">
        <v>1673</v>
      </c>
      <c r="I40" s="252" t="s">
        <v>2138</v>
      </c>
      <c r="J40" s="239" t="s">
        <v>2167</v>
      </c>
      <c r="K40" s="239"/>
      <c r="L40" s="246"/>
      <c r="M40" s="247"/>
      <c r="N40" s="246"/>
      <c r="O40" s="247"/>
      <c r="P40" s="246"/>
      <c r="Q40" s="247"/>
      <c r="R40" s="246"/>
      <c r="S40" s="247"/>
      <c r="T40" s="246"/>
      <c r="U40" s="247"/>
      <c r="V40" s="246"/>
      <c r="W40" s="247"/>
      <c r="X40" s="246"/>
      <c r="Y40" s="247"/>
    </row>
    <row r="41" spans="2:25" ht="41.25" customHeight="1">
      <c r="B41" s="239">
        <v>37</v>
      </c>
      <c r="C41" s="248" t="s">
        <v>668</v>
      </c>
      <c r="D41" s="249" t="s">
        <v>669</v>
      </c>
      <c r="E41" s="242" t="str">
        <f>_xlfn.CONCAT(韻表_3[[#This Row],[平聲]:[入聲]])</f>
        <v>麻馬禡∅</v>
      </c>
      <c r="F41" s="252" t="s">
        <v>669</v>
      </c>
      <c r="G41" s="255" t="s">
        <v>1679</v>
      </c>
      <c r="H41" s="252" t="s">
        <v>1681</v>
      </c>
      <c r="I41" s="252" t="s">
        <v>2138</v>
      </c>
      <c r="J41" s="239"/>
      <c r="K41" s="239"/>
      <c r="L41" s="244"/>
      <c r="M41" s="245"/>
      <c r="N41" s="244" t="s">
        <v>2168</v>
      </c>
      <c r="O41" s="245"/>
      <c r="P41" s="244" t="s">
        <v>2149</v>
      </c>
      <c r="Q41" s="245"/>
      <c r="R41" s="244" t="s">
        <v>2169</v>
      </c>
      <c r="S41" s="245"/>
      <c r="T41" s="244"/>
      <c r="U41" s="245"/>
      <c r="V41" s="244"/>
      <c r="W41" s="245"/>
      <c r="X41" s="244"/>
      <c r="Y41" s="245"/>
    </row>
    <row r="42" spans="2:25" ht="41.25" customHeight="1">
      <c r="B42" s="239">
        <v>38</v>
      </c>
      <c r="C42" s="248" t="s">
        <v>681</v>
      </c>
      <c r="D42" s="249" t="s">
        <v>689</v>
      </c>
      <c r="E42" s="242" t="str">
        <f>_xlfn.CONCAT(韻表_3[[#This Row],[平聲]:[入聲]])</f>
        <v>陽養漾藥</v>
      </c>
      <c r="F42" s="252" t="s">
        <v>689</v>
      </c>
      <c r="G42" s="252" t="s">
        <v>1687</v>
      </c>
      <c r="H42" s="252" t="s">
        <v>1689</v>
      </c>
      <c r="I42" s="255" t="s">
        <v>1691</v>
      </c>
      <c r="J42" s="239"/>
      <c r="K42" s="239"/>
      <c r="L42" s="246"/>
      <c r="M42" s="247"/>
      <c r="N42" s="246"/>
      <c r="O42" s="247"/>
      <c r="P42" s="246"/>
      <c r="Q42" s="247"/>
      <c r="R42" s="246" t="s">
        <v>2135</v>
      </c>
      <c r="S42" s="247" t="s">
        <v>2136</v>
      </c>
      <c r="T42" s="246"/>
      <c r="U42" s="247"/>
      <c r="V42" s="246"/>
      <c r="W42" s="247"/>
      <c r="X42" s="246"/>
      <c r="Y42" s="247"/>
    </row>
    <row r="43" spans="2:25" ht="41.25" customHeight="1">
      <c r="B43" s="239">
        <v>39</v>
      </c>
      <c r="C43" s="248" t="s">
        <v>681</v>
      </c>
      <c r="D43" s="249" t="s">
        <v>682</v>
      </c>
      <c r="E43" s="242" t="str">
        <f>_xlfn.CONCAT(韻表_3[[#This Row],[平聲]:[入聲]])</f>
        <v>唐蕩宕鐸</v>
      </c>
      <c r="F43" s="252" t="s">
        <v>682</v>
      </c>
      <c r="G43" s="252" t="s">
        <v>1696</v>
      </c>
      <c r="H43" s="252" t="s">
        <v>681</v>
      </c>
      <c r="I43" s="252" t="s">
        <v>1699</v>
      </c>
      <c r="J43" s="239"/>
      <c r="K43" s="239"/>
      <c r="L43" s="244"/>
      <c r="M43" s="245"/>
      <c r="N43" s="244"/>
      <c r="O43" s="245"/>
      <c r="P43" s="244"/>
      <c r="Q43" s="245"/>
      <c r="R43" s="244" t="s">
        <v>2133</v>
      </c>
      <c r="S43" s="245" t="s">
        <v>2134</v>
      </c>
      <c r="T43" s="244"/>
      <c r="U43" s="245"/>
      <c r="V43" s="244"/>
      <c r="W43" s="245"/>
      <c r="X43" s="244"/>
      <c r="Y43" s="245"/>
    </row>
    <row r="44" spans="2:25" ht="41.25" customHeight="1">
      <c r="B44" s="239">
        <v>40</v>
      </c>
      <c r="C44" s="248" t="s">
        <v>696</v>
      </c>
      <c r="D44" s="241" t="s">
        <v>697</v>
      </c>
      <c r="E44" s="242" t="str">
        <f>_xlfn.CONCAT(韻表_3[[#This Row],[平聲]:[入聲]])</f>
        <v>庚梗敬陌</v>
      </c>
      <c r="F44" s="255" t="s">
        <v>697</v>
      </c>
      <c r="G44" s="252" t="s">
        <v>696</v>
      </c>
      <c r="H44" s="252" t="s">
        <v>1705</v>
      </c>
      <c r="I44" s="258" t="s">
        <v>1707</v>
      </c>
      <c r="J44" s="239"/>
      <c r="K44" s="239"/>
      <c r="L44" s="246"/>
      <c r="M44" s="247"/>
      <c r="N44" s="246" t="s">
        <v>2170</v>
      </c>
      <c r="O44" s="247" t="s">
        <v>2171</v>
      </c>
      <c r="P44" s="246"/>
      <c r="Q44" s="247"/>
      <c r="R44" s="246"/>
      <c r="S44" s="247"/>
      <c r="T44" s="246"/>
      <c r="U44" s="247"/>
      <c r="V44" s="246"/>
      <c r="W44" s="247"/>
      <c r="X44" s="246"/>
      <c r="Y44" s="247"/>
    </row>
    <row r="45" spans="2:25" ht="41.25" customHeight="1">
      <c r="B45" s="239">
        <v>41</v>
      </c>
      <c r="C45" s="248" t="s">
        <v>696</v>
      </c>
      <c r="D45" s="249" t="s">
        <v>711</v>
      </c>
      <c r="E45" s="242" t="str">
        <f>_xlfn.CONCAT(韻表_3[[#This Row],[平聲]:[入聲]])</f>
        <v>耕耿諍麥</v>
      </c>
      <c r="F45" s="252" t="s">
        <v>711</v>
      </c>
      <c r="G45" s="252" t="s">
        <v>1714</v>
      </c>
      <c r="H45" s="254" t="s">
        <v>1716</v>
      </c>
      <c r="I45" s="255" t="s">
        <v>1718</v>
      </c>
      <c r="J45" s="239"/>
      <c r="K45" s="239"/>
      <c r="L45" s="244"/>
      <c r="M45" s="245"/>
      <c r="N45" s="244" t="s">
        <v>699</v>
      </c>
      <c r="O45" s="245" t="s">
        <v>760</v>
      </c>
      <c r="P45" s="244"/>
      <c r="Q45" s="245"/>
      <c r="R45" s="244"/>
      <c r="S45" s="245"/>
      <c r="T45" s="244"/>
      <c r="U45" s="245"/>
      <c r="V45" s="244"/>
      <c r="W45" s="245"/>
      <c r="X45" s="244"/>
      <c r="Y45" s="245"/>
    </row>
    <row r="46" spans="2:25" ht="41.25" customHeight="1">
      <c r="B46" s="239">
        <v>42</v>
      </c>
      <c r="C46" s="248" t="s">
        <v>696</v>
      </c>
      <c r="D46" s="249" t="s">
        <v>67</v>
      </c>
      <c r="E46" s="242" t="str">
        <f>_xlfn.CONCAT(韻表_3[[#This Row],[平聲]:[入聲]])</f>
        <v>清靜勁昔</v>
      </c>
      <c r="F46" s="252" t="s">
        <v>67</v>
      </c>
      <c r="G46" s="252" t="s">
        <v>1723</v>
      </c>
      <c r="H46" s="252" t="s">
        <v>1725</v>
      </c>
      <c r="I46" s="252" t="s">
        <v>1727</v>
      </c>
      <c r="J46" s="239"/>
      <c r="K46" s="239"/>
      <c r="L46" s="246"/>
      <c r="M46" s="247"/>
      <c r="N46" s="246"/>
      <c r="O46" s="247"/>
      <c r="P46" s="246"/>
      <c r="Q46" s="247"/>
      <c r="R46" s="246" t="s">
        <v>2170</v>
      </c>
      <c r="S46" s="247" t="s">
        <v>2171</v>
      </c>
      <c r="T46" s="246"/>
      <c r="U46" s="247"/>
      <c r="V46" s="246"/>
      <c r="W46" s="247"/>
      <c r="X46" s="246"/>
      <c r="Y46" s="247"/>
    </row>
    <row r="47" spans="2:25" ht="41.25" customHeight="1">
      <c r="B47" s="239">
        <v>43</v>
      </c>
      <c r="C47" s="248" t="s">
        <v>696</v>
      </c>
      <c r="D47" s="241" t="s">
        <v>729</v>
      </c>
      <c r="E47" s="242" t="str">
        <f>_xlfn.CONCAT(韻表_3[[#This Row],[平聲]:[入聲]])</f>
        <v>青迥徑錫</v>
      </c>
      <c r="F47" s="255" t="s">
        <v>729</v>
      </c>
      <c r="G47" s="252" t="s">
        <v>1732</v>
      </c>
      <c r="H47" s="252" t="s">
        <v>1734</v>
      </c>
      <c r="I47" s="252" t="s">
        <v>1736</v>
      </c>
      <c r="J47" s="239"/>
      <c r="K47" s="239"/>
      <c r="L47" s="244"/>
      <c r="M47" s="245"/>
      <c r="N47" s="244"/>
      <c r="O47" s="245"/>
      <c r="P47" s="244"/>
      <c r="Q47" s="245"/>
      <c r="R47" s="244"/>
      <c r="S47" s="245"/>
      <c r="T47" s="244"/>
      <c r="U47" s="245"/>
      <c r="V47" s="244" t="s">
        <v>699</v>
      </c>
      <c r="W47" s="245" t="s">
        <v>760</v>
      </c>
      <c r="X47" s="244"/>
      <c r="Y47" s="245"/>
    </row>
    <row r="48" spans="2:25" ht="41.25" customHeight="1">
      <c r="B48" s="239">
        <v>44</v>
      </c>
      <c r="C48" s="240" t="s">
        <v>736</v>
      </c>
      <c r="D48" s="249" t="s">
        <v>744</v>
      </c>
      <c r="E48" s="242" t="str">
        <f>_xlfn.CONCAT(韻表_3[[#This Row],[平聲]:[入聲]])</f>
        <v>蒸拯證職</v>
      </c>
      <c r="F48" s="252" t="s">
        <v>744</v>
      </c>
      <c r="G48" s="252" t="s">
        <v>1366</v>
      </c>
      <c r="H48" s="252" t="s">
        <v>1368</v>
      </c>
      <c r="I48" s="252" t="s">
        <v>1370</v>
      </c>
      <c r="J48" s="239"/>
      <c r="K48" s="239"/>
      <c r="L48" s="246"/>
      <c r="M48" s="247"/>
      <c r="N48" s="246"/>
      <c r="O48" s="247"/>
      <c r="P48" s="246"/>
      <c r="Q48" s="247"/>
      <c r="R48" s="246" t="s">
        <v>2170</v>
      </c>
      <c r="S48" s="247" t="s">
        <v>2171</v>
      </c>
      <c r="T48" s="246"/>
      <c r="U48" s="247"/>
      <c r="V48" s="246"/>
      <c r="W48" s="247"/>
      <c r="X48" s="246"/>
      <c r="Y48" s="247"/>
    </row>
    <row r="49" spans="2:25" ht="41.25" customHeight="1">
      <c r="B49" s="239">
        <v>45</v>
      </c>
      <c r="C49" s="240" t="s">
        <v>736</v>
      </c>
      <c r="D49" s="249" t="s">
        <v>737</v>
      </c>
      <c r="E49" s="242" t="str">
        <f>_xlfn.CONCAT(韻表_3[[#This Row],[平聲]:[入聲]])</f>
        <v>登等嶝德</v>
      </c>
      <c r="F49" s="252" t="s">
        <v>737</v>
      </c>
      <c r="G49" s="255" t="s">
        <v>286</v>
      </c>
      <c r="H49" s="252" t="s">
        <v>1747</v>
      </c>
      <c r="I49" s="252" t="s">
        <v>1749</v>
      </c>
      <c r="J49" s="239" t="s">
        <v>699</v>
      </c>
      <c r="K49" s="239" t="s">
        <v>760</v>
      </c>
      <c r="L49" s="244"/>
      <c r="M49" s="245"/>
      <c r="N49" s="244"/>
      <c r="O49" s="245"/>
      <c r="P49" s="244"/>
      <c r="Q49" s="245"/>
      <c r="R49" s="244"/>
      <c r="S49" s="245"/>
      <c r="T49" s="244"/>
      <c r="U49" s="245"/>
      <c r="V49" s="244"/>
      <c r="W49" s="245"/>
      <c r="X49" s="244"/>
      <c r="Y49" s="245"/>
    </row>
    <row r="50" spans="2:25" ht="41.25" customHeight="1">
      <c r="B50" s="239">
        <v>46</v>
      </c>
      <c r="C50" s="240" t="s">
        <v>805</v>
      </c>
      <c r="D50" s="249" t="s">
        <v>806</v>
      </c>
      <c r="E50" s="242" t="str">
        <f>_xlfn.CONCAT(韻表_3[[#This Row],[平聲]:[入聲]])</f>
        <v>尤有宥∅</v>
      </c>
      <c r="F50" s="252" t="s">
        <v>806</v>
      </c>
      <c r="G50" s="255" t="s">
        <v>1387</v>
      </c>
      <c r="H50" s="252" t="s">
        <v>1389</v>
      </c>
      <c r="I50" s="252" t="s">
        <v>2138</v>
      </c>
      <c r="J50" s="239"/>
      <c r="K50" s="239"/>
      <c r="L50" s="246"/>
      <c r="M50" s="247"/>
      <c r="N50" s="246"/>
      <c r="O50" s="247"/>
      <c r="P50" s="246"/>
      <c r="Q50" s="247"/>
      <c r="R50" s="246" t="s">
        <v>2172</v>
      </c>
      <c r="S50" s="247"/>
      <c r="T50" s="246"/>
      <c r="U50" s="247"/>
      <c r="V50" s="246"/>
      <c r="W50" s="247"/>
      <c r="X50" s="246"/>
      <c r="Y50" s="247"/>
    </row>
    <row r="51" spans="2:25" ht="41.25" customHeight="1">
      <c r="B51" s="239">
        <v>47</v>
      </c>
      <c r="C51" s="240" t="s">
        <v>805</v>
      </c>
      <c r="D51" s="241" t="s">
        <v>810</v>
      </c>
      <c r="E51" s="242" t="str">
        <f>_xlfn.CONCAT(韻表_3[[#This Row],[平聲]:[入聲]])</f>
        <v>侯厚候∅</v>
      </c>
      <c r="F51" s="255" t="s">
        <v>810</v>
      </c>
      <c r="G51" s="255" t="s">
        <v>1392</v>
      </c>
      <c r="H51" s="255" t="s">
        <v>1759</v>
      </c>
      <c r="I51" s="252" t="s">
        <v>2138</v>
      </c>
      <c r="J51" s="239" t="s">
        <v>2173</v>
      </c>
      <c r="K51" s="239"/>
      <c r="L51" s="244"/>
      <c r="M51" s="245"/>
      <c r="N51" s="244"/>
      <c r="O51" s="245"/>
      <c r="P51" s="244"/>
      <c r="Q51" s="245"/>
      <c r="R51" s="244"/>
      <c r="S51" s="245"/>
      <c r="T51" s="244"/>
      <c r="U51" s="245"/>
      <c r="V51" s="244"/>
      <c r="W51" s="245"/>
      <c r="X51" s="244"/>
      <c r="Y51" s="245"/>
    </row>
    <row r="52" spans="2:25" ht="41.25" customHeight="1">
      <c r="B52" s="239">
        <v>48</v>
      </c>
      <c r="C52" s="240" t="s">
        <v>805</v>
      </c>
      <c r="D52" s="249" t="s">
        <v>814</v>
      </c>
      <c r="E52" s="242" t="str">
        <f>_xlfn.CONCAT(韻表_3[[#This Row],[平聲]:[入聲]])</f>
        <v>幽黝幼∅</v>
      </c>
      <c r="F52" s="252" t="s">
        <v>814</v>
      </c>
      <c r="G52" s="252" t="s">
        <v>1397</v>
      </c>
      <c r="H52" s="252" t="s">
        <v>1399</v>
      </c>
      <c r="I52" s="252" t="s">
        <v>2138</v>
      </c>
      <c r="J52" s="239"/>
      <c r="K52" s="239"/>
      <c r="L52" s="246"/>
      <c r="M52" s="247"/>
      <c r="N52" s="246"/>
      <c r="O52" s="247"/>
      <c r="P52" s="246"/>
      <c r="Q52" s="247"/>
      <c r="R52" s="246" t="s">
        <v>2172</v>
      </c>
      <c r="S52" s="247"/>
      <c r="T52" s="246"/>
      <c r="U52" s="247"/>
      <c r="V52" s="246"/>
      <c r="W52" s="247"/>
      <c r="X52" s="246"/>
      <c r="Y52" s="247"/>
    </row>
    <row r="53" spans="2:25" ht="41.25" customHeight="1">
      <c r="B53" s="239">
        <v>49</v>
      </c>
      <c r="C53" s="248" t="s">
        <v>817</v>
      </c>
      <c r="D53" s="249" t="s">
        <v>818</v>
      </c>
      <c r="E53" s="242" t="str">
        <f>_xlfn.CONCAT(韻表_3[[#This Row],[平聲]:[入聲]])</f>
        <v>侵寢沁緝</v>
      </c>
      <c r="F53" s="252" t="s">
        <v>818</v>
      </c>
      <c r="G53" s="252" t="s">
        <v>1402</v>
      </c>
      <c r="H53" s="252" t="s">
        <v>1404</v>
      </c>
      <c r="I53" s="252" t="s">
        <v>856</v>
      </c>
      <c r="J53" s="239"/>
      <c r="K53" s="239"/>
      <c r="L53" s="244"/>
      <c r="M53" s="245"/>
      <c r="N53" s="244"/>
      <c r="O53" s="245"/>
      <c r="P53" s="244"/>
      <c r="Q53" s="245"/>
      <c r="R53" s="244" t="s">
        <v>2174</v>
      </c>
      <c r="S53" s="245" t="s">
        <v>2175</v>
      </c>
      <c r="T53" s="244"/>
      <c r="U53" s="245"/>
      <c r="V53" s="244"/>
      <c r="W53" s="245"/>
      <c r="X53" s="244"/>
      <c r="Y53" s="245"/>
    </row>
    <row r="54" spans="2:25" ht="41.25" customHeight="1">
      <c r="B54" s="239">
        <v>50</v>
      </c>
      <c r="C54" s="248" t="s">
        <v>826</v>
      </c>
      <c r="D54" s="249" t="s">
        <v>853</v>
      </c>
      <c r="E54" s="242" t="str">
        <f>_xlfn.CONCAT(韻表_3[[#This Row],[平聲]:[入聲]])</f>
        <v>覃感勘合</v>
      </c>
      <c r="F54" s="252" t="s">
        <v>853</v>
      </c>
      <c r="G54" s="252" t="s">
        <v>1408</v>
      </c>
      <c r="H54" s="252" t="s">
        <v>1410</v>
      </c>
      <c r="I54" s="252" t="s">
        <v>340</v>
      </c>
      <c r="J54" s="239" t="s">
        <v>2176</v>
      </c>
      <c r="K54" s="239" t="s">
        <v>2177</v>
      </c>
      <c r="L54" s="246"/>
      <c r="M54" s="247"/>
      <c r="N54" s="246"/>
      <c r="O54" s="247"/>
      <c r="P54" s="246"/>
      <c r="Q54" s="247"/>
      <c r="R54" s="246"/>
      <c r="S54" s="247"/>
      <c r="T54" s="246"/>
      <c r="U54" s="247"/>
      <c r="V54" s="246"/>
      <c r="W54" s="247"/>
      <c r="X54" s="246"/>
      <c r="Y54" s="247"/>
    </row>
    <row r="55" spans="2:25" ht="41.25" customHeight="1">
      <c r="B55" s="239">
        <v>51</v>
      </c>
      <c r="C55" s="248" t="s">
        <v>826</v>
      </c>
      <c r="D55" s="249" t="s">
        <v>827</v>
      </c>
      <c r="E55" s="242" t="str">
        <f>_xlfn.CONCAT(韻表_3[[#This Row],[平聲]:[入聲]])</f>
        <v>談敢闞盍</v>
      </c>
      <c r="F55" s="252" t="s">
        <v>827</v>
      </c>
      <c r="G55" s="255" t="s">
        <v>1414</v>
      </c>
      <c r="H55" s="252" t="s">
        <v>1416</v>
      </c>
      <c r="I55" s="252" t="s">
        <v>864</v>
      </c>
      <c r="J55" s="239" t="s">
        <v>828</v>
      </c>
      <c r="K55" s="239" t="s">
        <v>865</v>
      </c>
      <c r="L55" s="244"/>
      <c r="M55" s="245"/>
      <c r="N55" s="244"/>
      <c r="O55" s="245"/>
      <c r="P55" s="244"/>
      <c r="Q55" s="245"/>
      <c r="R55" s="244"/>
      <c r="S55" s="245"/>
      <c r="T55" s="244"/>
      <c r="U55" s="245"/>
      <c r="V55" s="244"/>
      <c r="W55" s="245"/>
      <c r="X55" s="244"/>
      <c r="Y55" s="245"/>
    </row>
    <row r="56" spans="2:25" ht="41.25" customHeight="1">
      <c r="B56" s="239">
        <v>52</v>
      </c>
      <c r="C56" s="248" t="s">
        <v>826</v>
      </c>
      <c r="D56" s="249" t="s">
        <v>843</v>
      </c>
      <c r="E56" s="242" t="str">
        <f>_xlfn.CONCAT(韻表_3[[#This Row],[平聲]:[入聲]])</f>
        <v>鹽琰豔葉</v>
      </c>
      <c r="F56" s="252" t="s">
        <v>843</v>
      </c>
      <c r="G56" s="252" t="s">
        <v>1420</v>
      </c>
      <c r="H56" s="252" t="s">
        <v>1422</v>
      </c>
      <c r="I56" s="255" t="s">
        <v>881</v>
      </c>
      <c r="J56" s="239"/>
      <c r="K56" s="239"/>
      <c r="L56" s="246"/>
      <c r="M56" s="247"/>
      <c r="N56" s="246"/>
      <c r="O56" s="247"/>
      <c r="P56" s="246"/>
      <c r="Q56" s="247"/>
      <c r="R56" s="246" t="s">
        <v>832</v>
      </c>
      <c r="S56" s="247" t="s">
        <v>869</v>
      </c>
      <c r="T56" s="246"/>
      <c r="U56" s="247"/>
      <c r="V56" s="246"/>
      <c r="W56" s="247"/>
      <c r="X56" s="246"/>
      <c r="Y56" s="247"/>
    </row>
    <row r="57" spans="2:25" ht="41.25" customHeight="1">
      <c r="B57" s="239">
        <v>53</v>
      </c>
      <c r="C57" s="248" t="s">
        <v>826</v>
      </c>
      <c r="D57" s="241" t="s">
        <v>850</v>
      </c>
      <c r="E57" s="242" t="str">
        <f>_xlfn.CONCAT(韻表_3[[#This Row],[平聲]:[入聲]])</f>
        <v>添忝㮇帖</v>
      </c>
      <c r="F57" s="255" t="s">
        <v>850</v>
      </c>
      <c r="G57" s="252" t="s">
        <v>1426</v>
      </c>
      <c r="H57" s="252" t="s">
        <v>1788</v>
      </c>
      <c r="I57" s="252" t="s">
        <v>2178</v>
      </c>
      <c r="J57" s="239"/>
      <c r="K57" s="239"/>
      <c r="L57" s="244"/>
      <c r="M57" s="245"/>
      <c r="N57" s="244"/>
      <c r="O57" s="245"/>
      <c r="P57" s="244"/>
      <c r="Q57" s="245"/>
      <c r="R57" s="244"/>
      <c r="S57" s="245"/>
      <c r="T57" s="244"/>
      <c r="U57" s="245"/>
      <c r="V57" s="244" t="s">
        <v>832</v>
      </c>
      <c r="W57" s="245" t="s">
        <v>869</v>
      </c>
      <c r="X57" s="244"/>
      <c r="Y57" s="245"/>
    </row>
    <row r="58" spans="2:25" ht="41.25" customHeight="1">
      <c r="B58" s="239">
        <v>54</v>
      </c>
      <c r="C58" s="248" t="s">
        <v>826</v>
      </c>
      <c r="D58" s="249" t="s">
        <v>826</v>
      </c>
      <c r="E58" s="242" t="str">
        <f>_xlfn.CONCAT(韻表_3[[#This Row],[平聲]:[入聲]])</f>
        <v>咸豏陷洽</v>
      </c>
      <c r="F58" s="252" t="s">
        <v>826</v>
      </c>
      <c r="G58" s="252" t="s">
        <v>1434</v>
      </c>
      <c r="H58" s="252" t="s">
        <v>1436</v>
      </c>
      <c r="I58" s="255" t="s">
        <v>879</v>
      </c>
      <c r="J58" s="239"/>
      <c r="K58" s="239"/>
      <c r="L58" s="246"/>
      <c r="M58" s="247"/>
      <c r="N58" s="246" t="s">
        <v>828</v>
      </c>
      <c r="O58" s="247" t="s">
        <v>865</v>
      </c>
      <c r="P58" s="246"/>
      <c r="Q58" s="247"/>
      <c r="R58" s="246"/>
      <c r="S58" s="247"/>
      <c r="T58" s="246"/>
      <c r="U58" s="247"/>
      <c r="V58" s="246"/>
      <c r="W58" s="247"/>
      <c r="X58" s="246"/>
      <c r="Y58" s="247"/>
    </row>
    <row r="59" spans="2:25" ht="41.25" customHeight="1">
      <c r="B59" s="239">
        <v>55</v>
      </c>
      <c r="C59" s="248" t="s">
        <v>826</v>
      </c>
      <c r="D59" s="249" t="s">
        <v>839</v>
      </c>
      <c r="E59" s="242" t="str">
        <f>_xlfn.CONCAT(韻表_3[[#This Row],[平聲]:[入聲]])</f>
        <v>銜檻鑑狎</v>
      </c>
      <c r="F59" s="252" t="s">
        <v>839</v>
      </c>
      <c r="G59" s="252" t="s">
        <v>1440</v>
      </c>
      <c r="H59" s="252" t="s">
        <v>1442</v>
      </c>
      <c r="I59" s="252" t="s">
        <v>876</v>
      </c>
      <c r="J59" s="239"/>
      <c r="K59" s="239"/>
      <c r="L59" s="244"/>
      <c r="M59" s="245"/>
      <c r="N59" s="244" t="s">
        <v>828</v>
      </c>
      <c r="O59" s="245" t="s">
        <v>865</v>
      </c>
      <c r="P59" s="244"/>
      <c r="Q59" s="245"/>
      <c r="R59" s="244"/>
      <c r="S59" s="245"/>
      <c r="T59" s="244"/>
      <c r="U59" s="245"/>
      <c r="V59" s="244"/>
      <c r="W59" s="245"/>
      <c r="X59" s="244"/>
      <c r="Y59" s="245"/>
    </row>
    <row r="60" spans="2:25" ht="41.25" customHeight="1">
      <c r="B60" s="239">
        <v>56</v>
      </c>
      <c r="C60" s="248" t="s">
        <v>826</v>
      </c>
      <c r="D60" s="249" t="s">
        <v>831</v>
      </c>
      <c r="E60" s="242" t="str">
        <f>_xlfn.CONCAT(韻表_3[[#This Row],[平聲]:[入聲]])</f>
        <v>嚴儼釅業</v>
      </c>
      <c r="F60" s="252" t="s">
        <v>831</v>
      </c>
      <c r="G60" s="252" t="s">
        <v>1446</v>
      </c>
      <c r="H60" s="252" t="s">
        <v>1448</v>
      </c>
      <c r="I60" s="252" t="s">
        <v>868</v>
      </c>
      <c r="J60" s="239"/>
      <c r="K60" s="239"/>
      <c r="L60" s="246"/>
      <c r="M60" s="247"/>
      <c r="N60" s="246"/>
      <c r="O60" s="247"/>
      <c r="P60" s="246"/>
      <c r="Q60" s="247"/>
      <c r="R60" s="246" t="s">
        <v>832</v>
      </c>
      <c r="S60" s="247" t="s">
        <v>869</v>
      </c>
      <c r="T60" s="246"/>
      <c r="U60" s="247"/>
      <c r="V60" s="246"/>
      <c r="W60" s="247"/>
      <c r="X60" s="246"/>
      <c r="Y60" s="247"/>
    </row>
    <row r="61" spans="2:25" ht="41.25" customHeight="1">
      <c r="B61" s="239">
        <v>57</v>
      </c>
      <c r="C61" s="248" t="s">
        <v>826</v>
      </c>
      <c r="D61" s="249" t="s">
        <v>835</v>
      </c>
      <c r="E61" s="242" t="str">
        <f>_xlfn.CONCAT(韻表_3[[#This Row],[平聲]:[入聲]])</f>
        <v>凡范梵乏</v>
      </c>
      <c r="F61" s="252" t="s">
        <v>835</v>
      </c>
      <c r="G61" s="252" t="s">
        <v>1453</v>
      </c>
      <c r="H61" s="252" t="s">
        <v>1455</v>
      </c>
      <c r="I61" s="255" t="s">
        <v>872</v>
      </c>
      <c r="J61" s="239"/>
      <c r="K61" s="239"/>
      <c r="L61" s="244"/>
      <c r="M61" s="245"/>
      <c r="N61" s="244"/>
      <c r="O61" s="245"/>
      <c r="P61" s="244"/>
      <c r="Q61" s="245"/>
      <c r="R61" s="259" t="s">
        <v>2179</v>
      </c>
      <c r="S61" s="260" t="s">
        <v>2180</v>
      </c>
      <c r="T61" s="244"/>
      <c r="U61" s="245"/>
      <c r="V61" s="244"/>
      <c r="W61" s="245"/>
      <c r="X61" s="244"/>
      <c r="Y61" s="245"/>
    </row>
  </sheetData>
  <mergeCells count="12">
    <mergeCell ref="V3:W3"/>
    <mergeCell ref="X3:Y3"/>
    <mergeCell ref="J2:M2"/>
    <mergeCell ref="N2:Q2"/>
    <mergeCell ref="R2:U2"/>
    <mergeCell ref="V2:Y2"/>
    <mergeCell ref="J3:K3"/>
    <mergeCell ref="L3:M3"/>
    <mergeCell ref="N3:O3"/>
    <mergeCell ref="P3:Q3"/>
    <mergeCell ref="R3:S3"/>
    <mergeCell ref="T3:U3"/>
  </mergeCells>
  <phoneticPr fontId="10"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BD194-E788-4ADF-9C18-F3F1466AF531}">
  <dimension ref="B1:G63"/>
  <sheetViews>
    <sheetView showGridLines="0" workbookViewId="0">
      <pane xSplit="2" ySplit="2" topLeftCell="C9" activePane="bottomRight" state="frozen"/>
      <selection pane="topRight" activeCell="C1" sqref="C1"/>
      <selection pane="bottomLeft" activeCell="A3" sqref="A3"/>
      <selection pane="bottomRight" activeCell="M35" sqref="M35"/>
    </sheetView>
  </sheetViews>
  <sheetFormatPr defaultRowHeight="34.5"/>
  <cols>
    <col min="1" max="1" width="9" style="124"/>
    <col min="2" max="3" width="9" style="125"/>
    <col min="4" max="7" width="26.875" style="127" customWidth="1"/>
    <col min="8" max="16384" width="9" style="124"/>
  </cols>
  <sheetData>
    <row r="1" spans="2:7" ht="8.25" customHeight="1"/>
    <row r="2" spans="2:7" s="126" customFormat="1" ht="30">
      <c r="B2" s="139" t="s">
        <v>2016</v>
      </c>
      <c r="C2" s="139" t="s">
        <v>1815</v>
      </c>
      <c r="D2" s="139" t="s">
        <v>2012</v>
      </c>
      <c r="E2" s="139" t="s">
        <v>2013</v>
      </c>
      <c r="F2" s="139" t="s">
        <v>2014</v>
      </c>
      <c r="G2" s="139" t="s">
        <v>2015</v>
      </c>
    </row>
    <row r="3" spans="2:7">
      <c r="B3" s="137">
        <v>1</v>
      </c>
      <c r="C3" s="138" t="s">
        <v>292</v>
      </c>
      <c r="D3" s="136" t="s">
        <v>2017</v>
      </c>
      <c r="E3" s="136" t="s">
        <v>1816</v>
      </c>
      <c r="F3" s="136" t="s">
        <v>1817</v>
      </c>
      <c r="G3" s="136" t="s">
        <v>1818</v>
      </c>
    </row>
    <row r="4" spans="2:7">
      <c r="B4" s="130">
        <v>2</v>
      </c>
      <c r="C4" s="128" t="s">
        <v>292</v>
      </c>
      <c r="D4" s="131" t="s">
        <v>1819</v>
      </c>
      <c r="E4" s="131"/>
      <c r="F4" s="131" t="s">
        <v>1820</v>
      </c>
      <c r="G4" s="131" t="s">
        <v>1821</v>
      </c>
    </row>
    <row r="5" spans="2:7">
      <c r="B5" s="130">
        <v>3</v>
      </c>
      <c r="C5" s="128" t="s">
        <v>292</v>
      </c>
      <c r="D5" s="131" t="s">
        <v>1822</v>
      </c>
      <c r="E5" s="131" t="s">
        <v>1823</v>
      </c>
      <c r="F5" s="131" t="s">
        <v>1824</v>
      </c>
      <c r="G5" s="131" t="s">
        <v>1825</v>
      </c>
    </row>
    <row r="6" spans="2:7">
      <c r="B6" s="130">
        <v>4</v>
      </c>
      <c r="C6" s="128" t="s">
        <v>311</v>
      </c>
      <c r="D6" s="131" t="s">
        <v>1826</v>
      </c>
      <c r="E6" s="131" t="s">
        <v>1827</v>
      </c>
      <c r="F6" s="131" t="s">
        <v>1828</v>
      </c>
      <c r="G6" s="131" t="s">
        <v>1829</v>
      </c>
    </row>
    <row r="7" spans="2:7">
      <c r="B7" s="130">
        <v>5</v>
      </c>
      <c r="C7" s="128" t="s">
        <v>334</v>
      </c>
      <c r="D7" s="131" t="s">
        <v>1830</v>
      </c>
      <c r="E7" s="131" t="s">
        <v>1831</v>
      </c>
      <c r="F7" s="131" t="s">
        <v>1832</v>
      </c>
      <c r="G7" s="132"/>
    </row>
    <row r="8" spans="2:7">
      <c r="B8" s="130">
        <v>6</v>
      </c>
      <c r="C8" s="128" t="s">
        <v>334</v>
      </c>
      <c r="D8" s="131" t="s">
        <v>1833</v>
      </c>
      <c r="E8" s="131" t="s">
        <v>1834</v>
      </c>
      <c r="F8" s="131" t="s">
        <v>1835</v>
      </c>
      <c r="G8" s="132"/>
    </row>
    <row r="9" spans="2:7">
      <c r="B9" s="130">
        <v>7</v>
      </c>
      <c r="C9" s="128" t="s">
        <v>334</v>
      </c>
      <c r="D9" s="131" t="s">
        <v>1836</v>
      </c>
      <c r="E9" s="131" t="s">
        <v>1837</v>
      </c>
      <c r="F9" s="131" t="s">
        <v>1838</v>
      </c>
      <c r="G9" s="132"/>
    </row>
    <row r="10" spans="2:7">
      <c r="B10" s="130">
        <v>8</v>
      </c>
      <c r="C10" s="128" t="s">
        <v>334</v>
      </c>
      <c r="D10" s="131" t="s">
        <v>1839</v>
      </c>
      <c r="E10" s="131" t="s">
        <v>1840</v>
      </c>
      <c r="F10" s="131" t="s">
        <v>1841</v>
      </c>
      <c r="G10" s="132"/>
    </row>
    <row r="11" spans="2:7">
      <c r="B11" s="130">
        <v>9</v>
      </c>
      <c r="C11" s="128" t="s">
        <v>382</v>
      </c>
      <c r="D11" s="131" t="s">
        <v>1842</v>
      </c>
      <c r="E11" s="131" t="s">
        <v>1843</v>
      </c>
      <c r="F11" s="131" t="s">
        <v>1844</v>
      </c>
      <c r="G11" s="132"/>
    </row>
    <row r="12" spans="2:7">
      <c r="B12" s="130">
        <v>10</v>
      </c>
      <c r="C12" s="128" t="s">
        <v>382</v>
      </c>
      <c r="D12" s="131" t="s">
        <v>1845</v>
      </c>
      <c r="E12" s="131" t="s">
        <v>1846</v>
      </c>
      <c r="F12" s="131" t="s">
        <v>1847</v>
      </c>
      <c r="G12" s="132"/>
    </row>
    <row r="13" spans="2:7">
      <c r="B13" s="130">
        <v>11</v>
      </c>
      <c r="C13" s="128" t="s">
        <v>382</v>
      </c>
      <c r="D13" s="131" t="s">
        <v>1848</v>
      </c>
      <c r="E13" s="131" t="s">
        <v>1849</v>
      </c>
      <c r="F13" s="131" t="s">
        <v>1850</v>
      </c>
      <c r="G13" s="132"/>
    </row>
    <row r="14" spans="2:7">
      <c r="B14" s="130">
        <v>12</v>
      </c>
      <c r="C14" s="128" t="s">
        <v>394</v>
      </c>
      <c r="D14" s="131" t="s">
        <v>1851</v>
      </c>
      <c r="E14" s="131" t="s">
        <v>1852</v>
      </c>
      <c r="F14" s="131" t="s">
        <v>1853</v>
      </c>
      <c r="G14" s="132"/>
    </row>
    <row r="15" spans="2:7">
      <c r="B15" s="130">
        <v>13</v>
      </c>
      <c r="C15" s="128" t="s">
        <v>394</v>
      </c>
      <c r="D15" s="132"/>
      <c r="E15" s="132"/>
      <c r="F15" s="131" t="s">
        <v>1854</v>
      </c>
      <c r="G15" s="132"/>
    </row>
    <row r="16" spans="2:7">
      <c r="B16" s="130">
        <v>14</v>
      </c>
      <c r="C16" s="128" t="s">
        <v>394</v>
      </c>
      <c r="D16" s="132"/>
      <c r="E16" s="132"/>
      <c r="F16" s="131" t="s">
        <v>1855</v>
      </c>
      <c r="G16" s="132"/>
    </row>
    <row r="17" spans="2:7">
      <c r="B17" s="130">
        <v>15</v>
      </c>
      <c r="C17" s="128" t="s">
        <v>394</v>
      </c>
      <c r="D17" s="131" t="s">
        <v>1856</v>
      </c>
      <c r="E17" s="131" t="s">
        <v>1857</v>
      </c>
      <c r="F17" s="131" t="s">
        <v>1858</v>
      </c>
      <c r="G17" s="132"/>
    </row>
    <row r="18" spans="2:7">
      <c r="B18" s="130">
        <v>16</v>
      </c>
      <c r="C18" s="128" t="s">
        <v>394</v>
      </c>
      <c r="D18" s="131" t="s">
        <v>1859</v>
      </c>
      <c r="E18" s="131" t="s">
        <v>1860</v>
      </c>
      <c r="F18" s="131" t="s">
        <v>1861</v>
      </c>
      <c r="G18" s="132"/>
    </row>
    <row r="19" spans="2:7">
      <c r="B19" s="130">
        <v>17</v>
      </c>
      <c r="C19" s="128" t="s">
        <v>394</v>
      </c>
      <c r="D19" s="132"/>
      <c r="E19" s="132"/>
      <c r="F19" s="131" t="s">
        <v>1862</v>
      </c>
      <c r="G19" s="132"/>
    </row>
    <row r="20" spans="2:7">
      <c r="B20" s="130">
        <v>18</v>
      </c>
      <c r="C20" s="128" t="s">
        <v>394</v>
      </c>
      <c r="D20" s="131" t="s">
        <v>1863</v>
      </c>
      <c r="E20" s="131" t="s">
        <v>1864</v>
      </c>
      <c r="F20" s="131" t="s">
        <v>1865</v>
      </c>
      <c r="G20" s="132"/>
    </row>
    <row r="21" spans="2:7">
      <c r="B21" s="130">
        <v>19</v>
      </c>
      <c r="C21" s="128" t="s">
        <v>394</v>
      </c>
      <c r="D21" s="131" t="s">
        <v>1866</v>
      </c>
      <c r="E21" s="131" t="s">
        <v>1867</v>
      </c>
      <c r="F21" s="131" t="s">
        <v>1868</v>
      </c>
      <c r="G21" s="132"/>
    </row>
    <row r="22" spans="2:7">
      <c r="B22" s="130">
        <v>20</v>
      </c>
      <c r="C22" s="128" t="s">
        <v>394</v>
      </c>
      <c r="D22" s="132"/>
      <c r="E22" s="132"/>
      <c r="F22" s="131" t="s">
        <v>1869</v>
      </c>
      <c r="G22" s="132"/>
    </row>
    <row r="23" spans="2:7">
      <c r="B23" s="130">
        <v>21</v>
      </c>
      <c r="C23" s="128" t="s">
        <v>466</v>
      </c>
      <c r="D23" s="131" t="s">
        <v>2018</v>
      </c>
      <c r="E23" s="131" t="s">
        <v>1870</v>
      </c>
      <c r="F23" s="131" t="s">
        <v>1871</v>
      </c>
      <c r="G23" s="131" t="s">
        <v>1872</v>
      </c>
    </row>
    <row r="24" spans="2:7">
      <c r="B24" s="130">
        <v>22</v>
      </c>
      <c r="C24" s="128" t="s">
        <v>466</v>
      </c>
      <c r="D24" s="131" t="s">
        <v>1873</v>
      </c>
      <c r="E24" s="131" t="s">
        <v>1874</v>
      </c>
      <c r="F24" s="131" t="s">
        <v>1875</v>
      </c>
      <c r="G24" s="131" t="s">
        <v>1876</v>
      </c>
    </row>
    <row r="25" spans="2:7">
      <c r="B25" s="130">
        <v>23</v>
      </c>
      <c r="C25" s="128" t="s">
        <v>466</v>
      </c>
      <c r="D25" s="131" t="s">
        <v>1877</v>
      </c>
      <c r="E25" s="131"/>
      <c r="F25" s="131" t="s">
        <v>2019</v>
      </c>
      <c r="G25" s="131" t="s">
        <v>1878</v>
      </c>
    </row>
    <row r="26" spans="2:7">
      <c r="B26" s="130">
        <v>24</v>
      </c>
      <c r="C26" s="128" t="s">
        <v>466</v>
      </c>
      <c r="D26" s="131" t="s">
        <v>1879</v>
      </c>
      <c r="E26" s="131" t="s">
        <v>1880</v>
      </c>
      <c r="F26" s="131" t="s">
        <v>1881</v>
      </c>
      <c r="G26" s="131" t="s">
        <v>1882</v>
      </c>
    </row>
    <row r="27" spans="2:7">
      <c r="B27" s="130">
        <v>25</v>
      </c>
      <c r="C27" s="128" t="s">
        <v>466</v>
      </c>
      <c r="D27" s="131" t="s">
        <v>2020</v>
      </c>
      <c r="E27" s="131" t="s">
        <v>1883</v>
      </c>
      <c r="F27" s="131" t="s">
        <v>1884</v>
      </c>
      <c r="G27" s="131" t="s">
        <v>1885</v>
      </c>
    </row>
    <row r="28" spans="2:7">
      <c r="B28" s="130">
        <v>26</v>
      </c>
      <c r="C28" s="128" t="s">
        <v>466</v>
      </c>
      <c r="D28" s="131" t="s">
        <v>1886</v>
      </c>
      <c r="E28" s="131" t="s">
        <v>1887</v>
      </c>
      <c r="F28" s="131" t="s">
        <v>1888</v>
      </c>
      <c r="G28" s="131" t="s">
        <v>1889</v>
      </c>
    </row>
    <row r="29" spans="2:7">
      <c r="B29" s="130">
        <v>27</v>
      </c>
      <c r="C29" s="128" t="s">
        <v>466</v>
      </c>
      <c r="D29" s="131" t="s">
        <v>1890</v>
      </c>
      <c r="E29" s="131" t="s">
        <v>1891</v>
      </c>
      <c r="F29" s="131" t="s">
        <v>1892</v>
      </c>
      <c r="G29" s="131" t="s">
        <v>1893</v>
      </c>
    </row>
    <row r="30" spans="2:7">
      <c r="B30" s="130">
        <v>28</v>
      </c>
      <c r="C30" s="128" t="s">
        <v>466</v>
      </c>
      <c r="D30" s="131" t="s">
        <v>1894</v>
      </c>
      <c r="E30" s="131" t="s">
        <v>1895</v>
      </c>
      <c r="F30" s="131" t="s">
        <v>1896</v>
      </c>
      <c r="G30" s="131" t="s">
        <v>2021</v>
      </c>
    </row>
    <row r="31" spans="2:7">
      <c r="B31" s="130">
        <v>29</v>
      </c>
      <c r="C31" s="128" t="s">
        <v>501</v>
      </c>
      <c r="D31" s="131" t="s">
        <v>1897</v>
      </c>
      <c r="E31" s="131" t="s">
        <v>1898</v>
      </c>
      <c r="F31" s="131" t="s">
        <v>1899</v>
      </c>
      <c r="G31" s="131" t="s">
        <v>1900</v>
      </c>
    </row>
    <row r="32" spans="2:7">
      <c r="B32" s="130">
        <v>30</v>
      </c>
      <c r="C32" s="128" t="s">
        <v>501</v>
      </c>
      <c r="D32" s="131" t="s">
        <v>1901</v>
      </c>
      <c r="E32" s="131" t="s">
        <v>1902</v>
      </c>
      <c r="F32" s="131" t="s">
        <v>1903</v>
      </c>
      <c r="G32" s="131" t="s">
        <v>1904</v>
      </c>
    </row>
    <row r="33" spans="2:7">
      <c r="B33" s="130">
        <v>31</v>
      </c>
      <c r="C33" s="128" t="s">
        <v>501</v>
      </c>
      <c r="D33" s="131" t="s">
        <v>1905</v>
      </c>
      <c r="E33" s="131" t="s">
        <v>1906</v>
      </c>
      <c r="F33" s="131" t="s">
        <v>1907</v>
      </c>
      <c r="G33" s="131" t="s">
        <v>1908</v>
      </c>
    </row>
    <row r="34" spans="2:7">
      <c r="B34" s="130">
        <v>32</v>
      </c>
      <c r="C34" s="128" t="s">
        <v>501</v>
      </c>
      <c r="D34" s="131" t="s">
        <v>1909</v>
      </c>
      <c r="E34" s="131" t="s">
        <v>1910</v>
      </c>
      <c r="F34" s="131" t="s">
        <v>1911</v>
      </c>
      <c r="G34" s="131" t="s">
        <v>1912</v>
      </c>
    </row>
    <row r="35" spans="2:7">
      <c r="B35" s="130">
        <v>33</v>
      </c>
      <c r="C35" s="128" t="s">
        <v>501</v>
      </c>
      <c r="D35" s="131" t="s">
        <v>1913</v>
      </c>
      <c r="E35" s="131" t="s">
        <v>1914</v>
      </c>
      <c r="F35" s="131" t="s">
        <v>1915</v>
      </c>
      <c r="G35" s="131" t="s">
        <v>1916</v>
      </c>
    </row>
    <row r="36" spans="2:7">
      <c r="B36" s="130">
        <v>34</v>
      </c>
      <c r="C36" s="128" t="s">
        <v>501</v>
      </c>
      <c r="D36" s="131" t="s">
        <v>1917</v>
      </c>
      <c r="E36" s="131" t="s">
        <v>1918</v>
      </c>
      <c r="F36" s="131" t="s">
        <v>1919</v>
      </c>
      <c r="G36" s="131" t="s">
        <v>1920</v>
      </c>
    </row>
    <row r="37" spans="2:7">
      <c r="B37" s="130">
        <v>35</v>
      </c>
      <c r="C37" s="128" t="s">
        <v>634</v>
      </c>
      <c r="D37" s="131" t="s">
        <v>1921</v>
      </c>
      <c r="E37" s="131" t="s">
        <v>1922</v>
      </c>
      <c r="F37" s="131" t="s">
        <v>1923</v>
      </c>
      <c r="G37" s="132"/>
    </row>
    <row r="38" spans="2:7">
      <c r="B38" s="130">
        <v>36</v>
      </c>
      <c r="C38" s="128" t="s">
        <v>634</v>
      </c>
      <c r="D38" s="131" t="s">
        <v>1924</v>
      </c>
      <c r="E38" s="131" t="s">
        <v>1925</v>
      </c>
      <c r="F38" s="131" t="s">
        <v>1926</v>
      </c>
      <c r="G38" s="132"/>
    </row>
    <row r="39" spans="2:7">
      <c r="B39" s="130">
        <v>37</v>
      </c>
      <c r="C39" s="128" t="s">
        <v>634</v>
      </c>
      <c r="D39" s="131" t="s">
        <v>1927</v>
      </c>
      <c r="E39" s="131" t="s">
        <v>1928</v>
      </c>
      <c r="F39" s="131" t="s">
        <v>1929</v>
      </c>
      <c r="G39" s="132"/>
    </row>
    <row r="40" spans="2:7">
      <c r="B40" s="130">
        <v>38</v>
      </c>
      <c r="C40" s="128" t="s">
        <v>634</v>
      </c>
      <c r="D40" s="131" t="s">
        <v>1930</v>
      </c>
      <c r="E40" s="131" t="s">
        <v>1931</v>
      </c>
      <c r="F40" s="131" t="s">
        <v>1932</v>
      </c>
      <c r="G40" s="132"/>
    </row>
    <row r="41" spans="2:7">
      <c r="B41" s="130">
        <v>39</v>
      </c>
      <c r="C41" s="128" t="s">
        <v>653</v>
      </c>
      <c r="D41" s="131" t="s">
        <v>1933</v>
      </c>
      <c r="E41" s="131" t="s">
        <v>1934</v>
      </c>
      <c r="F41" s="131" t="s">
        <v>1935</v>
      </c>
      <c r="G41" s="132"/>
    </row>
    <row r="42" spans="2:7">
      <c r="B42" s="130">
        <v>40</v>
      </c>
      <c r="C42" s="128" t="s">
        <v>653</v>
      </c>
      <c r="D42" s="131" t="s">
        <v>1936</v>
      </c>
      <c r="E42" s="131" t="s">
        <v>1937</v>
      </c>
      <c r="F42" s="131" t="s">
        <v>1938</v>
      </c>
      <c r="G42" s="132"/>
    </row>
    <row r="43" spans="2:7">
      <c r="B43" s="130">
        <v>41</v>
      </c>
      <c r="C43" s="128" t="s">
        <v>668</v>
      </c>
      <c r="D43" s="131" t="s">
        <v>1939</v>
      </c>
      <c r="E43" s="131" t="s">
        <v>1940</v>
      </c>
      <c r="F43" s="131" t="s">
        <v>1941</v>
      </c>
      <c r="G43" s="132"/>
    </row>
    <row r="44" spans="2:7">
      <c r="B44" s="130">
        <v>42</v>
      </c>
      <c r="C44" s="128" t="s">
        <v>681</v>
      </c>
      <c r="D44" s="131" t="s">
        <v>1942</v>
      </c>
      <c r="E44" s="131" t="s">
        <v>1943</v>
      </c>
      <c r="F44" s="131" t="s">
        <v>1944</v>
      </c>
      <c r="G44" s="131" t="s">
        <v>1945</v>
      </c>
    </row>
    <row r="45" spans="2:7">
      <c r="B45" s="130">
        <v>43</v>
      </c>
      <c r="C45" s="128" t="s">
        <v>681</v>
      </c>
      <c r="D45" s="131" t="s">
        <v>1946</v>
      </c>
      <c r="E45" s="131" t="s">
        <v>1947</v>
      </c>
      <c r="F45" s="131" t="s">
        <v>1948</v>
      </c>
      <c r="G45" s="131" t="s">
        <v>1949</v>
      </c>
    </row>
    <row r="46" spans="2:7">
      <c r="B46" s="130">
        <v>44</v>
      </c>
      <c r="C46" s="128" t="s">
        <v>696</v>
      </c>
      <c r="D46" s="131" t="s">
        <v>1950</v>
      </c>
      <c r="E46" s="131" t="s">
        <v>1951</v>
      </c>
      <c r="F46" s="131" t="s">
        <v>2022</v>
      </c>
      <c r="G46" s="131" t="s">
        <v>1952</v>
      </c>
    </row>
    <row r="47" spans="2:7">
      <c r="B47" s="130">
        <v>45</v>
      </c>
      <c r="C47" s="128" t="s">
        <v>696</v>
      </c>
      <c r="D47" s="131" t="s">
        <v>1953</v>
      </c>
      <c r="E47" s="131" t="s">
        <v>1954</v>
      </c>
      <c r="F47" s="131" t="s">
        <v>1955</v>
      </c>
      <c r="G47" s="131" t="s">
        <v>1956</v>
      </c>
    </row>
    <row r="48" spans="2:7">
      <c r="B48" s="130">
        <v>46</v>
      </c>
      <c r="C48" s="128" t="s">
        <v>696</v>
      </c>
      <c r="D48" s="131" t="s">
        <v>1957</v>
      </c>
      <c r="E48" s="131" t="s">
        <v>1958</v>
      </c>
      <c r="F48" s="131" t="s">
        <v>1959</v>
      </c>
      <c r="G48" s="131" t="s">
        <v>1960</v>
      </c>
    </row>
    <row r="49" spans="2:7">
      <c r="B49" s="130">
        <v>47</v>
      </c>
      <c r="C49" s="128" t="s">
        <v>696</v>
      </c>
      <c r="D49" s="131" t="s">
        <v>1961</v>
      </c>
      <c r="E49" s="131" t="s">
        <v>1962</v>
      </c>
      <c r="F49" s="131" t="s">
        <v>1963</v>
      </c>
      <c r="G49" s="131" t="s">
        <v>1964</v>
      </c>
    </row>
    <row r="50" spans="2:7">
      <c r="B50" s="130">
        <v>48</v>
      </c>
      <c r="C50" s="128" t="s">
        <v>736</v>
      </c>
      <c r="D50" s="131" t="s">
        <v>1965</v>
      </c>
      <c r="E50" s="131" t="s">
        <v>1966</v>
      </c>
      <c r="F50" s="131" t="s">
        <v>1967</v>
      </c>
      <c r="G50" s="131" t="s">
        <v>1968</v>
      </c>
    </row>
    <row r="51" spans="2:7">
      <c r="B51" s="130">
        <v>49</v>
      </c>
      <c r="C51" s="128" t="s">
        <v>736</v>
      </c>
      <c r="D51" s="131" t="s">
        <v>1969</v>
      </c>
      <c r="E51" s="131" t="s">
        <v>1970</v>
      </c>
      <c r="F51" s="131" t="s">
        <v>1971</v>
      </c>
      <c r="G51" s="131" t="s">
        <v>1972</v>
      </c>
    </row>
    <row r="52" spans="2:7">
      <c r="B52" s="130">
        <v>50</v>
      </c>
      <c r="C52" s="128" t="s">
        <v>805</v>
      </c>
      <c r="D52" s="131" t="s">
        <v>1973</v>
      </c>
      <c r="E52" s="131" t="s">
        <v>1974</v>
      </c>
      <c r="F52" s="131" t="s">
        <v>1975</v>
      </c>
      <c r="G52" s="132"/>
    </row>
    <row r="53" spans="2:7">
      <c r="B53" s="130">
        <v>51</v>
      </c>
      <c r="C53" s="128" t="s">
        <v>805</v>
      </c>
      <c r="D53" s="131" t="s">
        <v>1976</v>
      </c>
      <c r="E53" s="131" t="s">
        <v>1977</v>
      </c>
      <c r="F53" s="131" t="s">
        <v>2023</v>
      </c>
      <c r="G53" s="132"/>
    </row>
    <row r="54" spans="2:7">
      <c r="B54" s="130">
        <v>52</v>
      </c>
      <c r="C54" s="128" t="s">
        <v>805</v>
      </c>
      <c r="D54" s="131" t="s">
        <v>1978</v>
      </c>
      <c r="E54" s="131" t="s">
        <v>1979</v>
      </c>
      <c r="F54" s="131" t="s">
        <v>1980</v>
      </c>
      <c r="G54" s="132"/>
    </row>
    <row r="55" spans="2:7">
      <c r="B55" s="130">
        <v>53</v>
      </c>
      <c r="C55" s="128" t="s">
        <v>817</v>
      </c>
      <c r="D55" s="131" t="s">
        <v>1981</v>
      </c>
      <c r="E55" s="131" t="s">
        <v>2024</v>
      </c>
      <c r="F55" s="131" t="s">
        <v>1982</v>
      </c>
      <c r="G55" s="131" t="s">
        <v>1983</v>
      </c>
    </row>
    <row r="56" spans="2:7">
      <c r="B56" s="130">
        <v>54</v>
      </c>
      <c r="C56" s="128" t="s">
        <v>826</v>
      </c>
      <c r="D56" s="131" t="s">
        <v>1984</v>
      </c>
      <c r="E56" s="131" t="s">
        <v>1985</v>
      </c>
      <c r="F56" s="131" t="s">
        <v>1986</v>
      </c>
      <c r="G56" s="131" t="s">
        <v>1987</v>
      </c>
    </row>
    <row r="57" spans="2:7">
      <c r="B57" s="130">
        <v>55</v>
      </c>
      <c r="C57" s="128" t="s">
        <v>826</v>
      </c>
      <c r="D57" s="131" t="s">
        <v>1988</v>
      </c>
      <c r="E57" s="131" t="s">
        <v>1989</v>
      </c>
      <c r="F57" s="131" t="s">
        <v>1990</v>
      </c>
      <c r="G57" s="131" t="s">
        <v>1991</v>
      </c>
    </row>
    <row r="58" spans="2:7">
      <c r="B58" s="130">
        <v>56</v>
      </c>
      <c r="C58" s="128" t="s">
        <v>826</v>
      </c>
      <c r="D58" s="131" t="s">
        <v>1992</v>
      </c>
      <c r="E58" s="131" t="s">
        <v>1993</v>
      </c>
      <c r="F58" s="131" t="s">
        <v>1994</v>
      </c>
      <c r="G58" s="131" t="s">
        <v>1995</v>
      </c>
    </row>
    <row r="59" spans="2:7">
      <c r="B59" s="130">
        <v>57</v>
      </c>
      <c r="C59" s="128" t="s">
        <v>826</v>
      </c>
      <c r="D59" s="131" t="s">
        <v>1996</v>
      </c>
      <c r="E59" s="131" t="s">
        <v>1997</v>
      </c>
      <c r="F59" s="133" t="s">
        <v>2025</v>
      </c>
      <c r="G59" s="131" t="s">
        <v>1998</v>
      </c>
    </row>
    <row r="60" spans="2:7">
      <c r="B60" s="130">
        <v>58</v>
      </c>
      <c r="C60" s="128" t="s">
        <v>826</v>
      </c>
      <c r="D60" s="131" t="s">
        <v>1999</v>
      </c>
      <c r="E60" s="131" t="s">
        <v>2026</v>
      </c>
      <c r="F60" s="131" t="s">
        <v>2000</v>
      </c>
      <c r="G60" s="131" t="s">
        <v>2001</v>
      </c>
    </row>
    <row r="61" spans="2:7">
      <c r="B61" s="130">
        <v>59</v>
      </c>
      <c r="C61" s="128" t="s">
        <v>826</v>
      </c>
      <c r="D61" s="131" t="s">
        <v>2002</v>
      </c>
      <c r="E61" s="131" t="s">
        <v>2027</v>
      </c>
      <c r="F61" s="131" t="s">
        <v>2003</v>
      </c>
      <c r="G61" s="131" t="s">
        <v>2004</v>
      </c>
    </row>
    <row r="62" spans="2:7">
      <c r="B62" s="130">
        <v>60</v>
      </c>
      <c r="C62" s="128" t="s">
        <v>826</v>
      </c>
      <c r="D62" s="131" t="s">
        <v>2005</v>
      </c>
      <c r="E62" s="131" t="s">
        <v>2028</v>
      </c>
      <c r="F62" s="131" t="s">
        <v>2006</v>
      </c>
      <c r="G62" s="131" t="s">
        <v>2007</v>
      </c>
    </row>
    <row r="63" spans="2:7">
      <c r="B63" s="134">
        <v>61</v>
      </c>
      <c r="C63" s="129" t="s">
        <v>826</v>
      </c>
      <c r="D63" s="135" t="s">
        <v>2008</v>
      </c>
      <c r="E63" s="135" t="s">
        <v>2010</v>
      </c>
      <c r="F63" s="135" t="s">
        <v>2009</v>
      </c>
      <c r="G63" s="135" t="s">
        <v>2011</v>
      </c>
    </row>
  </sheetData>
  <phoneticPr fontId="10" type="noConversion"/>
  <hyperlinks>
    <hyperlink ref="D3" r:id="rId1" display="https://ytenx.org/kyonh/yonhmiuk/%E6%9D%B1/" xr:uid="{30422F29-BA6F-4C8A-A64A-4F622604CA27}"/>
    <hyperlink ref="E3" r:id="rId2" display="https://ytenx.org/kyonh/yonhmiuk/%E8%91%A3/" xr:uid="{A1FE1EAF-7ED6-4ED3-B1E1-D73581EDF301}"/>
    <hyperlink ref="F3" r:id="rId3" display="https://ytenx.org/kyonh/yonhmiuk/%E9%80%81/" xr:uid="{DFA787C1-34CA-4428-AA56-0432A9CAA07E}"/>
    <hyperlink ref="G3" r:id="rId4" display="https://ytenx.org/kyonh/yonhmiuk/%E5%B1%8B/" xr:uid="{A1C2D6AD-D606-4FFB-AD8A-0A1D5E911104}"/>
    <hyperlink ref="D4" r:id="rId5" display="https://ytenx.org/kyonh/yonhmiuk/%E5%86%AC/" xr:uid="{4C353D30-3865-466D-87CD-B4F0702FE736}"/>
    <hyperlink ref="E4" r:id="rId6" display="https://ytenx.org/kyonh/yonhmiuk/%E6%B9%A9/" xr:uid="{D2A6FE24-3C96-484C-A32D-4FCAD877CC27}"/>
    <hyperlink ref="F4" r:id="rId7" display="https://ytenx.org/kyonh/yonhmiuk/%E5%AE%8B/" xr:uid="{7C9C9769-28E6-47FB-8259-FE3ECC6EB2D1}"/>
    <hyperlink ref="G4" r:id="rId8" display="https://ytenx.org/kyonh/yonhmiuk/%E6%B2%83/" xr:uid="{78785155-DC3A-47C4-9D71-276C29443EFA}"/>
    <hyperlink ref="D5" r:id="rId9" display="https://ytenx.org/kyonh/yonhmiuk/%E9%8D%BE/" xr:uid="{107D0026-14F7-4A07-BF43-E7562D911AD9}"/>
    <hyperlink ref="E5" r:id="rId10" display="https://ytenx.org/kyonh/yonhmiuk/%E8%85%AB/" xr:uid="{1DD48245-208B-4F4E-A6D6-77408AEEB17B}"/>
    <hyperlink ref="F5" r:id="rId11" display="https://ytenx.org/kyonh/yonhmiuk/%E7%94%A8/" xr:uid="{378613EA-E6C4-4DEB-BA6B-FD32C8DB1886}"/>
    <hyperlink ref="G5" r:id="rId12" display="https://ytenx.org/kyonh/yonhmiuk/%E7%87%AD/" xr:uid="{7D6A5DA9-BADC-4421-8E9C-1C74C57EB5D0}"/>
    <hyperlink ref="D6" r:id="rId13" display="https://ytenx.org/kyonh/yonhmiuk/%E6%B1%9F/" xr:uid="{50885818-B1D3-4086-9EC7-C844B2945BF1}"/>
    <hyperlink ref="E6" r:id="rId14" display="https://ytenx.org/kyonh/yonhmiuk/%E8%AC%9B/" xr:uid="{55378E02-3363-4501-9963-799B14CECD82}"/>
    <hyperlink ref="F6" r:id="rId15" display="https://ytenx.org/kyonh/yonhmiuk/%E7%B5%B3/" xr:uid="{D74B1B1F-72A0-46CD-B8A0-5EFCCB386567}"/>
    <hyperlink ref="G6" r:id="rId16" display="https://ytenx.org/kyonh/yonhmiuk/%E8%A6%BA/" xr:uid="{55524B08-74EB-4D04-BE6C-46AFAD3C44D8}"/>
    <hyperlink ref="D7" r:id="rId17" display="https://ytenx.org/kyonh/yonhmiuk/%E6%94%AF/" xr:uid="{0C8C1B11-E58C-45D9-AD6A-8EDE9F9CCF56}"/>
    <hyperlink ref="E7" r:id="rId18" display="https://ytenx.org/kyonh/yonhmiuk/%E7%B4%99/" xr:uid="{239B8739-C9B7-4536-9929-04A9B1A74CC9}"/>
    <hyperlink ref="F7" r:id="rId19" display="https://ytenx.org/kyonh/yonhmiuk/%E5%AF%98/" xr:uid="{07B87C93-9D44-43FF-A46E-F14EAEECE72D}"/>
    <hyperlink ref="D8" r:id="rId20" display="https://ytenx.org/kyonh/yonhmiuk/%E6%94%AFA/" xr:uid="{85FCA94B-85C7-4D1C-98E8-27C334F1DB4E}"/>
    <hyperlink ref="E8" r:id="rId21" display="https://ytenx.org/kyonh/yonhmiuk/%E7%B4%99A/" xr:uid="{9B0B8082-6FFE-4E0C-94BB-D9A78D4B31B9}"/>
    <hyperlink ref="F8" r:id="rId22" display="https://ytenx.org/kyonh/yonhmiuk/%E5%AF%98A/" xr:uid="{A0AEB328-5BFA-41F9-96E0-6ECA417E7166}"/>
    <hyperlink ref="D9" r:id="rId23" display="https://ytenx.org/kyonh/yonhmiuk/%E6%94%AFB/" xr:uid="{7AEAC076-30B3-49C7-8BDD-60AD8B896ECC}"/>
    <hyperlink ref="E9" r:id="rId24" display="https://ytenx.org/kyonh/yonhmiuk/%E7%B4%99B/" xr:uid="{D8023C96-859A-4602-9378-9123999AE11E}"/>
    <hyperlink ref="F9" r:id="rId25" display="https://ytenx.org/kyonh/yonhmiuk/%E5%AF%98B/" xr:uid="{9ED66B1F-B9A5-4AB9-B075-6C4BB1803636}"/>
    <hyperlink ref="D10" r:id="rId26" display="https://ytenx.org/kyonh/yonhmiuk/%E8%84%82/" xr:uid="{E82D1394-9E5C-4D33-9E2C-E571F0FB291C}"/>
    <hyperlink ref="E10" r:id="rId27" display="https://ytenx.org/kyonh/yonhmiuk/%E6%97%A8/" xr:uid="{911FB8E5-EAD4-4128-9ABB-9D32D3AA07BF}"/>
    <hyperlink ref="F10" r:id="rId28" display="https://ytenx.org/kyonh/yonhmiuk/%E8%87%B3/" xr:uid="{AB4157D5-AA3E-437E-8E0C-CE0DBD9EE31A}"/>
    <hyperlink ref="D11" r:id="rId29" display="https://ytenx.org/kyonh/yonhmiuk/%E8%84%82A/" xr:uid="{A613837B-5889-4B9B-9A70-9A7A74F626A2}"/>
    <hyperlink ref="E11" r:id="rId30" display="https://ytenx.org/kyonh/yonhmiuk/%E6%97%A8A/" xr:uid="{4CF402C7-592C-42C0-85BC-5CB8C00874D1}"/>
    <hyperlink ref="F11" r:id="rId31" display="https://ytenx.org/kyonh/yonhmiuk/%E8%87%B3A/" xr:uid="{ED9F6023-B76E-418C-9464-1220C4E487AA}"/>
    <hyperlink ref="D12" r:id="rId32" display="https://ytenx.org/kyonh/yonhmiuk/%E8%84%82B/" xr:uid="{8AA82B46-A611-4002-96EA-F9E43791D0B1}"/>
    <hyperlink ref="E12" r:id="rId33" display="https://ytenx.org/kyonh/yonhmiuk/%E6%97%A8B/" xr:uid="{5F556C77-7B7E-49C8-99BA-32A8CAD64B4E}"/>
    <hyperlink ref="F12" r:id="rId34" display="https://ytenx.org/kyonh/yonhmiuk/%E8%87%B3B/" xr:uid="{7AB5C4B1-A4F7-42EF-B854-760784F41CDC}"/>
    <hyperlink ref="D13" r:id="rId35" display="https://ytenx.org/kyonh/yonhmiuk/%E4%B9%8B/" xr:uid="{7E0D77A5-B585-4665-94E6-9590CF4BA60D}"/>
    <hyperlink ref="E13" r:id="rId36" display="https://ytenx.org/kyonh/yonhmiuk/%E6%AD%A2/" xr:uid="{6EE47ECE-C34A-4AF0-B7E9-C6771ADEC50B}"/>
    <hyperlink ref="F13" r:id="rId37" display="https://ytenx.org/kyonh/yonhmiuk/%E5%BF%97/" xr:uid="{09E052A1-AD10-4CAF-9012-C3684808F2E6}"/>
    <hyperlink ref="D14" r:id="rId38" display="https://ytenx.org/kyonh/yonhmiuk/%E5%BE%AE/" xr:uid="{8B8D6CA2-A252-441C-B49F-8CFA9EF4B8E9}"/>
    <hyperlink ref="E14" r:id="rId39" display="https://ytenx.org/kyonh/yonhmiuk/%E5%B0%BE/" xr:uid="{0B2ED2AF-BC1D-408E-9F2E-77E0E529AEFC}"/>
    <hyperlink ref="F14" r:id="rId40" display="https://ytenx.org/kyonh/yonhmiuk/%E6%9C%AA/" xr:uid="{66A12904-0421-4937-B995-DD6D79536252}"/>
    <hyperlink ref="D15" r:id="rId41" display="https://ytenx.org/kyonh/yonhmiuk/%E9%AD%9A/" xr:uid="{84BE793C-8913-4C11-819D-A9CE5DC84B0A}"/>
    <hyperlink ref="E15" r:id="rId42" display="https://ytenx.org/kyonh/yonhmiuk/%E8%AA%9E/" xr:uid="{685BBC97-1BAA-4840-B565-28FE5144575D}"/>
    <hyperlink ref="F15" r:id="rId43" display="https://ytenx.org/kyonh/yonhmiuk/%E5%BE%A1/" xr:uid="{A4144342-9E7B-43EE-83E1-0A4B535ABB58}"/>
    <hyperlink ref="D16" r:id="rId44" display="https://ytenx.org/kyonh/yonhmiuk/%E8%99%9E/" xr:uid="{19819814-5BAA-41C8-B9D4-41F92BD33243}"/>
    <hyperlink ref="E16" r:id="rId45" display="https://ytenx.org/kyonh/yonhmiuk/%E9%BA%8C/" xr:uid="{E0A2639E-8C2E-47FA-942E-D0936B8D3FC5}"/>
    <hyperlink ref="F16" r:id="rId46" display="https://ytenx.org/kyonh/yonhmiuk/%E9%81%87/" xr:uid="{05030497-EDF2-4B6F-85C1-2BDC0E734146}"/>
    <hyperlink ref="D17" r:id="rId47" display="https://ytenx.org/kyonh/yonhmiuk/%E6%A8%A1/" xr:uid="{8AFB2980-BD1D-4B5C-A29A-A977616E95B1}"/>
    <hyperlink ref="E17" r:id="rId48" display="https://ytenx.org/kyonh/yonhmiuk/%E5%A7%A5/" xr:uid="{84760989-C766-4E68-9077-79C9D49DDAB0}"/>
    <hyperlink ref="F17" r:id="rId49" display="https://ytenx.org/kyonh/yonhmiuk/%E6%9A%AE/" xr:uid="{79820CA9-433F-4DD6-89AB-82567DD9CC71}"/>
    <hyperlink ref="D18" r:id="rId50" display="https://ytenx.org/kyonh/yonhmiuk/%E9%BD%8A/" xr:uid="{AE8F873A-7933-46B3-B1BE-52B5D52A2D4E}"/>
    <hyperlink ref="E18" r:id="rId51" display="https://ytenx.org/kyonh/yonhmiuk/%E8%96%BA/" xr:uid="{6348F1CE-2818-480A-8FA2-85C08DB6F1FB}"/>
    <hyperlink ref="F18" r:id="rId52" display="https://ytenx.org/kyonh/yonhmiuk/%E9%9C%BD/" xr:uid="{1041B72F-06FE-4737-9085-096943B7758D}"/>
    <hyperlink ref="F19" r:id="rId53" display="https://ytenx.org/kyonh/yonhmiuk/%E7%A5%AD/" xr:uid="{8EB79EA8-BFE5-4B80-9DAC-4924B0E2F66B}"/>
    <hyperlink ref="F20" r:id="rId54" display="https://ytenx.org/kyonh/yonhmiuk/%E7%A5%ADA/" xr:uid="{9FF32BF8-5816-4C40-97DF-A5A2A8AB2558}"/>
    <hyperlink ref="F21" r:id="rId55" display="https://ytenx.org/kyonh/yonhmiuk/%E7%A5%ADB/" xr:uid="{79651074-D684-444F-AFE3-FE1447FB46CA}"/>
    <hyperlink ref="F22" r:id="rId56" display="https://ytenx.org/kyonh/yonhmiuk/%E6%B3%B0/" xr:uid="{8876627D-4938-4741-A96B-A16BC2543E53}"/>
    <hyperlink ref="D23" r:id="rId57" display="https://ytenx.org/kyonh/yonhmiuk/%E4%BD%B3/" xr:uid="{6538777E-B1CA-48CC-8834-F655583EE71E}"/>
    <hyperlink ref="E23" r:id="rId58" display="https://ytenx.org/kyonh/yonhmiuk/%E8%9F%B9/" xr:uid="{85F11B5B-EA89-4A26-9612-10811458AF68}"/>
    <hyperlink ref="F23" r:id="rId59" display="https://ytenx.org/kyonh/yonhmiuk/%E5%8D%A6/" xr:uid="{07D4887E-5BDF-4797-A906-F1B303380CD2}"/>
    <hyperlink ref="D24" r:id="rId60" display="https://ytenx.org/kyonh/yonhmiuk/%E7%9A%86/" xr:uid="{EAD862CE-2B59-44CE-B84B-52D53C6ABE04}"/>
    <hyperlink ref="E24" r:id="rId61" display="https://ytenx.org/kyonh/yonhmiuk/%E9%A7%AD/" xr:uid="{463A2F10-D5C9-41E1-B1C6-79BDC189D069}"/>
    <hyperlink ref="F24" r:id="rId62" display="https://ytenx.org/kyonh/yonhmiuk/%E6%80%AA/" xr:uid="{87EED453-AE92-4833-A1B7-1B40E532A9A7}"/>
    <hyperlink ref="F25" r:id="rId63" display="https://ytenx.org/kyonh/yonhmiuk/%E5%A4%AC/" xr:uid="{AC2DD01D-25DB-4301-BFCA-7944989EB5DF}"/>
    <hyperlink ref="D26" r:id="rId64" display="https://ytenx.org/kyonh/yonhmiuk/%E7%81%B0/" xr:uid="{F44B664D-2B4F-48DE-B88C-C1BD31012468}"/>
    <hyperlink ref="E26" r:id="rId65" display="https://ytenx.org/kyonh/yonhmiuk/%E8%B3%84/" xr:uid="{14D21231-805D-41A5-B045-A831B68F29BC}"/>
    <hyperlink ref="F26" r:id="rId66" display="https://ytenx.org/kyonh/yonhmiuk/%E9%9A%8A/" xr:uid="{DF116E33-F97A-48E3-A6DD-4E1E29D2A59E}"/>
    <hyperlink ref="D27" r:id="rId67" display="https://ytenx.org/kyonh/yonhmiuk/%E5%92%8D/" xr:uid="{95CC89D2-5BD3-43ED-983A-0187A67485E1}"/>
    <hyperlink ref="E27" r:id="rId68" display="https://ytenx.org/kyonh/yonhmiuk/%E6%B5%B7/" xr:uid="{054EE287-5652-43F4-9804-CE19BF17B9A7}"/>
    <hyperlink ref="F27" r:id="rId69" display="https://ytenx.org/kyonh/yonhmiuk/%E4%BB%A3/" xr:uid="{915334DB-44AC-49BF-BC8F-1DB849DBE5D6}"/>
    <hyperlink ref="F28" r:id="rId70" display="https://ytenx.org/kyonh/yonhmiuk/%E5%BB%A2/" xr:uid="{27228394-09AE-46BA-807B-283063FCA0BD}"/>
    <hyperlink ref="D29" r:id="rId71" display="https://ytenx.org/kyonh/yonhmiuk/%E7%9C%9E/" xr:uid="{43566045-CE96-4584-BF15-0586C36A02C8}"/>
    <hyperlink ref="E29" r:id="rId72" display="https://ytenx.org/kyonh/yonhmiuk/%E8%BB%AB/" xr:uid="{46B00172-C96C-4F26-8449-70C1CF6600C0}"/>
    <hyperlink ref="F29" r:id="rId73" display="https://ytenx.org/kyonh/yonhmiuk/%E9%9C%87/" xr:uid="{5EACF8C7-6121-4825-9A73-0F633AB951A7}"/>
    <hyperlink ref="G29" r:id="rId74" display="https://ytenx.org/kyonh/yonhmiuk/%E8%B3%AA/" xr:uid="{B6A627BF-F80B-4568-9403-C03FC93753D3}"/>
    <hyperlink ref="D30" r:id="rId75" display="https://ytenx.org/kyonh/yonhmiuk/%E7%9C%9EA/" xr:uid="{F85ACBBF-65CB-45B0-9902-142CFF740E0C}"/>
    <hyperlink ref="E30" r:id="rId76" display="https://ytenx.org/kyonh/yonhmiuk/%E8%BB%ABA/" xr:uid="{A069BD6F-536B-428D-972D-9BF5A30CA8CD}"/>
    <hyperlink ref="F30" r:id="rId77" display="https://ytenx.org/kyonh/yonhmiuk/%E9%9C%87A/" xr:uid="{C7452CFB-8F0F-423D-AC63-AEDAA2DBE2C5}"/>
    <hyperlink ref="G30" r:id="rId78" display="https://ytenx.org/kyonh/yonhmiuk/%E8%B3%AAA/" xr:uid="{45E00F4D-EFC8-4119-9BBD-950A7CC4A7B3}"/>
    <hyperlink ref="D31" r:id="rId79" display="https://ytenx.org/kyonh/yonhmiuk/%E7%9C%9EB/" xr:uid="{B3DA3F15-221F-46F1-A2BF-74A4F8469CFF}"/>
    <hyperlink ref="E31" r:id="rId80" display="https://ytenx.org/kyonh/yonhmiuk/%E8%BB%ABB/" xr:uid="{AB1448C9-26C5-4D99-A09A-CC1456F692A4}"/>
    <hyperlink ref="F31" r:id="rId81" display="https://ytenx.org/kyonh/yonhmiuk/%E9%9C%87B/" xr:uid="{9B33BF0C-78C7-4D72-82E2-2E291D722D8D}"/>
    <hyperlink ref="G31" r:id="rId82" display="https://ytenx.org/kyonh/yonhmiuk/%E8%B3%AAB/" xr:uid="{DD34C828-8333-4F5E-B476-CFB8C3F492B9}"/>
    <hyperlink ref="D32" r:id="rId83" display="https://ytenx.org/kyonh/yonhmiuk/%E8%AB%84/" xr:uid="{1930B8D7-2566-4332-AC0B-BB9F37D9CEB1}"/>
    <hyperlink ref="E32" r:id="rId84" display="https://ytenx.org/kyonh/yonhmiuk/%E6%BA%96/" xr:uid="{DD587E84-A4E2-48A8-8673-B7DE18F6B0FD}"/>
    <hyperlink ref="F32" r:id="rId85" display="https://ytenx.org/kyonh/yonhmiuk/%E7%A8%95/" xr:uid="{AB9BD4EE-7E3F-4696-8F42-1F6D475B96E3}"/>
    <hyperlink ref="G32" r:id="rId86" display="https://ytenx.org/kyonh/yonhmiuk/%E8%A1%93/" xr:uid="{9518C849-A06C-4378-BF81-AB3E78C0028E}"/>
    <hyperlink ref="D33" r:id="rId87" display="https://ytenx.org/kyonh/yonhmiuk/%E8%AB%84A/" xr:uid="{B9CC371B-2D8D-4B8C-BDA3-6BF441691C16}"/>
    <hyperlink ref="E33" r:id="rId88" display="https://ytenx.org/kyonh/yonhmiuk/%E6%BA%96A/" xr:uid="{6AC7B856-29A9-4D82-B1A9-0DC588F9BD34}"/>
    <hyperlink ref="F33" r:id="rId89" display="https://ytenx.org/kyonh/yonhmiuk/%E7%A8%95A/" xr:uid="{9264809D-8A6F-4AD4-B4E6-8459CE571345}"/>
    <hyperlink ref="G33" r:id="rId90" display="https://ytenx.org/kyonh/yonhmiuk/%E8%A1%93A/" xr:uid="{B11DA6DA-90C1-4C70-87D6-C5AB2B14DCFA}"/>
    <hyperlink ref="D34" r:id="rId91" display="https://ytenx.org/kyonh/yonhmiuk/%E8%87%BB/" xr:uid="{DFE5206F-FD94-4AFD-BA4C-B77E87FB0974}"/>
    <hyperlink ref="E34" r:id="rId92" display="https://ytenx.org/kyonh/yonhmiuk/%F0%A7%A4%9B/" xr:uid="{9B700F22-7788-43BB-89BD-2F801133DA27}"/>
    <hyperlink ref="F34" r:id="rId93" display="https://ytenx.org/kyonh/yonhmiuk/%E6%AB%AC/" xr:uid="{B79C2A20-7D9D-47E9-9BCB-2D758490109F}"/>
    <hyperlink ref="G34" r:id="rId94" display="https://ytenx.org/kyonh/yonhmiuk/%E6%AB%9B/" xr:uid="{6575ACE5-4B32-4BAA-8989-C6E35A1BD239}"/>
    <hyperlink ref="D35" r:id="rId95" display="https://ytenx.org/kyonh/yonhmiuk/%E6%96%87/" xr:uid="{37707740-E7AB-48F2-B779-C13796EA5C7F}"/>
    <hyperlink ref="E35" r:id="rId96" display="https://ytenx.org/kyonh/yonhmiuk/%E5%90%BB/" xr:uid="{D365136E-689A-4496-B51D-60F818CE3BF7}"/>
    <hyperlink ref="F35" r:id="rId97" display="https://ytenx.org/kyonh/yonhmiuk/%E5%95%8F/" xr:uid="{F825B6C7-C12E-4530-9AFB-439AADB0EC3E}"/>
    <hyperlink ref="G35" r:id="rId98" display="https://ytenx.org/kyonh/yonhmiuk/%E7%89%A9/" xr:uid="{7328B32B-5798-4EBD-86FD-1653D4C919C4}"/>
    <hyperlink ref="D36" r:id="rId99" display="https://ytenx.org/kyonh/yonhmiuk/%E6%AC%A3/" xr:uid="{59D3FC1B-AF85-43E1-A038-7017CE283558}"/>
    <hyperlink ref="E36" r:id="rId100" display="https://ytenx.org/kyonh/yonhmiuk/%E9%9A%B1/" xr:uid="{C9BC037C-0887-40BB-9F76-2493B3F4D65F}"/>
    <hyperlink ref="F36" r:id="rId101" display="https://ytenx.org/kyonh/yonhmiuk/%E7%84%AE/" xr:uid="{225A6341-0D17-4BDD-89EE-B78894147345}"/>
    <hyperlink ref="G36" r:id="rId102" display="https://ytenx.org/kyonh/yonhmiuk/%E8%BF%84/" xr:uid="{847DE507-4518-4FE5-A376-F2231F104322}"/>
    <hyperlink ref="D37" r:id="rId103" display="https://ytenx.org/kyonh/yonhmiuk/%E5%85%83/" xr:uid="{8A37B64D-2C6B-45B2-AA3C-68D6B486D490}"/>
    <hyperlink ref="E37" r:id="rId104" display="https://ytenx.org/kyonh/yonhmiuk/%E9%98%AE/" xr:uid="{B1CFF104-B0D0-4F5C-969C-1A0DFE82A26C}"/>
    <hyperlink ref="F37" r:id="rId105" display="https://ytenx.org/kyonh/yonhmiuk/%E9%A1%98/" xr:uid="{A1A03CA8-7B98-435E-B680-29DBF9C53C1E}"/>
    <hyperlink ref="G37" r:id="rId106" display="https://ytenx.org/kyonh/yonhmiuk/%E6%9C%88/" xr:uid="{45F327FD-8D9E-4896-A0B8-2E35DB82D3FD}"/>
    <hyperlink ref="D38" r:id="rId107" display="https://ytenx.org/kyonh/yonhmiuk/%E9%AD%82/" xr:uid="{ED40F288-825E-4B20-BEC9-14F07FFD9CDD}"/>
    <hyperlink ref="E38" r:id="rId108" display="https://ytenx.org/kyonh/yonhmiuk/%E6%B7%B7/" xr:uid="{5A9E3DE1-4E7A-4236-BB7F-EC3F03B88709}"/>
    <hyperlink ref="F38" r:id="rId109" display="https://ytenx.org/kyonh/yonhmiuk/%E6%85%81/" xr:uid="{C8F4B5CD-40CE-4A13-9F99-FC36E247FEFE}"/>
    <hyperlink ref="G38" r:id="rId110" display="https://ytenx.org/kyonh/yonhmiuk/%E6%B2%92/" xr:uid="{55ACD1E2-A08A-4C06-A1B7-852AECF2410C}"/>
    <hyperlink ref="D39" r:id="rId111" display="https://ytenx.org/kyonh/yonhmiuk/%E7%97%95/" xr:uid="{66C437B7-4A4A-4968-AA6A-AB94BD8E9DD7}"/>
    <hyperlink ref="E39" r:id="rId112" display="https://ytenx.org/kyonh/yonhmiuk/%E5%BE%88/" xr:uid="{BE4DDD0D-BA06-4728-8451-A734376F2EE2}"/>
    <hyperlink ref="F39" r:id="rId113" display="https://ytenx.org/kyonh/yonhmiuk/%E6%81%A8/" xr:uid="{EF271AC7-18F9-4E99-B5FA-137CB1EA1797}"/>
    <hyperlink ref="G39" r:id="rId114" display="https://ytenx.org/kyonh/yonhmiuk/%E9%BA%A7/" xr:uid="{419AA0E2-1CBF-45E0-8427-1B601C225BB3}"/>
    <hyperlink ref="D40" r:id="rId115" display="https://ytenx.org/kyonh/yonhmiuk/%E5%AF%92/" xr:uid="{E044E2EF-867C-4267-9289-A939348E62E5}"/>
    <hyperlink ref="E40" r:id="rId116" display="https://ytenx.org/kyonh/yonhmiuk/%E6%97%B1/" xr:uid="{7DAA9D27-E8A6-42DA-A697-25B8A892A428}"/>
    <hyperlink ref="F40" r:id="rId117" display="https://ytenx.org/kyonh/yonhmiuk/%E7%BF%B0/" xr:uid="{408C39BC-4F27-4E55-B212-0904B5404C43}"/>
    <hyperlink ref="G40" r:id="rId118" display="https://ytenx.org/kyonh/yonhmiuk/%E6%9B%B7/" xr:uid="{DAD74606-6923-4153-8318-46068ED8BB33}"/>
    <hyperlink ref="D41" r:id="rId119" display="https://ytenx.org/kyonh/yonhmiuk/%E6%A1%93/" xr:uid="{B4360686-5241-400B-A54E-073FBE89FAE7}"/>
    <hyperlink ref="E41" r:id="rId120" display="https://ytenx.org/kyonh/yonhmiuk/%E7%B7%A9/" xr:uid="{F52C17A4-2DD7-4D64-87D8-0512D72823E7}"/>
    <hyperlink ref="F41" r:id="rId121" display="https://ytenx.org/kyonh/yonhmiuk/%E6%8F%9B/" xr:uid="{B7090E79-AC94-46F9-9D8A-2E51F8FD44E9}"/>
    <hyperlink ref="G41" r:id="rId122" display="https://ytenx.org/kyonh/yonhmiuk/%E6%9C%AB/" xr:uid="{7294512E-96FD-40E3-863F-17009CF6FCDF}"/>
    <hyperlink ref="D42" r:id="rId123" display="https://ytenx.org/kyonh/yonhmiuk/%E5%88%AA/" xr:uid="{45775272-DC31-4F91-AF8E-CB5C6D9ACD7D}"/>
    <hyperlink ref="E42" r:id="rId124" display="https://ytenx.org/kyonh/yonhmiuk/%E6%BD%B8/" xr:uid="{A79EE9C3-8FD6-4F86-9AC6-89CA2BB49757}"/>
    <hyperlink ref="F42" r:id="rId125" display="https://ytenx.org/kyonh/yonhmiuk/%E8%AB%AB/" xr:uid="{C6CCFF53-0D01-4945-90F8-6F5D86F41581}"/>
    <hyperlink ref="G42" r:id="rId126" display="https://ytenx.org/kyonh/yonhmiuk/%E9%BB%A0/" xr:uid="{31ECDD08-B778-4AEE-80C7-87329A9E6302}"/>
    <hyperlink ref="D43" r:id="rId127" display="https://ytenx.org/kyonh/yonhmiuk/%E5%B1%B1/" xr:uid="{2F76D0A0-9868-49D4-882D-47E59B3673F8}"/>
    <hyperlink ref="E43" r:id="rId128" display="https://ytenx.org/kyonh/yonhmiuk/%E7%94%A2/" xr:uid="{8F51C913-96D1-43FE-83FC-43C22D658BC0}"/>
    <hyperlink ref="F43" r:id="rId129" display="https://ytenx.org/kyonh/yonhmiuk/%E8%A5%87/" xr:uid="{A5AE6DE7-A825-49C0-9D69-2223048A1DEF}"/>
    <hyperlink ref="G43" r:id="rId130" display="https://ytenx.org/kyonh/yonhmiuk/%E9%8E%8B/" xr:uid="{AD1C2BBA-CA04-4814-B120-708CBB7AEF93}"/>
    <hyperlink ref="D44" r:id="rId131" display="https://ytenx.org/kyonh/yonhmiuk/%E5%85%88/" xr:uid="{EC7E7802-FF9C-41D1-AD17-B373FFD9C91D}"/>
    <hyperlink ref="E44" r:id="rId132" display="https://ytenx.org/kyonh/yonhmiuk/%E9%8A%91/" xr:uid="{46ADF86E-7915-4676-B700-5EBF1D5CF2B3}"/>
    <hyperlink ref="F44" r:id="rId133" display="https://ytenx.org/kyonh/yonhmiuk/%E9%9C%B0/" xr:uid="{3DF15E99-C0E5-4E6A-9E17-87FA2BA5FC97}"/>
    <hyperlink ref="G44" r:id="rId134" display="https://ytenx.org/kyonh/yonhmiuk/%E5%B1%91/" xr:uid="{C873A6AA-1BAE-4940-9642-EDBAAD952368}"/>
    <hyperlink ref="D45" r:id="rId135" display="https://ytenx.org/kyonh/yonhmiuk/%E4%BB%99/" xr:uid="{95C67941-2E0D-48CA-A2EE-DE97927A8B85}"/>
    <hyperlink ref="E45" r:id="rId136" display="https://ytenx.org/kyonh/yonhmiuk/%E7%8D%AE/" xr:uid="{18DDF6BE-22DF-4B40-A0F4-AFBF85E0018C}"/>
    <hyperlink ref="F45" r:id="rId137" display="https://ytenx.org/kyonh/yonhmiuk/%E7%B7%9A/" xr:uid="{1A16F400-0879-4DE7-ADD0-2617DB2A77DF}"/>
    <hyperlink ref="G45" r:id="rId138" display="https://ytenx.org/kyonh/yonhmiuk/%E8%96%9B/" xr:uid="{3693DCFE-C0FA-49BC-80D5-B6D9DF847F7B}"/>
    <hyperlink ref="D46" r:id="rId139" display="https://ytenx.org/kyonh/yonhmiuk/%E4%BB%99A/" xr:uid="{439AAA2C-B98F-4B24-BBB7-EF9EB4FAD0E1}"/>
    <hyperlink ref="E46" r:id="rId140" display="https://ytenx.org/kyonh/yonhmiuk/%E7%8D%AEA/" xr:uid="{D17D28CC-2F3C-495A-9A02-CBFC7C0C6AAF}"/>
    <hyperlink ref="F46" r:id="rId141" display="https://ytenx.org/kyonh/yonhmiuk/%E7%B7%9AA/" xr:uid="{F9978E42-0101-42AE-BCDF-2E7F1E599868}"/>
    <hyperlink ref="G46" r:id="rId142" display="https://ytenx.org/kyonh/yonhmiuk/%E8%96%9BA/" xr:uid="{71A88468-4310-4D74-86E7-47D52DB22A5F}"/>
    <hyperlink ref="D47" r:id="rId143" display="https://ytenx.org/kyonh/yonhmiuk/%E4%BB%99B/" xr:uid="{5CA4635E-5738-4746-A0F8-BCFBE113F9CA}"/>
    <hyperlink ref="E47" r:id="rId144" display="https://ytenx.org/kyonh/yonhmiuk/%E7%8D%AEB/" xr:uid="{D404F5BE-615D-4C76-9B4E-EA738A88781A}"/>
    <hyperlink ref="F47" r:id="rId145" display="https://ytenx.org/kyonh/yonhmiuk/%E7%B7%9AB/" xr:uid="{95F5F47F-862A-4AC4-AE98-196CD2D2861E}"/>
    <hyperlink ref="G47" r:id="rId146" display="https://ytenx.org/kyonh/yonhmiuk/%E8%96%9BB/" xr:uid="{6B5AF120-99E1-4DA3-AAC4-7AE652F6A71A}"/>
    <hyperlink ref="D48" r:id="rId147" display="https://ytenx.org/kyonh/yonhmiuk/%E8%95%AD/" xr:uid="{7253CA9C-6A6E-43AC-9FA1-3B120ED032CB}"/>
    <hyperlink ref="E48" r:id="rId148" display="https://ytenx.org/kyonh/yonhmiuk/%E7%AF%A0/" xr:uid="{35A45648-2902-41BB-84C8-DEB596150A10}"/>
    <hyperlink ref="F48" r:id="rId149" display="https://ytenx.org/kyonh/yonhmiuk/%E5%98%AF/" xr:uid="{51556FFB-32CD-4867-AC87-1A5364838791}"/>
    <hyperlink ref="D49" r:id="rId150" display="https://ytenx.org/kyonh/yonhmiuk/%E5%AE%B5/" xr:uid="{386EF2E5-D6FB-4107-9616-606951191460}"/>
    <hyperlink ref="E49" r:id="rId151" display="https://ytenx.org/kyonh/yonhmiuk/%E5%B0%8F/" xr:uid="{7B52DEFF-1363-4E7E-9727-1DCD5AEFFA6A}"/>
    <hyperlink ref="F49" r:id="rId152" display="https://ytenx.org/kyonh/yonhmiuk/%E7%AC%91/" xr:uid="{A78FDE69-25A3-411D-ABEA-EF3318981EBA}"/>
    <hyperlink ref="D50" r:id="rId153" display="https://ytenx.org/kyonh/yonhmiuk/%E5%AE%B5A/" xr:uid="{704F5010-1022-47B3-8409-A2F94B2C7A48}"/>
    <hyperlink ref="E50" r:id="rId154" display="https://ytenx.org/kyonh/yonhmiuk/%E5%B0%8FA/" xr:uid="{52EEFBB0-E957-4B9F-BD40-D59DCA8D7D5B}"/>
    <hyperlink ref="F50" r:id="rId155" display="https://ytenx.org/kyonh/yonhmiuk/%E7%AC%91A/" xr:uid="{F9D1C57B-6F72-4684-9472-D86F2256766B}"/>
    <hyperlink ref="D51" r:id="rId156" display="https://ytenx.org/kyonh/yonhmiuk/%E5%AE%B5B/" xr:uid="{78C82956-437A-4A85-BCD0-9F8F8A079608}"/>
    <hyperlink ref="E51" r:id="rId157" display="https://ytenx.org/kyonh/yonhmiuk/%E5%B0%8FB/" xr:uid="{AC3B71FD-23D1-45AB-B3E2-251DF99421B8}"/>
    <hyperlink ref="F51" r:id="rId158" display="https://ytenx.org/kyonh/yonhmiuk/%E7%AC%91B/" xr:uid="{9685F7F7-7D99-46C4-BC68-ED5ED33622C8}"/>
    <hyperlink ref="D52" r:id="rId159" display="https://ytenx.org/kyonh/yonhmiuk/%E8%82%B4/" xr:uid="{952071C6-C2DD-467F-8340-2009A22B48D9}"/>
    <hyperlink ref="E52" r:id="rId160" display="https://ytenx.org/kyonh/yonhmiuk/%E5%B7%A7/" xr:uid="{FDAE171F-EDC7-40BB-A002-CEC2FB368046}"/>
    <hyperlink ref="F52" r:id="rId161" display="https://ytenx.org/kyonh/yonhmiuk/%E6%95%88/" xr:uid="{A166A10E-9103-4AED-A962-F0699239E6EE}"/>
    <hyperlink ref="D53" r:id="rId162" display="https://ytenx.org/kyonh/yonhmiuk/%E8%B1%AA/" xr:uid="{DE51CB44-09AC-41B4-9FF3-A84BF937677B}"/>
    <hyperlink ref="E53" r:id="rId163" display="https://ytenx.org/kyonh/yonhmiuk/%E6%99%A7/" xr:uid="{3FADF74A-B110-4767-8981-85308DC2F03C}"/>
    <hyperlink ref="F53" r:id="rId164" display="https://ytenx.org/kyonh/yonhmiuk/%E5%8F%B7/" xr:uid="{F460D07B-C90E-4E71-9AB3-8093E67AE091}"/>
    <hyperlink ref="D54" r:id="rId165" display="https://ytenx.org/kyonh/yonhmiuk/%E6%AD%8C/" xr:uid="{C3046A43-8592-4AF6-9AC3-BE8A27397A93}"/>
    <hyperlink ref="E54" r:id="rId166" display="https://ytenx.org/kyonh/yonhmiuk/%E5%93%BF/" xr:uid="{F68D97C8-E6D6-40BC-B833-46B42F6FBB39}"/>
    <hyperlink ref="F54" r:id="rId167" display="https://ytenx.org/kyonh/yonhmiuk/%E7%AE%87/" xr:uid="{7C949274-45EC-40CB-AC2F-75FDAD8DB538}"/>
    <hyperlink ref="D55" r:id="rId168" display="https://ytenx.org/kyonh/yonhmiuk/%E6%88%88/" xr:uid="{6B225DE7-4F8A-4A46-8A26-F2EE13872E4C}"/>
    <hyperlink ref="E55" r:id="rId169" display="https://ytenx.org/kyonh/yonhmiuk/%E6%9E%9C/" xr:uid="{C76439E2-61B4-402A-809E-1AF8C427CD9B}"/>
    <hyperlink ref="F55" r:id="rId170" display="https://ytenx.org/kyonh/yonhmiuk/%E9%81%8E/" xr:uid="{C9BFC169-BC0A-4A8F-936A-718577B4578A}"/>
    <hyperlink ref="D56" r:id="rId171" display="https://ytenx.org/kyonh/yonhmiuk/%E9%BA%BB/" xr:uid="{AFAD651F-12FD-49EE-A205-7234CF15CFEB}"/>
    <hyperlink ref="E56" r:id="rId172" display="https://ytenx.org/kyonh/yonhmiuk/%E9%A6%AC/" xr:uid="{CA36BBF4-0584-44BF-AC37-E875578D31CF}"/>
    <hyperlink ref="F56" r:id="rId173" display="https://ytenx.org/kyonh/yonhmiuk/%E7%A6%A1/" xr:uid="{8368E0F0-54C3-4DF6-8837-C0C7E6B3AB89}"/>
    <hyperlink ref="D57" r:id="rId174" display="https://ytenx.org/kyonh/yonhmiuk/%E9%99%BD/" xr:uid="{209B5A0C-F2DE-4EDA-9C8F-BA3DC82D5B71}"/>
    <hyperlink ref="E57" r:id="rId175" display="https://ytenx.org/kyonh/yonhmiuk/%E9%A4%8A/" xr:uid="{54357AEF-7AE0-453E-BAB7-446F5B1FC5FB}"/>
    <hyperlink ref="F57" r:id="rId176" display="https://ytenx.org/kyonh/yonhmiuk/%E6%BC%BE/" xr:uid="{92CE155B-B204-43D2-817D-C620AB425ABF}"/>
    <hyperlink ref="G57" r:id="rId177" display="https://ytenx.org/kyonh/yonhmiuk/%E8%97%A5/" xr:uid="{E15D507E-D9C3-47EE-9047-4E24FC18CDD9}"/>
    <hyperlink ref="D58" r:id="rId178" display="https://ytenx.org/kyonh/yonhmiuk/%E5%94%90/" xr:uid="{40390ECA-37AE-4CAE-AEAF-CD95D3BEB886}"/>
    <hyperlink ref="E58" r:id="rId179" display="https://ytenx.org/kyonh/yonhmiuk/%E8%95%A9/" xr:uid="{29AB4F71-6E28-4832-BDAC-E347B337B09F}"/>
    <hyperlink ref="F58" r:id="rId180" display="https://ytenx.org/kyonh/yonhmiuk/%E5%AE%95/" xr:uid="{3839FBA3-F6F5-4E31-88A7-EDCA162DC30E}"/>
    <hyperlink ref="G58" r:id="rId181" display="https://ytenx.org/kyonh/yonhmiuk/%E9%90%B8/" xr:uid="{F19184DF-F515-4F74-9D98-9733730949EA}"/>
    <hyperlink ref="D59" r:id="rId182" display="https://ytenx.org/kyonh/yonhmiuk/%E5%BA%9A/" xr:uid="{70944A3B-B01F-4430-AD38-ACD263D854B6}"/>
    <hyperlink ref="E59" r:id="rId183" display="https://ytenx.org/kyonh/yonhmiuk/%E6%A2%97/" xr:uid="{08D450A9-62FD-45CD-AADA-FFFE94B8A65C}"/>
    <hyperlink ref="F59" r:id="rId184" display="https://ytenx.org/kyonh/yonhmiuk/%E6%98%A0/" xr:uid="{422FA037-B3E4-4DF2-8434-E1B5390812E3}"/>
    <hyperlink ref="G59" r:id="rId185" display="https://ytenx.org/kyonh/yonhmiuk/%E9%99%8C/" xr:uid="{A4BA9E5C-C092-4EA0-BECB-1D91EBEB09D9}"/>
    <hyperlink ref="D60" r:id="rId186" display="https://ytenx.org/kyonh/yonhmiuk/%E8%80%95/" xr:uid="{CD5DAD68-F872-45D2-8A96-217C9359B5FD}"/>
    <hyperlink ref="E60" r:id="rId187" display="https://ytenx.org/kyonh/yonhmiuk/%E8%80%BF/" xr:uid="{CBF6EF77-5602-4CBA-8A5B-14AF1FDC23FF}"/>
    <hyperlink ref="F60" r:id="rId188" display="https://ytenx.org/kyonh/yonhmiuk/%E8%AB%8D/" xr:uid="{090A8FC6-0C88-46D3-8B14-AAEE0057FE10}"/>
    <hyperlink ref="G60" r:id="rId189" display="https://ytenx.org/kyonh/yonhmiuk/%E9%BA%A5/" xr:uid="{C18D31A0-B148-49B6-990A-ECB3746C3FBD}"/>
    <hyperlink ref="D61" r:id="rId190" display="https://ytenx.org/kyonh/yonhmiuk/%E6%B8%85/" xr:uid="{6E722D52-4F1E-45D8-904D-AF77E3BD7AE9}"/>
    <hyperlink ref="E61" r:id="rId191" display="https://ytenx.org/kyonh/yonhmiuk/%E9%9D%9C/" xr:uid="{29A23105-BF4E-4115-8E1F-CAF1DAC375DC}"/>
    <hyperlink ref="F61" r:id="rId192" display="https://ytenx.org/kyonh/yonhmiuk/%E5%8B%81/" xr:uid="{305A9E0F-5752-424C-9E78-A0F49A512A83}"/>
    <hyperlink ref="G61" r:id="rId193" display="https://ytenx.org/kyonh/yonhmiuk/%E6%98%94/" xr:uid="{176EFADD-E54C-4E0E-8EF7-9F6D33CCBD91}"/>
    <hyperlink ref="D62" r:id="rId194" display="https://ytenx.org/kyonh/yonhmiuk/%E6%B8%85A/" xr:uid="{2738D820-F0B1-43B5-8BB4-5316CE415F68}"/>
    <hyperlink ref="E62" r:id="rId195" display="https://ytenx.org/kyonh/yonhmiuk/%E9%9D%9CA/" xr:uid="{E7A8CDB3-5F27-4287-BB80-C8B2F2DBFD5F}"/>
    <hyperlink ref="F62" r:id="rId196" display="https://ytenx.org/kyonh/yonhmiuk/%E5%8B%81A/" xr:uid="{F7ADA287-EAC2-4078-BD6E-14D99D5311F2}"/>
    <hyperlink ref="G62" r:id="rId197" display="https://ytenx.org/kyonh/yonhmiuk/%E6%98%94A/" xr:uid="{DBA82C3E-156F-472A-9BB2-08BED755A16A}"/>
    <hyperlink ref="D63" r:id="rId198" display="https://ytenx.org/kyonh/yonhmiuk/%E9%9D%92/" xr:uid="{CBD70694-46BB-4C11-87FA-D72B7100B613}"/>
    <hyperlink ref="E63" r:id="rId199" display="https://ytenx.org/kyonh/yonhmiuk/%E8%BF%A5/" xr:uid="{10CB89AB-DE84-482B-B415-5C4CE5113D0C}"/>
    <hyperlink ref="F63" r:id="rId200" display="https://ytenx.org/kyonh/yonhmiuk/%E5%BE%91/" xr:uid="{511D7845-346A-4169-8A21-538411CB3392}"/>
    <hyperlink ref="G63" r:id="rId201" display="https://ytenx.org/kyonh/yonhmiuk/%E9%8C%AB/" xr:uid="{949272E3-7C29-44D3-B8A0-35EAAC84FA3D}"/>
  </hyperlinks>
  <pageMargins left="0.7" right="0.7" top="0.75" bottom="0.75" header="0.3" footer="0.3"/>
  <tableParts count="1">
    <tablePart r:id="rId20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2B41-0D7B-41E7-B48D-CBD7538784C5}">
  <sheetPr>
    <tabColor rgb="FF00B0F0"/>
  </sheetPr>
  <dimension ref="B1:Q101"/>
  <sheetViews>
    <sheetView showGridLines="0" zoomScale="70" zoomScaleNormal="70" workbookViewId="0">
      <pane xSplit="9" ySplit="3" topLeftCell="J72" activePane="bottomRight" state="frozen"/>
      <selection activeCell="N35" sqref="N35"/>
      <selection pane="topRight" activeCell="N35" sqref="N35"/>
      <selection pane="bottomLeft" activeCell="N35" sqref="N35"/>
      <selection pane="bottomRight" activeCell="U106" sqref="U106"/>
    </sheetView>
  </sheetViews>
  <sheetFormatPr defaultColWidth="17.5" defaultRowHeight="30" outlineLevelCol="1"/>
  <cols>
    <col min="1" max="1" width="1.5" style="263" customWidth="1"/>
    <col min="2" max="2" width="14.625" style="262" customWidth="1"/>
    <col min="3" max="3" width="7.125" style="262" customWidth="1"/>
    <col min="4" max="4" width="8.5" style="262" hidden="1" customWidth="1" outlineLevel="1"/>
    <col min="5" max="5" width="10.5" style="263" customWidth="1" collapsed="1"/>
    <col min="6" max="8" width="10.5" style="263" customWidth="1"/>
    <col min="9" max="9" width="12.125" style="262" hidden="1" customWidth="1" outlineLevel="1"/>
    <col min="10" max="10" width="15" style="263" customWidth="1" collapsed="1"/>
    <col min="11" max="17" width="15" style="263" customWidth="1"/>
    <col min="18" max="16384" width="17.5" style="263"/>
  </cols>
  <sheetData>
    <row r="1" spans="2:17" ht="5.25" customHeight="1">
      <c r="B1" s="261"/>
    </row>
    <row r="2" spans="2:17" ht="27.75" customHeight="1">
      <c r="B2" s="278" t="s">
        <v>905</v>
      </c>
      <c r="C2" s="287" t="s">
        <v>2181</v>
      </c>
      <c r="D2" s="278" t="s">
        <v>911</v>
      </c>
      <c r="E2" s="278" t="s">
        <v>2182</v>
      </c>
      <c r="F2" s="278"/>
      <c r="G2" s="278"/>
      <c r="H2" s="278"/>
      <c r="I2" s="286" t="s">
        <v>2183</v>
      </c>
      <c r="J2" s="286" t="s">
        <v>2184</v>
      </c>
      <c r="K2" s="286"/>
      <c r="L2" s="286" t="s">
        <v>2185</v>
      </c>
      <c r="M2" s="286"/>
      <c r="N2" s="286" t="s">
        <v>2186</v>
      </c>
      <c r="O2" s="286"/>
      <c r="P2" s="286" t="s">
        <v>2187</v>
      </c>
      <c r="Q2" s="286"/>
    </row>
    <row r="3" spans="2:17" s="262" customFormat="1" ht="27.75" customHeight="1">
      <c r="B3" s="278"/>
      <c r="C3" s="288"/>
      <c r="D3" s="278"/>
      <c r="E3" s="264" t="s">
        <v>2188</v>
      </c>
      <c r="F3" s="264" t="s">
        <v>2189</v>
      </c>
      <c r="G3" s="264" t="s">
        <v>2190</v>
      </c>
      <c r="H3" s="264" t="s">
        <v>2191</v>
      </c>
      <c r="I3" s="286"/>
      <c r="J3" s="266" t="s">
        <v>2192</v>
      </c>
      <c r="K3" s="265" t="s">
        <v>2193</v>
      </c>
      <c r="L3" s="266" t="s">
        <v>2192</v>
      </c>
      <c r="M3" s="265" t="s">
        <v>2193</v>
      </c>
      <c r="N3" s="266" t="s">
        <v>2192</v>
      </c>
      <c r="O3" s="265" t="s">
        <v>2193</v>
      </c>
      <c r="P3" s="265" t="s">
        <v>2192</v>
      </c>
      <c r="Q3" s="265" t="s">
        <v>2193</v>
      </c>
    </row>
    <row r="4" spans="2:17">
      <c r="B4" s="281" t="s">
        <v>292</v>
      </c>
      <c r="C4" s="278">
        <v>1</v>
      </c>
      <c r="D4" s="280" t="s">
        <v>293</v>
      </c>
      <c r="E4" s="268" t="s">
        <v>2194</v>
      </c>
      <c r="F4" s="268" t="s">
        <v>2195</v>
      </c>
      <c r="G4" s="268" t="s">
        <v>2196</v>
      </c>
      <c r="H4" s="269"/>
      <c r="I4" s="265" t="s">
        <v>2197</v>
      </c>
      <c r="J4" s="270" t="s">
        <v>2133</v>
      </c>
      <c r="K4" s="270"/>
      <c r="L4" s="270"/>
      <c r="M4" s="270"/>
      <c r="N4" s="270" t="s">
        <v>2135</v>
      </c>
      <c r="O4" s="270"/>
      <c r="P4" s="270"/>
      <c r="Q4" s="270"/>
    </row>
    <row r="5" spans="2:17">
      <c r="B5" s="281"/>
      <c r="C5" s="278"/>
      <c r="D5" s="280"/>
      <c r="E5" s="269"/>
      <c r="F5" s="269"/>
      <c r="G5" s="269"/>
      <c r="H5" s="268" t="s">
        <v>2198</v>
      </c>
      <c r="I5" s="265" t="s">
        <v>861</v>
      </c>
      <c r="J5" s="270" t="s">
        <v>2134</v>
      </c>
      <c r="K5" s="270"/>
      <c r="L5" s="270"/>
      <c r="M5" s="270"/>
      <c r="N5" s="270" t="s">
        <v>2136</v>
      </c>
      <c r="O5" s="270"/>
      <c r="P5" s="270"/>
      <c r="Q5" s="270"/>
    </row>
    <row r="6" spans="2:17">
      <c r="B6" s="281"/>
      <c r="C6" s="278">
        <v>2</v>
      </c>
      <c r="D6" s="280" t="s">
        <v>305</v>
      </c>
      <c r="E6" s="268" t="s">
        <v>2199</v>
      </c>
      <c r="F6" s="269"/>
      <c r="G6" s="268" t="s">
        <v>2200</v>
      </c>
      <c r="H6" s="269"/>
      <c r="I6" s="265" t="s">
        <v>2197</v>
      </c>
      <c r="J6" s="271" t="s">
        <v>2133</v>
      </c>
      <c r="K6" s="270"/>
      <c r="L6" s="270"/>
      <c r="M6" s="270"/>
      <c r="N6" s="270"/>
      <c r="O6" s="270"/>
      <c r="P6" s="270"/>
      <c r="Q6" s="270"/>
    </row>
    <row r="7" spans="2:17">
      <c r="B7" s="281"/>
      <c r="C7" s="278"/>
      <c r="D7" s="280"/>
      <c r="E7" s="269"/>
      <c r="F7" s="269"/>
      <c r="G7" s="269"/>
      <c r="H7" s="268" t="s">
        <v>2201</v>
      </c>
      <c r="I7" s="265" t="s">
        <v>861</v>
      </c>
      <c r="J7" s="271" t="s">
        <v>2134</v>
      </c>
      <c r="K7" s="270"/>
      <c r="L7" s="270"/>
      <c r="M7" s="270"/>
      <c r="N7" s="270"/>
      <c r="O7" s="270"/>
      <c r="P7" s="270"/>
      <c r="Q7" s="270"/>
    </row>
    <row r="8" spans="2:17">
      <c r="B8" s="281"/>
      <c r="C8" s="278">
        <v>3</v>
      </c>
      <c r="D8" s="280" t="s">
        <v>308</v>
      </c>
      <c r="E8" s="268" t="s">
        <v>2202</v>
      </c>
      <c r="F8" s="268" t="s">
        <v>2203</v>
      </c>
      <c r="G8" s="268" t="s">
        <v>2204</v>
      </c>
      <c r="H8" s="269"/>
      <c r="I8" s="265" t="s">
        <v>2197</v>
      </c>
      <c r="J8" s="270"/>
      <c r="K8" s="270"/>
      <c r="L8" s="270"/>
      <c r="M8" s="270"/>
      <c r="N8" s="270" t="s">
        <v>2135</v>
      </c>
      <c r="O8" s="270"/>
      <c r="P8" s="270"/>
      <c r="Q8" s="270"/>
    </row>
    <row r="9" spans="2:17">
      <c r="B9" s="281"/>
      <c r="C9" s="278"/>
      <c r="D9" s="280"/>
      <c r="E9" s="269"/>
      <c r="F9" s="269"/>
      <c r="G9" s="269"/>
      <c r="H9" s="268" t="s">
        <v>2205</v>
      </c>
      <c r="I9" s="265" t="s">
        <v>861</v>
      </c>
      <c r="J9" s="270"/>
      <c r="K9" s="270"/>
      <c r="L9" s="270"/>
      <c r="M9" s="270"/>
      <c r="N9" s="270" t="s">
        <v>2136</v>
      </c>
      <c r="O9" s="270"/>
      <c r="P9" s="270"/>
      <c r="Q9" s="270"/>
    </row>
    <row r="10" spans="2:17">
      <c r="B10" s="281" t="s">
        <v>311</v>
      </c>
      <c r="C10" s="278">
        <v>4</v>
      </c>
      <c r="D10" s="279" t="s">
        <v>311</v>
      </c>
      <c r="E10" s="268" t="s">
        <v>2206</v>
      </c>
      <c r="F10" s="268" t="s">
        <v>2207</v>
      </c>
      <c r="G10" s="268" t="s">
        <v>2208</v>
      </c>
      <c r="H10" s="269"/>
      <c r="I10" s="265" t="s">
        <v>2197</v>
      </c>
      <c r="J10" s="270"/>
      <c r="K10" s="270"/>
      <c r="L10" s="273" t="s">
        <v>2139</v>
      </c>
      <c r="M10" s="270"/>
      <c r="N10" s="270"/>
      <c r="O10" s="270"/>
      <c r="P10" s="270"/>
      <c r="Q10" s="270"/>
    </row>
    <row r="11" spans="2:17">
      <c r="B11" s="281"/>
      <c r="C11" s="278"/>
      <c r="D11" s="279"/>
      <c r="E11" s="269"/>
      <c r="F11" s="269"/>
      <c r="G11" s="269"/>
      <c r="H11" s="268" t="s">
        <v>2209</v>
      </c>
      <c r="I11" s="265" t="s">
        <v>861</v>
      </c>
      <c r="J11" s="270"/>
      <c r="K11" s="270"/>
      <c r="L11" s="273" t="s">
        <v>2140</v>
      </c>
      <c r="M11" s="270"/>
      <c r="N11" s="270"/>
      <c r="O11" s="270"/>
      <c r="P11" s="270"/>
      <c r="Q11" s="270"/>
    </row>
    <row r="12" spans="2:17">
      <c r="B12" s="281" t="s">
        <v>334</v>
      </c>
      <c r="C12" s="264">
        <v>5</v>
      </c>
      <c r="D12" s="274" t="s">
        <v>335</v>
      </c>
      <c r="E12" s="268" t="s">
        <v>2210</v>
      </c>
      <c r="F12" s="268" t="s">
        <v>2211</v>
      </c>
      <c r="G12" s="268" t="s">
        <v>2212</v>
      </c>
      <c r="H12" s="269"/>
      <c r="I12" s="265" t="s">
        <v>2197</v>
      </c>
      <c r="J12" s="270"/>
      <c r="K12" s="270"/>
      <c r="L12" s="270"/>
      <c r="M12" s="270"/>
      <c r="N12" s="270" t="s">
        <v>2213</v>
      </c>
      <c r="O12" s="270" t="s">
        <v>354</v>
      </c>
      <c r="P12" s="270"/>
      <c r="Q12" s="270"/>
    </row>
    <row r="13" spans="2:17">
      <c r="B13" s="281"/>
      <c r="C13" s="264">
        <v>6</v>
      </c>
      <c r="D13" s="274" t="s">
        <v>356</v>
      </c>
      <c r="E13" s="268" t="s">
        <v>2214</v>
      </c>
      <c r="F13" s="268" t="s">
        <v>2215</v>
      </c>
      <c r="G13" s="268" t="s">
        <v>2216</v>
      </c>
      <c r="H13" s="269"/>
      <c r="I13" s="265" t="s">
        <v>2197</v>
      </c>
      <c r="J13" s="270"/>
      <c r="K13" s="270"/>
      <c r="L13" s="270"/>
      <c r="M13" s="270"/>
      <c r="N13" s="270" t="s">
        <v>2213</v>
      </c>
      <c r="O13" s="270" t="s">
        <v>354</v>
      </c>
      <c r="P13" s="270"/>
      <c r="Q13" s="270"/>
    </row>
    <row r="14" spans="2:17">
      <c r="B14" s="281"/>
      <c r="C14" s="264">
        <v>7</v>
      </c>
      <c r="D14" s="274" t="s">
        <v>373</v>
      </c>
      <c r="E14" s="268" t="s">
        <v>2217</v>
      </c>
      <c r="F14" s="268" t="s">
        <v>2218</v>
      </c>
      <c r="G14" s="268" t="s">
        <v>2219</v>
      </c>
      <c r="H14" s="269"/>
      <c r="I14" s="265" t="s">
        <v>2197</v>
      </c>
      <c r="J14" s="270"/>
      <c r="K14" s="270"/>
      <c r="L14" s="270"/>
      <c r="M14" s="270"/>
      <c r="N14" s="270" t="s">
        <v>2213</v>
      </c>
      <c r="O14" s="270"/>
      <c r="P14" s="270"/>
      <c r="Q14" s="270"/>
    </row>
    <row r="15" spans="2:17">
      <c r="B15" s="281"/>
      <c r="C15" s="264">
        <v>8</v>
      </c>
      <c r="D15" s="272" t="s">
        <v>34</v>
      </c>
      <c r="E15" s="268" t="s">
        <v>2220</v>
      </c>
      <c r="F15" s="268" t="s">
        <v>2221</v>
      </c>
      <c r="G15" s="268" t="s">
        <v>2222</v>
      </c>
      <c r="H15" s="269"/>
      <c r="I15" s="265" t="s">
        <v>2197</v>
      </c>
      <c r="J15" s="270"/>
      <c r="K15" s="270"/>
      <c r="L15" s="270"/>
      <c r="M15" s="270"/>
      <c r="N15" s="270" t="s">
        <v>2141</v>
      </c>
      <c r="O15" s="270" t="s">
        <v>354</v>
      </c>
      <c r="P15" s="270"/>
      <c r="Q15" s="270"/>
    </row>
    <row r="16" spans="2:17">
      <c r="B16" s="281" t="s">
        <v>382</v>
      </c>
      <c r="C16" s="264">
        <v>9</v>
      </c>
      <c r="D16" s="267" t="s">
        <v>383</v>
      </c>
      <c r="E16" s="268" t="s">
        <v>2223</v>
      </c>
      <c r="F16" s="268" t="s">
        <v>2224</v>
      </c>
      <c r="G16" s="268" t="s">
        <v>2225</v>
      </c>
      <c r="H16" s="269"/>
      <c r="I16" s="265" t="s">
        <v>2197</v>
      </c>
      <c r="J16" s="270"/>
      <c r="K16" s="270"/>
      <c r="L16" s="270"/>
      <c r="M16" s="270"/>
      <c r="N16" s="275" t="s">
        <v>2143</v>
      </c>
      <c r="O16" s="270"/>
      <c r="P16" s="270"/>
      <c r="Q16" s="270"/>
    </row>
    <row r="17" spans="2:17">
      <c r="B17" s="281"/>
      <c r="C17" s="264">
        <v>10</v>
      </c>
      <c r="D17" s="274" t="s">
        <v>390</v>
      </c>
      <c r="E17" s="268" t="s">
        <v>2226</v>
      </c>
      <c r="F17" s="268" t="s">
        <v>2227</v>
      </c>
      <c r="G17" s="268" t="s">
        <v>2228</v>
      </c>
      <c r="H17" s="269"/>
      <c r="I17" s="265" t="s">
        <v>2197</v>
      </c>
      <c r="J17" s="270"/>
      <c r="K17" s="270"/>
      <c r="L17" s="270"/>
      <c r="M17" s="270"/>
      <c r="N17" s="270" t="s">
        <v>2144</v>
      </c>
      <c r="O17" s="270"/>
      <c r="P17" s="270"/>
      <c r="Q17" s="270"/>
    </row>
    <row r="18" spans="2:17">
      <c r="B18" s="281"/>
      <c r="C18" s="264">
        <v>11</v>
      </c>
      <c r="D18" s="274" t="s">
        <v>386</v>
      </c>
      <c r="E18" s="268" t="s">
        <v>2229</v>
      </c>
      <c r="F18" s="268" t="s">
        <v>2230</v>
      </c>
      <c r="G18" s="268" t="s">
        <v>2231</v>
      </c>
      <c r="H18" s="269"/>
      <c r="I18" s="265" t="s">
        <v>2197</v>
      </c>
      <c r="J18" s="275" t="s">
        <v>2145</v>
      </c>
      <c r="K18" s="270"/>
      <c r="L18" s="270"/>
      <c r="M18" s="270"/>
      <c r="N18" s="270"/>
      <c r="O18" s="270"/>
      <c r="P18" s="270"/>
      <c r="Q18" s="270"/>
    </row>
    <row r="19" spans="2:17">
      <c r="B19" s="281" t="s">
        <v>394</v>
      </c>
      <c r="C19" s="264">
        <v>12</v>
      </c>
      <c r="D19" s="272" t="s">
        <v>452</v>
      </c>
      <c r="E19" s="268" t="s">
        <v>2232</v>
      </c>
      <c r="F19" s="268" t="s">
        <v>2233</v>
      </c>
      <c r="G19" s="268" t="s">
        <v>2234</v>
      </c>
      <c r="H19" s="269"/>
      <c r="I19" s="265" t="s">
        <v>2197</v>
      </c>
      <c r="J19" s="270"/>
      <c r="K19" s="270"/>
      <c r="L19" s="270"/>
      <c r="M19" s="270"/>
      <c r="N19" s="270"/>
      <c r="O19" s="270"/>
      <c r="P19" s="270" t="s">
        <v>2146</v>
      </c>
      <c r="Q19" s="270" t="s">
        <v>2235</v>
      </c>
    </row>
    <row r="20" spans="2:17">
      <c r="B20" s="281"/>
      <c r="C20" s="264">
        <v>13</v>
      </c>
      <c r="D20" s="274" t="s">
        <v>435</v>
      </c>
      <c r="E20" s="269"/>
      <c r="F20" s="269"/>
      <c r="G20" s="268" t="s">
        <v>2236</v>
      </c>
      <c r="H20" s="269"/>
      <c r="I20" s="265" t="s">
        <v>2197</v>
      </c>
      <c r="J20" s="270"/>
      <c r="K20" s="270"/>
      <c r="L20" s="270"/>
      <c r="M20" s="270"/>
      <c r="N20" s="270" t="s">
        <v>2146</v>
      </c>
      <c r="O20" s="270" t="s">
        <v>2151</v>
      </c>
      <c r="P20" s="270"/>
      <c r="Q20" s="270"/>
    </row>
    <row r="21" spans="2:17">
      <c r="B21" s="281"/>
      <c r="C21" s="264">
        <v>14</v>
      </c>
      <c r="D21" s="274" t="s">
        <v>395</v>
      </c>
      <c r="E21" s="269"/>
      <c r="F21" s="269"/>
      <c r="G21" s="268" t="s">
        <v>2237</v>
      </c>
      <c r="H21" s="269"/>
      <c r="I21" s="265" t="s">
        <v>2197</v>
      </c>
      <c r="J21" s="270" t="s">
        <v>2148</v>
      </c>
      <c r="K21" s="270" t="s">
        <v>2151</v>
      </c>
      <c r="L21" s="270"/>
      <c r="M21" s="270"/>
      <c r="N21" s="270"/>
      <c r="O21" s="270"/>
      <c r="P21" s="270"/>
      <c r="Q21" s="270"/>
    </row>
    <row r="22" spans="2:17">
      <c r="B22" s="281"/>
      <c r="C22" s="264">
        <v>15</v>
      </c>
      <c r="D22" s="267" t="s">
        <v>420</v>
      </c>
      <c r="E22" s="268" t="s">
        <v>2238</v>
      </c>
      <c r="F22" s="268" t="s">
        <v>2239</v>
      </c>
      <c r="G22" s="268" t="s">
        <v>2240</v>
      </c>
      <c r="H22" s="269"/>
      <c r="I22" s="265" t="s">
        <v>2197</v>
      </c>
      <c r="J22" s="270"/>
      <c r="K22" s="270"/>
      <c r="L22" s="270" t="s">
        <v>2148</v>
      </c>
      <c r="M22" s="270" t="s">
        <v>2149</v>
      </c>
      <c r="N22" s="270"/>
      <c r="O22" s="270"/>
      <c r="P22" s="270"/>
      <c r="Q22" s="270"/>
    </row>
    <row r="23" spans="2:17">
      <c r="B23" s="281"/>
      <c r="C23" s="264">
        <v>16</v>
      </c>
      <c r="D23" s="274" t="s">
        <v>428</v>
      </c>
      <c r="E23" s="268" t="s">
        <v>2241</v>
      </c>
      <c r="F23" s="268" t="s">
        <v>2242</v>
      </c>
      <c r="G23" s="268" t="s">
        <v>2243</v>
      </c>
      <c r="H23" s="269"/>
      <c r="I23" s="265" t="s">
        <v>2197</v>
      </c>
      <c r="J23" s="270"/>
      <c r="K23" s="270"/>
      <c r="L23" s="270" t="s">
        <v>2148</v>
      </c>
      <c r="M23" s="270" t="s">
        <v>2150</v>
      </c>
      <c r="N23" s="270"/>
      <c r="O23" s="270"/>
      <c r="P23" s="270"/>
      <c r="Q23" s="270"/>
    </row>
    <row r="24" spans="2:17">
      <c r="B24" s="281"/>
      <c r="C24" s="264">
        <v>17</v>
      </c>
      <c r="D24" s="274" t="s">
        <v>412</v>
      </c>
      <c r="E24" s="269"/>
      <c r="F24" s="269"/>
      <c r="G24" s="268" t="s">
        <v>2244</v>
      </c>
      <c r="H24" s="269"/>
      <c r="I24" s="265" t="s">
        <v>2197</v>
      </c>
      <c r="J24" s="270"/>
      <c r="K24" s="270"/>
      <c r="L24" s="270" t="s">
        <v>2148</v>
      </c>
      <c r="M24" s="270" t="s">
        <v>2150</v>
      </c>
      <c r="N24" s="270"/>
      <c r="O24" s="270"/>
      <c r="P24" s="270"/>
      <c r="Q24" s="270"/>
    </row>
    <row r="25" spans="2:17">
      <c r="B25" s="281"/>
      <c r="C25" s="264">
        <v>18</v>
      </c>
      <c r="D25" s="274" t="s">
        <v>463</v>
      </c>
      <c r="E25" s="268" t="s">
        <v>2245</v>
      </c>
      <c r="F25" s="268" t="s">
        <v>2246</v>
      </c>
      <c r="G25" s="268" t="s">
        <v>2247</v>
      </c>
      <c r="H25" s="269"/>
      <c r="I25" s="265" t="s">
        <v>2197</v>
      </c>
      <c r="J25" s="270"/>
      <c r="K25" s="270" t="s">
        <v>2151</v>
      </c>
      <c r="L25" s="270"/>
      <c r="M25" s="270"/>
      <c r="N25" s="270"/>
      <c r="O25" s="270"/>
      <c r="P25" s="270"/>
      <c r="Q25" s="270"/>
    </row>
    <row r="26" spans="2:17">
      <c r="B26" s="281"/>
      <c r="C26" s="264">
        <v>19</v>
      </c>
      <c r="D26" s="274" t="s">
        <v>460</v>
      </c>
      <c r="E26" s="268" t="s">
        <v>2248</v>
      </c>
      <c r="F26" s="268" t="s">
        <v>2249</v>
      </c>
      <c r="G26" s="268" t="s">
        <v>2250</v>
      </c>
      <c r="H26" s="269"/>
      <c r="I26" s="265" t="s">
        <v>2197</v>
      </c>
      <c r="J26" s="270" t="s">
        <v>2148</v>
      </c>
      <c r="K26" s="270"/>
      <c r="L26" s="270"/>
      <c r="M26" s="270"/>
      <c r="N26" s="270"/>
      <c r="O26" s="270"/>
      <c r="P26" s="270"/>
      <c r="Q26" s="270"/>
    </row>
    <row r="27" spans="2:17">
      <c r="B27" s="281"/>
      <c r="C27" s="264">
        <v>20</v>
      </c>
      <c r="D27" s="274" t="s">
        <v>404</v>
      </c>
      <c r="E27" s="269"/>
      <c r="F27" s="269"/>
      <c r="G27" s="268" t="s">
        <v>2251</v>
      </c>
      <c r="H27" s="269"/>
      <c r="I27" s="265" t="s">
        <v>2197</v>
      </c>
      <c r="J27" s="270"/>
      <c r="K27" s="270"/>
      <c r="L27" s="270"/>
      <c r="M27" s="270"/>
      <c r="N27" s="270"/>
      <c r="O27" s="270" t="s">
        <v>2252</v>
      </c>
      <c r="P27" s="270"/>
      <c r="Q27" s="270"/>
    </row>
    <row r="28" spans="2:17">
      <c r="B28" s="281" t="s">
        <v>466</v>
      </c>
      <c r="C28" s="278">
        <v>21</v>
      </c>
      <c r="D28" s="279" t="s">
        <v>2253</v>
      </c>
      <c r="E28" s="268" t="s">
        <v>2254</v>
      </c>
      <c r="F28" s="268" t="s">
        <v>2255</v>
      </c>
      <c r="G28" s="268" t="s">
        <v>2256</v>
      </c>
      <c r="H28" s="269"/>
      <c r="I28" s="265" t="s">
        <v>2197</v>
      </c>
      <c r="J28" s="270"/>
      <c r="K28" s="270"/>
      <c r="L28" s="270"/>
      <c r="M28" s="270"/>
      <c r="N28" s="270" t="s">
        <v>2152</v>
      </c>
      <c r="O28" s="270"/>
      <c r="P28" s="270"/>
      <c r="Q28" s="270"/>
    </row>
    <row r="29" spans="2:17">
      <c r="B29" s="281"/>
      <c r="C29" s="278"/>
      <c r="D29" s="279"/>
      <c r="E29" s="269"/>
      <c r="F29" s="269"/>
      <c r="G29" s="269"/>
      <c r="H29" s="268" t="s">
        <v>2257</v>
      </c>
      <c r="I29" s="265" t="s">
        <v>861</v>
      </c>
      <c r="J29" s="270"/>
      <c r="K29" s="270"/>
      <c r="L29" s="270"/>
      <c r="M29" s="270"/>
      <c r="N29" s="270" t="s">
        <v>2153</v>
      </c>
      <c r="O29" s="270"/>
      <c r="P29" s="270"/>
      <c r="Q29" s="270"/>
    </row>
    <row r="30" spans="2:17">
      <c r="B30" s="281"/>
      <c r="C30" s="278">
        <v>22</v>
      </c>
      <c r="D30" s="279" t="s">
        <v>482</v>
      </c>
      <c r="E30" s="268" t="s">
        <v>2258</v>
      </c>
      <c r="F30" s="268" t="s">
        <v>2259</v>
      </c>
      <c r="G30" s="268" t="s">
        <v>2260</v>
      </c>
      <c r="H30" s="269"/>
      <c r="I30" s="265" t="s">
        <v>2197</v>
      </c>
      <c r="J30" s="270"/>
      <c r="K30" s="270"/>
      <c r="L30" s="270"/>
      <c r="M30" s="270"/>
      <c r="N30" s="271"/>
      <c r="O30" s="275" t="s">
        <v>483</v>
      </c>
      <c r="P30" s="270"/>
      <c r="Q30" s="270"/>
    </row>
    <row r="31" spans="2:17">
      <c r="B31" s="281"/>
      <c r="C31" s="278"/>
      <c r="D31" s="279"/>
      <c r="E31" s="269"/>
      <c r="F31" s="269"/>
      <c r="G31" s="269"/>
      <c r="H31" s="268" t="s">
        <v>2261</v>
      </c>
      <c r="I31" s="265" t="s">
        <v>861</v>
      </c>
      <c r="J31" s="270"/>
      <c r="K31" s="270"/>
      <c r="L31" s="270"/>
      <c r="M31" s="270"/>
      <c r="N31" s="271"/>
      <c r="O31" s="275" t="s">
        <v>570</v>
      </c>
      <c r="P31" s="270"/>
      <c r="Q31" s="270"/>
    </row>
    <row r="32" spans="2:17">
      <c r="B32" s="281"/>
      <c r="C32" s="278">
        <v>23</v>
      </c>
      <c r="D32" s="279" t="s">
        <v>466</v>
      </c>
      <c r="E32" s="268" t="s">
        <v>2262</v>
      </c>
      <c r="F32" s="269"/>
      <c r="G32" s="269"/>
      <c r="H32" s="269"/>
      <c r="I32" s="265" t="s">
        <v>2197</v>
      </c>
      <c r="J32" s="270"/>
      <c r="K32" s="270"/>
      <c r="L32" s="275" t="s">
        <v>2152</v>
      </c>
      <c r="M32" s="270"/>
      <c r="N32" s="271"/>
      <c r="O32" s="270"/>
      <c r="P32" s="270"/>
      <c r="Q32" s="270"/>
    </row>
    <row r="33" spans="2:17">
      <c r="B33" s="281"/>
      <c r="C33" s="278"/>
      <c r="D33" s="279"/>
      <c r="E33" s="269"/>
      <c r="F33" s="269"/>
      <c r="G33" s="269"/>
      <c r="H33" s="268" t="s">
        <v>2263</v>
      </c>
      <c r="I33" s="265" t="s">
        <v>861</v>
      </c>
      <c r="J33" s="270"/>
      <c r="K33" s="270"/>
      <c r="L33" s="275" t="s">
        <v>2153</v>
      </c>
      <c r="M33" s="270"/>
      <c r="N33" s="271"/>
      <c r="O33" s="270"/>
      <c r="P33" s="270"/>
      <c r="Q33" s="270"/>
    </row>
    <row r="34" spans="2:17">
      <c r="B34" s="281"/>
      <c r="C34" s="278">
        <v>24</v>
      </c>
      <c r="D34" s="279" t="s">
        <v>498</v>
      </c>
      <c r="E34" s="268" t="s">
        <v>2264</v>
      </c>
      <c r="F34" s="268" t="s">
        <v>2265</v>
      </c>
      <c r="G34" s="268" t="s">
        <v>2266</v>
      </c>
      <c r="H34" s="269"/>
      <c r="I34" s="265" t="s">
        <v>2197</v>
      </c>
      <c r="J34" s="270"/>
      <c r="K34" s="270"/>
      <c r="L34" s="270"/>
      <c r="M34" s="270"/>
      <c r="N34" s="271"/>
      <c r="O34" s="275" t="s">
        <v>483</v>
      </c>
      <c r="P34" s="270"/>
      <c r="Q34" s="270"/>
    </row>
    <row r="35" spans="2:17">
      <c r="B35" s="281"/>
      <c r="C35" s="278"/>
      <c r="D35" s="279"/>
      <c r="E35" s="269"/>
      <c r="F35" s="269"/>
      <c r="G35" s="269"/>
      <c r="H35" s="268" t="s">
        <v>2267</v>
      </c>
      <c r="I35" s="265" t="s">
        <v>861</v>
      </c>
      <c r="J35" s="270"/>
      <c r="K35" s="270"/>
      <c r="L35" s="270"/>
      <c r="M35" s="270"/>
      <c r="N35" s="271"/>
      <c r="O35" s="275" t="s">
        <v>570</v>
      </c>
      <c r="P35" s="270"/>
      <c r="Q35" s="270"/>
    </row>
    <row r="36" spans="2:17">
      <c r="B36" s="281"/>
      <c r="C36" s="278">
        <v>25</v>
      </c>
      <c r="D36" s="279" t="s">
        <v>495</v>
      </c>
      <c r="E36" s="268" t="s">
        <v>2268</v>
      </c>
      <c r="F36" s="268" t="s">
        <v>2269</v>
      </c>
      <c r="G36" s="268" t="s">
        <v>2270</v>
      </c>
      <c r="H36" s="269"/>
      <c r="I36" s="265" t="s">
        <v>2197</v>
      </c>
      <c r="J36" s="270"/>
      <c r="K36" s="270"/>
      <c r="L36" s="270"/>
      <c r="M36" s="270"/>
      <c r="N36" s="270" t="s">
        <v>2152</v>
      </c>
      <c r="O36" s="270"/>
      <c r="P36" s="270"/>
      <c r="Q36" s="270"/>
    </row>
    <row r="37" spans="2:17">
      <c r="B37" s="281"/>
      <c r="C37" s="278"/>
      <c r="D37" s="279"/>
      <c r="E37" s="269"/>
      <c r="F37" s="269"/>
      <c r="G37" s="269"/>
      <c r="H37" s="268" t="s">
        <v>2271</v>
      </c>
      <c r="I37" s="265" t="s">
        <v>861</v>
      </c>
      <c r="J37" s="270"/>
      <c r="K37" s="270"/>
      <c r="L37" s="270"/>
      <c r="M37" s="270"/>
      <c r="N37" s="270" t="s">
        <v>2153</v>
      </c>
      <c r="O37" s="270"/>
      <c r="P37" s="270"/>
      <c r="Q37" s="270"/>
    </row>
    <row r="38" spans="2:17">
      <c r="B38" s="281"/>
      <c r="C38" s="278">
        <v>26</v>
      </c>
      <c r="D38" s="279" t="s">
        <v>492</v>
      </c>
      <c r="E38" s="268" t="s">
        <v>2272</v>
      </c>
      <c r="F38" s="268" t="s">
        <v>2273</v>
      </c>
      <c r="G38" s="268" t="s">
        <v>2274</v>
      </c>
      <c r="H38" s="269"/>
      <c r="I38" s="265" t="s">
        <v>2197</v>
      </c>
      <c r="J38" s="275"/>
      <c r="K38" s="275" t="s">
        <v>2154</v>
      </c>
      <c r="L38" s="270"/>
      <c r="M38" s="270"/>
      <c r="N38" s="270"/>
      <c r="O38" s="270"/>
      <c r="P38" s="270"/>
      <c r="Q38" s="270"/>
    </row>
    <row r="39" spans="2:17">
      <c r="B39" s="281"/>
      <c r="C39" s="278"/>
      <c r="D39" s="279"/>
      <c r="E39" s="269"/>
      <c r="F39" s="269"/>
      <c r="G39" s="269"/>
      <c r="H39" s="268" t="s">
        <v>2275</v>
      </c>
      <c r="I39" s="265" t="s">
        <v>861</v>
      </c>
      <c r="J39" s="275"/>
      <c r="K39" s="275" t="s">
        <v>2155</v>
      </c>
      <c r="L39" s="270"/>
      <c r="M39" s="270"/>
      <c r="N39" s="270"/>
      <c r="O39" s="270"/>
      <c r="P39" s="270"/>
      <c r="Q39" s="270"/>
    </row>
    <row r="40" spans="2:17">
      <c r="B40" s="281"/>
      <c r="C40" s="278">
        <v>27</v>
      </c>
      <c r="D40" s="279" t="s">
        <v>488</v>
      </c>
      <c r="E40" s="268" t="s">
        <v>2276</v>
      </c>
      <c r="F40" s="268" t="s">
        <v>2277</v>
      </c>
      <c r="G40" s="268" t="s">
        <v>2278</v>
      </c>
      <c r="H40" s="269"/>
      <c r="I40" s="265" t="s">
        <v>2197</v>
      </c>
      <c r="J40" s="270" t="s">
        <v>2154</v>
      </c>
      <c r="K40" s="270"/>
      <c r="L40" s="270"/>
      <c r="M40" s="270"/>
      <c r="N40" s="270"/>
      <c r="O40" s="270"/>
      <c r="P40" s="270"/>
      <c r="Q40" s="270"/>
    </row>
    <row r="41" spans="2:17">
      <c r="B41" s="281"/>
      <c r="C41" s="278"/>
      <c r="D41" s="279"/>
      <c r="E41" s="269"/>
      <c r="F41" s="269"/>
      <c r="G41" s="269"/>
      <c r="H41" s="269"/>
      <c r="I41" s="265" t="s">
        <v>861</v>
      </c>
      <c r="J41" s="270"/>
      <c r="K41" s="270"/>
      <c r="L41" s="270"/>
      <c r="M41" s="270"/>
      <c r="N41" s="270"/>
      <c r="O41" s="270"/>
      <c r="P41" s="270"/>
      <c r="Q41" s="270"/>
    </row>
    <row r="42" spans="2:17">
      <c r="B42" s="281"/>
      <c r="C42" s="278">
        <v>28</v>
      </c>
      <c r="D42" s="279" t="s">
        <v>510</v>
      </c>
      <c r="E42" s="268" t="s">
        <v>2279</v>
      </c>
      <c r="F42" s="268" t="s">
        <v>2280</v>
      </c>
      <c r="G42" s="268" t="s">
        <v>2281</v>
      </c>
      <c r="H42" s="269"/>
      <c r="I42" s="265" t="s">
        <v>2197</v>
      </c>
      <c r="J42" s="270"/>
      <c r="K42" s="270"/>
      <c r="L42" s="270"/>
      <c r="M42" s="270"/>
      <c r="N42" s="270" t="s">
        <v>2157</v>
      </c>
      <c r="O42" s="270" t="s">
        <v>2159</v>
      </c>
      <c r="P42" s="270"/>
      <c r="Q42" s="270"/>
    </row>
    <row r="43" spans="2:17">
      <c r="B43" s="281"/>
      <c r="C43" s="278"/>
      <c r="D43" s="279"/>
      <c r="E43" s="269"/>
      <c r="F43" s="269"/>
      <c r="G43" s="269"/>
      <c r="H43" s="268" t="s">
        <v>2282</v>
      </c>
      <c r="I43" s="265" t="s">
        <v>861</v>
      </c>
      <c r="J43" s="270"/>
      <c r="K43" s="270"/>
      <c r="L43" s="270"/>
      <c r="M43" s="270"/>
      <c r="N43" s="270" t="s">
        <v>2158</v>
      </c>
      <c r="O43" s="270" t="s">
        <v>2160</v>
      </c>
      <c r="P43" s="270"/>
      <c r="Q43" s="270"/>
    </row>
    <row r="44" spans="2:17">
      <c r="B44" s="282" t="s">
        <v>501</v>
      </c>
      <c r="C44" s="278">
        <v>29</v>
      </c>
      <c r="D44" s="280" t="s">
        <v>2283</v>
      </c>
      <c r="E44" s="268" t="s">
        <v>2284</v>
      </c>
      <c r="F44" s="268" t="s">
        <v>2285</v>
      </c>
      <c r="G44" s="268" t="s">
        <v>2286</v>
      </c>
      <c r="H44" s="269"/>
      <c r="I44" s="265" t="s">
        <v>2197</v>
      </c>
      <c r="J44" s="270" t="s">
        <v>2162</v>
      </c>
      <c r="K44" s="270"/>
      <c r="L44" s="270"/>
      <c r="M44" s="270"/>
      <c r="N44" s="270"/>
      <c r="O44" s="270"/>
      <c r="P44" s="270"/>
      <c r="Q44" s="270"/>
    </row>
    <row r="45" spans="2:17">
      <c r="B45" s="282"/>
      <c r="C45" s="278"/>
      <c r="D45" s="280"/>
      <c r="E45" s="269"/>
      <c r="F45" s="269"/>
      <c r="G45" s="269"/>
      <c r="H45" s="268" t="s">
        <v>2287</v>
      </c>
      <c r="I45" s="265" t="s">
        <v>861</v>
      </c>
      <c r="J45" s="270" t="s">
        <v>2163</v>
      </c>
      <c r="K45" s="270"/>
      <c r="L45" s="270"/>
      <c r="M45" s="270"/>
      <c r="N45" s="270"/>
      <c r="O45" s="270"/>
      <c r="P45" s="270"/>
      <c r="Q45" s="270"/>
    </row>
    <row r="46" spans="2:17">
      <c r="B46" s="282"/>
      <c r="C46" s="278">
        <v>30</v>
      </c>
      <c r="D46" s="279" t="s">
        <v>506</v>
      </c>
      <c r="E46" s="268" t="s">
        <v>2288</v>
      </c>
      <c r="F46" s="268" t="s">
        <v>2289</v>
      </c>
      <c r="G46" s="268" t="s">
        <v>2290</v>
      </c>
      <c r="H46" s="269"/>
      <c r="I46" s="265" t="s">
        <v>2197</v>
      </c>
      <c r="J46" s="270"/>
      <c r="K46" s="270" t="s">
        <v>2159</v>
      </c>
      <c r="L46" s="270"/>
      <c r="M46" s="270"/>
      <c r="N46" s="270"/>
      <c r="O46" s="270"/>
      <c r="P46" s="270"/>
      <c r="Q46" s="270"/>
    </row>
    <row r="47" spans="2:17">
      <c r="B47" s="282"/>
      <c r="C47" s="278"/>
      <c r="D47" s="279"/>
      <c r="E47" s="269"/>
      <c r="F47" s="269"/>
      <c r="G47" s="269"/>
      <c r="H47" s="268" t="s">
        <v>2291</v>
      </c>
      <c r="I47" s="265" t="s">
        <v>861</v>
      </c>
      <c r="J47" s="270"/>
      <c r="K47" s="270" t="s">
        <v>2160</v>
      </c>
      <c r="L47" s="270"/>
      <c r="M47" s="270"/>
      <c r="N47" s="270"/>
      <c r="O47" s="270"/>
      <c r="P47" s="270"/>
      <c r="Q47" s="270"/>
    </row>
    <row r="48" spans="2:17">
      <c r="B48" s="282"/>
      <c r="C48" s="278">
        <v>31</v>
      </c>
      <c r="D48" s="279" t="s">
        <v>518</v>
      </c>
      <c r="E48" s="268" t="s">
        <v>2292</v>
      </c>
      <c r="F48" s="268" t="s">
        <v>2293</v>
      </c>
      <c r="G48" s="268" t="s">
        <v>2294</v>
      </c>
      <c r="H48" s="269"/>
      <c r="I48" s="265" t="s">
        <v>2197</v>
      </c>
      <c r="J48" s="270"/>
      <c r="K48" s="270"/>
      <c r="L48" s="270" t="s">
        <v>2162</v>
      </c>
      <c r="M48" s="270" t="s">
        <v>2159</v>
      </c>
      <c r="N48" s="270"/>
      <c r="O48" s="270"/>
      <c r="P48" s="270"/>
      <c r="Q48" s="270"/>
    </row>
    <row r="49" spans="2:17">
      <c r="B49" s="282"/>
      <c r="C49" s="278"/>
      <c r="D49" s="279"/>
      <c r="E49" s="269"/>
      <c r="F49" s="269"/>
      <c r="G49" s="269"/>
      <c r="H49" s="268" t="s">
        <v>2295</v>
      </c>
      <c r="I49" s="265" t="s">
        <v>861</v>
      </c>
      <c r="J49" s="270"/>
      <c r="K49" s="270"/>
      <c r="L49" s="270" t="s">
        <v>2163</v>
      </c>
      <c r="M49" s="270" t="s">
        <v>2160</v>
      </c>
      <c r="N49" s="270"/>
      <c r="O49" s="270"/>
      <c r="P49" s="270"/>
      <c r="Q49" s="270"/>
    </row>
    <row r="50" spans="2:17">
      <c r="B50" s="282"/>
      <c r="C50" s="278">
        <v>32</v>
      </c>
      <c r="D50" s="280" t="s">
        <v>501</v>
      </c>
      <c r="E50" s="268" t="s">
        <v>2296</v>
      </c>
      <c r="F50" s="268" t="s">
        <v>2297</v>
      </c>
      <c r="G50" s="268" t="s">
        <v>2298</v>
      </c>
      <c r="H50" s="269"/>
      <c r="I50" s="265" t="s">
        <v>2197</v>
      </c>
      <c r="J50" s="270"/>
      <c r="K50" s="270"/>
      <c r="L50" s="270" t="s">
        <v>2162</v>
      </c>
      <c r="M50" s="270" t="s">
        <v>2159</v>
      </c>
      <c r="N50" s="270"/>
      <c r="O50" s="270"/>
      <c r="P50" s="270"/>
      <c r="Q50" s="270"/>
    </row>
    <row r="51" spans="2:17">
      <c r="B51" s="282"/>
      <c r="C51" s="278"/>
      <c r="D51" s="280"/>
      <c r="E51" s="269"/>
      <c r="F51" s="269"/>
      <c r="G51" s="269"/>
      <c r="H51" s="268" t="s">
        <v>2299</v>
      </c>
      <c r="I51" s="265" t="s">
        <v>861</v>
      </c>
      <c r="J51" s="270"/>
      <c r="K51" s="270"/>
      <c r="L51" s="270" t="s">
        <v>2163</v>
      </c>
      <c r="M51" s="270" t="s">
        <v>2160</v>
      </c>
      <c r="N51" s="270"/>
      <c r="O51" s="270"/>
      <c r="P51" s="270"/>
      <c r="Q51" s="270"/>
    </row>
    <row r="52" spans="2:17">
      <c r="B52" s="282"/>
      <c r="C52" s="278">
        <v>33</v>
      </c>
      <c r="D52" s="280" t="s">
        <v>548</v>
      </c>
      <c r="E52" s="268" t="s">
        <v>2300</v>
      </c>
      <c r="F52" s="268" t="s">
        <v>2301</v>
      </c>
      <c r="G52" s="268" t="s">
        <v>2302</v>
      </c>
      <c r="H52" s="269"/>
      <c r="I52" s="265" t="s">
        <v>2197</v>
      </c>
      <c r="J52" s="270"/>
      <c r="K52" s="270"/>
      <c r="L52" s="270"/>
      <c r="M52" s="270"/>
      <c r="N52" s="270"/>
      <c r="O52" s="270"/>
      <c r="P52" s="270" t="s">
        <v>2157</v>
      </c>
      <c r="Q52" s="273" t="s">
        <v>512</v>
      </c>
    </row>
    <row r="53" spans="2:17">
      <c r="B53" s="282"/>
      <c r="C53" s="278"/>
      <c r="D53" s="280"/>
      <c r="E53" s="269"/>
      <c r="F53" s="269"/>
      <c r="G53" s="269"/>
      <c r="H53" s="268" t="s">
        <v>2303</v>
      </c>
      <c r="I53" s="265" t="s">
        <v>861</v>
      </c>
      <c r="J53" s="270"/>
      <c r="K53" s="270"/>
      <c r="L53" s="270"/>
      <c r="M53" s="270"/>
      <c r="N53" s="270"/>
      <c r="O53" s="270"/>
      <c r="P53" s="270" t="s">
        <v>2158</v>
      </c>
      <c r="Q53" s="273" t="s">
        <v>596</v>
      </c>
    </row>
    <row r="54" spans="2:17">
      <c r="B54" s="282"/>
      <c r="C54" s="278">
        <v>34</v>
      </c>
      <c r="D54" s="279" t="s">
        <v>531</v>
      </c>
      <c r="E54" s="268" t="s">
        <v>2304</v>
      </c>
      <c r="F54" s="268" t="s">
        <v>2305</v>
      </c>
      <c r="G54" s="268" t="s">
        <v>2306</v>
      </c>
      <c r="H54" s="269"/>
      <c r="I54" s="265" t="s">
        <v>2197</v>
      </c>
      <c r="J54" s="270"/>
      <c r="K54" s="270"/>
      <c r="L54" s="270"/>
      <c r="M54" s="270"/>
      <c r="N54" s="270" t="s">
        <v>2157</v>
      </c>
      <c r="O54" s="270" t="s">
        <v>2159</v>
      </c>
      <c r="P54" s="270"/>
      <c r="Q54" s="270"/>
    </row>
    <row r="55" spans="2:17">
      <c r="B55" s="282"/>
      <c r="C55" s="278"/>
      <c r="D55" s="279"/>
      <c r="E55" s="269"/>
      <c r="F55" s="269"/>
      <c r="G55" s="269"/>
      <c r="H55" s="268" t="s">
        <v>2307</v>
      </c>
      <c r="I55" s="265" t="s">
        <v>861</v>
      </c>
      <c r="J55" s="270"/>
      <c r="K55" s="270"/>
      <c r="L55" s="270"/>
      <c r="M55" s="270"/>
      <c r="N55" s="270" t="s">
        <v>2158</v>
      </c>
      <c r="O55" s="270" t="s">
        <v>2160</v>
      </c>
      <c r="P55" s="270"/>
      <c r="Q55" s="270"/>
    </row>
    <row r="56" spans="2:17">
      <c r="B56" s="283" t="s">
        <v>634</v>
      </c>
      <c r="C56" s="264">
        <v>35</v>
      </c>
      <c r="D56" s="274" t="s">
        <v>651</v>
      </c>
      <c r="E56" s="268" t="s">
        <v>2308</v>
      </c>
      <c r="F56" s="268" t="s">
        <v>2309</v>
      </c>
      <c r="G56" s="268" t="s">
        <v>2310</v>
      </c>
      <c r="H56" s="269"/>
      <c r="I56" s="265" t="s">
        <v>2197</v>
      </c>
      <c r="J56" s="270"/>
      <c r="K56" s="270"/>
      <c r="L56" s="270"/>
      <c r="M56" s="270"/>
      <c r="N56" s="270"/>
      <c r="O56" s="270"/>
      <c r="P56" s="270" t="s">
        <v>2164</v>
      </c>
      <c r="Q56" s="270"/>
    </row>
    <row r="57" spans="2:17">
      <c r="B57" s="284"/>
      <c r="C57" s="264">
        <v>36</v>
      </c>
      <c r="D57" s="274" t="s">
        <v>643</v>
      </c>
      <c r="E57" s="268" t="s">
        <v>2311</v>
      </c>
      <c r="F57" s="268" t="s">
        <v>2312</v>
      </c>
      <c r="G57" s="268" t="s">
        <v>2313</v>
      </c>
      <c r="H57" s="269"/>
      <c r="I57" s="265" t="s">
        <v>2197</v>
      </c>
      <c r="J57" s="270"/>
      <c r="K57" s="270"/>
      <c r="L57" s="270"/>
      <c r="M57" s="270"/>
      <c r="N57" s="270" t="s">
        <v>2164</v>
      </c>
      <c r="O57" s="270"/>
      <c r="P57" s="270"/>
      <c r="Q57" s="270"/>
    </row>
    <row r="58" spans="2:17">
      <c r="B58" s="284"/>
      <c r="C58" s="264">
        <v>37</v>
      </c>
      <c r="D58" s="274" t="s">
        <v>2314</v>
      </c>
      <c r="E58" s="268" t="s">
        <v>2315</v>
      </c>
      <c r="F58" s="268" t="s">
        <v>2316</v>
      </c>
      <c r="G58" s="268" t="s">
        <v>2317</v>
      </c>
      <c r="H58" s="269"/>
      <c r="I58" s="265" t="s">
        <v>2197</v>
      </c>
      <c r="J58" s="270"/>
      <c r="K58" s="270"/>
      <c r="L58" s="270" t="s">
        <v>2165</v>
      </c>
      <c r="M58" s="270"/>
      <c r="N58" s="270"/>
      <c r="O58" s="270"/>
      <c r="P58" s="270"/>
      <c r="Q58" s="270"/>
    </row>
    <row r="59" spans="2:17">
      <c r="B59" s="285"/>
      <c r="C59" s="264">
        <v>38</v>
      </c>
      <c r="D59" s="274" t="s">
        <v>635</v>
      </c>
      <c r="E59" s="268" t="s">
        <v>2318</v>
      </c>
      <c r="F59" s="268" t="s">
        <v>2319</v>
      </c>
      <c r="G59" s="268" t="s">
        <v>2320</v>
      </c>
      <c r="H59" s="269"/>
      <c r="I59" s="265" t="s">
        <v>2197</v>
      </c>
      <c r="J59" s="270" t="s">
        <v>2321</v>
      </c>
      <c r="K59" s="270"/>
      <c r="L59" s="270"/>
      <c r="M59" s="270"/>
      <c r="N59" s="270"/>
      <c r="O59" s="270"/>
      <c r="P59" s="270"/>
      <c r="Q59" s="270"/>
    </row>
    <row r="60" spans="2:17">
      <c r="B60" s="283" t="s">
        <v>653</v>
      </c>
      <c r="C60" s="264">
        <v>39</v>
      </c>
      <c r="D60" s="267" t="s">
        <v>654</v>
      </c>
      <c r="E60" s="268" t="s">
        <v>2322</v>
      </c>
      <c r="F60" s="268" t="s">
        <v>2323</v>
      </c>
      <c r="G60" s="268" t="s">
        <v>2324</v>
      </c>
      <c r="H60" s="269"/>
      <c r="I60" s="265" t="s">
        <v>2197</v>
      </c>
      <c r="J60" s="270" t="s">
        <v>2167</v>
      </c>
      <c r="K60" s="270"/>
      <c r="L60" s="270"/>
      <c r="M60" s="270"/>
      <c r="N60" s="270"/>
      <c r="O60" s="270"/>
      <c r="P60" s="270"/>
      <c r="Q60" s="270"/>
    </row>
    <row r="61" spans="2:17">
      <c r="B61" s="285"/>
      <c r="C61" s="264">
        <v>40</v>
      </c>
      <c r="D61" s="274" t="s">
        <v>658</v>
      </c>
      <c r="E61" s="268" t="s">
        <v>2325</v>
      </c>
      <c r="F61" s="268" t="s">
        <v>2326</v>
      </c>
      <c r="G61" s="268" t="s">
        <v>2327</v>
      </c>
      <c r="H61" s="269"/>
      <c r="I61" s="265" t="s">
        <v>2197</v>
      </c>
      <c r="J61" s="270"/>
      <c r="K61" s="270" t="s">
        <v>2167</v>
      </c>
      <c r="L61" s="270"/>
      <c r="M61" s="270"/>
      <c r="N61" s="270" t="s">
        <v>2169</v>
      </c>
      <c r="O61" s="273" t="s">
        <v>2149</v>
      </c>
      <c r="P61" s="270"/>
      <c r="Q61" s="270"/>
    </row>
    <row r="62" spans="2:17" ht="58.5">
      <c r="B62" s="276" t="s">
        <v>2328</v>
      </c>
      <c r="C62" s="264">
        <v>41</v>
      </c>
      <c r="D62" s="274" t="s">
        <v>669</v>
      </c>
      <c r="E62" s="268" t="s">
        <v>2329</v>
      </c>
      <c r="F62" s="268" t="s">
        <v>2330</v>
      </c>
      <c r="G62" s="268" t="s">
        <v>2331</v>
      </c>
      <c r="H62" s="269"/>
      <c r="I62" s="265" t="s">
        <v>2197</v>
      </c>
      <c r="J62" s="270"/>
      <c r="K62" s="270"/>
      <c r="L62" s="270" t="s">
        <v>2168</v>
      </c>
      <c r="M62" s="270" t="s">
        <v>2149</v>
      </c>
      <c r="N62" s="270" t="s">
        <v>2169</v>
      </c>
      <c r="O62" s="270"/>
      <c r="P62" s="270"/>
      <c r="Q62" s="270"/>
    </row>
    <row r="63" spans="2:17">
      <c r="B63" s="281" t="s">
        <v>681</v>
      </c>
      <c r="C63" s="278">
        <v>42</v>
      </c>
      <c r="D63" s="279" t="s">
        <v>689</v>
      </c>
      <c r="E63" s="268" t="s">
        <v>2332</v>
      </c>
      <c r="F63" s="268" t="s">
        <v>2333</v>
      </c>
      <c r="G63" s="268" t="s">
        <v>2334</v>
      </c>
      <c r="H63" s="269"/>
      <c r="I63" s="265" t="s">
        <v>2197</v>
      </c>
      <c r="J63" s="270"/>
      <c r="K63" s="270"/>
      <c r="L63" s="270"/>
      <c r="M63" s="270"/>
      <c r="N63" s="270" t="s">
        <v>2135</v>
      </c>
      <c r="O63" s="275" t="s">
        <v>2133</v>
      </c>
      <c r="P63" s="270"/>
      <c r="Q63" s="270"/>
    </row>
    <row r="64" spans="2:17">
      <c r="B64" s="281"/>
      <c r="C64" s="278"/>
      <c r="D64" s="279"/>
      <c r="E64" s="269"/>
      <c r="F64" s="269"/>
      <c r="G64" s="269"/>
      <c r="H64" s="268" t="s">
        <v>2335</v>
      </c>
      <c r="I64" s="265" t="s">
        <v>861</v>
      </c>
      <c r="J64" s="270"/>
      <c r="K64" s="270"/>
      <c r="L64" s="270"/>
      <c r="M64" s="270"/>
      <c r="N64" s="270" t="s">
        <v>2136</v>
      </c>
      <c r="O64" s="275" t="s">
        <v>2134</v>
      </c>
      <c r="P64" s="270"/>
      <c r="Q64" s="270"/>
    </row>
    <row r="65" spans="2:17">
      <c r="B65" s="281"/>
      <c r="C65" s="278">
        <v>43</v>
      </c>
      <c r="D65" s="279" t="s">
        <v>682</v>
      </c>
      <c r="E65" s="268" t="s">
        <v>2336</v>
      </c>
      <c r="F65" s="268" t="s">
        <v>2337</v>
      </c>
      <c r="G65" s="268" t="s">
        <v>2338</v>
      </c>
      <c r="H65" s="269"/>
      <c r="I65" s="265" t="s">
        <v>2197</v>
      </c>
      <c r="J65" s="270" t="s">
        <v>2339</v>
      </c>
      <c r="K65" s="270" t="s">
        <v>2339</v>
      </c>
      <c r="L65" s="270"/>
      <c r="M65" s="270"/>
      <c r="N65" s="270"/>
      <c r="O65" s="270"/>
      <c r="P65" s="270"/>
      <c r="Q65" s="270"/>
    </row>
    <row r="66" spans="2:17">
      <c r="B66" s="281"/>
      <c r="C66" s="278"/>
      <c r="D66" s="279"/>
      <c r="E66" s="269"/>
      <c r="F66" s="269"/>
      <c r="G66" s="269"/>
      <c r="H66" s="268" t="s">
        <v>2340</v>
      </c>
      <c r="I66" s="265" t="s">
        <v>861</v>
      </c>
      <c r="J66" s="270" t="s">
        <v>2341</v>
      </c>
      <c r="K66" s="270" t="s">
        <v>2341</v>
      </c>
      <c r="L66" s="270"/>
      <c r="M66" s="270"/>
      <c r="N66" s="270"/>
      <c r="O66" s="270"/>
      <c r="P66" s="270"/>
      <c r="Q66" s="270"/>
    </row>
    <row r="67" spans="2:17">
      <c r="B67" s="281" t="s">
        <v>696</v>
      </c>
      <c r="C67" s="278">
        <v>44</v>
      </c>
      <c r="D67" s="280" t="s">
        <v>697</v>
      </c>
      <c r="E67" s="268" t="s">
        <v>2342</v>
      </c>
      <c r="F67" s="268" t="s">
        <v>2343</v>
      </c>
      <c r="G67" s="268" t="s">
        <v>2344</v>
      </c>
      <c r="H67" s="269"/>
      <c r="I67" s="265" t="s">
        <v>2197</v>
      </c>
      <c r="J67" s="270"/>
      <c r="K67" s="270"/>
      <c r="L67" s="270" t="s">
        <v>2345</v>
      </c>
      <c r="M67" s="270" t="s">
        <v>2133</v>
      </c>
      <c r="N67" s="275" t="s">
        <v>2346</v>
      </c>
      <c r="O67" s="275" t="s">
        <v>2346</v>
      </c>
      <c r="P67" s="270"/>
      <c r="Q67" s="270"/>
    </row>
    <row r="68" spans="2:17">
      <c r="B68" s="281"/>
      <c r="C68" s="278"/>
      <c r="D68" s="280"/>
      <c r="E68" s="269"/>
      <c r="F68" s="269"/>
      <c r="G68" s="269"/>
      <c r="H68" s="268" t="s">
        <v>2347</v>
      </c>
      <c r="I68" s="265" t="s">
        <v>861</v>
      </c>
      <c r="J68" s="270"/>
      <c r="K68" s="270"/>
      <c r="L68" s="270" t="s">
        <v>2348</v>
      </c>
      <c r="M68" s="270" t="s">
        <v>2134</v>
      </c>
      <c r="N68" s="275" t="s">
        <v>2349</v>
      </c>
      <c r="O68" s="275" t="s">
        <v>2349</v>
      </c>
      <c r="P68" s="270"/>
      <c r="Q68" s="270"/>
    </row>
    <row r="69" spans="2:17">
      <c r="B69" s="281"/>
      <c r="C69" s="278">
        <v>45</v>
      </c>
      <c r="D69" s="279" t="s">
        <v>711</v>
      </c>
      <c r="E69" s="268" t="s">
        <v>2350</v>
      </c>
      <c r="F69" s="268" t="s">
        <v>2351</v>
      </c>
      <c r="G69" s="268" t="s">
        <v>2352</v>
      </c>
      <c r="H69" s="269"/>
      <c r="I69" s="265" t="s">
        <v>2197</v>
      </c>
      <c r="J69" s="270"/>
      <c r="K69" s="270"/>
      <c r="L69" s="270" t="s">
        <v>2345</v>
      </c>
      <c r="M69" s="270" t="s">
        <v>2133</v>
      </c>
      <c r="N69" s="270"/>
      <c r="O69" s="270"/>
      <c r="P69" s="270"/>
      <c r="Q69" s="270"/>
    </row>
    <row r="70" spans="2:17">
      <c r="B70" s="281"/>
      <c r="C70" s="278"/>
      <c r="D70" s="279"/>
      <c r="E70" s="269"/>
      <c r="F70" s="269"/>
      <c r="G70" s="269"/>
      <c r="H70" s="268" t="s">
        <v>2353</v>
      </c>
      <c r="I70" s="265" t="s">
        <v>861</v>
      </c>
      <c r="J70" s="270"/>
      <c r="K70" s="270"/>
      <c r="L70" s="270" t="s">
        <v>2348</v>
      </c>
      <c r="M70" s="270" t="s">
        <v>2134</v>
      </c>
      <c r="N70" s="270"/>
      <c r="O70" s="270"/>
      <c r="P70" s="270"/>
      <c r="Q70" s="270"/>
    </row>
    <row r="71" spans="2:17">
      <c r="B71" s="281"/>
      <c r="C71" s="278">
        <v>46</v>
      </c>
      <c r="D71" s="279" t="s">
        <v>67</v>
      </c>
      <c r="E71" s="268" t="s">
        <v>2354</v>
      </c>
      <c r="F71" s="268" t="s">
        <v>2355</v>
      </c>
      <c r="G71" s="268" t="s">
        <v>2356</v>
      </c>
      <c r="H71" s="269"/>
      <c r="I71" s="265" t="s">
        <v>2197</v>
      </c>
      <c r="J71" s="270"/>
      <c r="K71" s="270"/>
      <c r="L71" s="270"/>
      <c r="M71" s="270"/>
      <c r="N71" s="270" t="s">
        <v>2357</v>
      </c>
      <c r="O71" s="270" t="s">
        <v>2357</v>
      </c>
      <c r="P71" s="270"/>
      <c r="Q71" s="270"/>
    </row>
    <row r="72" spans="2:17">
      <c r="B72" s="281"/>
      <c r="C72" s="278"/>
      <c r="D72" s="279"/>
      <c r="E72" s="269"/>
      <c r="F72" s="269"/>
      <c r="G72" s="269"/>
      <c r="H72" s="268" t="s">
        <v>2358</v>
      </c>
      <c r="I72" s="265" t="s">
        <v>861</v>
      </c>
      <c r="J72" s="270"/>
      <c r="K72" s="270"/>
      <c r="L72" s="270"/>
      <c r="M72" s="270"/>
      <c r="N72" s="270" t="s">
        <v>2359</v>
      </c>
      <c r="O72" s="270" t="s">
        <v>2359</v>
      </c>
      <c r="P72" s="270"/>
      <c r="Q72" s="270"/>
    </row>
    <row r="73" spans="2:17">
      <c r="B73" s="281"/>
      <c r="C73" s="278">
        <v>47</v>
      </c>
      <c r="D73" s="280" t="s">
        <v>2360</v>
      </c>
      <c r="E73" s="268" t="s">
        <v>2361</v>
      </c>
      <c r="F73" s="268" t="s">
        <v>2362</v>
      </c>
      <c r="G73" s="268" t="s">
        <v>2363</v>
      </c>
      <c r="H73" s="269"/>
      <c r="I73" s="265" t="s">
        <v>2197</v>
      </c>
      <c r="J73" s="270"/>
      <c r="K73" s="270"/>
      <c r="L73" s="270"/>
      <c r="M73" s="270"/>
      <c r="N73" s="270"/>
      <c r="O73" s="270"/>
      <c r="P73" s="270" t="s">
        <v>2357</v>
      </c>
      <c r="Q73" s="270" t="s">
        <v>2357</v>
      </c>
    </row>
    <row r="74" spans="2:17">
      <c r="B74" s="281"/>
      <c r="C74" s="278"/>
      <c r="D74" s="280"/>
      <c r="E74" s="269"/>
      <c r="F74" s="269"/>
      <c r="G74" s="269"/>
      <c r="H74" s="268" t="s">
        <v>2364</v>
      </c>
      <c r="I74" s="265" t="s">
        <v>861</v>
      </c>
      <c r="J74" s="270"/>
      <c r="K74" s="270"/>
      <c r="L74" s="270"/>
      <c r="M74" s="270"/>
      <c r="N74" s="270"/>
      <c r="O74" s="270"/>
      <c r="P74" s="270" t="s">
        <v>2359</v>
      </c>
      <c r="Q74" s="270" t="s">
        <v>2359</v>
      </c>
    </row>
    <row r="75" spans="2:17">
      <c r="B75" s="282" t="s">
        <v>736</v>
      </c>
      <c r="C75" s="278">
        <v>48</v>
      </c>
      <c r="D75" s="279" t="s">
        <v>744</v>
      </c>
      <c r="E75" s="268" t="s">
        <v>2365</v>
      </c>
      <c r="F75" s="268" t="s">
        <v>2366</v>
      </c>
      <c r="G75" s="268" t="s">
        <v>2367</v>
      </c>
      <c r="H75" s="269"/>
      <c r="I75" s="265" t="s">
        <v>2197</v>
      </c>
      <c r="J75" s="270"/>
      <c r="K75" s="270"/>
      <c r="L75" s="270"/>
      <c r="M75" s="270"/>
      <c r="N75" s="270" t="s">
        <v>2357</v>
      </c>
      <c r="O75" s="270"/>
      <c r="P75" s="270"/>
      <c r="Q75" s="270"/>
    </row>
    <row r="76" spans="2:17">
      <c r="B76" s="282"/>
      <c r="C76" s="278"/>
      <c r="D76" s="279"/>
      <c r="E76" s="269"/>
      <c r="F76" s="269"/>
      <c r="G76" s="269"/>
      <c r="H76" s="268" t="s">
        <v>2368</v>
      </c>
      <c r="I76" s="265" t="s">
        <v>861</v>
      </c>
      <c r="J76" s="270"/>
      <c r="K76" s="270"/>
      <c r="L76" s="270"/>
      <c r="M76" s="270"/>
      <c r="N76" s="270" t="s">
        <v>2359</v>
      </c>
      <c r="O76" s="271"/>
      <c r="P76" s="270"/>
      <c r="Q76" s="270"/>
    </row>
    <row r="77" spans="2:17">
      <c r="B77" s="282"/>
      <c r="C77" s="278">
        <v>49</v>
      </c>
      <c r="D77" s="279" t="s">
        <v>737</v>
      </c>
      <c r="E77" s="268" t="s">
        <v>2369</v>
      </c>
      <c r="F77" s="268" t="s">
        <v>2370</v>
      </c>
      <c r="G77" s="268" t="s">
        <v>2371</v>
      </c>
      <c r="H77" s="269"/>
      <c r="I77" s="265" t="s">
        <v>2197</v>
      </c>
      <c r="J77" s="270" t="s">
        <v>2345</v>
      </c>
      <c r="K77" s="270" t="s">
        <v>2133</v>
      </c>
      <c r="L77" s="270"/>
      <c r="M77" s="270"/>
      <c r="N77" s="270"/>
      <c r="O77" s="270"/>
      <c r="P77" s="270"/>
      <c r="Q77" s="270"/>
    </row>
    <row r="78" spans="2:17">
      <c r="B78" s="282"/>
      <c r="C78" s="278"/>
      <c r="D78" s="279"/>
      <c r="E78" s="269"/>
      <c r="F78" s="269"/>
      <c r="G78" s="269"/>
      <c r="H78" s="268" t="s">
        <v>2372</v>
      </c>
      <c r="I78" s="265" t="s">
        <v>861</v>
      </c>
      <c r="J78" s="270" t="s">
        <v>2348</v>
      </c>
      <c r="K78" s="270" t="s">
        <v>2134</v>
      </c>
      <c r="L78" s="270"/>
      <c r="M78" s="270"/>
      <c r="N78" s="270"/>
      <c r="O78" s="270"/>
      <c r="P78" s="270"/>
      <c r="Q78" s="270"/>
    </row>
    <row r="79" spans="2:17">
      <c r="B79" s="282" t="s">
        <v>805</v>
      </c>
      <c r="C79" s="264">
        <v>50</v>
      </c>
      <c r="D79" s="274" t="s">
        <v>806</v>
      </c>
      <c r="E79" s="268" t="s">
        <v>2373</v>
      </c>
      <c r="F79" s="268" t="s">
        <v>2374</v>
      </c>
      <c r="G79" s="268" t="s">
        <v>2375</v>
      </c>
      <c r="H79" s="269"/>
      <c r="I79" s="265" t="s">
        <v>2197</v>
      </c>
      <c r="J79" s="270"/>
      <c r="K79" s="270"/>
      <c r="L79" s="270"/>
      <c r="M79" s="270"/>
      <c r="N79" s="270" t="s">
        <v>2172</v>
      </c>
      <c r="O79" s="270"/>
      <c r="P79" s="270"/>
      <c r="Q79" s="270"/>
    </row>
    <row r="80" spans="2:17">
      <c r="B80" s="282"/>
      <c r="C80" s="264">
        <v>51</v>
      </c>
      <c r="D80" s="277" t="s">
        <v>810</v>
      </c>
      <c r="E80" s="268" t="s">
        <v>2376</v>
      </c>
      <c r="F80" s="268" t="s">
        <v>2377</v>
      </c>
      <c r="G80" s="268" t="s">
        <v>2378</v>
      </c>
      <c r="H80" s="269"/>
      <c r="I80" s="265" t="s">
        <v>2197</v>
      </c>
      <c r="J80" s="270" t="s">
        <v>2379</v>
      </c>
      <c r="K80" s="270"/>
      <c r="L80" s="270"/>
      <c r="M80" s="270"/>
      <c r="N80" s="270"/>
      <c r="O80" s="270"/>
      <c r="P80" s="270"/>
      <c r="Q80" s="270"/>
    </row>
    <row r="81" spans="2:17">
      <c r="B81" s="282"/>
      <c r="C81" s="264">
        <v>52</v>
      </c>
      <c r="D81" s="274" t="s">
        <v>814</v>
      </c>
      <c r="E81" s="268" t="s">
        <v>2380</v>
      </c>
      <c r="F81" s="268" t="s">
        <v>2381</v>
      </c>
      <c r="G81" s="268" t="s">
        <v>2382</v>
      </c>
      <c r="H81" s="269"/>
      <c r="I81" s="265" t="s">
        <v>2197</v>
      </c>
      <c r="J81" s="270"/>
      <c r="K81" s="270"/>
      <c r="L81" s="270"/>
      <c r="M81" s="270"/>
      <c r="N81" s="270" t="s">
        <v>2172</v>
      </c>
      <c r="O81" s="270"/>
      <c r="P81" s="270"/>
      <c r="Q81" s="270"/>
    </row>
    <row r="82" spans="2:17">
      <c r="B82" s="281" t="s">
        <v>817</v>
      </c>
      <c r="C82" s="278">
        <v>53</v>
      </c>
      <c r="D82" s="279" t="s">
        <v>818</v>
      </c>
      <c r="E82" s="268" t="s">
        <v>2383</v>
      </c>
      <c r="F82" s="268" t="s">
        <v>2384</v>
      </c>
      <c r="G82" s="268" t="s">
        <v>2385</v>
      </c>
      <c r="H82" s="269"/>
      <c r="I82" s="265" t="s">
        <v>2197</v>
      </c>
      <c r="J82" s="270"/>
      <c r="K82" s="270"/>
      <c r="L82" s="270"/>
      <c r="M82" s="270"/>
      <c r="N82" s="270" t="s">
        <v>2174</v>
      </c>
      <c r="O82" s="270"/>
      <c r="P82" s="270"/>
      <c r="Q82" s="270"/>
    </row>
    <row r="83" spans="2:17">
      <c r="B83" s="281"/>
      <c r="C83" s="278"/>
      <c r="D83" s="279"/>
      <c r="E83" s="269"/>
      <c r="F83" s="269"/>
      <c r="G83" s="269"/>
      <c r="H83" s="268" t="s">
        <v>2386</v>
      </c>
      <c r="I83" s="265" t="s">
        <v>861</v>
      </c>
      <c r="J83" s="270"/>
      <c r="K83" s="270"/>
      <c r="L83" s="270"/>
      <c r="M83" s="270"/>
      <c r="N83" s="270" t="s">
        <v>2175</v>
      </c>
      <c r="O83" s="270"/>
      <c r="P83" s="270"/>
      <c r="Q83" s="270"/>
    </row>
    <row r="84" spans="2:17">
      <c r="B84" s="281" t="s">
        <v>826</v>
      </c>
      <c r="C84" s="278">
        <v>54</v>
      </c>
      <c r="D84" s="279" t="s">
        <v>853</v>
      </c>
      <c r="E84" s="268" t="s">
        <v>2387</v>
      </c>
      <c r="F84" s="268" t="s">
        <v>2388</v>
      </c>
      <c r="G84" s="268" t="s">
        <v>2389</v>
      </c>
      <c r="H84" s="269"/>
      <c r="I84" s="265" t="s">
        <v>2197</v>
      </c>
      <c r="J84" s="270" t="s">
        <v>2176</v>
      </c>
      <c r="K84" s="270"/>
      <c r="L84" s="270"/>
      <c r="M84" s="270"/>
      <c r="N84" s="270"/>
      <c r="O84" s="270"/>
      <c r="P84" s="270"/>
      <c r="Q84" s="270"/>
    </row>
    <row r="85" spans="2:17">
      <c r="B85" s="281"/>
      <c r="C85" s="278"/>
      <c r="D85" s="279"/>
      <c r="E85" s="269"/>
      <c r="F85" s="269"/>
      <c r="G85" s="269"/>
      <c r="H85" s="268" t="s">
        <v>2390</v>
      </c>
      <c r="I85" s="265" t="s">
        <v>861</v>
      </c>
      <c r="J85" s="270" t="s">
        <v>2177</v>
      </c>
      <c r="K85" s="270"/>
      <c r="L85" s="270"/>
      <c r="M85" s="270"/>
      <c r="N85" s="270"/>
      <c r="O85" s="270"/>
      <c r="P85" s="270"/>
      <c r="Q85" s="270"/>
    </row>
    <row r="86" spans="2:17">
      <c r="B86" s="281"/>
      <c r="C86" s="278">
        <v>55</v>
      </c>
      <c r="D86" s="279" t="s">
        <v>827</v>
      </c>
      <c r="E86" s="268" t="s">
        <v>2391</v>
      </c>
      <c r="F86" s="268" t="s">
        <v>2392</v>
      </c>
      <c r="G86" s="268" t="s">
        <v>2393</v>
      </c>
      <c r="H86" s="269"/>
      <c r="I86" s="265" t="s">
        <v>2197</v>
      </c>
      <c r="J86" s="270" t="s">
        <v>2176</v>
      </c>
      <c r="K86" s="270"/>
      <c r="L86" s="270"/>
      <c r="M86" s="270"/>
      <c r="N86" s="270"/>
      <c r="O86" s="270"/>
      <c r="P86" s="270"/>
      <c r="Q86" s="270"/>
    </row>
    <row r="87" spans="2:17">
      <c r="B87" s="281"/>
      <c r="C87" s="278"/>
      <c r="D87" s="279"/>
      <c r="E87" s="269"/>
      <c r="F87" s="269"/>
      <c r="G87" s="269"/>
      <c r="H87" s="268" t="s">
        <v>2394</v>
      </c>
      <c r="I87" s="265" t="s">
        <v>861</v>
      </c>
      <c r="J87" s="270" t="s">
        <v>2177</v>
      </c>
      <c r="K87" s="270"/>
      <c r="L87" s="270"/>
      <c r="M87" s="270"/>
      <c r="N87" s="270"/>
      <c r="O87" s="270"/>
      <c r="P87" s="270"/>
      <c r="Q87" s="270"/>
    </row>
    <row r="88" spans="2:17">
      <c r="B88" s="281"/>
      <c r="C88" s="278">
        <v>56</v>
      </c>
      <c r="D88" s="279" t="s">
        <v>843</v>
      </c>
      <c r="E88" s="268" t="s">
        <v>2395</v>
      </c>
      <c r="F88" s="268" t="s">
        <v>2396</v>
      </c>
      <c r="G88" s="268" t="s">
        <v>2397</v>
      </c>
      <c r="H88" s="269"/>
      <c r="I88" s="265" t="s">
        <v>2197</v>
      </c>
      <c r="J88" s="270"/>
      <c r="K88" s="270"/>
      <c r="L88" s="270"/>
      <c r="M88" s="270"/>
      <c r="N88" s="270" t="s">
        <v>2398</v>
      </c>
      <c r="O88" s="270"/>
      <c r="P88" s="270"/>
      <c r="Q88" s="270"/>
    </row>
    <row r="89" spans="2:17">
      <c r="B89" s="281"/>
      <c r="C89" s="278"/>
      <c r="D89" s="279"/>
      <c r="E89" s="269"/>
      <c r="F89" s="269"/>
      <c r="G89" s="269"/>
      <c r="H89" s="268" t="s">
        <v>2399</v>
      </c>
      <c r="I89" s="265" t="s">
        <v>861</v>
      </c>
      <c r="J89" s="270"/>
      <c r="K89" s="270"/>
      <c r="L89" s="270"/>
      <c r="M89" s="270"/>
      <c r="N89" s="270" t="s">
        <v>2400</v>
      </c>
      <c r="O89" s="270"/>
      <c r="P89" s="270"/>
      <c r="Q89" s="270"/>
    </row>
    <row r="90" spans="2:17">
      <c r="B90" s="281"/>
      <c r="C90" s="278">
        <v>57</v>
      </c>
      <c r="D90" s="280" t="s">
        <v>850</v>
      </c>
      <c r="E90" s="268" t="s">
        <v>2401</v>
      </c>
      <c r="F90" s="268" t="s">
        <v>2402</v>
      </c>
      <c r="G90" s="268" t="s">
        <v>2403</v>
      </c>
      <c r="H90" s="269"/>
      <c r="I90" s="265" t="s">
        <v>2197</v>
      </c>
      <c r="J90" s="270"/>
      <c r="K90" s="270"/>
      <c r="L90" s="270"/>
      <c r="M90" s="270"/>
      <c r="N90" s="270"/>
      <c r="O90" s="270"/>
      <c r="P90" s="270" t="s">
        <v>2398</v>
      </c>
      <c r="Q90" s="270"/>
    </row>
    <row r="91" spans="2:17">
      <c r="B91" s="281"/>
      <c r="C91" s="278"/>
      <c r="D91" s="280"/>
      <c r="E91" s="269"/>
      <c r="F91" s="269"/>
      <c r="G91" s="269"/>
      <c r="H91" s="268" t="s">
        <v>2404</v>
      </c>
      <c r="I91" s="265" t="s">
        <v>861</v>
      </c>
      <c r="J91" s="270"/>
      <c r="K91" s="270"/>
      <c r="L91" s="270"/>
      <c r="M91" s="270"/>
      <c r="N91" s="270"/>
      <c r="O91" s="270"/>
      <c r="P91" s="270" t="s">
        <v>2400</v>
      </c>
      <c r="Q91" s="270"/>
    </row>
    <row r="92" spans="2:17">
      <c r="B92" s="281"/>
      <c r="C92" s="278">
        <v>58</v>
      </c>
      <c r="D92" s="279" t="s">
        <v>2405</v>
      </c>
      <c r="E92" s="268" t="s">
        <v>2406</v>
      </c>
      <c r="F92" s="268" t="s">
        <v>2407</v>
      </c>
      <c r="G92" s="268" t="s">
        <v>2408</v>
      </c>
      <c r="H92" s="269"/>
      <c r="I92" s="265" t="s">
        <v>2197</v>
      </c>
      <c r="J92" s="270"/>
      <c r="K92" s="270"/>
      <c r="L92" s="270" t="s">
        <v>2176</v>
      </c>
      <c r="M92" s="270"/>
      <c r="N92" s="270"/>
      <c r="O92" s="270"/>
      <c r="P92" s="270"/>
      <c r="Q92" s="270"/>
    </row>
    <row r="93" spans="2:17">
      <c r="B93" s="281"/>
      <c r="C93" s="278"/>
      <c r="D93" s="279"/>
      <c r="E93" s="269"/>
      <c r="F93" s="269"/>
      <c r="G93" s="269"/>
      <c r="H93" s="268" t="s">
        <v>2409</v>
      </c>
      <c r="I93" s="265" t="s">
        <v>861</v>
      </c>
      <c r="J93" s="270"/>
      <c r="K93" s="270"/>
      <c r="L93" s="270" t="s">
        <v>2177</v>
      </c>
      <c r="M93" s="270"/>
      <c r="N93" s="270"/>
      <c r="O93" s="270"/>
      <c r="P93" s="270"/>
      <c r="Q93" s="270"/>
    </row>
    <row r="94" spans="2:17">
      <c r="B94" s="281"/>
      <c r="C94" s="278">
        <v>59</v>
      </c>
      <c r="D94" s="279" t="s">
        <v>839</v>
      </c>
      <c r="E94" s="268" t="s">
        <v>2410</v>
      </c>
      <c r="F94" s="268" t="s">
        <v>2411</v>
      </c>
      <c r="G94" s="268" t="s">
        <v>2412</v>
      </c>
      <c r="H94" s="269"/>
      <c r="I94" s="265" t="s">
        <v>2197</v>
      </c>
      <c r="J94" s="270"/>
      <c r="K94" s="270"/>
      <c r="L94" s="270" t="s">
        <v>2176</v>
      </c>
      <c r="M94" s="270"/>
      <c r="N94" s="270"/>
      <c r="O94" s="270"/>
      <c r="P94" s="270"/>
      <c r="Q94" s="270"/>
    </row>
    <row r="95" spans="2:17">
      <c r="B95" s="281"/>
      <c r="C95" s="278"/>
      <c r="D95" s="279"/>
      <c r="E95" s="269"/>
      <c r="F95" s="269"/>
      <c r="G95" s="269"/>
      <c r="H95" s="268" t="s">
        <v>2413</v>
      </c>
      <c r="I95" s="265" t="s">
        <v>861</v>
      </c>
      <c r="J95" s="270"/>
      <c r="K95" s="270"/>
      <c r="L95" s="270" t="s">
        <v>2177</v>
      </c>
      <c r="M95" s="270"/>
      <c r="N95" s="270"/>
      <c r="O95" s="270"/>
      <c r="P95" s="270"/>
      <c r="Q95" s="270"/>
    </row>
    <row r="96" spans="2:17">
      <c r="B96" s="281"/>
      <c r="C96" s="278">
        <v>60</v>
      </c>
      <c r="D96" s="279" t="s">
        <v>831</v>
      </c>
      <c r="E96" s="268" t="s">
        <v>2414</v>
      </c>
      <c r="F96" s="268" t="s">
        <v>2415</v>
      </c>
      <c r="G96" s="268" t="s">
        <v>2416</v>
      </c>
      <c r="H96" s="269"/>
      <c r="I96" s="265" t="s">
        <v>2197</v>
      </c>
      <c r="J96" s="270"/>
      <c r="K96" s="270"/>
      <c r="L96" s="270"/>
      <c r="M96" s="270"/>
      <c r="N96" s="270" t="s">
        <v>2398</v>
      </c>
      <c r="O96" s="270"/>
      <c r="P96" s="270"/>
      <c r="Q96" s="270"/>
    </row>
    <row r="97" spans="2:17">
      <c r="B97" s="281"/>
      <c r="C97" s="278"/>
      <c r="D97" s="279"/>
      <c r="E97" s="269"/>
      <c r="F97" s="269"/>
      <c r="G97" s="269"/>
      <c r="H97" s="268" t="s">
        <v>2417</v>
      </c>
      <c r="I97" s="265" t="s">
        <v>861</v>
      </c>
      <c r="J97" s="270"/>
      <c r="K97" s="270"/>
      <c r="L97" s="270"/>
      <c r="M97" s="270"/>
      <c r="N97" s="270" t="s">
        <v>2400</v>
      </c>
      <c r="O97" s="270"/>
      <c r="P97" s="270"/>
      <c r="Q97" s="270"/>
    </row>
    <row r="98" spans="2:17">
      <c r="B98" s="281"/>
      <c r="C98" s="278">
        <v>61</v>
      </c>
      <c r="D98" s="279" t="s">
        <v>835</v>
      </c>
      <c r="E98" s="268" t="s">
        <v>2418</v>
      </c>
      <c r="F98" s="268" t="s">
        <v>2419</v>
      </c>
      <c r="G98" s="268" t="s">
        <v>2420</v>
      </c>
      <c r="H98" s="269"/>
      <c r="I98" s="265" t="s">
        <v>2197</v>
      </c>
      <c r="J98" s="270"/>
      <c r="K98" s="270"/>
      <c r="L98" s="270"/>
      <c r="M98" s="270"/>
      <c r="N98" s="270"/>
      <c r="O98" s="270" t="s">
        <v>2159</v>
      </c>
      <c r="P98" s="270"/>
      <c r="Q98" s="270"/>
    </row>
    <row r="99" spans="2:17">
      <c r="B99" s="281"/>
      <c r="C99" s="278"/>
      <c r="D99" s="279"/>
      <c r="E99" s="269"/>
      <c r="F99" s="269"/>
      <c r="G99" s="269"/>
      <c r="H99" s="268" t="s">
        <v>2421</v>
      </c>
      <c r="I99" s="265" t="s">
        <v>861</v>
      </c>
      <c r="J99" s="270"/>
      <c r="K99" s="270"/>
      <c r="L99" s="270"/>
      <c r="M99" s="270"/>
      <c r="N99" s="270"/>
      <c r="O99" s="270" t="s">
        <v>2160</v>
      </c>
      <c r="P99" s="270"/>
      <c r="Q99" s="270"/>
    </row>
    <row r="101" spans="2:17">
      <c r="J101" s="263" t="s">
        <v>2422</v>
      </c>
    </row>
  </sheetData>
  <mergeCells count="94">
    <mergeCell ref="J2:K2"/>
    <mergeCell ref="B19:B27"/>
    <mergeCell ref="L2:M2"/>
    <mergeCell ref="N2:O2"/>
    <mergeCell ref="P2:Q2"/>
    <mergeCell ref="B4:B9"/>
    <mergeCell ref="C4:C5"/>
    <mergeCell ref="D4:D5"/>
    <mergeCell ref="C6:C7"/>
    <mergeCell ref="D6:D7"/>
    <mergeCell ref="C8:C9"/>
    <mergeCell ref="D8:D9"/>
    <mergeCell ref="B2:B3"/>
    <mergeCell ref="C2:C3"/>
    <mergeCell ref="D2:D3"/>
    <mergeCell ref="E2:H2"/>
    <mergeCell ref="I2:I3"/>
    <mergeCell ref="B10:B11"/>
    <mergeCell ref="C10:C11"/>
    <mergeCell ref="D10:D11"/>
    <mergeCell ref="B12:B15"/>
    <mergeCell ref="B16:B18"/>
    <mergeCell ref="C42:C43"/>
    <mergeCell ref="D42:D43"/>
    <mergeCell ref="B28:B43"/>
    <mergeCell ref="C28:C29"/>
    <mergeCell ref="D28:D29"/>
    <mergeCell ref="C30:C31"/>
    <mergeCell ref="D30:D31"/>
    <mergeCell ref="C32:C33"/>
    <mergeCell ref="D32:D33"/>
    <mergeCell ref="C34:C35"/>
    <mergeCell ref="D34:D35"/>
    <mergeCell ref="C36:C37"/>
    <mergeCell ref="D36:D37"/>
    <mergeCell ref="C38:C39"/>
    <mergeCell ref="D38:D39"/>
    <mergeCell ref="C40:C41"/>
    <mergeCell ref="D40:D41"/>
    <mergeCell ref="B63:B66"/>
    <mergeCell ref="C63:C64"/>
    <mergeCell ref="D63:D64"/>
    <mergeCell ref="C65:C66"/>
    <mergeCell ref="D65:D66"/>
    <mergeCell ref="D52:D53"/>
    <mergeCell ref="C54:C55"/>
    <mergeCell ref="D54:D55"/>
    <mergeCell ref="B56:B59"/>
    <mergeCell ref="B60:B61"/>
    <mergeCell ref="B44:B55"/>
    <mergeCell ref="C44:C45"/>
    <mergeCell ref="D44:D45"/>
    <mergeCell ref="C46:C47"/>
    <mergeCell ref="D46:D47"/>
    <mergeCell ref="C48:C49"/>
    <mergeCell ref="D48:D49"/>
    <mergeCell ref="C50:C51"/>
    <mergeCell ref="D50:D51"/>
    <mergeCell ref="C52:C53"/>
    <mergeCell ref="B79:B81"/>
    <mergeCell ref="B67:B74"/>
    <mergeCell ref="C67:C68"/>
    <mergeCell ref="D67:D68"/>
    <mergeCell ref="C69:C70"/>
    <mergeCell ref="D69:D70"/>
    <mergeCell ref="C71:C72"/>
    <mergeCell ref="D71:D72"/>
    <mergeCell ref="C73:C74"/>
    <mergeCell ref="D73:D74"/>
    <mergeCell ref="B75:B78"/>
    <mergeCell ref="C75:C76"/>
    <mergeCell ref="D75:D76"/>
    <mergeCell ref="C77:C78"/>
    <mergeCell ref="D77:D78"/>
    <mergeCell ref="B82:B83"/>
    <mergeCell ref="C82:C83"/>
    <mergeCell ref="D82:D83"/>
    <mergeCell ref="B84:B99"/>
    <mergeCell ref="C84:C85"/>
    <mergeCell ref="D84:D85"/>
    <mergeCell ref="C86:C87"/>
    <mergeCell ref="D86:D87"/>
    <mergeCell ref="C88:C89"/>
    <mergeCell ref="D88:D89"/>
    <mergeCell ref="C96:C97"/>
    <mergeCell ref="D96:D97"/>
    <mergeCell ref="C98:C99"/>
    <mergeCell ref="D98:D99"/>
    <mergeCell ref="C90:C91"/>
    <mergeCell ref="D90:D91"/>
    <mergeCell ref="C92:C93"/>
    <mergeCell ref="D92:D93"/>
    <mergeCell ref="C94:C95"/>
    <mergeCell ref="D94:D95"/>
  </mergeCells>
  <phoneticPr fontId="10" type="noConversion"/>
  <conditionalFormatting sqref="I4:Q99">
    <cfRule type="expression" dxfId="1" priority="1">
      <formula xml:space="preserve"> $I4="平上去"</formula>
    </cfRule>
    <cfRule type="expression" dxfId="0" priority="2">
      <formula xml:space="preserve"> $I4="入"</formula>
    </cfRule>
  </conditionalFormatting>
  <hyperlinks>
    <hyperlink ref="E4" r:id="rId1" location="sp01" display="https://kanji-database.sourceforge.net/dict/sbgy/v1.html - sp01" xr:uid="{7A8FAB45-B110-4F76-BE79-6A927691322C}"/>
    <hyperlink ref="F4" r:id="rId2" location="s01" display="https://kanji-database.sourceforge.net/dict/sbgy/v3.html - s01" xr:uid="{57CC56B5-CE0F-4B65-A189-C4C3F897AA5A}"/>
    <hyperlink ref="G4" r:id="rId3" location="q01" display="https://kanji-database.sourceforge.net/dict/sbgy/v4.html - q01" xr:uid="{88A74D53-2AC2-4881-8D73-2C3E6D3D38F6}"/>
    <hyperlink ref="H5" r:id="rId4" location="r01" display="https://kanji-database.sourceforge.net/dict/sbgy/v5.html - r01" xr:uid="{D932B4BC-4CE2-48A8-B131-73FA05C7C28D}"/>
    <hyperlink ref="E6" r:id="rId5" location="sp02" display="https://kanji-database.sourceforge.net/dict/sbgy/v1.html - sp02" xr:uid="{7742E67E-66BF-4EB1-B039-DDBBA5688195}"/>
    <hyperlink ref="G6" r:id="rId6" location="q02" display="https://kanji-database.sourceforge.net/dict/sbgy/v4.html - q02" xr:uid="{16B2834F-F757-41D8-8AA8-B00F5ECF1CF4}"/>
    <hyperlink ref="H7" r:id="rId7" location="r02" display="https://kanji-database.sourceforge.net/dict/sbgy/v5.html - r02" xr:uid="{B17B733C-F5AE-4F4D-B690-AB96CA08881B}"/>
    <hyperlink ref="E8" r:id="rId8" location="sp03" display="https://kanji-database.sourceforge.net/dict/sbgy/v1.html - sp03" xr:uid="{40A2C2B7-7E9E-4551-A434-A38D1555E7C5}"/>
    <hyperlink ref="F8" r:id="rId9" location="s02" display="https://kanji-database.sourceforge.net/dict/sbgy/v3.html - s02" xr:uid="{163325D1-7611-46EA-80D9-D7A2AD2E32C5}"/>
    <hyperlink ref="G8" r:id="rId10" location="q03" display="https://kanji-database.sourceforge.net/dict/sbgy/v4.html - q03" xr:uid="{E2724041-3D5B-4C48-8B9B-789522E2F91F}"/>
    <hyperlink ref="H9" r:id="rId11" location="r03" display="https://kanji-database.sourceforge.net/dict/sbgy/v5.html - r03" xr:uid="{14497E3B-5ADC-4FDD-80CB-062089C48946}"/>
    <hyperlink ref="E10" r:id="rId12" location="sp04" display="https://kanji-database.sourceforge.net/dict/sbgy/v1.html - sp04" xr:uid="{1DD6DF7E-D2F5-4238-A7A7-9883D4F3B167}"/>
    <hyperlink ref="F10" r:id="rId13" location="s03" display="https://kanji-database.sourceforge.net/dict/sbgy/v3.html - s03" xr:uid="{9F67DFFC-D2C3-4EA5-A78C-5131FE5974D5}"/>
    <hyperlink ref="G10" r:id="rId14" location="q04" display="https://kanji-database.sourceforge.net/dict/sbgy/v4.html - q04" xr:uid="{E422D372-4E76-46EA-95B9-23CF34FD95F3}"/>
    <hyperlink ref="H11" r:id="rId15" location="r04" display="https://kanji-database.sourceforge.net/dict/sbgy/v5.html - r04" xr:uid="{DEB0F8B3-FCB5-447B-B278-9FA4B4C24142}"/>
    <hyperlink ref="E12" r:id="rId16" location="sp05" display="https://kanji-database.sourceforge.net/dict/sbgy/v1.html - sp05" xr:uid="{9849E607-FB40-4AB4-B3DE-99D166A50716}"/>
    <hyperlink ref="F12" r:id="rId17" location="s04" display="https://kanji-database.sourceforge.net/dict/sbgy/v3.html - s04" xr:uid="{82EE6E1C-BB10-4DFC-BF8D-206BBA26B81C}"/>
    <hyperlink ref="G12" r:id="rId18" location="q05" display="https://kanji-database.sourceforge.net/dict/sbgy/v4.html - q05" xr:uid="{B39EEF5C-7FD6-4FEF-8CEA-8A16C9B498F4}"/>
    <hyperlink ref="E13" r:id="rId19" location="sp06" display="https://kanji-database.sourceforge.net/dict/sbgy/v1.html - sp06" xr:uid="{409DED9F-BFF1-4252-A641-0ED2F3408294}"/>
    <hyperlink ref="F13" r:id="rId20" location="s05" display="https://kanji-database.sourceforge.net/dict/sbgy/v3.html - s05" xr:uid="{268D0D93-2CE3-4C59-B9E3-20D408DEE2F4}"/>
    <hyperlink ref="G13" r:id="rId21" location="q06" display="https://kanji-database.sourceforge.net/dict/sbgy/v4.html - q06" xr:uid="{5E7BEBA4-2B1A-4DFA-82E9-B61FF1BBBE93}"/>
    <hyperlink ref="E14" r:id="rId22" location="sp07" display="https://kanji-database.sourceforge.net/dict/sbgy/v1.html - sp07" xr:uid="{A343B244-7363-4668-8922-A284BD284F91}"/>
    <hyperlink ref="F14" r:id="rId23" location="s06" display="https://kanji-database.sourceforge.net/dict/sbgy/v3.html - s06" xr:uid="{22E50E57-3E85-4AFB-AD3A-24C9130A4FE0}"/>
    <hyperlink ref="G14" r:id="rId24" location="q07" display="https://kanji-database.sourceforge.net/dict/sbgy/v4.html - q07" xr:uid="{102CEEDC-F82D-408F-97C0-7438109E74CA}"/>
    <hyperlink ref="E15" r:id="rId25" location="sp08" display="https://kanji-database.sourceforge.net/dict/sbgy/v1.html - sp08" xr:uid="{963993CB-C5C8-43EC-9A24-242822CFE6A5}"/>
    <hyperlink ref="F15" r:id="rId26" location="s07" display="https://kanji-database.sourceforge.net/dict/sbgy/v3.html - s07" xr:uid="{2E63A1BD-13FA-49E7-869E-6FF3953D3EBA}"/>
    <hyperlink ref="G15" r:id="rId27" location="q08" display="https://kanji-database.sourceforge.net/dict/sbgy/v4.html - q08" xr:uid="{187CE383-D7FE-462B-BCF7-CB585C277314}"/>
    <hyperlink ref="E16" r:id="rId28" location="sp09" display="https://kanji-database.sourceforge.net/dict/sbgy/v1.html - sp09" xr:uid="{A7CA0710-98D8-488D-BD6C-66C7A39E4A9F}"/>
    <hyperlink ref="F16" r:id="rId29" location="s08" display="https://kanji-database.sourceforge.net/dict/sbgy/v3.html - s08" xr:uid="{B9773155-AA50-45FC-9A0C-1DFEAB4E050F}"/>
    <hyperlink ref="G16" r:id="rId30" location="q09" display="https://kanji-database.sourceforge.net/dict/sbgy/v4.html - q09" xr:uid="{3655C385-7C7B-47C7-BDE7-CD308F6CD4E6}"/>
    <hyperlink ref="E17" r:id="rId31" location="sp10" display="https://kanji-database.sourceforge.net/dict/sbgy/v1.html - sp10" xr:uid="{5C07D537-1DEB-43A5-8B4A-401109395C7B}"/>
    <hyperlink ref="F17" r:id="rId32" location="s09" display="https://kanji-database.sourceforge.net/dict/sbgy/v3.html - s09" xr:uid="{F16041A5-E2FB-4417-8F51-B1BD595C04B1}"/>
    <hyperlink ref="G17" r:id="rId33" location="q10" display="https://kanji-database.sourceforge.net/dict/sbgy/v4.html - q10" xr:uid="{94534CA0-FA45-4B96-BFCE-D08832E8E10E}"/>
    <hyperlink ref="E18" r:id="rId34" location="sp11" display="https://kanji-database.sourceforge.net/dict/sbgy/v1.html - sp11" xr:uid="{6494BFFB-2A1F-4C9C-84EB-83733BD59EC8}"/>
    <hyperlink ref="F18" r:id="rId35" location="s10" display="https://kanji-database.sourceforge.net/dict/sbgy/v3.html - s10" xr:uid="{48DD9B38-1087-4DD7-94F7-019DA5E564BF}"/>
    <hyperlink ref="G18" r:id="rId36" location="q11" display="https://kanji-database.sourceforge.net/dict/sbgy/v4.html - q11" xr:uid="{96FC91B1-FDF6-4408-9A09-9F7B5AA93655}"/>
    <hyperlink ref="E19" r:id="rId37" location="sp12" display="https://kanji-database.sourceforge.net/dict/sbgy/v1.html - sp12" xr:uid="{2724F3E2-A024-4812-9461-FE4A673ADBDE}"/>
    <hyperlink ref="F19" r:id="rId38" location="s11" display="https://kanji-database.sourceforge.net/dict/sbgy/v3.html - s11" xr:uid="{A1DA405B-2925-4B86-8F2B-F91C44C31FD8}"/>
    <hyperlink ref="G19" r:id="rId39" location="q12" display="https://kanji-database.sourceforge.net/dict/sbgy/v4.html - q12" xr:uid="{200C883E-F69B-41B6-BFD9-CE1F0A18D4A1}"/>
    <hyperlink ref="G20" r:id="rId40" location="q13" display="https://kanji-database.sourceforge.net/dict/sbgy/v4.html - q13" xr:uid="{4C5E1457-42BB-4FC0-8249-83E912A32932}"/>
    <hyperlink ref="G21" r:id="rId41" location="q14" display="https://kanji-database.sourceforge.net/dict/sbgy/v4.html - q14" xr:uid="{36A6AB78-8811-461B-A391-B289B3051D52}"/>
    <hyperlink ref="E22" r:id="rId42" location="sp13" display="https://kanji-database.sourceforge.net/dict/sbgy/v1.html - sp13" xr:uid="{735A8A2E-185F-4D59-968F-56DEB5DE79EC}"/>
    <hyperlink ref="F22" r:id="rId43" location="s12" display="https://kanji-database.sourceforge.net/dict/sbgy/v3.html - s12" xr:uid="{7B9F07CA-C5FF-4620-8F0A-FCD067CD43B3}"/>
    <hyperlink ref="G22" r:id="rId44" location="q15" display="https://kanji-database.sourceforge.net/dict/sbgy/v4.html - q15" xr:uid="{7DA980D5-06A0-4914-86C8-FCD8173DF555}"/>
    <hyperlink ref="E23" r:id="rId45" location="sp14" display="https://kanji-database.sourceforge.net/dict/sbgy/v1.html - sp14" xr:uid="{D8C35D24-4458-4AC0-9AB6-681F93A110B3}"/>
    <hyperlink ref="F23" r:id="rId46" location="s13" display="https://kanji-database.sourceforge.net/dict/sbgy/v3.html - s13" xr:uid="{0D61E711-66D8-4F4B-8DCC-8BBCDDF3E529}"/>
    <hyperlink ref="G23" r:id="rId47" location="q16" display="https://kanji-database.sourceforge.net/dict/sbgy/v4.html - q16" xr:uid="{1F62FC40-5525-429B-9CBD-D1B81FFAA8FC}"/>
    <hyperlink ref="G24" r:id="rId48" location="q17" display="https://kanji-database.sourceforge.net/dict/sbgy/v4.html - q17" xr:uid="{52143048-A46A-49DE-B344-83383C73A357}"/>
    <hyperlink ref="E25" r:id="rId49" location="sp15" display="https://kanji-database.sourceforge.net/dict/sbgy/v1.html - sp15" xr:uid="{DE536D04-9985-4667-80EF-6329D0FD62AB}"/>
    <hyperlink ref="F25" r:id="rId50" location="s14" display="https://kanji-database.sourceforge.net/dict/sbgy/v3.html - s14" xr:uid="{54AE5430-C7DB-484D-9B54-D9843BD494AC}"/>
    <hyperlink ref="G25" r:id="rId51" location="q18" display="https://kanji-database.sourceforge.net/dict/sbgy/v4.html - q18" xr:uid="{A5424555-8434-4980-9D51-A6F70C071576}"/>
    <hyperlink ref="E26" r:id="rId52" location="sp16" display="https://kanji-database.sourceforge.net/dict/sbgy/v1.html - sp16" xr:uid="{0142E5BE-78E4-4275-98D0-9DA7781D0B10}"/>
    <hyperlink ref="F26" r:id="rId53" location="s15" display="https://kanji-database.sourceforge.net/dict/sbgy/v3.html - s15" xr:uid="{A577AFE4-E857-40D7-9E4B-08B4103B183C}"/>
    <hyperlink ref="G26" r:id="rId54" location="q19" display="https://kanji-database.sourceforge.net/dict/sbgy/v4.html - q19" xr:uid="{5452CEFA-B7ED-48F3-9134-3CF69FB9B463}"/>
    <hyperlink ref="G27" r:id="rId55" location="q20" display="https://kanji-database.sourceforge.net/dict/sbgy/v4.html - q20" xr:uid="{2F5489E3-FB39-4E39-A2C4-DABFDDB07991}"/>
    <hyperlink ref="E28" r:id="rId56" location="sp17" display="https://kanji-database.sourceforge.net/dict/sbgy/v1.html - sp17" xr:uid="{693DBB24-36D5-40F7-9671-C7A5318B3541}"/>
    <hyperlink ref="F28" r:id="rId57" location="s16" display="https://kanji-database.sourceforge.net/dict/sbgy/v3.html - s16" xr:uid="{43B03F61-4C61-4323-B104-13A15D7DB6A1}"/>
    <hyperlink ref="G28" r:id="rId58" location="q21" display="https://kanji-database.sourceforge.net/dict/sbgy/v4.html - q21" xr:uid="{0E4D5796-3B73-4067-811A-7A61C92AA85A}"/>
    <hyperlink ref="H29" r:id="rId59" location="r05" display="https://kanji-database.sourceforge.net/dict/sbgy/v5.html - r05" xr:uid="{56BC1F86-7286-48FA-8913-4B1475929CAC}"/>
    <hyperlink ref="E30" r:id="rId60" location="sp18" display="https://kanji-database.sourceforge.net/dict/sbgy/v1.html - sp18" xr:uid="{D0689D68-F531-4F13-BBC9-A66432895B30}"/>
    <hyperlink ref="F30" r:id="rId61" location="s17" display="https://kanji-database.sourceforge.net/dict/sbgy/v3.html - s17" xr:uid="{C7BBF62C-895E-4D0B-8029-E19960299461}"/>
    <hyperlink ref="G30" r:id="rId62" location="q22" display="https://kanji-database.sourceforge.net/dict/sbgy/v4.html - q22" xr:uid="{D7E3F7A2-64AF-42AA-AF4B-94FBB3CC755C}"/>
    <hyperlink ref="H31" r:id="rId63" location="r06" display="https://kanji-database.sourceforge.net/dict/sbgy/v5.html - r06" xr:uid="{65C25ADE-1F54-4F4E-9FC9-AB4A17936666}"/>
    <hyperlink ref="E32" r:id="rId64" location="sp19" display="https://kanji-database.sourceforge.net/dict/sbgy/v1.html - sp19" xr:uid="{6D841782-74B6-467B-9D1F-E5B8104F7B30}"/>
    <hyperlink ref="H33" r:id="rId65" location="r07" display="https://kanji-database.sourceforge.net/dict/sbgy/v5.html - r07" xr:uid="{40E62C15-1963-4CA3-860C-1746671A9C1F}"/>
    <hyperlink ref="E34" r:id="rId66" location="sp20" display="https://kanji-database.sourceforge.net/dict/sbgy/v1.html - sp20" xr:uid="{F107E466-7E8D-4A38-B871-AA68EDB1F548}"/>
    <hyperlink ref="F34" r:id="rId67" location="s18" display="https://kanji-database.sourceforge.net/dict/sbgy/v3.html - s18" xr:uid="{65A4D7C0-AA9E-47D6-BF50-B07F244B2173}"/>
    <hyperlink ref="G34" r:id="rId68" location="q23" display="https://kanji-database.sourceforge.net/dict/sbgy/v4.html - q23" xr:uid="{1324D0C9-FC7F-42C7-947A-2253B4109882}"/>
    <hyperlink ref="H35" r:id="rId69" location="r08" display="https://kanji-database.sourceforge.net/dict/sbgy/v5.html - r08" xr:uid="{8328FCCD-0A95-4EEA-A56E-B8353C463E5B}"/>
    <hyperlink ref="E36" r:id="rId70" location="sp21" display="https://kanji-database.sourceforge.net/dict/sbgy/v1.html - sp21" xr:uid="{A7E8B09D-C366-4F40-90BD-DB15FCAC290A}"/>
    <hyperlink ref="F36" r:id="rId71" location="s19" display="https://kanji-database.sourceforge.net/dict/sbgy/v3.html - s19" xr:uid="{C4491A27-1535-41CD-83A7-BF186544B985}"/>
    <hyperlink ref="G36" r:id="rId72" location="q24" display="https://kanji-database.sourceforge.net/dict/sbgy/v4.html - q24" xr:uid="{B3B6F89F-0D18-4F7E-99D3-11931211C904}"/>
    <hyperlink ref="H37" r:id="rId73" location="r09" display="https://kanji-database.sourceforge.net/dict/sbgy/v5.html - r09" xr:uid="{D40FCBF9-C7C3-4330-9AED-C618BB43622D}"/>
    <hyperlink ref="E38" r:id="rId74" location="sp23" display="https://kanji-database.sourceforge.net/dict/sbgy/v1.html - sp23" xr:uid="{5303CE53-D285-404D-9CB8-58013E1362EE}"/>
    <hyperlink ref="F38" r:id="rId75" location="s21" display="https://kanji-database.sourceforge.net/dict/sbgy/v3.html - s21" xr:uid="{3CA8E13F-2D9B-4752-93B4-50311E8DF4C3}"/>
    <hyperlink ref="G38" r:id="rId76" location="q26" display="https://kanji-database.sourceforge.net/dict/sbgy/v4.html - q26" xr:uid="{54C0F2D9-02E9-497A-938B-1B1683A97F10}"/>
    <hyperlink ref="H39" r:id="rId77" location="r11" display="https://kanji-database.sourceforge.net/dict/sbgy/v5.html - r11" xr:uid="{41036EEE-3563-45DD-89CE-D4360D528135}"/>
    <hyperlink ref="E40" r:id="rId78" location="sp24" display="https://kanji-database.sourceforge.net/dict/sbgy/v1.html - sp24" xr:uid="{34E254C3-A8DC-40A8-8AC7-65192E0AE086}"/>
    <hyperlink ref="F40" r:id="rId79" location="s22" display="https://kanji-database.sourceforge.net/dict/sbgy/v3.html - s22" xr:uid="{3B4DFC54-42AA-4E79-AF15-0D792B6B00AA}"/>
    <hyperlink ref="G40" r:id="rId80" location="q27" display="https://kanji-database.sourceforge.net/dict/sbgy/v4.html - q27" xr:uid="{0F2B4155-90CD-46BD-9504-DCDD8E060416}"/>
    <hyperlink ref="E42" r:id="rId81" location="sp22" display="https://kanji-database.sourceforge.net/dict/sbgy/v1.html - sp22" xr:uid="{4CA6960E-637A-4398-AA2C-5873E2947AB8}"/>
    <hyperlink ref="F42" r:id="rId82" location="s20" display="https://kanji-database.sourceforge.net/dict/sbgy/v3.html - s20" xr:uid="{F861A025-D689-4A1F-AF36-1D0CEFC184E3}"/>
    <hyperlink ref="G42" r:id="rId83" location="q25" display="https://kanji-database.sourceforge.net/dict/sbgy/v4.html - q25" xr:uid="{F7668CEB-FEB3-4DDA-A159-3A036A870C56}"/>
    <hyperlink ref="H43" r:id="rId84" location="r10" display="https://kanji-database.sourceforge.net/dict/sbgy/v5.html - r10" xr:uid="{B7D1CD72-5BBA-4150-BDC3-37874347E8A6}"/>
    <hyperlink ref="E44" r:id="rId85" location="sp25" display="https://kanji-database.sourceforge.net/dict/sbgy/v1.html - sp25" xr:uid="{9C8877CE-6AF7-4691-82CE-B0D95D574A03}"/>
    <hyperlink ref="F44" r:id="rId86" location="s23" display="https://kanji-database.sourceforge.net/dict/sbgy/v3.html - s23" xr:uid="{7B8C301D-2381-406D-873F-46B120D81B60}"/>
    <hyperlink ref="G44" r:id="rId87" location="q28" display="https://kanji-database.sourceforge.net/dict/sbgy/v4.html - q28" xr:uid="{88B3F488-5BE3-468E-8D35-B80DD3FCE0B9}"/>
    <hyperlink ref="H45" r:id="rId88" location="r12" display="https://kanji-database.sourceforge.net/dict/sbgy/v5.html - r12" xr:uid="{0DFCFD41-5E0A-4912-ABAE-AE0E3B0A05A0}"/>
    <hyperlink ref="E46" r:id="rId89" location="sp26" display="https://kanji-database.sourceforge.net/dict/sbgy/v1.html - sp26" xr:uid="{FF43B069-2735-4CA6-ABC3-6EAA017BA1F4}"/>
    <hyperlink ref="F46" r:id="rId90" location="s24" display="https://kanji-database.sourceforge.net/dict/sbgy/v3.html - s24" xr:uid="{2C8834E2-0D4F-447F-BAFE-5760744F31E0}"/>
    <hyperlink ref="G46" r:id="rId91" location="q29" display="https://kanji-database.sourceforge.net/dict/sbgy/v4.html - q29" xr:uid="{393C8E22-8482-4E11-B1A6-6F633266C943}"/>
    <hyperlink ref="H47" r:id="rId92" location="r13" display="https://kanji-database.sourceforge.net/dict/sbgy/v5.html - r13" xr:uid="{12931C78-EB1E-4E5E-B837-605FC8C95C6F}"/>
    <hyperlink ref="E48" r:id="rId93" location="sp27" display="https://kanji-database.sourceforge.net/dict/sbgy/v1.html - sp27" xr:uid="{0FA52736-7053-4ACD-A1C0-81F2A81775D7}"/>
    <hyperlink ref="F48" r:id="rId94" location="s25" display="https://kanji-database.sourceforge.net/dict/sbgy/v3.html - s25" xr:uid="{7C325739-3A17-4698-B25D-0195E45A9802}"/>
    <hyperlink ref="G48" r:id="rId95" location="q30" display="https://kanji-database.sourceforge.net/dict/sbgy/v4.html - q30" xr:uid="{CA8E44A4-C6E9-43B5-92DA-47EF69ACC642}"/>
    <hyperlink ref="H49" r:id="rId96" location="r14" display="https://kanji-database.sourceforge.net/dict/sbgy/v5.html - r14" xr:uid="{B2E81A89-FE55-495A-B7B2-AAEB9597F7AB}"/>
    <hyperlink ref="E50" r:id="rId97" location="sp28" display="https://kanji-database.sourceforge.net/dict/sbgy/v1.html - sp28" xr:uid="{CD196FD4-CB83-465F-837B-757207A7A065}"/>
    <hyperlink ref="F50" r:id="rId98" location="s26" display="https://kanji-database.sourceforge.net/dict/sbgy/v3.html - s26" xr:uid="{6BB0A882-D340-4FFB-8AB9-C34E38CCFBAC}"/>
    <hyperlink ref="G50" r:id="rId99" location="q31" display="https://kanji-database.sourceforge.net/dict/sbgy/v4.html - q31" xr:uid="{94895B3D-53EF-4897-BA79-1E4E07A014B8}"/>
    <hyperlink ref="H51" r:id="rId100" location="r15" display="https://kanji-database.sourceforge.net/dict/sbgy/v5.html - r15" xr:uid="{9AA364DF-E541-4E95-A524-7853A7051976}"/>
    <hyperlink ref="E52" r:id="rId101" location="xp01" display="https://kanji-database.sourceforge.net/dict/sbgy/v2.html - xp01" xr:uid="{F649E878-A200-4A1F-8E74-2A77D2E5DD54}"/>
    <hyperlink ref="F52" r:id="rId102" location="s27" display="https://kanji-database.sourceforge.net/dict/sbgy/v3.html - s27" xr:uid="{45C5BA2A-97F2-443C-A936-DA1B93C34D35}"/>
    <hyperlink ref="G52" r:id="rId103" location="q32" display="https://kanji-database.sourceforge.net/dict/sbgy/v4.html - q32" xr:uid="{6A0A3560-1844-45F5-80C6-986AAB719CF5}"/>
    <hyperlink ref="H53" r:id="rId104" location="r16" display="https://kanji-database.sourceforge.net/dict/sbgy/v5.html - r16" xr:uid="{D25E2BDC-3C62-4451-9DEB-9B2DF15A05F2}"/>
    <hyperlink ref="E54" r:id="rId105" location="xp02" display="https://kanji-database.sourceforge.net/dict/sbgy/v2.html - xp02" xr:uid="{E23DB72A-9EF5-4185-9EE1-0C03A0FD6DE2}"/>
    <hyperlink ref="F54" r:id="rId106" location="s28" display="https://kanji-database.sourceforge.net/dict/sbgy/v3.html - s28" xr:uid="{3487319D-51F7-48BF-97D6-54F1AE11029E}"/>
    <hyperlink ref="G54" r:id="rId107" location="q33" display="https://kanji-database.sourceforge.net/dict/sbgy/v4.html - q33" xr:uid="{9B4BDD52-40CD-4DEF-96AE-881ACCDD9263}"/>
    <hyperlink ref="H55" r:id="rId108" location="r17" display="https://kanji-database.sourceforge.net/dict/sbgy/v5.html - r17" xr:uid="{F56C2547-595B-456E-9AE1-35BF36AF6801}"/>
    <hyperlink ref="E56" r:id="rId109" location="xp03" display="https://kanji-database.sourceforge.net/dict/sbgy/v2.html - xp03" xr:uid="{2E17254B-0A10-4BBC-A516-37F3CF6D04B1}"/>
    <hyperlink ref="F56" r:id="rId110" location="s29" display="https://kanji-database.sourceforge.net/dict/sbgy/v3.html - s29" xr:uid="{4247C5B0-C694-450A-ABF9-E8743A9441A2}"/>
    <hyperlink ref="G56" r:id="rId111" location="q34" display="https://kanji-database.sourceforge.net/dict/sbgy/v4.html - q34" xr:uid="{AB31B942-6FD0-49D3-9CF2-7B5A0D2E2423}"/>
    <hyperlink ref="E57" r:id="rId112" location="xp04" display="https://kanji-database.sourceforge.net/dict/sbgy/v2.html - xp04" xr:uid="{B740462C-2461-4579-B7BA-D1A0539DD7A0}"/>
    <hyperlink ref="F57" r:id="rId113" location="s30" display="https://kanji-database.sourceforge.net/dict/sbgy/v3.html - s30" xr:uid="{3A5ECCB4-F706-4034-9253-2731FFF6A177}"/>
    <hyperlink ref="G57" r:id="rId114" location="q35" display="https://kanji-database.sourceforge.net/dict/sbgy/v4.html - q35" xr:uid="{2308F110-6021-4BD1-8D0B-2B368FB5E2BD}"/>
    <hyperlink ref="E58" r:id="rId115" location="xp05" display="https://kanji-database.sourceforge.net/dict/sbgy/v2.html - xp05" xr:uid="{6CEC348A-C3C8-40EA-A44E-65637CAF0F30}"/>
    <hyperlink ref="F58" r:id="rId116" location="s31" display="https://kanji-database.sourceforge.net/dict/sbgy/v3.html - s31" xr:uid="{5BFFABE2-67DF-4016-A1B8-6551604F690E}"/>
    <hyperlink ref="G58" r:id="rId117" location="q36" display="https://kanji-database.sourceforge.net/dict/sbgy/v4.html - q36" xr:uid="{3BF3A940-25F2-4FD2-B95C-611F92AA87E8}"/>
    <hyperlink ref="E59" r:id="rId118" location="xp06" display="https://kanji-database.sourceforge.net/dict/sbgy/v2.html - xp06" xr:uid="{4649457F-AF5F-48B5-9701-70A3FE6E0FA3}"/>
    <hyperlink ref="F59" r:id="rId119" location="s32" display="https://kanji-database.sourceforge.net/dict/sbgy/v3.html - s32" xr:uid="{C8056A11-4A1B-47AE-BD64-27393074A896}"/>
    <hyperlink ref="G59" r:id="rId120" location="q37" display="https://kanji-database.sourceforge.net/dict/sbgy/v4.html - q37" xr:uid="{9E7D6400-D65C-4D79-A71A-74AA654ECF17}"/>
    <hyperlink ref="E60" r:id="rId121" location="xp07" display="https://kanji-database.sourceforge.net/dict/sbgy/v2.html - xp07" xr:uid="{3E5DF59C-2A14-4AC0-8176-4019EF3FCE41}"/>
    <hyperlink ref="F60" r:id="rId122" location="s33" display="https://kanji-database.sourceforge.net/dict/sbgy/v3.html - s33" xr:uid="{A78FDADE-9A28-4BF7-A4F5-D2EFA152E32A}"/>
    <hyperlink ref="G60" r:id="rId123" location="q38" display="https://kanji-database.sourceforge.net/dict/sbgy/v4.html - q38" xr:uid="{324DE872-9CA7-4BA1-8B6F-5CCBE7AEC24A}"/>
    <hyperlink ref="E61" r:id="rId124" location="xp08" display="https://kanji-database.sourceforge.net/dict/sbgy/v2.html - xp08" xr:uid="{719F6107-64E7-4688-96C5-23EB6CD94EB4}"/>
    <hyperlink ref="F61" r:id="rId125" location="s34" display="https://kanji-database.sourceforge.net/dict/sbgy/v3.html - s34" xr:uid="{B73435BE-5894-48DF-8CD7-7287D64DE3D9}"/>
    <hyperlink ref="G61" r:id="rId126" location="q39" display="https://kanji-database.sourceforge.net/dict/sbgy/v4.html - q39" xr:uid="{A3F7C953-AF08-4A01-A67C-963A7E542F47}"/>
    <hyperlink ref="E62" r:id="rId127" location="xp09" display="https://kanji-database.sourceforge.net/dict/sbgy/v2.html - xp09" xr:uid="{419E1A71-272A-4F27-B52B-2A95F6FD1460}"/>
    <hyperlink ref="F62" r:id="rId128" location="s35" display="https://kanji-database.sourceforge.net/dict/sbgy/v3.html - s35" xr:uid="{CCC02268-C203-4FBC-A5D5-AEC27CECC582}"/>
    <hyperlink ref="G62" r:id="rId129" location="q40" display="https://kanji-database.sourceforge.net/dict/sbgy/v4.html - q40" xr:uid="{7E3AC330-BEFF-4EAF-9AAB-652C60B5A461}"/>
    <hyperlink ref="E63" r:id="rId130" location="xp10" display="https://kanji-database.sourceforge.net/dict/sbgy/v2.html - xp10" xr:uid="{95B4A238-56DB-4F81-A08B-63CA9EABCF20}"/>
    <hyperlink ref="F63" r:id="rId131" location="s36" display="https://kanji-database.sourceforge.net/dict/sbgy/v3.html - s36" xr:uid="{FEA4944D-7456-4F58-B7DA-1B28447FC725}"/>
    <hyperlink ref="G63" r:id="rId132" location="q41" display="https://kanji-database.sourceforge.net/dict/sbgy/v4.html - q41" xr:uid="{2E70A649-F66A-4531-8D20-D2F1FCAEA661}"/>
    <hyperlink ref="H64" r:id="rId133" location="r18" display="https://kanji-database.sourceforge.net/dict/sbgy/v5.html - r18" xr:uid="{1F04CC01-C738-4A35-B0B0-3A848A881DB6}"/>
    <hyperlink ref="E65" r:id="rId134" location="xp11" display="https://kanji-database.sourceforge.net/dict/sbgy/v2.html - xp11" xr:uid="{17D30CCB-D4EE-4A3B-BE24-BFA280D90FFD}"/>
    <hyperlink ref="F65" r:id="rId135" location="s37" display="https://kanji-database.sourceforge.net/dict/sbgy/v3.html - s37" xr:uid="{8300CD3E-5D85-4EB8-A21D-AB3D44BD02D8}"/>
    <hyperlink ref="G65" r:id="rId136" location="q42" display="https://kanji-database.sourceforge.net/dict/sbgy/v4.html - q42" xr:uid="{8C24D0C8-A391-4A10-824F-EF6C52CD972D}"/>
    <hyperlink ref="H66" r:id="rId137" location="r19" display="https://kanji-database.sourceforge.net/dict/sbgy/v5.html - r19" xr:uid="{6E12A83A-6496-4946-95FE-EB08575F0FF3}"/>
    <hyperlink ref="E67" r:id="rId138" location="xp12" display="https://kanji-database.sourceforge.net/dict/sbgy/v2.html - xp12" xr:uid="{24A1E194-6969-4964-BEFF-0F34F38223B5}"/>
    <hyperlink ref="F67" r:id="rId139" location="s38" display="https://kanji-database.sourceforge.net/dict/sbgy/v3.html - s38" xr:uid="{84543F4D-271A-4551-AA9C-2597174AF7BC}"/>
    <hyperlink ref="G67" r:id="rId140" location="q43" display="https://kanji-database.sourceforge.net/dict/sbgy/v4.html - q43" xr:uid="{F7F21D91-7BD3-4175-85AE-13F9785C3E1D}"/>
    <hyperlink ref="H68" r:id="rId141" location="r20" display="https://kanji-database.sourceforge.net/dict/sbgy/v5.html - r20" xr:uid="{C7D42835-4163-4061-BF6F-C5DE8C3EED3B}"/>
    <hyperlink ref="E69" r:id="rId142" location="xp13" display="https://kanji-database.sourceforge.net/dict/sbgy/v2.html - xp13" xr:uid="{6AB8FE80-0C76-40A1-8544-A5F3524E2F6B}"/>
    <hyperlink ref="F69" r:id="rId143" location="s39" display="https://kanji-database.sourceforge.net/dict/sbgy/v3.html - s39" xr:uid="{4581E619-750F-43CC-A63B-F667267E6AFE}"/>
    <hyperlink ref="G69" r:id="rId144" location="q44" display="https://kanji-database.sourceforge.net/dict/sbgy/v4.html - q44" xr:uid="{44969F10-F927-46E1-B803-D4F440635702}"/>
    <hyperlink ref="H70" r:id="rId145" location="r21" display="https://kanji-database.sourceforge.net/dict/sbgy/v5.html - r21" xr:uid="{6EC302CF-2C7B-4800-8C14-23A6CF552C9F}"/>
    <hyperlink ref="E71" r:id="rId146" location="xp14" display="https://kanji-database.sourceforge.net/dict/sbgy/v2.html - xp14" xr:uid="{A24DE5FF-3839-4DD2-BB36-9EB80FDA3E0E}"/>
    <hyperlink ref="F71" r:id="rId147" location="s40" display="https://kanji-database.sourceforge.net/dict/sbgy/v3.html - s40" xr:uid="{93230F00-B30E-4C63-9244-77CBF085689D}"/>
    <hyperlink ref="G71" r:id="rId148" location="q45" display="https://kanji-database.sourceforge.net/dict/sbgy/v4.html - q45" xr:uid="{8DC4DBF1-5B06-43F3-A52A-D0D29A68B9C7}"/>
    <hyperlink ref="H72" r:id="rId149" location="r22" display="https://kanji-database.sourceforge.net/dict/sbgy/v5.html - r22" xr:uid="{25F50FDC-10DB-4802-9CED-B1726E638C25}"/>
    <hyperlink ref="E73" r:id="rId150" location="xp15" display="https://kanji-database.sourceforge.net/dict/sbgy/v2.html - xp15" xr:uid="{81741C01-7EE8-46D1-AD8F-A61340655454}"/>
    <hyperlink ref="F73" r:id="rId151" location="s41" display="https://kanji-database.sourceforge.net/dict/sbgy/v3.html - s41" xr:uid="{E8AE81BC-F17F-4B31-A377-C810A3B67FF6}"/>
    <hyperlink ref="G73" r:id="rId152" location="q46" display="https://kanji-database.sourceforge.net/dict/sbgy/v4.html - q46" xr:uid="{6486B8A8-43EB-4442-B6C7-0D2E97115054}"/>
    <hyperlink ref="H74" r:id="rId153" location="r23" display="https://kanji-database.sourceforge.net/dict/sbgy/v5.html - r23" xr:uid="{21C75DD0-0DB4-40D5-B660-4B340B692E13}"/>
    <hyperlink ref="E75" r:id="rId154" location="xp16" display="https://kanji-database.sourceforge.net/dict/sbgy/v2.html - xp16" xr:uid="{6DF2BC47-76BE-4F8E-8189-844665D87158}"/>
    <hyperlink ref="F75" r:id="rId155" location="s42" display="https://kanji-database.sourceforge.net/dict/sbgy/v3.html - s42" xr:uid="{1AD01448-008A-4796-8359-7BC1543ABD48}"/>
    <hyperlink ref="G75" r:id="rId156" location="q47" display="https://kanji-database.sourceforge.net/dict/sbgy/v4.html - q47" xr:uid="{9216160D-3BBE-4997-8C32-8F022603627B}"/>
    <hyperlink ref="H76" r:id="rId157" location="r24" display="https://kanji-database.sourceforge.net/dict/sbgy/v5.html - r24" xr:uid="{735A652B-E10D-4556-AF63-8B014C09A2B6}"/>
    <hyperlink ref="E77" r:id="rId158" location="xp17" display="https://kanji-database.sourceforge.net/dict/sbgy/v2.html - xp17" xr:uid="{14E43F98-3392-429D-B461-72AF852A1CA9}"/>
    <hyperlink ref="F77" r:id="rId159" location="s43" display="https://kanji-database.sourceforge.net/dict/sbgy/v3.html - s43" xr:uid="{30DA3606-777A-4119-8A4E-28A4F0622579}"/>
    <hyperlink ref="G77" r:id="rId160" location="q48" display="https://kanji-database.sourceforge.net/dict/sbgy/v4.html - q48" xr:uid="{406BE374-2F33-4180-B088-1A82327DC788}"/>
    <hyperlink ref="H78" r:id="rId161" location="r25" display="https://kanji-database.sourceforge.net/dict/sbgy/v5.html - r25" xr:uid="{C91A722E-FFA6-463F-B9BF-4EF0F5044995}"/>
    <hyperlink ref="E79" r:id="rId162" location="xp18" display="https://kanji-database.sourceforge.net/dict/sbgy/v2.html - xp18" xr:uid="{23B134EA-F542-44EB-BD1D-7F918E15D50A}"/>
    <hyperlink ref="F79" r:id="rId163" location="s44" display="https://kanji-database.sourceforge.net/dict/sbgy/v3.html - s44" xr:uid="{52DEBB54-8BCC-42C4-ABA7-86ED2DE2AA1B}"/>
    <hyperlink ref="G79" r:id="rId164" location="q49" display="https://kanji-database.sourceforge.net/dict/sbgy/v4.html - q49" xr:uid="{E7060D86-8866-4E8A-AA8F-95DEE4AF477B}"/>
    <hyperlink ref="E80" r:id="rId165" location="xp19" display="https://kanji-database.sourceforge.net/dict/sbgy/v2.html - xp19" xr:uid="{2F1DE11C-F2AA-4706-85A4-6C332535055A}"/>
    <hyperlink ref="F80" r:id="rId166" location="s45" display="https://kanji-database.sourceforge.net/dict/sbgy/v3.html - s45" xr:uid="{70742B86-3B18-4DE1-A770-6A8D7E335614}"/>
    <hyperlink ref="G80" r:id="rId167" location="q50" display="https://kanji-database.sourceforge.net/dict/sbgy/v4.html - q50" xr:uid="{43D5ED0B-CE4A-4630-8001-BFC2464A397D}"/>
    <hyperlink ref="E81" r:id="rId168" location="xp20" display="https://kanji-database.sourceforge.net/dict/sbgy/v2.html - xp20" xr:uid="{DB1E0A8C-9498-4465-A124-C69D8901AB9A}"/>
    <hyperlink ref="F81" r:id="rId169" location="s46" display="https://kanji-database.sourceforge.net/dict/sbgy/v3.html - s46" xr:uid="{84533AA0-02A2-4D6E-8077-55FAD7B21847}"/>
    <hyperlink ref="G81" r:id="rId170" location="q51" display="https://kanji-database.sourceforge.net/dict/sbgy/v4.html - q51" xr:uid="{F5B4A4E3-63DB-492B-BE71-73F65FDB43E2}"/>
    <hyperlink ref="E82" r:id="rId171" location="xp21" display="https://kanji-database.sourceforge.net/dict/sbgy/v2.html - xp21" xr:uid="{57AA11EB-A6DA-4333-B914-5C70FAD67972}"/>
    <hyperlink ref="F82" r:id="rId172" location="s47" display="https://kanji-database.sourceforge.net/dict/sbgy/v3.html - s47" xr:uid="{FB7E0BD4-A09A-4C69-9B71-9D5D954939EF}"/>
    <hyperlink ref="G82" r:id="rId173" location="q52" display="https://kanji-database.sourceforge.net/dict/sbgy/v4.html - q52" xr:uid="{0B66E11B-24D0-465C-A0CD-0D8437D628F3}"/>
    <hyperlink ref="H83" r:id="rId174" location="r26" display="https://kanji-database.sourceforge.net/dict/sbgy/v5.html - r26" xr:uid="{EADBE6D9-664A-431E-870D-06052630A5B9}"/>
    <hyperlink ref="E84" r:id="rId175" location="xp22" display="https://kanji-database.sourceforge.net/dict/sbgy/v2.html - xp22" xr:uid="{8B5FC01B-0D9E-4AD4-A18C-269F2D9D14D1}"/>
    <hyperlink ref="F84" r:id="rId176" location="s48" display="https://kanji-database.sourceforge.net/dict/sbgy/v3.html - s48" xr:uid="{0C111DC6-28E1-4F59-A1E1-56A3BB1D4FE9}"/>
    <hyperlink ref="G84" r:id="rId177" location="q53" display="https://kanji-database.sourceforge.net/dict/sbgy/v4.html - q53" xr:uid="{FC3AF2BE-6009-4504-9AC6-5A8C36EBDCB1}"/>
    <hyperlink ref="H85" r:id="rId178" location="r27" display="https://kanji-database.sourceforge.net/dict/sbgy/v5.html - r27" xr:uid="{8145132B-3A37-41B0-BBAA-90CA793FCA51}"/>
    <hyperlink ref="E86" r:id="rId179" location="xp23" display="https://kanji-database.sourceforge.net/dict/sbgy/v2.html - xp23" xr:uid="{56123AF0-096B-4805-B0F6-56A6D5FC422E}"/>
    <hyperlink ref="F86" r:id="rId180" location="s49" display="https://kanji-database.sourceforge.net/dict/sbgy/v3.html - s49" xr:uid="{DDACAA98-1A23-4A30-AFF8-FC504D1810B9}"/>
    <hyperlink ref="G86" r:id="rId181" location="q54" display="https://kanji-database.sourceforge.net/dict/sbgy/v4.html - q54" xr:uid="{980AA000-9A3B-4B61-9062-E5EB295D9199}"/>
    <hyperlink ref="H87" r:id="rId182" location="r28" display="https://kanji-database.sourceforge.net/dict/sbgy/v5.html - r28" xr:uid="{20797112-12AC-479A-9056-1E670A764B7C}"/>
    <hyperlink ref="E88" r:id="rId183" location="xp24" display="https://kanji-database.sourceforge.net/dict/sbgy/v2.html - xp24" xr:uid="{9F5C14ED-3290-4AE0-84BE-30E085FA0AB8}"/>
    <hyperlink ref="F88" r:id="rId184" location="s50" display="https://kanji-database.sourceforge.net/dict/sbgy/v3.html - s50" xr:uid="{DD9AD6CF-C35E-4703-A7A8-71BF17E5BCDE}"/>
    <hyperlink ref="G88" r:id="rId185" location="q55" display="https://kanji-database.sourceforge.net/dict/sbgy/v4.html - q55" xr:uid="{030E3771-E1BD-4E43-B9AD-B162FD5E016D}"/>
    <hyperlink ref="H89" r:id="rId186" location="r29" display="https://kanji-database.sourceforge.net/dict/sbgy/v5.html - r29" xr:uid="{DD9318C8-A87E-46FB-A150-A264E39DEEC7}"/>
    <hyperlink ref="E90" r:id="rId187" location="xp25" display="https://kanji-database.sourceforge.net/dict/sbgy/v2.html - xp25" xr:uid="{59C642AE-E80F-4D08-82C8-30E9BD579D6E}"/>
    <hyperlink ref="F90" r:id="rId188" location="s51" display="https://kanji-database.sourceforge.net/dict/sbgy/v3.html - s51" xr:uid="{3B22D727-E15C-47D2-A186-204FCE425592}"/>
    <hyperlink ref="G90" r:id="rId189" location="q56" display="https://kanji-database.sourceforge.net/dict/sbgy/v4.html - q56" xr:uid="{F0DED194-E7B1-4D74-B4B2-8B1031534269}"/>
    <hyperlink ref="H91" r:id="rId190" location="r30" display="https://kanji-database.sourceforge.net/dict/sbgy/v5.html - r30" xr:uid="{272192DD-7EA9-4A3B-B7F2-06852DDFC424}"/>
    <hyperlink ref="E92" r:id="rId191" location="xp26" display="https://kanji-database.sourceforge.net/dict/sbgy/v2.html - xp26" xr:uid="{30BB03DA-60F5-4538-8E02-443162EBD6DA}"/>
    <hyperlink ref="F92" r:id="rId192" location="s53" display="https://kanji-database.sourceforge.net/dict/sbgy/v3.html - s53" xr:uid="{09120849-2A51-43F0-8A93-ADA4065C2D6E}"/>
    <hyperlink ref="G92" r:id="rId193" location="q58" display="https://kanji-database.sourceforge.net/dict/sbgy/v4.html - q58" xr:uid="{E4E4D1A9-63B6-44E8-9461-BF0A8F802938}"/>
    <hyperlink ref="H93" r:id="rId194" location="r31" display="https://kanji-database.sourceforge.net/dict/sbgy/v5.html - r31" xr:uid="{3C7B43DE-9561-4112-9451-94663B5DC37E}"/>
    <hyperlink ref="E94" r:id="rId195" location="xp27" display="https://kanji-database.sourceforge.net/dict/sbgy/v2.html - xp27" xr:uid="{564928F1-DE07-4B55-A1DD-F0145C9CA631}"/>
    <hyperlink ref="F94" r:id="rId196" location="s54" display="https://kanji-database.sourceforge.net/dict/sbgy/v3.html - s54" xr:uid="{2F43CD35-BFBD-4A9C-B301-D0771BFDF72F}"/>
    <hyperlink ref="G94" r:id="rId197" location="q59" display="https://kanji-database.sourceforge.net/dict/sbgy/v4.html - q59" xr:uid="{0A84B23D-CE62-4551-A67E-5934289D7DAD}"/>
    <hyperlink ref="H95" r:id="rId198" location="r32" display="https://kanji-database.sourceforge.net/dict/sbgy/v5.html - r32" xr:uid="{138C875F-3183-42F0-8880-63D45E04D6AF}"/>
    <hyperlink ref="E96" r:id="rId199" location="xp28" display="https://kanji-database.sourceforge.net/dict/sbgy/v2.html - xp28" xr:uid="{93388858-FF47-4512-8DEF-5B6A5104AD6A}"/>
    <hyperlink ref="F96" r:id="rId200" location="s52" display="https://kanji-database.sourceforge.net/dict/sbgy/v3.html - s52" xr:uid="{63847D2C-B330-4124-BA6A-89AF9A86C288}"/>
    <hyperlink ref="G96" r:id="rId201" location="q57" display="https://kanji-database.sourceforge.net/dict/sbgy/v4.html - q57" xr:uid="{96723785-8B44-4A20-882B-85B5B9854274}"/>
    <hyperlink ref="H97" r:id="rId202" location="r33" display="https://kanji-database.sourceforge.net/dict/sbgy/v5.html - r33" xr:uid="{051310D2-2763-44F5-A52B-07CD410B2AA8}"/>
    <hyperlink ref="E98" r:id="rId203" location="xp29" display="https://kanji-database.sourceforge.net/dict/sbgy/v2.html - xp29" xr:uid="{123E01E1-5D79-456C-848B-50B8353D3D83}"/>
    <hyperlink ref="F98" r:id="rId204" location="s55" display="https://kanji-database.sourceforge.net/dict/sbgy/v3.html - s55" xr:uid="{69D854C8-9B42-47D4-A475-6EA105655A73}"/>
    <hyperlink ref="G98" r:id="rId205" location="q60" display="https://kanji-database.sourceforge.net/dict/sbgy/v4.html - q60" xr:uid="{2B183487-C61A-4CC2-8141-73D636D2C027}"/>
    <hyperlink ref="H99" r:id="rId206" location="r34" display="https://kanji-database.sourceforge.net/dict/sbgy/v5.html - r34" xr:uid="{63E764A4-71C5-4FFD-BB4A-5E34172BDB95}"/>
  </hyperlinks>
  <pageMargins left="0.11811023622047245" right="0.11811023622047245" top="0" bottom="0" header="0" footer="0"/>
  <pageSetup paperSize="9" scale="66" fitToHeight="0" orientation="landscape" r:id="rId207"/>
  <headerFooter>
    <oddFooter>&amp;R&amp;"Microsoft JhengHei Light,標準"&amp;8&amp;N頁之&amp;P</oddFooter>
  </headerFooter>
  <rowBreaks count="3" manualBreakCount="3">
    <brk id="27" max="16383" man="1"/>
    <brk id="55" max="16383" man="1"/>
    <brk id="81" max="16383" man="1"/>
  </rowBreaks>
  <legacyDrawing r:id="rId208"/>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B821A-2370-4C10-A518-CF9489E75C4D}">
  <dimension ref="B1:R35"/>
  <sheetViews>
    <sheetView topLeftCell="A12" workbookViewId="0">
      <selection activeCell="R20" sqref="O1:R20"/>
    </sheetView>
  </sheetViews>
  <sheetFormatPr defaultRowHeight="25.5"/>
  <cols>
    <col min="2" max="2" width="7" style="207" customWidth="1"/>
    <col min="3" max="3" width="1.5" style="155" customWidth="1"/>
    <col min="4" max="4" width="11.375" style="174" bestFit="1" customWidth="1"/>
    <col min="5" max="7" width="7.875" style="174" customWidth="1"/>
    <col min="8" max="10" width="9" style="174"/>
    <col min="11" max="11" width="47.375" style="174" bestFit="1" customWidth="1"/>
    <col min="12" max="12" width="13" style="174" customWidth="1"/>
    <col min="15" max="15" width="12.25" style="213" customWidth="1"/>
    <col min="16" max="16" width="12.25" style="211" customWidth="1"/>
    <col min="17" max="17" width="12.25" customWidth="1"/>
    <col min="18" max="18" width="12" customWidth="1"/>
  </cols>
  <sheetData>
    <row r="1" spans="2:18" ht="34.5">
      <c r="B1" s="209" t="s">
        <v>2095</v>
      </c>
      <c r="C1" s="206"/>
      <c r="D1" s="206" t="s">
        <v>1811</v>
      </c>
      <c r="E1" s="206" t="s">
        <v>2096</v>
      </c>
      <c r="F1" s="206" t="s">
        <v>145</v>
      </c>
      <c r="G1" s="206" t="s">
        <v>2</v>
      </c>
      <c r="H1" s="206" t="s">
        <v>3</v>
      </c>
      <c r="I1" s="206" t="s">
        <v>4</v>
      </c>
      <c r="J1" s="206" t="s">
        <v>2097</v>
      </c>
      <c r="K1" s="206" t="s">
        <v>2098</v>
      </c>
      <c r="L1" s="145" t="s">
        <v>2086</v>
      </c>
      <c r="O1" s="205" t="s">
        <v>279</v>
      </c>
      <c r="P1" s="205" t="s">
        <v>2100</v>
      </c>
      <c r="Q1" s="205" t="s">
        <v>2101</v>
      </c>
      <c r="R1" s="205" t="s">
        <v>2103</v>
      </c>
    </row>
    <row r="2" spans="2:18" ht="33">
      <c r="B2" s="210" t="str">
        <f>G2</f>
        <v>群</v>
      </c>
      <c r="D2" s="174" cm="1">
        <f t="array" ref="D2:L12" xml:space="preserve"> _xlfn._xlws.FILTER(切語上字表[], 切語上字表[清濁]="全濁")</f>
        <v>3</v>
      </c>
      <c r="E2" s="174" t="str">
        <v>牙音</v>
      </c>
      <c r="F2" s="174" t="str">
        <v>牙音</v>
      </c>
      <c r="G2" s="174" t="str">
        <v>群</v>
      </c>
      <c r="H2" s="174" t="str">
        <v>全濁</v>
      </c>
      <c r="I2" s="174" t="str">
        <v xml:space="preserve"> </v>
      </c>
      <c r="J2" s="174" t="str">
        <v>k</v>
      </c>
      <c r="K2" s="174" t="str">
        <v>渠強求奇衢其暨具巨臼跪近狂</v>
      </c>
      <c r="L2" s="174">
        <v>0</v>
      </c>
      <c r="O2" s="214" t="s">
        <v>152</v>
      </c>
      <c r="P2" s="214" t="s">
        <v>2095</v>
      </c>
      <c r="Q2" s="214" t="s">
        <v>2102</v>
      </c>
      <c r="R2" s="214">
        <v>7</v>
      </c>
    </row>
    <row r="3" spans="2:18" ht="33">
      <c r="B3" s="210" t="str">
        <f t="shared" ref="B3:B12" si="0">G3</f>
        <v>定</v>
      </c>
      <c r="D3" s="174">
        <v>7</v>
      </c>
      <c r="E3" s="174" t="str">
        <v>舌音</v>
      </c>
      <c r="F3" s="174" t="str">
        <v>舌頭音</v>
      </c>
      <c r="G3" s="174" t="str">
        <v>定</v>
      </c>
      <c r="H3" s="174" t="str">
        <v>全濁</v>
      </c>
      <c r="I3" s="174" t="str">
        <v xml:space="preserve"> </v>
      </c>
      <c r="J3" s="174" t="str">
        <v>t</v>
      </c>
      <c r="K3" s="174" t="str">
        <v>徒同特唐堂田陀地度杜大</v>
      </c>
      <c r="L3" s="174">
        <v>0</v>
      </c>
      <c r="O3" s="214" t="s">
        <v>44</v>
      </c>
      <c r="P3" s="214" t="s">
        <v>2095</v>
      </c>
      <c r="Q3" s="214" t="s">
        <v>2102</v>
      </c>
      <c r="R3" s="214">
        <v>7</v>
      </c>
    </row>
    <row r="4" spans="2:18" ht="33">
      <c r="B4" s="210" t="str">
        <f t="shared" si="0"/>
        <v>澄</v>
      </c>
      <c r="D4" s="174">
        <v>11</v>
      </c>
      <c r="E4" s="174" t="str">
        <v>舌音</v>
      </c>
      <c r="F4" s="174" t="str">
        <v>舌上音</v>
      </c>
      <c r="G4" s="174" t="str">
        <v>澄</v>
      </c>
      <c r="H4" s="174" t="str">
        <v>全濁</v>
      </c>
      <c r="I4" s="174" t="str">
        <v xml:space="preserve"> </v>
      </c>
      <c r="J4" s="174" t="str">
        <v>t</v>
      </c>
      <c r="K4" s="174" t="str">
        <v>除場池治持持遲佇柱丈直宅馳墜</v>
      </c>
      <c r="L4" s="174">
        <v>0</v>
      </c>
      <c r="O4" s="214" t="s">
        <v>57</v>
      </c>
      <c r="P4" s="214" t="s">
        <v>2095</v>
      </c>
      <c r="Q4" s="214" t="s">
        <v>2102</v>
      </c>
      <c r="R4" s="214">
        <v>7</v>
      </c>
    </row>
    <row r="5" spans="2:18" ht="33">
      <c r="B5" s="210" t="str">
        <f t="shared" si="0"/>
        <v>並</v>
      </c>
      <c r="D5" s="174">
        <v>15</v>
      </c>
      <c r="E5" s="174" t="str">
        <v>脣音</v>
      </c>
      <c r="F5" s="174" t="str">
        <v>重脣音</v>
      </c>
      <c r="G5" s="174" t="str">
        <v>並</v>
      </c>
      <c r="H5" s="174" t="str">
        <v>全濁</v>
      </c>
      <c r="I5" s="174" t="str">
        <v xml:space="preserve"> </v>
      </c>
      <c r="J5" s="174" t="str">
        <v>p</v>
      </c>
      <c r="K5" s="174" t="str">
        <v>蒲裴平皮步薄白部傍便弼婢毗簿捕</v>
      </c>
      <c r="L5" s="174">
        <v>0</v>
      </c>
      <c r="O5" s="214" t="s">
        <v>18</v>
      </c>
      <c r="P5" s="214" t="s">
        <v>2095</v>
      </c>
      <c r="Q5" s="214" t="s">
        <v>2102</v>
      </c>
      <c r="R5" s="214">
        <v>7</v>
      </c>
    </row>
    <row r="6" spans="2:18" ht="33">
      <c r="B6" s="210" t="str">
        <f t="shared" si="0"/>
        <v>奉</v>
      </c>
      <c r="D6" s="174">
        <v>19</v>
      </c>
      <c r="E6" s="174" t="str">
        <v>脣音</v>
      </c>
      <c r="F6" s="174" t="str">
        <v>輕脣音</v>
      </c>
      <c r="G6" s="174" t="str">
        <v>奉</v>
      </c>
      <c r="H6" s="174" t="str">
        <v>全濁</v>
      </c>
      <c r="I6" s="174" t="str">
        <v xml:space="preserve"> </v>
      </c>
      <c r="J6" s="174" t="str">
        <v>h</v>
      </c>
      <c r="K6" s="174" t="str">
        <v>防縛附父浮苻扶馮房符</v>
      </c>
      <c r="L6" s="174">
        <v>0</v>
      </c>
      <c r="O6" s="214" t="s">
        <v>32</v>
      </c>
      <c r="P6" s="214" t="s">
        <v>2095</v>
      </c>
      <c r="Q6" s="214" t="s">
        <v>2102</v>
      </c>
      <c r="R6" s="214">
        <v>7</v>
      </c>
    </row>
    <row r="7" spans="2:18" ht="33">
      <c r="B7" s="210" t="str">
        <f t="shared" si="0"/>
        <v>從</v>
      </c>
      <c r="C7" s="165"/>
      <c r="D7" s="165">
        <v>23</v>
      </c>
      <c r="E7" s="165" t="str">
        <v>齒音</v>
      </c>
      <c r="F7" s="165" t="str">
        <v>齒頭音</v>
      </c>
      <c r="G7" s="165" t="str">
        <v>從</v>
      </c>
      <c r="H7" s="165" t="str">
        <v>全濁</v>
      </c>
      <c r="I7" s="165" t="str">
        <v xml:space="preserve"> </v>
      </c>
      <c r="J7" s="165" t="str">
        <v>z</v>
      </c>
      <c r="K7" s="165" t="str">
        <v>才徂慈藏在前秦情酢自昨漸匠疾鶵</v>
      </c>
      <c r="L7" s="165" t="str">
        <v>崇</v>
      </c>
      <c r="O7" s="214" t="s">
        <v>71</v>
      </c>
      <c r="P7" s="214" t="s">
        <v>2095</v>
      </c>
      <c r="Q7" s="214" t="s">
        <v>2102</v>
      </c>
      <c r="R7" s="214">
        <v>7</v>
      </c>
    </row>
    <row r="8" spans="2:18" ht="33">
      <c r="B8" s="210" t="str">
        <f t="shared" si="0"/>
        <v>邪</v>
      </c>
      <c r="D8" s="174">
        <v>25</v>
      </c>
      <c r="E8" s="174" t="str">
        <v>齒音</v>
      </c>
      <c r="F8" s="174" t="str">
        <v>齒頭音</v>
      </c>
      <c r="G8" s="174" t="str">
        <v>邪</v>
      </c>
      <c r="H8" s="174" t="str">
        <v>全濁</v>
      </c>
      <c r="I8" s="174">
        <v>0</v>
      </c>
      <c r="J8" s="174" t="str">
        <v>s</v>
      </c>
      <c r="K8" s="174" t="str">
        <v>辭隨寺似徐祥詳旬夕辤辝</v>
      </c>
      <c r="L8" s="174">
        <v>0</v>
      </c>
      <c r="O8" s="214" t="s">
        <v>77</v>
      </c>
      <c r="P8" s="214" t="s">
        <v>2095</v>
      </c>
      <c r="Q8" s="214" t="s">
        <v>2102</v>
      </c>
      <c r="R8" s="214">
        <v>7</v>
      </c>
    </row>
    <row r="9" spans="2:18" ht="33">
      <c r="B9" s="210" t="str">
        <f t="shared" si="0"/>
        <v>牀</v>
      </c>
      <c r="D9" s="174">
        <v>28</v>
      </c>
      <c r="E9" s="174" t="str">
        <v>齒音</v>
      </c>
      <c r="F9" s="174" t="str">
        <v>正齒近齒頭</v>
      </c>
      <c r="G9" s="174" t="str">
        <v>牀</v>
      </c>
      <c r="H9" s="174" t="str">
        <v>全濁</v>
      </c>
      <c r="I9" s="174" t="str">
        <v xml:space="preserve"> </v>
      </c>
      <c r="J9" s="174" t="str">
        <v>z</v>
      </c>
      <c r="K9" s="174" t="str">
        <v>牀查崇雛鋤鉏豺助俟士仕崱</v>
      </c>
      <c r="L9" s="174">
        <v>0</v>
      </c>
      <c r="O9" s="214" t="s">
        <v>2064</v>
      </c>
      <c r="P9" s="214" t="s">
        <v>2095</v>
      </c>
      <c r="Q9" s="214" t="s">
        <v>2102</v>
      </c>
      <c r="R9" s="214">
        <v>7</v>
      </c>
    </row>
    <row r="10" spans="2:18" ht="33">
      <c r="B10" s="210" t="str">
        <f t="shared" si="0"/>
        <v>神</v>
      </c>
      <c r="D10" s="174">
        <v>32</v>
      </c>
      <c r="E10" s="174" t="str">
        <v>齒音</v>
      </c>
      <c r="F10" s="174" t="str">
        <v>正齒近舌上</v>
      </c>
      <c r="G10" s="174" t="str">
        <v>神</v>
      </c>
      <c r="H10" s="174" t="str">
        <v>全濁</v>
      </c>
      <c r="I10" s="174" t="str">
        <v>送氣</v>
      </c>
      <c r="J10" s="174" t="str">
        <v>s</v>
      </c>
      <c r="K10" s="174" t="str">
        <v>乘神食實</v>
      </c>
      <c r="L10" s="174">
        <v>0</v>
      </c>
      <c r="O10" s="214" t="s">
        <v>191</v>
      </c>
      <c r="P10" s="214" t="s">
        <v>2095</v>
      </c>
      <c r="Q10" s="214" t="s">
        <v>2102</v>
      </c>
      <c r="R10" s="214">
        <v>7</v>
      </c>
    </row>
    <row r="11" spans="2:18" ht="33">
      <c r="B11" s="210" t="str">
        <f t="shared" si="0"/>
        <v>禪</v>
      </c>
      <c r="D11" s="174">
        <v>34</v>
      </c>
      <c r="E11" s="174" t="str">
        <v>齒音</v>
      </c>
      <c r="F11" s="174" t="str">
        <v>正齒近舌上</v>
      </c>
      <c r="G11" s="174" t="str">
        <v>禪</v>
      </c>
      <c r="H11" s="174" t="str">
        <v>全濁</v>
      </c>
      <c r="I11" s="174" t="str">
        <v>送氣</v>
      </c>
      <c r="J11" s="174" t="str">
        <v>s</v>
      </c>
      <c r="K11" s="174" t="str">
        <v>時殊嘗常成臣蜀市植殖寔署是氏視承</v>
      </c>
      <c r="L11" s="174">
        <v>0</v>
      </c>
      <c r="O11" s="214" t="s">
        <v>195</v>
      </c>
      <c r="P11" s="214" t="s">
        <v>2095</v>
      </c>
      <c r="Q11" s="214" t="s">
        <v>2102</v>
      </c>
      <c r="R11" s="214">
        <v>7</v>
      </c>
    </row>
    <row r="12" spans="2:18" ht="33">
      <c r="B12" s="210" t="str">
        <f t="shared" si="0"/>
        <v>匣</v>
      </c>
      <c r="D12" s="174">
        <v>37</v>
      </c>
      <c r="E12" s="174" t="str">
        <v>喉音</v>
      </c>
      <c r="F12" s="174" t="str">
        <v>喉音</v>
      </c>
      <c r="G12" s="174" t="str">
        <v>匣</v>
      </c>
      <c r="H12" s="174" t="str">
        <v>全濁</v>
      </c>
      <c r="I12" s="174" t="str">
        <v>送氣</v>
      </c>
      <c r="J12" s="174" t="str">
        <v>h</v>
      </c>
      <c r="K12" s="174" t="str">
        <v>胡乎侯何黃戶下獲懷諧</v>
      </c>
      <c r="L12" s="174">
        <v>0</v>
      </c>
      <c r="O12" s="214" t="s">
        <v>128</v>
      </c>
      <c r="P12" s="214" t="s">
        <v>2095</v>
      </c>
      <c r="Q12" s="214" t="s">
        <v>2102</v>
      </c>
      <c r="R12" s="214">
        <v>7</v>
      </c>
    </row>
    <row r="13" spans="2:18" ht="33">
      <c r="O13" s="214" t="s">
        <v>47</v>
      </c>
      <c r="P13" s="214" t="s">
        <v>2099</v>
      </c>
      <c r="Q13" s="214" t="s">
        <v>2104</v>
      </c>
      <c r="R13" s="214">
        <v>2</v>
      </c>
    </row>
    <row r="14" spans="2:18" ht="33">
      <c r="B14" s="209" t="s">
        <v>2099</v>
      </c>
      <c r="D14" s="174" cm="1">
        <f t="array" ref="D14:L22">_xlfn._xlws.FILTER(切語上字表[],切語上字表[清濁]="次濁")</f>
        <v>4</v>
      </c>
      <c r="E14" s="174" t="str">
        <v>牙音</v>
      </c>
      <c r="F14" s="174" t="str">
        <v>牙音</v>
      </c>
      <c r="G14" s="174" t="str">
        <v>疑</v>
      </c>
      <c r="H14" s="174" t="str">
        <v>次濁</v>
      </c>
      <c r="I14" s="174" t="str">
        <v>收聲</v>
      </c>
      <c r="J14" s="174" t="str">
        <v>g</v>
      </c>
      <c r="K14" s="174" t="str">
        <v>疑魚語宜玉遇虞愚牛擬研危五俄吾</v>
      </c>
      <c r="L14" s="174">
        <v>0</v>
      </c>
      <c r="O14" s="214" t="s">
        <v>60</v>
      </c>
      <c r="P14" s="214" t="s">
        <v>2099</v>
      </c>
      <c r="Q14" s="214" t="s">
        <v>2104</v>
      </c>
      <c r="R14" s="214">
        <v>3</v>
      </c>
    </row>
    <row r="15" spans="2:18" ht="33">
      <c r="B15" s="210" t="str">
        <f t="shared" ref="B15:B22" si="1">G15</f>
        <v>泥</v>
      </c>
      <c r="D15" s="174">
        <v>8</v>
      </c>
      <c r="E15" s="174" t="str">
        <v>舌音</v>
      </c>
      <c r="F15" s="174" t="str">
        <v>舌頭音</v>
      </c>
      <c r="G15" s="174" t="str">
        <v>泥</v>
      </c>
      <c r="H15" s="174" t="str">
        <v>次濁</v>
      </c>
      <c r="I15" s="174" t="str">
        <v>收聲</v>
      </c>
      <c r="J15" s="174" t="str">
        <v>n</v>
      </c>
      <c r="K15" s="174" t="str">
        <v>奴乃諾內那嬭妳</v>
      </c>
      <c r="L15" s="174">
        <v>0</v>
      </c>
      <c r="O15" s="214" t="s">
        <v>22</v>
      </c>
      <c r="P15" s="214" t="s">
        <v>2099</v>
      </c>
      <c r="Q15" s="214" t="s">
        <v>2104</v>
      </c>
      <c r="R15" s="214">
        <v>4</v>
      </c>
    </row>
    <row r="16" spans="2:18" ht="33">
      <c r="B16" s="210" t="str">
        <f t="shared" si="1"/>
        <v>孃</v>
      </c>
      <c r="D16" s="174">
        <v>12</v>
      </c>
      <c r="E16" s="174" t="str">
        <v>舌音</v>
      </c>
      <c r="F16" s="174" t="str">
        <v>舌上音</v>
      </c>
      <c r="G16" s="174" t="str">
        <v>孃</v>
      </c>
      <c r="H16" s="174" t="str">
        <v>次濁</v>
      </c>
      <c r="I16" s="174" t="str">
        <v>收聲</v>
      </c>
      <c r="J16" s="174" t="str">
        <v>l</v>
      </c>
      <c r="K16" s="174" t="str">
        <v>尼拏女穠</v>
      </c>
      <c r="L16" s="174" t="str">
        <v>娘</v>
      </c>
      <c r="O16" s="214" t="s">
        <v>34</v>
      </c>
      <c r="P16" s="214" t="s">
        <v>2099</v>
      </c>
      <c r="Q16" s="214" t="s">
        <v>2104</v>
      </c>
      <c r="R16" s="214">
        <v>5</v>
      </c>
    </row>
    <row r="17" spans="2:18" ht="33">
      <c r="B17" s="210" t="str">
        <f t="shared" si="1"/>
        <v>明</v>
      </c>
      <c r="C17" s="174"/>
      <c r="D17" s="174">
        <v>16</v>
      </c>
      <c r="E17" s="174" t="str">
        <v>脣音</v>
      </c>
      <c r="F17" s="174" t="str">
        <v>重脣音</v>
      </c>
      <c r="G17" s="174" t="str">
        <v>明</v>
      </c>
      <c r="H17" s="174" t="str">
        <v>次濁</v>
      </c>
      <c r="I17" s="174" t="str">
        <v>收聲</v>
      </c>
      <c r="J17" s="174" t="str">
        <v>m</v>
      </c>
      <c r="K17" s="174" t="str">
        <v>莫慕模謨摸母明彌眉綿靡美</v>
      </c>
      <c r="L17" s="174">
        <v>0</v>
      </c>
      <c r="O17" s="214" t="s">
        <v>200</v>
      </c>
      <c r="P17" s="214" t="s">
        <v>2099</v>
      </c>
      <c r="Q17" s="214" t="s">
        <v>2104</v>
      </c>
      <c r="R17" s="214">
        <v>6</v>
      </c>
    </row>
    <row r="18" spans="2:18" ht="33">
      <c r="B18" s="210" t="str">
        <f t="shared" si="1"/>
        <v>微</v>
      </c>
      <c r="C18" s="174"/>
      <c r="D18" s="174">
        <v>20</v>
      </c>
      <c r="E18" s="174" t="str">
        <v>脣音</v>
      </c>
      <c r="F18" s="174" t="str">
        <v>輕脣音</v>
      </c>
      <c r="G18" s="174" t="str">
        <v>微</v>
      </c>
      <c r="H18" s="174" t="str">
        <v>次濁</v>
      </c>
      <c r="I18" s="174" t="str">
        <v>收聲</v>
      </c>
      <c r="J18" s="174" t="str">
        <v>b</v>
      </c>
      <c r="K18" s="174" t="str">
        <v>巫無武文望亡</v>
      </c>
      <c r="L18" s="174">
        <v>0</v>
      </c>
      <c r="O18" s="214" t="s">
        <v>202</v>
      </c>
      <c r="P18" s="214" t="s">
        <v>2099</v>
      </c>
      <c r="Q18" s="214" t="s">
        <v>2104</v>
      </c>
      <c r="R18" s="214">
        <v>7</v>
      </c>
    </row>
    <row r="19" spans="2:18" ht="33">
      <c r="B19" s="210" t="str">
        <f t="shared" si="1"/>
        <v>為</v>
      </c>
      <c r="C19" s="174"/>
      <c r="D19" s="174">
        <v>38</v>
      </c>
      <c r="E19" s="174" t="str">
        <v>喉音</v>
      </c>
      <c r="F19" s="174" t="str">
        <v>喉音</v>
      </c>
      <c r="G19" s="174" t="str">
        <v>為</v>
      </c>
      <c r="H19" s="174" t="str">
        <v>次濁</v>
      </c>
      <c r="I19" s="174" t="str">
        <v>發聲</v>
      </c>
      <c r="J19" s="174" t="str">
        <v>Ø</v>
      </c>
      <c r="K19" s="174" t="str">
        <v>于雲云筠為榮本王雨羽永有洧𨘏遠</v>
      </c>
      <c r="L19" s="174">
        <v>0</v>
      </c>
      <c r="O19" s="214" t="s">
        <v>137</v>
      </c>
      <c r="P19" s="214" t="s">
        <v>2099</v>
      </c>
      <c r="Q19" s="214" t="s">
        <v>2104</v>
      </c>
      <c r="R19" s="214">
        <v>8</v>
      </c>
    </row>
    <row r="20" spans="2:18" ht="33">
      <c r="B20" s="210" t="str">
        <f t="shared" si="1"/>
        <v>喻</v>
      </c>
      <c r="C20" s="174"/>
      <c r="D20" s="174">
        <v>39</v>
      </c>
      <c r="E20" s="174" t="str">
        <v>喉音</v>
      </c>
      <c r="F20" s="174" t="str">
        <v>喉音</v>
      </c>
      <c r="G20" s="174" t="str">
        <v>喻</v>
      </c>
      <c r="H20" s="174" t="str">
        <v>次濁</v>
      </c>
      <c r="I20" s="174" t="str">
        <v>發聲</v>
      </c>
      <c r="J20" s="174" t="str">
        <v>Ø</v>
      </c>
      <c r="K20" s="174" t="str">
        <v>余餘予移夷羊營以弋翼與悅薳韋</v>
      </c>
      <c r="L20" s="174" t="str">
        <v>云</v>
      </c>
      <c r="O20" s="214" t="s">
        <v>140</v>
      </c>
      <c r="P20" s="214" t="s">
        <v>2099</v>
      </c>
      <c r="Q20" s="214" t="s">
        <v>2104</v>
      </c>
      <c r="R20" s="214">
        <v>9</v>
      </c>
    </row>
    <row r="21" spans="2:18" ht="33">
      <c r="B21" s="210" t="str">
        <f t="shared" si="1"/>
        <v>來</v>
      </c>
      <c r="C21" s="174"/>
      <c r="D21" s="174">
        <v>40</v>
      </c>
      <c r="E21" s="174" t="str">
        <v>半舌音</v>
      </c>
      <c r="F21" s="174" t="str">
        <v>半舌</v>
      </c>
      <c r="G21" s="174" t="str">
        <v>來</v>
      </c>
      <c r="H21" s="174" t="str">
        <v>次濁</v>
      </c>
      <c r="I21" s="174" t="str">
        <v>收聲</v>
      </c>
      <c r="J21" s="174" t="str">
        <v>l</v>
      </c>
      <c r="K21" s="174" t="str">
        <v>來盧郎賴洛落勒力呂良林離里練魯紬連縷</v>
      </c>
      <c r="L21" s="174">
        <v>0</v>
      </c>
      <c r="O21" s="210"/>
      <c r="P21" s="210"/>
    </row>
    <row r="22" spans="2:18" ht="33">
      <c r="B22" s="210" t="str">
        <f t="shared" si="1"/>
        <v>日</v>
      </c>
      <c r="C22" s="174"/>
      <c r="D22" s="174">
        <v>41</v>
      </c>
      <c r="E22" s="174" t="str">
        <v>半齒音</v>
      </c>
      <c r="F22" s="174" t="str">
        <v>半齒</v>
      </c>
      <c r="G22" s="174" t="str">
        <v>日</v>
      </c>
      <c r="H22" s="174" t="str">
        <v>次濁</v>
      </c>
      <c r="I22" s="174" t="str">
        <v>收聲</v>
      </c>
      <c r="J22" s="174" t="str">
        <v>j</v>
      </c>
      <c r="K22" s="174" t="str">
        <v>如儒人仍汝兒而耳</v>
      </c>
      <c r="L22" s="174">
        <v>0</v>
      </c>
      <c r="O22" s="210"/>
    </row>
    <row r="23" spans="2:18">
      <c r="B23" s="189"/>
      <c r="C23" s="174"/>
      <c r="O23" s="191"/>
    </row>
    <row r="24" spans="2:18">
      <c r="B24" s="189"/>
      <c r="C24" s="174"/>
      <c r="O24" s="191"/>
    </row>
    <row r="25" spans="2:18">
      <c r="B25" s="189"/>
      <c r="C25" s="174"/>
      <c r="O25" s="191"/>
    </row>
    <row r="26" spans="2:18">
      <c r="B26" s="189"/>
      <c r="C26" s="174"/>
      <c r="O26" s="191"/>
    </row>
    <row r="27" spans="2:18">
      <c r="B27" s="189"/>
      <c r="C27" s="174"/>
      <c r="O27" s="191"/>
    </row>
    <row r="28" spans="2:18">
      <c r="B28" s="189"/>
      <c r="C28" s="174"/>
      <c r="O28" s="191"/>
    </row>
    <row r="29" spans="2:18">
      <c r="B29" s="208"/>
      <c r="C29" s="182"/>
      <c r="D29" s="182"/>
      <c r="E29" s="182"/>
      <c r="F29" s="182"/>
      <c r="G29" s="182"/>
      <c r="H29" s="182"/>
      <c r="I29" s="182"/>
      <c r="J29" s="182"/>
      <c r="K29" s="182"/>
      <c r="L29" s="182"/>
      <c r="O29" s="212"/>
    </row>
    <row r="30" spans="2:18">
      <c r="B30" s="208"/>
      <c r="C30" s="182"/>
      <c r="D30" s="182"/>
      <c r="E30" s="182"/>
      <c r="F30" s="182"/>
      <c r="G30" s="182"/>
      <c r="H30" s="182"/>
      <c r="I30" s="182"/>
      <c r="J30" s="182"/>
      <c r="K30" s="182"/>
      <c r="L30" s="182"/>
      <c r="O30" s="212"/>
    </row>
    <row r="31" spans="2:18">
      <c r="B31" s="208"/>
      <c r="C31" s="182"/>
      <c r="D31" s="182"/>
      <c r="E31" s="182"/>
      <c r="F31" s="182"/>
      <c r="G31" s="182"/>
      <c r="H31" s="182"/>
      <c r="I31" s="182"/>
      <c r="J31" s="182"/>
      <c r="K31" s="182"/>
      <c r="L31" s="182"/>
      <c r="O31" s="212"/>
    </row>
    <row r="32" spans="2:18">
      <c r="B32" s="208"/>
      <c r="C32" s="182"/>
      <c r="D32" s="182"/>
      <c r="E32" s="182"/>
      <c r="F32" s="182"/>
      <c r="G32" s="182"/>
      <c r="H32" s="182"/>
      <c r="I32" s="182"/>
      <c r="J32" s="182"/>
      <c r="K32" s="182"/>
      <c r="L32" s="182"/>
      <c r="O32" s="212"/>
    </row>
    <row r="33" spans="2:15">
      <c r="B33" s="208"/>
      <c r="C33" s="182"/>
      <c r="D33" s="182"/>
      <c r="E33" s="182"/>
      <c r="F33" s="182"/>
      <c r="G33" s="182"/>
      <c r="H33" s="182"/>
      <c r="I33" s="182"/>
      <c r="J33" s="182"/>
      <c r="K33" s="182"/>
      <c r="L33" s="182"/>
      <c r="O33" s="212"/>
    </row>
    <row r="34" spans="2:15">
      <c r="B34" s="208"/>
      <c r="C34" s="182"/>
      <c r="D34" s="182"/>
      <c r="E34" s="182"/>
      <c r="F34" s="182"/>
      <c r="G34" s="182"/>
      <c r="H34" s="182"/>
      <c r="I34" s="182"/>
      <c r="J34" s="182"/>
      <c r="K34" s="182"/>
      <c r="L34" s="182"/>
      <c r="O34" s="212"/>
    </row>
    <row r="35" spans="2:15">
      <c r="B35" s="208"/>
      <c r="C35" s="182"/>
      <c r="D35" s="182"/>
      <c r="E35" s="182"/>
      <c r="F35" s="182"/>
      <c r="G35" s="182"/>
      <c r="H35" s="182"/>
      <c r="I35" s="182"/>
      <c r="J35" s="182"/>
      <c r="K35" s="182"/>
      <c r="L35" s="182"/>
      <c r="O35" s="212"/>
    </row>
  </sheetData>
  <phoneticPr fontId="1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F871C-6CE7-41C1-B499-14477C62B170}">
  <sheetPr>
    <tabColor rgb="FFFFC000"/>
  </sheetPr>
  <dimension ref="A1:C62"/>
  <sheetViews>
    <sheetView workbookViewId="0">
      <pane ySplit="1" topLeftCell="A2" activePane="bottomLeft" state="frozen"/>
      <selection pane="bottomLeft" activeCell="L9" sqref="L9"/>
    </sheetView>
  </sheetViews>
  <sheetFormatPr defaultRowHeight="15.75"/>
  <cols>
    <col min="1" max="2" width="15.125" style="86" customWidth="1"/>
    <col min="3" max="3" width="25.625" style="86" customWidth="1"/>
    <col min="4" max="16384" width="9" style="86"/>
  </cols>
  <sheetData>
    <row r="1" spans="1:3" s="82" customFormat="1" ht="25.5">
      <c r="A1" s="79" t="s">
        <v>904</v>
      </c>
      <c r="B1" s="80" t="s">
        <v>905</v>
      </c>
      <c r="C1" s="81" t="s">
        <v>906</v>
      </c>
    </row>
    <row r="2" spans="1:3" ht="27.75">
      <c r="A2" s="83">
        <v>1</v>
      </c>
      <c r="B2" s="84" t="s">
        <v>292</v>
      </c>
      <c r="C2" s="85" t="str">
        <f xml:space="preserve"> _xlfn.CONCAT([1]韻目工作底稿!L4,[1]韻目工作底稿!P4,[1]韻目工作底稿!T4,[1]韻目工作底稿!X4)</f>
        <v>東董送屋</v>
      </c>
    </row>
    <row r="3" spans="1:3" ht="27.75">
      <c r="A3" s="83">
        <v>2</v>
      </c>
      <c r="B3" s="84" t="s">
        <v>292</v>
      </c>
      <c r="C3" s="85" t="str">
        <f xml:space="preserve"> _xlfn.CONCAT([1]韻目工作底稿!L5,[1]韻目工作底稿!P5,[1]韻目工作底稿!T5,[1]韻目工作底稿!X5)</f>
        <v>冬∅宋沃</v>
      </c>
    </row>
    <row r="4" spans="1:3" ht="27.75">
      <c r="A4" s="83">
        <v>3</v>
      </c>
      <c r="B4" s="84" t="s">
        <v>292</v>
      </c>
      <c r="C4" s="85" t="str">
        <f xml:space="preserve"> _xlfn.CONCAT([1]韻目工作底稿!L6,[1]韻目工作底稿!P6,[1]韻目工作底稿!T6,[1]韻目工作底稿!X6)</f>
        <v>鍾腫用燭</v>
      </c>
    </row>
    <row r="5" spans="1:3" ht="27.75">
      <c r="A5" s="83">
        <v>4</v>
      </c>
      <c r="B5" s="84" t="s">
        <v>311</v>
      </c>
      <c r="C5" s="85" t="str">
        <f xml:space="preserve"> _xlfn.CONCAT([1]韻目工作底稿!L7,[1]韻目工作底稿!P7,[1]韻目工作底稿!T7,[1]韻目工作底稿!X7)</f>
        <v>江講絳覺</v>
      </c>
    </row>
    <row r="6" spans="1:3" ht="27.75">
      <c r="A6" s="83">
        <v>5</v>
      </c>
      <c r="B6" s="84" t="s">
        <v>334</v>
      </c>
      <c r="C6" s="85" t="str">
        <f xml:space="preserve"> _xlfn.CONCAT([1]韻目工作底稿!L8,[1]韻目工作底稿!P8,[1]韻目工作底稿!T8,[1]韻目工作底稿!X8)</f>
        <v>支紙寘∅</v>
      </c>
    </row>
    <row r="7" spans="1:3" ht="27.75">
      <c r="A7" s="83">
        <v>6</v>
      </c>
      <c r="B7" s="84" t="s">
        <v>334</v>
      </c>
      <c r="C7" s="85" t="str">
        <f xml:space="preserve"> _xlfn.CONCAT([1]韻目工作底稿!L9,[1]韻目工作底稿!P9,[1]韻目工作底稿!T9,[1]韻目工作底稿!X9)</f>
        <v>脂旨至∅</v>
      </c>
    </row>
    <row r="8" spans="1:3" ht="27.75">
      <c r="A8" s="83">
        <v>7</v>
      </c>
      <c r="B8" s="84" t="s">
        <v>334</v>
      </c>
      <c r="C8" s="85" t="str">
        <f xml:space="preserve"> _xlfn.CONCAT([1]韻目工作底稿!L10,[1]韻目工作底稿!P10,[1]韻目工作底稿!T10,[1]韻目工作底稿!X10)</f>
        <v>之止志∅</v>
      </c>
    </row>
    <row r="9" spans="1:3" ht="27.75">
      <c r="A9" s="83">
        <v>8</v>
      </c>
      <c r="B9" s="84" t="s">
        <v>334</v>
      </c>
      <c r="C9" s="85" t="str">
        <f xml:space="preserve"> _xlfn.CONCAT([1]韻目工作底稿!L11,[1]韻目工作底稿!P11,[1]韻目工作底稿!T11,[1]韻目工作底稿!X11)</f>
        <v>微尾未∅</v>
      </c>
    </row>
    <row r="10" spans="1:3" ht="27.75">
      <c r="A10" s="83">
        <v>9</v>
      </c>
      <c r="B10" s="84" t="s">
        <v>382</v>
      </c>
      <c r="C10" s="85" t="str">
        <f xml:space="preserve"> _xlfn.CONCAT([1]韻目工作底稿!L12,[1]韻目工作底稿!P12,[1]韻目工作底稿!T12,[1]韻目工作底稿!X12)</f>
        <v>魚語御∅</v>
      </c>
    </row>
    <row r="11" spans="1:3" ht="27.75">
      <c r="A11" s="83">
        <v>10</v>
      </c>
      <c r="B11" s="84" t="s">
        <v>382</v>
      </c>
      <c r="C11" s="85" t="str">
        <f xml:space="preserve"> _xlfn.CONCAT([1]韻目工作底稿!L13,[1]韻目工作底稿!P13,[1]韻目工作底稿!T13,[1]韻目工作底稿!X13)</f>
        <v>虞麌遇∅</v>
      </c>
    </row>
    <row r="12" spans="1:3" ht="27.75">
      <c r="A12" s="83">
        <v>11</v>
      </c>
      <c r="B12" s="84" t="s">
        <v>382</v>
      </c>
      <c r="C12" s="85" t="str">
        <f xml:space="preserve"> _xlfn.CONCAT([1]韻目工作底稿!L14,[1]韻目工作底稿!P14,[1]韻目工作底稿!T14,[1]韻目工作底稿!X14)</f>
        <v>模姥暮∅</v>
      </c>
    </row>
    <row r="13" spans="1:3" ht="27.75">
      <c r="A13" s="83">
        <v>12</v>
      </c>
      <c r="B13" s="84" t="s">
        <v>394</v>
      </c>
      <c r="C13" s="85" t="str">
        <f xml:space="preserve"> _xlfn.CONCAT([1]韻目工作底稿!L15,[1]韻目工作底稿!P15,[1]韻目工作底稿!T15,[1]韻目工作底稿!X15)</f>
        <v>齊薺霽∅</v>
      </c>
    </row>
    <row r="14" spans="1:3" ht="27.75">
      <c r="A14" s="83">
        <v>13</v>
      </c>
      <c r="B14" s="84" t="s">
        <v>394</v>
      </c>
      <c r="C14" s="85" t="str">
        <f xml:space="preserve"> _xlfn.CONCAT([1]韻目工作底稿!L16,[1]韻目工作底稿!P16,[1]韻目工作底稿!T16,[1]韻目工作底稿!X16)</f>
        <v>∅∅祭∅</v>
      </c>
    </row>
    <row r="15" spans="1:3" ht="27.75">
      <c r="A15" s="83">
        <v>14</v>
      </c>
      <c r="B15" s="84" t="s">
        <v>394</v>
      </c>
      <c r="C15" s="85" t="str">
        <f xml:space="preserve"> _xlfn.CONCAT([1]韻目工作底稿!L17,[1]韻目工作底稿!P17,[1]韻目工作底稿!T17,[1]韻目工作底稿!X17)</f>
        <v>∅∅泰∅</v>
      </c>
    </row>
    <row r="16" spans="1:3" ht="27.75">
      <c r="A16" s="83">
        <v>15</v>
      </c>
      <c r="B16" s="84" t="s">
        <v>394</v>
      </c>
      <c r="C16" s="85" t="str">
        <f xml:space="preserve"> _xlfn.CONCAT([1]韻目工作底稿!L18,[1]韻目工作底稿!P18,[1]韻目工作底稿!T18,[1]韻目工作底稿!X18)</f>
        <v>佳蟹卦∅</v>
      </c>
    </row>
    <row r="17" spans="1:3" ht="27.75">
      <c r="A17" s="83">
        <v>16</v>
      </c>
      <c r="B17" s="84" t="s">
        <v>394</v>
      </c>
      <c r="C17" s="85" t="str">
        <f xml:space="preserve"> _xlfn.CONCAT([1]韻目工作底稿!L19,[1]韻目工作底稿!P19,[1]韻目工作底稿!T19,[1]韻目工作底稿!X19)</f>
        <v>皆駭怪∅</v>
      </c>
    </row>
    <row r="18" spans="1:3" ht="27.75">
      <c r="A18" s="83">
        <v>17</v>
      </c>
      <c r="B18" s="84" t="s">
        <v>394</v>
      </c>
      <c r="C18" s="85" t="str">
        <f xml:space="preserve"> _xlfn.CONCAT([1]韻目工作底稿!L20,[1]韻目工作底稿!P20,[1]韻目工作底稿!T20,[1]韻目工作底稿!X20)</f>
        <v>∅∅夬∅</v>
      </c>
    </row>
    <row r="19" spans="1:3" ht="27.75">
      <c r="A19" s="83">
        <v>18</v>
      </c>
      <c r="B19" s="84" t="s">
        <v>394</v>
      </c>
      <c r="C19" s="85" t="str">
        <f xml:space="preserve"> _xlfn.CONCAT([1]韻目工作底稿!L21,[1]韻目工作底稿!P21,[1]韻目工作底稿!T21,[1]韻目工作底稿!X21)</f>
        <v>灰賄隊∅</v>
      </c>
    </row>
    <row r="20" spans="1:3" ht="27.75">
      <c r="A20" s="83">
        <v>19</v>
      </c>
      <c r="B20" s="84" t="s">
        <v>394</v>
      </c>
      <c r="C20" s="85" t="str">
        <f xml:space="preserve"> _xlfn.CONCAT([1]韻目工作底稿!L22,[1]韻目工作底稿!P22,[1]韻目工作底稿!T22,[1]韻目工作底稿!X22)</f>
        <v>咍海代∅</v>
      </c>
    </row>
    <row r="21" spans="1:3" ht="27.75">
      <c r="A21" s="83">
        <v>20</v>
      </c>
      <c r="B21" s="84" t="s">
        <v>394</v>
      </c>
      <c r="C21" s="85" t="str">
        <f xml:space="preserve"> _xlfn.CONCAT([1]韻目工作底稿!L23,[1]韻目工作底稿!P23,[1]韻目工作底稿!T23,[1]韻目工作底稿!X23)</f>
        <v>∅∅廢∅</v>
      </c>
    </row>
    <row r="22" spans="1:3" ht="27.75">
      <c r="A22" s="83">
        <v>21</v>
      </c>
      <c r="B22" s="84" t="s">
        <v>466</v>
      </c>
      <c r="C22" s="85" t="str">
        <f xml:space="preserve"> _xlfn.CONCAT([1]韻目工作底稿!L24,[1]韻目工作底稿!P24,[1]韻目工作底稿!T24,[1]韻目工作底稿!X24)</f>
        <v>真軫震質</v>
      </c>
    </row>
    <row r="23" spans="1:3" ht="27.75">
      <c r="A23" s="83">
        <v>22</v>
      </c>
      <c r="B23" s="84" t="s">
        <v>466</v>
      </c>
      <c r="C23" s="85" t="str">
        <f xml:space="preserve"> _xlfn.CONCAT([1]韻目工作底稿!L25,[1]韻目工作底稿!P25,[1]韻目工作底稿!T25,[1]韻目工作底稿!X25)</f>
        <v>諄準稕術</v>
      </c>
    </row>
    <row r="24" spans="1:3" ht="27.75">
      <c r="A24" s="83">
        <v>23</v>
      </c>
      <c r="B24" s="84" t="s">
        <v>466</v>
      </c>
      <c r="C24" s="85" t="str">
        <f xml:space="preserve"> _xlfn.CONCAT([1]韻目工作底稿!L26,[1]韻目工作底稿!P26,[1]韻目工作底稿!T26,[1]韻目工作底稿!X26)</f>
        <v>臻∅齔櫛</v>
      </c>
    </row>
    <row r="25" spans="1:3" ht="27.75">
      <c r="A25" s="83">
        <v>24</v>
      </c>
      <c r="B25" s="84" t="s">
        <v>466</v>
      </c>
      <c r="C25" s="85" t="str">
        <f xml:space="preserve"> _xlfn.CONCAT([1]韻目工作底稿!L27,[1]韻目工作底稿!P27,[1]韻目工作底稿!T27,[1]韻目工作底稿!X27)</f>
        <v>文吻問物</v>
      </c>
    </row>
    <row r="26" spans="1:3" ht="27.75">
      <c r="A26" s="83">
        <v>25</v>
      </c>
      <c r="B26" s="84" t="s">
        <v>466</v>
      </c>
      <c r="C26" s="85" t="str">
        <f xml:space="preserve"> _xlfn.CONCAT([1]韻目工作底稿!L28,[1]韻目工作底稿!P28,[1]韻目工作底稿!T28,[1]韻目工作底稿!X28)</f>
        <v>殷隱焮迄</v>
      </c>
    </row>
    <row r="27" spans="1:3" ht="27.75">
      <c r="A27" s="83">
        <v>26</v>
      </c>
      <c r="B27" s="84" t="s">
        <v>466</v>
      </c>
      <c r="C27" s="85" t="str">
        <f xml:space="preserve"> _xlfn.CONCAT([1]韻目工作底稿!L29,[1]韻目工作底稿!P29,[1]韻目工作底稿!T29,[1]韻目工作底稿!X29)</f>
        <v>元阮願月</v>
      </c>
    </row>
    <row r="28" spans="1:3" ht="27.75">
      <c r="A28" s="83">
        <v>27</v>
      </c>
      <c r="B28" s="84" t="s">
        <v>466</v>
      </c>
      <c r="C28" s="85" t="str">
        <f xml:space="preserve"> _xlfn.CONCAT([1]韻目工作底稿!L30,[1]韻目工作底稿!P30,[1]韻目工作底稿!T30,[1]韻目工作底稿!X30)</f>
        <v>魂混慁沒</v>
      </c>
    </row>
    <row r="29" spans="1:3" ht="27.75">
      <c r="A29" s="83">
        <v>28</v>
      </c>
      <c r="B29" s="84" t="s">
        <v>466</v>
      </c>
      <c r="C29" s="85" t="str">
        <f xml:space="preserve"> _xlfn.CONCAT([1]韻目工作底稿!L31,[1]韻目工作底稿!P31,[1]韻目工作底稿!T31,[1]韻目工作底稿!X31)</f>
        <v>痕很恨麧</v>
      </c>
    </row>
    <row r="30" spans="1:3" ht="27.75">
      <c r="A30" s="83">
        <v>29</v>
      </c>
      <c r="B30" s="84" t="s">
        <v>501</v>
      </c>
      <c r="C30" s="85" t="str">
        <f xml:space="preserve"> _xlfn.CONCAT([1]韻目工作底稿!L32,[1]韻目工作底稿!P32,[1]韻目工作底稿!T32,[1]韻目工作底稿!X32)</f>
        <v>寒旱翰曷</v>
      </c>
    </row>
    <row r="31" spans="1:3" ht="27.75">
      <c r="A31" s="83">
        <v>30</v>
      </c>
      <c r="B31" s="84" t="s">
        <v>501</v>
      </c>
      <c r="C31" s="85" t="str">
        <f xml:space="preserve"> _xlfn.CONCAT([1]韻目工作底稿!L33,[1]韻目工作底稿!P33,[1]韻目工作底稿!T33,[1]韻目工作底稿!X33)</f>
        <v>桓緩換末</v>
      </c>
    </row>
    <row r="32" spans="1:3" ht="27.75">
      <c r="A32" s="83">
        <v>31</v>
      </c>
      <c r="B32" s="84" t="s">
        <v>501</v>
      </c>
      <c r="C32" s="85" t="str">
        <f xml:space="preserve"> _xlfn.CONCAT([1]韻目工作底稿!L34,[1]韻目工作底稿!P34,[1]韻目工作底稿!T34,[1]韻目工作底稿!X34)</f>
        <v>刪潸諫黠</v>
      </c>
    </row>
    <row r="33" spans="1:3" ht="27.75">
      <c r="A33" s="83">
        <v>32</v>
      </c>
      <c r="B33" s="84" t="s">
        <v>501</v>
      </c>
      <c r="C33" s="85" t="str">
        <f xml:space="preserve"> _xlfn.CONCAT([1]韻目工作底稿!L35,[1]韻目工作底稿!P35,[1]韻目工作底稿!T35,[1]韻目工作底稿!X35)</f>
        <v>山產襇鎋</v>
      </c>
    </row>
    <row r="34" spans="1:3" ht="27.75">
      <c r="A34" s="83">
        <v>33</v>
      </c>
      <c r="B34" s="84" t="s">
        <v>501</v>
      </c>
      <c r="C34" s="85" t="str">
        <f xml:space="preserve"> _xlfn.CONCAT([1]韻目工作底稿!L36,[1]韻目工作底稿!P36,[1]韻目工作底稿!T36,[1]韻目工作底稿!X36)</f>
        <v>先銑霰屑</v>
      </c>
    </row>
    <row r="35" spans="1:3" ht="27.75">
      <c r="A35" s="83">
        <v>34</v>
      </c>
      <c r="B35" s="84" t="s">
        <v>501</v>
      </c>
      <c r="C35" s="85" t="str">
        <f xml:space="preserve"> _xlfn.CONCAT([1]韻目工作底稿!L37,[1]韻目工作底稿!P37,[1]韻目工作底稿!T37,[1]韻目工作底稿!X37)</f>
        <v>仙獮線薛</v>
      </c>
    </row>
    <row r="36" spans="1:3" ht="27.75">
      <c r="A36" s="83">
        <v>35</v>
      </c>
      <c r="B36" s="84" t="s">
        <v>634</v>
      </c>
      <c r="C36" s="85" t="str">
        <f xml:space="preserve"> _xlfn.CONCAT([1]韻目工作底稿!L38,[1]韻目工作底稿!P38,[1]韻目工作底稿!T38,[1]韻目工作底稿!X38)</f>
        <v>蕭篠嘯∅</v>
      </c>
    </row>
    <row r="37" spans="1:3" ht="27.75">
      <c r="A37" s="83">
        <v>36</v>
      </c>
      <c r="B37" s="84" t="s">
        <v>634</v>
      </c>
      <c r="C37" s="85" t="str">
        <f xml:space="preserve"> _xlfn.CONCAT([1]韻目工作底稿!L39,[1]韻目工作底稿!P39,[1]韻目工作底稿!T39,[1]韻目工作底稿!X39)</f>
        <v>宵小笑∅</v>
      </c>
    </row>
    <row r="38" spans="1:3" ht="27.75">
      <c r="A38" s="83">
        <v>37</v>
      </c>
      <c r="B38" s="84" t="s">
        <v>634</v>
      </c>
      <c r="C38" s="85" t="str">
        <f xml:space="preserve"> _xlfn.CONCAT([1]韻目工作底稿!L40,[1]韻目工作底稿!P40,[1]韻目工作底稿!T40,[1]韻目工作底稿!X40)</f>
        <v>肴巧效∅</v>
      </c>
    </row>
    <row r="39" spans="1:3" ht="27.75">
      <c r="A39" s="83">
        <v>38</v>
      </c>
      <c r="B39" s="84" t="s">
        <v>634</v>
      </c>
      <c r="C39" s="85" t="str">
        <f xml:space="preserve"> _xlfn.CONCAT([1]韻目工作底稿!L41,[1]韻目工作底稿!P41,[1]韻目工作底稿!T41,[1]韻目工作底稿!X41)</f>
        <v>豪晧号∅</v>
      </c>
    </row>
    <row r="40" spans="1:3" ht="27.75">
      <c r="A40" s="83">
        <v>39</v>
      </c>
      <c r="B40" s="84" t="s">
        <v>653</v>
      </c>
      <c r="C40" s="85" t="str">
        <f xml:space="preserve"> _xlfn.CONCAT([1]韻目工作底稿!L42,[1]韻目工作底稿!P42,[1]韻目工作底稿!T42,[1]韻目工作底稿!X42)</f>
        <v>歌哿箇∅</v>
      </c>
    </row>
    <row r="41" spans="1:3" ht="27.75">
      <c r="A41" s="83">
        <v>40</v>
      </c>
      <c r="B41" s="84" t="s">
        <v>653</v>
      </c>
      <c r="C41" s="85" t="str">
        <f xml:space="preserve"> _xlfn.CONCAT([1]韻目工作底稿!L43,[1]韻目工作底稿!P43,[1]韻目工作底稿!T43,[1]韻目工作底稿!X43)</f>
        <v>戈果過∅</v>
      </c>
    </row>
    <row r="42" spans="1:3" ht="27.75">
      <c r="A42" s="83">
        <v>41</v>
      </c>
      <c r="B42" s="84" t="s">
        <v>668</v>
      </c>
      <c r="C42" s="85" t="str">
        <f xml:space="preserve"> _xlfn.CONCAT([1]韻目工作底稿!L44,[1]韻目工作底稿!P44,[1]韻目工作底稿!T44,[1]韻目工作底稿!X44)</f>
        <v>麻馬禡∅</v>
      </c>
    </row>
    <row r="43" spans="1:3" ht="27.75">
      <c r="A43" s="83">
        <v>42</v>
      </c>
      <c r="B43" s="84" t="s">
        <v>681</v>
      </c>
      <c r="C43" s="85" t="str">
        <f xml:space="preserve"> _xlfn.CONCAT([1]韻目工作底稿!L45,[1]韻目工作底稿!P45,[1]韻目工作底稿!T45,[1]韻目工作底稿!X45)</f>
        <v>陽養漾藥</v>
      </c>
    </row>
    <row r="44" spans="1:3" ht="27.75">
      <c r="A44" s="83">
        <v>43</v>
      </c>
      <c r="B44" s="84" t="s">
        <v>681</v>
      </c>
      <c r="C44" s="85" t="str">
        <f xml:space="preserve"> _xlfn.CONCAT([1]韻目工作底稿!L46,[1]韻目工作底稿!P46,[1]韻目工作底稿!T46,[1]韻目工作底稿!X46)</f>
        <v>唐蕩宕鐸</v>
      </c>
    </row>
    <row r="45" spans="1:3" ht="27.75">
      <c r="A45" s="83">
        <v>44</v>
      </c>
      <c r="B45" s="84" t="s">
        <v>696</v>
      </c>
      <c r="C45" s="85" t="str">
        <f xml:space="preserve"> _xlfn.CONCAT([1]韻目工作底稿!L47,[1]韻目工作底稿!P47,[1]韻目工作底稿!T47,[1]韻目工作底稿!X47)</f>
        <v>庚梗敬陌</v>
      </c>
    </row>
    <row r="46" spans="1:3" ht="27.75">
      <c r="A46" s="83">
        <v>45</v>
      </c>
      <c r="B46" s="84" t="s">
        <v>696</v>
      </c>
      <c r="C46" s="85" t="str">
        <f xml:space="preserve"> _xlfn.CONCAT([1]韻目工作底稿!L48,[1]韻目工作底稿!P48,[1]韻目工作底稿!T48,[1]韻目工作底稿!X48)</f>
        <v>耕耿諍麥</v>
      </c>
    </row>
    <row r="47" spans="1:3" ht="27.75">
      <c r="A47" s="83">
        <v>46</v>
      </c>
      <c r="B47" s="84" t="s">
        <v>696</v>
      </c>
      <c r="C47" s="85" t="str">
        <f xml:space="preserve"> _xlfn.CONCAT([1]韻目工作底稿!L49,[1]韻目工作底稿!P49,[1]韻目工作底稿!T49,[1]韻目工作底稿!X49)</f>
        <v>清靜勁昔</v>
      </c>
    </row>
    <row r="48" spans="1:3" ht="27.75">
      <c r="A48" s="83">
        <v>47</v>
      </c>
      <c r="B48" s="84" t="s">
        <v>696</v>
      </c>
      <c r="C48" s="85" t="str">
        <f xml:space="preserve"> _xlfn.CONCAT([1]韻目工作底稿!L50,[1]韻目工作底稿!P50,[1]韻目工作底稿!T50,[1]韻目工作底稿!X50)</f>
        <v>青迥徑錫</v>
      </c>
    </row>
    <row r="49" spans="1:3" ht="27.75">
      <c r="A49" s="83">
        <v>48</v>
      </c>
      <c r="B49" s="84" t="s">
        <v>736</v>
      </c>
      <c r="C49" s="85" t="str">
        <f xml:space="preserve"> _xlfn.CONCAT([1]韻目工作底稿!L51,[1]韻目工作底稿!P51,[1]韻目工作底稿!T51,[1]韻目工作底稿!X51)</f>
        <v>蒸拯證職</v>
      </c>
    </row>
    <row r="50" spans="1:3" ht="27.75">
      <c r="A50" s="83">
        <v>49</v>
      </c>
      <c r="B50" s="84" t="s">
        <v>736</v>
      </c>
      <c r="C50" s="85" t="str">
        <f xml:space="preserve"> _xlfn.CONCAT([1]韻目工作底稿!L52,[1]韻目工作底稿!P52,[1]韻目工作底稿!T52,[1]韻目工作底稿!X52)</f>
        <v>登等嶝德</v>
      </c>
    </row>
    <row r="51" spans="1:3" ht="27.75">
      <c r="A51" s="83">
        <v>50</v>
      </c>
      <c r="B51" s="84" t="s">
        <v>805</v>
      </c>
      <c r="C51" s="85" t="str">
        <f xml:space="preserve"> _xlfn.CONCAT([1]韻目工作底稿!L53,[1]韻目工作底稿!P53,[1]韻目工作底稿!T53,[1]韻目工作底稿!X53)</f>
        <v>尤有宥∅</v>
      </c>
    </row>
    <row r="52" spans="1:3" ht="27.75">
      <c r="A52" s="83">
        <v>51</v>
      </c>
      <c r="B52" s="84" t="s">
        <v>805</v>
      </c>
      <c r="C52" s="85" t="str">
        <f xml:space="preserve"> _xlfn.CONCAT([1]韻目工作底稿!L54,[1]韻目工作底稿!P54,[1]韻目工作底稿!T54,[1]韻目工作底稿!X54)</f>
        <v>侯厚候∅</v>
      </c>
    </row>
    <row r="53" spans="1:3" ht="27.75">
      <c r="A53" s="83">
        <v>52</v>
      </c>
      <c r="B53" s="84" t="s">
        <v>805</v>
      </c>
      <c r="C53" s="85" t="str">
        <f xml:space="preserve"> _xlfn.CONCAT([1]韻目工作底稿!L55,[1]韻目工作底稿!P55,[1]韻目工作底稿!T55,[1]韻目工作底稿!X55)</f>
        <v>幽黝幼∅</v>
      </c>
    </row>
    <row r="54" spans="1:3" ht="27.75">
      <c r="A54" s="83">
        <v>53</v>
      </c>
      <c r="B54" s="84" t="s">
        <v>817</v>
      </c>
      <c r="C54" s="85" t="str">
        <f xml:space="preserve"> _xlfn.CONCAT([1]韻目工作底稿!L56,[1]韻目工作底稿!P56,[1]韻目工作底稿!T56,[1]韻目工作底稿!X56)</f>
        <v>侵寢沁緝</v>
      </c>
    </row>
    <row r="55" spans="1:3" ht="27.75">
      <c r="A55" s="83">
        <v>54</v>
      </c>
      <c r="B55" s="84" t="s">
        <v>826</v>
      </c>
      <c r="C55" s="85" t="str">
        <f xml:space="preserve"> _xlfn.CONCAT([1]韻目工作底稿!L57,[1]韻目工作底稿!P57,[1]韻目工作底稿!T57,[1]韻目工作底稿!X57)</f>
        <v>覃感勘合</v>
      </c>
    </row>
    <row r="56" spans="1:3" ht="27.75">
      <c r="A56" s="83">
        <v>55</v>
      </c>
      <c r="B56" s="84" t="s">
        <v>826</v>
      </c>
      <c r="C56" s="85" t="str">
        <f xml:space="preserve"> _xlfn.CONCAT([1]韻目工作底稿!L58,[1]韻目工作底稿!P58,[1]韻目工作底稿!T58,[1]韻目工作底稿!X58)</f>
        <v>談敢闞盍</v>
      </c>
    </row>
    <row r="57" spans="1:3" ht="27.75">
      <c r="A57" s="83">
        <v>56</v>
      </c>
      <c r="B57" s="84" t="s">
        <v>826</v>
      </c>
      <c r="C57" s="85" t="str">
        <f xml:space="preserve"> _xlfn.CONCAT([1]韻目工作底稿!L59,[1]韻目工作底稿!P59,[1]韻目工作底稿!T59,[1]韻目工作底稿!X59)</f>
        <v>鹽琰豔葉</v>
      </c>
    </row>
    <row r="58" spans="1:3" ht="27.75">
      <c r="A58" s="83">
        <v>57</v>
      </c>
      <c r="B58" s="84" t="s">
        <v>826</v>
      </c>
      <c r="C58" s="85" t="str">
        <f xml:space="preserve"> _xlfn.CONCAT([1]韻目工作底稿!L60,[1]韻目工作底稿!P60,[1]韻目工作底稿!T60,[1]韻目工作底稿!X60)</f>
        <v>添忝㮇怗</v>
      </c>
    </row>
    <row r="59" spans="1:3" ht="27.75">
      <c r="A59" s="83">
        <v>58</v>
      </c>
      <c r="B59" s="84" t="s">
        <v>826</v>
      </c>
      <c r="C59" s="85" t="str">
        <f xml:space="preserve"> _xlfn.CONCAT([1]韻目工作底稿!L61,[1]韻目工作底稿!P61,[1]韻目工作底稿!T61,[1]韻目工作底稿!X61)</f>
        <v>咸豏陷洽</v>
      </c>
    </row>
    <row r="60" spans="1:3" ht="27.75">
      <c r="A60" s="83">
        <v>59</v>
      </c>
      <c r="B60" s="84" t="s">
        <v>826</v>
      </c>
      <c r="C60" s="85" t="str">
        <f xml:space="preserve"> _xlfn.CONCAT([1]韻目工作底稿!L62,[1]韻目工作底稿!P62,[1]韻目工作底稿!T62,[1]韻目工作底稿!X62)</f>
        <v>銜檻鑑狎</v>
      </c>
    </row>
    <row r="61" spans="1:3" ht="27.75">
      <c r="A61" s="83">
        <v>60</v>
      </c>
      <c r="B61" s="84" t="s">
        <v>826</v>
      </c>
      <c r="C61" s="85" t="str">
        <f xml:space="preserve"> _xlfn.CONCAT([1]韻目工作底稿!L63,[1]韻目工作底稿!P63,[1]韻目工作底稿!T63,[1]韻目工作底稿!X63)</f>
        <v>嚴儼釅業</v>
      </c>
    </row>
    <row r="62" spans="1:3" ht="27.75">
      <c r="A62" s="87">
        <v>61</v>
      </c>
      <c r="B62" s="88" t="s">
        <v>826</v>
      </c>
      <c r="C62" s="89" t="str">
        <f xml:space="preserve"> _xlfn.CONCAT([1]韻目工作底稿!L64,[1]韻目工作底稿!P64,[1]韻目工作底稿!T64,[1]韻目工作底稿!X64)</f>
        <v>凡范梵乏</v>
      </c>
    </row>
  </sheetData>
  <phoneticPr fontId="10"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14</vt:i4>
      </vt:variant>
      <vt:variant>
        <vt:lpstr>具名範圍</vt:lpstr>
      </vt:variant>
      <vt:variant>
        <vt:i4>3</vt:i4>
      </vt:variant>
    </vt:vector>
  </HeadingPairs>
  <TitlesOfParts>
    <vt:vector size="17" baseType="lpstr">
      <vt:lpstr>查詢</vt:lpstr>
      <vt:lpstr>反切規則表</vt:lpstr>
      <vt:lpstr>陽上轉調規則</vt:lpstr>
      <vt:lpstr>工作表1</vt:lpstr>
      <vt:lpstr>廣韻三十八聲母</vt:lpstr>
      <vt:lpstr>切語上字表</vt:lpstr>
      <vt:lpstr>切語下字表</vt:lpstr>
      <vt:lpstr>反切上字與聲母</vt:lpstr>
      <vt:lpstr>反切下字與韻母</vt:lpstr>
      <vt:lpstr>韻目檢索表</vt:lpstr>
      <vt:lpstr>韻目表</vt:lpstr>
      <vt:lpstr>廣韻韻目表【韻母206字】</vt:lpstr>
      <vt:lpstr>工作底稿</vt:lpstr>
      <vt:lpstr>韻攝表</vt:lpstr>
      <vt:lpstr>廣韻韻目表【韻母206字】!Print_Area</vt:lpstr>
      <vt:lpstr>廣韻韻目表【韻母206字】!Print_Titles</vt:lpstr>
      <vt:lpstr>切語上字</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AlanJui</dc:creator>
  <cp:keywords/>
  <dc:description/>
  <cp:lastModifiedBy>正中 居</cp:lastModifiedBy>
  <cp:revision/>
  <dcterms:created xsi:type="dcterms:W3CDTF">2023-12-07T11:50:38Z</dcterms:created>
  <dcterms:modified xsi:type="dcterms:W3CDTF">2026-02-18T13:09:55Z</dcterms:modified>
  <cp:category/>
  <cp:contentStatus/>
</cp:coreProperties>
</file>