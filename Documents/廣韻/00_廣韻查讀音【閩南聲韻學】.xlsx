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53628f16e3ee33/漢語/"/>
    </mc:Choice>
  </mc:AlternateContent>
  <xr:revisionPtr revIDLastSave="13" documentId="8_{37B549E9-965E-4A7B-8570-F8A570C1F126}" xr6:coauthVersionLast="47" xr6:coauthVersionMax="47" xr10:uidLastSave="{1AE3FA07-7A27-47C3-AABD-409CC17B9E45}"/>
  <bookViews>
    <workbookView xWindow="67080" yWindow="-120" windowWidth="16440" windowHeight="28320" firstSheet="11" activeTab="11" xr2:uid="{298E0E31-C5B6-4337-BAAB-84B2B6E61BF1}"/>
    <workbookView xWindow="28680" yWindow="-120" windowWidth="38640" windowHeight="15720" activeTab="4" xr2:uid="{F497D86A-9E37-41EE-9F11-CBB31D524C88}"/>
  </bookViews>
  <sheets>
    <sheet name="切語查音" sheetId="17" r:id="rId1"/>
    <sheet name="查字表" sheetId="19" r:id="rId2"/>
    <sheet name="【聲】聲母對照表" sheetId="3" r:id="rId3"/>
    <sheet name="【韻】韻母對照表" sheetId="4" r:id="rId4"/>
    <sheet name="廣韻41聲【閩南語聲韻學】" sheetId="12" r:id="rId5"/>
    <sheet name="切語上字表" sheetId="14" r:id="rId6"/>
    <sheet name="切語下字表" sheetId="15" r:id="rId7"/>
    <sheet name="聲調對照表" sheetId="18" r:id="rId8"/>
    <sheet name="【調】韻母標調" sheetId="5" r:id="rId9"/>
    <sheet name="宋人三十六字母表" sheetId="10" state="hidden" r:id="rId10"/>
    <sheet name="宋人三十六字母表 (2)" sheetId="11" state="hidden" r:id="rId11"/>
    <sheet name="符號工具" sheetId="6" r:id="rId12"/>
  </sheets>
  <externalReferences>
    <externalReference r:id="rId13"/>
    <externalReference r:id="rId14"/>
  </externalReferences>
  <definedNames>
    <definedName name="_xlnm._FilterDatabase" localSheetId="3" hidden="1">【韻】韻母對照表!$B$2:$O$88</definedName>
    <definedName name="_xlnm.Print_Area" localSheetId="6">切語下字表[#All]</definedName>
    <definedName name="_xlnm.Print_Titles" localSheetId="6">切語下字表!$1:$1</definedName>
    <definedName name="方音符號調符">聲調對照表!$I$2:$I$9</definedName>
    <definedName name="古漢語調值">聲調對照表!$K$2:$K$9</definedName>
    <definedName name="台羅調名">聲調對照表!$E$2:$E$9</definedName>
    <definedName name="台羅調值">聲調對照表!$J$2:$J$9</definedName>
    <definedName name="台羅調號">聲調對照表!$F$2:$F$9</definedName>
    <definedName name="台羅變調">聲調對照表!$G$2:$G$9</definedName>
    <definedName name="雅俗通聲調">聲調對照表!$C$2:$C$9</definedName>
    <definedName name="漢語四聲">聲調對照表!$A$2:$A$9</definedName>
    <definedName name="漢語變調">聲調對照表!$G$2:$G$9</definedName>
    <definedName name="閩拼八聲調">聲調對照表!$H$2:$H$9</definedName>
    <definedName name="廣韻聲調">聲調對照表!$B$2:$B$9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S8" i="17" l="1"/>
  <c r="D8" i="17"/>
  <c r="R8" i="18"/>
  <c r="D7" i="17"/>
  <c r="C2" i="19" s="1"/>
  <c r="T2" i="19" s="1" a="1"/>
  <c r="T2" i="19" s="1"/>
  <c r="D6" i="17"/>
  <c r="B2" i="19" s="1"/>
  <c r="S2" i="19" s="1" a="1"/>
  <c r="S2" i="19" s="1"/>
  <c r="D2" i="19" s="1" a="1"/>
  <c r="D2" i="19" s="1"/>
  <c r="C2" i="14" a="1"/>
  <c r="C2" i="14" s="1"/>
  <c r="C3" i="14" a="1"/>
  <c r="C3" i="14"/>
  <c r="C4" i="14" a="1"/>
  <c r="C4" i="14"/>
  <c r="C5" i="14" a="1"/>
  <c r="C5" i="14"/>
  <c r="C6" i="14" a="1"/>
  <c r="C6" i="14"/>
  <c r="C7" i="14" a="1"/>
  <c r="C7" i="14"/>
  <c r="C8" i="14" a="1"/>
  <c r="C8" i="14"/>
  <c r="C9" i="14" a="1"/>
  <c r="C9" i="14"/>
  <c r="C10" i="14" a="1"/>
  <c r="C10" i="14" s="1"/>
  <c r="C11" i="14" a="1"/>
  <c r="C11" i="14"/>
  <c r="C12" i="14" a="1"/>
  <c r="C12" i="14"/>
  <c r="C13" i="14" a="1"/>
  <c r="C13" i="14"/>
  <c r="C14" i="14" a="1"/>
  <c r="C14" i="14"/>
  <c r="C15" i="14" a="1"/>
  <c r="C15" i="14"/>
  <c r="C16" i="14" a="1"/>
  <c r="C16" i="14"/>
  <c r="C17" i="14" a="1"/>
  <c r="C17" i="14"/>
  <c r="C18" i="14" a="1"/>
  <c r="C18" i="14" s="1"/>
  <c r="C19" i="14" a="1"/>
  <c r="C19" i="14"/>
  <c r="C20" i="14" a="1"/>
  <c r="C20" i="14"/>
  <c r="C21" i="14" a="1"/>
  <c r="C21" i="14"/>
  <c r="C22" i="14" a="1"/>
  <c r="C22" i="14"/>
  <c r="C23" i="14" a="1"/>
  <c r="C23" i="14"/>
  <c r="C24" i="14" a="1"/>
  <c r="C24" i="14"/>
  <c r="C25" i="14" a="1"/>
  <c r="C25" i="14"/>
  <c r="C26" i="14" a="1"/>
  <c r="C26" i="14" s="1"/>
  <c r="C27" i="14" a="1"/>
  <c r="C27" i="14"/>
  <c r="C28" i="14" a="1"/>
  <c r="C28" i="14"/>
  <c r="C29" i="14" a="1"/>
  <c r="C29" i="14"/>
  <c r="C30" i="14" a="1"/>
  <c r="C30" i="14"/>
  <c r="C31" i="14" a="1"/>
  <c r="C31" i="14"/>
  <c r="C32" i="14" a="1"/>
  <c r="C32" i="14"/>
  <c r="C33" i="14" a="1"/>
  <c r="C33" i="14"/>
  <c r="C34" i="14" a="1"/>
  <c r="C34" i="14" s="1"/>
  <c r="C35" i="14" a="1"/>
  <c r="C35" i="14"/>
  <c r="C36" i="14" a="1"/>
  <c r="C36" i="14"/>
  <c r="C37" i="14" a="1"/>
  <c r="C37" i="14"/>
  <c r="C38" i="14" a="1"/>
  <c r="C38" i="14"/>
  <c r="C39" i="14" a="1"/>
  <c r="C39" i="14"/>
  <c r="C40" i="14" a="1"/>
  <c r="C40" i="14"/>
  <c r="C41" i="14" a="1"/>
  <c r="C41" i="14"/>
  <c r="C42" i="14" a="1"/>
  <c r="C42" i="14" s="1"/>
  <c r="J22" i="14"/>
  <c r="I2" i="19" l="1" a="1"/>
  <c r="I2" i="19" s="1"/>
  <c r="J2" i="19" a="1"/>
  <c r="J2" i="19" s="1"/>
  <c r="K2" i="19" a="1"/>
  <c r="K2" i="19" s="1"/>
  <c r="L2" i="19" a="1"/>
  <c r="L2" i="19" s="1"/>
  <c r="G2" i="19" a="1"/>
  <c r="G2" i="19" s="1"/>
  <c r="F2" i="19" a="1"/>
  <c r="F2" i="19" s="1"/>
  <c r="H2" i="19" a="1"/>
  <c r="H2" i="19" s="1"/>
  <c r="E2" i="19" a="1"/>
  <c r="E2" i="19" s="1"/>
  <c r="M2" i="19" a="1"/>
  <c r="M2" i="19" s="1"/>
  <c r="N2" i="19" a="1"/>
  <c r="N2" i="19" s="1"/>
  <c r="O2" i="19" a="1"/>
  <c r="O2" i="19" s="1"/>
  <c r="P2" i="19" l="1"/>
  <c r="Q2" i="19" s="1" a="1"/>
  <c r="Q2" i="19" s="1"/>
  <c r="R2" i="19" s="1"/>
  <c r="D11" i="17" l="1" a="1"/>
  <c r="F6" i="17" s="1"/>
  <c r="F7" i="17" l="1"/>
  <c r="D11" i="17"/>
  <c r="L6" i="17"/>
  <c r="M7" i="17"/>
  <c r="M8" i="17" s="1"/>
  <c r="V8" i="17"/>
  <c r="G6" i="17" s="1"/>
  <c r="H6" i="17"/>
  <c r="H8" i="17" s="1"/>
  <c r="I6" i="17"/>
  <c r="I8" i="17" s="1"/>
  <c r="T8" i="17"/>
  <c r="K6" i="17"/>
  <c r="K8" i="17" s="1"/>
  <c r="J6" i="17"/>
  <c r="U8" i="17"/>
  <c r="E7" i="17" a="1"/>
  <c r="E7" i="17" s="1"/>
  <c r="E6" i="17" a="1"/>
  <c r="E6" i="17" s="1"/>
  <c r="L8" i="17"/>
  <c r="J8" i="17"/>
  <c r="S7" i="17"/>
  <c r="O7" i="17"/>
  <c r="O8" i="17" s="1"/>
  <c r="P7" i="17"/>
  <c r="P8" i="17" s="1"/>
  <c r="Q7" i="17"/>
  <c r="Q8" i="17" s="1"/>
  <c r="R7" i="17"/>
  <c r="R8" i="17" s="1"/>
  <c r="N7" i="17"/>
  <c r="N8" i="17" s="1"/>
  <c r="E8" i="17" l="1"/>
  <c r="F8" i="17"/>
  <c r="T37" i="6" l="1"/>
  <c r="S37" i="6"/>
  <c r="P37" i="6"/>
  <c r="O37" i="6"/>
  <c r="N37" i="6"/>
  <c r="M37" i="6"/>
  <c r="L37" i="6"/>
  <c r="K37" i="6"/>
  <c r="J37" i="6"/>
  <c r="T36" i="6"/>
  <c r="S36" i="6"/>
  <c r="P36" i="6"/>
  <c r="O36" i="6"/>
  <c r="N36" i="6"/>
  <c r="M36" i="6"/>
  <c r="L36" i="6"/>
  <c r="K36" i="6"/>
  <c r="J36" i="6"/>
  <c r="T35" i="6"/>
  <c r="S35" i="6"/>
  <c r="P35" i="6"/>
  <c r="O35" i="6"/>
  <c r="N35" i="6"/>
  <c r="M35" i="6"/>
  <c r="L35" i="6"/>
  <c r="K35" i="6"/>
  <c r="J35" i="6"/>
  <c r="T34" i="6"/>
  <c r="S34" i="6"/>
  <c r="P34" i="6"/>
  <c r="O34" i="6"/>
  <c r="N34" i="6"/>
  <c r="M34" i="6"/>
  <c r="L34" i="6"/>
  <c r="K34" i="6"/>
  <c r="J34" i="6"/>
  <c r="T33" i="6"/>
  <c r="S33" i="6"/>
  <c r="P33" i="6"/>
  <c r="O33" i="6"/>
  <c r="N33" i="6"/>
  <c r="M33" i="6"/>
  <c r="L33" i="6"/>
  <c r="K33" i="6"/>
  <c r="J33" i="6"/>
  <c r="T32" i="6"/>
  <c r="S32" i="6"/>
  <c r="P32" i="6"/>
  <c r="O32" i="6"/>
  <c r="N32" i="6"/>
  <c r="M32" i="6"/>
  <c r="L32" i="6"/>
  <c r="K32" i="6"/>
  <c r="J32" i="6"/>
  <c r="T31" i="6"/>
  <c r="S31" i="6"/>
  <c r="P31" i="6"/>
  <c r="O31" i="6"/>
  <c r="N31" i="6"/>
  <c r="M31" i="6"/>
  <c r="L31" i="6"/>
  <c r="K31" i="6"/>
  <c r="J31" i="6"/>
  <c r="T30" i="6"/>
  <c r="S30" i="6"/>
  <c r="P30" i="6"/>
  <c r="O30" i="6"/>
  <c r="N30" i="6"/>
  <c r="M30" i="6"/>
  <c r="L30" i="6"/>
  <c r="K30" i="6"/>
  <c r="J30" i="6"/>
  <c r="P24" i="6"/>
  <c r="O24" i="6"/>
  <c r="N24" i="6"/>
  <c r="M24" i="6"/>
  <c r="L24" i="6"/>
  <c r="K24" i="6"/>
  <c r="J24" i="6"/>
  <c r="T23" i="6"/>
  <c r="S23" i="6"/>
  <c r="P23" i="6"/>
  <c r="O23" i="6"/>
  <c r="N23" i="6"/>
  <c r="M23" i="6"/>
  <c r="L23" i="6"/>
  <c r="K23" i="6"/>
  <c r="J23" i="6"/>
  <c r="T22" i="6"/>
  <c r="S22" i="6"/>
  <c r="P22" i="6"/>
  <c r="O22" i="6"/>
  <c r="N22" i="6"/>
  <c r="M22" i="6"/>
  <c r="L22" i="6"/>
  <c r="K22" i="6"/>
  <c r="J22" i="6"/>
  <c r="T21" i="6"/>
  <c r="S21" i="6"/>
  <c r="P21" i="6"/>
  <c r="O21" i="6"/>
  <c r="N21" i="6"/>
  <c r="M21" i="6"/>
  <c r="L21" i="6"/>
  <c r="K21" i="6"/>
  <c r="J21" i="6"/>
  <c r="T20" i="6"/>
  <c r="S20" i="6"/>
  <c r="P20" i="6"/>
  <c r="O20" i="6"/>
  <c r="N20" i="6"/>
  <c r="M20" i="6"/>
  <c r="L20" i="6"/>
  <c r="K20" i="6"/>
  <c r="J20" i="6"/>
  <c r="T19" i="6"/>
  <c r="S19" i="6"/>
  <c r="P19" i="6"/>
  <c r="O19" i="6"/>
  <c r="N19" i="6"/>
  <c r="M19" i="6"/>
  <c r="L19" i="6"/>
  <c r="K19" i="6"/>
  <c r="J19" i="6"/>
  <c r="T18" i="6"/>
  <c r="S18" i="6"/>
  <c r="P18" i="6"/>
  <c r="O18" i="6"/>
  <c r="N18" i="6"/>
  <c r="M18" i="6"/>
  <c r="L18" i="6"/>
  <c r="K18" i="6"/>
  <c r="J18" i="6"/>
  <c r="T17" i="6"/>
  <c r="S17" i="6"/>
  <c r="P17" i="6"/>
  <c r="O17" i="6"/>
  <c r="N17" i="6"/>
  <c r="M17" i="6"/>
  <c r="L17" i="6"/>
  <c r="K17" i="6"/>
  <c r="J17" i="6"/>
  <c r="T16" i="6"/>
  <c r="S16" i="6"/>
  <c r="Q13" i="6"/>
  <c r="P13" i="6"/>
  <c r="O13" i="6"/>
  <c r="N13" i="6"/>
  <c r="M13" i="6"/>
  <c r="L13" i="6"/>
  <c r="K13" i="6"/>
  <c r="J13" i="6"/>
  <c r="Q12" i="6"/>
  <c r="P12" i="6"/>
  <c r="O12" i="6"/>
  <c r="N12" i="6"/>
  <c r="M12" i="6"/>
  <c r="L12" i="6"/>
  <c r="K12" i="6"/>
  <c r="J12" i="6"/>
  <c r="Q11" i="6"/>
  <c r="P11" i="6"/>
  <c r="O11" i="6"/>
  <c r="N11" i="6"/>
  <c r="M11" i="6"/>
  <c r="L11" i="6"/>
  <c r="K11" i="6"/>
  <c r="J11" i="6"/>
  <c r="Q10" i="6"/>
  <c r="P10" i="6"/>
  <c r="O10" i="6"/>
  <c r="N10" i="6"/>
  <c r="M10" i="6"/>
  <c r="L10" i="6"/>
  <c r="K10" i="6"/>
  <c r="J10" i="6"/>
  <c r="Q9" i="6"/>
  <c r="P9" i="6"/>
  <c r="O9" i="6"/>
  <c r="N9" i="6"/>
  <c r="M9" i="6"/>
  <c r="L9" i="6"/>
  <c r="K9" i="6"/>
  <c r="J9" i="6"/>
  <c r="Q8" i="6"/>
  <c r="P8" i="6"/>
  <c r="O8" i="6"/>
  <c r="N8" i="6"/>
  <c r="M8" i="6"/>
  <c r="L8" i="6"/>
  <c r="K8" i="6"/>
  <c r="J8" i="6"/>
  <c r="Q7" i="6"/>
  <c r="P7" i="6"/>
  <c r="O7" i="6"/>
  <c r="N7" i="6"/>
  <c r="M7" i="6"/>
  <c r="L7" i="6"/>
  <c r="K7" i="6"/>
  <c r="Q6" i="6"/>
  <c r="P6" i="6"/>
  <c r="O6" i="6"/>
  <c r="N6" i="6"/>
  <c r="M6" i="6"/>
  <c r="L6" i="6"/>
  <c r="K6" i="6"/>
  <c r="J6" i="6"/>
  <c r="Q5" i="6"/>
  <c r="P5" i="6"/>
  <c r="O5" i="6"/>
  <c r="N5" i="6"/>
  <c r="M5" i="6"/>
  <c r="L5" i="6"/>
  <c r="K5" i="6"/>
  <c r="J5" i="6"/>
  <c r="Q4" i="6"/>
  <c r="P4" i="6"/>
  <c r="O4" i="6"/>
  <c r="N4" i="6"/>
  <c r="M4" i="6"/>
  <c r="L4" i="6"/>
  <c r="K4" i="6"/>
  <c r="J3" i="6"/>
  <c r="J7" i="6" s="1"/>
  <c r="D6" i="6"/>
  <c r="D4" i="6"/>
  <c r="D3" i="6"/>
  <c r="D13" i="6"/>
  <c r="C10" i="6"/>
  <c r="G3" i="6"/>
  <c r="G4" i="6" s="1"/>
  <c r="G6" i="6"/>
  <c r="G7" i="6" s="1"/>
  <c r="G8" i="6" s="1"/>
  <c r="D6" i="4"/>
  <c r="D9" i="4"/>
  <c r="D15" i="4"/>
  <c r="D16" i="4"/>
  <c r="D17" i="4"/>
  <c r="D18" i="4"/>
  <c r="D22" i="4"/>
  <c r="D25" i="4"/>
  <c r="D28" i="4"/>
  <c r="D30" i="4"/>
  <c r="D31" i="4"/>
  <c r="D32" i="4"/>
  <c r="D33" i="4"/>
  <c r="D34" i="4"/>
  <c r="D45" i="4"/>
  <c r="D46" i="4"/>
  <c r="D48" i="4"/>
  <c r="D49" i="4"/>
  <c r="D60" i="4"/>
  <c r="D62" i="4"/>
  <c r="D63" i="4"/>
  <c r="D65" i="4"/>
  <c r="D66" i="4"/>
  <c r="D70" i="4"/>
  <c r="D76" i="4"/>
  <c r="D78" i="4"/>
  <c r="D79" i="4"/>
  <c r="D81" i="4"/>
  <c r="D82" i="4"/>
  <c r="D86" i="4"/>
  <c r="P4" i="3"/>
  <c r="I26" i="5"/>
  <c r="I25" i="5"/>
  <c r="F24" i="5"/>
  <c r="I23" i="5"/>
  <c r="F23" i="5"/>
  <c r="I22" i="5"/>
  <c r="F22" i="5"/>
  <c r="I21" i="5"/>
  <c r="F21" i="5"/>
  <c r="I20" i="5"/>
  <c r="F20" i="5"/>
  <c r="I19" i="5"/>
  <c r="F19" i="5"/>
  <c r="I18" i="5"/>
  <c r="F18" i="5"/>
  <c r="I17" i="5"/>
  <c r="F17" i="5"/>
  <c r="I16" i="5"/>
  <c r="I15" i="5"/>
  <c r="I14" i="5"/>
  <c r="F13" i="5"/>
  <c r="F12" i="5"/>
  <c r="P11" i="5"/>
  <c r="Q11" i="5" s="1"/>
  <c r="N11" i="5"/>
  <c r="F11" i="5"/>
  <c r="P10" i="5"/>
  <c r="N10" i="5"/>
  <c r="F10" i="5"/>
  <c r="P9" i="5"/>
  <c r="N9" i="5"/>
  <c r="F9" i="5"/>
  <c r="P8" i="5"/>
  <c r="N8" i="5"/>
  <c r="F8" i="5"/>
  <c r="P7" i="5"/>
  <c r="N7" i="5"/>
  <c r="F7" i="5"/>
  <c r="P6" i="5"/>
  <c r="N6" i="5"/>
  <c r="F6" i="5"/>
  <c r="P5" i="5"/>
  <c r="N5" i="5"/>
  <c r="F5" i="5"/>
  <c r="P4" i="5"/>
  <c r="N4" i="5"/>
  <c r="F4" i="5"/>
  <c r="A100" i="4"/>
  <c r="Q88" i="4"/>
  <c r="P88" i="4"/>
  <c r="N88" i="4"/>
  <c r="D88" i="4"/>
  <c r="A88" i="4"/>
  <c r="Q87" i="4"/>
  <c r="P87" i="4"/>
  <c r="U87" i="4" s="1"/>
  <c r="N87" i="4"/>
  <c r="D87" i="4"/>
  <c r="A87" i="4"/>
  <c r="Q86" i="4"/>
  <c r="P86" i="4"/>
  <c r="S86" i="4" s="1"/>
  <c r="N86" i="4"/>
  <c r="A86" i="4"/>
  <c r="Q85" i="4"/>
  <c r="P85" i="4"/>
  <c r="N85" i="4"/>
  <c r="D85" i="4"/>
  <c r="A85" i="4"/>
  <c r="Q84" i="4"/>
  <c r="P84" i="4"/>
  <c r="S84" i="4" s="1"/>
  <c r="N84" i="4"/>
  <c r="D84" i="4"/>
  <c r="A84" i="4"/>
  <c r="Q83" i="4"/>
  <c r="P83" i="4"/>
  <c r="S83" i="4" s="1"/>
  <c r="N83" i="4"/>
  <c r="D83" i="4"/>
  <c r="A83" i="4"/>
  <c r="Q82" i="4"/>
  <c r="P82" i="4"/>
  <c r="U82" i="4" s="1"/>
  <c r="V82" i="4" s="1"/>
  <c r="N82" i="4"/>
  <c r="A82" i="4"/>
  <c r="Q81" i="4"/>
  <c r="P81" i="4"/>
  <c r="N81" i="4"/>
  <c r="A81" i="4"/>
  <c r="Q80" i="4"/>
  <c r="P80" i="4"/>
  <c r="N80" i="4"/>
  <c r="D80" i="4"/>
  <c r="A80" i="4"/>
  <c r="Q79" i="4"/>
  <c r="P79" i="4"/>
  <c r="S79" i="4" s="1"/>
  <c r="N79" i="4"/>
  <c r="A79" i="4"/>
  <c r="Q78" i="4"/>
  <c r="P78" i="4"/>
  <c r="S78" i="4" s="1"/>
  <c r="N78" i="4"/>
  <c r="A78" i="4"/>
  <c r="Q77" i="4"/>
  <c r="P77" i="4"/>
  <c r="U77" i="4" s="1"/>
  <c r="V77" i="4" s="1"/>
  <c r="N77" i="4"/>
  <c r="D77" i="4"/>
  <c r="A77" i="4"/>
  <c r="Q76" i="4"/>
  <c r="P76" i="4"/>
  <c r="N76" i="4"/>
  <c r="A76" i="4"/>
  <c r="Q75" i="4"/>
  <c r="P75" i="4"/>
  <c r="S75" i="4" s="1"/>
  <c r="N75" i="4"/>
  <c r="D75" i="4"/>
  <c r="A75" i="4"/>
  <c r="Q74" i="4"/>
  <c r="P74" i="4"/>
  <c r="U74" i="4" s="1"/>
  <c r="V74" i="4" s="1"/>
  <c r="N74" i="4"/>
  <c r="D74" i="4"/>
  <c r="A74" i="4"/>
  <c r="Q73" i="4"/>
  <c r="P73" i="4"/>
  <c r="N73" i="4"/>
  <c r="D73" i="4"/>
  <c r="A73" i="4"/>
  <c r="Q72" i="4"/>
  <c r="P72" i="4"/>
  <c r="N72" i="4"/>
  <c r="D72" i="4"/>
  <c r="A72" i="4"/>
  <c r="Q71" i="4"/>
  <c r="P71" i="4"/>
  <c r="S71" i="4" s="1"/>
  <c r="N71" i="4"/>
  <c r="D71" i="4"/>
  <c r="A71" i="4"/>
  <c r="Q70" i="4"/>
  <c r="P70" i="4"/>
  <c r="S70" i="4" s="1"/>
  <c r="N70" i="4"/>
  <c r="A70" i="4"/>
  <c r="Q69" i="4"/>
  <c r="P69" i="4"/>
  <c r="U69" i="4" s="1"/>
  <c r="V69" i="4" s="1"/>
  <c r="N69" i="4"/>
  <c r="D69" i="4"/>
  <c r="A69" i="4"/>
  <c r="Q68" i="4"/>
  <c r="P68" i="4"/>
  <c r="N68" i="4"/>
  <c r="D68" i="4"/>
  <c r="A68" i="4"/>
  <c r="Q67" i="4"/>
  <c r="P67" i="4"/>
  <c r="S67" i="4" s="1"/>
  <c r="N67" i="4"/>
  <c r="D67" i="4"/>
  <c r="A67" i="4"/>
  <c r="Q66" i="4"/>
  <c r="P66" i="4"/>
  <c r="U66" i="4" s="1"/>
  <c r="V66" i="4" s="1"/>
  <c r="N66" i="4"/>
  <c r="A66" i="4"/>
  <c r="Q65" i="4"/>
  <c r="P65" i="4"/>
  <c r="N65" i="4"/>
  <c r="A65" i="4"/>
  <c r="Q64" i="4"/>
  <c r="P64" i="4"/>
  <c r="N64" i="4"/>
  <c r="D64" i="4"/>
  <c r="A64" i="4"/>
  <c r="Q63" i="4"/>
  <c r="P63" i="4"/>
  <c r="N63" i="4"/>
  <c r="A63" i="4"/>
  <c r="Q62" i="4"/>
  <c r="P62" i="4"/>
  <c r="S62" i="4" s="1"/>
  <c r="N62" i="4"/>
  <c r="A62" i="4"/>
  <c r="Q61" i="4"/>
  <c r="P61" i="4"/>
  <c r="N61" i="4"/>
  <c r="D61" i="4"/>
  <c r="A61" i="4"/>
  <c r="Q60" i="4"/>
  <c r="P60" i="4"/>
  <c r="N60" i="4"/>
  <c r="A60" i="4"/>
  <c r="N59" i="4"/>
  <c r="D59" i="4"/>
  <c r="A59" i="4"/>
  <c r="N58" i="4"/>
  <c r="D58" i="4"/>
  <c r="A58" i="4"/>
  <c r="N57" i="4"/>
  <c r="D57" i="4"/>
  <c r="A57" i="4"/>
  <c r="N56" i="4"/>
  <c r="D56" i="4"/>
  <c r="A56" i="4"/>
  <c r="Q55" i="4"/>
  <c r="P55" i="4"/>
  <c r="U55" i="4" s="1"/>
  <c r="V55" i="4" s="1"/>
  <c r="N55" i="4"/>
  <c r="D55" i="4"/>
  <c r="A55" i="4"/>
  <c r="Q54" i="4"/>
  <c r="P54" i="4"/>
  <c r="U54" i="4" s="1"/>
  <c r="V54" i="4" s="1"/>
  <c r="N54" i="4"/>
  <c r="D54" i="4"/>
  <c r="B54" i="4"/>
  <c r="B55" i="4" s="1"/>
  <c r="A54" i="4"/>
  <c r="Q53" i="4"/>
  <c r="P53" i="4"/>
  <c r="N53" i="4"/>
  <c r="D53" i="4"/>
  <c r="B53" i="4"/>
  <c r="A53" i="4"/>
  <c r="Q52" i="4"/>
  <c r="P52" i="4"/>
  <c r="N52" i="4"/>
  <c r="D52" i="4"/>
  <c r="A52" i="4"/>
  <c r="Q51" i="4"/>
  <c r="P51" i="4"/>
  <c r="S51" i="4" s="1"/>
  <c r="N51" i="4"/>
  <c r="D51" i="4"/>
  <c r="A51" i="4"/>
  <c r="Q50" i="4"/>
  <c r="P50" i="4"/>
  <c r="N50" i="4"/>
  <c r="D50" i="4"/>
  <c r="A50" i="4"/>
  <c r="Q49" i="4"/>
  <c r="P49" i="4"/>
  <c r="S49" i="4" s="1"/>
  <c r="N49" i="4"/>
  <c r="A49" i="4"/>
  <c r="Q48" i="4"/>
  <c r="P48" i="4"/>
  <c r="U48" i="4" s="1"/>
  <c r="V48" i="4" s="1"/>
  <c r="N48" i="4"/>
  <c r="A48" i="4"/>
  <c r="Q47" i="4"/>
  <c r="P47" i="4"/>
  <c r="S47" i="4" s="1"/>
  <c r="N47" i="4"/>
  <c r="D47" i="4"/>
  <c r="A47" i="4"/>
  <c r="Q46" i="4"/>
  <c r="P46" i="4"/>
  <c r="U46" i="4" s="1"/>
  <c r="V46" i="4" s="1"/>
  <c r="N46" i="4"/>
  <c r="A46" i="4"/>
  <c r="Q45" i="4"/>
  <c r="P45" i="4"/>
  <c r="U45" i="4" s="1"/>
  <c r="N45" i="4"/>
  <c r="A45" i="4"/>
  <c r="Q44" i="4"/>
  <c r="P44" i="4"/>
  <c r="U44" i="4" s="1"/>
  <c r="N44" i="4"/>
  <c r="D44" i="4"/>
  <c r="A44" i="4"/>
  <c r="Q43" i="4"/>
  <c r="P43" i="4"/>
  <c r="S43" i="4" s="1"/>
  <c r="N43" i="4"/>
  <c r="D43" i="4"/>
  <c r="A43" i="4"/>
  <c r="Q42" i="4"/>
  <c r="P42" i="4"/>
  <c r="N42" i="4"/>
  <c r="D42" i="4"/>
  <c r="A42" i="4"/>
  <c r="Q41" i="4"/>
  <c r="P41" i="4"/>
  <c r="S41" i="4" s="1"/>
  <c r="N41" i="4"/>
  <c r="D41" i="4"/>
  <c r="A41" i="4"/>
  <c r="Q40" i="4"/>
  <c r="P40" i="4"/>
  <c r="S40" i="4" s="1"/>
  <c r="N40" i="4"/>
  <c r="D40" i="4"/>
  <c r="A40" i="4"/>
  <c r="Q39" i="4"/>
  <c r="P39" i="4"/>
  <c r="S39" i="4" s="1"/>
  <c r="N39" i="4"/>
  <c r="D39" i="4"/>
  <c r="B39" i="4"/>
  <c r="A39" i="4"/>
  <c r="Q38" i="4"/>
  <c r="P38" i="4"/>
  <c r="N38" i="4"/>
  <c r="D38" i="4"/>
  <c r="B38" i="4"/>
  <c r="A38" i="4"/>
  <c r="Q37" i="4"/>
  <c r="P37" i="4"/>
  <c r="U37" i="4" s="1"/>
  <c r="V37" i="4" s="1"/>
  <c r="N37" i="4"/>
  <c r="D37" i="4"/>
  <c r="A37" i="4"/>
  <c r="Q36" i="4"/>
  <c r="P36" i="4"/>
  <c r="S36" i="4" s="1"/>
  <c r="N36" i="4"/>
  <c r="D36" i="4"/>
  <c r="A36" i="4"/>
  <c r="Q35" i="4"/>
  <c r="P35" i="4"/>
  <c r="U35" i="4" s="1"/>
  <c r="V35" i="4" s="1"/>
  <c r="N35" i="4"/>
  <c r="D35" i="4"/>
  <c r="A35" i="4"/>
  <c r="Q34" i="4"/>
  <c r="P34" i="4"/>
  <c r="U34" i="4" s="1"/>
  <c r="N34" i="4"/>
  <c r="A34" i="4"/>
  <c r="Q33" i="4"/>
  <c r="P33" i="4"/>
  <c r="S33" i="4" s="1"/>
  <c r="N33" i="4"/>
  <c r="B33" i="4"/>
  <c r="B34" i="4" s="1"/>
  <c r="A33" i="4"/>
  <c r="Q32" i="4"/>
  <c r="P32" i="4"/>
  <c r="U32" i="4" s="1"/>
  <c r="V32" i="4" s="1"/>
  <c r="N32" i="4"/>
  <c r="A32" i="4"/>
  <c r="Q31" i="4"/>
  <c r="P31" i="4"/>
  <c r="U31" i="4" s="1"/>
  <c r="N31" i="4"/>
  <c r="A31" i="4"/>
  <c r="Q30" i="4"/>
  <c r="P30" i="4"/>
  <c r="S30" i="4" s="1"/>
  <c r="N30" i="4"/>
  <c r="A30" i="4"/>
  <c r="Q29" i="4"/>
  <c r="P29" i="4"/>
  <c r="U29" i="4" s="1"/>
  <c r="V29" i="4" s="1"/>
  <c r="N29" i="4"/>
  <c r="D29" i="4"/>
  <c r="A29" i="4"/>
  <c r="Q28" i="4"/>
  <c r="P28" i="4"/>
  <c r="N28" i="4"/>
  <c r="B28" i="4"/>
  <c r="A28" i="4"/>
  <c r="Q27" i="4"/>
  <c r="P27" i="4"/>
  <c r="U27" i="4" s="1"/>
  <c r="V27" i="4" s="1"/>
  <c r="N27" i="4"/>
  <c r="D27" i="4"/>
  <c r="A27" i="4"/>
  <c r="Q26" i="4"/>
  <c r="P26" i="4"/>
  <c r="U26" i="4" s="1"/>
  <c r="V26" i="4" s="1"/>
  <c r="N26" i="4"/>
  <c r="D26" i="4"/>
  <c r="A26" i="4"/>
  <c r="Q25" i="4"/>
  <c r="P25" i="4"/>
  <c r="N25" i="4"/>
  <c r="A25" i="4"/>
  <c r="Q24" i="4"/>
  <c r="P24" i="4"/>
  <c r="N24" i="4"/>
  <c r="D24" i="4"/>
  <c r="A24" i="4"/>
  <c r="Q23" i="4"/>
  <c r="P23" i="4"/>
  <c r="U23" i="4" s="1"/>
  <c r="N23" i="4"/>
  <c r="D23" i="4"/>
  <c r="B23" i="4"/>
  <c r="A23" i="4"/>
  <c r="Q22" i="4"/>
  <c r="P22" i="4"/>
  <c r="S22" i="4" s="1"/>
  <c r="N22" i="4"/>
  <c r="B22" i="4"/>
  <c r="A22" i="4"/>
  <c r="Q21" i="4"/>
  <c r="P21" i="4"/>
  <c r="N21" i="4"/>
  <c r="D21" i="4"/>
  <c r="A21" i="4"/>
  <c r="Q20" i="4"/>
  <c r="P20" i="4"/>
  <c r="N20" i="4"/>
  <c r="D20" i="4"/>
  <c r="B20" i="4"/>
  <c r="A20" i="4"/>
  <c r="Q19" i="4"/>
  <c r="P19" i="4"/>
  <c r="S19" i="4" s="1"/>
  <c r="N19" i="4"/>
  <c r="D19" i="4"/>
  <c r="A19" i="4"/>
  <c r="Q18" i="4"/>
  <c r="P18" i="4"/>
  <c r="U18" i="4" s="1"/>
  <c r="V18" i="4" s="1"/>
  <c r="N18" i="4"/>
  <c r="A18" i="4"/>
  <c r="Q17" i="4"/>
  <c r="P17" i="4"/>
  <c r="S17" i="4" s="1"/>
  <c r="N17" i="4"/>
  <c r="A17" i="4"/>
  <c r="Q16" i="4"/>
  <c r="P16" i="4"/>
  <c r="U16" i="4" s="1"/>
  <c r="N16" i="4"/>
  <c r="A16" i="4"/>
  <c r="Q15" i="4"/>
  <c r="P15" i="4"/>
  <c r="U15" i="4" s="1"/>
  <c r="V15" i="4" s="1"/>
  <c r="N15" i="4"/>
  <c r="B15" i="4"/>
  <c r="A15" i="4"/>
  <c r="Q14" i="4"/>
  <c r="P14" i="4"/>
  <c r="N14" i="4"/>
  <c r="D14" i="4"/>
  <c r="B14" i="4"/>
  <c r="A14" i="4"/>
  <c r="AJ13" i="4"/>
  <c r="AU13" i="4" s="1"/>
  <c r="AI13" i="4"/>
  <c r="AT13" i="4" s="1"/>
  <c r="AH13" i="4"/>
  <c r="AS13" i="4" s="1"/>
  <c r="AG13" i="4"/>
  <c r="AR13" i="4" s="1"/>
  <c r="AF13" i="4"/>
  <c r="AQ13" i="4" s="1"/>
  <c r="AE13" i="4"/>
  <c r="AP13" i="4" s="1"/>
  <c r="AD13" i="4"/>
  <c r="AO13" i="4" s="1"/>
  <c r="AC13" i="4"/>
  <c r="AN13" i="4" s="1"/>
  <c r="AB13" i="4"/>
  <c r="AM13" i="4" s="1"/>
  <c r="AA13" i="4"/>
  <c r="AL13" i="4" s="1"/>
  <c r="Q13" i="4"/>
  <c r="P13" i="4"/>
  <c r="N13" i="4"/>
  <c r="D13" i="4"/>
  <c r="A13" i="4"/>
  <c r="AJ12" i="4"/>
  <c r="AU12" i="4" s="1"/>
  <c r="AI12" i="4"/>
  <c r="AT12" i="4" s="1"/>
  <c r="AH12" i="4"/>
  <c r="AS12" i="4" s="1"/>
  <c r="AG12" i="4"/>
  <c r="AR12" i="4" s="1"/>
  <c r="AF12" i="4"/>
  <c r="AQ12" i="4" s="1"/>
  <c r="AE12" i="4"/>
  <c r="AP12" i="4" s="1"/>
  <c r="AD12" i="4"/>
  <c r="AO12" i="4" s="1"/>
  <c r="AC12" i="4"/>
  <c r="AN12" i="4" s="1"/>
  <c r="AB12" i="4"/>
  <c r="AM12" i="4" s="1"/>
  <c r="AA12" i="4"/>
  <c r="AL12" i="4" s="1"/>
  <c r="Q12" i="4"/>
  <c r="P12" i="4"/>
  <c r="S12" i="4" s="1"/>
  <c r="N12" i="4"/>
  <c r="D12" i="4"/>
  <c r="A12" i="4"/>
  <c r="AJ11" i="4"/>
  <c r="AU11" i="4" s="1"/>
  <c r="AI11" i="4"/>
  <c r="AT11" i="4" s="1"/>
  <c r="AH11" i="4"/>
  <c r="AS11" i="4" s="1"/>
  <c r="AG11" i="4"/>
  <c r="AR11" i="4" s="1"/>
  <c r="AF11" i="4"/>
  <c r="AQ11" i="4" s="1"/>
  <c r="AE11" i="4"/>
  <c r="AP11" i="4" s="1"/>
  <c r="AD11" i="4"/>
  <c r="AO11" i="4" s="1"/>
  <c r="AC11" i="4"/>
  <c r="AN11" i="4" s="1"/>
  <c r="AB11" i="4"/>
  <c r="AM11" i="4" s="1"/>
  <c r="AA11" i="4"/>
  <c r="AL11" i="4" s="1"/>
  <c r="Q11" i="4"/>
  <c r="P11" i="4"/>
  <c r="S11" i="4" s="1"/>
  <c r="N11" i="4"/>
  <c r="D11" i="4"/>
  <c r="A11" i="4"/>
  <c r="AJ10" i="4"/>
  <c r="AU10" i="4" s="1"/>
  <c r="AI10" i="4"/>
  <c r="AT10" i="4" s="1"/>
  <c r="AH10" i="4"/>
  <c r="AS10" i="4" s="1"/>
  <c r="AG10" i="4"/>
  <c r="AR10" i="4" s="1"/>
  <c r="AF10" i="4"/>
  <c r="AQ10" i="4" s="1"/>
  <c r="AE10" i="4"/>
  <c r="AP10" i="4" s="1"/>
  <c r="AD10" i="4"/>
  <c r="AO10" i="4" s="1"/>
  <c r="AC10" i="4"/>
  <c r="AN10" i="4" s="1"/>
  <c r="AB10" i="4"/>
  <c r="AM10" i="4" s="1"/>
  <c r="AA10" i="4"/>
  <c r="AL10" i="4" s="1"/>
  <c r="Q10" i="4"/>
  <c r="P10" i="4"/>
  <c r="S10" i="4" s="1"/>
  <c r="N10" i="4"/>
  <c r="D10" i="4"/>
  <c r="A10" i="4"/>
  <c r="AJ9" i="4"/>
  <c r="AU9" i="4" s="1"/>
  <c r="AI9" i="4"/>
  <c r="AT9" i="4" s="1"/>
  <c r="AH9" i="4"/>
  <c r="AS9" i="4" s="1"/>
  <c r="AG9" i="4"/>
  <c r="AR9" i="4" s="1"/>
  <c r="AF9" i="4"/>
  <c r="AQ9" i="4" s="1"/>
  <c r="AE9" i="4"/>
  <c r="AP9" i="4" s="1"/>
  <c r="AD9" i="4"/>
  <c r="AO9" i="4" s="1"/>
  <c r="AC9" i="4"/>
  <c r="AN9" i="4" s="1"/>
  <c r="AB9" i="4"/>
  <c r="AM9" i="4" s="1"/>
  <c r="AA9" i="4"/>
  <c r="AL9" i="4" s="1"/>
  <c r="Q9" i="4"/>
  <c r="P9" i="4"/>
  <c r="N9" i="4"/>
  <c r="A9" i="4"/>
  <c r="Q8" i="4"/>
  <c r="P8" i="4"/>
  <c r="U8" i="4" s="1"/>
  <c r="N8" i="4"/>
  <c r="D8" i="4"/>
  <c r="B8" i="4"/>
  <c r="A8" i="4"/>
  <c r="Q7" i="4"/>
  <c r="P7" i="4"/>
  <c r="U7" i="4" s="1"/>
  <c r="V7" i="4" s="1"/>
  <c r="N7" i="4"/>
  <c r="D7" i="4"/>
  <c r="A7" i="4"/>
  <c r="Q6" i="4"/>
  <c r="P6" i="4"/>
  <c r="U6" i="4" s="1"/>
  <c r="V6" i="4" s="1"/>
  <c r="N6" i="4"/>
  <c r="A6" i="4"/>
  <c r="Q5" i="4"/>
  <c r="P5" i="4"/>
  <c r="S5" i="4" s="1"/>
  <c r="N5" i="4"/>
  <c r="D5" i="4"/>
  <c r="A5" i="4"/>
  <c r="AJ4" i="4"/>
  <c r="AU4" i="4" s="1"/>
  <c r="AI4" i="4"/>
  <c r="AT4" i="4" s="1"/>
  <c r="AH4" i="4"/>
  <c r="AS4" i="4" s="1"/>
  <c r="AG4" i="4"/>
  <c r="AR4" i="4" s="1"/>
  <c r="AF4" i="4"/>
  <c r="AQ4" i="4" s="1"/>
  <c r="AE4" i="4"/>
  <c r="AP4" i="4" s="1"/>
  <c r="AD4" i="4"/>
  <c r="AO4" i="4" s="1"/>
  <c r="AC4" i="4"/>
  <c r="AN4" i="4" s="1"/>
  <c r="AB4" i="4"/>
  <c r="AM4" i="4" s="1"/>
  <c r="AA4" i="4"/>
  <c r="AL4" i="4" s="1"/>
  <c r="Q4" i="4"/>
  <c r="P4" i="4"/>
  <c r="U4" i="4" s="1"/>
  <c r="N4" i="4"/>
  <c r="D4" i="4"/>
  <c r="A4" i="4"/>
  <c r="AJ3" i="4"/>
  <c r="AU3" i="4" s="1"/>
  <c r="AI3" i="4"/>
  <c r="AT3" i="4" s="1"/>
  <c r="AH3" i="4"/>
  <c r="AS3" i="4" s="1"/>
  <c r="AG3" i="4"/>
  <c r="AR3" i="4" s="1"/>
  <c r="AF3" i="4"/>
  <c r="AQ3" i="4" s="1"/>
  <c r="AE3" i="4"/>
  <c r="AP3" i="4" s="1"/>
  <c r="AD3" i="4"/>
  <c r="AO3" i="4" s="1"/>
  <c r="AC3" i="4"/>
  <c r="AN3" i="4" s="1"/>
  <c r="AB3" i="4"/>
  <c r="AM3" i="4" s="1"/>
  <c r="AA3" i="4"/>
  <c r="AL3" i="4" s="1"/>
  <c r="Q3" i="4"/>
  <c r="P3" i="4"/>
  <c r="U3" i="4" s="1"/>
  <c r="V3" i="4" s="1"/>
  <c r="N3" i="4"/>
  <c r="D3" i="4"/>
  <c r="A3" i="4"/>
  <c r="J4" i="6" l="1"/>
  <c r="G5" i="6"/>
  <c r="D5" i="6"/>
  <c r="U43" i="4"/>
  <c r="V43" i="4" s="1"/>
  <c r="X43" i="4" s="1"/>
  <c r="S55" i="4"/>
  <c r="X55" i="4" s="1"/>
  <c r="S48" i="4"/>
  <c r="X48" i="4" s="1"/>
  <c r="S15" i="4"/>
  <c r="X15" i="4" s="1"/>
  <c r="S29" i="4"/>
  <c r="X29" i="4" s="1"/>
  <c r="S27" i="4"/>
  <c r="X27" i="4" s="1"/>
  <c r="S82" i="4"/>
  <c r="X82" i="4" s="1"/>
  <c r="U22" i="4"/>
  <c r="V22" i="4" s="1"/>
  <c r="X22" i="4" s="1"/>
  <c r="U10" i="4"/>
  <c r="V10" i="4" s="1"/>
  <c r="X10" i="4" s="1"/>
  <c r="S77" i="4"/>
  <c r="X77" i="4" s="1"/>
  <c r="U39" i="4"/>
  <c r="V39" i="4" s="1"/>
  <c r="X39" i="4" s="1"/>
  <c r="S37" i="4"/>
  <c r="X37" i="4" s="1"/>
  <c r="U51" i="4"/>
  <c r="V51" i="4" s="1"/>
  <c r="X51" i="4" s="1"/>
  <c r="U67" i="4"/>
  <c r="V67" i="4" s="1"/>
  <c r="X67" i="4" s="1"/>
  <c r="S44" i="4"/>
  <c r="U12" i="4"/>
  <c r="V12" i="4" s="1"/>
  <c r="X12" i="4" s="1"/>
  <c r="V44" i="4"/>
  <c r="U75" i="4"/>
  <c r="V75" i="4" s="1"/>
  <c r="X75" i="4" s="1"/>
  <c r="U47" i="4"/>
  <c r="V47" i="4" s="1"/>
  <c r="X47" i="4" s="1"/>
  <c r="S16" i="4"/>
  <c r="U30" i="4"/>
  <c r="V30" i="4" s="1"/>
  <c r="X30" i="4" s="1"/>
  <c r="U40" i="4"/>
  <c r="V40" i="4" s="1"/>
  <c r="X40" i="4" s="1"/>
  <c r="S54" i="4"/>
  <c r="X54" i="4" s="1"/>
  <c r="U83" i="4"/>
  <c r="V83" i="4" s="1"/>
  <c r="X83" i="4" s="1"/>
  <c r="V16" i="4"/>
  <c r="S26" i="4"/>
  <c r="X26" i="4" s="1"/>
  <c r="S52" i="4"/>
  <c r="U19" i="4"/>
  <c r="V19" i="4" s="1"/>
  <c r="X19" i="4" s="1"/>
  <c r="U36" i="4"/>
  <c r="V36" i="4" s="1"/>
  <c r="X36" i="4" s="1"/>
  <c r="U52" i="4"/>
  <c r="V52" i="4" s="1"/>
  <c r="S61" i="4"/>
  <c r="S66" i="4"/>
  <c r="X66" i="4" s="1"/>
  <c r="U85" i="4"/>
  <c r="V85" i="4" s="1"/>
  <c r="U61" i="4"/>
  <c r="V61" i="4" s="1"/>
  <c r="U11" i="4"/>
  <c r="V11" i="4" s="1"/>
  <c r="X11" i="4" s="1"/>
  <c r="S85" i="4"/>
  <c r="S69" i="4"/>
  <c r="X69" i="4" s="1"/>
  <c r="S74" i="4"/>
  <c r="X74" i="4" s="1"/>
  <c r="U20" i="4"/>
  <c r="V20" i="4" s="1"/>
  <c r="S31" i="4"/>
  <c r="S45" i="4"/>
  <c r="U79" i="4"/>
  <c r="V79" i="4" s="1"/>
  <c r="X79" i="4" s="1"/>
  <c r="U17" i="4"/>
  <c r="V17" i="4" s="1"/>
  <c r="X17" i="4" s="1"/>
  <c r="V23" i="4"/>
  <c r="S53" i="4"/>
  <c r="S60" i="4"/>
  <c r="S76" i="4"/>
  <c r="V87" i="4"/>
  <c r="U5" i="4"/>
  <c r="V5" i="4" s="1"/>
  <c r="X5" i="4" s="1"/>
  <c r="V8" i="4"/>
  <c r="U13" i="4"/>
  <c r="V13" i="4" s="1"/>
  <c r="S25" i="4"/>
  <c r="S3" i="4"/>
  <c r="X3" i="4" s="1"/>
  <c r="V4" i="4"/>
  <c r="S7" i="4"/>
  <c r="X7" i="4" s="1"/>
  <c r="U33" i="4"/>
  <c r="V33" i="4" s="1"/>
  <c r="X33" i="4" s="1"/>
  <c r="U62" i="4"/>
  <c r="V62" i="4" s="1"/>
  <c r="X62" i="4" s="1"/>
  <c r="U70" i="4"/>
  <c r="V70" i="4" s="1"/>
  <c r="X70" i="4" s="1"/>
  <c r="U78" i="4"/>
  <c r="V78" i="4" s="1"/>
  <c r="X78" i="4" s="1"/>
  <c r="U86" i="4"/>
  <c r="V86" i="4" s="1"/>
  <c r="X86" i="4" s="1"/>
  <c r="S21" i="4"/>
  <c r="S24" i="4"/>
  <c r="S38" i="4"/>
  <c r="U41" i="4"/>
  <c r="V41" i="4" s="1"/>
  <c r="X41" i="4" s="1"/>
  <c r="U49" i="4"/>
  <c r="V49" i="4" s="1"/>
  <c r="X49" i="4" s="1"/>
  <c r="S64" i="4"/>
  <c r="S72" i="4"/>
  <c r="S80" i="4"/>
  <c r="S88" i="4"/>
  <c r="S18" i="4"/>
  <c r="X18" i="4" s="1"/>
  <c r="U21" i="4"/>
  <c r="V21" i="4" s="1"/>
  <c r="U24" i="4"/>
  <c r="V24" i="4" s="1"/>
  <c r="S32" i="4"/>
  <c r="X32" i="4" s="1"/>
  <c r="S35" i="4"/>
  <c r="X35" i="4" s="1"/>
  <c r="U38" i="4"/>
  <c r="V38" i="4" s="1"/>
  <c r="S46" i="4"/>
  <c r="X46" i="4" s="1"/>
  <c r="U64" i="4"/>
  <c r="V64" i="4" s="1"/>
  <c r="U72" i="4"/>
  <c r="V72" i="4" s="1"/>
  <c r="U80" i="4"/>
  <c r="V80" i="4" s="1"/>
  <c r="U88" i="4"/>
  <c r="V88" i="4" s="1"/>
  <c r="S34" i="4"/>
  <c r="U9" i="4"/>
  <c r="V9" i="4" s="1"/>
  <c r="S87" i="4"/>
  <c r="U71" i="4"/>
  <c r="V71" i="4" s="1"/>
  <c r="X71" i="4" s="1"/>
  <c r="S9" i="4"/>
  <c r="S6" i="4"/>
  <c r="X6" i="4" s="1"/>
  <c r="S13" i="4"/>
  <c r="U14" i="4"/>
  <c r="V14" i="4" s="1"/>
  <c r="S28" i="4"/>
  <c r="V31" i="4"/>
  <c r="V34" i="4"/>
  <c r="S42" i="4"/>
  <c r="V45" i="4"/>
  <c r="S50" i="4"/>
  <c r="U53" i="4"/>
  <c r="V53" i="4" s="1"/>
  <c r="U60" i="4"/>
  <c r="V60" i="4" s="1"/>
  <c r="U68" i="4"/>
  <c r="V68" i="4" s="1"/>
  <c r="U76" i="4"/>
  <c r="V76" i="4" s="1"/>
  <c r="U84" i="4"/>
  <c r="V84" i="4" s="1"/>
  <c r="X84" i="4" s="1"/>
  <c r="S20" i="4"/>
  <c r="S63" i="4"/>
  <c r="S8" i="4"/>
  <c r="S68" i="4"/>
  <c r="U28" i="4"/>
  <c r="V28" i="4" s="1"/>
  <c r="U42" i="4"/>
  <c r="V42" i="4" s="1"/>
  <c r="U50" i="4"/>
  <c r="V50" i="4" s="1"/>
  <c r="S65" i="4"/>
  <c r="S73" i="4"/>
  <c r="S81" i="4"/>
  <c r="S23" i="4"/>
  <c r="U63" i="4"/>
  <c r="V63" i="4" s="1"/>
  <c r="S14" i="4"/>
  <c r="S4" i="4"/>
  <c r="U25" i="4"/>
  <c r="V25" i="4" s="1"/>
  <c r="U65" i="4"/>
  <c r="V65" i="4" s="1"/>
  <c r="U73" i="4"/>
  <c r="V73" i="4" s="1"/>
  <c r="U81" i="4"/>
  <c r="V81" i="4" s="1"/>
  <c r="X23" i="4" l="1"/>
  <c r="X13" i="4"/>
  <c r="X65" i="4"/>
  <c r="X85" i="4"/>
  <c r="X25" i="4"/>
  <c r="X63" i="4"/>
  <c r="X44" i="4"/>
  <c r="X50" i="4"/>
  <c r="X14" i="4"/>
  <c r="X68" i="4"/>
  <c r="X8" i="4"/>
  <c r="X81" i="4"/>
  <c r="X31" i="4"/>
  <c r="X61" i="4"/>
  <c r="X87" i="4"/>
  <c r="X76" i="4"/>
  <c r="X80" i="4"/>
  <c r="X52" i="4"/>
  <c r="X42" i="4"/>
  <c r="X34" i="4"/>
  <c r="X73" i="4"/>
  <c r="X4" i="4"/>
  <c r="X60" i="4"/>
  <c r="X16" i="4"/>
  <c r="X24" i="4"/>
  <c r="X45" i="4"/>
  <c r="X28" i="4"/>
  <c r="X21" i="4"/>
  <c r="X20" i="4"/>
  <c r="X53" i="4"/>
  <c r="X9" i="4"/>
  <c r="X88" i="4"/>
  <c r="X72" i="4"/>
  <c r="X64" i="4"/>
  <c r="X38" i="4"/>
  <c r="P5" i="3" l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1" authorId="0" shapeId="0" xr:uid="{9E3D07D3-1F22-4CC7-8105-E7CC9371F4E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6" authorId="0" shapeId="0" xr:uid="{E544AF3A-C330-4DBD-B0D7-9E7717B40A5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1" authorId="0" shapeId="0" xr:uid="{0E3E29E1-7591-4D59-A281-45E93C7E42A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6" authorId="0" shapeId="0" xr:uid="{B9C11EED-C133-4CB7-99D8-FD3B0100D8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7" authorId="0" shapeId="0" xr:uid="{C54D8666-875A-4C29-8472-42A6CE31204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0" authorId="0" shapeId="0" xr:uid="{FFB75595-E4A1-49F4-8147-160646E9920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1" authorId="0" shapeId="0" xr:uid="{B6C63035-5284-4381-98B0-D423ED660F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<sst xmlns="http://schemas.openxmlformats.org/spreadsheetml/2006/main" count="5258" uniqueCount="1897">
  <si>
    <t>門</t>
  </si>
  <si>
    <t>m</t>
  </si>
  <si>
    <t>柳</t>
  </si>
  <si>
    <t>n</t>
  </si>
  <si>
    <t>語</t>
  </si>
  <si>
    <t>ng</t>
  </si>
  <si>
    <t>邊</t>
  </si>
  <si>
    <t>p</t>
  </si>
  <si>
    <t>b</t>
  </si>
  <si>
    <t>頗</t>
  </si>
  <si>
    <t>ph</t>
  </si>
  <si>
    <t>ㄅ</t>
  </si>
  <si>
    <t>ㆠ</t>
  </si>
  <si>
    <t>ㄇ</t>
  </si>
  <si>
    <t>ㄋ</t>
  </si>
  <si>
    <t>ㄫ</t>
  </si>
  <si>
    <t>bb</t>
  </si>
  <si>
    <t>ㄆ</t>
  </si>
  <si>
    <t>地</t>
  </si>
  <si>
    <t>求</t>
  </si>
  <si>
    <t>g</t>
  </si>
  <si>
    <t>英</t>
  </si>
  <si>
    <t>他</t>
  </si>
  <si>
    <t>ㄉ</t>
  </si>
  <si>
    <t>ㄊ</t>
  </si>
  <si>
    <t>ㄍ</t>
  </si>
  <si>
    <t>ㆣ</t>
  </si>
  <si>
    <t>gg</t>
  </si>
  <si>
    <t>ㄌ</t>
  </si>
  <si>
    <t>送氣</t>
  </si>
  <si>
    <t>去</t>
  </si>
  <si>
    <t>ㄎ</t>
  </si>
  <si>
    <t>曾</t>
  </si>
  <si>
    <t>入</t>
  </si>
  <si>
    <t>ji</t>
  </si>
  <si>
    <t>j</t>
  </si>
  <si>
    <t>喜</t>
  </si>
  <si>
    <t>ㄏ</t>
  </si>
  <si>
    <t>ㄐ</t>
  </si>
  <si>
    <t>ㆢ</t>
  </si>
  <si>
    <t>ㄗ</t>
  </si>
  <si>
    <t>ㆡ</t>
  </si>
  <si>
    <t>ㄑ</t>
  </si>
  <si>
    <t>出</t>
  </si>
  <si>
    <t>ㄘ</t>
  </si>
  <si>
    <t>ㄙ</t>
  </si>
  <si>
    <t>時</t>
  </si>
  <si>
    <t>ㄒ</t>
  </si>
  <si>
    <t>l</t>
  </si>
  <si>
    <t>發音部位
舊名</t>
    <phoneticPr fontId="2" type="noConversion"/>
  </si>
  <si>
    <t>發音部位
新名</t>
    <phoneticPr fontId="2" type="noConversion"/>
  </si>
  <si>
    <t>發音方法</t>
    <phoneticPr fontId="2" type="noConversion"/>
  </si>
  <si>
    <r>
      <t>改用</t>
    </r>
    <r>
      <rPr>
        <b/>
        <sz val="24"/>
        <rFont val="Arial"/>
        <family val="2"/>
      </rPr>
      <t>台羅拼音</t>
    </r>
    <r>
      <rPr>
        <sz val="24"/>
        <rFont val="Arial"/>
        <family val="2"/>
      </rPr>
      <t>來對應與舉例： </t>
    </r>
  </si>
  <si>
    <t>全清</t>
    <phoneticPr fontId="2" type="noConversion"/>
  </si>
  <si>
    <t>次清</t>
    <phoneticPr fontId="2" type="noConversion"/>
  </si>
  <si>
    <t>全濁</t>
    <phoneticPr fontId="2" type="noConversion"/>
  </si>
  <si>
    <t>次濁（清濁）</t>
    <phoneticPr fontId="2" type="noConversion"/>
  </si>
  <si>
    <t>唇音</t>
  </si>
  <si>
    <t>重唇</t>
    <phoneticPr fontId="2" type="noConversion"/>
  </si>
  <si>
    <t>雙唇</t>
    <phoneticPr fontId="2" type="noConversion"/>
  </si>
  <si>
    <t>[p]</t>
    <phoneticPr fontId="2" type="noConversion"/>
  </si>
  <si>
    <t>幫</t>
    <phoneticPr fontId="2" type="noConversion"/>
  </si>
  <si>
    <r>
      <t xml:space="preserve"> [p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  <scheme val="minor"/>
      </rPr>
      <t>]</t>
    </r>
    <phoneticPr fontId="2" type="noConversion"/>
  </si>
  <si>
    <t>滂</t>
    <phoneticPr fontId="2" type="noConversion"/>
  </si>
  <si>
    <t xml:space="preserve"> [b]</t>
    <phoneticPr fontId="2" type="noConversion"/>
  </si>
  <si>
    <t>並</t>
    <phoneticPr fontId="2" type="noConversion"/>
  </si>
  <si>
    <t xml:space="preserve"> [m]</t>
    <phoneticPr fontId="2" type="noConversion"/>
  </si>
  <si>
    <t>明</t>
    <phoneticPr fontId="2" type="noConversion"/>
  </si>
  <si>
    <r>
      <t>1. 輕唇音（脣齒音）</t>
    </r>
    <r>
      <rPr>
        <sz val="24"/>
        <rFont val="Arial"/>
        <family val="2"/>
      </rPr>
      <t> </t>
    </r>
  </si>
  <si>
    <t>邊</t>
    <phoneticPr fontId="2" type="noConversion"/>
  </si>
  <si>
    <t>頗</t>
    <phoneticPr fontId="2" type="noConversion"/>
  </si>
  <si>
    <t>門</t>
    <phoneticPr fontId="2" type="noConversion"/>
  </si>
  <si>
    <t>ㄇ</t>
    <phoneticPr fontId="2" type="noConversion"/>
  </si>
  <si>
    <t>毛</t>
    <phoneticPr fontId="2" type="noConversion"/>
  </si>
  <si>
    <r>
      <t>[f] 非 / [fʰ] 敷 / [v] 奉</t>
    </r>
    <r>
      <rPr>
        <sz val="24"/>
        <rFont val="Arial"/>
        <family val="2"/>
      </rPr>
      <t> </t>
    </r>
  </si>
  <si>
    <t>輕唇</t>
    <phoneticPr fontId="2" type="noConversion"/>
  </si>
  <si>
    <t>唇齒</t>
    <phoneticPr fontId="2" type="noConversion"/>
  </si>
  <si>
    <t>[f]</t>
    <phoneticPr fontId="2" type="noConversion"/>
  </si>
  <si>
    <t>非</t>
    <phoneticPr fontId="2" type="noConversion"/>
  </si>
  <si>
    <r>
      <t>[f</t>
    </r>
    <r>
      <rPr>
        <sz val="28"/>
        <color theme="1"/>
        <rFont val="Segoe UI"/>
        <family val="1"/>
        <charset val="1"/>
      </rPr>
      <t>ʰ</t>
    </r>
    <r>
      <rPr>
        <sz val="28"/>
        <color theme="1"/>
        <rFont val="新細明體"/>
        <family val="1"/>
        <scheme val="minor"/>
      </rPr>
      <t>]</t>
    </r>
    <phoneticPr fontId="2" type="noConversion"/>
  </si>
  <si>
    <t>敷</t>
    <phoneticPr fontId="2" type="noConversion"/>
  </si>
  <si>
    <t>[v]</t>
    <phoneticPr fontId="2" type="noConversion"/>
  </si>
  <si>
    <t>奉</t>
    <phoneticPr fontId="2" type="noConversion"/>
  </si>
  <si>
    <r>
      <rPr>
        <sz val="28"/>
        <color theme="1"/>
        <rFont val="細明體"/>
        <family val="1"/>
        <charset val="136"/>
      </rPr>
      <t>[</t>
    </r>
    <r>
      <rPr>
        <sz val="28"/>
        <color theme="1"/>
        <rFont val="Segoe UI"/>
        <family val="1"/>
        <charset val="1"/>
      </rPr>
      <t>ɱ</t>
    </r>
    <r>
      <rPr>
        <sz val="28"/>
        <color theme="1"/>
        <rFont val="細明體"/>
        <family val="1"/>
        <charset val="136"/>
      </rPr>
      <t>]</t>
    </r>
    <phoneticPr fontId="2" type="noConversion"/>
  </si>
  <si>
    <t>微</t>
    <phoneticPr fontId="2" type="noConversion"/>
  </si>
  <si>
    <r>
      <t>台羅拼音：</t>
    </r>
    <r>
      <rPr>
        <sz val="24"/>
        <rFont val="Arial"/>
        <family val="2"/>
      </rPr>
      <t xml:space="preserve"> 台語歷史上沒有發展出唇齒擦音 [f]，所以這些字在台羅中大都回歸到重唇音（雙唇音），對應 </t>
    </r>
    <r>
      <rPr>
        <b/>
        <sz val="24"/>
        <rFont val="Arial"/>
        <family val="2"/>
      </rPr>
      <t>p</t>
    </r>
    <r>
      <rPr>
        <sz val="24"/>
        <rFont val="Arial"/>
        <family val="2"/>
      </rPr>
      <t xml:space="preserve">（不送氣清音）或 </t>
    </r>
    <r>
      <rPr>
        <b/>
        <sz val="24"/>
        <rFont val="Arial"/>
        <family val="2"/>
      </rPr>
      <t>ph</t>
    </r>
    <r>
      <rPr>
        <sz val="24"/>
        <rFont val="Arial"/>
        <family val="2"/>
      </rPr>
      <t>（送氣清音）。 </t>
    </r>
  </si>
  <si>
    <r>
      <rPr>
        <sz val="12"/>
        <color theme="7" tint="-0.249977111117893"/>
        <rFont val="Noto Sans TC"/>
        <family val="2"/>
        <charset val="136"/>
      </rPr>
      <t>ㆠ</t>
    </r>
    <r>
      <rPr>
        <sz val="12"/>
        <color theme="7" tint="-0.249977111117893"/>
        <rFont val="新細明體"/>
        <family val="1"/>
        <scheme val="minor"/>
      </rPr>
      <t>（文）</t>
    </r>
    <r>
      <rPr>
        <sz val="12"/>
        <color theme="7" tint="-0.249977111117893"/>
        <rFont val="新細明體"/>
        <family val="2"/>
        <charset val="136"/>
        <scheme val="minor"/>
      </rPr>
      <t xml:space="preserve">
ㄇ（白）</t>
    </r>
    <phoneticPr fontId="2" type="noConversion"/>
  </si>
  <si>
    <t>門（文）
毛（白）</t>
    <phoneticPr fontId="2" type="noConversion"/>
  </si>
  <si>
    <r>
      <t>舉例：</t>
    </r>
    <r>
      <rPr>
        <sz val="24"/>
        <rFont val="Arial"/>
        <family val="2"/>
      </rPr>
      <t> </t>
    </r>
  </si>
  <si>
    <t>舌音</t>
    <phoneticPr fontId="2" type="noConversion"/>
  </si>
  <si>
    <t>舌頭</t>
    <phoneticPr fontId="2" type="noConversion"/>
  </si>
  <si>
    <t>舌尖中</t>
    <phoneticPr fontId="2" type="noConversion"/>
  </si>
  <si>
    <t xml:space="preserve"> [t]</t>
    <phoneticPr fontId="2" type="noConversion"/>
  </si>
  <si>
    <t>端</t>
    <phoneticPr fontId="2" type="noConversion"/>
  </si>
  <si>
    <r>
      <t xml:space="preserve"> [t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</rPr>
      <t>]</t>
    </r>
    <phoneticPr fontId="2" type="noConversion"/>
  </si>
  <si>
    <t>透</t>
    <phoneticPr fontId="2" type="noConversion"/>
  </si>
  <si>
    <t>[d]</t>
    <phoneticPr fontId="2" type="noConversion"/>
  </si>
  <si>
    <t>定</t>
    <phoneticPr fontId="2" type="noConversion"/>
  </si>
  <si>
    <t xml:space="preserve"> [n]</t>
    <phoneticPr fontId="2" type="noConversion"/>
  </si>
  <si>
    <t>泥</t>
    <phoneticPr fontId="2" type="noConversion"/>
  </si>
  <si>
    <r>
      <t xml:space="preserve">「非」：台羅 </t>
    </r>
    <r>
      <rPr>
        <b/>
        <sz val="24"/>
        <rFont val="Arial"/>
        <family val="2"/>
      </rPr>
      <t>hui</t>
    </r>
    <r>
      <rPr>
        <sz val="24"/>
        <rFont val="Arial"/>
        <family val="2"/>
      </rPr>
      <t xml:space="preserve">（特別的讀法）/ 類似字「副」讀 </t>
    </r>
    <r>
      <rPr>
        <b/>
        <sz val="24"/>
        <rFont val="Arial"/>
        <family val="2"/>
      </rPr>
      <t>phù</t>
    </r>
    <r>
      <rPr>
        <sz val="24"/>
        <rFont val="Arial"/>
        <family val="2"/>
      </rPr>
      <t>。 </t>
    </r>
  </si>
  <si>
    <t>地</t>
    <phoneticPr fontId="2" type="noConversion"/>
  </si>
  <si>
    <t>他</t>
    <phoneticPr fontId="2" type="noConversion"/>
  </si>
  <si>
    <t>ㄊ（平）
ㄉ（仄）</t>
    <phoneticPr fontId="2" type="noConversion"/>
  </si>
  <si>
    <t>他
地</t>
    <phoneticPr fontId="2" type="noConversion"/>
  </si>
  <si>
    <t>耐</t>
    <phoneticPr fontId="2" type="noConversion"/>
  </si>
  <si>
    <r>
      <t xml:space="preserve">「敷」：台羅 </t>
    </r>
    <r>
      <rPr>
        <b/>
        <sz val="24"/>
        <rFont val="Arial"/>
        <family val="2"/>
      </rPr>
      <t>phu</t>
    </r>
    <r>
      <rPr>
        <sz val="24"/>
        <rFont val="Arial"/>
        <family val="2"/>
      </rPr>
      <t>，例如「敷藥 (phu-io̍h)」。 </t>
    </r>
  </si>
  <si>
    <t>舌上</t>
    <phoneticPr fontId="2" type="noConversion"/>
  </si>
  <si>
    <t>舌尖後</t>
    <phoneticPr fontId="2" type="noConversion"/>
  </si>
  <si>
    <r>
      <t>[</t>
    </r>
    <r>
      <rPr>
        <sz val="28"/>
        <color theme="1"/>
        <rFont val="Segoe UI"/>
        <family val="1"/>
        <charset val="1"/>
      </rPr>
      <t>ʈ</t>
    </r>
    <r>
      <rPr>
        <sz val="28"/>
        <color theme="1"/>
        <rFont val="新細明體"/>
        <family val="1"/>
        <scheme val="minor"/>
      </rPr>
      <t>]</t>
    </r>
    <phoneticPr fontId="2" type="noConversion"/>
  </si>
  <si>
    <t>知</t>
    <phoneticPr fontId="2" type="noConversion"/>
  </si>
  <si>
    <r>
      <t>[</t>
    </r>
    <r>
      <rPr>
        <sz val="28"/>
        <color theme="1"/>
        <rFont val="Segoe UI"/>
        <family val="1"/>
        <charset val="1"/>
      </rPr>
      <t>ʈʰ</t>
    </r>
    <r>
      <rPr>
        <sz val="28"/>
        <color theme="1"/>
        <rFont val="新細明體"/>
        <family val="1"/>
        <scheme val="minor"/>
      </rPr>
      <t>]</t>
    </r>
    <phoneticPr fontId="2" type="noConversion"/>
  </si>
  <si>
    <t>徹</t>
    <phoneticPr fontId="2" type="noConversion"/>
  </si>
  <si>
    <r>
      <t xml:space="preserve"> [</t>
    </r>
    <r>
      <rPr>
        <sz val="28"/>
        <color theme="1"/>
        <rFont val="Segoe UI"/>
        <family val="1"/>
        <charset val="1"/>
      </rPr>
      <t>ɖ</t>
    </r>
    <r>
      <rPr>
        <sz val="28"/>
        <color theme="1"/>
        <rFont val="新細明體"/>
        <family val="1"/>
        <scheme val="minor"/>
      </rPr>
      <t>]</t>
    </r>
    <phoneticPr fontId="2" type="noConversion"/>
  </si>
  <si>
    <t>澄</t>
    <phoneticPr fontId="2" type="noConversion"/>
  </si>
  <si>
    <r>
      <t>[</t>
    </r>
    <r>
      <rPr>
        <sz val="28"/>
        <color theme="1"/>
        <rFont val="Segoe UI"/>
        <family val="1"/>
        <charset val="1"/>
      </rPr>
      <t>ɳ</t>
    </r>
    <r>
      <rPr>
        <sz val="28"/>
        <color theme="1"/>
        <rFont val="新細明體"/>
        <family val="1"/>
        <scheme val="minor"/>
      </rPr>
      <t>]</t>
    </r>
    <phoneticPr fontId="2" type="noConversion"/>
  </si>
  <si>
    <t>娘</t>
    <phoneticPr fontId="2" type="noConversion"/>
  </si>
  <si>
    <r>
      <t xml:space="preserve">「奉」：台羅 </t>
    </r>
    <r>
      <rPr>
        <b/>
        <sz val="24"/>
        <rFont val="Arial"/>
        <family val="2"/>
      </rPr>
      <t>pōng</t>
    </r>
    <r>
      <rPr>
        <sz val="24"/>
        <rFont val="Arial"/>
        <family val="2"/>
      </rPr>
      <t>，例如「奉敬 (pōng-kìng)」。 </t>
    </r>
  </si>
  <si>
    <t>ㄗ
ㄘ</t>
    <phoneticPr fontId="2" type="noConversion"/>
  </si>
  <si>
    <t>曾
出</t>
    <phoneticPr fontId="2" type="noConversion"/>
  </si>
  <si>
    <t>耐</t>
  </si>
  <si>
    <r>
      <t>[ɱ] 微</t>
    </r>
    <r>
      <rPr>
        <sz val="24"/>
        <rFont val="Arial"/>
        <family val="2"/>
      </rPr>
      <t> </t>
    </r>
  </si>
  <si>
    <t>齒音</t>
    <phoneticPr fontId="2" type="noConversion"/>
  </si>
  <si>
    <t>齒頭</t>
    <phoneticPr fontId="2" type="noConversion"/>
  </si>
  <si>
    <t>舌尖前</t>
    <phoneticPr fontId="2" type="noConversion"/>
  </si>
  <si>
    <t>[ʦ]</t>
    <phoneticPr fontId="2" type="noConversion"/>
  </si>
  <si>
    <t>精</t>
    <phoneticPr fontId="2" type="noConversion"/>
  </si>
  <si>
    <t xml:space="preserve"> [ʦʰ]</t>
    <phoneticPr fontId="2" type="noConversion"/>
  </si>
  <si>
    <t>清</t>
    <phoneticPr fontId="2" type="noConversion"/>
  </si>
  <si>
    <t xml:space="preserve"> [ʣ]</t>
    <phoneticPr fontId="2" type="noConversion"/>
  </si>
  <si>
    <t>從</t>
    <phoneticPr fontId="2" type="noConversion"/>
  </si>
  <si>
    <r>
      <t>台羅拼音：</t>
    </r>
    <r>
      <rPr>
        <sz val="24"/>
        <rFont val="Arial"/>
        <family val="2"/>
      </rPr>
      <t xml:space="preserve"> 在台語中完美保留了鼻音特徵，對應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 xml:space="preserve"> 的發音。 </t>
    </r>
  </si>
  <si>
    <t>曾</t>
    <phoneticPr fontId="2" type="noConversion"/>
  </si>
  <si>
    <t>出</t>
    <phoneticPr fontId="2" type="noConversion"/>
  </si>
  <si>
    <t>入</t>
    <phoneticPr fontId="2" type="noConversion"/>
  </si>
  <si>
    <r>
      <t>舉例：</t>
    </r>
    <r>
      <rPr>
        <sz val="24"/>
        <rFont val="Arial"/>
        <family val="2"/>
      </rPr>
      <t xml:space="preserve"> 「微」台羅 </t>
    </r>
    <r>
      <rPr>
        <b/>
        <sz val="24"/>
        <rFont val="Arial"/>
        <family val="2"/>
      </rPr>
      <t>bî</t>
    </r>
    <r>
      <rPr>
        <sz val="24"/>
        <rFont val="Arial"/>
        <family val="2"/>
      </rPr>
      <t xml:space="preserve">（文讀）/「無」台羅 </t>
    </r>
    <r>
      <rPr>
        <b/>
        <sz val="24"/>
        <rFont val="Arial"/>
        <family val="2"/>
      </rPr>
      <t>bô</t>
    </r>
    <r>
      <rPr>
        <sz val="24"/>
        <rFont val="Arial"/>
        <family val="2"/>
      </rPr>
      <t xml:space="preserve">；但在白讀音中，微母字常對應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>，例如「目 (ba̍k/mats)」或「微 (mî)」。 </t>
    </r>
  </si>
  <si>
    <t xml:space="preserve"> [s]</t>
    <phoneticPr fontId="2" type="noConversion"/>
  </si>
  <si>
    <t>心</t>
    <phoneticPr fontId="2" type="noConversion"/>
  </si>
  <si>
    <t>[z]</t>
    <phoneticPr fontId="2" type="noConversion"/>
  </si>
  <si>
    <t>邪</t>
    <phoneticPr fontId="2" type="noConversion"/>
  </si>
  <si>
    <t>ㄙ</t>
    <phoneticPr fontId="2" type="noConversion"/>
  </si>
  <si>
    <t>時</t>
    <phoneticPr fontId="2" type="noConversion"/>
  </si>
  <si>
    <t>ㄙ
ㄗ
ㆡ</t>
    <phoneticPr fontId="2" type="noConversion"/>
  </si>
  <si>
    <t>時
曾
入</t>
    <phoneticPr fontId="2" type="noConversion"/>
  </si>
  <si>
    <r>
      <t>2. 舌上音（捲舌音 ➡️ 台語轉為舌尖前/中音）</t>
    </r>
    <r>
      <rPr>
        <sz val="24"/>
        <rFont val="Arial"/>
        <family val="2"/>
      </rPr>
      <t> </t>
    </r>
  </si>
  <si>
    <t>正齒</t>
    <phoneticPr fontId="2" type="noConversion"/>
  </si>
  <si>
    <t>舌面前</t>
    <phoneticPr fontId="2" type="noConversion"/>
  </si>
  <si>
    <t xml:space="preserve"> [ʨ]</t>
    <phoneticPr fontId="2" type="noConversion"/>
  </si>
  <si>
    <t>照</t>
    <phoneticPr fontId="2" type="noConversion"/>
  </si>
  <si>
    <t xml:space="preserve"> [ʨʰ]</t>
    <phoneticPr fontId="2" type="noConversion"/>
  </si>
  <si>
    <t>穿</t>
    <phoneticPr fontId="2" type="noConversion"/>
  </si>
  <si>
    <t xml:space="preserve"> [ʥ]</t>
    <phoneticPr fontId="2" type="noConversion"/>
  </si>
  <si>
    <t>牀</t>
    <phoneticPr fontId="2" type="noConversion"/>
  </si>
  <si>
    <t>台語沒有華語的捲舌音（zh, ch, sh, r），中古漢語的捲舌音在台語裡一律讀作舌尖音。 </t>
  </si>
  <si>
    <t>止</t>
    <phoneticPr fontId="2" type="noConversion"/>
  </si>
  <si>
    <t>且</t>
    <phoneticPr fontId="2" type="noConversion"/>
  </si>
  <si>
    <r>
      <t>[ʈ] 知</t>
    </r>
    <r>
      <rPr>
        <sz val="24"/>
        <rFont val="Arial"/>
        <family val="2"/>
      </rPr>
      <t> </t>
    </r>
  </si>
  <si>
    <t xml:space="preserve"> [ɕ]</t>
    <phoneticPr fontId="2" type="noConversion"/>
  </si>
  <si>
    <t>審</t>
    <phoneticPr fontId="2" type="noConversion"/>
  </si>
  <si>
    <t>[ʑ]</t>
    <phoneticPr fontId="2" type="noConversion"/>
  </si>
  <si>
    <t>禪</t>
    <phoneticPr fontId="2" type="noConversion"/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</si>
  <si>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>（不送氣清音）。 </t>
    </r>
  </si>
  <si>
    <r>
      <t xml:space="preserve">ㄙ
ㄗ
</t>
    </r>
    <r>
      <rPr>
        <sz val="12"/>
        <color theme="7" tint="-0.249977111117893"/>
        <rFont val="Noto Sans TC"/>
        <family val="2"/>
        <charset val="136"/>
      </rPr>
      <t>ㄘ</t>
    </r>
    <phoneticPr fontId="2" type="noConversion"/>
  </si>
  <si>
    <t>時
曾
出</t>
    <phoneticPr fontId="2" type="noConversion"/>
  </si>
  <si>
    <r>
      <t>舉例：</t>
    </r>
    <r>
      <rPr>
        <sz val="24"/>
        <rFont val="Arial"/>
        <family val="2"/>
      </rPr>
      <t xml:space="preserve"> 「知」台羅 </t>
    </r>
    <r>
      <rPr>
        <b/>
        <sz val="24"/>
        <rFont val="Arial"/>
        <family val="2"/>
      </rPr>
      <t>tsi</t>
    </r>
    <r>
      <rPr>
        <sz val="24"/>
        <rFont val="Arial"/>
        <family val="2"/>
      </rPr>
      <t xml:space="preserve">，例如「知影 (tsi-iann)」；「張」台羅 </t>
    </r>
    <r>
      <rPr>
        <b/>
        <sz val="24"/>
        <rFont val="Arial"/>
        <family val="2"/>
      </rPr>
      <t>tiunn</t>
    </r>
    <r>
      <rPr>
        <sz val="24"/>
        <rFont val="Arial"/>
        <family val="2"/>
      </rPr>
      <t>。 </t>
    </r>
  </si>
  <si>
    <t>牙音</t>
    <phoneticPr fontId="2" type="noConversion"/>
  </si>
  <si>
    <t>舌根</t>
    <phoneticPr fontId="2" type="noConversion"/>
  </si>
  <si>
    <t xml:space="preserve"> [k]</t>
    <phoneticPr fontId="2" type="noConversion"/>
  </si>
  <si>
    <t>見</t>
    <phoneticPr fontId="2" type="noConversion"/>
  </si>
  <si>
    <t xml:space="preserve"> [kʰ]</t>
    <phoneticPr fontId="2" type="noConversion"/>
  </si>
  <si>
    <t>溪</t>
    <phoneticPr fontId="2" type="noConversion"/>
  </si>
  <si>
    <t xml:space="preserve"> [g]</t>
    <phoneticPr fontId="2" type="noConversion"/>
  </si>
  <si>
    <t>群</t>
    <phoneticPr fontId="2" type="noConversion"/>
  </si>
  <si>
    <t xml:space="preserve"> [ŋ]</t>
    <phoneticPr fontId="2" type="noConversion"/>
  </si>
  <si>
    <t>疑</t>
    <phoneticPr fontId="2" type="noConversion"/>
  </si>
  <si>
    <r>
      <t>[ʈʰ] 徹</t>
    </r>
    <r>
      <rPr>
        <sz val="24"/>
        <rFont val="Arial"/>
        <family val="2"/>
      </rPr>
      <t> </t>
    </r>
  </si>
  <si>
    <t>ㄍ</t>
    <phoneticPr fontId="2" type="noConversion"/>
  </si>
  <si>
    <t>求</t>
    <phoneticPr fontId="2" type="noConversion"/>
  </si>
  <si>
    <t>去</t>
    <phoneticPr fontId="2" type="noConversion"/>
  </si>
  <si>
    <t>ㆣ</t>
    <phoneticPr fontId="2" type="noConversion"/>
  </si>
  <si>
    <t>語</t>
    <phoneticPr fontId="2" type="noConversion"/>
  </si>
  <si>
    <t>雅</t>
    <phoneticPr fontId="2" type="noConversion"/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</si>
  <si>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（送氣清音）。 </t>
    </r>
  </si>
  <si>
    <t>喉音</t>
  </si>
  <si>
    <t>[ʔ]</t>
    <phoneticPr fontId="2" type="noConversion"/>
  </si>
  <si>
    <t>影</t>
    <phoneticPr fontId="2" type="noConversion"/>
  </si>
  <si>
    <r>
      <t>舉例：</t>
    </r>
    <r>
      <rPr>
        <sz val="24"/>
        <rFont val="Arial"/>
        <family val="2"/>
      </rPr>
      <t xml:space="preserve"> 「徹」台羅 </t>
    </r>
    <r>
      <rPr>
        <b/>
        <sz val="24"/>
        <rFont val="Arial"/>
        <family val="2"/>
      </rPr>
      <t>thiat</t>
    </r>
    <r>
      <rPr>
        <sz val="24"/>
        <rFont val="Arial"/>
        <family val="2"/>
      </rPr>
      <t xml:space="preserve">；「出」台羅 </t>
    </r>
    <r>
      <rPr>
        <b/>
        <sz val="24"/>
        <rFont val="Arial"/>
        <family val="2"/>
      </rPr>
      <t>tshut</t>
    </r>
    <r>
      <rPr>
        <sz val="24"/>
        <rFont val="Arial"/>
        <family val="2"/>
      </rPr>
      <t>，例如「出來 (tshut-lâi)」。 </t>
    </r>
  </si>
  <si>
    <t>Ø</t>
    <phoneticPr fontId="2" type="noConversion"/>
  </si>
  <si>
    <t>英</t>
    <phoneticPr fontId="2" type="noConversion"/>
  </si>
  <si>
    <r>
      <t>[ɖ] 澄</t>
    </r>
    <r>
      <rPr>
        <sz val="24"/>
        <rFont val="Arial"/>
        <family val="2"/>
      </rPr>
      <t> </t>
    </r>
  </si>
  <si>
    <t>[x]</t>
    <phoneticPr fontId="2" type="noConversion"/>
  </si>
  <si>
    <t>曉</t>
    <phoneticPr fontId="2" type="noConversion"/>
  </si>
  <si>
    <r>
      <rPr>
        <sz val="28"/>
        <color theme="1"/>
        <rFont val="Noto Sans TC Black"/>
        <family val="2"/>
        <charset val="136"/>
      </rPr>
      <t>[</t>
    </r>
    <r>
      <rPr>
        <sz val="28"/>
        <color theme="1"/>
        <rFont val="Charis SIL"/>
      </rPr>
      <t>ɣ</t>
    </r>
    <r>
      <rPr>
        <sz val="28"/>
        <color theme="1"/>
        <rFont val="Noto Sans TC Black"/>
        <family val="2"/>
        <charset val="136"/>
      </rPr>
      <t>]</t>
    </r>
    <phoneticPr fontId="2" type="noConversion"/>
  </si>
  <si>
    <t>匣</t>
    <phoneticPr fontId="2" type="noConversion"/>
  </si>
  <si>
    <r>
      <t>台羅拼音：</t>
    </r>
    <r>
      <rPr>
        <sz val="24"/>
        <rFont val="Arial"/>
        <family val="2"/>
      </rPr>
      <t xml:space="preserve"> 中古全濁音在台語依平仄清化，演變為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。 </t>
    </r>
  </si>
  <si>
    <r>
      <t xml:space="preserve">ㄏ（文）
</t>
    </r>
    <r>
      <rPr>
        <sz val="12"/>
        <color theme="7" tint="-0.249977111117893"/>
        <rFont val="Noto Sans TC"/>
        <family val="2"/>
        <charset val="136"/>
      </rPr>
      <t>ㆣ</t>
    </r>
    <r>
      <rPr>
        <sz val="12"/>
        <color theme="7" tint="-0.249977111117893"/>
        <rFont val="新細明體"/>
        <family val="1"/>
        <charset val="136"/>
        <scheme val="minor"/>
      </rPr>
      <t>（白）</t>
    </r>
    <r>
      <rPr>
        <sz val="12"/>
        <color theme="7" tint="-0.249977111117893"/>
        <rFont val="新細明體"/>
        <family val="2"/>
        <charset val="136"/>
        <scheme val="minor"/>
      </rPr>
      <t xml:space="preserve">
ㄍ（白）</t>
    </r>
    <phoneticPr fontId="2" type="noConversion"/>
  </si>
  <si>
    <t>喜
語
求</t>
    <phoneticPr fontId="2" type="noConversion"/>
  </si>
  <si>
    <r>
      <t>舉例：</t>
    </r>
    <r>
      <rPr>
        <sz val="24"/>
        <rFont val="Arial"/>
        <family val="2"/>
      </rPr>
      <t xml:space="preserve"> 「茶」台羅 </t>
    </r>
    <r>
      <rPr>
        <b/>
        <sz val="24"/>
        <rFont val="Arial"/>
        <family val="2"/>
      </rPr>
      <t>tê</t>
    </r>
    <r>
      <rPr>
        <sz val="24"/>
        <rFont val="Arial"/>
        <family val="2"/>
      </rPr>
      <t xml:space="preserve">（澄母平聲轉 th/tsh）；「治」台羅 </t>
    </r>
    <r>
      <rPr>
        <b/>
        <sz val="24"/>
        <rFont val="Arial"/>
        <family val="2"/>
      </rPr>
      <t>tī</t>
    </r>
    <r>
      <rPr>
        <sz val="24"/>
        <rFont val="Arial"/>
        <family val="2"/>
      </rPr>
      <t>（澄母仄聲轉 ts）。 </t>
    </r>
  </si>
  <si>
    <t>半元音</t>
    <phoneticPr fontId="2" type="noConversion"/>
  </si>
  <si>
    <t>[j]</t>
    <phoneticPr fontId="2" type="noConversion"/>
  </si>
  <si>
    <t>喻</t>
    <phoneticPr fontId="2" type="noConversion"/>
  </si>
  <si>
    <r>
      <t>[ɳ] 娘</t>
    </r>
    <r>
      <rPr>
        <sz val="24"/>
        <rFont val="Arial"/>
        <family val="2"/>
      </rPr>
      <t> </t>
    </r>
  </si>
  <si>
    <t>零聲母帶介音</t>
    <phoneticPr fontId="2" type="noConversion"/>
  </si>
  <si>
    <t>i 或
ia/iu</t>
    <phoneticPr fontId="2" type="noConversion"/>
  </si>
  <si>
    <r>
      <t>台羅拼音：</t>
    </r>
    <r>
      <rPr>
        <sz val="24"/>
        <rFont val="Arial"/>
        <family val="2"/>
      </rPr>
      <t xml:space="preserve"> 與泥母合併，對應 </t>
    </r>
    <r>
      <rPr>
        <b/>
        <sz val="24"/>
        <rFont val="Arial"/>
        <family val="2"/>
      </rPr>
      <t>n</t>
    </r>
    <r>
      <rPr>
        <sz val="24"/>
        <rFont val="Arial"/>
        <family val="2"/>
      </rPr>
      <t xml:space="preserve"> 的發音。 </t>
    </r>
  </si>
  <si>
    <t>半舌音</t>
    <phoneticPr fontId="2" type="noConversion"/>
  </si>
  <si>
    <t>[l]</t>
    <phoneticPr fontId="2" type="noConversion"/>
  </si>
  <si>
    <t>來</t>
    <phoneticPr fontId="2" type="noConversion"/>
  </si>
  <si>
    <r>
      <t>舉例：</t>
    </r>
    <r>
      <rPr>
        <sz val="24"/>
        <rFont val="Arial"/>
        <family val="2"/>
      </rPr>
      <t xml:space="preserve"> 「娘」台羅 </t>
    </r>
    <r>
      <rPr>
        <b/>
        <sz val="24"/>
        <rFont val="Arial"/>
        <family val="2"/>
      </rPr>
      <t>niû</t>
    </r>
    <r>
      <rPr>
        <sz val="24"/>
        <rFont val="Arial"/>
        <family val="2"/>
      </rPr>
      <t xml:space="preserve">，例如「阿娘 (a-niû)」；「鈕」台羅 </t>
    </r>
    <r>
      <rPr>
        <b/>
        <sz val="24"/>
        <rFont val="Arial"/>
        <family val="2"/>
      </rPr>
      <t>liú/niú</t>
    </r>
    <r>
      <rPr>
        <sz val="24"/>
        <rFont val="Arial"/>
        <family val="2"/>
      </rPr>
      <t>。 </t>
    </r>
  </si>
  <si>
    <t>柳</t>
    <phoneticPr fontId="2" type="noConversion"/>
  </si>
  <si>
    <t>半齒音</t>
    <phoneticPr fontId="2" type="noConversion"/>
  </si>
  <si>
    <t xml:space="preserve"> [ɲʑ]</t>
    <phoneticPr fontId="2" type="noConversion"/>
  </si>
  <si>
    <t>日</t>
    <phoneticPr fontId="2" type="noConversion"/>
  </si>
  <si>
    <r>
      <t>3. 舌頭音（齒齦音）</t>
    </r>
    <r>
      <rPr>
        <sz val="24"/>
        <rFont val="Arial"/>
        <family val="2"/>
      </rPr>
      <t> </t>
    </r>
  </si>
  <si>
    <r>
      <t>[d] 定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</si>
  <si>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這是台語最具優勢的地方！中古全濁音 [d]，在台語平聲演變為送氣 </t>
    </r>
    <r>
      <rPr>
        <b/>
        <sz val="24"/>
        <rFont val="Arial"/>
        <family val="2"/>
      </rPr>
      <t>th</t>
    </r>
    <r>
      <rPr>
        <sz val="24"/>
        <rFont val="Arial"/>
        <family val="2"/>
      </rPr>
      <t xml:space="preserve">，仄聲演變為不送氣 </t>
    </r>
    <r>
      <rPr>
        <b/>
        <sz val="24"/>
        <rFont val="Arial"/>
        <family val="2"/>
      </rPr>
      <t>t</t>
    </r>
    <r>
      <rPr>
        <sz val="24"/>
        <rFont val="Arial"/>
        <family val="2"/>
      </rPr>
      <t>。 </t>
    </r>
  </si>
  <si>
    <r>
      <t xml:space="preserve">平聲轉 th：「頭」台羅 </t>
    </r>
    <r>
      <rPr>
        <b/>
        <sz val="24"/>
        <rFont val="Arial"/>
        <family val="2"/>
      </rPr>
      <t>thâu</t>
    </r>
    <r>
      <rPr>
        <sz val="24"/>
        <rFont val="Arial"/>
        <family val="2"/>
      </rPr>
      <t xml:space="preserve">（頭殼）、「天」台羅 </t>
    </r>
    <r>
      <rPr>
        <b/>
        <sz val="24"/>
        <rFont val="Arial"/>
        <family val="2"/>
      </rPr>
      <t>thian</t>
    </r>
    <r>
      <rPr>
        <sz val="24"/>
        <rFont val="Arial"/>
        <family val="2"/>
      </rPr>
      <t>。 </t>
    </r>
  </si>
  <si>
    <r>
      <t xml:space="preserve">仄聲轉 t：「地」台羅 </t>
    </r>
    <r>
      <rPr>
        <b/>
        <sz val="24"/>
        <rFont val="Arial"/>
        <family val="2"/>
      </rPr>
      <t>tē</t>
    </r>
    <r>
      <rPr>
        <sz val="24"/>
        <rFont val="Arial"/>
        <family val="2"/>
      </rPr>
      <t xml:space="preserve">（土地）、「大」台羅 </t>
    </r>
    <r>
      <rPr>
        <b/>
        <sz val="24"/>
        <rFont val="Arial"/>
        <family val="2"/>
      </rPr>
      <t>tuā/tāi</t>
    </r>
    <r>
      <rPr>
        <sz val="24"/>
        <rFont val="Arial"/>
        <family val="2"/>
      </rPr>
      <t>（大人）。 </t>
    </r>
  </si>
  <si>
    <r>
      <t>4. 齒音（擦音）</t>
    </r>
    <r>
      <rPr>
        <sz val="24"/>
        <rFont val="Arial"/>
        <family val="2"/>
      </rPr>
      <t> </t>
    </r>
  </si>
  <si>
    <r>
      <t>[z] 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</si>
  <si>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現代台語主要演變為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ts/j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</si>
  <si>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「俗」台羅 </t>
    </r>
    <r>
      <rPr>
        <b/>
        <sz val="24"/>
        <rFont val="Arial"/>
        <family val="2"/>
      </rPr>
      <t>sio̍k</t>
    </r>
    <r>
      <rPr>
        <sz val="24"/>
        <rFont val="Arial"/>
        <family val="2"/>
      </rPr>
      <t xml:space="preserve">（便宜）；「詞」台羅 </t>
    </r>
    <r>
      <rPr>
        <b/>
        <sz val="24"/>
        <rFont val="Arial"/>
        <family val="2"/>
      </rPr>
      <t>sû</t>
    </r>
    <r>
      <rPr>
        <sz val="24"/>
        <rFont val="Arial"/>
        <family val="2"/>
      </rPr>
      <t xml:space="preserve">；「徐」台羅 </t>
    </r>
    <r>
      <rPr>
        <b/>
        <sz val="24"/>
        <rFont val="Arial"/>
        <family val="2"/>
      </rPr>
      <t>tshî/sî</t>
    </r>
    <r>
      <rPr>
        <sz val="24"/>
        <rFont val="Arial"/>
        <family val="2"/>
      </rPr>
      <t>。 </t>
    </r>
  </si>
  <si>
    <r>
      <t>[ʑ] 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</si>
  <si>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ts/tsh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</si>
  <si>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「是」台羅 </t>
    </r>
    <r>
      <rPr>
        <b/>
        <sz val="24"/>
        <rFont val="Arial"/>
        <family val="2"/>
      </rPr>
      <t>sī</t>
    </r>
    <r>
      <rPr>
        <sz val="24"/>
        <rFont val="Arial"/>
        <family val="2"/>
      </rPr>
      <t xml:space="preserve">（是毋是）；「常」台羅 </t>
    </r>
    <r>
      <rPr>
        <b/>
        <sz val="24"/>
        <rFont val="Arial"/>
        <family val="2"/>
      </rPr>
      <t>siông</t>
    </r>
    <r>
      <rPr>
        <sz val="24"/>
        <rFont val="Arial"/>
        <family val="2"/>
      </rPr>
      <t xml:space="preserve">；「時」台羅 </t>
    </r>
    <r>
      <rPr>
        <b/>
        <sz val="24"/>
        <rFont val="Arial"/>
        <family val="2"/>
      </rPr>
      <t>sî</t>
    </r>
    <r>
      <rPr>
        <sz val="24"/>
        <rFont val="Arial"/>
        <family val="2"/>
      </rPr>
      <t>。 </t>
    </r>
  </si>
  <si>
    <r>
      <t>5. 牙喉音、半元音、半齒音</t>
    </r>
    <r>
      <rPr>
        <sz val="24"/>
        <rFont val="Arial"/>
        <family val="2"/>
      </rPr>
      <t> </t>
    </r>
  </si>
  <si>
    <r>
      <t>[ɣ] 匣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</si>
  <si>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在台語中文讀音常對應 </t>
    </r>
    <r>
      <rPr>
        <b/>
        <sz val="24"/>
        <rFont val="Arial"/>
        <family val="2"/>
      </rPr>
      <t>h</t>
    </r>
    <r>
      <rPr>
        <sz val="24"/>
        <rFont val="Arial"/>
        <family val="2"/>
      </rPr>
      <t xml:space="preserve">，白讀音有時會保留軟顎濁音的痕跡而讀作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k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</si>
  <si>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「紅」台羅 </t>
    </r>
    <r>
      <rPr>
        <b/>
        <sz val="24"/>
        <rFont val="Arial"/>
        <family val="2"/>
      </rPr>
      <t>âng</t>
    </r>
    <r>
      <rPr>
        <sz val="24"/>
        <rFont val="Arial"/>
        <family val="2"/>
      </rPr>
      <t xml:space="preserve">（轉零聲母）/ </t>
    </r>
    <r>
      <rPr>
        <b/>
        <sz val="24"/>
        <rFont val="Arial"/>
        <family val="2"/>
      </rPr>
      <t>hông</t>
    </r>
    <r>
      <rPr>
        <sz val="24"/>
        <rFont val="Arial"/>
        <family val="2"/>
      </rPr>
      <t xml:space="preserve">；「河」台羅 </t>
    </r>
    <r>
      <rPr>
        <b/>
        <sz val="24"/>
        <rFont val="Arial"/>
        <family val="2"/>
      </rPr>
      <t>hô</t>
    </r>
    <r>
      <rPr>
        <sz val="24"/>
        <rFont val="Arial"/>
        <family val="2"/>
      </rPr>
      <t xml:space="preserve">；「寒」台羅 </t>
    </r>
    <r>
      <rPr>
        <b/>
        <sz val="24"/>
        <rFont val="Arial"/>
        <family val="2"/>
      </rPr>
      <t>hân</t>
    </r>
    <r>
      <rPr>
        <sz val="24"/>
        <rFont val="Arial"/>
        <family val="2"/>
      </rPr>
      <t>。 </t>
    </r>
  </si>
  <si>
    <r>
      <t>[j] 喻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</si>
  <si>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對應台羅的 </t>
    </r>
    <r>
      <rPr>
        <b/>
        <sz val="24"/>
        <rFont val="Arial"/>
        <family val="2"/>
      </rPr>
      <t>i</t>
    </r>
    <r>
      <rPr>
        <sz val="24"/>
        <rFont val="Arial"/>
        <family val="2"/>
      </rPr>
      <t xml:space="preserve">（零聲母帶介音）或 </t>
    </r>
    <r>
      <rPr>
        <b/>
        <sz val="24"/>
        <rFont val="Arial"/>
        <family val="2"/>
      </rPr>
      <t>iâ/iû</t>
    </r>
    <r>
      <rPr>
        <sz val="24"/>
        <rFont val="Arial"/>
        <family val="2"/>
      </rPr>
      <t xml:space="preserve"> 等發音。 </t>
    </r>
  </si>
  <si>
    <r>
      <t>舉例：</t>
    </r>
    <r>
      <rPr>
        <sz val="24"/>
        <rFont val="Arial"/>
        <family val="2"/>
      </rPr>
      <t xml:space="preserve"> 「喻」台羅 </t>
    </r>
    <r>
      <rPr>
        <b/>
        <sz val="24"/>
        <rFont val="Arial"/>
        <family val="2"/>
      </rPr>
      <t>jū/gū</t>
    </r>
    <r>
      <rPr>
        <sz val="24"/>
        <rFont val="Arial"/>
        <family val="2"/>
      </rPr>
      <t xml:space="preserve">；「雨」台羅 </t>
    </r>
    <r>
      <rPr>
        <b/>
        <sz val="24"/>
        <rFont val="Arial"/>
        <family val="2"/>
      </rPr>
      <t>hōo/ú</t>
    </r>
    <r>
      <rPr>
        <sz val="24"/>
        <rFont val="Arial"/>
        <family val="2"/>
      </rPr>
      <t xml:space="preserve">；「夜」台羅 </t>
    </r>
    <r>
      <rPr>
        <b/>
        <sz val="24"/>
        <rFont val="Arial"/>
        <family val="2"/>
      </rPr>
      <t>iā</t>
    </r>
    <r>
      <rPr>
        <sz val="24"/>
        <rFont val="Arial"/>
        <family val="2"/>
      </rPr>
      <t>（暗夜）。 </t>
    </r>
  </si>
  <si>
    <r>
      <t>[ɲʑ] 日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</si>
  <si>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完美對應台羅的 </t>
    </r>
    <r>
      <rPr>
        <b/>
        <sz val="24"/>
        <rFont val="Arial"/>
        <family val="2"/>
      </rPr>
      <t>j</t>
    </r>
    <r>
      <rPr>
        <sz val="24"/>
        <rFont val="Arial"/>
        <family val="2"/>
      </rPr>
      <t xml:space="preserve">（濁齒齦擦音/近音，中南部偏向讀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l</t>
    </r>
    <r>
      <rPr>
        <sz val="24"/>
        <rFont val="Arial"/>
        <family val="2"/>
      </rPr>
      <t>）。 </t>
    </r>
  </si>
  <si>
    <r>
      <t>舉例：</t>
    </r>
    <r>
      <rPr>
        <sz val="24"/>
        <rFont val="Arial"/>
        <family val="2"/>
      </rPr>
      <t xml:space="preserve"> 「日」台羅 </t>
    </r>
    <r>
      <rPr>
        <b/>
        <sz val="24"/>
        <rFont val="Arial"/>
        <family val="2"/>
      </rPr>
      <t>ji̍t</t>
    </r>
    <r>
      <rPr>
        <sz val="24"/>
        <rFont val="Arial"/>
        <family val="2"/>
      </rPr>
      <t xml:space="preserve">（日頭）；「肉」台羅 </t>
    </r>
    <r>
      <rPr>
        <b/>
        <sz val="24"/>
        <rFont val="Arial"/>
        <family val="2"/>
      </rPr>
      <t>bah</t>
    </r>
    <r>
      <rPr>
        <sz val="24"/>
        <rFont val="Arial"/>
        <family val="2"/>
      </rPr>
      <t xml:space="preserve">（特殊白讀）/ </t>
    </r>
    <r>
      <rPr>
        <b/>
        <sz val="24"/>
        <rFont val="Arial"/>
        <family val="2"/>
      </rPr>
      <t>jio̍k</t>
    </r>
    <r>
      <rPr>
        <sz val="24"/>
        <rFont val="Arial"/>
        <family val="2"/>
      </rPr>
      <t xml:space="preserve">（文讀）；「人」台羅 </t>
    </r>
    <r>
      <rPr>
        <b/>
        <sz val="24"/>
        <rFont val="Arial"/>
        <family val="2"/>
      </rPr>
      <t>jîn</t>
    </r>
    <r>
      <rPr>
        <sz val="24"/>
        <rFont val="Arial"/>
        <family val="2"/>
      </rPr>
      <t>（人類）。 </t>
    </r>
  </si>
  <si>
    <t>b</t>
    <phoneticPr fontId="2" type="noConversion"/>
  </si>
  <si>
    <t>p</t>
    <phoneticPr fontId="2" type="noConversion"/>
  </si>
  <si>
    <t>m</t>
    <phoneticPr fontId="2" type="noConversion"/>
  </si>
  <si>
    <t/>
  </si>
  <si>
    <t>t</t>
    <phoneticPr fontId="2" type="noConversion"/>
  </si>
  <si>
    <t>n</t>
    <phoneticPr fontId="2" type="noConversion"/>
  </si>
  <si>
    <t>l</t>
    <phoneticPr fontId="2" type="noConversion"/>
  </si>
  <si>
    <t>j</t>
    <phoneticPr fontId="2" type="noConversion"/>
  </si>
  <si>
    <t>s</t>
    <phoneticPr fontId="2" type="noConversion"/>
  </si>
  <si>
    <t>g</t>
    <phoneticPr fontId="2" type="noConversion"/>
  </si>
  <si>
    <t>k</t>
    <phoneticPr fontId="2" type="noConversion"/>
  </si>
  <si>
    <t>ng</t>
    <phoneticPr fontId="2" type="noConversion"/>
  </si>
  <si>
    <t>h</t>
    <phoneticPr fontId="2" type="noConversion"/>
  </si>
  <si>
    <t>喜</t>
    <phoneticPr fontId="2" type="noConversion"/>
  </si>
  <si>
    <t>ʔ</t>
  </si>
  <si>
    <t>ŋ</t>
  </si>
  <si>
    <t>a</t>
  </si>
  <si>
    <t>ek</t>
  </si>
  <si>
    <t>e</t>
  </si>
  <si>
    <t>e</t>
    <phoneticPr fontId="2" type="noConversion"/>
  </si>
  <si>
    <t>i</t>
  </si>
  <si>
    <t>io</t>
  </si>
  <si>
    <t>iu</t>
  </si>
  <si>
    <t>o</t>
  </si>
  <si>
    <t>u</t>
  </si>
  <si>
    <t>ua</t>
  </si>
  <si>
    <t>uai</t>
  </si>
  <si>
    <t>ue</t>
  </si>
  <si>
    <t>ui</t>
  </si>
  <si>
    <t>ŋ̍</t>
  </si>
  <si>
    <t>方音符號</t>
  </si>
  <si>
    <t>台語注音</t>
  </si>
  <si>
    <t>台羅拼音</t>
  </si>
  <si>
    <t>台語音標</t>
  </si>
  <si>
    <t>白話字</t>
  </si>
  <si>
    <t>備註</t>
  </si>
  <si>
    <t>Ø</t>
  </si>
  <si>
    <t>ㄐ = ㄗㄧ</t>
    <phoneticPr fontId="7" type="noConversion"/>
  </si>
  <si>
    <t>ㆢ = ㆡㄧ</t>
    <phoneticPr fontId="7" type="noConversion"/>
  </si>
  <si>
    <t>ㄑ = ㄘㄧ</t>
    <phoneticPr fontId="7" type="noConversion"/>
  </si>
  <si>
    <t>ㄒ</t>
    <phoneticPr fontId="7" type="noConversion"/>
  </si>
  <si>
    <t>ㄒ = ㄙㄧ</t>
    <phoneticPr fontId="7" type="noConversion"/>
  </si>
  <si>
    <t>識別號</t>
  </si>
  <si>
    <t>國際音標</t>
  </si>
  <si>
    <t>漢字例</t>
  </si>
  <si>
    <t>十五音</t>
  </si>
  <si>
    <t>注音二式</t>
  </si>
  <si>
    <t>閩拼方案</t>
  </si>
  <si>
    <t>注音符號序</t>
    <phoneticPr fontId="7" type="noConversion"/>
  </si>
  <si>
    <t>十五音序</t>
    <phoneticPr fontId="7" type="noConversion"/>
  </si>
  <si>
    <t>台羅字母序</t>
    <phoneticPr fontId="2" type="noConversion"/>
  </si>
  <si>
    <t>拼音字母序</t>
    <phoneticPr fontId="7" type="noConversion"/>
  </si>
  <si>
    <t>以</t>
  </si>
  <si>
    <t>Ø</t>
    <phoneticPr fontId="7" type="noConversion"/>
  </si>
  <si>
    <t>比</t>
  </si>
  <si>
    <t>美</t>
  </si>
  <si>
    <t>ㄪ</t>
  </si>
  <si>
    <t>pʰ</t>
  </si>
  <si>
    <t>鄙</t>
  </si>
  <si>
    <t>k</t>
  </si>
  <si>
    <t>毛</t>
  </si>
  <si>
    <t>bbn</t>
  </si>
  <si>
    <t xml:space="preserve">b/m 本不分，此處分門/毛 </t>
  </si>
  <si>
    <t>d</t>
  </si>
  <si>
    <t>t</t>
  </si>
  <si>
    <t>底</t>
  </si>
  <si>
    <t>tʰ</t>
  </si>
  <si>
    <t>恥</t>
  </si>
  <si>
    <t>th</t>
  </si>
  <si>
    <t>ln</t>
  </si>
  <si>
    <t xml:space="preserve">l/n 本不分，此處分柳/耐 </t>
  </si>
  <si>
    <t>z</t>
  </si>
  <si>
    <t>理</t>
  </si>
  <si>
    <t>zz</t>
  </si>
  <si>
    <t>己</t>
  </si>
  <si>
    <t>s</t>
  </si>
  <si>
    <t>ɡ</t>
  </si>
  <si>
    <t>禦</t>
  </si>
  <si>
    <t>kʰ</t>
  </si>
  <si>
    <t>起</t>
  </si>
  <si>
    <t>kh</t>
  </si>
  <si>
    <t>雅</t>
  </si>
  <si>
    <t xml:space="preserve">⁰ㄫ </t>
  </si>
  <si>
    <t>ggn</t>
  </si>
  <si>
    <t xml:space="preserve">g/ng 本不分，此處分語/雅 </t>
  </si>
  <si>
    <t>c</t>
  </si>
  <si>
    <t>h</t>
  </si>
  <si>
    <t>ʨ</t>
  </si>
  <si>
    <t>止</t>
  </si>
  <si>
    <t>ㄐ</t>
    <phoneticPr fontId="7" type="noConversion"/>
  </si>
  <si>
    <t>j</t>
    <phoneticPr fontId="7" type="noConversion"/>
  </si>
  <si>
    <t>zi</t>
  </si>
  <si>
    <t>tsi</t>
  </si>
  <si>
    <t>chi</t>
  </si>
  <si>
    <t>ʥ</t>
  </si>
  <si>
    <t>熱</t>
  </si>
  <si>
    <t>ㄖ</t>
  </si>
  <si>
    <t>jj</t>
    <phoneticPr fontId="7" type="noConversion"/>
  </si>
  <si>
    <t>zzi</t>
  </si>
  <si>
    <t>ʨʰ</t>
  </si>
  <si>
    <t>測</t>
  </si>
  <si>
    <t>ㄑ</t>
    <phoneticPr fontId="7" type="noConversion"/>
  </si>
  <si>
    <t>ch</t>
    <phoneticPr fontId="7" type="noConversion"/>
  </si>
  <si>
    <t>ci</t>
  </si>
  <si>
    <t>tshi</t>
  </si>
  <si>
    <t>chhi</t>
  </si>
  <si>
    <t>ɕ</t>
  </si>
  <si>
    <t>惜</t>
  </si>
  <si>
    <t>sh</t>
    <phoneticPr fontId="7" type="noConversion"/>
  </si>
  <si>
    <t>si</t>
  </si>
  <si>
    <t>jji</t>
  </si>
  <si>
    <t>ʦ</t>
  </si>
  <si>
    <t>阻</t>
  </si>
  <si>
    <t>ts</t>
  </si>
  <si>
    <t>ch</t>
  </si>
  <si>
    <t>ʣ</t>
  </si>
  <si>
    <t>ʦʰ</t>
  </si>
  <si>
    <t>取</t>
  </si>
  <si>
    <t>ㄘ</t>
    <phoneticPr fontId="7" type="noConversion"/>
  </si>
  <si>
    <t>tsh</t>
  </si>
  <si>
    <t>chh</t>
  </si>
  <si>
    <t>shi</t>
  </si>
  <si>
    <t>詞</t>
  </si>
  <si>
    <t>ㄙ</t>
    <phoneticPr fontId="7" type="noConversion"/>
  </si>
  <si>
    <t>序號</t>
    <phoneticPr fontId="7" type="noConversion"/>
  </si>
  <si>
    <t>國際音標</t>
    <phoneticPr fontId="7" type="noConversion"/>
  </si>
  <si>
    <t>漢字例</t>
    <phoneticPr fontId="7" type="noConversion"/>
  </si>
  <si>
    <t>十五音</t>
    <phoneticPr fontId="7" type="noConversion"/>
  </si>
  <si>
    <t>十五音識別碼</t>
    <phoneticPr fontId="7" type="noConversion"/>
  </si>
  <si>
    <t>方音符號</t>
    <phoneticPr fontId="7" type="noConversion"/>
  </si>
  <si>
    <t>台語注音</t>
    <phoneticPr fontId="7" type="noConversion"/>
  </si>
  <si>
    <t>台語注音二式</t>
    <phoneticPr fontId="7" type="noConversion"/>
  </si>
  <si>
    <t>閩拼方案</t>
    <phoneticPr fontId="7" type="noConversion"/>
  </si>
  <si>
    <t>台羅拼音</t>
    <phoneticPr fontId="7" type="noConversion"/>
  </si>
  <si>
    <t>台語音標</t>
    <phoneticPr fontId="7" type="noConversion"/>
  </si>
  <si>
    <t>白話字</t>
    <phoneticPr fontId="7" type="noConversion"/>
  </si>
  <si>
    <t>聲韻調類</t>
    <phoneticPr fontId="7" type="noConversion"/>
  </si>
  <si>
    <t>字長</t>
    <phoneticPr fontId="7" type="noConversion"/>
  </si>
  <si>
    <t>標調字母</t>
    <phoneticPr fontId="7" type="noConversion"/>
  </si>
  <si>
    <t>search()</t>
    <phoneticPr fontId="7" type="noConversion"/>
  </si>
  <si>
    <t>U+0301</t>
  </si>
  <si>
    <t>U+0300</t>
  </si>
  <si>
    <t>U+030C</t>
    <phoneticPr fontId="7" type="noConversion"/>
  </si>
  <si>
    <t>U+0301</t>
    <phoneticPr fontId="7" type="noConversion"/>
  </si>
  <si>
    <t>U+0304</t>
  </si>
  <si>
    <t>U+030D</t>
  </si>
  <si>
    <t>U+030B</t>
  </si>
  <si>
    <t>U+030A</t>
  </si>
  <si>
    <t>a</t>
    <phoneticPr fontId="7" type="noConversion"/>
  </si>
  <si>
    <t>些</t>
  </si>
  <si>
    <t>膠（舒）</t>
  </si>
  <si>
    <r>
      <rPr>
        <sz val="18"/>
        <color rgb="FF000000"/>
        <rFont val="Noto Sans"/>
        <family val="2"/>
      </rPr>
      <t>ㄚ</t>
    </r>
  </si>
  <si>
    <t>aʔ</t>
    <phoneticPr fontId="7" type="noConversion"/>
  </si>
  <si>
    <t>百</t>
  </si>
  <si>
    <t>膠（促）</t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</si>
  <si>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</si>
  <si>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ㄚㄏ</t>
    </r>
  </si>
  <si>
    <t>ah</t>
  </si>
  <si>
    <t>u</t>
    <phoneticPr fontId="7" type="noConversion"/>
  </si>
  <si>
    <r>
      <t>a</t>
    </r>
    <r>
      <rPr>
        <b/>
        <sz val="18"/>
        <color rgb="FFC00000"/>
        <rFont val="Noto Sans"/>
        <family val="2"/>
      </rPr>
      <t>ɪ</t>
    </r>
    <phoneticPr fontId="7" type="noConversion"/>
  </si>
  <si>
    <t>埃</t>
  </si>
  <si>
    <t>皆（舒）</t>
  </si>
  <si>
    <r>
      <rPr>
        <sz val="18"/>
        <color rgb="FF000000"/>
        <rFont val="Noto Sans"/>
        <family val="2"/>
      </rPr>
      <t>ㄞ</t>
    </r>
  </si>
  <si>
    <t>ai</t>
  </si>
  <si>
    <t>o</t>
    <phoneticPr fontId="7" type="noConversion"/>
  </si>
  <si>
    <r>
      <t>a</t>
    </r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ʔ</t>
    </r>
    <phoneticPr fontId="7" type="noConversion"/>
  </si>
  <si>
    <t>◯</t>
  </si>
  <si>
    <t>皆（促）</t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</si>
  <si>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Charis SIL"/>
      </rPr>
      <t>ㆷ</t>
    </r>
    <phoneticPr fontId="7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</si>
  <si>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7" type="noConversion"/>
  </si>
  <si>
    <t>aih</t>
    <phoneticPr fontId="7" type="noConversion"/>
  </si>
  <si>
    <t>aih</t>
  </si>
  <si>
    <r>
      <t>ã</t>
    </r>
    <r>
      <rPr>
        <b/>
        <sz val="18"/>
        <color rgb="FFC00000"/>
        <rFont val="Noto Sans"/>
        <family val="2"/>
      </rPr>
      <t>ɪ</t>
    </r>
    <phoneticPr fontId="7" type="noConversion"/>
  </si>
  <si>
    <t>挨</t>
  </si>
  <si>
    <t>閒（舒）</t>
  </si>
  <si>
    <t>ㆮ</t>
  </si>
  <si>
    <r>
      <t>⁰</t>
    </r>
    <r>
      <rPr>
        <sz val="18"/>
        <color rgb="FF000000"/>
        <rFont val="Noto Sans"/>
        <family val="2"/>
      </rPr>
      <t>ㄞ</t>
    </r>
  </si>
  <si>
    <t>ainn</t>
  </si>
  <si>
    <t>nai</t>
  </si>
  <si>
    <t>aiⁿ</t>
    <phoneticPr fontId="7" type="noConversion"/>
  </si>
  <si>
    <t>韻-鼻</t>
    <phoneticPr fontId="7" type="noConversion"/>
  </si>
  <si>
    <t>角</t>
  </si>
  <si>
    <t>江（促）</t>
  </si>
  <si>
    <r>
      <rPr>
        <sz val="18"/>
        <color rgb="FF000000"/>
        <rFont val="Noto Sans TC"/>
        <family val="2"/>
        <charset val="136"/>
      </rPr>
      <t>ㄚ</t>
    </r>
    <r>
      <rPr>
        <sz val="18"/>
        <color rgb="FF000000"/>
        <rFont val="Charis SIL"/>
      </rPr>
      <t>ㆻ</t>
    </r>
    <phoneticPr fontId="7" type="noConversion"/>
  </si>
  <si>
    <r>
      <rPr>
        <sz val="18"/>
        <color rgb="FF000000"/>
        <rFont val="Noto Sans TC"/>
        <family val="2"/>
        <charset val="136"/>
      </rPr>
      <t>ㄚㄍ</t>
    </r>
  </si>
  <si>
    <t>ak</t>
  </si>
  <si>
    <t>e</t>
    <phoneticPr fontId="7" type="noConversion"/>
  </si>
  <si>
    <t>am</t>
    <phoneticPr fontId="7" type="noConversion"/>
  </si>
  <si>
    <t>堪</t>
  </si>
  <si>
    <t>甘（舒）</t>
  </si>
  <si>
    <t>ㆰ</t>
  </si>
  <si>
    <r>
      <rPr>
        <sz val="18"/>
        <color rgb="FF000000"/>
        <rFont val="Noto Sans"/>
        <family val="2"/>
      </rPr>
      <t>ㄚㄇ</t>
    </r>
  </si>
  <si>
    <t>am</t>
  </si>
  <si>
    <t>an</t>
    <phoneticPr fontId="7" type="noConversion"/>
  </si>
  <si>
    <t>蘭</t>
  </si>
  <si>
    <t>干（舒）</t>
  </si>
  <si>
    <r>
      <rPr>
        <sz val="18"/>
        <color rgb="FF000000"/>
        <rFont val="Noto Sans"/>
        <family val="2"/>
      </rPr>
      <t>ㄢ</t>
    </r>
  </si>
  <si>
    <t>an</t>
  </si>
  <si>
    <t>m</t>
    <phoneticPr fontId="7" type="noConversion"/>
  </si>
  <si>
    <r>
      <t>a</t>
    </r>
    <r>
      <rPr>
        <b/>
        <sz val="18"/>
        <color rgb="FFC00000"/>
        <rFont val="Noto Sans"/>
        <family val="2"/>
      </rPr>
      <t>ŋ</t>
    </r>
    <phoneticPr fontId="7" type="noConversion"/>
  </si>
  <si>
    <t>邦</t>
  </si>
  <si>
    <t>江（舒）</t>
  </si>
  <si>
    <r>
      <rPr>
        <sz val="18"/>
        <color rgb="FF000000"/>
        <rFont val="Noto Sans"/>
        <family val="2"/>
      </rPr>
      <t>ㄤ</t>
    </r>
  </si>
  <si>
    <t>ang</t>
  </si>
  <si>
    <t>n</t>
    <phoneticPr fontId="7" type="noConversion"/>
  </si>
  <si>
    <t>ã</t>
    <phoneticPr fontId="7" type="noConversion"/>
  </si>
  <si>
    <t>聽</t>
  </si>
  <si>
    <t>監（舒）</t>
  </si>
  <si>
    <t>ㆩ</t>
  </si>
  <si>
    <r>
      <t>⁰</t>
    </r>
    <r>
      <rPr>
        <sz val="18"/>
        <color rgb="FF000000"/>
        <rFont val="Noto Sans"/>
        <family val="2"/>
      </rPr>
      <t>ㄚ</t>
    </r>
  </si>
  <si>
    <t>ann</t>
  </si>
  <si>
    <t>na</t>
  </si>
  <si>
    <t>aⁿ</t>
  </si>
  <si>
    <t>i</t>
    <phoneticPr fontId="7" type="noConversion"/>
  </si>
  <si>
    <t>ãʔ</t>
    <phoneticPr fontId="7" type="noConversion"/>
  </si>
  <si>
    <t>含</t>
  </si>
  <si>
    <t>監（促）</t>
  </si>
  <si>
    <t>ㆩㆷ</t>
  </si>
  <si>
    <r>
      <t>⁰</t>
    </r>
    <r>
      <rPr>
        <sz val="18"/>
        <color rgb="FF000000"/>
        <rFont val="Noto Sans"/>
        <family val="2"/>
      </rPr>
      <t>ㄚㄏ</t>
    </r>
  </si>
  <si>
    <t>annh</t>
  </si>
  <si>
    <t>nah</t>
    <phoneticPr fontId="7" type="noConversion"/>
  </si>
  <si>
    <t>annh</t>
    <phoneticPr fontId="7" type="noConversion"/>
  </si>
  <si>
    <t>ahⁿ</t>
  </si>
  <si>
    <t>答</t>
  </si>
  <si>
    <t>甘（促）</t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</si>
  <si>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</si>
  <si>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ㄚㄅ</t>
    </r>
  </si>
  <si>
    <t>ap</t>
  </si>
  <si>
    <t>識</t>
  </si>
  <si>
    <t>干（促）</t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</si>
  <si>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</si>
  <si>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ㄚㄉ</t>
    </r>
  </si>
  <si>
    <t>at</t>
  </si>
  <si>
    <r>
      <t>a</t>
    </r>
    <r>
      <rPr>
        <b/>
        <sz val="18"/>
        <color rgb="FFC00000"/>
        <rFont val="Noto Sans"/>
        <family val="2"/>
      </rPr>
      <t>ʊ</t>
    </r>
    <phoneticPr fontId="7" type="noConversion"/>
  </si>
  <si>
    <t>鬧</t>
  </si>
  <si>
    <t>交（舒）</t>
  </si>
  <si>
    <r>
      <rPr>
        <sz val="18"/>
        <color rgb="FF000000"/>
        <rFont val="Noto Sans"/>
        <family val="2"/>
      </rPr>
      <t>ㄠ</t>
    </r>
  </si>
  <si>
    <t>au</t>
  </si>
  <si>
    <t>ao</t>
  </si>
  <si>
    <t>auʔ</t>
    <phoneticPr fontId="7" type="noConversion"/>
  </si>
  <si>
    <t>暴</t>
  </si>
  <si>
    <t>交（促）</t>
  </si>
  <si>
    <r>
      <rPr>
        <sz val="18"/>
        <color rgb="FF000000"/>
        <rFont val="Noto Sans TC"/>
        <family val="2"/>
        <charset val="136"/>
      </rPr>
      <t>ㄠ</t>
    </r>
    <r>
      <rPr>
        <sz val="18"/>
        <color rgb="FF000000"/>
        <rFont val="Charis SIL"/>
      </rPr>
      <t>ㆷ</t>
    </r>
    <phoneticPr fontId="7" type="noConversion"/>
  </si>
  <si>
    <r>
      <rPr>
        <sz val="18"/>
        <color rgb="FF000000"/>
        <rFont val="Noto Sans TC"/>
        <family val="2"/>
        <charset val="136"/>
      </rPr>
      <t>ㄠㄏ</t>
    </r>
  </si>
  <si>
    <t>auh</t>
  </si>
  <si>
    <t>aoh</t>
  </si>
  <si>
    <t>遞</t>
  </si>
  <si>
    <t>稽（舒）</t>
  </si>
  <si>
    <t>ㆤ</t>
  </si>
  <si>
    <r>
      <rPr>
        <sz val="18"/>
        <color rgb="FF000000"/>
        <rFont val="Noto Sans"/>
        <family val="2"/>
      </rPr>
      <t>ㄝ</t>
    </r>
  </si>
  <si>
    <t>ei</t>
  </si>
  <si>
    <r>
      <rPr>
        <b/>
        <sz val="18"/>
        <color rgb="FFC00000"/>
        <rFont val="Noto Sans"/>
        <family val="2"/>
      </rPr>
      <t>ɛ</t>
    </r>
    <phoneticPr fontId="7" type="noConversion"/>
  </si>
  <si>
    <t>家</t>
    <phoneticPr fontId="7" type="noConversion"/>
  </si>
  <si>
    <t>嘉（舒）</t>
  </si>
  <si>
    <r>
      <rPr>
        <sz val="18"/>
        <color rgb="FFFF0000"/>
        <rFont val="Microsoft JhengHei UI"/>
        <family val="2"/>
      </rPr>
      <t>ㄝ</t>
    </r>
    <phoneticPr fontId="7" type="noConversion"/>
  </si>
  <si>
    <r>
      <rPr>
        <sz val="18"/>
        <color rgb="FFFF0000"/>
        <rFont val="Microsoft JhengHei UI"/>
        <family val="2"/>
      </rPr>
      <t>ㄝ</t>
    </r>
  </si>
  <si>
    <t>ee</t>
    <phoneticPr fontId="7" type="noConversion"/>
  </si>
  <si>
    <t>八</t>
    <phoneticPr fontId="7" type="noConversion"/>
  </si>
  <si>
    <t>嘉（促）</t>
  </si>
  <si>
    <r>
      <rPr>
        <sz val="18"/>
        <color rgb="FFFF0000"/>
        <rFont val="Microsoft JhengHei UI"/>
        <family val="2"/>
      </rPr>
      <t>ㄝ</t>
    </r>
    <r>
      <rPr>
        <sz val="18"/>
        <color rgb="FFFF0000"/>
        <rFont val="Charis SIL"/>
      </rPr>
      <t>ㆷ</t>
    </r>
    <phoneticPr fontId="7" type="noConversion"/>
  </si>
  <si>
    <r>
      <rPr>
        <sz val="18"/>
        <color rgb="FFFF0000"/>
        <rFont val="Microsoft JhengHei UI"/>
        <family val="2"/>
      </rPr>
      <t>ㄝㄏ</t>
    </r>
  </si>
  <si>
    <t>eeh</t>
    <phoneticPr fontId="7" type="noConversion"/>
  </si>
  <si>
    <t>eʔ</t>
    <phoneticPr fontId="7" type="noConversion"/>
  </si>
  <si>
    <t>伯</t>
  </si>
  <si>
    <t>伽（促）</t>
  </si>
  <si>
    <t>ㆤㆷ</t>
  </si>
  <si>
    <r>
      <rPr>
        <sz val="18"/>
        <color rgb="FF000000"/>
        <rFont val="Noto Sans"/>
        <family val="2"/>
      </rPr>
      <t>ㄝㄏ</t>
    </r>
  </si>
  <si>
    <t>eh</t>
  </si>
  <si>
    <t>◯</t>
    <phoneticPr fontId="7" type="noConversion"/>
  </si>
  <si>
    <t>經（促）</t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</si>
  <si>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haris SIL"/>
      </rPr>
      <t>ㆻ</t>
    </r>
    <phoneticPr fontId="7" type="noConversion"/>
  </si>
  <si>
    <r>
      <rPr>
        <sz val="18"/>
        <color rgb="FFFF0000"/>
        <rFont val="微軟正黑體"/>
        <family val="2"/>
        <charset val="136"/>
      </rPr>
      <t>ㄝㄍ</t>
    </r>
    <phoneticPr fontId="7" type="noConversion"/>
  </si>
  <si>
    <t>ek</t>
    <phoneticPr fontId="7" type="noConversion"/>
  </si>
  <si>
    <t>經（舒）</t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</si>
  <si>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haris SIL"/>
      </rPr>
      <t>ㆭ</t>
    </r>
    <phoneticPr fontId="7" type="noConversion"/>
  </si>
  <si>
    <r>
      <rPr>
        <sz val="18"/>
        <color rgb="FFFF0000"/>
        <rFont val="微軟正黑體"/>
        <family val="2"/>
        <charset val="136"/>
      </rPr>
      <t>ㄝㄥ</t>
    </r>
    <phoneticPr fontId="7" type="noConversion"/>
  </si>
  <si>
    <t>eng</t>
    <phoneticPr fontId="7" type="noConversion"/>
  </si>
  <si>
    <t>ẽ</t>
    <phoneticPr fontId="7" type="noConversion"/>
  </si>
  <si>
    <t>爭</t>
  </si>
  <si>
    <t>更（舒）</t>
  </si>
  <si>
    <t>ㆥ</t>
  </si>
  <si>
    <r>
      <t>⁰</t>
    </r>
    <r>
      <rPr>
        <sz val="18"/>
        <color rgb="FF000000"/>
        <rFont val="Noto Sans"/>
        <family val="2"/>
      </rPr>
      <t>ㄝ</t>
    </r>
  </si>
  <si>
    <t>enn</t>
  </si>
  <si>
    <t>ne</t>
  </si>
  <si>
    <t>eⁿ</t>
  </si>
  <si>
    <t>ẽʔ</t>
    <phoneticPr fontId="7" type="noConversion"/>
  </si>
  <si>
    <t>挾</t>
  </si>
  <si>
    <t>更（促）</t>
  </si>
  <si>
    <t>ㆥㆷ</t>
    <phoneticPr fontId="7" type="noConversion"/>
  </si>
  <si>
    <r>
      <t>⁰</t>
    </r>
    <r>
      <rPr>
        <sz val="18"/>
        <color rgb="FFFF0000"/>
        <rFont val="細明體"/>
        <family val="1"/>
        <charset val="254"/>
      </rPr>
      <t>ㄝㄏ</t>
    </r>
  </si>
  <si>
    <t>ennh</t>
    <phoneticPr fontId="7" type="noConversion"/>
  </si>
  <si>
    <t>ennh</t>
  </si>
  <si>
    <t>ehⁿ</t>
    <phoneticPr fontId="2" type="noConversion"/>
  </si>
  <si>
    <t>爾</t>
  </si>
  <si>
    <t>居（舒）</t>
  </si>
  <si>
    <r>
      <rPr>
        <sz val="18"/>
        <color rgb="FF000000"/>
        <rFont val="Noto Sans"/>
        <family val="2"/>
      </rPr>
      <t>ㄧ</t>
    </r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</si>
  <si>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phoneticPr fontId="7" type="noConversion"/>
  </si>
  <si>
    <t>名</t>
  </si>
  <si>
    <t>迦（舒）</t>
  </si>
  <si>
    <r>
      <rPr>
        <sz val="18"/>
        <color rgb="FF000000"/>
        <rFont val="Noto Sans"/>
        <family val="2"/>
      </rPr>
      <t>ㄧㄚ</t>
    </r>
  </si>
  <si>
    <t>ia</t>
  </si>
  <si>
    <t>壁</t>
  </si>
  <si>
    <t>迦（促）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</si>
  <si>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</si>
  <si>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ㄧㄚㄏ</t>
    </r>
  </si>
  <si>
    <t>iah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</si>
  <si>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ak̚</t>
    </r>
    <phoneticPr fontId="7" type="noConversion"/>
  </si>
  <si>
    <t>爆</t>
  </si>
  <si>
    <t>姜（促）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</si>
  <si>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ㆻ</t>
    </r>
  </si>
  <si>
    <r>
      <rPr>
        <sz val="18"/>
        <color rgb="FF000000"/>
        <rFont val="Noto Sans"/>
        <family val="2"/>
      </rPr>
      <t>ㄧㄚㄍ</t>
    </r>
  </si>
  <si>
    <t>iak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</si>
  <si>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am</t>
    </r>
    <phoneticPr fontId="7" type="noConversion"/>
  </si>
  <si>
    <t>尖</t>
  </si>
  <si>
    <t>兼（舒）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</si>
  <si>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ㆰ</t>
    </r>
  </si>
  <si>
    <r>
      <rPr>
        <sz val="18"/>
        <color rgb="FF000000"/>
        <rFont val="Noto Sans"/>
        <family val="2"/>
      </rPr>
      <t>ㄧㄚㄇ</t>
    </r>
  </si>
  <si>
    <t>iam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</si>
  <si>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an</t>
    </r>
    <phoneticPr fontId="7" type="noConversion"/>
  </si>
  <si>
    <t>掀</t>
  </si>
  <si>
    <t>堅（舒）</t>
  </si>
  <si>
    <r>
      <rPr>
        <sz val="18"/>
        <color rgb="FF000000"/>
        <rFont val="Noto Sans"/>
        <family val="2"/>
      </rPr>
      <t>ㄧㄢ</t>
    </r>
  </si>
  <si>
    <t>ian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</si>
  <si>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r>
      <rPr>
        <b/>
        <sz val="18"/>
        <color rgb="FFC00000"/>
        <rFont val="Noto Sans"/>
        <family val="2"/>
      </rPr>
      <t>ŋ</t>
    </r>
    <phoneticPr fontId="7" type="noConversion"/>
  </si>
  <si>
    <t>將</t>
  </si>
  <si>
    <t>姜（舒）</t>
  </si>
  <si>
    <r>
      <rPr>
        <sz val="18"/>
        <color rgb="FF000000"/>
        <rFont val="Noto Sans"/>
        <family val="2"/>
      </rPr>
      <t>ㄧㄤ</t>
    </r>
  </si>
  <si>
    <t>iang</t>
  </si>
  <si>
    <t>驚（舒）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</si>
  <si>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ㆩ</t>
    </r>
  </si>
  <si>
    <r>
      <t>⁰</t>
    </r>
    <r>
      <rPr>
        <sz val="18"/>
        <color rgb="FF000000"/>
        <rFont val="Noto Sans"/>
        <family val="2"/>
      </rPr>
      <t>ㄧㄚ</t>
    </r>
  </si>
  <si>
    <t>iann</t>
  </si>
  <si>
    <t>nia</t>
  </si>
  <si>
    <t>iaⁿ</t>
  </si>
  <si>
    <t>且</t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</si>
  <si>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haris SIL"/>
      </rPr>
      <t>ㆩㆷ</t>
    </r>
    <phoneticPr fontId="7" type="noConversion"/>
  </si>
  <si>
    <r>
      <t>⁰</t>
    </r>
    <r>
      <rPr>
        <sz val="18"/>
        <color rgb="FFFF0000"/>
        <rFont val="Microsoft JhengHei"/>
        <family val="2"/>
      </rPr>
      <t>ㄧㄚㄏ</t>
    </r>
  </si>
  <si>
    <t>iannh</t>
    <phoneticPr fontId="7" type="noConversion"/>
  </si>
  <si>
    <t>iannh</t>
  </si>
  <si>
    <t>iahⁿ</t>
    <phoneticPr fontId="2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</si>
  <si>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ap̚</t>
    </r>
    <phoneticPr fontId="7" type="noConversion"/>
  </si>
  <si>
    <t>接</t>
  </si>
  <si>
    <t>兼（促）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</si>
  <si>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</si>
  <si>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ㄧㄚㄅ</t>
    </r>
  </si>
  <si>
    <t>iap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</si>
  <si>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at̚</t>
    </r>
    <phoneticPr fontId="7" type="noConversion"/>
  </si>
  <si>
    <t>別</t>
  </si>
  <si>
    <t>堅（促）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</si>
  <si>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</si>
  <si>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ㄧㄚㄉ</t>
    </r>
  </si>
  <si>
    <t>iat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</si>
  <si>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r>
      <rPr>
        <b/>
        <sz val="18"/>
        <color rgb="FFC00000"/>
        <rFont val="Noto Sans"/>
        <family val="2"/>
      </rPr>
      <t>ʊ</t>
    </r>
    <phoneticPr fontId="7" type="noConversion"/>
  </si>
  <si>
    <t>遙</t>
  </si>
  <si>
    <t>嬌（舒）</t>
  </si>
  <si>
    <r>
      <rPr>
        <sz val="18"/>
        <color rgb="FF000000"/>
        <rFont val="Noto Sans"/>
        <family val="2"/>
      </rPr>
      <t>ㄧㄠ</t>
    </r>
  </si>
  <si>
    <t>iau</t>
  </si>
  <si>
    <t>iao</t>
  </si>
  <si>
    <t>噭</t>
  </si>
  <si>
    <t>嬌（促）</t>
  </si>
  <si>
    <r>
      <rPr>
        <sz val="18"/>
        <color rgb="FF000000"/>
        <rFont val="Noto Sans"/>
        <family val="2"/>
      </rPr>
      <t>ㄧㄠ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</si>
  <si>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ㄧㄠㄏ</t>
    </r>
  </si>
  <si>
    <t>iauh</t>
  </si>
  <si>
    <t>iaoh</t>
  </si>
  <si>
    <t>鳥</t>
  </si>
  <si>
    <t>嘄（舒）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</si>
  <si>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ㆯ</t>
    </r>
  </si>
  <si>
    <r>
      <t>⁰</t>
    </r>
    <r>
      <rPr>
        <sz val="18"/>
        <color rgb="FF000000"/>
        <rFont val="Noto Sans"/>
        <family val="2"/>
      </rPr>
      <t>ㄧㄠ</t>
    </r>
  </si>
  <si>
    <t>iaunn</t>
  </si>
  <si>
    <t>niao</t>
  </si>
  <si>
    <t>iauⁿ</t>
  </si>
  <si>
    <t>iʔ</t>
    <phoneticPr fontId="7" type="noConversion"/>
  </si>
  <si>
    <t>逼</t>
  </si>
  <si>
    <t>居（促）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</si>
  <si>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</si>
  <si>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ㄧㄏ</t>
    </r>
  </si>
  <si>
    <t>ih</t>
  </si>
  <si>
    <t>ik̚</t>
    <phoneticPr fontId="7" type="noConversion"/>
  </si>
  <si>
    <t>益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</si>
  <si>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ㆻ</t>
    </r>
  </si>
  <si>
    <r>
      <rPr>
        <sz val="18"/>
        <color rgb="FF000000"/>
        <rFont val="Noto Sans"/>
        <family val="2"/>
      </rPr>
      <t>ㄧㄍ</t>
    </r>
  </si>
  <si>
    <t>iek</t>
    <phoneticPr fontId="7" type="noConversion"/>
  </si>
  <si>
    <t>ik</t>
  </si>
  <si>
    <t>im</t>
    <phoneticPr fontId="7" type="noConversion"/>
  </si>
  <si>
    <t>深</t>
  </si>
  <si>
    <t>金（舒）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</si>
  <si>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ㆬ</t>
    </r>
  </si>
  <si>
    <r>
      <rPr>
        <sz val="18"/>
        <color rgb="FF000000"/>
        <rFont val="Noto Sans"/>
        <family val="2"/>
      </rPr>
      <t>ㄧㄇ</t>
    </r>
  </si>
  <si>
    <t>im</t>
  </si>
  <si>
    <t>in</t>
    <phoneticPr fontId="7" type="noConversion"/>
  </si>
  <si>
    <t>恩</t>
  </si>
  <si>
    <t>巾（舒）</t>
  </si>
  <si>
    <r>
      <rPr>
        <sz val="18"/>
        <color rgb="FF000000"/>
        <rFont val="Noto Sans"/>
        <family val="2"/>
      </rPr>
      <t>ㄧㄣ</t>
    </r>
  </si>
  <si>
    <t>in</t>
  </si>
  <si>
    <r>
      <t>i</t>
    </r>
    <r>
      <rPr>
        <b/>
        <sz val="18"/>
        <color rgb="FFC00000"/>
        <rFont val="Noto Sans"/>
        <family val="2"/>
      </rPr>
      <t>ŋ</t>
    </r>
    <phoneticPr fontId="7" type="noConversion"/>
  </si>
  <si>
    <t>情</t>
  </si>
  <si>
    <r>
      <rPr>
        <sz val="18"/>
        <color rgb="FF000000"/>
        <rFont val="Noto Sans"/>
        <family val="2"/>
      </rPr>
      <t>ㄧㄥ</t>
    </r>
  </si>
  <si>
    <t>ing</t>
  </si>
  <si>
    <t>eng</t>
  </si>
  <si>
    <t>ĩ</t>
    <phoneticPr fontId="7" type="noConversion"/>
  </si>
  <si>
    <t>庚</t>
  </si>
  <si>
    <t>梔（舒）</t>
  </si>
  <si>
    <t>ㆪ</t>
  </si>
  <si>
    <r>
      <t>⁰</t>
    </r>
    <r>
      <rPr>
        <sz val="18"/>
        <color rgb="FF000000"/>
        <rFont val="Noto Sans"/>
        <family val="2"/>
      </rPr>
      <t>ㄧ</t>
    </r>
  </si>
  <si>
    <t>inn</t>
  </si>
  <si>
    <t>ni</t>
  </si>
  <si>
    <t>iⁿ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</si>
  <si>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ə</t>
    </r>
    <phoneticPr fontId="7" type="noConversion"/>
  </si>
  <si>
    <t>少</t>
  </si>
  <si>
    <t>茄（舒）</t>
  </si>
  <si>
    <r>
      <rPr>
        <sz val="18"/>
        <color rgb="FF000000"/>
        <rFont val="Noto Sans"/>
        <family val="2"/>
      </rPr>
      <t>ㄧㄜ</t>
    </r>
  </si>
  <si>
    <t>ior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</si>
  <si>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əʔ</t>
    </r>
    <phoneticPr fontId="7" type="noConversion"/>
  </si>
  <si>
    <t>著</t>
  </si>
  <si>
    <t>茄（促）</t>
  </si>
  <si>
    <r>
      <rPr>
        <sz val="18"/>
        <color rgb="FF000000"/>
        <rFont val="Noto Sans"/>
        <family val="2"/>
      </rPr>
      <t>ㄧㄜ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</si>
  <si>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ㄧㄜㄏ</t>
    </r>
  </si>
  <si>
    <t>iorh</t>
  </si>
  <si>
    <t>ioh</t>
  </si>
  <si>
    <r>
      <rPr>
        <b/>
        <sz val="18"/>
        <color rgb="FFC00000"/>
        <rFont val="Noto Sans"/>
        <family val="2"/>
      </rPr>
      <t>ɪɔ</t>
    </r>
    <r>
      <rPr>
        <b/>
        <sz val="18"/>
        <color rgb="FFC00000"/>
        <rFont val="Charis SIL"/>
      </rPr>
      <t>k̚</t>
    </r>
    <phoneticPr fontId="7" type="noConversion"/>
  </si>
  <si>
    <t>俗</t>
  </si>
  <si>
    <t>恭（促）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</si>
  <si>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ㆦㆻ</t>
    </r>
  </si>
  <si>
    <r>
      <rPr>
        <sz val="18"/>
        <color rgb="FF000000"/>
        <rFont val="Noto Sans"/>
        <family val="2"/>
      </rPr>
      <t>ㄧㄛㄍ</t>
    </r>
  </si>
  <si>
    <t>iook</t>
  </si>
  <si>
    <t>iok</t>
  </si>
  <si>
    <r>
      <rPr>
        <b/>
        <sz val="18"/>
        <color rgb="FFC00000"/>
        <rFont val="Noto Sans"/>
        <family val="2"/>
      </rPr>
      <t>ɪɔŋ</t>
    </r>
    <phoneticPr fontId="7" type="noConversion"/>
  </si>
  <si>
    <t>中</t>
  </si>
  <si>
    <t>恭（舒）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</si>
  <si>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ㆲ</t>
    </r>
  </si>
  <si>
    <r>
      <rPr>
        <sz val="18"/>
        <color rgb="FF000000"/>
        <rFont val="Noto Sans"/>
        <family val="2"/>
      </rPr>
      <t>ㄧㄛㄥ</t>
    </r>
  </si>
  <si>
    <t>iong</t>
  </si>
  <si>
    <t>ip̚</t>
    <phoneticPr fontId="7" type="noConversion"/>
  </si>
  <si>
    <t>蟄</t>
  </si>
  <si>
    <t>金（促）</t>
  </si>
  <si>
    <r>
      <rPr>
        <sz val="18"/>
        <color rgb="FF000000"/>
        <rFont val="Noto Sans"/>
        <family val="2"/>
      </rPr>
      <t>一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</si>
  <si>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ㄧㄅ</t>
    </r>
  </si>
  <si>
    <t>ip</t>
  </si>
  <si>
    <t>it̚</t>
    <phoneticPr fontId="7" type="noConversion"/>
  </si>
  <si>
    <t>一</t>
  </si>
  <si>
    <t>巾（促）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</si>
  <si>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</si>
  <si>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ㄧㄉ</t>
    </r>
  </si>
  <si>
    <t>it</t>
  </si>
  <si>
    <r>
      <rPr>
        <b/>
        <sz val="18"/>
        <color rgb="FFC00000"/>
        <rFont val="Noto Sans"/>
        <family val="2"/>
      </rPr>
      <t>ɪɔ</t>
    </r>
    <r>
      <rPr>
        <b/>
        <sz val="18"/>
        <color rgb="FFC00000"/>
        <rFont val="Charis SIL"/>
      </rPr>
      <t>̃</t>
    </r>
    <phoneticPr fontId="7" type="noConversion"/>
  </si>
  <si>
    <t>腔</t>
  </si>
  <si>
    <t>薑（舒）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</si>
  <si>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ㆧ</t>
    </r>
  </si>
  <si>
    <r>
      <t>⁰</t>
    </r>
    <r>
      <rPr>
        <sz val="18"/>
        <color rgb="FF000000"/>
        <rFont val="Noto Sans"/>
        <family val="2"/>
      </rPr>
      <t>ㄧㄛ</t>
    </r>
  </si>
  <si>
    <t>ioonn</t>
  </si>
  <si>
    <t>nioo</t>
  </si>
  <si>
    <t>ionn</t>
  </si>
  <si>
    <t>ioⁿ</t>
  </si>
  <si>
    <t>油</t>
  </si>
  <si>
    <t>丩（舒）</t>
  </si>
  <si>
    <r>
      <rPr>
        <sz val="18"/>
        <color rgb="FF000000"/>
        <rFont val="Noto Sans"/>
        <family val="2"/>
      </rPr>
      <t>ㄧㄨ</t>
    </r>
  </si>
  <si>
    <t>香</t>
  </si>
  <si>
    <t>牛（舒）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</si>
  <si>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ㆫ</t>
    </r>
  </si>
  <si>
    <r>
      <t>⁰</t>
    </r>
    <r>
      <rPr>
        <sz val="18"/>
        <color rgb="FF000000"/>
        <rFont val="Noto Sans"/>
        <family val="2"/>
      </rPr>
      <t>ㄧㄨ</t>
    </r>
  </si>
  <si>
    <t>iunn</t>
  </si>
  <si>
    <t>niu</t>
  </si>
  <si>
    <t>iuⁿ</t>
  </si>
  <si>
    <t>牛（促）</t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</si>
  <si>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haris SIL"/>
      </rPr>
      <t>ㆫㆷ</t>
    </r>
    <phoneticPr fontId="7" type="noConversion"/>
  </si>
  <si>
    <r>
      <t>⁰</t>
    </r>
    <r>
      <rPr>
        <sz val="18"/>
        <color rgb="FFFF0000"/>
        <rFont val="Microsoft JhengHei"/>
        <family val="2"/>
      </rPr>
      <t>ㄧㄨㄏ</t>
    </r>
  </si>
  <si>
    <t>iunnh</t>
    <phoneticPr fontId="7" type="noConversion"/>
  </si>
  <si>
    <t>niuh</t>
    <phoneticPr fontId="7" type="noConversion"/>
  </si>
  <si>
    <t>iunnh</t>
  </si>
  <si>
    <t>iuhⁿ</t>
    <phoneticPr fontId="2" type="noConversion"/>
  </si>
  <si>
    <t>m̩</t>
    <phoneticPr fontId="7" type="noConversion"/>
  </si>
  <si>
    <t>姆</t>
  </si>
  <si>
    <t>姆（舒）</t>
  </si>
  <si>
    <t>ㆬ</t>
  </si>
  <si>
    <r>
      <rPr>
        <sz val="18"/>
        <color rgb="FF000000"/>
        <rFont val="Noto Sans"/>
        <family val="2"/>
      </rPr>
      <t>ㄇ</t>
    </r>
  </si>
  <si>
    <t>m̩ʔ</t>
  </si>
  <si>
    <t>姆（促）</t>
  </si>
  <si>
    <t>ㆬㆷ</t>
    <phoneticPr fontId="7" type="noConversion"/>
  </si>
  <si>
    <r>
      <rPr>
        <sz val="18"/>
        <color rgb="FFFF0000"/>
        <rFont val="細明體"/>
        <family val="2"/>
        <charset val="136"/>
      </rPr>
      <t>ㄇㄏ</t>
    </r>
  </si>
  <si>
    <t>mh</t>
    <phoneticPr fontId="7" type="noConversion"/>
  </si>
  <si>
    <t>mh</t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</si>
  <si>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haris SIL"/>
      </rPr>
      <t>̍</t>
    </r>
  </si>
  <si>
    <t>床</t>
  </si>
  <si>
    <t>鋼（舒）</t>
  </si>
  <si>
    <t>ㆭ</t>
  </si>
  <si>
    <r>
      <rPr>
        <sz val="18"/>
        <color rgb="FF000000"/>
        <rFont val="Noto Sans"/>
        <family val="2"/>
      </rPr>
      <t>ㄥ</t>
    </r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</si>
  <si>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haris SIL"/>
      </rPr>
      <t>̍ʔ</t>
    </r>
  </si>
  <si>
    <t>鋼（促）</t>
  </si>
  <si>
    <t>ㆭㆷ</t>
    <phoneticPr fontId="7" type="noConversion"/>
  </si>
  <si>
    <r>
      <rPr>
        <sz val="18"/>
        <color rgb="FFFF0000"/>
        <rFont val="細明體"/>
        <family val="2"/>
        <charset val="136"/>
      </rPr>
      <t>ㄥㄏ</t>
    </r>
  </si>
  <si>
    <t>ngh</t>
    <phoneticPr fontId="7" type="noConversion"/>
  </si>
  <si>
    <t>ngh</t>
  </si>
  <si>
    <t>ə</t>
    <phoneticPr fontId="7" type="noConversion"/>
  </si>
  <si>
    <t>果</t>
  </si>
  <si>
    <t>高（舒）</t>
  </si>
  <si>
    <r>
      <rPr>
        <sz val="18"/>
        <color rgb="FF000000"/>
        <rFont val="Noto Sans"/>
        <family val="2"/>
      </rPr>
      <t>ㄜ</t>
    </r>
  </si>
  <si>
    <t>or</t>
  </si>
  <si>
    <t>əʔ</t>
    <phoneticPr fontId="7" type="noConversion"/>
  </si>
  <si>
    <t>卜</t>
  </si>
  <si>
    <t>高（促）</t>
  </si>
  <si>
    <r>
      <rPr>
        <sz val="18"/>
        <color rgb="FF000000"/>
        <rFont val="Noto Sans"/>
        <family val="2"/>
      </rPr>
      <t>ㄜ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</si>
  <si>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ㄜㄏ</t>
    </r>
  </si>
  <si>
    <t>orh</t>
  </si>
  <si>
    <t>oh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</si>
  <si>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k̚</t>
    </r>
    <phoneticPr fontId="7" type="noConversion"/>
  </si>
  <si>
    <t>福</t>
  </si>
  <si>
    <t>公（促）</t>
  </si>
  <si>
    <t>ㆦㆻ</t>
  </si>
  <si>
    <r>
      <rPr>
        <sz val="18"/>
        <color rgb="FF000000"/>
        <rFont val="Noto Sans"/>
        <family val="2"/>
      </rPr>
      <t>ㄛㄍ</t>
    </r>
  </si>
  <si>
    <t>ok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</si>
  <si>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m</t>
    </r>
    <phoneticPr fontId="7" type="noConversion"/>
  </si>
  <si>
    <t>丼</t>
  </si>
  <si>
    <t>箴（舒）</t>
  </si>
  <si>
    <t>ㆱ</t>
  </si>
  <si>
    <r>
      <rPr>
        <sz val="18"/>
        <color rgb="FF000000"/>
        <rFont val="Noto Sans"/>
        <family val="2"/>
      </rPr>
      <t>ㄛㄇ</t>
    </r>
  </si>
  <si>
    <t>oom</t>
  </si>
  <si>
    <t>om</t>
  </si>
  <si>
    <r>
      <rPr>
        <b/>
        <sz val="18"/>
        <color rgb="FFC00000"/>
        <rFont val="Noto Sans"/>
        <family val="2"/>
      </rPr>
      <t>ɔŋ</t>
    </r>
    <phoneticPr fontId="7" type="noConversion"/>
  </si>
  <si>
    <t>風</t>
  </si>
  <si>
    <t>公（舒）</t>
  </si>
  <si>
    <t>ㆲ</t>
  </si>
  <si>
    <r>
      <rPr>
        <sz val="18"/>
        <color rgb="FF000000"/>
        <rFont val="Noto Sans"/>
        <family val="2"/>
      </rPr>
      <t>ㄛㄥ</t>
    </r>
  </si>
  <si>
    <t>ong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</si>
  <si>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̃</t>
    </r>
    <phoneticPr fontId="7" type="noConversion"/>
  </si>
  <si>
    <t>張</t>
  </si>
  <si>
    <t>姑（舒）</t>
  </si>
  <si>
    <t>ㆧ</t>
  </si>
  <si>
    <r>
      <t>⁰</t>
    </r>
    <r>
      <rPr>
        <sz val="18"/>
        <color rgb="FF000000"/>
        <rFont val="Noto Sans"/>
        <family val="2"/>
      </rPr>
      <t>ㄛ</t>
    </r>
  </si>
  <si>
    <t>oonn</t>
  </si>
  <si>
    <t>noo</t>
  </si>
  <si>
    <t>onn</t>
  </si>
  <si>
    <t>oⁿ</t>
    <phoneticPr fontId="2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</si>
  <si>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̃ʔ</t>
    </r>
    <phoneticPr fontId="7" type="noConversion"/>
  </si>
  <si>
    <t>扛（促）</t>
  </si>
  <si>
    <t>ㆧㆷ</t>
  </si>
  <si>
    <r>
      <t>⁰</t>
    </r>
    <r>
      <rPr>
        <sz val="18"/>
        <color rgb="FF000000"/>
        <rFont val="Noto Sans"/>
        <family val="2"/>
      </rPr>
      <t>ㄛㄏ</t>
    </r>
  </si>
  <si>
    <t>onnh</t>
  </si>
  <si>
    <t>niuh</t>
  </si>
  <si>
    <t>ohnn</t>
  </si>
  <si>
    <t>ohⁿ</t>
  </si>
  <si>
    <r>
      <rPr>
        <b/>
        <sz val="18"/>
        <color rgb="FFC00000"/>
        <rFont val="Noto Sans"/>
        <family val="2"/>
      </rPr>
      <t>ɔ</t>
    </r>
    <phoneticPr fontId="7" type="noConversion"/>
  </si>
  <si>
    <t>捕</t>
  </si>
  <si>
    <t>沽（舒）</t>
  </si>
  <si>
    <t>ㆦ</t>
  </si>
  <si>
    <r>
      <rPr>
        <sz val="18"/>
        <color rgb="FF000000"/>
        <rFont val="Noto Sans"/>
        <family val="2"/>
      </rPr>
      <t>ㄛ</t>
    </r>
  </si>
  <si>
    <t>oo</t>
  </si>
  <si>
    <t>o͘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</si>
  <si>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ʔ</t>
    </r>
    <phoneticPr fontId="7" type="noConversion"/>
  </si>
  <si>
    <t>沽（促）</t>
  </si>
  <si>
    <t>ㆦㆷ</t>
    <phoneticPr fontId="7" type="noConversion"/>
  </si>
  <si>
    <r>
      <rPr>
        <sz val="18"/>
        <color rgb="FFFF0000"/>
        <rFont val="細明體"/>
        <family val="2"/>
        <charset val="136"/>
      </rPr>
      <t>ㄛㄏ</t>
    </r>
  </si>
  <si>
    <t>ooh</t>
    <phoneticPr fontId="7" type="noConversion"/>
  </si>
  <si>
    <t>ooh</t>
  </si>
  <si>
    <t>o͘h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</si>
  <si>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p̚</t>
    </r>
    <phoneticPr fontId="7" type="noConversion"/>
  </si>
  <si>
    <t>吷</t>
  </si>
  <si>
    <t>箴（促）</t>
  </si>
  <si>
    <t>ㆦㆴ</t>
  </si>
  <si>
    <r>
      <rPr>
        <sz val="18"/>
        <color rgb="FF000000"/>
        <rFont val="Noto Sans"/>
        <family val="2"/>
      </rPr>
      <t>ㄛㄅ</t>
    </r>
  </si>
  <si>
    <t>oop</t>
  </si>
  <si>
    <t>op</t>
  </si>
  <si>
    <t>夫</t>
  </si>
  <si>
    <t>艍（舒）</t>
  </si>
  <si>
    <r>
      <rPr>
        <sz val="18"/>
        <color rgb="FF000000"/>
        <rFont val="Noto Sans"/>
        <family val="2"/>
      </rPr>
      <t>ㄨ</t>
    </r>
  </si>
  <si>
    <t>ua</t>
    <phoneticPr fontId="7" type="noConversion"/>
  </si>
  <si>
    <t>花</t>
  </si>
  <si>
    <t>瓜（舒）</t>
  </si>
  <si>
    <r>
      <rPr>
        <sz val="18"/>
        <color rgb="FF000000"/>
        <rFont val="Noto Sans"/>
        <family val="2"/>
      </rPr>
      <t>ㄨㄚ</t>
    </r>
  </si>
  <si>
    <t>oa</t>
  </si>
  <si>
    <t>uaʔ</t>
    <phoneticPr fontId="7" type="noConversion"/>
  </si>
  <si>
    <t>缽</t>
  </si>
  <si>
    <t>瓜（促）</t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</si>
  <si>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</si>
  <si>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ㄨㄚㄏ</t>
    </r>
  </si>
  <si>
    <t>uah</t>
  </si>
  <si>
    <t>oah</t>
  </si>
  <si>
    <t>uai</t>
    <phoneticPr fontId="7" type="noConversion"/>
  </si>
  <si>
    <t>怪</t>
  </si>
  <si>
    <t>乖（舒）</t>
  </si>
  <si>
    <r>
      <rPr>
        <sz val="18"/>
        <color rgb="FF000000"/>
        <rFont val="Noto Sans"/>
        <family val="2"/>
      </rPr>
      <t>ㄨㄞ</t>
    </r>
  </si>
  <si>
    <t>oai</t>
  </si>
  <si>
    <t>uãi</t>
    <phoneticPr fontId="7" type="noConversion"/>
  </si>
  <si>
    <t>檨</t>
  </si>
  <si>
    <t>閂（舒）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</si>
  <si>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ㆮ</t>
    </r>
  </si>
  <si>
    <r>
      <t>⁰</t>
    </r>
    <r>
      <rPr>
        <sz val="18"/>
        <color rgb="FF000000"/>
        <rFont val="Noto Sans"/>
        <family val="2"/>
      </rPr>
      <t>ㄨㄞ</t>
    </r>
  </si>
  <si>
    <t>uainn</t>
  </si>
  <si>
    <t>nuai</t>
  </si>
  <si>
    <t>oaiⁿ</t>
  </si>
  <si>
    <t>uaiʔ</t>
    <phoneticPr fontId="7" type="noConversion"/>
  </si>
  <si>
    <t>乖（促）</t>
  </si>
  <si>
    <r>
      <rPr>
        <sz val="18"/>
        <color rgb="FF000000"/>
        <rFont val="Noto Sans"/>
        <family val="2"/>
      </rPr>
      <t>ㄨㄞ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</si>
  <si>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ㄨㄞㄏ</t>
    </r>
  </si>
  <si>
    <t>uaih</t>
  </si>
  <si>
    <t>oaih</t>
  </si>
  <si>
    <t>uãiʔ</t>
    <phoneticPr fontId="7" type="noConversion"/>
  </si>
  <si>
    <t>蹶</t>
  </si>
  <si>
    <t>閂（促）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</si>
  <si>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ㆮㆷ</t>
    </r>
  </si>
  <si>
    <r>
      <t>⁰</t>
    </r>
    <r>
      <rPr>
        <sz val="18"/>
        <color rgb="FF000000"/>
        <rFont val="Noto Sans"/>
        <family val="2"/>
      </rPr>
      <t>ㄨㄞㄏ</t>
    </r>
  </si>
  <si>
    <t>uainnh</t>
  </si>
  <si>
    <t>uainnh</t>
    <phoneticPr fontId="7" type="noConversion"/>
  </si>
  <si>
    <t>uaihnn</t>
  </si>
  <si>
    <t>oaihⁿ</t>
  </si>
  <si>
    <t>uan</t>
    <phoneticPr fontId="7" type="noConversion"/>
  </si>
  <si>
    <t>猿</t>
  </si>
  <si>
    <t>觀（舒）</t>
  </si>
  <si>
    <r>
      <rPr>
        <sz val="18"/>
        <color rgb="FF000000"/>
        <rFont val="Noto Sans"/>
        <family val="2"/>
      </rPr>
      <t>ㄨㄢ</t>
    </r>
  </si>
  <si>
    <t>uan</t>
  </si>
  <si>
    <t>oan</t>
  </si>
  <si>
    <r>
      <t>ua</t>
    </r>
    <r>
      <rPr>
        <b/>
        <sz val="18"/>
        <color rgb="FFC00000"/>
        <rFont val="Noto Sans"/>
        <family val="2"/>
      </rPr>
      <t>ŋ</t>
    </r>
    <phoneticPr fontId="7" type="noConversion"/>
  </si>
  <si>
    <t>闖</t>
  </si>
  <si>
    <t>光（舒）</t>
  </si>
  <si>
    <r>
      <rPr>
        <sz val="18"/>
        <color rgb="FF000000"/>
        <rFont val="Noto Sans"/>
        <family val="2"/>
      </rPr>
      <t>ㄨㄤ</t>
    </r>
  </si>
  <si>
    <t>uang</t>
  </si>
  <si>
    <t>oang</t>
  </si>
  <si>
    <t>uã</t>
    <phoneticPr fontId="7" type="noConversion"/>
  </si>
  <si>
    <t>肝</t>
  </si>
  <si>
    <t>官（舒）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</si>
  <si>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ㆩ</t>
    </r>
  </si>
  <si>
    <r>
      <t>⁰</t>
    </r>
    <r>
      <rPr>
        <sz val="18"/>
        <color rgb="FF000000"/>
        <rFont val="Noto Sans"/>
        <family val="2"/>
      </rPr>
      <t>ㄨㄚ</t>
    </r>
  </si>
  <si>
    <t>uann</t>
  </si>
  <si>
    <t>nua</t>
  </si>
  <si>
    <t>oaⁿ</t>
  </si>
  <si>
    <t>uat̚</t>
    <phoneticPr fontId="7" type="noConversion"/>
  </si>
  <si>
    <t>說</t>
  </si>
  <si>
    <t>觀（促）</t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</si>
  <si>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</si>
  <si>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ㄨㄚㄉ</t>
    </r>
  </si>
  <si>
    <t>uat</t>
  </si>
  <si>
    <t>oat</t>
  </si>
  <si>
    <t>ue</t>
    <phoneticPr fontId="7" type="noConversion"/>
  </si>
  <si>
    <t>話</t>
  </si>
  <si>
    <t>檜（舒）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</si>
  <si>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ㆤ</t>
    </r>
  </si>
  <si>
    <r>
      <rPr>
        <sz val="18"/>
        <color rgb="FF000000"/>
        <rFont val="Noto Sans"/>
        <family val="2"/>
      </rPr>
      <t>ㄨㄝ</t>
    </r>
  </si>
  <si>
    <t>oe</t>
  </si>
  <si>
    <t>ueʔ</t>
    <phoneticPr fontId="7" type="noConversion"/>
  </si>
  <si>
    <t>拔</t>
  </si>
  <si>
    <t>檜（促）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</si>
  <si>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ㆤㆷ</t>
    </r>
  </si>
  <si>
    <r>
      <rPr>
        <sz val="18"/>
        <color rgb="FF000000"/>
        <rFont val="Noto Sans"/>
        <family val="2"/>
      </rPr>
      <t>ㄨㄝㄏ</t>
    </r>
  </si>
  <si>
    <t>ueh</t>
  </si>
  <si>
    <t>oeh</t>
  </si>
  <si>
    <t>uʔ</t>
    <phoneticPr fontId="7" type="noConversion"/>
  </si>
  <si>
    <t>勃</t>
  </si>
  <si>
    <t>艍（促）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</si>
  <si>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</si>
  <si>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ㄨㄏ</t>
    </r>
  </si>
  <si>
    <t>uh</t>
  </si>
  <si>
    <t>ui</t>
    <phoneticPr fontId="7" type="noConversion"/>
  </si>
  <si>
    <t>歸</t>
  </si>
  <si>
    <t>規（舒）</t>
  </si>
  <si>
    <r>
      <rPr>
        <sz val="18"/>
        <color rgb="FF000000"/>
        <rFont val="Noto Sans"/>
        <family val="2"/>
      </rPr>
      <t>ㄨㄧ</t>
    </r>
  </si>
  <si>
    <t>uiʔ</t>
    <phoneticPr fontId="7" type="noConversion"/>
  </si>
  <si>
    <t>褌（促）</t>
  </si>
  <si>
    <r>
      <rPr>
        <sz val="18"/>
        <color rgb="FFFF0000"/>
        <rFont val="Microsoft JhengHei"/>
        <family val="2"/>
      </rPr>
      <t>ㄨㄧ</t>
    </r>
    <r>
      <rPr>
        <sz val="18"/>
        <color rgb="FFFF0000"/>
        <rFont val="Charis SIL"/>
      </rPr>
      <t>ㆷ</t>
    </r>
    <phoneticPr fontId="7" type="noConversion"/>
  </si>
  <si>
    <r>
      <rPr>
        <sz val="18"/>
        <color rgb="FFFF0000"/>
        <rFont val="Microsoft JhengHei"/>
        <family val="2"/>
      </rPr>
      <t>ㄨㄧㄏ</t>
    </r>
  </si>
  <si>
    <t>uih</t>
    <phoneticPr fontId="7" type="noConversion"/>
  </si>
  <si>
    <t>uih</t>
  </si>
  <si>
    <t>uĩ</t>
    <phoneticPr fontId="7" type="noConversion"/>
  </si>
  <si>
    <t>荒</t>
  </si>
  <si>
    <t>褌（舒）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</si>
  <si>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ㆪ</t>
    </r>
  </si>
  <si>
    <r>
      <t>⁰</t>
    </r>
    <r>
      <rPr>
        <sz val="18"/>
        <color rgb="FF000000"/>
        <rFont val="Noto Sans"/>
        <family val="2"/>
      </rPr>
      <t>ㄨㄧ</t>
    </r>
  </si>
  <si>
    <t>uinn</t>
  </si>
  <si>
    <t>nui</t>
  </si>
  <si>
    <t>uiⁿ</t>
  </si>
  <si>
    <t>un</t>
    <phoneticPr fontId="7" type="noConversion"/>
  </si>
  <si>
    <t>汾</t>
  </si>
  <si>
    <t>君（舒）</t>
  </si>
  <si>
    <r>
      <rPr>
        <sz val="18"/>
        <color rgb="FF000000"/>
        <rFont val="Noto Sans"/>
        <family val="2"/>
      </rPr>
      <t>ㄨㄣ</t>
    </r>
  </si>
  <si>
    <t>un</t>
  </si>
  <si>
    <t>ut̚</t>
    <phoneticPr fontId="7" type="noConversion"/>
  </si>
  <si>
    <t>不</t>
  </si>
  <si>
    <t>君（促）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</si>
  <si>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</si>
  <si>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ㄨㄉ</t>
    </r>
  </si>
  <si>
    <t>ut</t>
  </si>
  <si>
    <t>響度優先次第： a &gt; oo &gt; (e = o) &gt; (i = u)〈低元音 &gt; 高元音 &gt; 無擦通音 &gt; 擦音 &gt; 塞音〉</t>
  </si>
  <si>
    <t>調號</t>
  </si>
  <si>
    <t>調名</t>
    <phoneticPr fontId="7" type="noConversion"/>
  </si>
  <si>
    <t>鍵盤按鍵</t>
  </si>
  <si>
    <t>台羅調符編碼</t>
    <phoneticPr fontId="7" type="noConversion"/>
  </si>
  <si>
    <t>傳統調號</t>
    <phoneticPr fontId="7" type="noConversion"/>
  </si>
  <si>
    <t>調值</t>
    <phoneticPr fontId="7" type="noConversion"/>
  </si>
  <si>
    <t>調性</t>
    <phoneticPr fontId="7" type="noConversion"/>
  </si>
  <si>
    <t>閩拼調符編碼</t>
    <phoneticPr fontId="7" type="noConversion"/>
  </si>
  <si>
    <t>閩拼調號</t>
    <phoneticPr fontId="7" type="noConversion"/>
  </si>
  <si>
    <t>上平</t>
    <phoneticPr fontId="7" type="noConversion"/>
  </si>
  <si>
    <t>;</t>
    <phoneticPr fontId="7" type="noConversion"/>
  </si>
  <si>
    <t>高音調</t>
    <phoneticPr fontId="7" type="noConversion"/>
  </si>
  <si>
    <t>上聲</t>
    <phoneticPr fontId="7" type="noConversion"/>
  </si>
  <si>
    <t>\</t>
    <phoneticPr fontId="7" type="noConversion"/>
  </si>
  <si>
    <t>下去</t>
    <phoneticPr fontId="7" type="noConversion"/>
  </si>
  <si>
    <t>中音調</t>
    <phoneticPr fontId="7" type="noConversion"/>
  </si>
  <si>
    <t>-</t>
    <phoneticPr fontId="7" type="noConversion"/>
  </si>
  <si>
    <t>U+0302</t>
    <phoneticPr fontId="7" type="noConversion"/>
  </si>
  <si>
    <t>上去</t>
    <phoneticPr fontId="7" type="noConversion"/>
  </si>
  <si>
    <t>_</t>
  </si>
  <si>
    <t>U+0300</t>
    <phoneticPr fontId="7" type="noConversion"/>
  </si>
  <si>
    <t>低音調</t>
    <phoneticPr fontId="7" type="noConversion"/>
  </si>
  <si>
    <t>上入</t>
    <phoneticPr fontId="7" type="noConversion"/>
  </si>
  <si>
    <t>[</t>
    <phoneticPr fontId="7" type="noConversion"/>
  </si>
  <si>
    <t>高降調</t>
    <phoneticPr fontId="7" type="noConversion"/>
  </si>
  <si>
    <t>下平</t>
    <phoneticPr fontId="7" type="noConversion"/>
  </si>
  <si>
    <t>/</t>
  </si>
  <si>
    <t>低升調</t>
    <phoneticPr fontId="7" type="noConversion"/>
  </si>
  <si>
    <t>低促調</t>
    <phoneticPr fontId="7" type="noConversion"/>
  </si>
  <si>
    <t>U+0304</t>
    <phoneticPr fontId="7" type="noConversion"/>
  </si>
  <si>
    <t>下入</t>
    <phoneticPr fontId="7" type="noConversion"/>
  </si>
  <si>
    <t>高促調</t>
    <phoneticPr fontId="7" type="noConversion"/>
  </si>
  <si>
    <t>]</t>
  </si>
  <si>
    <t>U+030D</t>
    <phoneticPr fontId="7" type="noConversion"/>
  </si>
  <si>
    <t>上聲</t>
  </si>
  <si>
    <t>輕聲</t>
    <phoneticPr fontId="7" type="noConversion"/>
  </si>
  <si>
    <t>上標值</t>
    <phoneticPr fontId="7" type="noConversion"/>
  </si>
  <si>
    <t>閩拼調符編碼</t>
  </si>
  <si>
    <t>符號</t>
    <phoneticPr fontId="7" type="noConversion"/>
  </si>
  <si>
    <t>Unicode 編碼</t>
    <phoneticPr fontId="7" type="noConversion"/>
  </si>
  <si>
    <t>實例</t>
    <phoneticPr fontId="7" type="noConversion"/>
  </si>
  <si>
    <t>゜</t>
    <phoneticPr fontId="7" type="noConversion"/>
  </si>
  <si>
    <t>U+0303</t>
    <phoneticPr fontId="7" type="noConversion"/>
  </si>
  <si>
    <t>十進制 Unicode</t>
    <phoneticPr fontId="7" type="noConversion"/>
  </si>
  <si>
    <t>U+0294</t>
    <phoneticPr fontId="7" type="noConversion"/>
  </si>
  <si>
    <t>十六進制 Unicode</t>
    <phoneticPr fontId="7" type="noConversion"/>
  </si>
  <si>
    <t>U+309C</t>
    <phoneticPr fontId="7" type="noConversion"/>
  </si>
  <si>
    <t>U+0856</t>
    <phoneticPr fontId="7" type="noConversion"/>
  </si>
  <si>
    <t>ŋ</t>
    <phoneticPr fontId="7" type="noConversion"/>
  </si>
  <si>
    <t>əŋ</t>
  </si>
  <si>
    <r>
      <t>o</t>
    </r>
    <r>
      <rPr>
        <sz val="12"/>
        <color theme="1"/>
        <rFont val="Segoe UI"/>
        <family val="2"/>
      </rPr>
      <t>͘</t>
    </r>
    <phoneticPr fontId="7" type="noConversion"/>
  </si>
  <si>
    <t>ㄥ</t>
    <phoneticPr fontId="7" type="noConversion"/>
  </si>
  <si>
    <t>ㆭ</t>
    <phoneticPr fontId="7" type="noConversion"/>
  </si>
  <si>
    <t>韻母</t>
  </si>
  <si>
    <t>ph</t>
    <phoneticPr fontId="2" type="noConversion"/>
  </si>
  <si>
    <t>f</t>
    <phoneticPr fontId="2" type="noConversion"/>
  </si>
  <si>
    <t>th</t>
    <phoneticPr fontId="2" type="noConversion"/>
  </si>
  <si>
    <t>ts</t>
    <phoneticPr fontId="2" type="noConversion"/>
  </si>
  <si>
    <t>tsh</t>
    <phoneticPr fontId="2" type="noConversion"/>
  </si>
  <si>
    <t>正齒近舌上</t>
  </si>
  <si>
    <t>正齒近舌上</t>
    <phoneticPr fontId="2" type="noConversion"/>
  </si>
  <si>
    <t>正齒近齒頭</t>
  </si>
  <si>
    <t>正齒近齒頭</t>
    <phoneticPr fontId="2" type="noConversion"/>
  </si>
  <si>
    <t>莊</t>
  </si>
  <si>
    <t>莊</t>
    <phoneticPr fontId="2" type="noConversion"/>
  </si>
  <si>
    <t>初</t>
  </si>
  <si>
    <t>初</t>
    <phoneticPr fontId="2" type="noConversion"/>
  </si>
  <si>
    <t>疏</t>
  </si>
  <si>
    <t>疏</t>
    <phoneticPr fontId="2" type="noConversion"/>
  </si>
  <si>
    <t>神</t>
    <phoneticPr fontId="2" type="noConversion"/>
  </si>
  <si>
    <t>ㄏ</t>
    <phoneticPr fontId="2" type="noConversion"/>
  </si>
  <si>
    <t>kh</t>
    <phoneticPr fontId="2" type="noConversion"/>
  </si>
  <si>
    <t>ㄋ</t>
    <phoneticPr fontId="2" type="noConversion"/>
  </si>
  <si>
    <t>ㄫ</t>
    <phoneticPr fontId="2" type="noConversion"/>
  </si>
  <si>
    <t>ㄌ</t>
    <phoneticPr fontId="2" type="noConversion"/>
  </si>
  <si>
    <t>影</t>
  </si>
  <si>
    <t>為</t>
  </si>
  <si>
    <t>為</t>
    <phoneticPr fontId="2" type="noConversion"/>
  </si>
  <si>
    <t>ʔ</t>
    <phoneticPr fontId="2" type="noConversion"/>
  </si>
  <si>
    <t>識別號</t>
    <phoneticPr fontId="105" type="noConversion"/>
  </si>
  <si>
    <t>聲母對照表之識別號</t>
    <phoneticPr fontId="107" type="noConversion"/>
  </si>
  <si>
    <t>七聲類</t>
    <phoneticPr fontId="107" type="noConversion"/>
  </si>
  <si>
    <t>發音部位</t>
    <phoneticPr fontId="105" type="noConversion"/>
  </si>
  <si>
    <t>發音方法</t>
    <phoneticPr fontId="108" type="noConversion"/>
  </si>
  <si>
    <t>聲母</t>
    <phoneticPr fontId="105" type="noConversion"/>
  </si>
  <si>
    <t>清濁</t>
    <phoneticPr fontId="105" type="noConversion"/>
  </si>
  <si>
    <t>發送收</t>
  </si>
  <si>
    <t>切語上字集</t>
    <phoneticPr fontId="105" type="noConversion"/>
  </si>
  <si>
    <t>備註</t>
    <phoneticPr fontId="105" type="noConversion"/>
  </si>
  <si>
    <t>牙音</t>
  </si>
  <si>
    <t>牙音</t>
    <phoneticPr fontId="108" type="noConversion"/>
  </si>
  <si>
    <t>見</t>
  </si>
  <si>
    <t>全清</t>
  </si>
  <si>
    <t>發聲</t>
  </si>
  <si>
    <r>
      <t>古公過各規姑格詭吉紀几居九俱舉兼佳乖</t>
    </r>
    <r>
      <rPr>
        <b/>
        <sz val="16"/>
        <color rgb="FFFF0000"/>
        <rFont val="新細明體"/>
        <family val="1"/>
        <scheme val="minor"/>
      </rPr>
      <t>矩工</t>
    </r>
    <phoneticPr fontId="108" type="noConversion"/>
  </si>
  <si>
    <t>溪</t>
  </si>
  <si>
    <t>次清</t>
  </si>
  <si>
    <r>
      <t>康枯空口楷客恪苦窺牽謙去丘祛羌欽墟傾起綺豈區驅詰曲</t>
    </r>
    <r>
      <rPr>
        <b/>
        <sz val="16"/>
        <color rgb="FFFF0000"/>
        <rFont val="新細明體"/>
        <family val="1"/>
        <scheme val="minor"/>
      </rPr>
      <t>咎可乞袪弃卿</t>
    </r>
    <phoneticPr fontId="108" type="noConversion"/>
  </si>
  <si>
    <t>群</t>
  </si>
  <si>
    <t>全濁</t>
  </si>
  <si>
    <t xml:space="preserve"> </t>
  </si>
  <si>
    <r>
      <t>渠強求奇衢其暨</t>
    </r>
    <r>
      <rPr>
        <b/>
        <sz val="16"/>
        <color rgb="FFFF0000"/>
        <rFont val="新細明體"/>
        <family val="1"/>
        <scheme val="minor"/>
      </rPr>
      <t>曁</t>
    </r>
    <r>
      <rPr>
        <sz val="16"/>
        <rFont val="新細明體"/>
        <family val="1"/>
        <charset val="136"/>
        <scheme val="minor"/>
      </rPr>
      <t>具巨臼跪近狂</t>
    </r>
    <phoneticPr fontId="108" type="noConversion"/>
  </si>
  <si>
    <t>疑</t>
  </si>
  <si>
    <t>次濁</t>
  </si>
  <si>
    <t>收聲</t>
  </si>
  <si>
    <t>疑魚語宜玉遇虞愚牛擬研危五俄吾</t>
  </si>
  <si>
    <t>舌音</t>
  </si>
  <si>
    <t>舌頭音</t>
  </si>
  <si>
    <t>塞、鼻音</t>
    <phoneticPr fontId="108" type="noConversion"/>
  </si>
  <si>
    <t>端</t>
  </si>
  <si>
    <r>
      <t>多德得丁都當冬</t>
    </r>
    <r>
      <rPr>
        <b/>
        <sz val="16"/>
        <color rgb="FFFF0000"/>
        <rFont val="新細明體"/>
        <family val="1"/>
        <scheme val="minor"/>
      </rPr>
      <t>底</t>
    </r>
    <phoneticPr fontId="108" type="noConversion"/>
  </si>
  <si>
    <t>透</t>
  </si>
  <si>
    <t>他託土通天台湯吐</t>
  </si>
  <si>
    <t>定</t>
  </si>
  <si>
    <r>
      <t>徒同特唐堂田陀地度杜</t>
    </r>
    <r>
      <rPr>
        <b/>
        <sz val="16"/>
        <color rgb="FFFF0000"/>
        <rFont val="新細明體"/>
        <family val="1"/>
        <scheme val="minor"/>
      </rPr>
      <t>大</t>
    </r>
    <phoneticPr fontId="108" type="noConversion"/>
  </si>
  <si>
    <t>泥</t>
  </si>
  <si>
    <r>
      <t>奴乃諾內</t>
    </r>
    <r>
      <rPr>
        <b/>
        <sz val="16"/>
        <color rgb="FFFF0000"/>
        <rFont val="新細明體"/>
        <family val="1"/>
        <scheme val="minor"/>
      </rPr>
      <t>内</t>
    </r>
    <r>
      <rPr>
        <sz val="16"/>
        <rFont val="新細明體"/>
        <family val="1"/>
        <charset val="136"/>
        <scheme val="minor"/>
      </rPr>
      <t>那嬭</t>
    </r>
    <r>
      <rPr>
        <sz val="16"/>
        <color rgb="FFFF0000"/>
        <rFont val="新細明體"/>
        <family val="1"/>
        <scheme val="minor"/>
      </rPr>
      <t>㚷</t>
    </r>
    <r>
      <rPr>
        <b/>
        <sz val="16"/>
        <color rgb="FFFF0000"/>
        <rFont val="新細明體"/>
        <family val="1"/>
        <scheme val="minor"/>
      </rPr>
      <t>妳</t>
    </r>
    <phoneticPr fontId="108" type="noConversion"/>
  </si>
  <si>
    <t>舌上音</t>
  </si>
  <si>
    <t>知</t>
  </si>
  <si>
    <r>
      <t>知張豬</t>
    </r>
    <r>
      <rPr>
        <b/>
        <sz val="16"/>
        <color rgb="FFFF0000"/>
        <rFont val="新細明體"/>
        <family val="1"/>
        <scheme val="minor"/>
      </rPr>
      <t>猪</t>
    </r>
    <r>
      <rPr>
        <sz val="16"/>
        <rFont val="新細明體"/>
        <family val="1"/>
        <charset val="136"/>
        <scheme val="minor"/>
      </rPr>
      <t>徵中追陟卓竹珍</t>
    </r>
    <r>
      <rPr>
        <b/>
        <sz val="16"/>
        <color rgb="FFFF0000"/>
        <rFont val="新細明體"/>
        <family val="1"/>
        <scheme val="minor"/>
      </rPr>
      <t>迍</t>
    </r>
    <phoneticPr fontId="108" type="noConversion"/>
  </si>
  <si>
    <t>徹</t>
  </si>
  <si>
    <r>
      <t>抽癡褚</t>
    </r>
    <r>
      <rPr>
        <b/>
        <sz val="16"/>
        <color rgb="FFFF0000"/>
        <rFont val="新細明體"/>
        <family val="1"/>
        <scheme val="minor"/>
      </rPr>
      <t>禇</t>
    </r>
    <r>
      <rPr>
        <sz val="16"/>
        <rFont val="新細明體"/>
        <family val="1"/>
        <charset val="136"/>
        <scheme val="minor"/>
      </rPr>
      <t>楮丑恥敕</t>
    </r>
    <phoneticPr fontId="108" type="noConversion"/>
  </si>
  <si>
    <t>澄</t>
  </si>
  <si>
    <r>
      <t>除場池治持持遲佇柱丈直宅馳墜</t>
    </r>
    <r>
      <rPr>
        <b/>
        <sz val="16"/>
        <color rgb="FFFF0000"/>
        <rFont val="新細明體"/>
        <family val="1"/>
        <scheme val="minor"/>
      </rPr>
      <t>遟</t>
    </r>
    <phoneticPr fontId="108" type="noConversion"/>
  </si>
  <si>
    <t>娘</t>
    <phoneticPr fontId="108" type="noConversion"/>
  </si>
  <si>
    <t>n</t>
    <phoneticPr fontId="108" type="noConversion"/>
  </si>
  <si>
    <r>
      <t>尼拏女穠</t>
    </r>
    <r>
      <rPr>
        <b/>
        <sz val="16"/>
        <color rgb="FFFF0000"/>
        <rFont val="新細明體"/>
        <family val="1"/>
        <scheme val="minor"/>
      </rPr>
      <t>匿</t>
    </r>
    <phoneticPr fontId="108" type="noConversion"/>
  </si>
  <si>
    <t>脣音</t>
  </si>
  <si>
    <t>重脣音</t>
  </si>
  <si>
    <t>塞、鼻音</t>
  </si>
  <si>
    <t>幫</t>
  </si>
  <si>
    <r>
      <t>邊布補伯百北博</t>
    </r>
    <r>
      <rPr>
        <b/>
        <sz val="16"/>
        <color rgb="FFFF0000"/>
        <rFont val="新細明體"/>
        <family val="1"/>
        <scheme val="minor"/>
      </rPr>
      <t>愽</t>
    </r>
    <r>
      <rPr>
        <sz val="16"/>
        <rFont val="新細明體"/>
        <family val="1"/>
        <scheme val="minor"/>
      </rPr>
      <t>巴卑并鄙必彼兵筆陂畀晡</t>
    </r>
    <r>
      <rPr>
        <b/>
        <sz val="16"/>
        <color rgb="FFFF0000"/>
        <rFont val="新細明體"/>
        <family val="1"/>
        <scheme val="minor"/>
      </rPr>
      <t>風</t>
    </r>
    <phoneticPr fontId="108" type="noConversion"/>
  </si>
  <si>
    <t>滂</t>
  </si>
  <si>
    <r>
      <t>滂普匹譬披丕</t>
    </r>
    <r>
      <rPr>
        <b/>
        <sz val="16"/>
        <color rgb="FFFF0000"/>
        <rFont val="新細明體"/>
        <family val="1"/>
        <scheme val="minor"/>
      </rPr>
      <t>被</t>
    </r>
    <phoneticPr fontId="108" type="noConversion"/>
  </si>
  <si>
    <t>並</t>
  </si>
  <si>
    <t>蒲裴平皮步薄白部傍便弼婢毗簿捕</t>
    <phoneticPr fontId="108" type="noConversion"/>
  </si>
  <si>
    <t>明</t>
  </si>
  <si>
    <r>
      <t>莫慕模謨摸母明彌眉綿靡美</t>
    </r>
    <r>
      <rPr>
        <b/>
        <sz val="16"/>
        <color rgb="FFFF0000"/>
        <rFont val="新細明體"/>
        <family val="1"/>
        <scheme val="minor"/>
      </rPr>
      <t>矛</t>
    </r>
    <phoneticPr fontId="108" type="noConversion"/>
  </si>
  <si>
    <t>輕脣音</t>
  </si>
  <si>
    <t>非</t>
  </si>
  <si>
    <t>方封分府甫</t>
  </si>
  <si>
    <t>敷</t>
  </si>
  <si>
    <r>
      <t>敷孚妃撫峰拂芳</t>
    </r>
    <r>
      <rPr>
        <b/>
        <sz val="16"/>
        <color rgb="FFFF0000"/>
        <rFont val="新細明體"/>
        <family val="1"/>
        <scheme val="minor"/>
      </rPr>
      <t>峯</t>
    </r>
    <phoneticPr fontId="108" type="noConversion"/>
  </si>
  <si>
    <t>奉</t>
  </si>
  <si>
    <r>
      <t>防縛附父浮苻扶馮</t>
    </r>
    <r>
      <rPr>
        <sz val="16"/>
        <color rgb="FFFF0000"/>
        <rFont val="新細明體"/>
        <family val="1"/>
        <scheme val="minor"/>
      </rPr>
      <t>房符</t>
    </r>
    <phoneticPr fontId="108" type="noConversion"/>
  </si>
  <si>
    <t>微</t>
  </si>
  <si>
    <t>巫無武文望亡</t>
  </si>
  <si>
    <t>齒音</t>
  </si>
  <si>
    <t>齒頭音</t>
  </si>
  <si>
    <t>有噝塞擦音</t>
    <phoneticPr fontId="108" type="noConversion"/>
  </si>
  <si>
    <t>精</t>
  </si>
  <si>
    <r>
      <t>子資則兹醉遵祖臧作將即借姊</t>
    </r>
    <r>
      <rPr>
        <b/>
        <sz val="16"/>
        <color rgb="FFFF0000"/>
        <rFont val="新細明體"/>
        <family val="1"/>
        <scheme val="minor"/>
      </rPr>
      <t>茲</t>
    </r>
    <phoneticPr fontId="108" type="noConversion"/>
  </si>
  <si>
    <t>清</t>
  </si>
  <si>
    <r>
      <t>蒼倉雌醋麤此采親遷千青七取麁</t>
    </r>
    <r>
      <rPr>
        <b/>
        <sz val="16"/>
        <color rgb="FFFF0000"/>
        <rFont val="新細明體"/>
        <family val="1"/>
        <scheme val="minor"/>
      </rPr>
      <t>且</t>
    </r>
    <phoneticPr fontId="108" type="noConversion"/>
  </si>
  <si>
    <t>從</t>
  </si>
  <si>
    <r>
      <t>才徂慈藏在前秦情酢自昨漸匠疾</t>
    </r>
    <r>
      <rPr>
        <b/>
        <sz val="16"/>
        <color rgb="FFFF0000"/>
        <rFont val="新細明體"/>
        <family val="1"/>
        <scheme val="minor"/>
      </rPr>
      <t>鶵</t>
    </r>
    <phoneticPr fontId="108" type="noConversion"/>
  </si>
  <si>
    <t>有噝擦音</t>
    <phoneticPr fontId="108" type="noConversion"/>
  </si>
  <si>
    <t>心</t>
  </si>
  <si>
    <t>蘇桑思司斯雖素速相辛須胥先悉息寫私</t>
  </si>
  <si>
    <t>邪</t>
  </si>
  <si>
    <r>
      <t>辭隨寺似徐祥詳旬夕辤</t>
    </r>
    <r>
      <rPr>
        <b/>
        <sz val="16"/>
        <color rgb="FFFF0000"/>
        <rFont val="新細明體"/>
        <family val="1"/>
        <scheme val="minor"/>
      </rPr>
      <t>辝</t>
    </r>
    <phoneticPr fontId="108" type="noConversion"/>
  </si>
  <si>
    <r>
      <t>莊爭阻鄒簪側仄</t>
    </r>
    <r>
      <rPr>
        <b/>
        <sz val="16"/>
        <color rgb="FFFF0000"/>
        <rFont val="新細明體"/>
        <family val="1"/>
        <scheme val="minor"/>
      </rPr>
      <t>壯</t>
    </r>
    <r>
      <rPr>
        <b/>
        <sz val="16"/>
        <color rgb="FFFF0000"/>
        <rFont val="SimSun-ExtB"/>
        <family val="3"/>
        <charset val="134"/>
      </rPr>
      <t>𩛠</t>
    </r>
    <phoneticPr fontId="108" type="noConversion"/>
  </si>
  <si>
    <t>照（莊／章）</t>
    <phoneticPr fontId="108" type="noConversion"/>
  </si>
  <si>
    <r>
      <t>初叉廁</t>
    </r>
    <r>
      <rPr>
        <b/>
        <sz val="16"/>
        <color rgb="FFFF0000"/>
        <rFont val="新細明體"/>
        <family val="1"/>
        <scheme val="minor"/>
      </rPr>
      <t>厠</t>
    </r>
    <r>
      <rPr>
        <sz val="16"/>
        <rFont val="新細明體"/>
        <family val="1"/>
        <scheme val="minor"/>
      </rPr>
      <t>創瘡芻測楚</t>
    </r>
    <phoneticPr fontId="108" type="noConversion"/>
  </si>
  <si>
    <t>穿（初／昌）</t>
    <phoneticPr fontId="108" type="noConversion"/>
  </si>
  <si>
    <t>牀</t>
    <phoneticPr fontId="108" type="noConversion"/>
  </si>
  <si>
    <r>
      <t>牀崇查</t>
    </r>
    <r>
      <rPr>
        <b/>
        <sz val="16"/>
        <color rgb="FFFF0000"/>
        <rFont val="新細明體"/>
        <family val="1"/>
        <scheme val="minor"/>
      </rPr>
      <t>査</t>
    </r>
    <r>
      <rPr>
        <sz val="16"/>
        <rFont val="新細明體"/>
        <family val="1"/>
        <charset val="136"/>
        <scheme val="minor"/>
      </rPr>
      <t>雛鋤鉏豺</t>
    </r>
    <r>
      <rPr>
        <b/>
        <sz val="16"/>
        <color rgb="FFFF0000"/>
        <rFont val="新細明體"/>
        <family val="1"/>
        <scheme val="minor"/>
      </rPr>
      <t>犲</t>
    </r>
    <r>
      <rPr>
        <sz val="16"/>
        <rFont val="新細明體"/>
        <family val="1"/>
        <charset val="136"/>
        <scheme val="minor"/>
      </rPr>
      <t>助俟士仕崱</t>
    </r>
    <phoneticPr fontId="108" type="noConversion"/>
  </si>
  <si>
    <t>牀（崇／俟）</t>
    <phoneticPr fontId="108" type="noConversion"/>
  </si>
  <si>
    <t>送氣</t>
    <phoneticPr fontId="108" type="noConversion"/>
  </si>
  <si>
    <r>
      <t>疏山沙砂生色數所史</t>
    </r>
    <r>
      <rPr>
        <sz val="16"/>
        <color rgb="FFFF0000"/>
        <rFont val="新細明體"/>
        <family val="1"/>
        <scheme val="minor"/>
      </rPr>
      <t>踈䟽疎</t>
    </r>
    <phoneticPr fontId="108" type="noConversion"/>
  </si>
  <si>
    <t>照</t>
    <phoneticPr fontId="108" type="noConversion"/>
  </si>
  <si>
    <r>
      <t>之辛征諸支脂止旨職煮</t>
    </r>
    <r>
      <rPr>
        <b/>
        <sz val="16"/>
        <color rgb="FFFF0000"/>
        <rFont val="新細明體"/>
        <family val="1"/>
        <scheme val="minor"/>
      </rPr>
      <t>煑</t>
    </r>
    <r>
      <rPr>
        <sz val="16"/>
        <rFont val="新細明體"/>
        <family val="1"/>
        <charset val="136"/>
        <scheme val="minor"/>
      </rPr>
      <t>正占</t>
    </r>
    <r>
      <rPr>
        <b/>
        <sz val="16"/>
        <color rgb="FFFF0000"/>
        <rFont val="新細明體"/>
        <family val="1"/>
        <scheme val="minor"/>
      </rPr>
      <t>章遮主</t>
    </r>
    <phoneticPr fontId="108" type="noConversion"/>
  </si>
  <si>
    <t>穿</t>
    <phoneticPr fontId="108" type="noConversion"/>
  </si>
  <si>
    <t>昌春充叱赤尺處姝</t>
  </si>
  <si>
    <t>神</t>
    <phoneticPr fontId="108" type="noConversion"/>
  </si>
  <si>
    <r>
      <t>神乘</t>
    </r>
    <r>
      <rPr>
        <b/>
        <sz val="16"/>
        <color rgb="FFFF0000"/>
        <rFont val="新細明體"/>
        <family val="1"/>
        <scheme val="minor"/>
      </rPr>
      <t>乗</t>
    </r>
    <r>
      <rPr>
        <sz val="16"/>
        <rFont val="新細明體"/>
        <family val="1"/>
        <charset val="136"/>
        <scheme val="minor"/>
      </rPr>
      <t>食實</t>
    </r>
    <phoneticPr fontId="108" type="noConversion"/>
  </si>
  <si>
    <t>審</t>
    <phoneticPr fontId="108" type="noConversion"/>
  </si>
  <si>
    <t>書舒傷商施失詩始釋賞識矢式試</t>
  </si>
  <si>
    <t>審（生／書）</t>
    <phoneticPr fontId="108" type="noConversion"/>
  </si>
  <si>
    <t>禪</t>
  </si>
  <si>
    <r>
      <t>時殊嘗</t>
    </r>
    <r>
      <rPr>
        <b/>
        <sz val="16"/>
        <color rgb="FFFF0000"/>
        <rFont val="新細明體"/>
        <family val="1"/>
        <scheme val="minor"/>
      </rPr>
      <t>甞</t>
    </r>
    <r>
      <rPr>
        <sz val="16"/>
        <color theme="1"/>
        <rFont val="新細明體"/>
        <family val="1"/>
        <scheme val="minor"/>
      </rPr>
      <t>常成臣蜀市植殖寔署是氏視</t>
    </r>
    <r>
      <rPr>
        <b/>
        <sz val="16"/>
        <color rgb="FFFF0000"/>
        <rFont val="新細明體"/>
        <family val="1"/>
        <scheme val="minor"/>
      </rPr>
      <t>承十</t>
    </r>
    <phoneticPr fontId="108" type="noConversion"/>
  </si>
  <si>
    <t>禪（禪／船）</t>
    <phoneticPr fontId="108" type="noConversion"/>
  </si>
  <si>
    <t>發聲</t>
    <phoneticPr fontId="108" type="noConversion"/>
  </si>
  <si>
    <r>
      <t>烏哀安紆愛握於央一伊依衣憂煙鷖憶乙謁挹委</t>
    </r>
    <r>
      <rPr>
        <b/>
        <sz val="16"/>
        <color rgb="FFFF0000"/>
        <rFont val="新細明體"/>
        <family val="1"/>
        <scheme val="minor"/>
      </rPr>
      <t>毆烟</t>
    </r>
    <phoneticPr fontId="108" type="noConversion"/>
  </si>
  <si>
    <t>曉</t>
  </si>
  <si>
    <r>
      <t>呼荒呵虛</t>
    </r>
    <r>
      <rPr>
        <b/>
        <sz val="16"/>
        <color rgb="FFFF0000"/>
        <rFont val="新細明體"/>
        <family val="1"/>
        <scheme val="minor"/>
      </rPr>
      <t>虚</t>
    </r>
    <r>
      <rPr>
        <sz val="16"/>
        <color theme="1"/>
        <rFont val="新細明體"/>
        <family val="1"/>
        <scheme val="minor"/>
      </rPr>
      <t>馨香羲休興虎火海況</t>
    </r>
    <r>
      <rPr>
        <b/>
        <sz val="16"/>
        <color rgb="FFFF0000"/>
        <rFont val="新細明體"/>
        <family val="1"/>
        <scheme val="minor"/>
      </rPr>
      <t>况</t>
    </r>
    <r>
      <rPr>
        <sz val="16"/>
        <color theme="1"/>
        <rFont val="新細明體"/>
        <family val="1"/>
        <scheme val="minor"/>
      </rPr>
      <t>朽喜許花</t>
    </r>
    <r>
      <rPr>
        <b/>
        <sz val="16"/>
        <color rgb="FFFF0000"/>
        <rFont val="新細明體"/>
        <family val="1"/>
        <scheme val="minor"/>
      </rPr>
      <t>兄</t>
    </r>
    <phoneticPr fontId="108" type="noConversion"/>
  </si>
  <si>
    <t>匣</t>
  </si>
  <si>
    <r>
      <t>胡乎侯何黃戶</t>
    </r>
    <r>
      <rPr>
        <b/>
        <sz val="16"/>
        <color rgb="FFFF0000"/>
        <rFont val="新細明體"/>
        <family val="1"/>
        <scheme val="minor"/>
      </rPr>
      <t>戸</t>
    </r>
    <r>
      <rPr>
        <sz val="16"/>
        <color theme="1"/>
        <rFont val="新細明體"/>
        <family val="1"/>
        <scheme val="minor"/>
      </rPr>
      <t>下獲懷</t>
    </r>
    <r>
      <rPr>
        <b/>
        <sz val="16"/>
        <color rgb="FFFF0000"/>
        <rFont val="新細明體"/>
        <family val="1"/>
        <scheme val="minor"/>
      </rPr>
      <t>諧</t>
    </r>
    <phoneticPr fontId="108" type="noConversion"/>
  </si>
  <si>
    <r>
      <t>于雲云筠為</t>
    </r>
    <r>
      <rPr>
        <b/>
        <sz val="16"/>
        <color rgb="FFFF0000"/>
        <rFont val="新細明體"/>
        <family val="1"/>
        <scheme val="minor"/>
      </rPr>
      <t>爲</t>
    </r>
    <r>
      <rPr>
        <sz val="16"/>
        <color theme="1"/>
        <rFont val="新細明體"/>
        <family val="1"/>
        <scheme val="minor"/>
      </rPr>
      <t>榮本王雨羽永有洧</t>
    </r>
    <r>
      <rPr>
        <sz val="16"/>
        <color theme="1"/>
        <rFont val="SimSun-ExtB"/>
        <family val="3"/>
        <charset val="134"/>
      </rPr>
      <t>𨘏</t>
    </r>
    <r>
      <rPr>
        <sz val="16"/>
        <color theme="1"/>
        <rFont val="新細明體"/>
        <family val="1"/>
        <charset val="136"/>
        <scheme val="minor"/>
      </rPr>
      <t>遠</t>
    </r>
    <phoneticPr fontId="108" type="noConversion"/>
  </si>
  <si>
    <t>喻</t>
  </si>
  <si>
    <r>
      <t>余餘予移夷羊營以弋翼與悅</t>
    </r>
    <r>
      <rPr>
        <b/>
        <sz val="16"/>
        <color rgb="FFFF0000"/>
        <rFont val="新細明體"/>
        <family val="1"/>
        <scheme val="minor"/>
      </rPr>
      <t>薳韋</t>
    </r>
    <phoneticPr fontId="108" type="noConversion"/>
  </si>
  <si>
    <t>半舌音</t>
  </si>
  <si>
    <t>半舌</t>
  </si>
  <si>
    <t>邊近音</t>
    <phoneticPr fontId="108" type="noConversion"/>
  </si>
  <si>
    <t>來</t>
  </si>
  <si>
    <t>l</t>
    <phoneticPr fontId="108" type="noConversion"/>
  </si>
  <si>
    <r>
      <t>來盧郎賴洛落勒力呂</t>
    </r>
    <r>
      <rPr>
        <b/>
        <sz val="16"/>
        <color rgb="FFFF0000"/>
        <rFont val="新細明體"/>
        <family val="1"/>
        <scheme val="minor"/>
      </rPr>
      <t>吕</t>
    </r>
    <r>
      <rPr>
        <sz val="16"/>
        <color theme="1"/>
        <rFont val="新細明體"/>
        <family val="1"/>
        <scheme val="minor"/>
      </rPr>
      <t>良林離里練魯紬連</t>
    </r>
    <r>
      <rPr>
        <b/>
        <sz val="16"/>
        <color rgb="FFFF0000"/>
        <rFont val="新細明體"/>
        <family val="1"/>
        <scheme val="minor"/>
      </rPr>
      <t>縷</t>
    </r>
    <phoneticPr fontId="108" type="noConversion"/>
  </si>
  <si>
    <t>半齒音</t>
  </si>
  <si>
    <t>半齒</t>
  </si>
  <si>
    <t>鼻音</t>
    <phoneticPr fontId="108" type="noConversion"/>
  </si>
  <si>
    <t>日</t>
  </si>
  <si>
    <t>如儒人仍汝兒而耳</t>
  </si>
  <si>
    <r>
      <rPr>
        <b/>
        <sz val="16"/>
        <color theme="0"/>
        <rFont val="Noto Sans TC Black"/>
        <family val="2"/>
        <charset val="136"/>
      </rPr>
      <t>聲母標音</t>
    </r>
    <phoneticPr fontId="105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</si>
  <si>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南語：文讀音【b】；白話音【m/b】。</t>
    </r>
    <phoneticPr fontId="108" type="noConversion"/>
  </si>
  <si>
    <r>
      <t>孃。</t>
    </r>
    <r>
      <rPr>
        <b/>
        <sz val="16"/>
        <color rgb="FFFF0000"/>
        <rFont val="Noto Serif TC"/>
        <family val="1"/>
      </rPr>
      <t>閩</t>
    </r>
    <r>
      <rPr>
        <b/>
        <sz val="16"/>
        <color rgb="FFFF0000"/>
        <rFont val="Jigmo"/>
        <family val="3"/>
        <charset val="128"/>
      </rPr>
      <t>南語：文讀音【l】；白話音【n/l】。</t>
    </r>
    <phoneticPr fontId="108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</si>
  <si>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南語：文讀音【g】；白話音【ng/g】。</t>
    </r>
    <phoneticPr fontId="108" type="noConversion"/>
  </si>
  <si>
    <t>匣【hap8】，《唐韻》胡(hoo5)甲(kap4)切，𠀤音狎(hap8)</t>
    <phoneticPr fontId="108" type="noConversion"/>
  </si>
  <si>
    <r>
      <rPr>
        <b/>
        <sz val="16"/>
        <color rgb="FFFF0000"/>
        <rFont val="Noto Serif TC"/>
        <family val="1"/>
        <charset val="136"/>
      </rPr>
      <t>喻</t>
    </r>
    <r>
      <rPr>
        <b/>
        <sz val="16"/>
        <color rgb="FFFF0000"/>
        <rFont val="Jigmo"/>
        <family val="3"/>
        <charset val="128"/>
      </rPr>
      <t xml:space="preserve">【u5】，《集韻》容(iong5)朱(tsu1)切，音兪(u5)。云  </t>
    </r>
    <phoneticPr fontId="108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</si>
  <si>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南語讀成【曉】母，文讀音【h】；白話音【p】</t>
    </r>
    <phoneticPr fontId="108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</si>
  <si>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南語讀成【曉】母，文讀音【h】；白話音【ph】</t>
    </r>
    <phoneticPr fontId="108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</si>
  <si>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南語讀成【匣】母，文讀音【h】；白話音【p】【ph】</t>
    </r>
    <phoneticPr fontId="108" type="noConversion"/>
  </si>
  <si>
    <t>書序</t>
    <phoneticPr fontId="2" type="noConversion"/>
  </si>
  <si>
    <t>識別號</t>
    <phoneticPr fontId="3" type="noConversion"/>
  </si>
  <si>
    <t>韻母標音</t>
    <phoneticPr fontId="3" type="noConversion"/>
  </si>
  <si>
    <t>等呼</t>
    <phoneticPr fontId="108" type="noConversion"/>
  </si>
  <si>
    <t>攝</t>
    <phoneticPr fontId="108" type="noConversion"/>
  </si>
  <si>
    <t>呼</t>
  </si>
  <si>
    <t>等</t>
  </si>
  <si>
    <t>調</t>
    <phoneticPr fontId="3" type="noConversion"/>
  </si>
  <si>
    <t>韻</t>
    <phoneticPr fontId="108" type="noConversion"/>
  </si>
  <si>
    <t>切語下字集</t>
    <phoneticPr fontId="108" type="noConversion"/>
  </si>
  <si>
    <t>備註</t>
    <phoneticPr fontId="3" type="noConversion"/>
  </si>
  <si>
    <t>東一</t>
  </si>
  <si>
    <t>獨洪</t>
  </si>
  <si>
    <t>東</t>
  </si>
  <si>
    <t>通</t>
  </si>
  <si>
    <t>開</t>
  </si>
  <si>
    <r>
      <t>工公紅東洪</t>
    </r>
    <r>
      <rPr>
        <sz val="20"/>
        <color rgb="FFFF0000"/>
        <rFont val="Noto Serif TC Black"/>
        <family val="1"/>
        <charset val="136"/>
      </rPr>
      <t>空</t>
    </r>
    <phoneticPr fontId="3" type="noConversion"/>
  </si>
  <si>
    <t>= IF(SEARCH(LEFT([@韻],1), [@韻目] ) &lt;&gt; 4, INDEX(韻母標音表[舒聲標音],[@韻母標音表之識別號]),  INDEX(韻母標音表[促聲標音],[@韻母標音表之識別號]))</t>
    <phoneticPr fontId="108" type="noConversion"/>
  </si>
  <si>
    <t>董一</t>
  </si>
  <si>
    <t>董</t>
  </si>
  <si>
    <r>
      <t>動乙摠董蠓</t>
    </r>
    <r>
      <rPr>
        <sz val="20"/>
        <color rgb="FFFF0000"/>
        <rFont val="Noto Serif TC Black"/>
        <family val="1"/>
        <charset val="136"/>
      </rPr>
      <t>孔</t>
    </r>
    <r>
      <rPr>
        <sz val="20"/>
        <color theme="1"/>
        <rFont val="Noto Serif TC Black"/>
        <family val="1"/>
        <charset val="136"/>
      </rPr>
      <t>揔</t>
    </r>
    <phoneticPr fontId="3" type="noConversion"/>
  </si>
  <si>
    <t>送一</t>
  </si>
  <si>
    <t>送</t>
  </si>
  <si>
    <r>
      <t>貢弄送凍</t>
    </r>
    <r>
      <rPr>
        <sz val="20"/>
        <color rgb="FFFF0000"/>
        <rFont val="Noto Serif TC Black"/>
        <family val="1"/>
        <charset val="136"/>
      </rPr>
      <t>鳳</t>
    </r>
    <phoneticPr fontId="3" type="noConversion"/>
  </si>
  <si>
    <t>屋一</t>
  </si>
  <si>
    <t>屋</t>
  </si>
  <si>
    <r>
      <t>谷祿</t>
    </r>
    <r>
      <rPr>
        <sz val="20"/>
        <color rgb="FFFF0000"/>
        <rFont val="Noto Serif TC Black"/>
        <family val="1"/>
        <charset val="136"/>
      </rPr>
      <t>禄</t>
    </r>
    <r>
      <rPr>
        <sz val="20"/>
        <color theme="1"/>
        <rFont val="Noto Serif TC Black"/>
        <family val="1"/>
        <charset val="136"/>
      </rPr>
      <t>木卜</t>
    </r>
    <phoneticPr fontId="3" type="noConversion"/>
  </si>
  <si>
    <t>東二</t>
  </si>
  <si>
    <t>獨細</t>
  </si>
  <si>
    <t>三</t>
  </si>
  <si>
    <t>弓戎中宮終融隆</t>
    <phoneticPr fontId="3" type="noConversion"/>
  </si>
  <si>
    <t>董二</t>
  </si>
  <si>
    <t>董韻無3等字</t>
    <phoneticPr fontId="3" type="noConversion"/>
  </si>
  <si>
    <t>送二</t>
  </si>
  <si>
    <r>
      <t>仲眾</t>
    </r>
    <r>
      <rPr>
        <sz val="20"/>
        <color rgb="FFFF0000"/>
        <rFont val="Noto Serif TC Black"/>
        <family val="1"/>
        <charset val="136"/>
      </rPr>
      <t>衆</t>
    </r>
    <phoneticPr fontId="3" type="noConversion"/>
  </si>
  <si>
    <t>屋二</t>
  </si>
  <si>
    <t>六逐匊宿竹菊福</t>
    <phoneticPr fontId="3" type="noConversion"/>
  </si>
  <si>
    <t>冬</t>
  </si>
  <si>
    <t>宗冬</t>
    <phoneticPr fontId="3" type="noConversion"/>
  </si>
  <si>
    <t>宋</t>
  </si>
  <si>
    <t>統宋綜</t>
    <phoneticPr fontId="3" type="noConversion"/>
  </si>
  <si>
    <t>沃</t>
  </si>
  <si>
    <t>毒沃篤酷</t>
    <phoneticPr fontId="3" type="noConversion"/>
  </si>
  <si>
    <t>鍾</t>
  </si>
  <si>
    <t>容凶庸鍾恭封</t>
    <phoneticPr fontId="3" type="noConversion"/>
  </si>
  <si>
    <t>腫</t>
  </si>
  <si>
    <r>
      <t>隴勇拱悚冢冗踵奉</t>
    </r>
    <r>
      <rPr>
        <sz val="20"/>
        <color rgb="FFFF0000"/>
        <rFont val="Noto Serif TC Black"/>
        <family val="1"/>
        <charset val="136"/>
      </rPr>
      <t>宂𪁪湩</t>
    </r>
    <phoneticPr fontId="3" type="noConversion"/>
  </si>
  <si>
    <t>用</t>
  </si>
  <si>
    <r>
      <t>用訟</t>
    </r>
    <r>
      <rPr>
        <sz val="20"/>
        <color rgb="FFFF0000"/>
        <rFont val="Noto Serif TC Black"/>
        <family val="1"/>
        <charset val="136"/>
      </rPr>
      <t>頌</t>
    </r>
    <phoneticPr fontId="3" type="noConversion"/>
  </si>
  <si>
    <t>燭</t>
  </si>
  <si>
    <r>
      <t>玉欲曲足蜀祿</t>
    </r>
    <r>
      <rPr>
        <sz val="20"/>
        <color rgb="FFFF0000"/>
        <rFont val="Noto Serif TC Black"/>
        <family val="1"/>
        <charset val="136"/>
      </rPr>
      <t>録</t>
    </r>
    <r>
      <rPr>
        <sz val="20"/>
        <color theme="1"/>
        <rFont val="Noto Serif TC Black"/>
        <family val="1"/>
        <charset val="136"/>
      </rPr>
      <t>錄</t>
    </r>
    <phoneticPr fontId="3" type="noConversion"/>
  </si>
  <si>
    <t>江</t>
  </si>
  <si>
    <t>二</t>
  </si>
  <si>
    <t>雙江</t>
    <phoneticPr fontId="3" type="noConversion"/>
  </si>
  <si>
    <t>講</t>
  </si>
  <si>
    <t>項講慃</t>
    <phoneticPr fontId="3" type="noConversion"/>
  </si>
  <si>
    <t>絳</t>
  </si>
  <si>
    <t>巷絳降</t>
    <phoneticPr fontId="3" type="noConversion"/>
  </si>
  <si>
    <t>覺</t>
  </si>
  <si>
    <t>岳角覺邈</t>
    <phoneticPr fontId="3" type="noConversion"/>
  </si>
  <si>
    <t>支一</t>
  </si>
  <si>
    <t>開細</t>
  </si>
  <si>
    <t>支</t>
  </si>
  <si>
    <r>
      <t>移支離知宜羈奇皮</t>
    </r>
    <r>
      <rPr>
        <sz val="20"/>
        <color rgb="FFFF0000"/>
        <rFont val="Noto Serif TC Black"/>
        <family val="1"/>
        <charset val="136"/>
      </rPr>
      <t>肌其兹甾</t>
    </r>
    <phoneticPr fontId="3" type="noConversion"/>
  </si>
  <si>
    <t>支二</t>
  </si>
  <si>
    <t>合細</t>
  </si>
  <si>
    <t>合</t>
  </si>
  <si>
    <r>
      <t>為</t>
    </r>
    <r>
      <rPr>
        <sz val="20"/>
        <color rgb="FFFF0000"/>
        <rFont val="Yu Gothic"/>
        <family val="2"/>
        <charset val="128"/>
      </rPr>
      <t>爲</t>
    </r>
    <r>
      <rPr>
        <sz val="20"/>
        <color theme="1"/>
        <rFont val="Noto Serif TC Black"/>
        <family val="1"/>
        <charset val="136"/>
      </rPr>
      <t>垂危吹隨規隋</t>
    </r>
    <r>
      <rPr>
        <sz val="20"/>
        <color rgb="FFFF0000"/>
        <rFont val="Noto Serif TC Black"/>
        <family val="1"/>
        <charset val="136"/>
      </rPr>
      <t>隹</t>
    </r>
    <phoneticPr fontId="3" type="noConversion"/>
  </si>
  <si>
    <t>紙一</t>
  </si>
  <si>
    <t>紙</t>
  </si>
  <si>
    <r>
      <t>氏紙此是豸侈爾綺倚俾婢弭</t>
    </r>
    <r>
      <rPr>
        <sz val="20"/>
        <color rgb="FFFF0000"/>
        <rFont val="Noto Serif TC Black"/>
        <family val="1"/>
        <charset val="136"/>
      </rPr>
      <t>帋</t>
    </r>
    <phoneticPr fontId="3" type="noConversion"/>
  </si>
  <si>
    <t>紙二</t>
  </si>
  <si>
    <r>
      <t>累詭捶髓毀棰</t>
    </r>
    <r>
      <rPr>
        <b/>
        <sz val="20"/>
        <color rgb="FFFF0000"/>
        <rFont val="Noto Serif TC Black"/>
        <family val="1"/>
        <charset val="136"/>
      </rPr>
      <t>委</t>
    </r>
    <phoneticPr fontId="3" type="noConversion"/>
  </si>
  <si>
    <t>寘一</t>
  </si>
  <si>
    <t>寘</t>
  </si>
  <si>
    <t>義賜豉智寄企避靡彼寘</t>
    <phoneticPr fontId="3" type="noConversion"/>
  </si>
  <si>
    <t>寘二</t>
  </si>
  <si>
    <r>
      <t>睡偽</t>
    </r>
    <r>
      <rPr>
        <sz val="20"/>
        <color theme="1"/>
        <rFont val="Yu Gothic"/>
        <family val="2"/>
        <charset val="128"/>
      </rPr>
      <t>僞</t>
    </r>
    <r>
      <rPr>
        <sz val="20"/>
        <color theme="1"/>
        <rFont val="Noto Serif TC Black"/>
        <family val="1"/>
        <charset val="136"/>
      </rPr>
      <t>恚瑞累</t>
    </r>
    <phoneticPr fontId="3" type="noConversion"/>
  </si>
  <si>
    <t>脂一</t>
  </si>
  <si>
    <t>脂</t>
  </si>
  <si>
    <t>夷脂飢尼冗資私眉悲</t>
    <phoneticPr fontId="3" type="noConversion"/>
  </si>
  <si>
    <t>脂二</t>
  </si>
  <si>
    <t>追綏佳遺維</t>
    <phoneticPr fontId="3" type="noConversion"/>
  </si>
  <si>
    <t>旨</t>
  </si>
  <si>
    <r>
      <t>雉視矢姊屐</t>
    </r>
    <r>
      <rPr>
        <sz val="20"/>
        <color rgb="FFFF0000"/>
        <rFont val="Noto Serif TC Black"/>
        <family val="1"/>
        <charset val="136"/>
      </rPr>
      <t>履</t>
    </r>
    <r>
      <rPr>
        <sz val="20"/>
        <color theme="1"/>
        <rFont val="Noto Serif TC Black"/>
        <family val="1"/>
        <charset val="136"/>
      </rPr>
      <t>几美鄙</t>
    </r>
    <phoneticPr fontId="3" type="noConversion"/>
  </si>
  <si>
    <t>旨一</t>
  </si>
  <si>
    <t>誄洧水軌癸壘</t>
    <phoneticPr fontId="3" type="noConversion"/>
  </si>
  <si>
    <t>旨二</t>
  </si>
  <si>
    <t>至</t>
  </si>
  <si>
    <r>
      <t>利四自冀</t>
    </r>
    <r>
      <rPr>
        <sz val="20"/>
        <color rgb="FFFF0000"/>
        <rFont val="Noto Serif TC Black"/>
        <family val="1"/>
        <charset val="136"/>
      </rPr>
      <t>兾</t>
    </r>
    <r>
      <rPr>
        <sz val="20"/>
        <color theme="1"/>
        <rFont val="Noto Serif TC Black"/>
        <family val="1"/>
        <charset val="136"/>
      </rPr>
      <t>至器二季悸媚備寐祕</t>
    </r>
    <phoneticPr fontId="3" type="noConversion"/>
  </si>
  <si>
    <t>至一</t>
  </si>
  <si>
    <t>類遂萃位醉愧</t>
    <phoneticPr fontId="3" type="noConversion"/>
  </si>
  <si>
    <t>至二</t>
  </si>
  <si>
    <t>之</t>
  </si>
  <si>
    <t>而之茲持甚菑</t>
    <phoneticPr fontId="3" type="noConversion"/>
  </si>
  <si>
    <t>己止紀市里史理擬士</t>
    <phoneticPr fontId="3" type="noConversion"/>
  </si>
  <si>
    <t>志</t>
  </si>
  <si>
    <t>吏記志置忌</t>
    <phoneticPr fontId="3" type="noConversion"/>
  </si>
  <si>
    <t>微一</t>
  </si>
  <si>
    <t>希衣依</t>
    <phoneticPr fontId="3" type="noConversion"/>
  </si>
  <si>
    <t>微二</t>
  </si>
  <si>
    <t>韋歸微非</t>
    <phoneticPr fontId="3" type="noConversion"/>
  </si>
  <si>
    <t>尾一</t>
  </si>
  <si>
    <t>尾</t>
  </si>
  <si>
    <r>
      <t>豈</t>
    </r>
    <r>
      <rPr>
        <sz val="20"/>
        <color rgb="FFFF0000"/>
        <rFont val="Noto Serif TC Black"/>
        <family val="1"/>
        <charset val="136"/>
      </rPr>
      <t>狶</t>
    </r>
    <r>
      <rPr>
        <sz val="20"/>
        <color theme="1"/>
        <rFont val="Noto Serif TC Black"/>
        <family val="1"/>
        <charset val="136"/>
      </rPr>
      <t>豨</t>
    </r>
    <phoneticPr fontId="3" type="noConversion"/>
  </si>
  <si>
    <t>尾二</t>
  </si>
  <si>
    <t>偉鬼匪尾</t>
    <phoneticPr fontId="3" type="noConversion"/>
  </si>
  <si>
    <t>未一</t>
  </si>
  <si>
    <t>未</t>
  </si>
  <si>
    <r>
      <t>既</t>
    </r>
    <r>
      <rPr>
        <sz val="20"/>
        <color rgb="FFFF0000"/>
        <rFont val="Noto Serif TC Black"/>
        <family val="1"/>
        <charset val="136"/>
      </rPr>
      <t>旣</t>
    </r>
    <r>
      <rPr>
        <sz val="20"/>
        <color theme="1"/>
        <rFont val="Noto Serif TC Black"/>
        <family val="1"/>
        <charset val="136"/>
      </rPr>
      <t>豙溉</t>
    </r>
    <phoneticPr fontId="3" type="noConversion"/>
  </si>
  <si>
    <t>未二</t>
  </si>
  <si>
    <t>貴胃畏沸未味</t>
    <phoneticPr fontId="3" type="noConversion"/>
  </si>
  <si>
    <t>魚</t>
  </si>
  <si>
    <t>遇</t>
  </si>
  <si>
    <r>
      <t>居魚諸余葅</t>
    </r>
    <r>
      <rPr>
        <b/>
        <sz val="20"/>
        <color rgb="FFFF0000"/>
        <rFont val="Noto Serif TC Black"/>
        <family val="1"/>
        <charset val="136"/>
      </rPr>
      <t>𦵔</t>
    </r>
    <phoneticPr fontId="3" type="noConversion"/>
  </si>
  <si>
    <r>
      <t>巨舉呂</t>
    </r>
    <r>
      <rPr>
        <sz val="20"/>
        <color rgb="FFFF0000"/>
        <rFont val="Noto Serif TC Black"/>
        <family val="1"/>
        <charset val="136"/>
      </rPr>
      <t>吕</t>
    </r>
    <r>
      <rPr>
        <sz val="20"/>
        <color theme="1"/>
        <rFont val="Noto Serif TC Black"/>
        <family val="1"/>
        <charset val="136"/>
      </rPr>
      <t>渚與許與与</t>
    </r>
    <phoneticPr fontId="3" type="noConversion"/>
  </si>
  <si>
    <t>御</t>
  </si>
  <si>
    <t>倨去據洳預恕署助慮御</t>
    <phoneticPr fontId="3" type="noConversion"/>
  </si>
  <si>
    <t>虞</t>
  </si>
  <si>
    <t>俱朱誅隅俞輸逾芻于無夫</t>
    <phoneticPr fontId="3" type="noConversion"/>
  </si>
  <si>
    <t>麌</t>
  </si>
  <si>
    <t>矩主庾雨禹羽武甫</t>
    <phoneticPr fontId="3" type="noConversion"/>
  </si>
  <si>
    <r>
      <t>具遇句戌</t>
    </r>
    <r>
      <rPr>
        <sz val="20"/>
        <color rgb="FFFF0000"/>
        <rFont val="Noto Serif TC Black"/>
        <family val="1"/>
        <charset val="136"/>
      </rPr>
      <t>戍</t>
    </r>
    <r>
      <rPr>
        <sz val="20"/>
        <color theme="1"/>
        <rFont val="Noto Serif TC Black"/>
        <family val="1"/>
        <charset val="136"/>
      </rPr>
      <t>注</t>
    </r>
    <phoneticPr fontId="3" type="noConversion"/>
  </si>
  <si>
    <t>模</t>
  </si>
  <si>
    <t>胡都吳乎姑烏吾孤</t>
    <phoneticPr fontId="3" type="noConversion"/>
  </si>
  <si>
    <t>姥</t>
  </si>
  <si>
    <r>
      <t>古戶</t>
    </r>
    <r>
      <rPr>
        <b/>
        <sz val="20"/>
        <color rgb="FFFF0000"/>
        <rFont val="Noto Serif TC Black"/>
        <family val="1"/>
        <charset val="136"/>
      </rPr>
      <t>戸</t>
    </r>
    <r>
      <rPr>
        <sz val="20"/>
        <color theme="1"/>
        <rFont val="Noto Serif TC Black"/>
        <family val="1"/>
        <charset val="136"/>
      </rPr>
      <t>杜魯補</t>
    </r>
    <r>
      <rPr>
        <b/>
        <sz val="20"/>
        <color rgb="FFFF0000"/>
        <rFont val="Noto Serif TC Black"/>
        <family val="1"/>
        <charset val="136"/>
      </rPr>
      <t>五</t>
    </r>
    <phoneticPr fontId="3" type="noConversion"/>
  </si>
  <si>
    <t>暮</t>
  </si>
  <si>
    <t>故誤暮祚路</t>
    <phoneticPr fontId="3" type="noConversion"/>
  </si>
  <si>
    <t>齊一</t>
  </si>
  <si>
    <t>齊</t>
  </si>
  <si>
    <t>蟹</t>
  </si>
  <si>
    <t>四</t>
  </si>
  <si>
    <t>奚雞稽低兮臡迷</t>
    <phoneticPr fontId="3" type="noConversion"/>
  </si>
  <si>
    <t>齊二</t>
  </si>
  <si>
    <t>圭攜</t>
    <phoneticPr fontId="3" type="noConversion"/>
  </si>
  <si>
    <t>攜：戶圭切</t>
    <phoneticPr fontId="3" type="noConversion"/>
  </si>
  <si>
    <t>薺一</t>
  </si>
  <si>
    <t>薺</t>
  </si>
  <si>
    <r>
      <t>禮啟</t>
    </r>
    <r>
      <rPr>
        <sz val="20"/>
        <color rgb="FFFF0000"/>
        <rFont val="Noto Serif TC Black"/>
        <family val="1"/>
        <charset val="136"/>
      </rPr>
      <t>啓</t>
    </r>
    <r>
      <rPr>
        <sz val="20"/>
        <color theme="1"/>
        <rFont val="Noto Serif TC Black"/>
        <family val="1"/>
        <charset val="136"/>
      </rPr>
      <t>弟米</t>
    </r>
    <phoneticPr fontId="3" type="noConversion"/>
  </si>
  <si>
    <t>薺二</t>
  </si>
  <si>
    <t>薺合4無字</t>
    <phoneticPr fontId="3" type="noConversion"/>
  </si>
  <si>
    <t>霽一</t>
  </si>
  <si>
    <t>霽</t>
  </si>
  <si>
    <t>詣計戾隸</t>
    <phoneticPr fontId="3" type="noConversion"/>
  </si>
  <si>
    <t>霽二</t>
  </si>
  <si>
    <t>桂惠</t>
    <phoneticPr fontId="3" type="noConversion"/>
  </si>
  <si>
    <t>祭一</t>
  </si>
  <si>
    <t>祭</t>
  </si>
  <si>
    <r>
      <t>例制罽祭憩袂蔽弊</t>
    </r>
    <r>
      <rPr>
        <sz val="20"/>
        <color rgb="FFFF0000"/>
        <rFont val="Noto Serif TC Black"/>
        <family val="1"/>
        <charset val="136"/>
      </rPr>
      <t>𡚁</t>
    </r>
    <r>
      <rPr>
        <sz val="20"/>
        <color theme="1"/>
        <rFont val="Noto Serif TC Black"/>
        <family val="1"/>
        <charset val="136"/>
      </rPr>
      <t>世</t>
    </r>
    <phoneticPr fontId="3" type="noConversion"/>
  </si>
  <si>
    <t>祭二</t>
  </si>
  <si>
    <t>芮銳衛稅劌歲</t>
    <phoneticPr fontId="3" type="noConversion"/>
  </si>
  <si>
    <t>泰一</t>
  </si>
  <si>
    <t>開洪</t>
  </si>
  <si>
    <t>泰</t>
  </si>
  <si>
    <t>蓋太艾大帶</t>
    <phoneticPr fontId="3" type="noConversion"/>
  </si>
  <si>
    <t>泰二</t>
  </si>
  <si>
    <t>合洪</t>
  </si>
  <si>
    <t>外會最貝</t>
    <phoneticPr fontId="3" type="noConversion"/>
  </si>
  <si>
    <t>佳一</t>
  </si>
  <si>
    <t>佳</t>
  </si>
  <si>
    <t>佳膎</t>
    <phoneticPr fontId="3" type="noConversion"/>
  </si>
  <si>
    <t>佳二</t>
  </si>
  <si>
    <t>蛙媧緺</t>
    <phoneticPr fontId="3" type="noConversion"/>
  </si>
  <si>
    <t>蟹一</t>
  </si>
  <si>
    <t>蟹買𦫳</t>
    <phoneticPr fontId="3" type="noConversion"/>
  </si>
  <si>
    <t>蟹二</t>
  </si>
  <si>
    <t>夥𠁥</t>
    <phoneticPr fontId="3" type="noConversion"/>
  </si>
  <si>
    <t>卦一</t>
  </si>
  <si>
    <t>卦</t>
  </si>
  <si>
    <r>
      <t>隘懈賣</t>
    </r>
    <r>
      <rPr>
        <sz val="20"/>
        <color rgb="FFFF0000"/>
        <rFont val="Noto Serif TC Black"/>
        <family val="1"/>
        <charset val="136"/>
      </rPr>
      <t>卦</t>
    </r>
    <phoneticPr fontId="3" type="noConversion"/>
  </si>
  <si>
    <t>卦二</t>
  </si>
  <si>
    <t>皆一</t>
  </si>
  <si>
    <t>皆</t>
  </si>
  <si>
    <t>諧皆</t>
    <phoneticPr fontId="3" type="noConversion"/>
  </si>
  <si>
    <t>皆二</t>
  </si>
  <si>
    <t>乖懷淮</t>
    <phoneticPr fontId="3" type="noConversion"/>
  </si>
  <si>
    <t>駭一</t>
  </si>
  <si>
    <t>駭</t>
  </si>
  <si>
    <t>駭楷</t>
    <phoneticPr fontId="3" type="noConversion"/>
  </si>
  <si>
    <t>駭二</t>
  </si>
  <si>
    <t>怪一</t>
  </si>
  <si>
    <t>戒介界拜殺</t>
    <phoneticPr fontId="3" type="noConversion"/>
  </si>
  <si>
    <t>怪二</t>
  </si>
  <si>
    <t>怪壞</t>
    <phoneticPr fontId="3" type="noConversion"/>
  </si>
  <si>
    <t>夬一</t>
  </si>
  <si>
    <t>夬</t>
  </si>
  <si>
    <r>
      <t>介</t>
    </r>
    <r>
      <rPr>
        <sz val="20"/>
        <color rgb="FFFF0000"/>
        <rFont val="Noto Serif TC Black"/>
        <family val="1"/>
        <charset val="136"/>
      </rPr>
      <t>喝犗</t>
    </r>
    <phoneticPr fontId="3" type="noConversion"/>
  </si>
  <si>
    <t>夬二</t>
  </si>
  <si>
    <t>夬快話邁</t>
    <phoneticPr fontId="3" type="noConversion"/>
  </si>
  <si>
    <t>灰</t>
  </si>
  <si>
    <r>
      <rPr>
        <sz val="20"/>
        <color rgb="FFFF0000"/>
        <rFont val="Noto Serif TC Black"/>
        <family val="1"/>
        <charset val="136"/>
      </rPr>
      <t>灰</t>
    </r>
    <r>
      <rPr>
        <sz val="20"/>
        <color theme="1"/>
        <rFont val="Noto Serif TC Black"/>
        <family val="1"/>
        <charset val="136"/>
      </rPr>
      <t>恢回杯</t>
    </r>
    <phoneticPr fontId="3" type="noConversion"/>
  </si>
  <si>
    <t>賄</t>
  </si>
  <si>
    <t>罪猥賄</t>
    <phoneticPr fontId="3" type="noConversion"/>
  </si>
  <si>
    <t>隊</t>
  </si>
  <si>
    <r>
      <rPr>
        <sz val="20"/>
        <color rgb="FFFF0000"/>
        <rFont val="Noto Serif TC Black"/>
        <family val="1"/>
        <charset val="136"/>
      </rPr>
      <t>隊</t>
    </r>
    <r>
      <rPr>
        <sz val="20"/>
        <color theme="1"/>
        <rFont val="Noto Serif TC Black"/>
        <family val="1"/>
        <charset val="136"/>
      </rPr>
      <t>內</t>
    </r>
    <r>
      <rPr>
        <sz val="20"/>
        <color rgb="FFFF0000"/>
        <rFont val="Noto Serif TC Black"/>
        <family val="1"/>
        <charset val="136"/>
      </rPr>
      <t>内</t>
    </r>
    <r>
      <rPr>
        <sz val="20"/>
        <color theme="1"/>
        <rFont val="Noto Serif TC Black"/>
        <family val="1"/>
        <charset val="136"/>
      </rPr>
      <t>對繢妹佩昧</t>
    </r>
    <r>
      <rPr>
        <sz val="20"/>
        <color rgb="FFFF0000"/>
        <rFont val="Noto Serif TC Black"/>
        <family val="1"/>
        <charset val="136"/>
      </rPr>
      <t>輩</t>
    </r>
    <phoneticPr fontId="3" type="noConversion"/>
  </si>
  <si>
    <t>咍</t>
  </si>
  <si>
    <t>來開哀才哉</t>
    <phoneticPr fontId="3" type="noConversion"/>
  </si>
  <si>
    <t>海</t>
  </si>
  <si>
    <t>改亥愷宰紿乃在</t>
    <phoneticPr fontId="3" type="noConversion"/>
  </si>
  <si>
    <t>代</t>
  </si>
  <si>
    <r>
      <rPr>
        <sz val="20"/>
        <color rgb="FFFF0000"/>
        <rFont val="Noto Serif TC Black"/>
        <family val="1"/>
        <charset val="136"/>
      </rPr>
      <t>耐槩愛漑代</t>
    </r>
    <r>
      <rPr>
        <sz val="20"/>
        <color theme="1"/>
        <rFont val="Noto Serif TC Black"/>
        <family val="1"/>
        <charset val="136"/>
      </rPr>
      <t>概</t>
    </r>
    <phoneticPr fontId="3" type="noConversion"/>
  </si>
  <si>
    <t>廢</t>
  </si>
  <si>
    <t>穢肺吠廢</t>
    <phoneticPr fontId="3" type="noConversion"/>
  </si>
  <si>
    <t>真</t>
  </si>
  <si>
    <t>臻</t>
  </si>
  <si>
    <r>
      <t>鄰人真</t>
    </r>
    <r>
      <rPr>
        <sz val="20"/>
        <color rgb="FFFF0000"/>
        <rFont val="Noto Serif TC Black"/>
        <family val="1"/>
        <charset val="136"/>
      </rPr>
      <t>眞</t>
    </r>
    <r>
      <rPr>
        <sz val="20"/>
        <color theme="1"/>
        <rFont val="Noto Serif TC Black"/>
        <family val="1"/>
        <charset val="136"/>
      </rPr>
      <t>珍巾銀賓辰</t>
    </r>
    <phoneticPr fontId="3" type="noConversion"/>
  </si>
  <si>
    <t>軫</t>
  </si>
  <si>
    <r>
      <rPr>
        <b/>
        <sz val="20"/>
        <color rgb="FFFF0000"/>
        <rFont val="Noto Serif TC Black"/>
        <family val="1"/>
        <charset val="136"/>
      </rPr>
      <t>忍</t>
    </r>
    <r>
      <rPr>
        <sz val="20"/>
        <color theme="1"/>
        <rFont val="Noto Serif TC Black"/>
        <family val="1"/>
        <charset val="136"/>
      </rPr>
      <t>軫引盡腎敏</t>
    </r>
    <phoneticPr fontId="3" type="noConversion"/>
  </si>
  <si>
    <t>震</t>
  </si>
  <si>
    <r>
      <t>刃</t>
    </r>
    <r>
      <rPr>
        <b/>
        <sz val="20"/>
        <color rgb="FFFF0000"/>
        <rFont val="Noto Serif TC Black"/>
        <family val="1"/>
        <charset val="136"/>
      </rPr>
      <t>晉</t>
    </r>
    <r>
      <rPr>
        <sz val="20"/>
        <color theme="1"/>
        <rFont val="Noto Serif TC Black"/>
        <family val="1"/>
        <charset val="136"/>
      </rPr>
      <t>遴振印覲</t>
    </r>
    <phoneticPr fontId="3" type="noConversion"/>
  </si>
  <si>
    <t>質</t>
  </si>
  <si>
    <t>栗悉七吉質日一乙叱必畢筆密耴</t>
    <phoneticPr fontId="3" type="noConversion"/>
  </si>
  <si>
    <t>諄</t>
  </si>
  <si>
    <t>倫綸脣勻遵均迍旬囷筠贇</t>
    <phoneticPr fontId="3" type="noConversion"/>
  </si>
  <si>
    <t>準</t>
  </si>
  <si>
    <r>
      <t>尹準允殞</t>
    </r>
    <r>
      <rPr>
        <sz val="20"/>
        <color rgb="FFFF0000"/>
        <rFont val="Noto Serif TC Black"/>
        <family val="1"/>
        <charset val="136"/>
      </rPr>
      <t>紖</t>
    </r>
    <phoneticPr fontId="3" type="noConversion"/>
  </si>
  <si>
    <t>稕</t>
  </si>
  <si>
    <t>閏峻順</t>
    <phoneticPr fontId="3" type="noConversion"/>
  </si>
  <si>
    <t>術</t>
  </si>
  <si>
    <t>術律聿卹率</t>
    <phoneticPr fontId="3" type="noConversion"/>
  </si>
  <si>
    <t>詵臻</t>
    <phoneticPr fontId="3" type="noConversion"/>
  </si>
  <si>
    <t>齔</t>
  </si>
  <si>
    <t>無切語</t>
    <phoneticPr fontId="3" type="noConversion"/>
  </si>
  <si>
    <t>櫛</t>
  </si>
  <si>
    <t>瑟櫛</t>
    <phoneticPr fontId="3" type="noConversion"/>
  </si>
  <si>
    <t>文</t>
  </si>
  <si>
    <t>云分文</t>
    <phoneticPr fontId="3" type="noConversion"/>
  </si>
  <si>
    <t>吻</t>
  </si>
  <si>
    <t>粉吻</t>
    <phoneticPr fontId="3" type="noConversion"/>
  </si>
  <si>
    <t>問</t>
  </si>
  <si>
    <t>運問</t>
    <phoneticPr fontId="3" type="noConversion"/>
  </si>
  <si>
    <t>物</t>
  </si>
  <si>
    <t>弗物勿</t>
    <phoneticPr fontId="3" type="noConversion"/>
  </si>
  <si>
    <t>魂</t>
  </si>
  <si>
    <r>
      <t>昆尊渾魂</t>
    </r>
    <r>
      <rPr>
        <b/>
        <sz val="20"/>
        <color rgb="FFFF0000"/>
        <rFont val="Microsoft JhengHei UI"/>
        <family val="2"/>
        <charset val="136"/>
      </rPr>
      <t>䰟</t>
    </r>
    <r>
      <rPr>
        <sz val="20"/>
        <color theme="1"/>
        <rFont val="Noto Serif TC Black"/>
        <family val="1"/>
        <charset val="136"/>
      </rPr>
      <t>奔</t>
    </r>
    <phoneticPr fontId="3" type="noConversion"/>
  </si>
  <si>
    <t>混</t>
  </si>
  <si>
    <r>
      <t>損袞</t>
    </r>
    <r>
      <rPr>
        <sz val="20"/>
        <color rgb="FFFF0000"/>
        <rFont val="Noto Serif TC Black"/>
        <family val="1"/>
        <charset val="136"/>
      </rPr>
      <t>衮</t>
    </r>
    <r>
      <rPr>
        <sz val="20"/>
        <color theme="1"/>
        <rFont val="Noto Serif TC Black"/>
        <family val="1"/>
        <charset val="136"/>
      </rPr>
      <t>忖本</t>
    </r>
    <phoneticPr fontId="3" type="noConversion"/>
  </si>
  <si>
    <t>慁</t>
  </si>
  <si>
    <t>困寸悶</t>
    <phoneticPr fontId="3" type="noConversion"/>
  </si>
  <si>
    <t>沒</t>
  </si>
  <si>
    <r>
      <t>骨忽没</t>
    </r>
    <r>
      <rPr>
        <sz val="20"/>
        <color rgb="FFFF0000"/>
        <rFont val="Noto Serif TC Black"/>
        <family val="1"/>
        <charset val="136"/>
      </rPr>
      <t>沒</t>
    </r>
    <r>
      <rPr>
        <sz val="20"/>
        <color theme="1"/>
        <rFont val="Noto Serif TC Black"/>
        <family val="1"/>
        <charset val="136"/>
      </rPr>
      <t>勃</t>
    </r>
    <phoneticPr fontId="3" type="noConversion"/>
  </si>
  <si>
    <t>痕</t>
  </si>
  <si>
    <t>根痕恩</t>
    <phoneticPr fontId="3" type="noConversion"/>
  </si>
  <si>
    <t>很</t>
  </si>
  <si>
    <t>墾很</t>
    <phoneticPr fontId="3" type="noConversion"/>
  </si>
  <si>
    <t>恨</t>
  </si>
  <si>
    <t>艮恨</t>
    <phoneticPr fontId="3" type="noConversion"/>
  </si>
  <si>
    <t>麧</t>
  </si>
  <si>
    <t>元一</t>
  </si>
  <si>
    <t>元</t>
  </si>
  <si>
    <t>言軒</t>
    <phoneticPr fontId="3" type="noConversion"/>
  </si>
  <si>
    <t>元二</t>
  </si>
  <si>
    <t>袁元煩</t>
  </si>
  <si>
    <t>阮一</t>
  </si>
  <si>
    <t>阮</t>
  </si>
  <si>
    <t>偃幰</t>
    <phoneticPr fontId="3" type="noConversion"/>
  </si>
  <si>
    <t>阮二</t>
  </si>
  <si>
    <t>阮遠晚</t>
  </si>
  <si>
    <t>願一</t>
  </si>
  <si>
    <t>願</t>
  </si>
  <si>
    <t>堰建</t>
    <phoneticPr fontId="3" type="noConversion"/>
  </si>
  <si>
    <t>願二</t>
  </si>
  <si>
    <t>願怨万販</t>
  </si>
  <si>
    <t>月一</t>
  </si>
  <si>
    <t>月</t>
  </si>
  <si>
    <t>訐竭謁歇</t>
    <phoneticPr fontId="3" type="noConversion"/>
  </si>
  <si>
    <t>月二</t>
  </si>
  <si>
    <t>厥越月伐發</t>
  </si>
  <si>
    <t>寒</t>
  </si>
  <si>
    <t>山</t>
  </si>
  <si>
    <t>安寒干</t>
    <phoneticPr fontId="3" type="noConversion"/>
  </si>
  <si>
    <t>旱</t>
  </si>
  <si>
    <t>笴旱但</t>
    <phoneticPr fontId="3" type="noConversion"/>
  </si>
  <si>
    <t>翰</t>
  </si>
  <si>
    <r>
      <t>旱案贊</t>
    </r>
    <r>
      <rPr>
        <sz val="20"/>
        <color rgb="FFFF0000"/>
        <rFont val="Noto Serif TC Black"/>
        <family val="1"/>
        <charset val="136"/>
      </rPr>
      <t>賛</t>
    </r>
    <r>
      <rPr>
        <sz val="20"/>
        <color theme="1"/>
        <rFont val="Noto Serif TC Black"/>
        <family val="1"/>
        <charset val="136"/>
      </rPr>
      <t>按旦</t>
    </r>
    <r>
      <rPr>
        <sz val="20"/>
        <color rgb="FFFF0000"/>
        <rFont val="Noto Serif TC Black"/>
        <family val="1"/>
        <charset val="136"/>
      </rPr>
      <t>旰</t>
    </r>
    <r>
      <rPr>
        <sz val="20"/>
        <color theme="1"/>
        <rFont val="Noto Serif TC Black"/>
        <family val="1"/>
        <charset val="136"/>
      </rPr>
      <t>憚</t>
    </r>
    <r>
      <rPr>
        <b/>
        <sz val="20"/>
        <color rgb="FFFF0000"/>
        <rFont val="Noto Serif TC Black"/>
        <family val="1"/>
        <charset val="136"/>
      </rPr>
      <t>漫</t>
    </r>
    <phoneticPr fontId="3" type="noConversion"/>
  </si>
  <si>
    <t>曷</t>
  </si>
  <si>
    <t>葛曷割達</t>
    <phoneticPr fontId="3" type="noConversion"/>
  </si>
  <si>
    <t>桓</t>
  </si>
  <si>
    <r>
      <t>官丸端潘</t>
    </r>
    <r>
      <rPr>
        <sz val="20"/>
        <color rgb="FFFF0000"/>
        <rFont val="Noto Serif TC Black"/>
        <family val="1"/>
        <charset val="136"/>
      </rPr>
      <t>袁元煩</t>
    </r>
    <phoneticPr fontId="3" type="noConversion"/>
  </si>
  <si>
    <t>緩</t>
  </si>
  <si>
    <r>
      <t>管伴滿</t>
    </r>
    <r>
      <rPr>
        <sz val="20"/>
        <color rgb="FFFF0000"/>
        <rFont val="Noto Serif TC Black"/>
        <family val="1"/>
        <charset val="136"/>
      </rPr>
      <t>緩纂</t>
    </r>
    <phoneticPr fontId="3" type="noConversion"/>
  </si>
  <si>
    <t>換</t>
  </si>
  <si>
    <r>
      <rPr>
        <sz val="20"/>
        <color rgb="FFFF0000"/>
        <rFont val="Noto Serif TC Black"/>
        <family val="1"/>
        <charset val="136"/>
      </rPr>
      <t>換喚</t>
    </r>
    <r>
      <rPr>
        <sz val="20"/>
        <color theme="1"/>
        <rFont val="Noto Serif TC Black"/>
        <family val="1"/>
        <charset val="136"/>
      </rPr>
      <t>玩段貫筭亂半幔</t>
    </r>
    <phoneticPr fontId="3" type="noConversion"/>
  </si>
  <si>
    <t>末</t>
  </si>
  <si>
    <t>括活栝撥末</t>
    <phoneticPr fontId="3" type="noConversion"/>
  </si>
  <si>
    <t>刪一</t>
  </si>
  <si>
    <t>刪</t>
  </si>
  <si>
    <r>
      <t>姦顏</t>
    </r>
    <r>
      <rPr>
        <b/>
        <sz val="20"/>
        <color rgb="FFFF0000"/>
        <rFont val="Yu Gothic"/>
        <family val="2"/>
        <charset val="128"/>
      </rPr>
      <t>顔</t>
    </r>
    <r>
      <rPr>
        <sz val="20"/>
        <color rgb="FFFF0000"/>
        <rFont val="Noto Serif TC Black"/>
        <family val="1"/>
        <charset val="136"/>
      </rPr>
      <t>閒</t>
    </r>
    <phoneticPr fontId="3" type="noConversion"/>
  </si>
  <si>
    <t>刪二</t>
  </si>
  <si>
    <t>還關班</t>
    <phoneticPr fontId="3" type="noConversion"/>
  </si>
  <si>
    <t>潸一</t>
  </si>
  <si>
    <t>潸</t>
  </si>
  <si>
    <t>赧</t>
    <phoneticPr fontId="3" type="noConversion"/>
  </si>
  <si>
    <t>潸二</t>
  </si>
  <si>
    <r>
      <t>綰板版</t>
    </r>
    <r>
      <rPr>
        <sz val="20"/>
        <color rgb="FFFF0000"/>
        <rFont val="Noto Serif TC Black"/>
        <family val="1"/>
        <charset val="136"/>
      </rPr>
      <t>鯇</t>
    </r>
    <phoneticPr fontId="3" type="noConversion"/>
  </si>
  <si>
    <t>諫一</t>
  </si>
  <si>
    <t>諫</t>
  </si>
  <si>
    <t>晏諫鴈澗</t>
    <phoneticPr fontId="3" type="noConversion"/>
  </si>
  <si>
    <t>諫二</t>
  </si>
  <si>
    <t>患慣慢</t>
    <phoneticPr fontId="3" type="noConversion"/>
  </si>
  <si>
    <t>黠一</t>
  </si>
  <si>
    <t>黠</t>
  </si>
  <si>
    <t>黠八拔</t>
    <phoneticPr fontId="3" type="noConversion"/>
  </si>
  <si>
    <t>黠二</t>
  </si>
  <si>
    <t>滑婠</t>
    <phoneticPr fontId="3" type="noConversion"/>
  </si>
  <si>
    <t>山一</t>
  </si>
  <si>
    <t>間閑山</t>
    <phoneticPr fontId="3" type="noConversion"/>
  </si>
  <si>
    <t>山二</t>
  </si>
  <si>
    <t>頑鰥頁</t>
    <phoneticPr fontId="3" type="noConversion"/>
  </si>
  <si>
    <t>產一</t>
  </si>
  <si>
    <t>產</t>
  </si>
  <si>
    <t>簡限</t>
    <phoneticPr fontId="3" type="noConversion"/>
  </si>
  <si>
    <t>產二</t>
  </si>
  <si>
    <t>綰</t>
    <phoneticPr fontId="3" type="noConversion"/>
  </si>
  <si>
    <t>襇一</t>
  </si>
  <si>
    <t>襇</t>
  </si>
  <si>
    <r>
      <t>襉</t>
    </r>
    <r>
      <rPr>
        <sz val="20"/>
        <color rgb="FFFF0000"/>
        <rFont val="Noto Serif TC Black"/>
        <family val="1"/>
        <charset val="136"/>
      </rPr>
      <t>襇</t>
    </r>
    <r>
      <rPr>
        <sz val="20"/>
        <color theme="1"/>
        <rFont val="Noto Serif TC Black"/>
        <family val="1"/>
        <charset val="136"/>
      </rPr>
      <t>莧</t>
    </r>
    <phoneticPr fontId="3" type="noConversion"/>
  </si>
  <si>
    <t>襇二</t>
  </si>
  <si>
    <t>幻</t>
    <phoneticPr fontId="3" type="noConversion"/>
  </si>
  <si>
    <t>鎋一</t>
  </si>
  <si>
    <t>鎋</t>
  </si>
  <si>
    <t>瞎轄鎋</t>
    <phoneticPr fontId="3" type="noConversion"/>
  </si>
  <si>
    <t>鎋二</t>
  </si>
  <si>
    <r>
      <t>刮</t>
    </r>
    <r>
      <rPr>
        <sz val="20"/>
        <color rgb="FFFF0000"/>
        <rFont val="Noto Serif TC Black"/>
        <family val="1"/>
        <charset val="136"/>
      </rPr>
      <t>䫄</t>
    </r>
    <phoneticPr fontId="3" type="noConversion"/>
  </si>
  <si>
    <t>先一</t>
  </si>
  <si>
    <t>先</t>
  </si>
  <si>
    <r>
      <t>前先賢年堅煙田顛</t>
    </r>
    <r>
      <rPr>
        <sz val="20"/>
        <color rgb="FFFF0000"/>
        <rFont val="Noto Serif TC Black"/>
        <family val="1"/>
        <charset val="136"/>
      </rPr>
      <t>顚</t>
    </r>
    <phoneticPr fontId="3" type="noConversion"/>
  </si>
  <si>
    <t>先二</t>
  </si>
  <si>
    <t>玄涓</t>
    <phoneticPr fontId="3" type="noConversion"/>
  </si>
  <si>
    <t>銑一</t>
  </si>
  <si>
    <t>銑</t>
  </si>
  <si>
    <t>典殄繭峴</t>
    <phoneticPr fontId="3" type="noConversion"/>
  </si>
  <si>
    <t>銑二</t>
  </si>
  <si>
    <t>泫畎</t>
    <phoneticPr fontId="3" type="noConversion"/>
  </si>
  <si>
    <t>霰一</t>
  </si>
  <si>
    <t>霰</t>
  </si>
  <si>
    <t>佃甸電練麪</t>
    <phoneticPr fontId="3" type="noConversion"/>
  </si>
  <si>
    <t>霰二</t>
  </si>
  <si>
    <r>
      <t>縣絢</t>
    </r>
    <r>
      <rPr>
        <sz val="20"/>
        <color rgb="FFFF0000"/>
        <rFont val="Noto Serif TC Black"/>
        <family val="1"/>
        <charset val="136"/>
      </rPr>
      <t>麵</t>
    </r>
    <phoneticPr fontId="3" type="noConversion"/>
  </si>
  <si>
    <t>屑一</t>
  </si>
  <si>
    <t>屑</t>
  </si>
  <si>
    <t>結屑蔑</t>
    <phoneticPr fontId="3" type="noConversion"/>
  </si>
  <si>
    <t>屑二</t>
  </si>
  <si>
    <t>穴決</t>
    <phoneticPr fontId="3" type="noConversion"/>
  </si>
  <si>
    <t>仙一</t>
  </si>
  <si>
    <t>仙</t>
  </si>
  <si>
    <t>然仙延連乾焉</t>
    <phoneticPr fontId="3" type="noConversion"/>
  </si>
  <si>
    <t>仙二</t>
  </si>
  <si>
    <r>
      <t>員緣泉權圓專孿</t>
    </r>
    <r>
      <rPr>
        <sz val="20"/>
        <color rgb="FFFF0000"/>
        <rFont val="Noto Serif TC Black"/>
        <family val="1"/>
        <charset val="136"/>
      </rPr>
      <t>攣</t>
    </r>
    <r>
      <rPr>
        <sz val="20"/>
        <color theme="1"/>
        <rFont val="Noto Serif TC Black"/>
        <family val="1"/>
        <charset val="136"/>
      </rPr>
      <t>宣川全</t>
    </r>
    <r>
      <rPr>
        <sz val="20"/>
        <color rgb="FFFF0000"/>
        <rFont val="Noto Serif TC Black"/>
        <family val="1"/>
        <charset val="136"/>
      </rPr>
      <t>貟</t>
    </r>
    <phoneticPr fontId="3" type="noConversion"/>
  </si>
  <si>
    <t>獮一</t>
  </si>
  <si>
    <t>獮</t>
  </si>
  <si>
    <t>淺演善輦蹇展翦辨免</t>
    <phoneticPr fontId="3" type="noConversion"/>
  </si>
  <si>
    <t>獮二</t>
  </si>
  <si>
    <r>
      <t>轉篆兗</t>
    </r>
    <r>
      <rPr>
        <sz val="20"/>
        <color rgb="FFFF0000"/>
        <rFont val="Noto Serif TC Black"/>
        <family val="1"/>
        <charset val="136"/>
      </rPr>
      <t>兖</t>
    </r>
    <r>
      <rPr>
        <sz val="20"/>
        <color theme="1"/>
        <rFont val="Noto Serif TC Black"/>
        <family val="1"/>
        <charset val="136"/>
      </rPr>
      <t>緬</t>
    </r>
    <phoneticPr fontId="3" type="noConversion"/>
  </si>
  <si>
    <t>線一</t>
  </si>
  <si>
    <t>線</t>
  </si>
  <si>
    <r>
      <t>箭賤膳扇戰見碾線面</t>
    </r>
    <r>
      <rPr>
        <sz val="20"/>
        <color rgb="FFFF0000"/>
        <rFont val="Noto Serif TC Black"/>
        <family val="1"/>
        <charset val="136"/>
      </rPr>
      <t>彦變</t>
    </r>
    <r>
      <rPr>
        <sz val="20"/>
        <color theme="1"/>
        <rFont val="Noto Serif TC Black"/>
        <family val="1"/>
        <charset val="136"/>
      </rPr>
      <t>院彥</t>
    </r>
    <phoneticPr fontId="3" type="noConversion"/>
  </si>
  <si>
    <t>線二</t>
  </si>
  <si>
    <t>絹囀倦掾戀眷釧卷</t>
    <phoneticPr fontId="3" type="noConversion"/>
  </si>
  <si>
    <t>薛一</t>
  </si>
  <si>
    <t>薛</t>
  </si>
  <si>
    <r>
      <t>列熱滅竭薛</t>
    </r>
    <r>
      <rPr>
        <sz val="20"/>
        <color rgb="FFFF0000"/>
        <rFont val="Noto Serif TC Black"/>
        <family val="1"/>
        <charset val="136"/>
      </rPr>
      <t>辥别別</t>
    </r>
    <phoneticPr fontId="3" type="noConversion"/>
  </si>
  <si>
    <t>薛二</t>
  </si>
  <si>
    <t>絕悅劣爇雪輟</t>
    <phoneticPr fontId="3" type="noConversion"/>
  </si>
  <si>
    <t>蕭</t>
  </si>
  <si>
    <t>效</t>
  </si>
  <si>
    <r>
      <t>彫聊堯么</t>
    </r>
    <r>
      <rPr>
        <sz val="20"/>
        <color rgb="FFFF0000"/>
        <rFont val="Noto Serif TC Black"/>
        <family val="1"/>
        <charset val="136"/>
      </rPr>
      <t>幺</t>
    </r>
    <r>
      <rPr>
        <sz val="20"/>
        <color theme="1"/>
        <rFont val="Noto Serif TC Black"/>
        <family val="1"/>
        <charset val="136"/>
      </rPr>
      <t>蕭</t>
    </r>
    <phoneticPr fontId="3" type="noConversion"/>
  </si>
  <si>
    <t>篠</t>
  </si>
  <si>
    <t>鳥了皎皛</t>
    <phoneticPr fontId="3" type="noConversion"/>
  </si>
  <si>
    <t>嘯</t>
  </si>
  <si>
    <t>弔叫嘯</t>
    <phoneticPr fontId="3" type="noConversion"/>
  </si>
  <si>
    <t>宵</t>
  </si>
  <si>
    <r>
      <t>邀宵遙嬌消招霄囂焦昭瀌</t>
    </r>
    <r>
      <rPr>
        <sz val="20"/>
        <color rgb="FFFF0000"/>
        <rFont val="Noto Serif TC Black"/>
        <family val="1"/>
        <charset val="136"/>
      </rPr>
      <t>喬嚻</t>
    </r>
    <phoneticPr fontId="3" type="noConversion"/>
  </si>
  <si>
    <t>小</t>
  </si>
  <si>
    <t>兆小夭沼矯少表</t>
    <phoneticPr fontId="3" type="noConversion"/>
  </si>
  <si>
    <t>笑</t>
  </si>
  <si>
    <r>
      <t>召肖照笑</t>
    </r>
    <r>
      <rPr>
        <sz val="20"/>
        <color rgb="FFFF0000"/>
        <rFont val="Noto Serif TC Black"/>
        <family val="1"/>
        <charset val="136"/>
      </rPr>
      <t>𥬇</t>
    </r>
    <r>
      <rPr>
        <sz val="20"/>
        <color theme="1"/>
        <rFont val="Noto Serif TC Black"/>
        <family val="1"/>
        <charset val="136"/>
      </rPr>
      <t>要廟妙邵</t>
    </r>
    <phoneticPr fontId="3" type="noConversion"/>
  </si>
  <si>
    <t>肴</t>
  </si>
  <si>
    <t>交嘲肴茅</t>
    <phoneticPr fontId="3" type="noConversion"/>
  </si>
  <si>
    <t>巧</t>
  </si>
  <si>
    <r>
      <t>絞巧飽</t>
    </r>
    <r>
      <rPr>
        <sz val="20"/>
        <color rgb="FFFF0000"/>
        <rFont val="Noto Serif TC Black"/>
        <family val="1"/>
        <charset val="136"/>
      </rPr>
      <t>爪</t>
    </r>
    <phoneticPr fontId="3" type="noConversion"/>
  </si>
  <si>
    <r>
      <t>教</t>
    </r>
    <r>
      <rPr>
        <sz val="20"/>
        <color rgb="FFFF0000"/>
        <rFont val="Noto Serif TC Black"/>
        <family val="1"/>
        <charset val="136"/>
      </rPr>
      <t>敎</t>
    </r>
    <r>
      <rPr>
        <sz val="20"/>
        <color theme="1"/>
        <rFont val="Noto Serif TC Black"/>
        <family val="1"/>
        <charset val="136"/>
      </rPr>
      <t>稍孝</t>
    </r>
    <r>
      <rPr>
        <sz val="20"/>
        <color rgb="FFFF0000"/>
        <rFont val="Noto Serif TC Black"/>
        <family val="1"/>
        <charset val="136"/>
      </rPr>
      <t>皃</t>
    </r>
    <phoneticPr fontId="3" type="noConversion"/>
  </si>
  <si>
    <t>豪</t>
  </si>
  <si>
    <r>
      <t>刀勞牢遭曹袍褒毛</t>
    </r>
    <r>
      <rPr>
        <sz val="20"/>
        <color rgb="FFFF0000"/>
        <rFont val="Noto Serif TC Black"/>
        <family val="1"/>
        <charset val="136"/>
      </rPr>
      <t>襃</t>
    </r>
    <phoneticPr fontId="3" type="noConversion"/>
  </si>
  <si>
    <t>晧</t>
  </si>
  <si>
    <t>老晧道浩早抱</t>
    <phoneticPr fontId="3" type="noConversion"/>
  </si>
  <si>
    <t>号</t>
  </si>
  <si>
    <t>到導耗報</t>
    <phoneticPr fontId="3" type="noConversion"/>
  </si>
  <si>
    <t>歌</t>
  </si>
  <si>
    <t>俄何河歌</t>
    <phoneticPr fontId="3" type="noConversion"/>
  </si>
  <si>
    <t>哿</t>
  </si>
  <si>
    <t>我可</t>
    <phoneticPr fontId="3" type="noConversion"/>
  </si>
  <si>
    <t>箇</t>
  </si>
  <si>
    <t>賀佐箇邏个</t>
    <phoneticPr fontId="3" type="noConversion"/>
  </si>
  <si>
    <t>戈一</t>
  </si>
  <si>
    <t>戈</t>
  </si>
  <si>
    <r>
      <t>禾戈和靴波婆</t>
    </r>
    <r>
      <rPr>
        <sz val="20"/>
        <color rgb="FFFF0000"/>
        <rFont val="Noto Serif TC Black"/>
        <family val="1"/>
        <charset val="136"/>
      </rPr>
      <t>𦚢𩩆𩨷</t>
    </r>
    <phoneticPr fontId="3" type="noConversion"/>
  </si>
  <si>
    <t>火果</t>
    <phoneticPr fontId="3" type="noConversion"/>
  </si>
  <si>
    <t>過</t>
  </si>
  <si>
    <r>
      <t>臥</t>
    </r>
    <r>
      <rPr>
        <sz val="20"/>
        <color rgb="FFFF0000"/>
        <rFont val="Noto Serif TC Black"/>
        <family val="1"/>
        <charset val="136"/>
      </rPr>
      <t>卧</t>
    </r>
    <r>
      <rPr>
        <sz val="20"/>
        <color theme="1"/>
        <rFont val="Noto Serif TC Black"/>
        <family val="1"/>
        <charset val="136"/>
      </rPr>
      <t>唾過貨</t>
    </r>
    <phoneticPr fontId="3" type="noConversion"/>
  </si>
  <si>
    <t>戈二</t>
  </si>
  <si>
    <t>迦伽</t>
    <phoneticPr fontId="3" type="noConversion"/>
  </si>
  <si>
    <t>戈三</t>
  </si>
  <si>
    <t>脞</t>
    <phoneticPr fontId="3" type="noConversion"/>
  </si>
  <si>
    <t>麻一</t>
  </si>
  <si>
    <t>麻</t>
  </si>
  <si>
    <t>假</t>
  </si>
  <si>
    <t>霞加牙巴</t>
    <phoneticPr fontId="3" type="noConversion"/>
  </si>
  <si>
    <t>麻二</t>
  </si>
  <si>
    <t>花瓜華</t>
    <phoneticPr fontId="3" type="noConversion"/>
  </si>
  <si>
    <t>馬一</t>
  </si>
  <si>
    <t>馬</t>
  </si>
  <si>
    <r>
      <t>下雅疋賈</t>
    </r>
    <r>
      <rPr>
        <sz val="20"/>
        <color rgb="FFFF0000"/>
        <rFont val="Noto Serif TC Black"/>
        <family val="1"/>
        <charset val="136"/>
      </rPr>
      <t>假</t>
    </r>
    <r>
      <rPr>
        <sz val="20"/>
        <color theme="1"/>
        <rFont val="Noto Serif TC Black"/>
        <family val="1"/>
        <charset val="136"/>
      </rPr>
      <t>舍</t>
    </r>
    <phoneticPr fontId="3" type="noConversion"/>
  </si>
  <si>
    <t>馬二</t>
  </si>
  <si>
    <t>瓦寡</t>
    <phoneticPr fontId="3" type="noConversion"/>
  </si>
  <si>
    <t>禡一</t>
  </si>
  <si>
    <t>禡</t>
  </si>
  <si>
    <r>
      <t>駕亞訝嫁</t>
    </r>
    <r>
      <rPr>
        <sz val="20"/>
        <color rgb="FFFF0000"/>
        <rFont val="Noto Serif TC Black"/>
        <family val="1"/>
        <charset val="136"/>
      </rPr>
      <t>罵</t>
    </r>
    <phoneticPr fontId="3" type="noConversion"/>
  </si>
  <si>
    <t>禡二</t>
  </si>
  <si>
    <r>
      <t>化</t>
    </r>
    <r>
      <rPr>
        <sz val="20"/>
        <color rgb="FFFF0000"/>
        <rFont val="Noto Serif TC Black"/>
        <family val="1"/>
        <charset val="136"/>
      </rPr>
      <t>霸㕦</t>
    </r>
    <phoneticPr fontId="3" type="noConversion"/>
  </si>
  <si>
    <t>麻三</t>
  </si>
  <si>
    <t>遮嗟邪車奢賒</t>
    <phoneticPr fontId="3" type="noConversion"/>
  </si>
  <si>
    <t>馬三</t>
  </si>
  <si>
    <t>也者野冶姐</t>
    <phoneticPr fontId="3" type="noConversion"/>
  </si>
  <si>
    <t>禡三</t>
  </si>
  <si>
    <t>謝夜</t>
    <phoneticPr fontId="3" type="noConversion"/>
  </si>
  <si>
    <t>陽一</t>
  </si>
  <si>
    <t>陽</t>
  </si>
  <si>
    <t>宕</t>
  </si>
  <si>
    <t>章羊張良陽莊</t>
    <phoneticPr fontId="3" type="noConversion"/>
  </si>
  <si>
    <t>陽二</t>
  </si>
  <si>
    <r>
      <t>王</t>
    </r>
    <r>
      <rPr>
        <sz val="20"/>
        <color rgb="FFFF0000"/>
        <rFont val="Noto Serif TC Black"/>
        <family val="1"/>
        <charset val="136"/>
      </rPr>
      <t>方</t>
    </r>
    <phoneticPr fontId="3" type="noConversion"/>
  </si>
  <si>
    <t>《閩南語聲韻學》【方】為【陽一】韻</t>
    <phoneticPr fontId="108" type="noConversion"/>
  </si>
  <si>
    <t>養一</t>
  </si>
  <si>
    <t>養</t>
  </si>
  <si>
    <r>
      <t>兩奬</t>
    </r>
    <r>
      <rPr>
        <sz val="20"/>
        <color rgb="FFFF0000"/>
        <rFont val="Yu Gothic"/>
        <family val="2"/>
        <charset val="128"/>
      </rPr>
      <t>㢡</t>
    </r>
    <r>
      <rPr>
        <sz val="20"/>
        <color theme="1"/>
        <rFont val="Noto Serif TC Black"/>
        <family val="1"/>
        <charset val="136"/>
      </rPr>
      <t>養掌丈杖尚</t>
    </r>
    <phoneticPr fontId="3" type="noConversion"/>
  </si>
  <si>
    <t>養二</t>
  </si>
  <si>
    <r>
      <t>往</t>
    </r>
    <r>
      <rPr>
        <sz val="20"/>
        <color rgb="FFFF0000"/>
        <rFont val="Noto Serif TC Black"/>
        <family val="1"/>
        <charset val="136"/>
      </rPr>
      <t>网昉</t>
    </r>
    <phoneticPr fontId="3" type="noConversion"/>
  </si>
  <si>
    <t>漾一</t>
  </si>
  <si>
    <t>漾</t>
  </si>
  <si>
    <t>亮讓樣向</t>
    <phoneticPr fontId="3" type="noConversion"/>
  </si>
  <si>
    <t>漾二</t>
  </si>
  <si>
    <r>
      <t>況</t>
    </r>
    <r>
      <rPr>
        <sz val="20"/>
        <color rgb="FFFF0000"/>
        <rFont val="Noto Serif TC Black"/>
        <family val="1"/>
        <charset val="136"/>
      </rPr>
      <t>放訪妄</t>
    </r>
    <r>
      <rPr>
        <sz val="20"/>
        <color theme="1"/>
        <rFont val="Noto Serif TC Black"/>
        <family val="1"/>
        <charset val="136"/>
      </rPr>
      <t>諒㨾</t>
    </r>
    <phoneticPr fontId="3" type="noConversion"/>
  </si>
  <si>
    <t>藥一</t>
  </si>
  <si>
    <t>藥</t>
  </si>
  <si>
    <t>灼略若爵虐藥約雀勺削</t>
    <phoneticPr fontId="3" type="noConversion"/>
  </si>
  <si>
    <t>藥二</t>
  </si>
  <si>
    <t>钁縛籰</t>
    <phoneticPr fontId="3" type="noConversion"/>
  </si>
  <si>
    <t>唐一</t>
  </si>
  <si>
    <t>唐</t>
  </si>
  <si>
    <t>郎當剛岡</t>
    <phoneticPr fontId="3" type="noConversion"/>
  </si>
  <si>
    <t>唐二</t>
  </si>
  <si>
    <t>光黃旁</t>
    <phoneticPr fontId="3" type="noConversion"/>
  </si>
  <si>
    <t>蕩一</t>
  </si>
  <si>
    <t>蕩</t>
  </si>
  <si>
    <t>朗黨</t>
    <phoneticPr fontId="3" type="noConversion"/>
  </si>
  <si>
    <t>蕩二</t>
  </si>
  <si>
    <t>廣晃</t>
    <phoneticPr fontId="3" type="noConversion"/>
  </si>
  <si>
    <t>宕一</t>
  </si>
  <si>
    <t>浪宕</t>
    <phoneticPr fontId="3" type="noConversion"/>
  </si>
  <si>
    <t>宕二</t>
  </si>
  <si>
    <t>曠謗</t>
    <phoneticPr fontId="3" type="noConversion"/>
  </si>
  <si>
    <t>鐸一</t>
  </si>
  <si>
    <t>鐸</t>
  </si>
  <si>
    <t>落各</t>
    <phoneticPr fontId="3" type="noConversion"/>
  </si>
  <si>
    <t>鐸二</t>
  </si>
  <si>
    <t>穫郭博</t>
    <phoneticPr fontId="3" type="noConversion"/>
  </si>
  <si>
    <t>庚一</t>
  </si>
  <si>
    <t>梗</t>
  </si>
  <si>
    <t>行庚盲</t>
    <phoneticPr fontId="3" type="noConversion"/>
  </si>
  <si>
    <t>庚二</t>
  </si>
  <si>
    <t>觥橫</t>
    <phoneticPr fontId="3" type="noConversion"/>
  </si>
  <si>
    <t>梗一</t>
  </si>
  <si>
    <r>
      <t>杏梗冷打猛</t>
    </r>
    <r>
      <rPr>
        <sz val="20"/>
        <color rgb="FFFF0000"/>
        <rFont val="Noto Serif TC Black"/>
        <family val="1"/>
        <charset val="136"/>
      </rPr>
      <t>丙</t>
    </r>
    <phoneticPr fontId="3" type="noConversion"/>
  </si>
  <si>
    <t>梗二</t>
  </si>
  <si>
    <t>礦</t>
    <phoneticPr fontId="3" type="noConversion"/>
  </si>
  <si>
    <t>敬一</t>
  </si>
  <si>
    <t>敬</t>
  </si>
  <si>
    <t>更孟</t>
    <phoneticPr fontId="3" type="noConversion"/>
  </si>
  <si>
    <t>敬二</t>
  </si>
  <si>
    <t>蝗</t>
    <phoneticPr fontId="3" type="noConversion"/>
  </si>
  <si>
    <t>陌一</t>
  </si>
  <si>
    <t>陌</t>
  </si>
  <si>
    <t>格陌伯白百</t>
    <phoneticPr fontId="3" type="noConversion"/>
  </si>
  <si>
    <t>陌二</t>
  </si>
  <si>
    <t>虢</t>
    <phoneticPr fontId="3" type="noConversion"/>
  </si>
  <si>
    <t>庚三</t>
  </si>
  <si>
    <t>驚卿京</t>
    <phoneticPr fontId="3" type="noConversion"/>
  </si>
  <si>
    <t>庚四</t>
  </si>
  <si>
    <t>榮兵明</t>
    <phoneticPr fontId="3" type="noConversion"/>
  </si>
  <si>
    <t>梗三</t>
  </si>
  <si>
    <t>景影</t>
    <phoneticPr fontId="3" type="noConversion"/>
  </si>
  <si>
    <t>梗四</t>
  </si>
  <si>
    <r>
      <t>永憬</t>
    </r>
    <r>
      <rPr>
        <sz val="20"/>
        <color rgb="FFFF0000"/>
        <rFont val="Noto Serif TC Black"/>
        <family val="1"/>
        <charset val="136"/>
      </rPr>
      <t>䁝</t>
    </r>
    <phoneticPr fontId="3" type="noConversion"/>
  </si>
  <si>
    <t>敬三</t>
  </si>
  <si>
    <t>慶敬詠</t>
    <phoneticPr fontId="3" type="noConversion"/>
  </si>
  <si>
    <t>敬四</t>
  </si>
  <si>
    <t>命病</t>
    <phoneticPr fontId="3" type="noConversion"/>
  </si>
  <si>
    <t>陌三</t>
  </si>
  <si>
    <r>
      <t>戟刻郤逆</t>
    </r>
    <r>
      <rPr>
        <sz val="20"/>
        <color rgb="FFFF0000"/>
        <rFont val="Noto Serif TC Black"/>
        <family val="1"/>
        <charset val="136"/>
      </rPr>
      <t>劇擭迹</t>
    </r>
    <phoneticPr fontId="3" type="noConversion"/>
  </si>
  <si>
    <t>陌四</t>
  </si>
  <si>
    <t>耕一</t>
  </si>
  <si>
    <t>耕</t>
  </si>
  <si>
    <t>莖耕</t>
    <phoneticPr fontId="3" type="noConversion"/>
  </si>
  <si>
    <t>耕二</t>
  </si>
  <si>
    <t>宏轟萌</t>
    <phoneticPr fontId="3" type="noConversion"/>
  </si>
  <si>
    <t>耿</t>
  </si>
  <si>
    <t>幸耿</t>
    <phoneticPr fontId="3" type="noConversion"/>
  </si>
  <si>
    <t>諍</t>
  </si>
  <si>
    <r>
      <rPr>
        <sz val="20"/>
        <color rgb="FFFF0000"/>
        <rFont val="Noto Serif TC Black"/>
        <family val="1"/>
        <charset val="136"/>
      </rPr>
      <t>諍爭</t>
    </r>
    <r>
      <rPr>
        <sz val="20"/>
        <color theme="1"/>
        <rFont val="Noto Serif TC Black"/>
        <family val="1"/>
        <charset val="136"/>
      </rPr>
      <t>迸</t>
    </r>
    <phoneticPr fontId="3" type="noConversion"/>
  </si>
  <si>
    <t>麥一</t>
  </si>
  <si>
    <t>麥</t>
  </si>
  <si>
    <t>核革責摘厄戹</t>
    <phoneticPr fontId="3" type="noConversion"/>
  </si>
  <si>
    <t>麥二</t>
  </si>
  <si>
    <t>獲摑麥</t>
    <phoneticPr fontId="3" type="noConversion"/>
  </si>
  <si>
    <t>清一</t>
  </si>
  <si>
    <r>
      <t>情盈貞成征井</t>
    </r>
    <r>
      <rPr>
        <b/>
        <sz val="20"/>
        <color rgb="FFFF0000"/>
        <rFont val="Noto Serif TC Black"/>
        <family val="1"/>
        <charset val="136"/>
      </rPr>
      <t>并</t>
    </r>
    <phoneticPr fontId="3" type="noConversion"/>
  </si>
  <si>
    <t>清二</t>
  </si>
  <si>
    <t>營傾</t>
    <phoneticPr fontId="3" type="noConversion"/>
  </si>
  <si>
    <t>靜一</t>
  </si>
  <si>
    <t>靜</t>
  </si>
  <si>
    <t>靜郢井整</t>
    <phoneticPr fontId="3" type="noConversion"/>
  </si>
  <si>
    <t>靜二</t>
  </si>
  <si>
    <t>潁頃</t>
    <phoneticPr fontId="3" type="noConversion"/>
  </si>
  <si>
    <t>勁</t>
  </si>
  <si>
    <r>
      <t>政姓鄭正盛</t>
    </r>
    <r>
      <rPr>
        <sz val="20"/>
        <color rgb="FFFF0000"/>
        <rFont val="Noto Serif TC Black"/>
        <family val="1"/>
        <charset val="136"/>
      </rPr>
      <t>令</t>
    </r>
    <phoneticPr fontId="3" type="noConversion"/>
  </si>
  <si>
    <t>昔一</t>
  </si>
  <si>
    <t>昔</t>
  </si>
  <si>
    <t>積炙易石辟隻亦益昔</t>
    <phoneticPr fontId="3" type="noConversion"/>
  </si>
  <si>
    <t>昔二</t>
  </si>
  <si>
    <t>役</t>
    <phoneticPr fontId="3" type="noConversion"/>
  </si>
  <si>
    <t>青一</t>
  </si>
  <si>
    <t>青</t>
  </si>
  <si>
    <t>經靈刑丁</t>
    <phoneticPr fontId="3" type="noConversion"/>
  </si>
  <si>
    <t>青二</t>
  </si>
  <si>
    <t>螢扃</t>
    <phoneticPr fontId="3" type="noConversion"/>
  </si>
  <si>
    <t>迥一</t>
  </si>
  <si>
    <t>迥</t>
  </si>
  <si>
    <t>挺鼎涬頂醒剄</t>
    <phoneticPr fontId="3" type="noConversion"/>
  </si>
  <si>
    <t>迥二</t>
  </si>
  <si>
    <t>迥熲</t>
    <phoneticPr fontId="3" type="noConversion"/>
  </si>
  <si>
    <t>徑</t>
  </si>
  <si>
    <t>定佞徑</t>
    <phoneticPr fontId="3" type="noConversion"/>
  </si>
  <si>
    <t>錫一</t>
  </si>
  <si>
    <t>錫</t>
  </si>
  <si>
    <r>
      <t>歷擊淚狄</t>
    </r>
    <r>
      <rPr>
        <sz val="20"/>
        <color rgb="FFFF0000"/>
        <rFont val="Noto Serif TC Black"/>
        <family val="1"/>
        <charset val="136"/>
      </rPr>
      <t>激</t>
    </r>
    <phoneticPr fontId="3" type="noConversion"/>
  </si>
  <si>
    <t>錫二</t>
  </si>
  <si>
    <t>闃鶪狊</t>
    <phoneticPr fontId="3" type="noConversion"/>
  </si>
  <si>
    <t>蒸</t>
  </si>
  <si>
    <r>
      <t>仍陵蒸矜兢膺乘冰</t>
    </r>
    <r>
      <rPr>
        <sz val="20"/>
        <color rgb="FFFF0000"/>
        <rFont val="Noto Serif TC Black"/>
        <family val="1"/>
        <charset val="136"/>
      </rPr>
      <t>乗升</t>
    </r>
    <phoneticPr fontId="3" type="noConversion"/>
  </si>
  <si>
    <t>拯</t>
  </si>
  <si>
    <t>拯庱</t>
    <phoneticPr fontId="3" type="noConversion"/>
  </si>
  <si>
    <t>證</t>
  </si>
  <si>
    <r>
      <t>應證孕</t>
    </r>
    <r>
      <rPr>
        <sz val="20"/>
        <color rgb="FFFF0000"/>
        <rFont val="Noto Serif TC Black"/>
        <family val="1"/>
        <charset val="136"/>
      </rPr>
      <t>甑𩜁</t>
    </r>
    <phoneticPr fontId="3" type="noConversion"/>
  </si>
  <si>
    <t>職</t>
  </si>
  <si>
    <t>翼力側職直即極逼</t>
    <phoneticPr fontId="3" type="noConversion"/>
  </si>
  <si>
    <t>登一</t>
  </si>
  <si>
    <t>登</t>
  </si>
  <si>
    <r>
      <t>滕增恆</t>
    </r>
    <r>
      <rPr>
        <sz val="20"/>
        <color rgb="FFFF0000"/>
        <rFont val="Noto Serif TC Black"/>
        <family val="1"/>
        <charset val="136"/>
      </rPr>
      <t>恒</t>
    </r>
    <r>
      <rPr>
        <sz val="20"/>
        <color theme="1"/>
        <rFont val="Noto Serif TC Black"/>
        <family val="1"/>
        <charset val="136"/>
      </rPr>
      <t>登棱崩朋</t>
    </r>
    <phoneticPr fontId="3" type="noConversion"/>
  </si>
  <si>
    <t>登二</t>
  </si>
  <si>
    <t>弘肱</t>
    <phoneticPr fontId="3" type="noConversion"/>
  </si>
  <si>
    <t>肯等</t>
    <phoneticPr fontId="3" type="noConversion"/>
  </si>
  <si>
    <t>嶝</t>
  </si>
  <si>
    <r>
      <t>鄧贈</t>
    </r>
    <r>
      <rPr>
        <sz val="20"/>
        <color rgb="FFFF0000"/>
        <rFont val="Noto Serif TC Black"/>
        <family val="1"/>
        <charset val="136"/>
      </rPr>
      <t>亘</t>
    </r>
    <r>
      <rPr>
        <sz val="20"/>
        <color theme="1"/>
        <rFont val="Noto Serif TC Black"/>
        <family val="1"/>
        <charset val="136"/>
      </rPr>
      <t>亙</t>
    </r>
    <r>
      <rPr>
        <sz val="20"/>
        <color rgb="FFFF0000"/>
        <rFont val="Noto Serif TC Black"/>
        <family val="1"/>
        <charset val="136"/>
      </rPr>
      <t>隥</t>
    </r>
    <phoneticPr fontId="3" type="noConversion"/>
  </si>
  <si>
    <t>德一</t>
  </si>
  <si>
    <t>德</t>
  </si>
  <si>
    <t>則德得黑勒墨北</t>
    <phoneticPr fontId="3" type="noConversion"/>
  </si>
  <si>
    <t>德二</t>
  </si>
  <si>
    <t>或國</t>
    <phoneticPr fontId="3" type="noConversion"/>
  </si>
  <si>
    <t>尤</t>
  </si>
  <si>
    <t>流</t>
  </si>
  <si>
    <r>
      <t>求周秋流由尤鳩州謀浮</t>
    </r>
    <r>
      <rPr>
        <sz val="20"/>
        <color rgb="FFFF0000"/>
        <rFont val="Noto Serif TC Black"/>
        <family val="1"/>
        <charset val="136"/>
      </rPr>
      <t>羞</t>
    </r>
    <phoneticPr fontId="3" type="noConversion"/>
  </si>
  <si>
    <t>有</t>
  </si>
  <si>
    <t>九久酉柳有婦否</t>
    <phoneticPr fontId="3" type="noConversion"/>
  </si>
  <si>
    <t>宥</t>
  </si>
  <si>
    <r>
      <t>就僦咒</t>
    </r>
    <r>
      <rPr>
        <sz val="20"/>
        <color rgb="FFFF0000"/>
        <rFont val="Noto Serif TC Black"/>
        <family val="1"/>
        <charset val="136"/>
      </rPr>
      <t>呪</t>
    </r>
    <r>
      <rPr>
        <sz val="20"/>
        <color theme="1"/>
        <rFont val="Noto Serif TC Black"/>
        <family val="1"/>
        <charset val="136"/>
      </rPr>
      <t>又祐救溜富</t>
    </r>
    <r>
      <rPr>
        <sz val="20"/>
        <color rgb="FFFF0000"/>
        <rFont val="Noto Serif TC Black"/>
        <family val="1"/>
        <charset val="136"/>
      </rPr>
      <t>副</t>
    </r>
    <phoneticPr fontId="3" type="noConversion"/>
  </si>
  <si>
    <t>侯</t>
  </si>
  <si>
    <t>鉤侯婁</t>
    <phoneticPr fontId="3" type="noConversion"/>
  </si>
  <si>
    <t>厚</t>
  </si>
  <si>
    <t>口后斗垢苟厚</t>
    <phoneticPr fontId="3" type="noConversion"/>
  </si>
  <si>
    <t>候</t>
  </si>
  <si>
    <t>遘豆候奏漏</t>
    <phoneticPr fontId="108" type="noConversion"/>
  </si>
  <si>
    <t>幽</t>
  </si>
  <si>
    <t>虯烋幽彪</t>
    <phoneticPr fontId="3" type="noConversion"/>
  </si>
  <si>
    <t>黝</t>
  </si>
  <si>
    <t>糾黝</t>
    <phoneticPr fontId="3" type="noConversion"/>
  </si>
  <si>
    <t>幼</t>
  </si>
  <si>
    <t>幼謬</t>
    <phoneticPr fontId="3" type="noConversion"/>
  </si>
  <si>
    <t>侵</t>
  </si>
  <si>
    <t>林深針淫金心今吟簪尋</t>
    <phoneticPr fontId="3" type="noConversion"/>
  </si>
  <si>
    <t>寢</t>
  </si>
  <si>
    <r>
      <t>稔甚荏錦朕飲枕凜</t>
    </r>
    <r>
      <rPr>
        <sz val="20"/>
        <color rgb="FFFF0000"/>
        <rFont val="Noto Serif TC Black"/>
        <family val="1"/>
        <charset val="136"/>
      </rPr>
      <t>㾕</t>
    </r>
    <phoneticPr fontId="3" type="noConversion"/>
  </si>
  <si>
    <t>沁</t>
  </si>
  <si>
    <t>鴆禁任蔭譖</t>
    <phoneticPr fontId="3" type="noConversion"/>
  </si>
  <si>
    <t>緝</t>
  </si>
  <si>
    <t>入立急汲執戢及汁</t>
    <phoneticPr fontId="3" type="noConversion"/>
  </si>
  <si>
    <t>覃</t>
  </si>
  <si>
    <t>咸</t>
  </si>
  <si>
    <t>含南男</t>
    <phoneticPr fontId="3" type="noConversion"/>
  </si>
  <si>
    <t>感</t>
  </si>
  <si>
    <t>感禫唵</t>
    <phoneticPr fontId="3" type="noConversion"/>
  </si>
  <si>
    <t>勘</t>
  </si>
  <si>
    <t>紺暗</t>
    <phoneticPr fontId="3" type="noConversion"/>
  </si>
  <si>
    <t>荅答合閤沓</t>
    <phoneticPr fontId="3" type="noConversion"/>
  </si>
  <si>
    <t>談</t>
  </si>
  <si>
    <t>甘三酣談</t>
    <phoneticPr fontId="3" type="noConversion"/>
  </si>
  <si>
    <t>敢</t>
  </si>
  <si>
    <t>敢覽</t>
    <phoneticPr fontId="3" type="noConversion"/>
  </si>
  <si>
    <t>闞</t>
  </si>
  <si>
    <r>
      <t>濫瞰</t>
    </r>
    <r>
      <rPr>
        <sz val="20"/>
        <color rgb="FFFF0000"/>
        <rFont val="Noto Serif TC Black"/>
        <family val="1"/>
        <charset val="136"/>
      </rPr>
      <t>𣊟</t>
    </r>
    <r>
      <rPr>
        <sz val="20"/>
        <color theme="1"/>
        <rFont val="Noto Serif TC Black"/>
        <family val="1"/>
        <charset val="136"/>
      </rPr>
      <t>蹔暫</t>
    </r>
    <phoneticPr fontId="3" type="noConversion"/>
  </si>
  <si>
    <t>盍</t>
  </si>
  <si>
    <r>
      <t>盍</t>
    </r>
    <r>
      <rPr>
        <sz val="20"/>
        <color rgb="FFFF0000"/>
        <rFont val="Noto Serif TC Black"/>
        <family val="1"/>
        <charset val="136"/>
      </rPr>
      <t>榼</t>
    </r>
    <r>
      <rPr>
        <sz val="20"/>
        <color theme="1"/>
        <rFont val="Noto Serif TC Black"/>
        <family val="1"/>
        <charset val="136"/>
      </rPr>
      <t>臘</t>
    </r>
    <r>
      <rPr>
        <sz val="20"/>
        <color rgb="FFFF0000"/>
        <rFont val="Noto Serif TC Black"/>
        <family val="1"/>
        <charset val="136"/>
      </rPr>
      <t>雜</t>
    </r>
    <phoneticPr fontId="3" type="noConversion"/>
  </si>
  <si>
    <t>鹽</t>
  </si>
  <si>
    <t>廉鹽炎淹占</t>
    <phoneticPr fontId="3" type="noConversion"/>
  </si>
  <si>
    <t>琰</t>
  </si>
  <si>
    <r>
      <t>冉染琰歛</t>
    </r>
    <r>
      <rPr>
        <sz val="20"/>
        <color rgb="FFFF0000"/>
        <rFont val="Noto Serif TC Black"/>
        <family val="1"/>
        <charset val="136"/>
      </rPr>
      <t>斂</t>
    </r>
    <r>
      <rPr>
        <sz val="20"/>
        <color theme="1"/>
        <rFont val="Noto Serif TC Black"/>
        <family val="1"/>
        <charset val="136"/>
      </rPr>
      <t>漸險儉檢</t>
    </r>
    <r>
      <rPr>
        <sz val="20"/>
        <color rgb="FFFF0000"/>
        <rFont val="Noto Serif TC Black"/>
        <family val="1"/>
        <charset val="136"/>
      </rPr>
      <t>奄</t>
    </r>
    <phoneticPr fontId="3" type="noConversion"/>
  </si>
  <si>
    <t>豔</t>
  </si>
  <si>
    <t>贍豔驗窆</t>
    <phoneticPr fontId="3" type="noConversion"/>
  </si>
  <si>
    <t>葉</t>
  </si>
  <si>
    <t>涉攝葉接輒</t>
    <phoneticPr fontId="3" type="noConversion"/>
  </si>
  <si>
    <t>添</t>
  </si>
  <si>
    <t>兼甜</t>
    <phoneticPr fontId="3" type="noConversion"/>
  </si>
  <si>
    <t>忝</t>
  </si>
  <si>
    <t>點忝簟玷</t>
    <phoneticPr fontId="3" type="noConversion"/>
  </si>
  <si>
    <t>㮇</t>
  </si>
  <si>
    <t>念店</t>
    <phoneticPr fontId="108" type="noConversion"/>
  </si>
  <si>
    <t>怗</t>
  </si>
  <si>
    <t>協愜牒頰篋</t>
    <phoneticPr fontId="3" type="noConversion"/>
  </si>
  <si>
    <t>怗 = 帖</t>
    <phoneticPr fontId="3" type="noConversion"/>
  </si>
  <si>
    <r>
      <rPr>
        <sz val="20"/>
        <color theme="1"/>
        <rFont val="SimSun"/>
        <charset val="134"/>
      </rPr>
      <t>䜛</t>
    </r>
    <r>
      <rPr>
        <sz val="20"/>
        <color rgb="FFFF0000"/>
        <rFont val="Noto Serif TC Black"/>
        <family val="1"/>
        <charset val="136"/>
      </rPr>
      <t>讒</t>
    </r>
    <r>
      <rPr>
        <sz val="20"/>
        <color theme="1"/>
        <rFont val="Noto Serif TC Black"/>
        <family val="1"/>
        <charset val="136"/>
      </rPr>
      <t>咸</t>
    </r>
    <phoneticPr fontId="3" type="noConversion"/>
  </si>
  <si>
    <t>豏</t>
  </si>
  <si>
    <t>減斬豏</t>
    <phoneticPr fontId="3" type="noConversion"/>
  </si>
  <si>
    <t>陷</t>
  </si>
  <si>
    <r>
      <t>陷韽賺</t>
    </r>
    <r>
      <rPr>
        <b/>
        <sz val="20"/>
        <color rgb="FFFF0000"/>
        <rFont val="SimSun-ExtB"/>
        <family val="3"/>
        <charset val="134"/>
      </rPr>
      <t>𧸖</t>
    </r>
    <phoneticPr fontId="3" type="noConversion"/>
  </si>
  <si>
    <t>洽</t>
  </si>
  <si>
    <r>
      <t>夾洽</t>
    </r>
    <r>
      <rPr>
        <sz val="20"/>
        <color rgb="FFFF0000"/>
        <rFont val="Noto Serif TC Black"/>
        <family val="1"/>
        <charset val="136"/>
      </rPr>
      <t>㘝</t>
    </r>
    <phoneticPr fontId="3" type="noConversion"/>
  </si>
  <si>
    <t>銜</t>
  </si>
  <si>
    <t>監銜</t>
    <phoneticPr fontId="3" type="noConversion"/>
  </si>
  <si>
    <t>檻</t>
  </si>
  <si>
    <t>檻黤</t>
    <phoneticPr fontId="3" type="noConversion"/>
  </si>
  <si>
    <t>鑑</t>
  </si>
  <si>
    <t>懺鑑鑒</t>
    <phoneticPr fontId="3" type="noConversion"/>
  </si>
  <si>
    <t>狎</t>
  </si>
  <si>
    <t>甲狎</t>
    <phoneticPr fontId="3" type="noConversion"/>
  </si>
  <si>
    <t>嚴</t>
  </si>
  <si>
    <r>
      <t>嚴</t>
    </r>
    <r>
      <rPr>
        <sz val="20"/>
        <color rgb="FFFF0000"/>
        <rFont val="Noto Serif TC Black"/>
        <family val="1"/>
        <charset val="136"/>
      </rPr>
      <t>𩏩</t>
    </r>
    <phoneticPr fontId="3" type="noConversion"/>
  </si>
  <si>
    <t>儼</t>
  </si>
  <si>
    <r>
      <t>掩</t>
    </r>
    <r>
      <rPr>
        <b/>
        <sz val="20"/>
        <color rgb="FFFF0000"/>
        <rFont val="Noto Serif TC Black"/>
        <family val="1"/>
        <charset val="136"/>
      </rPr>
      <t>埯广</t>
    </r>
    <phoneticPr fontId="3" type="noConversion"/>
  </si>
  <si>
    <t>釅</t>
  </si>
  <si>
    <r>
      <t>欠劍</t>
    </r>
    <r>
      <rPr>
        <sz val="20"/>
        <color rgb="FFFF0000"/>
        <rFont val="Noto Serif TC Black"/>
        <family val="1"/>
        <charset val="136"/>
      </rPr>
      <t>劔劒</t>
    </r>
    <r>
      <rPr>
        <sz val="20"/>
        <color theme="1"/>
        <rFont val="Noto Serif TC Black"/>
        <family val="1"/>
        <charset val="136"/>
      </rPr>
      <t>釅</t>
    </r>
    <phoneticPr fontId="3" type="noConversion"/>
  </si>
  <si>
    <t>業</t>
  </si>
  <si>
    <t>怯業劫</t>
    <phoneticPr fontId="3" type="noConversion"/>
  </si>
  <si>
    <t>凡</t>
  </si>
  <si>
    <t>凡䒦</t>
    <phoneticPr fontId="3" type="noConversion"/>
  </si>
  <si>
    <t>范</t>
  </si>
  <si>
    <t>梵泛</t>
    <phoneticPr fontId="3" type="noConversion"/>
  </si>
  <si>
    <t>梵</t>
  </si>
  <si>
    <r>
      <t>犯范鋄</t>
    </r>
    <r>
      <rPr>
        <sz val="20"/>
        <color rgb="FFFF0000"/>
        <rFont val="Noto Serif TC Black"/>
        <family val="1"/>
        <charset val="136"/>
      </rPr>
      <t>錽</t>
    </r>
    <phoneticPr fontId="3" type="noConversion"/>
  </si>
  <si>
    <t>乏</t>
  </si>
  <si>
    <r>
      <t>去乏</t>
    </r>
    <r>
      <rPr>
        <sz val="20"/>
        <color rgb="FFFF0000"/>
        <rFont val="Noto Serif TC Black"/>
        <family val="1"/>
        <charset val="136"/>
      </rPr>
      <t>法</t>
    </r>
    <phoneticPr fontId="3" type="noConversion"/>
  </si>
  <si>
    <t>殷</t>
  </si>
  <si>
    <t>斤欣</t>
    <phoneticPr fontId="3" type="noConversion"/>
  </si>
  <si>
    <t>隱</t>
  </si>
  <si>
    <t>謹隱槿</t>
    <phoneticPr fontId="3" type="noConversion"/>
  </si>
  <si>
    <t>焮</t>
  </si>
  <si>
    <t>焮靳</t>
    <phoneticPr fontId="3" type="noConversion"/>
  </si>
  <si>
    <t>迄</t>
  </si>
  <si>
    <t>乞迄訖</t>
    <phoneticPr fontId="3" type="noConversion"/>
  </si>
  <si>
    <t>平</t>
  </si>
  <si>
    <t>上</t>
  </si>
  <si>
    <t>切語</t>
    <phoneticPr fontId="182" type="noConversion"/>
  </si>
  <si>
    <t>七音</t>
    <phoneticPr fontId="182" type="noConversion"/>
  </si>
  <si>
    <t>清濁</t>
  </si>
  <si>
    <t>發送收</t>
    <phoneticPr fontId="3" type="noConversion"/>
  </si>
  <si>
    <t>攝</t>
    <phoneticPr fontId="105" type="noConversion"/>
  </si>
  <si>
    <t>呼</t>
    <phoneticPr fontId="105" type="noConversion"/>
  </si>
  <si>
    <t>等</t>
    <phoneticPr fontId="105" type="noConversion"/>
  </si>
  <si>
    <t>調</t>
    <phoneticPr fontId="105" type="noConversion"/>
  </si>
  <si>
    <t>廣韻聲調</t>
    <phoneticPr fontId="3" type="noConversion"/>
  </si>
  <si>
    <t>四声八調</t>
  </si>
  <si>
    <t>濁上調校正</t>
  </si>
  <si>
    <t>上字</t>
    <phoneticPr fontId="105" type="noConversion"/>
  </si>
  <si>
    <t>下字</t>
    <phoneticPr fontId="182" type="noConversion"/>
  </si>
  <si>
    <t>方音符號</t>
    <phoneticPr fontId="108" type="noConversion"/>
  </si>
  <si>
    <t>上字</t>
    <phoneticPr fontId="108" type="noConversion"/>
  </si>
  <si>
    <t>下字</t>
    <phoneticPr fontId="108" type="noConversion"/>
  </si>
  <si>
    <t>聲母</t>
  </si>
  <si>
    <t>聲母標音</t>
  </si>
  <si>
    <t>七聲類</t>
  </si>
  <si>
    <t>韻母標音</t>
  </si>
  <si>
    <t>等呼</t>
  </si>
  <si>
    <t>攝</t>
  </si>
  <si>
    <t>廣韻聲調</t>
    <phoneticPr fontId="108" type="noConversion"/>
  </si>
  <si>
    <t>上字號</t>
    <phoneticPr fontId="108" type="noConversion"/>
  </si>
  <si>
    <t>下字號</t>
    <phoneticPr fontId="108" type="noConversion"/>
  </si>
  <si>
    <t>台語音標</t>
    <phoneticPr fontId="182" type="noConversion"/>
  </si>
  <si>
    <t>聲調</t>
    <phoneticPr fontId="182" type="noConversion"/>
  </si>
  <si>
    <t>韻母</t>
    <phoneticPr fontId="105" type="noConversion"/>
  </si>
  <si>
    <t>韻</t>
    <phoneticPr fontId="105" type="noConversion"/>
  </si>
  <si>
    <t>陰入</t>
  </si>
  <si>
    <t>陽入</t>
  </si>
  <si>
    <t>陽平</t>
  </si>
  <si>
    <t>陰平</t>
  </si>
  <si>
    <t>字號</t>
    <phoneticPr fontId="108" type="noConversion"/>
  </si>
  <si>
    <t>漢語四聲</t>
    <phoneticPr fontId="107" type="noConversion"/>
  </si>
  <si>
    <t>雅俗通聲調</t>
    <phoneticPr fontId="107" type="noConversion"/>
  </si>
  <si>
    <t>十五音聲調</t>
    <phoneticPr fontId="108" type="noConversion"/>
  </si>
  <si>
    <t>台羅調名</t>
    <phoneticPr fontId="108" type="noConversion"/>
  </si>
  <si>
    <t>台羅調號</t>
    <phoneticPr fontId="108" type="noConversion"/>
  </si>
  <si>
    <t>台羅變調</t>
    <phoneticPr fontId="3" type="noConversion"/>
  </si>
  <si>
    <t>閩拼八聲調</t>
    <phoneticPr fontId="107" type="noConversion"/>
  </si>
  <si>
    <t>方音符號調符</t>
    <phoneticPr fontId="107" type="noConversion"/>
  </si>
  <si>
    <t>台羅調值</t>
    <phoneticPr fontId="3" type="noConversion"/>
  </si>
  <si>
    <t>古漢語調值</t>
    <phoneticPr fontId="3" type="noConversion"/>
  </si>
  <si>
    <t>四聲調名</t>
    <phoneticPr fontId="3" type="noConversion"/>
  </si>
  <si>
    <t>舒促聲</t>
    <phoneticPr fontId="3" type="noConversion"/>
  </si>
  <si>
    <t>四聲調號</t>
    <phoneticPr fontId="3" type="noConversion"/>
  </si>
  <si>
    <t>四聲中文</t>
    <phoneticPr fontId="108" type="noConversion"/>
  </si>
  <si>
    <t>等呼名</t>
    <phoneticPr fontId="108" type="noConversion"/>
  </si>
  <si>
    <t>平</t>
    <phoneticPr fontId="105" type="noConversion"/>
  </si>
  <si>
    <t>清平</t>
    <phoneticPr fontId="105" type="noConversion"/>
  </si>
  <si>
    <t>上平</t>
  </si>
  <si>
    <t>上平</t>
    <phoneticPr fontId="3" type="noConversion"/>
  </si>
  <si>
    <t>平</t>
    <phoneticPr fontId="3" type="noConversion"/>
  </si>
  <si>
    <t>舒</t>
    <phoneticPr fontId="3" type="noConversion"/>
  </si>
  <si>
    <t>一</t>
    <phoneticPr fontId="108" type="noConversion"/>
  </si>
  <si>
    <t>獨洪</t>
    <phoneticPr fontId="108" type="noConversion"/>
  </si>
  <si>
    <t>上</t>
    <phoneticPr fontId="105" type="noConversion"/>
  </si>
  <si>
    <t>清上</t>
    <phoneticPr fontId="105" type="noConversion"/>
  </si>
  <si>
    <t>上上</t>
  </si>
  <si>
    <t>陰上</t>
  </si>
  <si>
    <t>ˋ</t>
  </si>
  <si>
    <t>下平</t>
    <phoneticPr fontId="108" type="noConversion"/>
  </si>
  <si>
    <t>二</t>
    <phoneticPr fontId="108" type="noConversion"/>
  </si>
  <si>
    <t>上</t>
    <phoneticPr fontId="3" type="noConversion"/>
  </si>
  <si>
    <t>獨細</t>
    <phoneticPr fontId="108" type="noConversion"/>
  </si>
  <si>
    <t>去</t>
    <phoneticPr fontId="105" type="noConversion"/>
  </si>
  <si>
    <t>清去</t>
    <phoneticPr fontId="105" type="noConversion"/>
  </si>
  <si>
    <t>上去</t>
  </si>
  <si>
    <t>陰去</t>
  </si>
  <si>
    <t>˪</t>
  </si>
  <si>
    <t>三</t>
    <phoneticPr fontId="108" type="noConversion"/>
  </si>
  <si>
    <t>去</t>
    <phoneticPr fontId="3" type="noConversion"/>
  </si>
  <si>
    <t>開細</t>
    <phoneticPr fontId="108" type="noConversion"/>
  </si>
  <si>
    <t>入</t>
    <phoneticPr fontId="105" type="noConversion"/>
  </si>
  <si>
    <t>清入</t>
    <phoneticPr fontId="105" type="noConversion"/>
  </si>
  <si>
    <t>上入</t>
  </si>
  <si>
    <t>四</t>
    <phoneticPr fontId="108" type="noConversion"/>
  </si>
  <si>
    <t>入</t>
    <phoneticPr fontId="3" type="noConversion"/>
  </si>
  <si>
    <t>濁平</t>
  </si>
  <si>
    <t>下平</t>
  </si>
  <si>
    <t>五</t>
  </si>
  <si>
    <t>ˊ</t>
  </si>
  <si>
    <t>促</t>
    <phoneticPr fontId="3" type="noConversion"/>
  </si>
  <si>
    <t>合細</t>
    <phoneticPr fontId="108" type="noConversion"/>
  </si>
  <si>
    <t>濁上</t>
  </si>
  <si>
    <t>下上</t>
  </si>
  <si>
    <t>陽上</t>
  </si>
  <si>
    <t>濁去</t>
  </si>
  <si>
    <t>下去</t>
  </si>
  <si>
    <t>七</t>
  </si>
  <si>
    <t>陽去</t>
  </si>
  <si>
    <t>˫</t>
  </si>
  <si>
    <t>濁入</t>
  </si>
  <si>
    <t>下入</t>
  </si>
  <si>
    <t>八</t>
  </si>
  <si>
    <t>˙</t>
  </si>
  <si>
    <t>調</t>
    <phoneticPr fontId="108" type="noConversion"/>
  </si>
  <si>
    <t>調</t>
  </si>
  <si>
    <t>方久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</si>
</sst>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General;;"/>
  </numFmts>
  <fonts count="227">
    <font>
      <sz val="12"/>
      <color theme="1"/>
      <name val="新細明體"/>
      <family val="2"/>
      <charset val="136"/>
      <scheme val="minor"/>
    </font>
    <font>
      <sz val="10"/>
      <color rgb="FF000000"/>
      <name val="Linux Libertine G"/>
      <family val="2"/>
    </font>
    <font>
      <sz val="9"/>
      <name val="新細明體"/>
      <family val="2"/>
      <charset val="136"/>
      <scheme val="minor"/>
    </font>
    <font>
      <sz val="9"/>
      <name val="Noto Sans TC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theme="1"/>
      <name val="Noto Sans TC Medium"/>
      <family val="2"/>
      <charset val="136"/>
    </font>
    <font>
      <sz val="16"/>
      <color theme="4"/>
      <name val="Noto Sans TC Medium"/>
      <family val="2"/>
      <charset val="136"/>
    </font>
    <font>
      <sz val="9"/>
      <name val="Noto Sans TC Medium"/>
      <family val="2"/>
      <charset val="136"/>
    </font>
    <font>
      <sz val="16"/>
      <color theme="4"/>
      <name val="Noto Sans TC Medium"/>
      <family val="2"/>
    </font>
    <font>
      <sz val="24"/>
      <color theme="1"/>
      <name val="吳守禮細明台語注音"/>
      <family val="1"/>
      <charset val="136"/>
    </font>
    <font>
      <sz val="16"/>
      <color rgb="FFFF0000"/>
      <name val="Noto Sans TC Medium"/>
      <family val="2"/>
    </font>
    <font>
      <sz val="16"/>
      <color rgb="FFFF0000"/>
      <name val="Noto Sans TC Medium"/>
      <family val="2"/>
      <charset val="136"/>
    </font>
    <font>
      <sz val="24"/>
      <color rgb="FFFF0000"/>
      <name val="吳守禮細明台語注音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破音01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6"/>
      <color theme="1"/>
      <name val="Segoe UI"/>
      <family val="2"/>
    </font>
    <font>
      <sz val="16"/>
      <color theme="1"/>
      <name val="新細明體"/>
      <family val="2"/>
      <charset val="136"/>
      <scheme val="minor"/>
    </font>
    <font>
      <sz val="18"/>
      <color theme="1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b/>
      <sz val="18"/>
      <color rgb="FF000000"/>
      <name val="微軟正黑體"/>
      <family val="2"/>
      <charset val="136"/>
    </font>
    <font>
      <b/>
      <sz val="18"/>
      <color rgb="FF000000"/>
      <name val="Noto Sans"/>
      <family val="2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sz val="18"/>
      <color rgb="FF000000"/>
      <name val="Noto Sans"/>
      <family val="2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000000"/>
      <name val="霞鶩文楷等寬 TC Medium"/>
      <family val="3"/>
      <charset val="136"/>
    </font>
    <font>
      <sz val="16"/>
      <color theme="1"/>
      <name val="Noto Sans TC SemiBold"/>
      <family val="2"/>
      <charset val="136"/>
    </font>
    <font>
      <sz val="12"/>
      <color theme="3" tint="0.499984740745262"/>
      <name val="Segoe UI"/>
      <family val="2"/>
    </font>
    <font>
      <sz val="18"/>
      <color rgb="FFFF0000"/>
      <name val="Noto Sans"/>
      <family val="2"/>
    </font>
    <font>
      <sz val="18"/>
      <color rgb="FFFF0000"/>
      <name val="Microsoft JhengHei"/>
      <family val="2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000000"/>
      <name val="細明體"/>
      <family val="2"/>
      <charset val="136"/>
    </font>
    <font>
      <sz val="16"/>
      <color rgb="FFFF0000"/>
      <name val="Segoe UI"/>
      <family val="2"/>
    </font>
    <font>
      <sz val="18"/>
      <color rgb="FFFF0000"/>
      <name val="Microsoft JhengHei UI"/>
      <family val="2"/>
    </font>
    <font>
      <sz val="18"/>
      <color rgb="FFFF0000"/>
      <name val="微軟正黑體"/>
      <family val="2"/>
      <charset val="136"/>
    </font>
    <font>
      <sz val="18"/>
      <color rgb="FFFF0000"/>
      <name val="細明體"/>
      <family val="2"/>
      <charset val="136"/>
    </font>
    <font>
      <sz val="18"/>
      <color rgb="FFFF0000"/>
      <name val="細明體"/>
      <family val="1"/>
      <charset val="254"/>
    </font>
    <font>
      <sz val="12"/>
      <color theme="1"/>
      <name val="Noto Sans TC SemiBold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Cambria Math"/>
      <family val="1"/>
      <charset val="254"/>
    </font>
    <font>
      <sz val="22"/>
      <color theme="1"/>
      <name val="霞鶩文楷 TC Medium"/>
      <family val="1"/>
      <charset val="136"/>
    </font>
    <font>
      <sz val="18"/>
      <color theme="1"/>
      <name val="Noto Sans TC Medium"/>
      <family val="2"/>
      <charset val="136"/>
    </font>
    <font>
      <b/>
      <sz val="18"/>
      <color theme="1"/>
      <name val="Charis SIL"/>
    </font>
    <font>
      <sz val="16"/>
      <color theme="0" tint="-0.14999847407452621"/>
      <name val="Noto Sans TC Medium"/>
      <family val="2"/>
      <charset val="136"/>
    </font>
    <font>
      <u/>
      <sz val="16"/>
      <color rgb="FFFF0000"/>
      <name val="Noto Sans TC Medium"/>
      <family val="2"/>
      <charset val="136"/>
    </font>
    <font>
      <b/>
      <sz val="16"/>
      <color theme="0" tint="-0.14999847407452621"/>
      <name val="Charis SIL"/>
    </font>
    <font>
      <sz val="16"/>
      <color theme="0" tint="-0.14999847407452621"/>
      <name val="Noto Sans TC Medium"/>
      <family val="2"/>
    </font>
    <font>
      <b/>
      <sz val="18"/>
      <color theme="0" tint="-0.14999847407452621"/>
      <name val="Charis SIL"/>
    </font>
    <font>
      <b/>
      <sz val="14"/>
      <color rgb="FF000000"/>
      <name val="微軟正黑體"/>
      <family val="2"/>
      <charset val="136"/>
    </font>
    <font>
      <b/>
      <sz val="18"/>
      <color rgb="FFC00000"/>
      <name val="Charis SIL"/>
    </font>
    <font>
      <sz val="18"/>
      <color rgb="FF000000"/>
      <name val="Charis SIL"/>
    </font>
    <font>
      <sz val="18"/>
      <color rgb="FFFF0000"/>
      <name val="Charis SIL"/>
    </font>
    <font>
      <sz val="14"/>
      <color theme="1"/>
      <name val="新細明體"/>
      <family val="2"/>
      <charset val="136"/>
      <scheme val="minor"/>
    </font>
    <font>
      <b/>
      <sz val="18"/>
      <color rgb="FF000000"/>
      <name val="Charis SIL"/>
    </font>
    <font>
      <b/>
      <sz val="18"/>
      <color rgb="FF000000"/>
      <name val="Arial"/>
      <family val="2"/>
      <charset val="254"/>
    </font>
    <font>
      <b/>
      <sz val="18"/>
      <color rgb="FF000000"/>
      <name val="微軟正黑體"/>
      <family val="2"/>
    </font>
    <font>
      <sz val="12"/>
      <color theme="1"/>
      <name val="Segoe UI"/>
      <family val="2"/>
    </font>
    <font>
      <sz val="14"/>
      <color theme="1"/>
      <name val="Noto Serif HK Black"/>
      <family val="1"/>
      <charset val="136"/>
    </font>
    <font>
      <sz val="12"/>
      <color theme="1"/>
      <name val="Noto Serif HK Black"/>
      <family val="1"/>
      <charset val="136"/>
    </font>
    <font>
      <b/>
      <sz val="18"/>
      <color rgb="FFFF0000"/>
      <name val="微軟正黑體"/>
      <family val="2"/>
    </font>
    <font>
      <b/>
      <sz val="24"/>
      <color rgb="FFFF0000"/>
      <name val="微軟正黑體"/>
      <family val="2"/>
      <charset val="136"/>
    </font>
    <font>
      <sz val="20"/>
      <color theme="1"/>
      <name val="新細明體"/>
      <family val="2"/>
      <charset val="136"/>
      <scheme val="minor"/>
    </font>
    <font>
      <sz val="24"/>
      <color theme="1"/>
      <name val="新細明體"/>
      <family val="2"/>
      <charset val="136"/>
      <scheme val="minor"/>
    </font>
    <font>
      <sz val="20"/>
      <color theme="1"/>
      <name val="Noto Serif TC Black"/>
      <family val="1"/>
      <charset val="136"/>
    </font>
    <font>
      <sz val="24"/>
      <color theme="1"/>
      <name val="Noto Serif TC Black"/>
      <family val="1"/>
      <charset val="136"/>
    </font>
    <font>
      <b/>
      <sz val="16"/>
      <color theme="1"/>
      <name val="Noto Serif TC Black"/>
      <family val="1"/>
      <charset val="136"/>
    </font>
    <font>
      <b/>
      <sz val="20"/>
      <color rgb="FF0C0301"/>
      <name val="Noto Serif TC Black"/>
      <family val="1"/>
      <charset val="136"/>
    </font>
    <font>
      <sz val="28"/>
      <color theme="1"/>
      <name val="新細明體"/>
      <family val="1"/>
      <scheme val="minor"/>
    </font>
    <font>
      <sz val="28"/>
      <color theme="8" tint="-0.249977111117893"/>
      <name val="Noto Sans TC Black"/>
      <family val="2"/>
      <charset val="136"/>
    </font>
    <font>
      <sz val="24"/>
      <color theme="7" tint="-0.249977111117893"/>
      <name val="新細明體"/>
      <family val="1"/>
      <scheme val="minor"/>
    </font>
    <font>
      <sz val="36"/>
      <color theme="9" tint="-0.249977111117893"/>
      <name val="吳守禮標楷台語注音"/>
      <family val="3"/>
      <charset val="136"/>
    </font>
    <font>
      <sz val="36"/>
      <color theme="9" tint="-0.249977111117893"/>
      <name val="吳守禮標楷台語破音01"/>
      <family val="3"/>
      <charset val="136"/>
    </font>
    <font>
      <sz val="24"/>
      <color theme="7" tint="-0.249977111117893"/>
      <name val="Noto Sans TC"/>
      <family val="2"/>
      <charset val="136"/>
    </font>
    <font>
      <b/>
      <sz val="20"/>
      <color rgb="FFFF0000"/>
      <name val="Noto Serif TC Black"/>
      <family val="1"/>
      <charset val="136"/>
    </font>
    <font>
      <sz val="28"/>
      <color theme="1"/>
      <name val="新細明體"/>
      <family val="1"/>
      <charset val="136"/>
      <scheme val="minor"/>
    </font>
    <font>
      <sz val="28"/>
      <color theme="1"/>
      <name val="Times New Roman"/>
      <family val="1"/>
      <charset val="1"/>
    </font>
    <font>
      <sz val="28"/>
      <color theme="1"/>
      <name val="Segoe UI"/>
      <family val="1"/>
      <charset val="1"/>
    </font>
    <font>
      <sz val="28"/>
      <color theme="1"/>
      <name val="新細明體"/>
      <family val="2"/>
      <charset val="136"/>
      <scheme val="minor"/>
    </font>
    <font>
      <sz val="28"/>
      <color theme="1"/>
      <name val="細明體"/>
      <family val="1"/>
      <charset val="136"/>
    </font>
    <font>
      <sz val="28"/>
      <color theme="1"/>
      <name val="新細明體"/>
      <family val="1"/>
      <charset val="136"/>
    </font>
    <font>
      <sz val="28"/>
      <color theme="1"/>
      <name val="Charis SIL"/>
    </font>
    <font>
      <sz val="28"/>
      <color theme="1"/>
      <name val="Noto Sans TC Black"/>
      <family val="2"/>
      <charset val="136"/>
    </font>
    <font>
      <sz val="28"/>
      <color theme="1"/>
      <name val="Charis SIL"/>
      <family val="2"/>
      <charset val="136"/>
    </font>
    <font>
      <sz val="24"/>
      <color theme="1"/>
      <name val="Charis SIL"/>
    </font>
    <font>
      <sz val="24"/>
      <name val="Arial"/>
      <family val="2"/>
    </font>
    <font>
      <b/>
      <sz val="24"/>
      <name val="Arial"/>
      <family val="2"/>
    </font>
    <font>
      <sz val="24"/>
      <name val="Times New Roman"/>
      <family val="1"/>
    </font>
    <font>
      <sz val="12"/>
      <color theme="7" tint="-0.249977111117893"/>
      <name val="新細明體"/>
      <family val="2"/>
      <charset val="136"/>
      <scheme val="minor"/>
    </font>
    <font>
      <sz val="12"/>
      <color theme="7" tint="-0.249977111117893"/>
      <name val="Noto Sans TC"/>
      <family val="2"/>
      <charset val="136"/>
    </font>
    <font>
      <sz val="12"/>
      <color theme="7" tint="-0.249977111117893"/>
      <name val="新細明體"/>
      <family val="1"/>
      <scheme val="minor"/>
    </font>
    <font>
      <sz val="12"/>
      <color theme="9" tint="-0.249977111117893"/>
      <name val="吳守禮標楷台語注音"/>
      <family val="3"/>
      <charset val="136"/>
    </font>
    <font>
      <sz val="14"/>
      <color theme="9" tint="-0.249977111117893"/>
      <name val="吳守禮標楷台語注音"/>
      <family val="3"/>
      <charset val="136"/>
    </font>
    <font>
      <sz val="12"/>
      <color theme="7" tint="-0.249977111117893"/>
      <name val="新細明體"/>
      <family val="1"/>
      <charset val="136"/>
      <scheme val="minor"/>
    </font>
    <font>
      <sz val="16"/>
      <color theme="9" tint="-0.249977111117893"/>
      <name val="吳守禮標楷台語注音"/>
      <family val="3"/>
      <charset val="136"/>
    </font>
    <font>
      <sz val="36"/>
      <color theme="9" tint="-0.249977111117893"/>
      <name val="霞鶩文楷 TC"/>
      <family val="1"/>
      <charset val="136"/>
    </font>
    <font>
      <b/>
      <sz val="16"/>
      <color theme="0"/>
      <name val="Noto Sans TC Black"/>
      <family val="2"/>
      <charset val="136"/>
    </font>
    <font>
      <sz val="9"/>
      <name val="BopomofoRuby1909-v1"/>
      <family val="3"/>
      <charset val="136"/>
    </font>
    <font>
      <sz val="12"/>
      <color rgb="FFFFFF00"/>
      <name val="Noto Sans TC Black"/>
      <family val="2"/>
      <charset val="136"/>
    </font>
    <font>
      <sz val="9"/>
      <name val="黒体-繁"/>
      <family val="2"/>
      <charset val="136"/>
    </font>
    <font>
      <sz val="9"/>
      <name val="新細明體"/>
      <family val="3"/>
      <charset val="136"/>
      <scheme val="minor"/>
    </font>
    <font>
      <sz val="16"/>
      <color theme="1"/>
      <name val="Noto Serif TC"/>
      <family val="1"/>
      <charset val="136"/>
    </font>
    <font>
      <b/>
      <sz val="16"/>
      <color rgb="FFFF0000"/>
      <name val="Noto Sans TC Black"/>
      <family val="2"/>
      <charset val="136"/>
    </font>
    <font>
      <sz val="16"/>
      <color rgb="FF000000"/>
      <name val="Noto Serif TC"/>
      <family val="1"/>
      <charset val="136"/>
    </font>
    <font>
      <u/>
      <sz val="12"/>
      <color theme="10"/>
      <name val="新細明體"/>
      <family val="2"/>
      <scheme val="minor"/>
    </font>
    <font>
      <sz val="28"/>
      <color rgb="FFC00000"/>
      <name val="吳守禮細明台語注音"/>
      <family val="1"/>
      <charset val="136"/>
    </font>
    <font>
      <sz val="16"/>
      <color theme="10"/>
      <name val="Noto Serif TC Black"/>
      <family val="1"/>
      <charset val="136"/>
    </font>
    <font>
      <sz val="16"/>
      <name val="新細明體"/>
      <family val="1"/>
      <scheme val="minor"/>
    </font>
    <font>
      <b/>
      <sz val="16"/>
      <color rgb="FFFF0000"/>
      <name val="新細明體"/>
      <family val="1"/>
      <scheme val="minor"/>
    </font>
    <font>
      <b/>
      <sz val="16"/>
      <color rgb="FFFF0000"/>
      <name val="Noto Serif TC"/>
      <family val="1"/>
      <charset val="136"/>
    </font>
    <font>
      <sz val="16"/>
      <color theme="5" tint="-0.249977111117893"/>
      <name val="Noto Serif TC Black"/>
      <family val="1"/>
      <charset val="136"/>
    </font>
    <font>
      <sz val="16"/>
      <name val="新細明體"/>
      <family val="1"/>
      <charset val="136"/>
      <scheme val="minor"/>
    </font>
    <font>
      <sz val="16"/>
      <color rgb="FF000000"/>
      <name val="Noto Serif TC Black"/>
      <family val="1"/>
      <charset val="136"/>
    </font>
    <font>
      <b/>
      <sz val="16"/>
      <color rgb="FFC00000"/>
      <name val="Noto Serif TC"/>
      <family val="1"/>
      <charset val="136"/>
    </font>
    <font>
      <sz val="16"/>
      <color theme="1"/>
      <name val="BopomofoRuby1909-v1"/>
      <family val="1"/>
      <charset val="136"/>
    </font>
    <font>
      <sz val="16"/>
      <color rgb="FFC00000"/>
      <name val="Noto Serif TC"/>
      <family val="1"/>
      <charset val="136"/>
    </font>
    <font>
      <sz val="16"/>
      <color rgb="FFFF0000"/>
      <name val="新細明體"/>
      <family val="1"/>
      <scheme val="minor"/>
    </font>
    <font>
      <sz val="16"/>
      <color theme="4"/>
      <name val="Noto Serif TC"/>
      <family val="1"/>
      <charset val="136"/>
    </font>
    <font>
      <b/>
      <sz val="16"/>
      <color rgb="FFFF0000"/>
      <name val="Noto Serif TC"/>
      <family val="1"/>
    </font>
    <font>
      <u/>
      <sz val="10"/>
      <color theme="10"/>
      <name val="宋体"/>
      <charset val="136"/>
    </font>
    <font>
      <sz val="16"/>
      <name val="Noto Serif TC Black"/>
      <family val="1"/>
      <charset val="136"/>
    </font>
    <font>
      <sz val="16"/>
      <color rgb="FFFF0000"/>
      <name val="Noto Serif TC"/>
      <family val="1"/>
      <charset val="136"/>
    </font>
    <font>
      <sz val="16"/>
      <color theme="5" tint="-0.249977111117893"/>
      <name val="Noto Serif TC"/>
      <family val="1"/>
      <charset val="136"/>
    </font>
    <font>
      <b/>
      <sz val="16"/>
      <color rgb="FFFF0000"/>
      <name val="SimSun-ExtB"/>
      <family val="3"/>
      <charset val="134"/>
    </font>
    <font>
      <sz val="16"/>
      <name val="Noto Serif TC"/>
      <family val="1"/>
      <charset val="136"/>
    </font>
    <font>
      <sz val="16"/>
      <color theme="1"/>
      <name val="新細明體"/>
      <family val="1"/>
      <scheme val="minor"/>
    </font>
    <font>
      <sz val="16"/>
      <color theme="1"/>
      <name val="SimSun-ExtB"/>
      <family val="3"/>
      <charset val="134"/>
    </font>
    <font>
      <sz val="16"/>
      <color theme="1"/>
      <name val="新細明體"/>
      <family val="1"/>
      <charset val="136"/>
      <scheme val="minor"/>
    </font>
    <font>
      <sz val="16"/>
      <color theme="1"/>
      <name val="Arial"/>
      <family val="2"/>
    </font>
    <font>
      <sz val="16"/>
      <color theme="1"/>
      <name val="Noto Serif TC Black"/>
      <family val="1"/>
      <charset val="136"/>
    </font>
    <font>
      <sz val="10"/>
      <name val="宋体"/>
      <family val="3"/>
      <charset val="136"/>
    </font>
    <font>
      <sz val="28"/>
      <color rgb="FFC00000"/>
      <name val="吳守禮細明台語破音01"/>
      <family val="1"/>
      <charset val="136"/>
    </font>
    <font>
      <b/>
      <sz val="16"/>
      <color theme="0"/>
      <name val="Charis SIL"/>
    </font>
    <font>
      <sz val="16"/>
      <color theme="10"/>
      <name val="Charis SIL"/>
    </font>
    <font>
      <sz val="16"/>
      <color rgb="FFC00000"/>
      <name val="Charis SIL"/>
    </font>
    <font>
      <sz val="16"/>
      <color rgb="FF000000"/>
      <name val="Charis SIL"/>
    </font>
    <font>
      <sz val="16"/>
      <color theme="5" tint="-0.249977111117893"/>
      <name val="Charis SIL"/>
    </font>
    <font>
      <sz val="16"/>
      <color theme="1"/>
      <name val="Charis SIL"/>
    </font>
    <font>
      <sz val="28"/>
      <color rgb="FFC00000"/>
      <name val="吳守禮細明台語破音02"/>
      <family val="1"/>
      <charset val="136"/>
    </font>
    <font>
      <sz val="28"/>
      <color rgb="FFC00000"/>
      <name val="吳守禮細明台語破音05"/>
      <family val="1"/>
      <charset val="136"/>
    </font>
    <font>
      <sz val="28"/>
      <color rgb="FFC00000"/>
      <name val="吳守禮標楷台語破音02"/>
      <family val="3"/>
      <charset val="136"/>
    </font>
    <font>
      <b/>
      <sz val="16"/>
      <color rgb="FFFF0000"/>
      <name val="Jigmo"/>
      <family val="3"/>
      <charset val="128"/>
    </font>
    <font>
      <sz val="16"/>
      <color theme="0"/>
      <name val="Noto Sans TC Black"/>
      <family val="2"/>
      <charset val="136"/>
    </font>
    <font>
      <b/>
      <sz val="16"/>
      <color theme="1"/>
      <name val="Noto Serif TC"/>
      <family val="1"/>
      <charset val="136"/>
    </font>
    <font>
      <b/>
      <sz val="16"/>
      <color theme="1"/>
      <name val="Jigmo"/>
      <family val="3"/>
      <charset val="128"/>
    </font>
    <font>
      <b/>
      <sz val="16"/>
      <color theme="5" tint="-0.249977111117893"/>
      <name val="Jigmo"/>
      <family val="3"/>
      <charset val="128"/>
    </font>
    <font>
      <b/>
      <sz val="10"/>
      <name val="FSung-F"/>
      <family val="1"/>
      <charset val="136"/>
    </font>
    <font>
      <sz val="16"/>
      <color theme="1"/>
      <name val="Noto Sans TC"/>
      <family val="2"/>
      <charset val="136"/>
    </font>
    <font>
      <b/>
      <sz val="16"/>
      <color theme="0"/>
      <name val="Noto Serif TC SemiBold"/>
      <family val="1"/>
      <charset val="136"/>
    </font>
    <font>
      <sz val="16"/>
      <color theme="1"/>
      <name val="Noto Serif TC SemiBold"/>
      <family val="1"/>
      <charset val="136"/>
    </font>
    <font>
      <sz val="16"/>
      <color rgb="FFFF0000"/>
      <name val="Noto Sans TC"/>
      <family val="2"/>
      <charset val="136"/>
    </font>
    <font>
      <sz val="20"/>
      <color rgb="FF7030A0"/>
      <name val="Noto Sans TC"/>
      <family val="2"/>
      <charset val="136"/>
    </font>
    <font>
      <b/>
      <sz val="16"/>
      <name val="新細明體"/>
      <family val="1"/>
      <scheme val="minor"/>
    </font>
    <font>
      <sz val="28"/>
      <color rgb="FF7030A0"/>
      <name val="吳守禮細明台語注音"/>
      <family val="1"/>
      <charset val="136"/>
    </font>
    <font>
      <sz val="20"/>
      <color theme="1"/>
      <name val="霞鶩文楷等寬 TC"/>
      <family val="3"/>
      <charset val="136"/>
    </font>
    <font>
      <sz val="20"/>
      <color rgb="FFFF0000"/>
      <name val="Noto Serif TC Black"/>
      <family val="1"/>
      <charset val="136"/>
    </font>
    <font>
      <sz val="11"/>
      <color theme="1"/>
      <name val="新細明體"/>
      <family val="2"/>
      <scheme val="minor"/>
    </font>
    <font>
      <sz val="11"/>
      <color theme="1"/>
      <name val="Noto Serif TC Black"/>
      <family val="1"/>
      <charset val="136"/>
    </font>
    <font>
      <sz val="20"/>
      <color rgb="FFFF0000"/>
      <name val="Yu Gothic"/>
      <family val="2"/>
      <charset val="128"/>
    </font>
    <font>
      <sz val="20"/>
      <color theme="1"/>
      <name val="Yu Gothic"/>
      <family val="2"/>
      <charset val="128"/>
    </font>
    <font>
      <sz val="16"/>
      <color theme="1"/>
      <name val="Microsoft YaHei"/>
      <family val="2"/>
      <charset val="134"/>
    </font>
    <font>
      <sz val="16"/>
      <color rgb="FFFF0000"/>
      <name val="Noto Sans TC"/>
      <family val="2"/>
    </font>
    <font>
      <b/>
      <sz val="20"/>
      <color rgb="FFFF0000"/>
      <name val="Microsoft JhengHei UI"/>
      <family val="2"/>
      <charset val="136"/>
    </font>
    <font>
      <b/>
      <sz val="20"/>
      <color rgb="FFFF0000"/>
      <name val="Yu Gothic"/>
      <family val="2"/>
      <charset val="128"/>
    </font>
    <font>
      <sz val="20"/>
      <color theme="1"/>
      <name val="Noto Serif TC Black"/>
      <family val="1"/>
      <charset val="134"/>
    </font>
    <font>
      <sz val="20"/>
      <color theme="1"/>
      <name val="SimSun"/>
      <charset val="134"/>
    </font>
    <font>
      <b/>
      <sz val="20"/>
      <color rgb="FFFF0000"/>
      <name val="SimSun-ExtB"/>
      <family val="3"/>
      <charset val="134"/>
    </font>
    <font>
      <sz val="16"/>
      <color rgb="FFC00000"/>
      <name val="Noto Sans TC"/>
      <family val="2"/>
      <charset val="136"/>
    </font>
    <font>
      <sz val="16"/>
      <color rgb="FF7030A0"/>
      <name val="Noto Sans TC"/>
      <family val="2"/>
      <charset val="136"/>
    </font>
    <font>
      <sz val="11"/>
      <color rgb="FFC00000"/>
      <name val="新細明體"/>
      <family val="2"/>
      <scheme val="minor"/>
    </font>
    <font>
      <sz val="11"/>
      <name val="新細明體"/>
      <family val="2"/>
      <scheme val="minor"/>
    </font>
    <font>
      <b/>
      <sz val="26"/>
      <color rgb="FFFF0000"/>
      <name val="Noto Serif TC Black"/>
      <family val="1"/>
      <charset val="136"/>
    </font>
    <font>
      <sz val="18"/>
      <color theme="1"/>
      <name val="霞鹜文楷等宽 TC"/>
      <family val="3"/>
      <charset val="136"/>
    </font>
    <font>
      <sz val="26"/>
      <color rgb="FFFF0000"/>
      <name val="Microsoft JhengHei"/>
      <family val="2"/>
      <charset val="136"/>
    </font>
    <font>
      <sz val="9"/>
      <name val="Iansui 094"/>
      <family val="3"/>
      <charset val="136"/>
    </font>
    <font>
      <sz val="16"/>
      <color theme="0"/>
      <name val="Noto Serif TC Black"/>
      <family val="1"/>
      <charset val="136"/>
    </font>
    <font>
      <b/>
      <sz val="16"/>
      <color rgb="FF000000"/>
      <name val="Noto Serif TC Black"/>
      <family val="1"/>
      <charset val="136"/>
    </font>
    <font>
      <sz val="16"/>
      <color rgb="FF000000"/>
      <name val="Noto Serif TC SemiBold"/>
      <family val="1"/>
      <charset val="136"/>
    </font>
    <font>
      <sz val="20"/>
      <color rgb="FFC00000"/>
      <name val="Noto Serif TC Black"/>
      <family val="1"/>
      <charset val="136"/>
    </font>
    <font>
      <strike/>
      <sz val="16"/>
      <color theme="0" tint="-0.24994659260841701"/>
      <name val="Noto Serif TC SemiBold"/>
      <family val="1"/>
      <charset val="136"/>
    </font>
    <font>
      <strike/>
      <sz val="16"/>
      <color theme="0" tint="-0.34998626667073579"/>
      <name val="Noto Serif TC SemiBold"/>
      <family val="1"/>
      <charset val="136"/>
    </font>
    <font>
      <b/>
      <sz val="16"/>
      <name val="Noto Serif TC Black"/>
      <family val="1"/>
      <charset val="136"/>
    </font>
    <font>
      <b/>
      <sz val="16"/>
      <color theme="4"/>
      <name val="Noto Serif TC Black"/>
      <family val="1"/>
      <charset val="136"/>
    </font>
    <font>
      <b/>
      <sz val="16"/>
      <color rgb="FFC00000"/>
      <name val="Arial Black"/>
      <family val="2"/>
    </font>
    <font>
      <b/>
      <sz val="18"/>
      <color theme="3" tint="0.39997558519241921"/>
      <name val="Noto Serif TC Black"/>
      <family val="1"/>
      <charset val="136"/>
    </font>
    <font>
      <b/>
      <sz val="18"/>
      <color rgb="FFC00000"/>
      <name val="Noto Serif TC Black"/>
      <family val="1"/>
      <charset val="136"/>
    </font>
    <font>
      <b/>
      <sz val="18"/>
      <color rgb="FF02BE4E"/>
      <name val="Noto Serif TC Black"/>
      <family val="1"/>
      <charset val="136"/>
    </font>
    <font>
      <sz val="16"/>
      <color theme="1"/>
      <name val="霞鶩文楷 TC"/>
      <family val="1"/>
      <charset val="136"/>
    </font>
    <font>
      <b/>
      <sz val="16"/>
      <color rgb="FFFFFF00"/>
      <name val="Noto Serif TC SemiBold"/>
      <family val="1"/>
      <charset val="136"/>
    </font>
    <font>
      <b/>
      <sz val="16"/>
      <color theme="1"/>
      <name val="BopomofoRuby1909-v1"/>
      <family val="1"/>
      <charset val="136"/>
    </font>
    <font>
      <b/>
      <sz val="16"/>
      <color theme="4"/>
      <name val="霞鶩文楷 TC"/>
      <family val="1"/>
      <charset val="136"/>
    </font>
    <font>
      <b/>
      <sz val="16"/>
      <color rgb="FFFF0000"/>
      <name val="Noto Serif TC Black"/>
      <family val="1"/>
      <charset val="136"/>
    </font>
    <font>
      <sz val="16"/>
      <color theme="1"/>
      <name val="Noto Sans TC"/>
      <family val="2"/>
    </font>
    <font>
      <b/>
      <sz val="16"/>
      <color theme="0"/>
      <name val="Noto Sans TC Medium"/>
      <family val="2"/>
    </font>
    <font>
      <sz val="16"/>
      <color theme="1"/>
      <name val="新細明體"/>
      <family val="2"/>
      <scheme val="minor"/>
    </font>
    <font>
      <sz val="16"/>
      <color theme="1"/>
      <name val="Noto Sans TC Medium"/>
      <family val="2"/>
    </font>
    <font>
      <sz val="16"/>
      <name val="Arial"/>
      <family val="2"/>
    </font>
    <font>
      <sz val="18"/>
      <color theme="1"/>
      <name val="Noto Sans TC"/>
      <family val="2"/>
    </font>
    <font>
      <sz val="10"/>
      <color rgb="FF000000"/>
      <name val="新細明體"/>
      <family val="1"/>
      <charset val="136"/>
      <scheme val="minor"/>
    </font>
    <font>
      <sz val="24"/>
      <color rgb="FFB7B7B7"/>
      <name val="LXGW WenKai Mono TC"/>
      <family val="3"/>
      <charset val="136"/>
    </font>
    <font>
      <sz val="24"/>
      <color theme="1"/>
      <name val="LXGW WenKai Mono TC"/>
      <family val="3"/>
      <charset val="136"/>
    </font>
    <font>
      <sz val="16"/>
      <color theme="3" tint="0.749992370372631"/>
      <name val="Noto Sans TC Medium"/>
      <family val="2"/>
    </font>
    <font>
      <sz val="16"/>
      <color theme="3" tint="0.749992370372631"/>
      <name val="Noto Sans TC"/>
      <family val="2"/>
      <charset val="136"/>
    </font>
    <font>
      <b/>
      <sz val="18"/>
      <color theme="3" tint="0.749992370372631"/>
      <name val="Noto Sans TC"/>
      <family val="2"/>
    </font>
    <font>
      <b/>
      <sz val="24"/>
      <color theme="3" tint="0.749992370372631"/>
      <name val="LXGW WenKai Mono TC"/>
      <family val="3"/>
      <charset val="136"/>
    </font>
    <font>
      <sz val="24"/>
      <color rgb="FFFF0000"/>
      <name val="LXGW WenKai Mono TC"/>
      <family val="3"/>
      <charset val="136"/>
    </font>
    <font>
      <sz val="11"/>
      <color theme="1"/>
      <name val="Arial"/>
      <family val="2"/>
    </font>
    <font>
      <b/>
      <sz val="18"/>
      <name val="Noto Serif TC Black"/>
      <family val="1"/>
      <charset val="136"/>
    </font>
    <font>
      <b/>
      <sz val="18"/>
      <color rgb="FFFFFF00"/>
      <name val="Noto Serif TC Black"/>
      <family val="1"/>
      <charset val="136"/>
    </font>
    <font>
      <sz val="18"/>
      <name val="Arial"/>
      <family val="2"/>
    </font>
    <font>
      <sz val="18"/>
      <color rgb="FF0070C0"/>
      <name val="Noto Serif TC SemiBold"/>
      <family val="1"/>
      <charset val="136"/>
    </font>
    <font>
      <sz val="18"/>
      <color rgb="FFC00000"/>
      <name val="Noto Serif TC SemiBold"/>
      <family val="1"/>
      <charset val="136"/>
    </font>
    <font>
      <sz val="18"/>
      <color theme="3" tint="0.39997558519241921"/>
      <name val="Noto Serif TC SemiBold"/>
      <family val="1"/>
      <charset val="136"/>
    </font>
    <font>
      <sz val="18"/>
      <color theme="3" tint="0.39997558519241921"/>
      <name val="Arial"/>
      <family val="2"/>
    </font>
    <font>
      <sz val="18"/>
      <color rgb="FFC00000"/>
      <name val="Arial"/>
      <family val="2"/>
    </font>
    <font>
      <sz val="18"/>
      <color rgb="FF02BE4E"/>
      <name val="Noto Serif TC SemiBold"/>
      <family val="1"/>
      <charset val="136"/>
    </font>
    <font>
      <sz val="18"/>
      <color rgb="FF02BE4E"/>
      <name val="Arial"/>
      <family val="2"/>
    </font>
    <font>
      <b/>
      <sz val="24"/>
      <color rgb="FFFF0000"/>
      <name val="Noto Serif TC Black"/>
      <family val="1"/>
      <charset val="136"/>
    </font>
    <font>
      <b/>
      <sz val="36"/>
      <color rgb="FFFF0000"/>
      <name val="Noto Serif TC Black"/>
      <family val="1"/>
      <charset val="136"/>
    </font>
  </fonts>
  <fills count="2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DFEC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theme="4" tint="0.59999389629810485"/>
        <bgColor theme="4" tint="0.59999389629810485"/>
      </patternFill>
    </fill>
    <fill>
      <patternFill patternType="darkGray">
        <bgColor theme="0" tint="-4.9989318521683403E-2"/>
      </patternFill>
    </fill>
    <fill>
      <patternFill patternType="darkGray">
        <bgColor theme="8" tint="0.59999389629810485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ashed">
        <color theme="0" tint="-0.14996795556505021"/>
      </right>
      <top style="thin">
        <color auto="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auto="1"/>
      </right>
      <top style="thin">
        <color auto="1"/>
      </top>
      <bottom style="dashed">
        <color theme="0" tint="-0.14996795556505021"/>
      </bottom>
      <diagonal/>
    </border>
    <border>
      <left style="thin">
        <color auto="1"/>
      </left>
      <right style="dashed">
        <color theme="0" tint="-0.14996795556505021"/>
      </right>
      <top style="dashed">
        <color theme="0" tint="-0.14996795556505021"/>
      </top>
      <bottom style="thin">
        <color auto="1"/>
      </bottom>
      <diagonal/>
    </border>
    <border>
      <left style="dashed">
        <color theme="0" tint="-0.14996795556505021"/>
      </left>
      <right style="thin">
        <color auto="1"/>
      </right>
      <top style="dashed">
        <color theme="0" tint="-0.1499679555650502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215C98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4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4" fillId="0" borderId="0">
      <alignment vertical="center"/>
    </xf>
    <xf numFmtId="0" fontId="112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55" fillId="0" borderId="0">
      <alignment vertical="center"/>
    </xf>
    <xf numFmtId="0" fontId="164" fillId="0" borderId="0"/>
    <xf numFmtId="0" fontId="179" fillId="20" borderId="21">
      <alignment horizontal="center" vertical="center"/>
    </xf>
    <xf numFmtId="0" fontId="180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38" fillId="0" borderId="0"/>
    <xf numFmtId="0" fontId="206" fillId="0" borderId="0"/>
  </cellStyleXfs>
  <cellXfs count="363">
    <xf numFmtId="0" fontId="0" fillId="0" borderId="0" xfId="0">
      <alignment vertical="center"/>
    </xf>
    <xf numFmtId="0" fontId="6" fillId="3" borderId="9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5" fillId="0" borderId="0" xfId="2">
      <alignment vertical="center"/>
    </xf>
    <xf numFmtId="0" fontId="5" fillId="0" borderId="9" xfId="2" applyBorder="1">
      <alignment vertical="center"/>
    </xf>
    <xf numFmtId="0" fontId="9" fillId="0" borderId="1" xfId="2" applyFont="1" applyBorder="1" applyAlignment="1">
      <alignment horizontal="center" vertical="center"/>
    </xf>
    <xf numFmtId="0" fontId="5" fillId="0" borderId="1" xfId="2" applyBorder="1">
      <alignment vertical="center"/>
    </xf>
    <xf numFmtId="0" fontId="5" fillId="4" borderId="1" xfId="2" applyFill="1" applyBorder="1">
      <alignment vertical="center"/>
    </xf>
    <xf numFmtId="0" fontId="10" fillId="0" borderId="1" xfId="2" applyFont="1" applyBorder="1">
      <alignment vertical="center"/>
    </xf>
    <xf numFmtId="0" fontId="11" fillId="0" borderId="1" xfId="2" applyFont="1" applyBorder="1">
      <alignment vertical="center"/>
    </xf>
    <xf numFmtId="0" fontId="12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6" fillId="0" borderId="9" xfId="2" applyFont="1" applyBorder="1">
      <alignment vertical="center"/>
    </xf>
    <xf numFmtId="0" fontId="17" fillId="0" borderId="1" xfId="2" applyFont="1" applyBorder="1" applyAlignment="1">
      <alignment horizontal="center" vertical="center"/>
    </xf>
    <xf numFmtId="0" fontId="16" fillId="0" borderId="1" xfId="2" applyFont="1" applyBorder="1">
      <alignment vertical="center"/>
    </xf>
    <xf numFmtId="0" fontId="16" fillId="4" borderId="1" xfId="2" applyFont="1" applyFill="1" applyBorder="1">
      <alignment vertical="center"/>
    </xf>
    <xf numFmtId="0" fontId="5" fillId="2" borderId="1" xfId="2" applyFill="1" applyBorder="1">
      <alignment vertical="center"/>
    </xf>
    <xf numFmtId="0" fontId="5" fillId="2" borderId="8" xfId="2" applyFill="1" applyBorder="1">
      <alignment vertical="center"/>
    </xf>
    <xf numFmtId="0" fontId="5" fillId="2" borderId="10" xfId="2" applyFill="1" applyBorder="1">
      <alignment vertical="center"/>
    </xf>
    <xf numFmtId="0" fontId="5" fillId="2" borderId="2" xfId="2" applyFill="1" applyBorder="1">
      <alignment vertical="center"/>
    </xf>
    <xf numFmtId="0" fontId="5" fillId="2" borderId="11" xfId="2" applyFill="1" applyBorder="1">
      <alignment vertical="center"/>
    </xf>
    <xf numFmtId="0" fontId="5" fillId="2" borderId="4" xfId="2" applyFill="1" applyBorder="1">
      <alignment vertical="center"/>
    </xf>
    <xf numFmtId="0" fontId="4" fillId="0" borderId="0" xfId="3">
      <alignment vertical="center"/>
    </xf>
    <xf numFmtId="0" fontId="18" fillId="0" borderId="0" xfId="3" applyFont="1">
      <alignment vertical="center"/>
    </xf>
    <xf numFmtId="0" fontId="18" fillId="0" borderId="0" xfId="3" applyFont="1" applyAlignment="1">
      <alignment horizontal="center" vertical="center"/>
    </xf>
    <xf numFmtId="0" fontId="19" fillId="0" borderId="0" xfId="3" applyFont="1">
      <alignment vertical="center"/>
    </xf>
    <xf numFmtId="0" fontId="20" fillId="0" borderId="0" xfId="3" applyFont="1">
      <alignment vertical="center"/>
    </xf>
    <xf numFmtId="0" fontId="21" fillId="0" borderId="0" xfId="3" applyFont="1">
      <alignment vertical="center"/>
    </xf>
    <xf numFmtId="0" fontId="22" fillId="6" borderId="14" xfId="3" applyFont="1" applyFill="1" applyBorder="1" applyAlignment="1">
      <alignment horizontal="center" vertical="center" wrapText="1"/>
    </xf>
    <xf numFmtId="0" fontId="28" fillId="6" borderId="13" xfId="3" applyFont="1" applyFill="1" applyBorder="1" applyAlignment="1">
      <alignment horizontal="left" vertical="center" wrapText="1" indent="1"/>
    </xf>
    <xf numFmtId="0" fontId="28" fillId="6" borderId="14" xfId="3" applyFont="1" applyFill="1" applyBorder="1" applyAlignment="1">
      <alignment horizontal="left" vertical="center" wrapText="1" indent="1"/>
    </xf>
    <xf numFmtId="0" fontId="31" fillId="6" borderId="14" xfId="3" applyFont="1" applyFill="1" applyBorder="1" applyAlignment="1">
      <alignment horizontal="left" vertical="center" wrapText="1" indent="1"/>
    </xf>
    <xf numFmtId="0" fontId="28" fillId="6" borderId="14" xfId="3" applyFont="1" applyFill="1" applyBorder="1" applyAlignment="1">
      <alignment horizontal="center" vertical="center" wrapText="1"/>
    </xf>
    <xf numFmtId="0" fontId="28" fillId="6" borderId="0" xfId="3" applyFont="1" applyFill="1" applyAlignment="1">
      <alignment horizontal="center" vertical="center" wrapText="1"/>
    </xf>
    <xf numFmtId="0" fontId="28" fillId="6" borderId="0" xfId="3" applyFont="1" applyFill="1" applyAlignment="1">
      <alignment horizontal="left" vertical="center" wrapText="1" indent="1"/>
    </xf>
    <xf numFmtId="0" fontId="32" fillId="0" borderId="0" xfId="3" applyFont="1">
      <alignment vertical="center"/>
    </xf>
    <xf numFmtId="0" fontId="20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34" fillId="5" borderId="14" xfId="3" applyFont="1" applyFill="1" applyBorder="1" applyAlignment="1">
      <alignment horizontal="left" vertical="center" wrapText="1" indent="1"/>
    </xf>
    <xf numFmtId="0" fontId="35" fillId="5" borderId="14" xfId="3" applyFont="1" applyFill="1" applyBorder="1" applyAlignment="1">
      <alignment horizontal="left" vertical="center" wrapText="1" indent="1"/>
    </xf>
    <xf numFmtId="0" fontId="38" fillId="6" borderId="14" xfId="3" applyFont="1" applyFill="1" applyBorder="1" applyAlignment="1">
      <alignment horizontal="left" vertical="center" wrapText="1" indent="1"/>
    </xf>
    <xf numFmtId="0" fontId="36" fillId="6" borderId="14" xfId="3" applyFont="1" applyFill="1" applyBorder="1" applyAlignment="1">
      <alignment horizontal="left" vertical="center" wrapText="1" indent="1"/>
    </xf>
    <xf numFmtId="0" fontId="39" fillId="0" borderId="0" xfId="3" applyFont="1" applyAlignment="1">
      <alignment horizontal="center" vertical="center"/>
    </xf>
    <xf numFmtId="0" fontId="34" fillId="7" borderId="14" xfId="3" applyFont="1" applyFill="1" applyBorder="1" applyAlignment="1">
      <alignment horizontal="left" vertical="center" wrapText="1" indent="1"/>
    </xf>
    <xf numFmtId="0" fontId="40" fillId="5" borderId="14" xfId="3" applyFont="1" applyFill="1" applyBorder="1" applyAlignment="1">
      <alignment horizontal="left" vertical="center" wrapText="1" indent="1"/>
    </xf>
    <xf numFmtId="0" fontId="41" fillId="5" borderId="14" xfId="3" applyFont="1" applyFill="1" applyBorder="1" applyAlignment="1">
      <alignment horizontal="left" vertical="center" wrapText="1" indent="1"/>
    </xf>
    <xf numFmtId="0" fontId="42" fillId="5" borderId="14" xfId="3" applyFont="1" applyFill="1" applyBorder="1" applyAlignment="1">
      <alignment horizontal="left" vertical="center" wrapText="1" indent="1"/>
    </xf>
    <xf numFmtId="0" fontId="43" fillId="5" borderId="14" xfId="3" applyFont="1" applyFill="1" applyBorder="1" applyAlignment="1">
      <alignment horizontal="left" vertical="center" wrapText="1" indent="1"/>
    </xf>
    <xf numFmtId="0" fontId="44" fillId="0" borderId="0" xfId="3" applyFont="1">
      <alignment vertical="center"/>
    </xf>
    <xf numFmtId="0" fontId="18" fillId="0" borderId="0" xfId="3" applyFont="1" applyAlignment="1">
      <alignment horizontal="left" vertical="center"/>
    </xf>
    <xf numFmtId="0" fontId="48" fillId="0" borderId="0" xfId="3" applyFont="1">
      <alignment vertical="center"/>
    </xf>
    <xf numFmtId="0" fontId="19" fillId="0" borderId="0" xfId="3" applyFont="1" applyAlignment="1">
      <alignment horizontal="left" vertical="center"/>
    </xf>
    <xf numFmtId="0" fontId="5" fillId="3" borderId="1" xfId="2" applyFill="1" applyBorder="1" applyAlignment="1">
      <alignment horizontal="center" vertical="center"/>
    </xf>
    <xf numFmtId="0" fontId="5" fillId="8" borderId="7" xfId="2" applyFill="1" applyBorder="1" applyAlignment="1">
      <alignment horizontal="center" vertical="center"/>
    </xf>
    <xf numFmtId="0" fontId="5" fillId="8" borderId="12" xfId="2" applyFill="1" applyBorder="1" applyAlignment="1">
      <alignment horizontal="center" vertical="center"/>
    </xf>
    <xf numFmtId="0" fontId="5" fillId="8" borderId="6" xfId="2" applyFill="1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49" fillId="3" borderId="1" xfId="2" applyFont="1" applyFill="1" applyBorder="1" applyAlignment="1">
      <alignment horizontal="center" vertical="center"/>
    </xf>
    <xf numFmtId="0" fontId="5" fillId="0" borderId="1" xfId="2" applyBorder="1" applyAlignment="1">
      <alignment horizontal="center" vertical="center"/>
    </xf>
    <xf numFmtId="0" fontId="50" fillId="9" borderId="1" xfId="2" quotePrefix="1" applyFont="1" applyFill="1" applyBorder="1" applyAlignment="1">
      <alignment horizontal="center" vertical="center"/>
    </xf>
    <xf numFmtId="0" fontId="5" fillId="4" borderId="1" xfId="2" applyFill="1" applyBorder="1" applyAlignment="1">
      <alignment horizontal="center" vertical="center"/>
    </xf>
    <xf numFmtId="0" fontId="5" fillId="0" borderId="9" xfId="2" applyBorder="1" applyAlignment="1">
      <alignment horizontal="center" vertical="center"/>
    </xf>
    <xf numFmtId="0" fontId="51" fillId="4" borderId="1" xfId="2" applyFont="1" applyFill="1" applyBorder="1" applyAlignment="1">
      <alignment horizontal="center" vertical="center"/>
    </xf>
    <xf numFmtId="0" fontId="5" fillId="10" borderId="1" xfId="2" applyFill="1" applyBorder="1">
      <alignment vertical="center"/>
    </xf>
    <xf numFmtId="0" fontId="51" fillId="10" borderId="1" xfId="2" applyFont="1" applyFill="1" applyBorder="1" applyAlignment="1">
      <alignment horizontal="left" vertical="center" indent="2"/>
    </xf>
    <xf numFmtId="0" fontId="5" fillId="10" borderId="8" xfId="2" applyFill="1" applyBorder="1" applyAlignment="1">
      <alignment horizontal="left" vertical="center" indent="4"/>
    </xf>
    <xf numFmtId="0" fontId="49" fillId="0" borderId="1" xfId="2" applyFont="1" applyBorder="1" applyAlignment="1">
      <alignment horizontal="center" vertical="center"/>
    </xf>
    <xf numFmtId="0" fontId="50" fillId="9" borderId="1" xfId="2" applyFont="1" applyFill="1" applyBorder="1" applyAlignment="1">
      <alignment horizontal="center" vertical="center"/>
    </xf>
    <xf numFmtId="0" fontId="52" fillId="0" borderId="1" xfId="2" applyFont="1" applyBorder="1" applyAlignment="1">
      <alignment horizontal="center" vertical="center"/>
    </xf>
    <xf numFmtId="0" fontId="52" fillId="4" borderId="1" xfId="2" applyFont="1" applyFill="1" applyBorder="1">
      <alignment vertical="center"/>
    </xf>
    <xf numFmtId="0" fontId="53" fillId="0" borderId="1" xfId="2" applyFont="1" applyBorder="1" applyAlignment="1">
      <alignment horizontal="center" vertical="center"/>
    </xf>
    <xf numFmtId="0" fontId="52" fillId="0" borderId="3" xfId="2" applyFont="1" applyBorder="1" applyAlignment="1">
      <alignment horizontal="center" vertical="center"/>
    </xf>
    <xf numFmtId="0" fontId="52" fillId="0" borderId="10" xfId="2" applyFont="1" applyBorder="1" applyAlignment="1">
      <alignment horizontal="center" vertical="center"/>
    </xf>
    <xf numFmtId="0" fontId="50" fillId="9" borderId="10" xfId="2" quotePrefix="1" applyFont="1" applyFill="1" applyBorder="1" applyAlignment="1">
      <alignment horizontal="center" vertical="center"/>
    </xf>
    <xf numFmtId="0" fontId="52" fillId="4" borderId="10" xfId="2" applyFont="1" applyFill="1" applyBorder="1">
      <alignment vertical="center"/>
    </xf>
    <xf numFmtId="0" fontId="54" fillId="4" borderId="10" xfId="2" applyFont="1" applyFill="1" applyBorder="1" applyAlignment="1">
      <alignment horizontal="center" vertical="center"/>
    </xf>
    <xf numFmtId="0" fontId="55" fillId="10" borderId="10" xfId="2" applyFont="1" applyFill="1" applyBorder="1">
      <alignment vertical="center"/>
    </xf>
    <xf numFmtId="0" fontId="56" fillId="10" borderId="10" xfId="2" applyFont="1" applyFill="1" applyBorder="1" applyAlignment="1">
      <alignment horizontal="left" vertical="center" indent="2"/>
    </xf>
    <xf numFmtId="0" fontId="52" fillId="10" borderId="2" xfId="2" applyFont="1" applyFill="1" applyBorder="1" applyAlignment="1">
      <alignment horizontal="left" vertical="center" indent="4"/>
    </xf>
    <xf numFmtId="0" fontId="5" fillId="0" borderId="8" xfId="2" applyBorder="1" applyAlignment="1">
      <alignment horizontal="center" vertical="center"/>
    </xf>
    <xf numFmtId="0" fontId="5" fillId="10" borderId="1" xfId="2" applyFill="1" applyBorder="1" applyAlignment="1">
      <alignment horizontal="left" vertical="center" indent="2"/>
    </xf>
    <xf numFmtId="0" fontId="52" fillId="0" borderId="9" xfId="2" applyFont="1" applyBorder="1" applyAlignment="1">
      <alignment horizontal="center" vertical="center"/>
    </xf>
    <xf numFmtId="0" fontId="55" fillId="10" borderId="1" xfId="2" applyFont="1" applyFill="1" applyBorder="1">
      <alignment vertical="center"/>
    </xf>
    <xf numFmtId="0" fontId="52" fillId="10" borderId="1" xfId="2" applyFont="1" applyFill="1" applyBorder="1" applyAlignment="1">
      <alignment horizontal="left" vertical="center" indent="2"/>
    </xf>
    <xf numFmtId="0" fontId="5" fillId="0" borderId="3" xfId="2" applyBorder="1" applyAlignment="1">
      <alignment horizontal="center" vertical="center"/>
    </xf>
    <xf numFmtId="0" fontId="5" fillId="0" borderId="2" xfId="2" applyBorder="1" applyAlignment="1">
      <alignment horizontal="center" vertical="center"/>
    </xf>
    <xf numFmtId="0" fontId="49" fillId="0" borderId="1" xfId="2" applyFont="1" applyBorder="1" applyAlignment="1">
      <alignment horizontal="left" vertical="center" indent="3"/>
    </xf>
    <xf numFmtId="0" fontId="5" fillId="0" borderId="10" xfId="2" applyBorder="1">
      <alignment vertical="center"/>
    </xf>
    <xf numFmtId="0" fontId="5" fillId="0" borderId="3" xfId="2" applyBorder="1">
      <alignment vertical="center"/>
    </xf>
    <xf numFmtId="0" fontId="9" fillId="0" borderId="10" xfId="2" applyFont="1" applyBorder="1" applyAlignment="1">
      <alignment horizontal="center" vertical="center"/>
    </xf>
    <xf numFmtId="0" fontId="5" fillId="4" borderId="10" xfId="2" applyFill="1" applyBorder="1">
      <alignment vertical="center"/>
    </xf>
    <xf numFmtId="0" fontId="12" fillId="0" borderId="10" xfId="2" applyFont="1" applyBorder="1" applyAlignment="1">
      <alignment horizontal="center" vertical="center"/>
    </xf>
    <xf numFmtId="0" fontId="8" fillId="3" borderId="11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5" fillId="0" borderId="10" xfId="2" applyBorder="1" applyAlignment="1">
      <alignment horizontal="center" vertical="center"/>
    </xf>
    <xf numFmtId="0" fontId="28" fillId="4" borderId="14" xfId="3" applyFont="1" applyFill="1" applyBorder="1" applyAlignment="1">
      <alignment horizontal="center" vertical="center" wrapText="1"/>
    </xf>
    <xf numFmtId="0" fontId="57" fillId="6" borderId="14" xfId="3" applyFont="1" applyFill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top" wrapText="1"/>
    </xf>
    <xf numFmtId="0" fontId="22" fillId="4" borderId="14" xfId="3" applyFont="1" applyFill="1" applyBorder="1" applyAlignment="1">
      <alignment horizontal="center" vertical="top" wrapText="1"/>
    </xf>
    <xf numFmtId="0" fontId="22" fillId="12" borderId="14" xfId="3" applyFont="1" applyFill="1" applyBorder="1" applyAlignment="1">
      <alignment horizontal="center" vertical="top" wrapText="1"/>
    </xf>
    <xf numFmtId="0" fontId="57" fillId="6" borderId="14" xfId="3" applyFont="1" applyFill="1" applyBorder="1" applyAlignment="1">
      <alignment horizontal="center" vertical="top" wrapText="1"/>
    </xf>
    <xf numFmtId="0" fontId="22" fillId="6" borderId="14" xfId="3" applyFont="1" applyFill="1" applyBorder="1" applyAlignment="1">
      <alignment horizontal="center" vertical="top" wrapText="1"/>
    </xf>
    <xf numFmtId="0" fontId="23" fillId="6" borderId="0" xfId="3" applyFont="1" applyFill="1" applyAlignment="1">
      <alignment horizontal="center" vertical="top" wrapText="1"/>
    </xf>
    <xf numFmtId="0" fontId="4" fillId="0" borderId="0" xfId="3" applyAlignment="1">
      <alignment vertical="top"/>
    </xf>
    <xf numFmtId="0" fontId="23" fillId="6" borderId="14" xfId="3" applyFont="1" applyFill="1" applyBorder="1" applyAlignment="1">
      <alignment horizontal="center" vertical="top" wrapText="1"/>
    </xf>
    <xf numFmtId="0" fontId="24" fillId="6" borderId="14" xfId="3" applyFont="1" applyFill="1" applyBorder="1" applyAlignment="1">
      <alignment horizontal="center" vertical="top" wrapText="1"/>
    </xf>
    <xf numFmtId="0" fontId="25" fillId="6" borderId="14" xfId="3" applyFont="1" applyFill="1" applyBorder="1" applyAlignment="1">
      <alignment horizontal="center" vertical="top" wrapText="1"/>
    </xf>
    <xf numFmtId="0" fontId="20" fillId="0" borderId="0" xfId="3" applyFont="1" applyAlignment="1">
      <alignment vertical="top"/>
    </xf>
    <xf numFmtId="0" fontId="26" fillId="0" borderId="0" xfId="3" applyFont="1" applyAlignment="1">
      <alignment horizontal="center" vertical="top"/>
    </xf>
    <xf numFmtId="0" fontId="27" fillId="0" borderId="0" xfId="3" applyFont="1" applyAlignment="1">
      <alignment vertical="top"/>
    </xf>
    <xf numFmtId="0" fontId="21" fillId="0" borderId="0" xfId="3" applyFont="1" applyAlignment="1">
      <alignment vertical="top"/>
    </xf>
    <xf numFmtId="0" fontId="4" fillId="0" borderId="0" xfId="3" applyAlignment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58" fillId="4" borderId="14" xfId="3" applyFont="1" applyFill="1" applyBorder="1" applyAlignment="1">
      <alignment horizontal="left" vertical="center" wrapText="1" indent="1"/>
    </xf>
    <xf numFmtId="0" fontId="59" fillId="12" borderId="14" xfId="3" applyFont="1" applyFill="1" applyBorder="1" applyAlignment="1">
      <alignment horizontal="left" vertical="center" wrapText="1" indent="1"/>
    </xf>
    <xf numFmtId="0" fontId="60" fillId="12" borderId="14" xfId="3" applyFont="1" applyFill="1" applyBorder="1" applyAlignment="1">
      <alignment horizontal="left" vertical="center" wrapText="1" indent="1"/>
    </xf>
    <xf numFmtId="0" fontId="61" fillId="0" borderId="0" xfId="0" applyFont="1">
      <alignment vertical="center"/>
    </xf>
    <xf numFmtId="0" fontId="28" fillId="6" borderId="14" xfId="3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2" fillId="6" borderId="14" xfId="3" applyFont="1" applyFill="1" applyBorder="1" applyAlignment="1">
      <alignment horizontal="center" vertical="center" wrapText="1"/>
    </xf>
    <xf numFmtId="0" fontId="63" fillId="6" borderId="14" xfId="3" applyFont="1" applyFill="1" applyBorder="1" applyAlignment="1">
      <alignment horizontal="center" vertical="center" wrapText="1"/>
    </xf>
    <xf numFmtId="0" fontId="57" fillId="4" borderId="14" xfId="3" applyFont="1" applyFill="1" applyBorder="1" applyAlignment="1">
      <alignment horizontal="center" vertical="center" wrapText="1"/>
    </xf>
    <xf numFmtId="0" fontId="63" fillId="6" borderId="14" xfId="3" applyFont="1" applyFill="1" applyBorder="1" applyAlignment="1">
      <alignment horizontal="left" vertical="center" wrapText="1" indent="2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68" fillId="6" borderId="14" xfId="3" applyFont="1" applyFill="1" applyBorder="1" applyAlignment="1">
      <alignment horizontal="center" vertical="center" wrapText="1"/>
    </xf>
    <xf numFmtId="0" fontId="69" fillId="4" borderId="14" xfId="3" applyFont="1" applyFill="1" applyBorder="1" applyAlignment="1">
      <alignment horizontal="center" vertical="center" wrapText="1"/>
    </xf>
    <xf numFmtId="0" fontId="64" fillId="6" borderId="14" xfId="3" applyFont="1" applyFill="1" applyBorder="1" applyAlignment="1">
      <alignment horizontal="center" vertical="center" wrapText="1"/>
    </xf>
    <xf numFmtId="0" fontId="70" fillId="0" borderId="0" xfId="0" applyFont="1">
      <alignment vertical="center"/>
    </xf>
    <xf numFmtId="0" fontId="71" fillId="0" borderId="0" xfId="0" applyFont="1" applyAlignment="1">
      <alignment horizontal="center" vertical="center"/>
    </xf>
    <xf numFmtId="0" fontId="71" fillId="0" borderId="0" xfId="0" applyFont="1">
      <alignment vertical="center"/>
    </xf>
    <xf numFmtId="0" fontId="77" fillId="0" borderId="17" xfId="0" applyFont="1" applyBorder="1" applyAlignment="1">
      <alignment horizontal="center" vertical="center"/>
    </xf>
    <xf numFmtId="0" fontId="78" fillId="0" borderId="18" xfId="0" applyFont="1" applyBorder="1" applyAlignment="1">
      <alignment horizontal="center" vertical="center"/>
    </xf>
    <xf numFmtId="0" fontId="79" fillId="0" borderId="19" xfId="0" applyFont="1" applyBorder="1" applyAlignment="1">
      <alignment horizontal="center" vertical="center"/>
    </xf>
    <xf numFmtId="0" fontId="78" fillId="9" borderId="18" xfId="0" applyFont="1" applyFill="1" applyBorder="1" applyAlignment="1">
      <alignment horizontal="center" vertical="center"/>
    </xf>
    <xf numFmtId="0" fontId="79" fillId="9" borderId="19" xfId="0" applyFont="1" applyFill="1" applyBorder="1" applyAlignment="1">
      <alignment horizontal="center" vertical="center"/>
    </xf>
    <xf numFmtId="0" fontId="86" fillId="0" borderId="0" xfId="0" applyFont="1">
      <alignment vertical="center"/>
    </xf>
    <xf numFmtId="0" fontId="89" fillId="0" borderId="16" xfId="0" applyFont="1" applyBorder="1" applyAlignment="1">
      <alignment horizontal="center" vertical="center"/>
    </xf>
    <xf numFmtId="0" fontId="89" fillId="4" borderId="16" xfId="0" applyFont="1" applyFill="1" applyBorder="1" applyAlignment="1">
      <alignment horizontal="center" vertical="center"/>
    </xf>
    <xf numFmtId="0" fontId="77" fillId="4" borderId="17" xfId="0" applyFont="1" applyFill="1" applyBorder="1" applyAlignment="1">
      <alignment horizontal="center" vertical="center"/>
    </xf>
    <xf numFmtId="0" fontId="78" fillId="4" borderId="18" xfId="0" applyFont="1" applyFill="1" applyBorder="1" applyAlignment="1">
      <alignment horizontal="center" vertical="center"/>
    </xf>
    <xf numFmtId="0" fontId="79" fillId="4" borderId="19" xfId="0" applyFont="1" applyFill="1" applyBorder="1" applyAlignment="1">
      <alignment horizontal="center" vertical="center"/>
    </xf>
    <xf numFmtId="0" fontId="91" fillId="0" borderId="16" xfId="0" applyFont="1" applyBorder="1" applyAlignment="1">
      <alignment horizontal="center" vertical="center"/>
    </xf>
    <xf numFmtId="0" fontId="92" fillId="0" borderId="0" xfId="0" applyFont="1">
      <alignment vertical="center"/>
    </xf>
    <xf numFmtId="0" fontId="93" fillId="0" borderId="0" xfId="0" applyFont="1" applyAlignment="1">
      <alignment horizontal="left" vertical="center"/>
    </xf>
    <xf numFmtId="0" fontId="95" fillId="0" borderId="0" xfId="0" applyFont="1" applyAlignment="1">
      <alignment horizontal="left" vertical="center"/>
    </xf>
    <xf numFmtId="0" fontId="94" fillId="0" borderId="0" xfId="0" applyFont="1" applyAlignment="1">
      <alignment horizontal="left" vertical="center"/>
    </xf>
    <xf numFmtId="0" fontId="80" fillId="4" borderId="19" xfId="0" applyFont="1" applyFill="1" applyBorder="1" applyAlignment="1">
      <alignment horizontal="center" vertical="center"/>
    </xf>
    <xf numFmtId="0" fontId="96" fillId="9" borderId="18" xfId="0" applyFont="1" applyFill="1" applyBorder="1" applyAlignment="1">
      <alignment horizontal="center" vertical="center" wrapText="1"/>
    </xf>
    <xf numFmtId="0" fontId="99" fillId="9" borderId="19" xfId="0" applyFont="1" applyFill="1" applyBorder="1" applyAlignment="1">
      <alignment horizontal="center" vertical="center" wrapText="1"/>
    </xf>
    <xf numFmtId="0" fontId="100" fillId="9" borderId="19" xfId="0" applyFont="1" applyFill="1" applyBorder="1" applyAlignment="1">
      <alignment horizontal="center" vertical="center" wrapText="1"/>
    </xf>
    <xf numFmtId="0" fontId="81" fillId="4" borderId="18" xfId="0" applyFont="1" applyFill="1" applyBorder="1" applyAlignment="1">
      <alignment horizontal="center" vertical="center"/>
    </xf>
    <xf numFmtId="0" fontId="102" fillId="9" borderId="19" xfId="0" applyFont="1" applyFill="1" applyBorder="1" applyAlignment="1">
      <alignment horizontal="center" vertical="center" wrapText="1"/>
    </xf>
    <xf numFmtId="0" fontId="75" fillId="14" borderId="11" xfId="0" applyFont="1" applyFill="1" applyBorder="1" applyAlignment="1">
      <alignment horizontal="distributed" vertical="distributed" indent="1"/>
    </xf>
    <xf numFmtId="0" fontId="72" fillId="14" borderId="2" xfId="0" applyFont="1" applyFill="1" applyBorder="1" applyAlignment="1">
      <alignment horizontal="center" vertical="center" wrapText="1"/>
    </xf>
    <xf numFmtId="0" fontId="72" fillId="14" borderId="3" xfId="0" applyFont="1" applyFill="1" applyBorder="1" applyAlignment="1">
      <alignment horizontal="center" vertical="center"/>
    </xf>
    <xf numFmtId="0" fontId="72" fillId="14" borderId="6" xfId="0" applyFont="1" applyFill="1" applyBorder="1" applyAlignment="1">
      <alignment horizontal="center" vertical="center"/>
    </xf>
    <xf numFmtId="0" fontId="72" fillId="14" borderId="7" xfId="0" applyFont="1" applyFill="1" applyBorder="1" applyAlignment="1">
      <alignment horizontal="center" vertical="center"/>
    </xf>
    <xf numFmtId="0" fontId="72" fillId="14" borderId="10" xfId="0" applyFont="1" applyFill="1" applyBorder="1" applyAlignment="1">
      <alignment horizontal="center" vertical="center" wrapText="1"/>
    </xf>
    <xf numFmtId="0" fontId="72" fillId="14" borderId="12" xfId="0" applyFont="1" applyFill="1" applyBorder="1" applyAlignment="1">
      <alignment horizontal="center" vertical="center"/>
    </xf>
    <xf numFmtId="0" fontId="73" fillId="14" borderId="8" xfId="0" applyFont="1" applyFill="1" applyBorder="1" applyAlignment="1">
      <alignment horizontal="distributed" vertical="center" indent="2"/>
    </xf>
    <xf numFmtId="0" fontId="0" fillId="0" borderId="15" xfId="0" applyBorder="1" applyAlignment="1">
      <alignment horizontal="distributed" vertical="center" indent="2"/>
    </xf>
    <xf numFmtId="0" fontId="0" fillId="0" borderId="9" xfId="0" applyBorder="1" applyAlignment="1">
      <alignment horizontal="distributed" vertical="center" indent="2"/>
    </xf>
    <xf numFmtId="0" fontId="74" fillId="14" borderId="8" xfId="0" applyFont="1" applyFill="1" applyBorder="1" applyAlignment="1">
      <alignment horizontal="center" vertical="center"/>
    </xf>
    <xf numFmtId="0" fontId="74" fillId="14" borderId="9" xfId="0" applyFont="1" applyFill="1" applyBorder="1" applyAlignment="1">
      <alignment horizontal="center" vertical="center"/>
    </xf>
    <xf numFmtId="0" fontId="75" fillId="14" borderId="10" xfId="0" applyFont="1" applyFill="1" applyBorder="1" applyAlignment="1">
      <alignment horizontal="center" vertical="distributed" textRotation="255" indent="2"/>
    </xf>
    <xf numFmtId="0" fontId="75" fillId="14" borderId="11" xfId="0" applyFont="1" applyFill="1" applyBorder="1" applyAlignment="1">
      <alignment horizontal="center" vertical="distributed" textRotation="255" indent="2"/>
    </xf>
    <xf numFmtId="0" fontId="75" fillId="14" borderId="12" xfId="0" applyFont="1" applyFill="1" applyBorder="1" applyAlignment="1">
      <alignment horizontal="center" vertical="distributed" textRotation="255" indent="2"/>
    </xf>
    <xf numFmtId="0" fontId="82" fillId="14" borderId="10" xfId="0" applyFont="1" applyFill="1" applyBorder="1" applyAlignment="1">
      <alignment horizontal="distributed" vertical="center" indent="1"/>
    </xf>
    <xf numFmtId="0" fontId="82" fillId="14" borderId="12" xfId="0" applyFont="1" applyFill="1" applyBorder="1" applyAlignment="1">
      <alignment horizontal="distributed" vertical="center" indent="1"/>
    </xf>
    <xf numFmtId="0" fontId="75" fillId="14" borderId="10" xfId="0" applyFont="1" applyFill="1" applyBorder="1" applyAlignment="1">
      <alignment horizontal="distributed" vertical="distributed" indent="1"/>
    </xf>
    <xf numFmtId="0" fontId="75" fillId="14" borderId="12" xfId="0" applyFont="1" applyFill="1" applyBorder="1" applyAlignment="1">
      <alignment horizontal="distributed" vertical="distributed" indent="1"/>
    </xf>
    <xf numFmtId="0" fontId="75" fillId="14" borderId="11" xfId="0" applyFont="1" applyFill="1" applyBorder="1" applyAlignment="1">
      <alignment horizontal="distributed" vertical="distributed" indent="1"/>
    </xf>
    <xf numFmtId="0" fontId="75" fillId="14" borderId="2" xfId="0" applyFont="1" applyFill="1" applyBorder="1" applyAlignment="1">
      <alignment horizontal="distributed" vertical="distributed" indent="2"/>
    </xf>
    <xf numFmtId="0" fontId="75" fillId="14" borderId="3" xfId="0" applyFont="1" applyFill="1" applyBorder="1" applyAlignment="1">
      <alignment horizontal="distributed" vertical="distributed" indent="2"/>
    </xf>
    <xf numFmtId="0" fontId="75" fillId="14" borderId="6" xfId="0" applyFont="1" applyFill="1" applyBorder="1" applyAlignment="1">
      <alignment horizontal="distributed" vertical="distributed" indent="2"/>
    </xf>
    <xf numFmtId="0" fontId="75" fillId="14" borderId="7" xfId="0" applyFont="1" applyFill="1" applyBorder="1" applyAlignment="1">
      <alignment horizontal="distributed" vertical="distributed" indent="2"/>
    </xf>
    <xf numFmtId="0" fontId="75" fillId="14" borderId="4" xfId="0" applyFont="1" applyFill="1" applyBorder="1" applyAlignment="1">
      <alignment horizontal="distributed" vertical="distributed" indent="2"/>
    </xf>
    <xf numFmtId="0" fontId="75" fillId="14" borderId="5" xfId="0" applyFont="1" applyFill="1" applyBorder="1" applyAlignment="1">
      <alignment horizontal="distributed" vertical="distributed" indent="2"/>
    </xf>
    <xf numFmtId="0" fontId="75" fillId="14" borderId="10" xfId="0" applyFont="1" applyFill="1" applyBorder="1" applyAlignment="1">
      <alignment horizontal="center" vertical="distributed" textRotation="255" indent="1"/>
    </xf>
    <xf numFmtId="0" fontId="75" fillId="14" borderId="11" xfId="0" applyFont="1" applyFill="1" applyBorder="1" applyAlignment="1">
      <alignment horizontal="center" vertical="distributed" textRotation="255" indent="1"/>
    </xf>
    <xf numFmtId="0" fontId="75" fillId="14" borderId="12" xfId="0" applyFont="1" applyFill="1" applyBorder="1" applyAlignment="1">
      <alignment horizontal="center" vertical="distributed" textRotation="255" indent="1"/>
    </xf>
    <xf numFmtId="0" fontId="82" fillId="14" borderId="11" xfId="0" applyFont="1" applyFill="1" applyBorder="1" applyAlignment="1">
      <alignment horizontal="distributed" vertical="center" indent="1"/>
    </xf>
    <xf numFmtId="0" fontId="87" fillId="0" borderId="16" xfId="0" applyFont="1" applyBorder="1" applyAlignment="1">
      <alignment horizontal="center" vertical="center"/>
    </xf>
    <xf numFmtId="0" fontId="82" fillId="14" borderId="10" xfId="0" applyFont="1" applyFill="1" applyBorder="1" applyAlignment="1">
      <alignment horizontal="distributed" vertical="center" textRotation="255"/>
    </xf>
    <xf numFmtId="0" fontId="82" fillId="14" borderId="11" xfId="0" applyFont="1" applyFill="1" applyBorder="1" applyAlignment="1">
      <alignment horizontal="distributed" vertical="center" textRotation="255"/>
    </xf>
    <xf numFmtId="0" fontId="82" fillId="14" borderId="12" xfId="0" applyFont="1" applyFill="1" applyBorder="1" applyAlignment="1">
      <alignment horizontal="distributed" vertical="center" textRotation="255"/>
    </xf>
    <xf numFmtId="0" fontId="82" fillId="14" borderId="10" xfId="0" applyFont="1" applyFill="1" applyBorder="1" applyAlignment="1">
      <alignment horizontal="center" vertical="center" textRotation="255"/>
    </xf>
    <xf numFmtId="0" fontId="82" fillId="14" borderId="11" xfId="0" applyFont="1" applyFill="1" applyBorder="1" applyAlignment="1">
      <alignment horizontal="center" vertical="center" textRotation="255"/>
    </xf>
    <xf numFmtId="0" fontId="82" fillId="14" borderId="12" xfId="0" applyFont="1" applyFill="1" applyBorder="1" applyAlignment="1">
      <alignment horizontal="center" vertical="center" textRotation="255"/>
    </xf>
    <xf numFmtId="0" fontId="103" fillId="0" borderId="19" xfId="0" applyFont="1" applyBorder="1" applyAlignment="1">
      <alignment horizontal="center" vertical="center"/>
    </xf>
    <xf numFmtId="0" fontId="103" fillId="4" borderId="19" xfId="0" applyFont="1" applyFill="1" applyBorder="1" applyAlignment="1">
      <alignment horizontal="center" vertical="center"/>
    </xf>
    <xf numFmtId="0" fontId="106" fillId="17" borderId="12" xfId="3" applyFont="1" applyFill="1" applyBorder="1" applyAlignment="1">
      <alignment horizontal="center" vertical="center" wrapText="1"/>
    </xf>
    <xf numFmtId="0" fontId="104" fillId="17" borderId="12" xfId="3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 vertical="center"/>
    </xf>
    <xf numFmtId="0" fontId="114" fillId="0" borderId="1" xfId="4" applyFont="1" applyBorder="1" applyAlignment="1">
      <alignment horizontal="center" vertical="center"/>
    </xf>
    <xf numFmtId="0" fontId="118" fillId="0" borderId="1" xfId="4" applyFont="1" applyBorder="1" applyAlignment="1">
      <alignment horizontal="center" vertical="center"/>
    </xf>
    <xf numFmtId="0" fontId="120" fillId="0" borderId="1" xfId="4" applyFont="1" applyBorder="1" applyAlignment="1">
      <alignment horizontal="center" vertical="center"/>
    </xf>
    <xf numFmtId="0" fontId="114" fillId="0" borderId="1" xfId="5" applyFont="1" applyBorder="1" applyAlignment="1">
      <alignment horizontal="center" vertical="center"/>
    </xf>
    <xf numFmtId="0" fontId="128" fillId="0" borderId="1" xfId="5" applyFont="1" applyBorder="1" applyAlignment="1">
      <alignment horizontal="center" vertical="center"/>
    </xf>
    <xf numFmtId="0" fontId="115" fillId="0" borderId="1" xfId="4" applyFont="1" applyBorder="1" applyAlignment="1">
      <alignment vertical="center" wrapText="1"/>
    </xf>
    <xf numFmtId="0" fontId="109" fillId="0" borderId="1" xfId="3" applyFont="1" applyBorder="1" applyAlignment="1">
      <alignment horizontal="center" vertical="center"/>
    </xf>
    <xf numFmtId="0" fontId="129" fillId="5" borderId="1" xfId="3" applyFont="1" applyFill="1" applyBorder="1" applyAlignment="1">
      <alignment horizontal="center" vertical="center"/>
    </xf>
    <xf numFmtId="0" fontId="109" fillId="0" borderId="0" xfId="3" applyFont="1" applyAlignment="1">
      <alignment horizontal="center" vertical="center"/>
    </xf>
    <xf numFmtId="0" fontId="137" fillId="0" borderId="0" xfId="3" applyFont="1" applyAlignment="1">
      <alignment horizontal="center" vertical="center"/>
    </xf>
    <xf numFmtId="0" fontId="139" fillId="0" borderId="1" xfId="4" applyFont="1" applyBorder="1" applyAlignment="1">
      <alignment horizontal="center" vertical="center"/>
    </xf>
    <xf numFmtId="0" fontId="140" fillId="17" borderId="12" xfId="3" applyFont="1" applyFill="1" applyBorder="1" applyAlignment="1">
      <alignment horizontal="center" vertical="center"/>
    </xf>
    <xf numFmtId="0" fontId="146" fillId="0" borderId="1" xfId="4" applyFont="1" applyBorder="1" applyAlignment="1">
      <alignment horizontal="center" vertical="center"/>
    </xf>
    <xf numFmtId="0" fontId="147" fillId="0" borderId="1" xfId="4" applyFont="1" applyBorder="1" applyAlignment="1">
      <alignment horizontal="center" vertical="center"/>
    </xf>
    <xf numFmtId="0" fontId="148" fillId="0" borderId="1" xfId="4" applyFont="1" applyBorder="1" applyAlignment="1">
      <alignment horizontal="center" vertical="center"/>
    </xf>
    <xf numFmtId="0" fontId="104" fillId="17" borderId="7" xfId="3" applyFont="1" applyFill="1" applyBorder="1" applyAlignment="1">
      <alignment vertical="center"/>
    </xf>
    <xf numFmtId="0" fontId="104" fillId="17" borderId="12" xfId="3" applyFont="1" applyFill="1" applyBorder="1" applyAlignment="1">
      <alignment vertical="center"/>
    </xf>
    <xf numFmtId="0" fontId="0" fillId="0" borderId="0" xfId="0" applyAlignment="1">
      <alignment vertical="center"/>
    </xf>
    <xf numFmtId="0" fontId="109" fillId="0" borderId="9" xfId="3" applyNumberFormat="1" applyFont="1" applyBorder="1" applyAlignment="1">
      <alignment vertical="center"/>
    </xf>
    <xf numFmtId="0" fontId="122" fillId="0" borderId="1" xfId="3" applyFont="1" applyBorder="1" applyAlignment="1">
      <alignment vertical="center"/>
    </xf>
    <xf numFmtId="0" fontId="111" fillId="0" borderId="1" xfId="3" applyFont="1" applyBorder="1" applyAlignment="1">
      <alignment vertical="center"/>
    </xf>
    <xf numFmtId="0" fontId="141" fillId="0" borderId="1" xfId="5" applyFont="1" applyBorder="1" applyAlignment="1">
      <alignment horizontal="left" vertical="center"/>
    </xf>
    <xf numFmtId="0" fontId="115" fillId="0" borderId="1" xfId="3" applyFont="1" applyBorder="1" applyAlignment="1">
      <alignment vertical="center"/>
    </xf>
    <xf numFmtId="0" fontId="119" fillId="0" borderId="1" xfId="3" applyFont="1" applyBorder="1" applyAlignment="1">
      <alignment vertical="center"/>
    </xf>
    <xf numFmtId="0" fontId="121" fillId="0" borderId="1" xfId="3" applyFont="1" applyBorder="1" applyAlignment="1">
      <alignment horizontal="center" vertical="center"/>
    </xf>
    <xf numFmtId="0" fontId="125" fillId="0" borderId="1" xfId="3" applyFont="1" applyBorder="1" applyAlignment="1">
      <alignment vertical="center"/>
    </xf>
    <xf numFmtId="0" fontId="141" fillId="0" borderId="1" xfId="4" applyFont="1" applyBorder="1" applyAlignment="1">
      <alignment horizontal="left" vertical="center"/>
    </xf>
    <xf numFmtId="0" fontId="123" fillId="0" borderId="1" xfId="3" applyFont="1" applyBorder="1" applyAlignment="1">
      <alignment vertical="center"/>
    </xf>
    <xf numFmtId="0" fontId="142" fillId="0" borderId="1" xfId="4" applyFont="1" applyBorder="1" applyAlignment="1">
      <alignment horizontal="left" vertical="center"/>
    </xf>
    <xf numFmtId="0" fontId="143" fillId="0" borderId="1" xfId="4" applyFont="1" applyBorder="1" applyAlignment="1">
      <alignment horizontal="left" vertical="center"/>
    </xf>
    <xf numFmtId="0" fontId="109" fillId="0" borderId="1" xfId="3" applyFont="1" applyBorder="1" applyAlignment="1">
      <alignment vertical="center"/>
    </xf>
    <xf numFmtId="0" fontId="130" fillId="0" borderId="1" xfId="3" applyFont="1" applyBorder="1" applyAlignment="1">
      <alignment horizontal="center" vertical="center"/>
    </xf>
    <xf numFmtId="0" fontId="130" fillId="0" borderId="1" xfId="3" applyFont="1" applyBorder="1" applyAlignment="1">
      <alignment vertical="center"/>
    </xf>
    <xf numFmtId="0" fontId="144" fillId="0" borderId="1" xfId="4" applyFont="1" applyBorder="1" applyAlignment="1">
      <alignment horizontal="left" vertical="center"/>
    </xf>
    <xf numFmtId="0" fontId="132" fillId="0" borderId="1" xfId="3" applyFont="1" applyBorder="1" applyAlignment="1">
      <alignment vertical="center"/>
    </xf>
    <xf numFmtId="0" fontId="133" fillId="0" borderId="1" xfId="3" applyFont="1" applyBorder="1" applyAlignment="1">
      <alignment vertical="center"/>
    </xf>
    <xf numFmtId="0" fontId="109" fillId="0" borderId="0" xfId="3" applyFont="1" applyAlignment="1">
      <alignment vertical="center"/>
    </xf>
    <xf numFmtId="0" fontId="136" fillId="0" borderId="0" xfId="3" applyFont="1" applyAlignment="1">
      <alignment vertical="center"/>
    </xf>
    <xf numFmtId="0" fontId="145" fillId="0" borderId="0" xfId="3" applyFont="1" applyAlignment="1">
      <alignment vertical="center"/>
    </xf>
    <xf numFmtId="0" fontId="149" fillId="0" borderId="8" xfId="3" applyFont="1" applyBorder="1" applyAlignment="1">
      <alignment vertical="center"/>
    </xf>
    <xf numFmtId="0" fontId="150" fillId="17" borderId="6" xfId="3" applyFont="1" applyFill="1" applyBorder="1" applyAlignment="1">
      <alignment vertical="center"/>
    </xf>
    <xf numFmtId="0" fontId="151" fillId="0" borderId="8" xfId="3" applyFont="1" applyBorder="1" applyAlignment="1">
      <alignment vertical="center"/>
    </xf>
    <xf numFmtId="0" fontId="152" fillId="0" borderId="8" xfId="3" applyFont="1" applyBorder="1" applyAlignment="1">
      <alignment vertical="center"/>
    </xf>
    <xf numFmtId="0" fontId="153" fillId="0" borderId="8" xfId="3" applyFont="1" applyBorder="1" applyAlignment="1">
      <alignment vertical="center"/>
    </xf>
    <xf numFmtId="0" fontId="154" fillId="0" borderId="0" xfId="1" applyFont="1" applyAlignment="1">
      <alignment vertical="center"/>
    </xf>
    <xf numFmtId="0" fontId="104" fillId="17" borderId="7" xfId="3" applyFont="1" applyFill="1" applyBorder="1" applyAlignment="1">
      <alignment horizontal="center" vertical="center"/>
    </xf>
    <xf numFmtId="0" fontId="110" fillId="0" borderId="9" xfId="3" applyFont="1" applyBorder="1" applyAlignment="1" applyProtection="1">
      <alignment vertical="center"/>
      <protection hidden="1"/>
    </xf>
    <xf numFmtId="0" fontId="156" fillId="0" borderId="0" xfId="6" applyFont="1" applyAlignment="1">
      <alignment horizontal="center" vertical="center" wrapText="1"/>
    </xf>
    <xf numFmtId="0" fontId="157" fillId="0" borderId="0" xfId="6" applyFont="1" applyAlignment="1">
      <alignment horizontal="center" vertical="center"/>
    </xf>
    <xf numFmtId="0" fontId="157" fillId="0" borderId="0" xfId="6" applyFont="1">
      <alignment vertical="center"/>
    </xf>
    <xf numFmtId="0" fontId="155" fillId="0" borderId="0" xfId="6" applyAlignment="1">
      <alignment horizontal="center" vertical="center"/>
    </xf>
    <xf numFmtId="0" fontId="159" fillId="0" borderId="0" xfId="6" applyFont="1" applyAlignment="1">
      <alignment horizontal="left" vertical="center" indent="1"/>
    </xf>
    <xf numFmtId="177" fontId="160" fillId="0" borderId="0" xfId="6" applyNumberFormat="1" applyFont="1" applyAlignment="1">
      <alignment horizontal="center" vertical="center"/>
    </xf>
    <xf numFmtId="0" fontId="161" fillId="0" borderId="0" xfId="6" applyFont="1" applyAlignment="1">
      <alignment horizontal="center" vertical="center"/>
    </xf>
    <xf numFmtId="0" fontId="72" fillId="0" borderId="0" xfId="6" applyFont="1">
      <alignment vertical="center"/>
    </xf>
    <xf numFmtId="0" fontId="155" fillId="0" borderId="0" xfId="6">
      <alignment vertical="center"/>
    </xf>
    <xf numFmtId="0" fontId="165" fillId="0" borderId="0" xfId="7" quotePrefix="1" applyFont="1"/>
    <xf numFmtId="0" fontId="165" fillId="0" borderId="0" xfId="7" applyFont="1"/>
    <xf numFmtId="0" fontId="72" fillId="15" borderId="0" xfId="6" applyFont="1" applyFill="1">
      <alignment vertical="center"/>
    </xf>
    <xf numFmtId="0" fontId="163" fillId="15" borderId="0" xfId="6" applyFont="1" applyFill="1">
      <alignment vertical="center"/>
    </xf>
    <xf numFmtId="0" fontId="164" fillId="0" borderId="0" xfId="7"/>
    <xf numFmtId="0" fontId="158" fillId="0" borderId="0" xfId="6" applyFont="1">
      <alignment vertical="center"/>
    </xf>
    <xf numFmtId="0" fontId="163" fillId="0" borderId="0" xfId="6" applyFont="1">
      <alignment vertical="center"/>
    </xf>
    <xf numFmtId="0" fontId="168" fillId="0" borderId="0" xfId="6" applyFont="1">
      <alignment vertical="center"/>
    </xf>
    <xf numFmtId="0" fontId="72" fillId="18" borderId="0" xfId="6" applyFont="1" applyFill="1">
      <alignment vertical="center"/>
    </xf>
    <xf numFmtId="0" fontId="169" fillId="0" borderId="0" xfId="6" applyFont="1">
      <alignment vertical="center"/>
    </xf>
    <xf numFmtId="0" fontId="172" fillId="0" borderId="0" xfId="6" applyFont="1">
      <alignment vertical="center"/>
    </xf>
    <xf numFmtId="0" fontId="175" fillId="0" borderId="0" xfId="6" applyFont="1" applyAlignment="1">
      <alignment horizontal="left" vertical="center" indent="1"/>
    </xf>
    <xf numFmtId="0" fontId="162" fillId="0" borderId="0" xfId="7" applyFont="1"/>
    <xf numFmtId="0" fontId="176" fillId="0" borderId="0" xfId="6" applyFont="1">
      <alignment vertical="center"/>
    </xf>
    <xf numFmtId="0" fontId="177" fillId="0" borderId="0" xfId="7" applyFont="1" applyAlignment="1">
      <alignment horizontal="left"/>
    </xf>
    <xf numFmtId="0" fontId="178" fillId="0" borderId="0" xfId="7" applyFont="1"/>
    <xf numFmtId="0" fontId="164" fillId="0" borderId="0" xfId="7" applyAlignment="1">
      <alignment horizontal="center"/>
    </xf>
    <xf numFmtId="0" fontId="179" fillId="20" borderId="21" xfId="8">
      <alignment horizontal="center" vertical="center"/>
    </xf>
    <xf numFmtId="0" fontId="181" fillId="0" borderId="0" xfId="9" applyFont="1" applyAlignment="1">
      <alignment horizontal="center" vertical="center"/>
    </xf>
    <xf numFmtId="0" fontId="156" fillId="19" borderId="0" xfId="9" applyFont="1" applyFill="1" applyAlignment="1">
      <alignment horizontal="center" vertical="center"/>
    </xf>
    <xf numFmtId="0" fontId="137" fillId="9" borderId="0" xfId="9" applyFont="1" applyFill="1" applyAlignment="1">
      <alignment horizontal="center" vertical="center"/>
    </xf>
    <xf numFmtId="0" fontId="137" fillId="13" borderId="0" xfId="9" applyFont="1" applyFill="1" applyAlignment="1">
      <alignment horizontal="center" vertical="center"/>
    </xf>
    <xf numFmtId="0" fontId="183" fillId="21" borderId="0" xfId="9" applyFont="1" applyFill="1" applyAlignment="1">
      <alignment horizontal="center" vertical="center"/>
    </xf>
    <xf numFmtId="0" fontId="157" fillId="0" borderId="0" xfId="9" applyFont="1">
      <alignment vertical="center"/>
    </xf>
    <xf numFmtId="0" fontId="184" fillId="0" borderId="0" xfId="9" applyFont="1" applyAlignment="1">
      <alignment horizontal="left" vertical="center" indent="1"/>
    </xf>
    <xf numFmtId="0" fontId="185" fillId="0" borderId="0" xfId="9" applyFont="1" applyAlignment="1">
      <alignment horizontal="center" vertical="center"/>
    </xf>
    <xf numFmtId="0" fontId="157" fillId="0" borderId="0" xfId="9" applyFont="1" applyAlignment="1">
      <alignment horizontal="center" vertical="center"/>
    </xf>
    <xf numFmtId="0" fontId="185" fillId="22" borderId="0" xfId="9" applyFont="1" applyFill="1" applyAlignment="1">
      <alignment horizontal="center" vertical="center"/>
    </xf>
    <xf numFmtId="0" fontId="74" fillId="0" borderId="0" xfId="9" applyFont="1" applyAlignment="1">
      <alignment horizontal="left" vertical="center" indent="1"/>
    </xf>
    <xf numFmtId="0" fontId="189" fillId="11" borderId="24" xfId="9" applyFont="1" applyFill="1" applyBorder="1" applyAlignment="1">
      <alignment horizontal="center" vertical="center"/>
    </xf>
    <xf numFmtId="0" fontId="190" fillId="11" borderId="24" xfId="9" applyFont="1" applyFill="1" applyBorder="1" applyAlignment="1">
      <alignment horizontal="center" vertical="center"/>
    </xf>
    <xf numFmtId="0" fontId="192" fillId="24" borderId="22" xfId="7" applyFont="1" applyFill="1" applyBorder="1" applyAlignment="1">
      <alignment horizontal="center" vertical="center"/>
    </xf>
    <xf numFmtId="0" fontId="193" fillId="24" borderId="22" xfId="7" applyFont="1" applyFill="1" applyBorder="1" applyAlignment="1">
      <alignment horizontal="center" vertical="center"/>
    </xf>
    <xf numFmtId="177" fontId="192" fillId="24" borderId="22" xfId="7" applyNumberFormat="1" applyFont="1" applyFill="1" applyBorder="1" applyAlignment="1">
      <alignment horizontal="center" vertical="center"/>
    </xf>
    <xf numFmtId="0" fontId="194" fillId="24" borderId="22" xfId="7" applyFont="1" applyFill="1" applyBorder="1" applyAlignment="1">
      <alignment horizontal="center" vertical="center"/>
    </xf>
    <xf numFmtId="0" fontId="191" fillId="10" borderId="0" xfId="9" applyFont="1" applyFill="1">
      <alignment vertical="center"/>
    </xf>
    <xf numFmtId="0" fontId="186" fillId="2" borderId="0" xfId="9" applyFont="1" applyFill="1" applyAlignment="1">
      <alignment horizontal="center" vertical="center"/>
    </xf>
    <xf numFmtId="0" fontId="196" fillId="23" borderId="0" xfId="9" applyFont="1" applyFill="1" applyAlignment="1">
      <alignment horizontal="center" vertical="center"/>
    </xf>
    <xf numFmtId="0" fontId="197" fillId="0" borderId="0" xfId="9" applyFont="1" applyAlignment="1">
      <alignment horizontal="left" vertical="center" indent="1"/>
    </xf>
    <xf numFmtId="0" fontId="190" fillId="11" borderId="24" xfId="9" applyFont="1" applyFill="1" applyBorder="1" applyAlignment="1">
      <alignment horizontal="left" vertical="center"/>
    </xf>
    <xf numFmtId="0" fontId="198" fillId="11" borderId="24" xfId="9" applyFont="1" applyFill="1" applyBorder="1" applyAlignment="1">
      <alignment horizontal="left" vertical="center"/>
    </xf>
    <xf numFmtId="0" fontId="199" fillId="11" borderId="24" xfId="9" applyFont="1" applyFill="1" applyBorder="1" applyAlignment="1">
      <alignment horizontal="center" vertical="center"/>
    </xf>
    <xf numFmtId="0" fontId="157" fillId="0" borderId="0" xfId="9" quotePrefix="1" applyFont="1">
      <alignment vertical="center"/>
    </xf>
    <xf numFmtId="0" fontId="200" fillId="24" borderId="12" xfId="6" applyFont="1" applyFill="1" applyBorder="1" applyAlignment="1">
      <alignment horizontal="center" vertical="center"/>
    </xf>
    <xf numFmtId="0" fontId="5" fillId="24" borderId="7" xfId="7" applyFont="1" applyFill="1" applyBorder="1" applyAlignment="1">
      <alignment horizontal="center" vertical="center"/>
    </xf>
    <xf numFmtId="0" fontId="5" fillId="24" borderId="12" xfId="7" applyFont="1" applyFill="1" applyBorder="1" applyAlignment="1">
      <alignment horizontal="center" vertical="center"/>
    </xf>
    <xf numFmtId="0" fontId="200" fillId="24" borderId="6" xfId="6" applyFont="1" applyFill="1" applyBorder="1" applyAlignment="1">
      <alignment horizontal="center" vertical="center"/>
    </xf>
    <xf numFmtId="0" fontId="201" fillId="19" borderId="25" xfId="10" applyFont="1" applyFill="1" applyBorder="1" applyAlignment="1">
      <alignment horizontal="center" vertical="center" wrapText="1"/>
    </xf>
    <xf numFmtId="0" fontId="201" fillId="19" borderId="26" xfId="10" applyFont="1" applyFill="1" applyBorder="1" applyAlignment="1">
      <alignment horizontal="center" vertical="center" wrapText="1"/>
    </xf>
    <xf numFmtId="0" fontId="202" fillId="0" borderId="0" xfId="7" applyFont="1" applyAlignment="1">
      <alignment horizontal="center" vertical="center"/>
    </xf>
    <xf numFmtId="0" fontId="203" fillId="0" borderId="1" xfId="11" applyFont="1" applyBorder="1" applyAlignment="1">
      <alignment horizontal="center" vertical="center"/>
    </xf>
    <xf numFmtId="0" fontId="155" fillId="0" borderId="9" xfId="11" applyBorder="1" applyAlignment="1">
      <alignment horizontal="center" vertical="center"/>
    </xf>
    <xf numFmtId="0" fontId="203" fillId="0" borderId="1" xfId="7" applyFont="1" applyBorder="1" applyAlignment="1">
      <alignment horizontal="center" vertical="center"/>
    </xf>
    <xf numFmtId="0" fontId="155" fillId="0" borderId="1" xfId="11" applyBorder="1" applyAlignment="1">
      <alignment horizontal="center" vertical="center"/>
    </xf>
    <xf numFmtId="0" fontId="204" fillId="0" borderId="1" xfId="12" applyFont="1" applyBorder="1" applyAlignment="1">
      <alignment horizontal="center" vertical="center"/>
    </xf>
    <xf numFmtId="0" fontId="205" fillId="0" borderId="1" xfId="6" applyFont="1" applyBorder="1" applyAlignment="1">
      <alignment horizontal="center" vertical="center"/>
    </xf>
    <xf numFmtId="0" fontId="5" fillId="0" borderId="8" xfId="13" applyFont="1" applyBorder="1" applyAlignment="1">
      <alignment horizontal="center" vertical="center"/>
    </xf>
    <xf numFmtId="0" fontId="155" fillId="16" borderId="20" xfId="10" applyFill="1" applyBorder="1" applyAlignment="1">
      <alignment horizontal="center" vertical="center"/>
    </xf>
    <xf numFmtId="0" fontId="202" fillId="0" borderId="0" xfId="7" applyFont="1"/>
    <xf numFmtId="0" fontId="155" fillId="0" borderId="20" xfId="10" applyBorder="1" applyAlignment="1">
      <alignment horizontal="center" vertical="center"/>
    </xf>
    <xf numFmtId="0" fontId="207" fillId="25" borderId="8" xfId="13" applyFont="1" applyFill="1" applyBorder="1" applyAlignment="1">
      <alignment horizontal="center" vertical="center"/>
    </xf>
    <xf numFmtId="0" fontId="155" fillId="0" borderId="27" xfId="10" applyBorder="1" applyAlignment="1">
      <alignment horizontal="center" vertical="center"/>
    </xf>
    <xf numFmtId="0" fontId="208" fillId="0" borderId="8" xfId="13" applyFont="1" applyBorder="1" applyAlignment="1">
      <alignment horizontal="center" vertical="center"/>
    </xf>
    <xf numFmtId="0" fontId="209" fillId="14" borderId="1" xfId="7" applyFont="1" applyFill="1" applyBorder="1" applyAlignment="1">
      <alignment horizontal="center" vertical="center"/>
    </xf>
    <xf numFmtId="0" fontId="210" fillId="14" borderId="1" xfId="7" applyFont="1" applyFill="1" applyBorder="1" applyAlignment="1">
      <alignment horizontal="center" vertical="center"/>
    </xf>
    <xf numFmtId="0" fontId="211" fillId="14" borderId="1" xfId="6" applyFont="1" applyFill="1" applyBorder="1" applyAlignment="1">
      <alignment horizontal="center" vertical="center"/>
    </xf>
    <xf numFmtId="0" fontId="212" fillId="14" borderId="8" xfId="13" applyFont="1" applyFill="1" applyBorder="1" applyAlignment="1">
      <alignment horizontal="center" vertical="center"/>
    </xf>
    <xf numFmtId="0" fontId="203" fillId="0" borderId="10" xfId="11" applyFont="1" applyBorder="1" applyAlignment="1">
      <alignment horizontal="center" vertical="center"/>
    </xf>
    <xf numFmtId="0" fontId="155" fillId="0" borderId="3" xfId="11" applyBorder="1" applyAlignment="1">
      <alignment horizontal="center" vertical="center"/>
    </xf>
    <xf numFmtId="0" fontId="203" fillId="0" borderId="10" xfId="7" applyFont="1" applyBorder="1" applyAlignment="1">
      <alignment horizontal="center" vertical="center"/>
    </xf>
    <xf numFmtId="0" fontId="155" fillId="0" borderId="10" xfId="11" applyBorder="1" applyAlignment="1">
      <alignment horizontal="center" vertical="center"/>
    </xf>
    <xf numFmtId="0" fontId="204" fillId="0" borderId="10" xfId="12" applyFont="1" applyBorder="1" applyAlignment="1">
      <alignment horizontal="center" vertical="center"/>
    </xf>
    <xf numFmtId="0" fontId="205" fillId="0" borderId="10" xfId="6" applyFont="1" applyBorder="1" applyAlignment="1">
      <alignment horizontal="center" vertical="center"/>
    </xf>
    <xf numFmtId="0" fontId="213" fillId="0" borderId="2" xfId="13" applyFont="1" applyBorder="1" applyAlignment="1">
      <alignment horizontal="center" vertical="center"/>
    </xf>
    <xf numFmtId="0" fontId="214" fillId="0" borderId="0" xfId="7" applyFont="1"/>
    <xf numFmtId="0" fontId="218" fillId="26" borderId="1" xfId="0" applyFont="1" applyFill="1" applyBorder="1" applyAlignment="1">
      <alignment horizontal="center" vertical="center"/>
    </xf>
    <xf numFmtId="0" fontId="219" fillId="26" borderId="1" xfId="0" applyFont="1" applyFill="1" applyBorder="1" applyAlignment="1">
      <alignment horizontal="center" vertical="center"/>
    </xf>
    <xf numFmtId="0" fontId="220" fillId="0" borderId="1" xfId="0" applyFont="1" applyBorder="1" applyAlignment="1">
      <alignment horizontal="center" vertical="center"/>
    </xf>
    <xf numFmtId="0" fontId="221" fillId="0" borderId="1" xfId="0" applyFont="1" applyBorder="1" applyAlignment="1">
      <alignment horizontal="left" vertical="center" indent="3"/>
    </xf>
    <xf numFmtId="177" fontId="220" fillId="0" borderId="1" xfId="0" applyNumberFormat="1" applyFont="1" applyBorder="1" applyAlignment="1">
      <alignment horizontal="center" vertical="center"/>
    </xf>
    <xf numFmtId="0" fontId="219" fillId="0" borderId="1" xfId="0" applyFont="1" applyBorder="1" applyAlignment="1">
      <alignment horizontal="center" vertical="center"/>
    </xf>
    <xf numFmtId="0" fontId="222" fillId="0" borderId="1" xfId="0" applyFont="1" applyBorder="1" applyAlignment="1">
      <alignment horizontal="left" vertical="center" indent="1"/>
    </xf>
    <xf numFmtId="0" fontId="222" fillId="0" borderId="1" xfId="0" applyFont="1" applyBorder="1" applyAlignment="1">
      <alignment horizontal="center" vertical="center"/>
    </xf>
    <xf numFmtId="0" fontId="223" fillId="26" borderId="1" xfId="0" applyFont="1" applyFill="1" applyBorder="1" applyAlignment="1">
      <alignment horizontal="center" vertical="center"/>
    </xf>
    <xf numFmtId="0" fontId="224" fillId="0" borderId="1" xfId="0" applyFont="1" applyBorder="1">
      <alignment vertical="center"/>
    </xf>
    <xf numFmtId="0" fontId="224" fillId="26" borderId="1" xfId="0" applyFont="1" applyFill="1" applyBorder="1">
      <alignment vertical="center"/>
    </xf>
    <xf numFmtId="0" fontId="217" fillId="26" borderId="9" xfId="0" applyFont="1" applyFill="1" applyBorder="1" applyAlignment="1">
      <alignment horizontal="center" vertical="center"/>
    </xf>
    <xf numFmtId="0" fontId="222" fillId="0" borderId="8" xfId="0" applyFont="1" applyBorder="1" applyAlignment="1">
      <alignment horizontal="center" vertical="center"/>
    </xf>
    <xf numFmtId="0" fontId="215" fillId="14" borderId="7" xfId="0" applyFont="1" applyFill="1" applyBorder="1" applyAlignment="1">
      <alignment horizontal="center" vertical="center"/>
    </xf>
    <xf numFmtId="0" fontId="192" fillId="14" borderId="12" xfId="0" applyFont="1" applyFill="1" applyBorder="1" applyAlignment="1">
      <alignment horizontal="center" vertical="center"/>
    </xf>
    <xf numFmtId="0" fontId="193" fillId="14" borderId="12" xfId="0" applyFont="1" applyFill="1" applyBorder="1" applyAlignment="1">
      <alignment horizontal="center" vertical="center"/>
    </xf>
    <xf numFmtId="177" fontId="192" fillId="14" borderId="12" xfId="0" applyNumberFormat="1" applyFont="1" applyFill="1" applyBorder="1" applyAlignment="1">
      <alignment horizontal="center" vertical="center"/>
    </xf>
    <xf numFmtId="0" fontId="194" fillId="14" borderId="12" xfId="0" applyFont="1" applyFill="1" applyBorder="1" applyAlignment="1">
      <alignment horizontal="center" vertical="center"/>
    </xf>
    <xf numFmtId="0" fontId="216" fillId="14" borderId="12" xfId="0" applyFont="1" applyFill="1" applyBorder="1" applyAlignment="1">
      <alignment horizontal="center" vertical="center"/>
    </xf>
    <xf numFmtId="0" fontId="216" fillId="14" borderId="6" xfId="0" applyFont="1" applyFill="1" applyBorder="1" applyAlignment="1">
      <alignment horizontal="center" vertical="center"/>
    </xf>
    <xf numFmtId="0" fontId="187" fillId="27" borderId="0" xfId="9" applyFont="1" applyFill="1" applyAlignment="1">
      <alignment horizontal="center" vertical="center"/>
    </xf>
    <xf numFmtId="0" fontId="188" fillId="28" borderId="0" xfId="9" applyFont="1" applyFill="1" applyAlignment="1">
      <alignment horizontal="center" vertical="center"/>
    </xf>
    <xf numFmtId="0" fontId="157" fillId="2" borderId="0" xfId="9" applyFont="1" applyFill="1" applyAlignment="1">
      <alignment horizontal="center" vertical="center"/>
    </xf>
    <xf numFmtId="0" fontId="157" fillId="2" borderId="23" xfId="9" applyFont="1" applyFill="1" applyBorder="1" applyAlignment="1">
      <alignment horizontal="center" vertical="center"/>
    </xf>
    <xf numFmtId="0" fontId="196" fillId="23" borderId="0" xfId="9" applyFont="1" applyFill="1" applyAlignment="1">
      <alignment horizontal="center" vertical="center"/>
    </xf>
    <xf numFmtId="0" fontId="196" fillId="23" borderId="23" xfId="9" applyFont="1" applyFill="1" applyBorder="1" applyAlignment="1">
      <alignment horizontal="center" vertical="center"/>
    </xf>
    <xf numFmtId="0" fontId="195" fillId="2" borderId="0" xfId="9" applyFont="1" applyFill="1" applyAlignment="1">
      <alignment vertical="center"/>
    </xf>
    <xf numFmtId="0" fontId="195" fillId="2" borderId="23" xfId="9" applyFont="1" applyFill="1" applyBorder="1" applyAlignment="1">
      <alignment vertical="center"/>
    </xf>
    <xf numFmtId="0" fontId="157" fillId="2" borderId="0" xfId="9" applyFont="1" applyFill="1" applyAlignment="1">
      <alignment vertical="center"/>
    </xf>
    <xf numFmtId="0" fontId="157" fillId="2" borderId="23" xfId="9" applyFont="1" applyFill="1" applyBorder="1" applyAlignment="1">
      <alignment vertical="center"/>
    </xf>
    <xf numFmtId="0" fontId="225" fillId="20" borderId="21" xfId="8" applyFont="1">
      <alignment horizontal="center" vertical="center"/>
    </xf>
    <xf numFmtId="0" fontId="226" fillId="20" borderId="21" xfId="8" applyFont="1">
      <alignment horizontal="center" vertical="center"/>
    </xf>
    <xf numFmtId="177" fontId="190" fillId="11" borderId="24" xfId="9" applyNumberFormat="1" applyFont="1" applyFill="1" applyBorder="1" applyAlignment="1">
      <alignment horizontal="center" vertical="center"/>
    </xf>
  </cellXfs>
  <cellStyles count="14">
    <cellStyle name="Hyperlink" xfId="5" xr:uid="{9CBFCEC6-BFC0-49CA-8365-45DE42A1094A}"/>
    <cellStyle name="Hyperlink 2" xfId="4" xr:uid="{01091DFB-C47A-4135-88A6-ACD0D3F1F349}"/>
    <cellStyle name="一般" xfId="0" builtinId="0"/>
    <cellStyle name="一般 2" xfId="1" xr:uid="{3E4F0BEB-F552-4352-B414-FC37FDDE46B0}"/>
    <cellStyle name="一般 2 2" xfId="12" xr:uid="{5D9841DB-0B00-4373-B1A2-ABE1A4A157A4}"/>
    <cellStyle name="一般 2 3" xfId="9" xr:uid="{866BBFC9-BF7D-4842-8644-363C4D05DC9B}"/>
    <cellStyle name="一般 3" xfId="2" xr:uid="{929E8B33-30AB-4B11-AE05-0378AACAEA0C}"/>
    <cellStyle name="一般 3 2" xfId="6" xr:uid="{65334322-13FB-4AE3-B46C-AFFE94A2346C}"/>
    <cellStyle name="一般 4" xfId="3" xr:uid="{5C3815C3-8972-4AD6-82A9-C116FFEA1164}"/>
    <cellStyle name="一般 4 2" xfId="13" xr:uid="{FC8871C9-0B50-4F78-A33D-B322197226CB}"/>
    <cellStyle name="一般 5" xfId="7" xr:uid="{7B4E8D81-2156-4B49-9847-FAF7E024CFD5}"/>
    <cellStyle name="一般 5 2" xfId="11" xr:uid="{17C85806-A87E-4941-979C-BE561962A951}"/>
    <cellStyle name="一般 6" xfId="10" xr:uid="{1B93E120-7CAF-44F8-86B9-D838E1241C79}"/>
    <cellStyle name="可輸入" xfId="8" xr:uid="{828C4F36-88CD-4D0F-8A64-164E5E62E250}"/>
  </cellStyles>
  <dxfs count="1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2BE4E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177" formatCode="General;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Arial"/>
        <family val="2"/>
        <scheme val="none"/>
      </font>
      <numFmt numFmtId="0" formatCode="General"/>
      <alignment horizontal="left" vertical="center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rgb="FF215C98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 Medium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 T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新細明體"/>
        <family val="1"/>
        <scheme val="minor"/>
      </font>
      <numFmt numFmtId="177" formatCode="General;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rgb="FF7030A0"/>
        <name val="吳守禮細明台語注音"/>
        <family val="1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Noto Serif TC Black"/>
        <family val="1"/>
        <charset val="136"/>
        <scheme val="none"/>
      </font>
      <fill>
        <patternFill patternType="none">
          <fgColor indexed="64"/>
          <bgColor auto="1"/>
        </patternFill>
      </fill>
    </dxf>
    <dxf>
      <font>
        <b/>
        <sz val="16"/>
        <color auto="1"/>
        <name val="新細明體"/>
        <family val="1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Noto Sans TC"/>
        <family val="2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rgb="FF7030A0"/>
        <name val="吳守禮細明台語注音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7030A0"/>
        <name val="Noto Sans TC"/>
        <family val="2"/>
        <charset val="136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1" justifyLastLine="0" shrinkToFit="0" readingOrder="0"/>
    </dxf>
    <dxf>
      <font>
        <b/>
        <sz val="16"/>
        <color rgb="FFFF0000"/>
        <name val="Noto Sans TC"/>
        <family val="2"/>
        <charset val="136"/>
        <scheme val="none"/>
      </font>
      <numFmt numFmtId="177" formatCode="General;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erif TC SemiBold"/>
        <family val="1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"/>
        <family val="1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"/>
        <family val="1"/>
        <charset val="136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vertAlign val="baseline"/>
        <sz val="16"/>
        <name val="Noto Serif TC"/>
        <family val="1"/>
        <charset val="136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新細明體"/>
        <family val="1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6"/>
        <name val="Noto Serif TC"/>
        <family val="1"/>
        <charset val="136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 Black"/>
        <family val="2"/>
        <charset val="136"/>
        <scheme val="none"/>
      </font>
      <fill>
        <patternFill patternType="solid">
          <fgColor indexed="64"/>
          <bgColor theme="3" tint="0.3999755851924192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Noto Serif TC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rgb="FF000000"/>
        <name val="Noto Serif TC Black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rgb="FF000000"/>
        <name val="Charis SI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8"/>
        <color rgb="FFC00000"/>
        <name val="吳守禮細明台語注音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erif TC"/>
        <family val="1"/>
        <charset val="136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6"/>
        <color rgb="FF000000"/>
        <name val="Noto Serif TC"/>
        <family val="1"/>
        <charset val="136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opomofoRuby1909-v1"/>
        <family val="1"/>
        <charset val="136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6"/>
        <name val="Noto Serif TC"/>
        <family val="1"/>
        <charset val="136"/>
        <scheme val="none"/>
      </font>
      <numFmt numFmtId="0" formatCode="General"/>
      <alignment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8"/>
        <color rgb="FF000000"/>
        <name val="Charis SIL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haris SIL"/>
        <scheme val="none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Charis SIL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jpeg"/><Relationship Id="rId7" Type="http://schemas.openxmlformats.org/officeDocument/2006/relationships/image" Target="../media/image7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hyperlink" Target="https://www.bilibili.com/video/BV15K4y1s7BV/?vd_source=1da0e2bc67a3a12d69bdb1c565bb37bb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6</xdr:col>
      <xdr:colOff>626619</xdr:colOff>
      <xdr:row>44</xdr:row>
      <xdr:rowOff>3714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28179AE-1828-4AC3-9106-609AC0B65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402425"/>
          <a:ext cx="5341494" cy="29183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428625</xdr:colOff>
      <xdr:row>6</xdr:row>
      <xdr:rowOff>95250</xdr:rowOff>
    </xdr:from>
    <xdr:to>
      <xdr:col>12</xdr:col>
      <xdr:colOff>19050</xdr:colOff>
      <xdr:row>13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6CEC968-4120-418B-94A3-12A086D43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3050" y="3028950"/>
          <a:ext cx="34290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2200275</xdr:colOff>
      <xdr:row>22</xdr:row>
      <xdr:rowOff>95250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8701FB5-808D-4004-8579-82EA758AF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74025" y="6791325"/>
          <a:ext cx="34290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2200275</xdr:colOff>
      <xdr:row>31</xdr:row>
      <xdr:rowOff>95250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42ADE3C-39B0-42D2-80A7-CA88730D1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74025" y="10648950"/>
          <a:ext cx="34290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3752381</xdr:colOff>
      <xdr:row>15</xdr:row>
      <xdr:rowOff>237559</xdr:rowOff>
    </xdr:to>
    <xdr:pic>
      <xdr:nvPicPr>
        <xdr:cNvPr id="5" name="圖片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8F3B27-72F2-4769-A974-5887B63D9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26775" y="2933700"/>
          <a:ext cx="3752381" cy="409518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17</xdr:col>
      <xdr:colOff>1437349</xdr:colOff>
      <xdr:row>26</xdr:row>
      <xdr:rowOff>75714</xdr:rowOff>
    </xdr:to>
    <xdr:pic>
      <xdr:nvPicPr>
        <xdr:cNvPr id="6" name="圖片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B7985D-7B10-45D6-9AB7-DBB7ED780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26775" y="8077200"/>
          <a:ext cx="7409524" cy="3504714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29</xdr:row>
      <xdr:rowOff>38100</xdr:rowOff>
    </xdr:from>
    <xdr:to>
      <xdr:col>18</xdr:col>
      <xdr:colOff>527438</xdr:colOff>
      <xdr:row>41</xdr:row>
      <xdr:rowOff>400050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4C92397C-61F3-4057-B97B-9C9CA98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93450" y="12830175"/>
          <a:ext cx="7909313" cy="550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19</xdr:col>
      <xdr:colOff>2667000</xdr:colOff>
      <xdr:row>26</xdr:row>
      <xdr:rowOff>152400</xdr:rowOff>
    </xdr:to>
    <xdr:pic>
      <xdr:nvPicPr>
        <xdr:cNvPr id="8" name="圖片 7" descr="zoomable">
          <a:extLst>
            <a:ext uri="{FF2B5EF4-FFF2-40B4-BE49-F238E27FC236}">
              <a16:creationId xmlns:a16="http://schemas.microsoft.com/office/drawing/2014/main" id="{3C3BB35E-0026-4F65-A987-29B3FFEC3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425" y="8077200"/>
          <a:ext cx="7048500" cy="358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6</xdr:col>
      <xdr:colOff>626619</xdr:colOff>
      <xdr:row>40</xdr:row>
      <xdr:rowOff>3714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A219C0-BA99-F868-22F4-938C7A85D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19635107"/>
          <a:ext cx="5361905" cy="29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Jui\work\rime-tlpa\docs\101_&#32882;&#38907;&#35519;&#23565;&#29031;&#34920;.xlsx" TargetMode="External"/><Relationship Id="rId1" Type="http://schemas.openxmlformats.org/officeDocument/2006/relationships/externalLinkPath" Target="file:///C:\Users\AlanJui\work\rime-tlpa\docs\101_&#32882;&#38907;&#35519;&#23565;&#2903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8450;&#35486;/D300_&#24291;&#38907;_V10.xlsx" TargetMode="External"/><Relationship Id="rId1" Type="http://schemas.openxmlformats.org/officeDocument/2006/relationships/externalLinkPath" Target="D300_&#24291;&#38907;_V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輸入工具"/>
      <sheetName val="輸入工具 (閩拼方案)"/>
      <sheetName val="輸入工具 (台語注音二式)"/>
      <sheetName val="輸入工具 (台語音標)"/>
      <sheetName val="輸入工具 (台羅拼音)"/>
      <sheetName val="輸入工具 (白話字)"/>
      <sheetName val="【聲】聲母對照表"/>
      <sheetName val="【聲】聲母排序表"/>
      <sheetName val="【韻】韻母對照表"/>
      <sheetName val="【調】韻母標調"/>
      <sheetName val="台語注音二式轉方音符號"/>
      <sheetName val="台語注音二式轉換"/>
      <sheetName val="IPA音節表"/>
      <sheetName val="【十五音】韻母對照表"/>
      <sheetName val="十五音韻母"/>
      <sheetName val="馬重奇韻母50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J1">
            <v>1</v>
          </cell>
          <cell r="AK1">
            <v>2</v>
          </cell>
          <cell r="AL1">
            <v>3</v>
          </cell>
          <cell r="AM1">
            <v>4</v>
          </cell>
          <cell r="AN1">
            <v>5</v>
          </cell>
          <cell r="AO1">
            <v>6</v>
          </cell>
          <cell r="AP1">
            <v>7</v>
          </cell>
          <cell r="AQ1">
            <v>8</v>
          </cell>
          <cell r="AR1">
            <v>9</v>
          </cell>
          <cell r="AS1">
            <v>9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廣韻韻目表【韻母206字】"/>
      <sheetName val="漢字查音"/>
      <sheetName val="切語查音"/>
      <sheetName val="漢字輸入表單"/>
      <sheetName val="字表"/>
      <sheetName val="小韻表"/>
      <sheetName val="小韻表【二式】"/>
      <sheetName val="字義表"/>
      <sheetName val="切語上字表"/>
      <sheetName val="聲母對照表"/>
      <sheetName val="切語下字表"/>
      <sheetName val="韻母對照表"/>
      <sheetName val="韻母標音表"/>
      <sheetName val="韻表"/>
      <sheetName val="韻目方陣表"/>
      <sheetName val="聲調對照表"/>
      <sheetName val="韻攝表"/>
      <sheetName val="工作表1"/>
      <sheetName val="01 廣韻"/>
      <sheetName val="02 又音"/>
      <sheetName val="03_又切"/>
      <sheetName val="04_校勘"/>
      <sheetName val="聲母36字母表"/>
      <sheetName val="廣韻聲母38字"/>
      <sheetName val="廣韻韻母206字"/>
      <sheetName val="廣韻韻母206字 (2)"/>
      <sheetName val="廣韻與平水韻對照表"/>
      <sheetName val="切語上字表 (BAK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914B5A2-36A5-4CAD-94EA-6D8445348F07}" name="字表" displayName="字表" ref="A1:T2" totalsRowShown="0" headerRowBorderDxfId="17" tableBorderDxfId="18" totalsRowBorderDxfId="16">
  <tableColumns count="20">
    <tableColumn id="1" xr3:uid="{790D21F8-A232-4C45-B6A9-3A471FF7D500}" name="字號"/>
    <tableColumn id="6" xr3:uid="{BD67525E-5BA2-485F-B36A-F816F284E1ED}" name="上字">
      <calculatedColumnFormula>切語查音!D6</calculatedColumnFormula>
    </tableColumn>
    <tableColumn id="7" xr3:uid="{C2A8C1C4-49F6-4A7B-BE09-121F8D9BC37E}" name="下字">
      <calculatedColumnFormula>切語查音!D7</calculatedColumnFormula>
    </tableColumn>
    <tableColumn id="8" xr3:uid="{2F78BDB5-D5DD-4902-ACB6-7B2656DF8CD4}" name="聲母" dataDxfId="13">
      <calculatedColumnFormula array="1" xml:space="preserve"> INDEX(切語上字表[聲母], 字表[[#This Row],[上字號]])</calculatedColumnFormula>
    </tableColumn>
    <tableColumn id="9" xr3:uid="{22375168-A887-4375-A151-46B47E934C1C}" name="聲母標音" dataDxfId="11">
      <calculatedColumnFormula array="1" xml:space="preserve"> INDEX(切語上字表[聲母標音], 字表[[#This Row],[上字號]])</calculatedColumnFormula>
    </tableColumn>
    <tableColumn id="10" xr3:uid="{A4B8A212-7329-427B-9AD9-5B4D56E8617D}" name="七聲類" dataDxfId="10">
      <calculatedColumnFormula array="1" xml:space="preserve"> INDEX(切語上字表[七聲類], 字表[[#This Row],[上字號]])</calculatedColumnFormula>
    </tableColumn>
    <tableColumn id="11" xr3:uid="{ABD86BB5-98BE-4AF6-8387-309CC3AA860E}" name="清濁" dataDxfId="9">
      <calculatedColumnFormula array="1" xml:space="preserve"> INDEX(切語上字表[清濁], 字表[[#This Row],[上字號]])</calculatedColumnFormula>
    </tableColumn>
    <tableColumn id="12" xr3:uid="{ECF50895-37AF-48DA-A36A-3CBD773AE81B}" name="發送收" dataDxfId="8">
      <calculatedColumnFormula array="1" xml:space="preserve"> INDEX(切語上字表[發送收], 字表[[#This Row],[上字號]])</calculatedColumnFormula>
    </tableColumn>
    <tableColumn id="13" xr3:uid="{CC9C50D0-3916-43B9-BAB7-5875E4C3CEFF}" name="韻母" dataDxfId="12">
      <calculatedColumnFormula array="1" xml:space="preserve"> INDEX(切語下字表[韻母], 字表[[#This Row],[下字號]])</calculatedColumnFormula>
    </tableColumn>
    <tableColumn id="14" xr3:uid="{572CE7CF-92D8-4EA6-A990-C31415CB205B}" name="韻母標音" dataDxfId="7">
      <calculatedColumnFormula array="1" xml:space="preserve"> INDEX(切語下字表[韻母標音], 字表[[#This Row],[下字號]])</calculatedColumnFormula>
    </tableColumn>
    <tableColumn id="15" xr3:uid="{EF44ED98-DDAE-4634-923A-E7239F5CB1E5}" name="等呼" dataDxfId="6">
      <calculatedColumnFormula array="1" xml:space="preserve"> INDEX(切語下字表[等呼], 字表[[#This Row],[下字號]])</calculatedColumnFormula>
    </tableColumn>
    <tableColumn id="16" xr3:uid="{A679F720-4A93-42F6-AB09-A4381D70B6FA}" name="攝" dataDxfId="5">
      <calculatedColumnFormula array="1" xml:space="preserve"> INDEX(切語下字表[攝], 字表[[#This Row],[下字號]])</calculatedColumnFormula>
    </tableColumn>
    <tableColumn id="17" xr3:uid="{391A069C-6E3F-4DA9-9365-7F06787B47A0}" name="呼" dataDxfId="4">
      <calculatedColumnFormula array="1" xml:space="preserve"> INDEX(切語下字表[呼], 字表[[#This Row],[下字號]])</calculatedColumnFormula>
    </tableColumn>
    <tableColumn id="18" xr3:uid="{C9273CD4-9B15-4C38-B5F6-F089AD893652}" name="等" dataDxfId="3">
      <calculatedColumnFormula array="1" xml:space="preserve"> INDEX(切語下字表[等], 字表[[#This Row],[下字號]])</calculatedColumnFormula>
    </tableColumn>
    <tableColumn id="19" xr3:uid="{37E44573-40C0-406B-8B0B-33E883DD97DB}" name="調" dataDxfId="2">
      <calculatedColumnFormula array="1" xml:space="preserve"> INDEX(切語下字表[調], 字表[[#This Row],[下字號]])</calculatedColumnFormula>
    </tableColumn>
    <tableColumn id="21" xr3:uid="{AB1A7FEF-4DD6-409D-A5E2-E462567B6BFB}" name="廣韻聲調" dataDxfId="1">
      <calculatedColumnFormula xml:space="preserve"> RIGHT(字表[[#This Row],[清濁]],1) &amp; LEFT(字表[[#This Row],[調]],1)</calculatedColumnFormula>
    </tableColumn>
    <tableColumn id="22" xr3:uid="{4ED0FABA-ECF7-48C6-8546-AFEB76236007}" name="四声八調" dataDxfId="0">
      <calculatedColumnFormula array="1" xml:space="preserve"> INDEX(聲調對照資料表[台羅調號], MATCH(TRUE, EXACT(字表[[#This Row],[廣韻聲調]], 聲調對照資料表[廣韻聲調]), 0))</calculatedColumnFormula>
    </tableColumn>
    <tableColumn id="23" xr3:uid="{0AE0F966-7B11-4B91-A4A6-03B5BB14E953}" name="濁上調校正">
      <calculatedColumnFormula>IF(
  VALUE([2]!字表[[#This Row],[四声八調]])=6,
  IF(
    OR(
      AND([2]!字表[[#This Row],[聲母標音]]="Ø",
          OR(
            LEFT([2]!字表[[#This Row],[韻母標音]],1)="i",
            LEFT([2]!字表[[#This Row],[韻母標音]],1)="o",
            LEFT([2]!字表[[#This Row],[韻母標音]],1)="u"
          )
      ),
      [2]!字表[[#This Row],[聲母標音]]="b",
      [2]!字表[[#This Row],[聲母標音]]="l",
      [2]!字表[[#This Row],[聲母標音]]="m",
      [2]!字表[[#This Row],[聲母標音]]="n",
      [2]!字表[[#This Row],[聲母標音]]="g"
    ),
    2,
    7
  ),
  [2]!字表[[#This Row],[四声八調]]
)</calculatedColumnFormula>
    </tableColumn>
    <tableColumn id="25" xr3:uid="{21EBC199-4D5D-473D-90D0-64412AACD8CD}" name="上字號" dataDxfId="15">
      <calculatedColumnFormula array="1" xml:space="preserve"> MATCH(TRUE, ISNUMBER( SEARCH(TRIM(字表[[#This Row],[上字]]), 切語上字表[切語上字集]) ), 0)</calculatedColumnFormula>
    </tableColumn>
    <tableColumn id="26" xr3:uid="{017B74A1-62BD-4DE1-BF90-C3E4E3497384}" name="下字號" dataDxfId="14">
      <calculatedColumnFormula array="1" xml:space="preserve"> MATCH(TRUE, ISNUMBER( SEARCH(TRIM(字表[[#This Row],[下字]]), 切語下字表[切語下字集]) ),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27AA5-8E5E-4381-961B-57535B4BF7BE}" name="聲母對照表" displayName="聲母對照表" ref="A1:P23" totalsRowShown="0" headerRowDxfId="121" tableBorderDxfId="120">
  <autoFilter ref="A1:P23" xr:uid="{50527B81-BE0C-4989-8113-79F20236AB33}"/>
  <sortState xmlns:xlrd2="http://schemas.microsoft.com/office/spreadsheetml/2017/richdata2" ref="A2:P23">
    <sortCondition ref="M2:M23"/>
  </sortState>
  <tableColumns count="16">
    <tableColumn id="1" xr3:uid="{A9FB622B-E50A-4722-8D4A-15B20791CA13}" name="識別號" dataDxfId="119"/>
    <tableColumn id="3" xr3:uid="{34660C46-EF9E-4276-9F4E-BD67FA690550}" name="國際音標" dataDxfId="118"/>
    <tableColumn id="12" xr3:uid="{BF9E9C28-BD42-4F06-B59F-EEEF3187C5EA}" name="漢字例" dataDxfId="117" dataCellStyle="一般 3"/>
    <tableColumn id="11" xr3:uid="{3C1F4994-8D17-46EB-BD77-EDC8E3BD70D9}" name="十五音" dataDxfId="116" dataCellStyle="一般 3"/>
    <tableColumn id="9" xr3:uid="{58597767-D7F0-4EC4-8869-1824E1417C70}" name="方音符號" dataDxfId="115" dataCellStyle="一般 3"/>
    <tableColumn id="10" xr3:uid="{A60A5ED9-B764-4B6E-938C-5ED9DBC1A519}" name="台語注音" dataDxfId="114" dataCellStyle="一般 3"/>
    <tableColumn id="6" xr3:uid="{4AA4B0C5-9424-4A8A-B9CC-6A869A19D4E7}" name="注音二式" dataDxfId="113" dataCellStyle="一般 3"/>
    <tableColumn id="7" xr3:uid="{3C34660A-6DBD-42EE-B5AF-CA9C18EB469E}" name="閩拼方案" dataDxfId="112" dataCellStyle="一般 3"/>
    <tableColumn id="4" xr3:uid="{0862C7B3-C5EB-47DB-A9CB-04818D2D966B}" name="台羅拼音" dataDxfId="111"/>
    <tableColumn id="5" xr3:uid="{A5F5885C-0E19-49E8-8657-09ED4530AC5E}" name="台語音標" dataDxfId="110"/>
    <tableColumn id="8" xr3:uid="{E54CD086-1259-459D-8D61-1B5DFE1DAA32}" name="白話字" dataDxfId="109"/>
    <tableColumn id="13" xr3:uid="{C0DE2861-6E04-4215-8287-CCF7400CA79C}" name="備註" dataDxfId="108"/>
    <tableColumn id="14" xr3:uid="{9E4B71E9-F8C8-4DAF-AE65-B449D21899FC}" name="注音符號序" dataDxfId="107"/>
    <tableColumn id="17" xr3:uid="{49846A51-C424-481B-8C19-D03EBC33D125}" name="十五音序" dataDxfId="106" dataCellStyle="一般 3"/>
    <tableColumn id="15" xr3:uid="{886731FB-999F-4D14-AE16-9B5A0F018EE3}" name="台羅字母序" dataDxfId="105"/>
    <tableColumn id="16" xr3:uid="{60EDC3D8-79BD-4AB2-B187-C7FAEDECAA67}" name="拼音字母序" dataDxfId="1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8107C-99BC-47BD-ACF8-E4C51905A91C}" name="韻母對照表" displayName="韻母對照表" ref="A2:N88" totalsRowShown="0" headerRowDxfId="103" tableBorderDxfId="102" headerRowCellStyle="一般 4">
  <autoFilter ref="A2:N88" xr:uid="{C40E26AF-4D3B-4E1A-8080-AAAFDBD9F514}"/>
  <tableColumns count="14">
    <tableColumn id="1" xr3:uid="{774F66BA-0B55-4C0E-A997-FE36AEF624F3}" name="序號" dataDxfId="101" dataCellStyle="一般 4">
      <calculatedColumnFormula xml:space="preserve"> ROW() - 3</calculatedColumnFormula>
    </tableColumn>
    <tableColumn id="2" xr3:uid="{F4FF22C3-0811-42A4-9852-5CA2292D844F}" name="國際音標" dataDxfId="100" dataCellStyle="一般 4"/>
    <tableColumn id="14" xr3:uid="{B55FCDD2-A7BC-4D0F-B84E-9D6F6E1D4AF5}" name="漢字例" dataDxfId="99" dataCellStyle="一般 4"/>
    <tableColumn id="9" xr3:uid="{DF002E5B-E188-434E-A548-C0F2D87B85F1}" name="十五音" dataDxfId="98" dataCellStyle="一般 4">
      <calculatedColumnFormula xml:space="preserve"> LEFT(韻母對照表[[#This Row],[十五音識別碼]],1)</calculatedColumnFormula>
    </tableColumn>
    <tableColumn id="12" xr3:uid="{D3023278-D7AE-464D-A053-2C283E034297}" name="十五音識別碼" dataDxfId="97" dataCellStyle="一般 4"/>
    <tableColumn id="8" xr3:uid="{5212DA40-9F1D-4FDD-9277-8CB3F0DBBF31}" name="方音符號" dataDxfId="96" dataCellStyle="一般 4"/>
    <tableColumn id="13" xr3:uid="{6706EA47-F763-4FDE-83C3-B4B9876B94B5}" name="台語注音" dataDxfId="95" dataCellStyle="一般 4"/>
    <tableColumn id="5" xr3:uid="{6CCF83E2-6797-4BD8-9D53-DA04A746EE5C}" name="台語注音二式" dataDxfId="94" dataCellStyle="一般 4"/>
    <tableColumn id="6" xr3:uid="{E7277811-E5FE-465E-947B-780A220407B8}" name="閩拼方案" dataDxfId="93" dataCellStyle="一般 4"/>
    <tableColumn id="3" xr3:uid="{8C06DC81-87F7-4D82-A09D-9EDEEBEE387C}" name="台羅拼音" dataDxfId="92" dataCellStyle="一般 4"/>
    <tableColumn id="4" xr3:uid="{6DA6636B-E28E-4CE2-9966-4557DB532BC0}" name="台語音標" dataDxfId="91" dataCellStyle="一般 4"/>
    <tableColumn id="7" xr3:uid="{E2908751-615D-4FE4-B664-6768A4876A3C}" name="白話字" dataDxfId="90" dataCellStyle="一般 4"/>
    <tableColumn id="10" xr3:uid="{BA02DFBE-706B-47F0-9D47-8378C1549B99}" name="聲韻調類" dataDxfId="89" dataCellStyle="一般 4"/>
    <tableColumn id="11" xr3:uid="{345BDA26-EB23-47B1-98DC-1D4D6F742E0B}" name="字長" dataDxfId="88" dataCellStyle="一般 4">
      <calculatedColumnFormula xml:space="preserve"> LEN(K3)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66BEBE-06C5-4346-BD2A-FB319FBA3AB2}" name="切語上字表" displayName="切語上字表" ref="A1:L42" totalsRowShown="0" headerRowDxfId="57" dataDxfId="56" headerRowBorderDxfId="67" tableBorderDxfId="68" totalsRowBorderDxfId="66">
  <sortState xmlns:xlrd2="http://schemas.microsoft.com/office/spreadsheetml/2017/richdata2" ref="A2:L42">
    <sortCondition ref="A36:A42"/>
  </sortState>
  <tableColumns count="12">
    <tableColumn id="1" xr3:uid="{1E0E483B-16F3-4F45-8785-6ED9407F83BB}" name="識別號" dataDxfId="65"/>
    <tableColumn id="12" xr3:uid="{D3407BC1-8F70-43FC-8601-8AC145AC89D2}" name="書序" dataDxfId="53" dataCellStyle="一般 4"/>
    <tableColumn id="5" xr3:uid="{C253C829-2836-472B-92D0-ADA0C122C5A7}" name="聲母對照表之識別號" dataDxfId="52" dataCellStyle="一般 4">
      <calculatedColumnFormula array="1" xml:space="preserve"> INDEX(聲母對照表[識別號], MATCH(TRUE, EXACT(切語上字表[[#This Row],[聲母標音]], 聲母對照表[台羅拼音]),0))</calculatedColumnFormula>
    </tableColumn>
    <tableColumn id="10" xr3:uid="{7CB3C94E-2948-4259-B249-33A362B3D90F}" name="七聲類" dataDxfId="64" dataCellStyle="一般 4"/>
    <tableColumn id="2" xr3:uid="{2EBEA2BA-CFF9-4831-BBD3-349DD78A1470}" name="發音部位" dataDxfId="63" dataCellStyle="一般 4"/>
    <tableColumn id="11" xr3:uid="{366D8EC4-FC3B-4362-8482-990D9356DE88}" name="發音方法" dataDxfId="62" dataCellStyle="一般 4"/>
    <tableColumn id="6" xr3:uid="{B9236DE4-3407-47B7-AC07-5ADF0E46F020}" name="聲母" dataDxfId="61" dataCellStyle="Hyperlink 2"/>
    <tableColumn id="7" xr3:uid="{24D54BEB-453A-4FC9-AB24-F9FBDF63813E}" name="聲母標音" dataDxfId="60" dataCellStyle="Hyperlink 2"/>
    <tableColumn id="3" xr3:uid="{C5BE0E55-E494-4CA4-B78B-6CC75C6ECE45}" name="清濁" dataDxfId="59" dataCellStyle="Hyperlink 2"/>
    <tableColumn id="9" xr3:uid="{A4768318-CA01-477D-9917-943395DA8927}" name="發送收" dataDxfId="58" dataCellStyle="一般 4"/>
    <tableColumn id="4" xr3:uid="{13A56938-2075-41EE-8BC5-976D38C9D71D}" name="切語上字集" dataDxfId="55" dataCellStyle="一般 4"/>
    <tableColumn id="8" xr3:uid="{1407B758-CDB7-46CE-A310-FC91E5CF9B48}" name="備註" dataDxfId="54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268555-F080-4E4E-A214-056F48674470}" name="切語下字表" displayName="切語下字表" ref="A1:K302" totalsRowShown="0" headerRowDxfId="51" dataDxfId="50" tableBorderDxfId="49">
  <autoFilter ref="A1:K302" xr:uid="{3E37C5CA-8317-47B6-A5C7-B97905BE22AF}"/>
  <sortState xmlns:xlrd2="http://schemas.microsoft.com/office/spreadsheetml/2017/richdata2" ref="A2:K302">
    <sortCondition ref="A1:A302"/>
  </sortState>
  <tableColumns count="11">
    <tableColumn id="1" xr3:uid="{CC71E0FB-E7ED-47D2-A777-196EA0C2AB32}" name="識別號" dataDxfId="48"/>
    <tableColumn id="2" xr3:uid="{9735C6EA-3E5A-47DC-86A0-FCB1D576ABEA}" name="韻母" dataDxfId="47" dataCellStyle="一般 3"/>
    <tableColumn id="4" xr3:uid="{1BD99F57-B5CA-48D0-B786-DCE5E37434B0}" name="韻母標音" dataDxfId="46" dataCellStyle="一般 3"/>
    <tableColumn id="15" xr3:uid="{F25ABB1A-2458-4BAA-92BA-7C0CE727ED56}" name="攝" dataDxfId="45" dataCellStyle="一般 3"/>
    <tableColumn id="16" xr3:uid="{AFC65C2E-801E-42D0-B9B1-3FC18D2E87FD}" name="韻" dataDxfId="39" dataCellStyle="一般 3 2"/>
    <tableColumn id="11" xr3:uid="{4BA871F4-B223-422A-8702-EC1698B37ECC}" name="呼" dataDxfId="44" dataCellStyle="一般 3"/>
    <tableColumn id="12" xr3:uid="{C7359340-559F-41D0-9678-CEFE9870E8ED}" name="等" dataDxfId="43" dataCellStyle="一般 3"/>
    <tableColumn id="3" xr3:uid="{EB306EC1-668A-492E-9751-70CC4B0AD5E1}" name="調" dataDxfId="42" dataCellStyle="一般 3"/>
    <tableColumn id="8" xr3:uid="{B8CF47F4-68C9-427B-A817-6E7C8972A4C1}" name="等呼" dataDxfId="38" dataCellStyle="一般 3 2"/>
    <tableColumn id="14" xr3:uid="{35473C62-23D4-4E20-8CAC-18A1326E453C}" name="切語下字集" dataDxfId="41"/>
    <tableColumn id="17" xr3:uid="{7AAA249B-D058-41FD-9071-9FC440193DE1}" name="備註" dataDxfId="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FE0187-06F2-4155-9926-B85487267BF0}" name="聲調對照資料表" displayName="聲調對照資料表" ref="A1:K9" totalsRowShown="0" headerRowDxfId="37" headerRowBorderDxfId="35" tableBorderDxfId="36" totalsRowBorderDxfId="34" headerRowCellStyle="一般 3">
  <autoFilter ref="A1:K9" xr:uid="{6320E732-B7EE-4E72-A9E4-CE925D6E5255}"/>
  <tableColumns count="11">
    <tableColumn id="7" xr3:uid="{CF04695A-36C6-466A-8031-0DCDF91AD8F1}" name="漢語四聲" dataDxfId="33" dataCellStyle="一般 5"/>
    <tableColumn id="1" xr3:uid="{E08F2AD3-E4F8-4C11-BC4A-335C3A8FD6DD}" name="廣韻聲調" dataDxfId="32" dataCellStyle="一般 5"/>
    <tableColumn id="8" xr3:uid="{826EC3E8-DC97-4B70-92EA-BD3E12CAFAEF}" name="雅俗通聲調" dataDxfId="31" dataCellStyle="一般 5"/>
    <tableColumn id="9" xr3:uid="{328A9100-83A9-4260-B509-28CD76F706E8}" name="十五音聲調" dataDxfId="30"/>
    <tableColumn id="2" xr3:uid="{C075921E-65FA-4779-AE29-7A06A493B8C5}" name="台羅調名" dataDxfId="29" dataCellStyle="一般 5"/>
    <tableColumn id="3" xr3:uid="{25DC0A49-6A41-4603-864D-D0157AA83B01}" name="台羅調號" dataDxfId="28" dataCellStyle="一般 2"/>
    <tableColumn id="4" xr3:uid="{D967ABFE-5566-4403-99CF-B7311A8F26E0}" name="台羅變調" dataDxfId="27" dataCellStyle="一般 2"/>
    <tableColumn id="11" xr3:uid="{0EF7451F-7747-47DF-ACD8-87C258BBE313}" name="閩拼八聲調" dataDxfId="26" dataCellStyle="一般 3"/>
    <tableColumn id="12" xr3:uid="{74DCAC43-647F-4430-A0B0-FE202DE9BD46}" name="方音符號調符" dataDxfId="25" dataCellStyle="一般 3"/>
    <tableColumn id="5" xr3:uid="{E1C80EBC-53DA-4387-8DB8-9525CB5F168D}" name="台羅調值" dataDxfId="24" dataCellStyle="一般 2"/>
    <tableColumn id="6" xr3:uid="{27A4EBBF-6DB7-44CD-A540-9884575F58C5}" name="古漢語調值" dataDxfId="23" dataCellStyle="一般 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FD1179-1841-40BC-B7AA-42E57F26E40E}" name="四聲調表" displayName="四聲調表" ref="R1:T5" totalsRowShown="0" headerRowDxfId="22" headerRowBorderDxfId="20" tableBorderDxfId="21" totalsRowBorderDxfId="19" headerRowCellStyle="一般 6">
  <autoFilter ref="R1:T5" xr:uid="{939A55FB-4C6F-441D-A71B-636038062724}"/>
  <tableColumns count="3">
    <tableColumn id="1" xr3:uid="{92AB5888-A5EB-4505-B25D-9E0EA09F8471}" name="四聲調號"/>
    <tableColumn id="3" xr3:uid="{9ADA047D-D19F-41D6-A3F8-F0702F2C0E0D}" name="四聲中文"/>
    <tableColumn id="2" xr3:uid="{31718A95-BE5C-4882-B928-CD1A3B7501CE}" name="四聲調名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3C41C-0EC5-4124-93FF-29D36401A43C}" name="音調對照表" displayName="音調對照表" ref="H3:Q11" totalsRowShown="0" headerRowDxfId="87" headerRowBorderDxfId="86" tableBorderDxfId="85" totalsRowBorderDxfId="84">
  <autoFilter ref="H3:Q11" xr:uid="{9C448E2C-CD3D-4ED2-BDC8-5AB53B6728E4}"/>
  <tableColumns count="10">
    <tableColumn id="1" xr3:uid="{914B3E48-AC2E-4789-8F1C-0EB49018E553}" name="傳統調號" dataDxfId="83"/>
    <tableColumn id="2" xr3:uid="{B9D78C8A-55D8-4633-8241-2EB389454984}" name="調名" dataDxfId="82"/>
    <tableColumn id="3" xr3:uid="{5E8D818C-223E-4F1E-8C81-8D9E32F6FCA3}" name="調值"/>
    <tableColumn id="4" xr3:uid="{46928072-BB86-4F9A-8F23-8DCAEBAFAE58}" name="調性" dataDxfId="81"/>
    <tableColumn id="5" xr3:uid="{88659F9F-2453-4D09-A2D5-ED28066BA1BC}" name="鍵盤按鍵" dataDxfId="80"/>
    <tableColumn id="6" xr3:uid="{D2252AFE-1FB4-4523-97F6-E51DE4C32ECC}" name="台羅調符編碼" dataDxfId="79"/>
    <tableColumn id="7" xr3:uid="{4901A8BE-B286-4203-BEB4-D3B0987ED26A}" name="台羅拼音" dataDxfId="78">
      <calculatedColumnFormula xml:space="preserve"> IFERROR( _xlfn.CONCAT("a", IF($M4="", "", _xlfn.UNICHAR(HEX2DEC(RIGHT($M4,4))))), "")</calculatedColumnFormula>
    </tableColumn>
    <tableColumn id="8" xr3:uid="{1F61D886-C1D3-4621-988D-FF9764AA3AAF}" name="閩拼調符編碼" dataDxfId="77"/>
    <tableColumn id="9" xr3:uid="{6432A4CE-9EB2-4910-80BB-034688931415}" name="閩拼方案" dataDxfId="76"/>
    <tableColumn id="10" xr3:uid="{C34C196F-577B-46DC-8B92-1A95AA5C7148}" name="閩拼調號" dataDxfId="7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E01A5F-34EA-47BF-9802-2401587DAA7B}" name="上標對照表" displayName="上標對照表" ref="H13:I23" totalsRowShown="0" headerRowDxfId="74" headerRowBorderDxfId="73" tableBorderDxfId="72" totalsRowBorderDxfId="71">
  <autoFilter ref="H13:I23" xr:uid="{05BDFC42-94AA-4826-923D-BD9331E1250D}"/>
  <tableColumns count="2">
    <tableColumn id="1" xr3:uid="{0ADF89E8-E011-4A67-B36C-0D0C07D655A1}" name="調號" dataDxfId="70"/>
    <tableColumn id="2" xr3:uid="{66938267-59C8-4F23-AE70-1C69FF273471}" name="上標值" dataDxfId="69">
      <calculatedColumnFormula>IFERROR(_xlfn.UNICHAR(CHOOSE($H14+1,8304,185,178,179,8308,8309,8310,8311,8312,8313)),"")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7D79-D976-49AF-B64A-5E0076C77A4C}">
  <sheetPr>
    <tabColor rgb="FFFF0000"/>
  </sheetPr>
  <dimension ref="B1:AX13"/>
  <sheetViews>
    <sheetView zoomScale="90" zoomScaleNormal="90" workbookViewId="0">
      <selection activeCell="D5" sqref="D5"/>
    </sheetView>
    <sheetView workbookViewId="1">
      <selection activeCell="G16" sqref="G16"/>
    </sheetView>
  </sheetViews>
  <sheetFormatPr defaultColWidth="13" defaultRowHeight="27" customHeight="1" outlineLevelRow="1" outlineLevelCol="1"/>
  <cols>
    <col min="1" max="1" width="1.625" style="278" customWidth="1"/>
    <col min="2" max="2" width="11.75" style="278" customWidth="1"/>
    <col min="3" max="3" width="0.625" style="278" customWidth="1"/>
    <col min="4" max="4" width="15" style="278" customWidth="1"/>
    <col min="5" max="12" width="14.625" style="278" customWidth="1"/>
    <col min="13" max="14" width="14.375" style="278" customWidth="1"/>
    <col min="15" max="16" width="16.375" style="278" bestFit="1" customWidth="1"/>
    <col min="17" max="19" width="14.75" style="278" customWidth="1"/>
    <col min="20" max="23" width="14.625" style="278" customWidth="1"/>
    <col min="24" max="24" width="21" style="278" customWidth="1"/>
    <col min="25" max="26" width="16.875" style="278" customWidth="1"/>
    <col min="27" max="29" width="14.125" style="278" customWidth="1"/>
    <col min="30" max="30" width="12.625" style="278" customWidth="1"/>
    <col min="31" max="31" width="8" style="278" bestFit="1" customWidth="1"/>
    <col min="32" max="32" width="11.25" style="278" bestFit="1" customWidth="1"/>
    <col min="33" max="33" width="8" style="278" bestFit="1" customWidth="1"/>
    <col min="34" max="34" width="14.625" style="278" bestFit="1" customWidth="1"/>
    <col min="35" max="35" width="11.25" style="278" bestFit="1" customWidth="1"/>
    <col min="36" max="36" width="8" style="278" bestFit="1" customWidth="1"/>
    <col min="37" max="38" width="11.25" style="278" bestFit="1" customWidth="1"/>
    <col min="39" max="39" width="9.875" style="278" bestFit="1" customWidth="1"/>
    <col min="40" max="41" width="14.625" style="278" bestFit="1" customWidth="1"/>
    <col min="42" max="43" width="5" style="278" bestFit="1" customWidth="1"/>
    <col min="44" max="44" width="14.625" style="278" bestFit="1" customWidth="1"/>
    <col min="45" max="46" width="8" style="278" bestFit="1" customWidth="1"/>
    <col min="47" max="48" width="5" style="278" bestFit="1" customWidth="1"/>
    <col min="49" max="50" width="14.625" style="278" bestFit="1" customWidth="1" outlineLevel="1"/>
    <col min="51" max="51" width="18" style="278" bestFit="1" customWidth="1"/>
    <col min="52" max="52" width="14.875" style="278" bestFit="1" customWidth="1"/>
    <col min="53" max="57" width="6.125" style="278" customWidth="1"/>
    <col min="58" max="58" width="11.375" style="278" bestFit="1" customWidth="1"/>
    <col min="59" max="60" width="9" style="278" bestFit="1" customWidth="1"/>
    <col min="61" max="61" width="6.75" style="278" bestFit="1" customWidth="1"/>
    <col min="62" max="63" width="7.5" style="278" bestFit="1" customWidth="1"/>
    <col min="64" max="64" width="4.75" style="278" bestFit="1" customWidth="1"/>
    <col min="65" max="67" width="6.75" style="278" bestFit="1" customWidth="1"/>
    <col min="68" max="68" width="4.75" style="278" bestFit="1" customWidth="1"/>
    <col min="69" max="69" width="4.375" style="278" bestFit="1" customWidth="1"/>
    <col min="70" max="70" width="7.5" style="278" bestFit="1" customWidth="1"/>
    <col min="71" max="71" width="6.75" style="278" bestFit="1" customWidth="1"/>
    <col min="72" max="72" width="7" style="278" bestFit="1" customWidth="1"/>
    <col min="73" max="73" width="6.75" style="278" bestFit="1" customWidth="1"/>
    <col min="74" max="16384" width="13" style="278"/>
  </cols>
  <sheetData>
    <row r="1" spans="2:22" ht="12" customHeight="1" thickBot="1"/>
    <row r="2" spans="2:22" ht="58.5" thickBot="1">
      <c r="B2" s="361"/>
    </row>
    <row r="3" spans="2:22" ht="12" customHeight="1" thickBot="1"/>
    <row r="4" spans="2:22" ht="30" customHeight="1" thickBot="1">
      <c r="B4" s="360" t="s">
        <v>1896</v>
      </c>
      <c r="C4" s="273"/>
      <c r="D4" s="274" t="s">
        <v>1797</v>
      </c>
      <c r="E4" s="274" t="s">
        <v>1810</v>
      </c>
      <c r="F4" s="274" t="s">
        <v>1822</v>
      </c>
      <c r="G4" s="274" t="s">
        <v>1823</v>
      </c>
      <c r="H4" s="275" t="s">
        <v>999</v>
      </c>
      <c r="I4" s="275" t="s">
        <v>1814</v>
      </c>
      <c r="J4" s="275" t="s">
        <v>1798</v>
      </c>
      <c r="K4" s="275" t="s">
        <v>1799</v>
      </c>
      <c r="L4" s="275" t="s">
        <v>1800</v>
      </c>
      <c r="M4" s="276" t="s">
        <v>1824</v>
      </c>
      <c r="N4" s="276" t="s">
        <v>1816</v>
      </c>
      <c r="O4" s="276" t="s">
        <v>1801</v>
      </c>
      <c r="P4" s="276" t="s">
        <v>1802</v>
      </c>
      <c r="Q4" s="276" t="s">
        <v>1803</v>
      </c>
      <c r="R4" s="276" t="s">
        <v>1804</v>
      </c>
      <c r="S4" s="276" t="s">
        <v>1825</v>
      </c>
      <c r="T4" s="277" t="s">
        <v>1805</v>
      </c>
      <c r="U4" s="277" t="s">
        <v>1806</v>
      </c>
      <c r="V4" s="277" t="s">
        <v>1807</v>
      </c>
    </row>
    <row r="5" spans="2:22" ht="6.75" customHeight="1">
      <c r="B5" s="279"/>
      <c r="C5" s="279"/>
      <c r="D5" s="280"/>
      <c r="E5" s="280"/>
    </row>
    <row r="6" spans="2:22" ht="30.75" customHeight="1">
      <c r="B6" s="279" t="s">
        <v>1808</v>
      </c>
      <c r="C6" s="279"/>
      <c r="D6" s="291" t="str">
        <f xml:space="preserve"> LEFT( TRIM($B$4) )</f>
        <v>方</v>
      </c>
      <c r="E6" s="356" t="str" cm="1">
        <f t="array" ref="E6" xml:space="preserve"> INDEX(聲母對照表[方音符號], MATCH(TRUE, EXACT(F6, 聲母對照表[台羅拼音]), 0))</f>
        <v>ㄏ</v>
      </c>
      <c r="F6" s="358" t="str">
        <f>F11</f>
        <v>h</v>
      </c>
      <c r="G6" s="352">
        <f>V8</f>
        <v>2</v>
      </c>
      <c r="H6" s="282" t="str">
        <f>E11</f>
        <v>非</v>
      </c>
      <c r="I6" s="282" t="str">
        <f t="shared" ref="I6:L6" si="0">F11</f>
        <v>h</v>
      </c>
      <c r="J6" s="282" t="str">
        <f t="shared" si="0"/>
        <v>脣音</v>
      </c>
      <c r="K6" s="282" t="str">
        <f t="shared" si="0"/>
        <v>全清</v>
      </c>
      <c r="L6" s="282" t="str">
        <f t="shared" si="0"/>
        <v>發聲</v>
      </c>
      <c r="M6" s="350"/>
      <c r="N6" s="350"/>
      <c r="O6" s="350"/>
      <c r="P6" s="350"/>
      <c r="Q6" s="350"/>
      <c r="R6" s="350"/>
      <c r="S6" s="350"/>
      <c r="T6" s="292"/>
      <c r="U6" s="354"/>
      <c r="V6" s="292"/>
    </row>
    <row r="7" spans="2:22" ht="30.75" customHeight="1" thickBot="1">
      <c r="B7" s="283" t="s">
        <v>1809</v>
      </c>
      <c r="C7" s="283"/>
      <c r="D7" s="291" t="str">
        <f xml:space="preserve"> RIGHT( TRIM($B$4) )</f>
        <v>久</v>
      </c>
      <c r="E7" s="357" t="str" cm="1">
        <f t="array" ref="E7" xml:space="preserve"> INDEX(韻母對照表[方音符號], MATCH(TRUE, EXACT(F7, 韻母對照表[台羅拼音]), 0))</f>
        <v>ㄧㄨ</v>
      </c>
      <c r="F7" s="359" t="str">
        <f>L11</f>
        <v>iu</v>
      </c>
      <c r="G7" s="353"/>
      <c r="H7" s="351"/>
      <c r="I7" s="351"/>
      <c r="J7" s="351"/>
      <c r="K7" s="351"/>
      <c r="L7" s="351"/>
      <c r="M7" s="285" t="str">
        <f>K11</f>
        <v>尤</v>
      </c>
      <c r="N7" s="285" t="str">
        <f t="shared" ref="N7:S7" si="1">P11</f>
        <v>三</v>
      </c>
      <c r="O7" s="285" t="str">
        <f t="shared" si="1"/>
        <v>上</v>
      </c>
      <c r="P7" s="285" t="str">
        <f t="shared" si="1"/>
        <v>清上</v>
      </c>
      <c r="Q7" s="285">
        <f t="shared" si="1"/>
        <v>2</v>
      </c>
      <c r="R7" s="285">
        <f t="shared" si="1"/>
        <v>2</v>
      </c>
      <c r="S7" s="285">
        <f t="shared" si="1"/>
        <v>0</v>
      </c>
      <c r="T7" s="292"/>
      <c r="U7" s="355"/>
      <c r="V7" s="292"/>
    </row>
    <row r="8" spans="2:22" ht="30.75" customHeight="1" thickBot="1">
      <c r="B8" s="293" t="s">
        <v>1797</v>
      </c>
      <c r="C8" s="283"/>
      <c r="D8" s="362">
        <f>B2</f>
        <v>0</v>
      </c>
      <c r="E8" s="295" t="str">
        <f xml:space="preserve"> _xlfn.CONCAT(E6,E7, _xlfn.XLOOKUP(G6, 台羅調號, 方音符號調符))</f>
        <v>ㄏㄧㄨˋ</v>
      </c>
      <c r="F8" s="294" t="str">
        <f xml:space="preserve"> _xlfn.CONCAT(F6,F7,G6)</f>
        <v>hiu2</v>
      </c>
      <c r="G8" s="296"/>
      <c r="H8" s="284" t="str">
        <f xml:space="preserve"> _xlfn.CONCAT(H6,H7)</f>
        <v>非</v>
      </c>
      <c r="I8" s="284" t="str">
        <f t="shared" ref="I8:S8" si="2" xml:space="preserve"> _xlfn.CONCAT(I6,I7)</f>
        <v>h</v>
      </c>
      <c r="J8" s="284" t="str">
        <f t="shared" si="2"/>
        <v>脣音</v>
      </c>
      <c r="K8" s="284" t="str">
        <f t="shared" si="2"/>
        <v>全清</v>
      </c>
      <c r="L8" s="284" t="str">
        <f t="shared" si="2"/>
        <v>發聲</v>
      </c>
      <c r="M8" s="284" t="str">
        <f t="shared" si="2"/>
        <v>尤</v>
      </c>
      <c r="N8" s="284" t="str">
        <f t="shared" ref="N8" si="3" xml:space="preserve"> _xlfn.CONCAT(N6,N7)</f>
        <v>三</v>
      </c>
      <c r="O8" s="284" t="str">
        <f t="shared" ref="O8" si="4" xml:space="preserve"> _xlfn.CONCAT(O6,O7)</f>
        <v>上</v>
      </c>
      <c r="P8" s="284" t="str">
        <f t="shared" ref="P8" si="5" xml:space="preserve"> _xlfn.CONCAT(P6,P7)</f>
        <v>清上</v>
      </c>
      <c r="Q8" s="284" t="str">
        <f t="shared" ref="Q8" si="6" xml:space="preserve"> _xlfn.CONCAT(Q6,Q7)</f>
        <v>2</v>
      </c>
      <c r="R8" s="284" t="str">
        <f t="shared" ref="R8" si="7" xml:space="preserve"> _xlfn.CONCAT(R6,R7)</f>
        <v>2</v>
      </c>
      <c r="S8" s="284" t="str">
        <f t="shared" ref="S8" si="8" xml:space="preserve"> _xlfn.CONCAT(S6,S7)</f>
        <v>0</v>
      </c>
      <c r="T8" s="284" t="str">
        <f>R11</f>
        <v>清上</v>
      </c>
      <c r="U8" s="284">
        <f t="shared" ref="U8:V8" si="9">S11</f>
        <v>2</v>
      </c>
      <c r="V8" s="284">
        <f t="shared" si="9"/>
        <v>2</v>
      </c>
    </row>
    <row r="9" spans="2:22" ht="30.75" customHeight="1" thickBot="1">
      <c r="B9" s="297"/>
    </row>
    <row r="10" spans="2:22" ht="33.75" customHeight="1" outlineLevel="1" thickBot="1">
      <c r="B10" s="272">
        <v>1</v>
      </c>
      <c r="D10" s="286" t="s">
        <v>1811</v>
      </c>
      <c r="E10" s="286" t="s">
        <v>1813</v>
      </c>
      <c r="F10" s="286" t="s">
        <v>1814</v>
      </c>
      <c r="G10" s="286" t="s">
        <v>1815</v>
      </c>
      <c r="H10" s="286" t="s">
        <v>1799</v>
      </c>
      <c r="I10" s="288" t="s">
        <v>1001</v>
      </c>
      <c r="J10" s="287" t="s">
        <v>1812</v>
      </c>
      <c r="K10" s="287" t="s">
        <v>968</v>
      </c>
      <c r="L10" s="287" t="s">
        <v>1816</v>
      </c>
      <c r="M10" s="287" t="s">
        <v>1817</v>
      </c>
      <c r="N10" s="287" t="s">
        <v>1818</v>
      </c>
      <c r="O10" s="287" t="s">
        <v>1131</v>
      </c>
      <c r="P10" s="287" t="s">
        <v>1132</v>
      </c>
      <c r="Q10" s="287" t="s">
        <v>1895</v>
      </c>
      <c r="R10" s="289" t="s">
        <v>1819</v>
      </c>
      <c r="S10" s="289" t="s">
        <v>1806</v>
      </c>
      <c r="T10" s="289" t="s">
        <v>1807</v>
      </c>
    </row>
    <row r="11" spans="2:22" ht="27" customHeight="1" outlineLevel="1">
      <c r="B11" s="290">
        <v>1</v>
      </c>
      <c r="D11" s="278" t="str" cm="1">
        <f t="array" ref="D11:T11">_xlfn.CHOOSECOLS(_xlfn._xlws.FILTER(字表[#Data], (字表[上字]=D6) * (字表[下字]=D7), ""), MATCH({"上字","聲母","聲母標音","七聲類","清濁","發送收","下字","韻母","韻母標音","等呼","攝","呼","等","調","廣韻聲調","四声八調","濁上調校正"}, 字表[#Headers], 0))</f>
        <v>方</v>
      </c>
      <c r="E11" s="278" t="str">
        <v>非</v>
      </c>
      <c r="F11" s="278" t="str">
        <v>h</v>
      </c>
      <c r="G11" s="281" t="str">
        <v>脣音</v>
      </c>
      <c r="H11" s="281" t="str">
        <v>全清</v>
      </c>
      <c r="I11" s="281" t="str">
        <v>發聲</v>
      </c>
      <c r="J11" s="278" t="str">
        <v>久</v>
      </c>
      <c r="K11" s="278" t="str">
        <v>尤</v>
      </c>
      <c r="L11" s="278" t="str">
        <v>iu</v>
      </c>
      <c r="M11" s="278" t="str">
        <v>開細</v>
      </c>
      <c r="N11" s="278" t="str">
        <v>流</v>
      </c>
      <c r="O11" s="278" t="str">
        <v>開</v>
      </c>
      <c r="P11" s="278" t="str">
        <v>三</v>
      </c>
      <c r="Q11" s="278" t="str">
        <v>上</v>
      </c>
      <c r="R11" s="278" t="str">
        <v>清上</v>
      </c>
      <c r="S11" s="278">
        <v>2</v>
      </c>
      <c r="T11" s="278">
        <v>2</v>
      </c>
    </row>
    <row r="12" spans="2:22" ht="27" customHeight="1" outlineLevel="1">
      <c r="B12" s="290">
        <v>2</v>
      </c>
      <c r="D12" s="281"/>
      <c r="E12" s="281"/>
      <c r="H12" s="281"/>
      <c r="I12" s="281"/>
    </row>
    <row r="13" spans="2:22" ht="27" customHeight="1" outlineLevel="1">
      <c r="B13" s="290">
        <v>3</v>
      </c>
      <c r="D13" s="281"/>
      <c r="E13" s="281"/>
      <c r="H13" s="281"/>
      <c r="I13" s="281"/>
    </row>
  </sheetData>
  <mergeCells count="2">
    <mergeCell ref="U6:U7"/>
    <mergeCell ref="G6:G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9B71-3AC7-416F-AA03-D7B130D50387}">
  <sheetPr>
    <tabColor rgb="FFFF0000"/>
  </sheetPr>
  <dimension ref="A1:T2"/>
  <sheetViews>
    <sheetView workbookViewId="0"/>
    <sheetView workbookViewId="1">
      <selection activeCell="B2" sqref="B2"/>
    </sheetView>
  </sheetViews>
  <sheetFormatPr defaultRowHeight="16.5"/>
  <cols>
    <col min="1" max="1" width="11.75" customWidth="1"/>
    <col min="2" max="4" width="8.75" customWidth="1"/>
    <col min="5" max="5" width="14.75" customWidth="1"/>
    <col min="6" max="6" width="11.75" customWidth="1"/>
    <col min="7" max="7" width="8.75" customWidth="1"/>
    <col min="8" max="8" width="11.75" customWidth="1"/>
    <col min="9" max="9" width="8.75" customWidth="1"/>
    <col min="10" max="10" width="14.75" customWidth="1"/>
    <col min="11" max="11" width="8.75" customWidth="1"/>
    <col min="12" max="15" width="5.75" customWidth="1"/>
    <col min="16" max="17" width="14.375" bestFit="1" customWidth="1"/>
    <col min="18" max="19" width="17.75" bestFit="1" customWidth="1"/>
    <col min="20" max="21" width="11.75" customWidth="1"/>
  </cols>
  <sheetData>
    <row r="1" spans="1:20" ht="30">
      <c r="A1" s="343" t="s">
        <v>1830</v>
      </c>
      <c r="B1" s="344" t="s">
        <v>1811</v>
      </c>
      <c r="C1" s="345" t="s">
        <v>1812</v>
      </c>
      <c r="D1" s="344" t="s">
        <v>1813</v>
      </c>
      <c r="E1" s="344" t="s">
        <v>1814</v>
      </c>
      <c r="F1" s="344" t="s">
        <v>1815</v>
      </c>
      <c r="G1" s="344" t="s">
        <v>1799</v>
      </c>
      <c r="H1" s="346" t="s">
        <v>1001</v>
      </c>
      <c r="I1" s="345" t="s">
        <v>968</v>
      </c>
      <c r="J1" s="345" t="s">
        <v>1816</v>
      </c>
      <c r="K1" s="345" t="s">
        <v>1817</v>
      </c>
      <c r="L1" s="345" t="s">
        <v>1818</v>
      </c>
      <c r="M1" s="345" t="s">
        <v>1131</v>
      </c>
      <c r="N1" s="345" t="s">
        <v>1132</v>
      </c>
      <c r="O1" s="345" t="s">
        <v>1894</v>
      </c>
      <c r="P1" s="347" t="s">
        <v>1819</v>
      </c>
      <c r="Q1" s="347" t="s">
        <v>1806</v>
      </c>
      <c r="R1" s="347" t="s">
        <v>1807</v>
      </c>
      <c r="S1" s="348" t="s">
        <v>1820</v>
      </c>
      <c r="T1" s="349" t="s">
        <v>1821</v>
      </c>
    </row>
    <row r="2" spans="1:20" ht="30">
      <c r="A2" s="341">
        <v>1</v>
      </c>
      <c r="B2" s="330" t="str">
        <f>切語查音!D6</f>
        <v>方</v>
      </c>
      <c r="C2" s="331" t="str">
        <f>切語查音!D7</f>
        <v>久</v>
      </c>
      <c r="D2" s="332" t="str" cm="1">
        <f t="array" ref="D2" xml:space="preserve"> INDEX(切語上字表[聲母], 字表[[#This Row],[上字號]])</f>
        <v>非</v>
      </c>
      <c r="E2" s="333" t="str" cm="1">
        <f t="array" ref="E2" xml:space="preserve"> INDEX(切語上字表[聲母標音], 字表[[#This Row],[上字號]])</f>
        <v>h</v>
      </c>
      <c r="F2" s="332" t="str" cm="1">
        <f t="array" ref="F2" xml:space="preserve"> INDEX(切語上字表[七聲類], 字表[[#This Row],[上字號]])</f>
        <v>脣音</v>
      </c>
      <c r="G2" s="332" t="str" cm="1">
        <f t="array" ref="G2" xml:space="preserve"> INDEX(切語上字表[清濁], 字表[[#This Row],[上字號]])</f>
        <v>全清</v>
      </c>
      <c r="H2" s="334" t="str" cm="1">
        <f t="array" ref="H2" xml:space="preserve"> INDEX(切語上字表[發送收], 字表[[#This Row],[上字號]])</f>
        <v>發聲</v>
      </c>
      <c r="I2" s="335" t="str" cm="1">
        <f t="array" ref="I2" xml:space="preserve"> INDEX(切語下字表[韻母], 字表[[#This Row],[下字號]])</f>
        <v>尤</v>
      </c>
      <c r="J2" s="336" t="str" cm="1">
        <f t="array" ref="J2" xml:space="preserve"> INDEX(切語下字表[韻母標音], 字表[[#This Row],[下字號]])</f>
        <v>iu</v>
      </c>
      <c r="K2" s="335" t="str" cm="1">
        <f t="array" ref="K2" xml:space="preserve"> INDEX(切語下字表[等呼], 字表[[#This Row],[下字號]])</f>
        <v>開細</v>
      </c>
      <c r="L2" s="335" t="str" cm="1">
        <f t="array" ref="L2" xml:space="preserve"> INDEX(切語下字表[攝], 字表[[#This Row],[下字號]])</f>
        <v>流</v>
      </c>
      <c r="M2" s="335" t="str" cm="1">
        <f t="array" ref="M2" xml:space="preserve"> INDEX(切語下字表[呼], 字表[[#This Row],[下字號]])</f>
        <v>開</v>
      </c>
      <c r="N2" s="337" t="str" cm="1">
        <f t="array" ref="N2" xml:space="preserve"> INDEX(切語下字表[等], 字表[[#This Row],[下字號]])</f>
        <v>三</v>
      </c>
      <c r="O2" s="335" t="str" cm="1">
        <f t="array" ref="O2" xml:space="preserve"> INDEX(切語下字表[調], 字表[[#This Row],[下字號]])</f>
        <v>上</v>
      </c>
      <c r="P2" s="338" t="str">
        <f xml:space="preserve"> RIGHT(字表[[#This Row],[清濁]],1) &amp; LEFT(字表[[#This Row],[調]],1)</f>
        <v>清上</v>
      </c>
      <c r="Q2" s="339" cm="1">
        <f t="array" ref="Q2" xml:space="preserve"> INDEX(聲調對照資料表[台羅調號], MATCH(TRUE, EXACT(字表[[#This Row],[廣韻聲調]], 聲調對照資料表[廣韻聲調]), 0))</f>
        <v>2</v>
      </c>
      <c r="R2" s="340">
        <f>IF(
  VALUE(字表[[#This Row],[四声八調]])=6,
  IF(
    OR(
      AND(字表[[#This Row],[聲母標音]]="Ø",
          OR(
            LEFT(字表[[#This Row],[韻母標音]],1)="i",
            LEFT(字表[[#This Row],[韻母標音]],1)="o",
            LEFT(字表[[#This Row],[韻母標音]],1)="u"
          )
      ),
      字表[[#This Row],[聲母標音]]="b",
      字表[[#This Row],[聲母標音]]="l",
      字表[[#This Row],[聲母標音]]="m",
      字表[[#This Row],[聲母標音]]="n",
      字表[[#This Row],[聲母標音]]="g"
    ),
    2,
    7
  ),
  字表[[#This Row],[四声八調]]
)</f>
        <v>2</v>
      </c>
      <c r="S2" s="337" cm="1">
        <f t="array" ref="S2" xml:space="preserve"> MATCH(TRUE, ISNUMBER( SEARCH(TRIM(字表[[#This Row],[上字]]), 切語上字表[切語上字集]) ), 0)</f>
        <v>5</v>
      </c>
      <c r="T2" s="342" cm="1">
        <f t="array" ref="T2" xml:space="preserve"> MATCH(TRUE, ISNUMBER( SEARCH(TRIM(字表[[#This Row],[下字]]), 切語下字表[切語下字集]) ), 0)</f>
        <v>254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BD69-325B-429D-9669-11F2A031216D}">
  <sheetPr>
    <tabColor rgb="FFFF0000"/>
  </sheetPr>
  <dimension ref="A1:V23"/>
  <sheetViews>
    <sheetView workbookViewId="0"/>
    <sheetView workbookViewId="1">
      <selection activeCell="I13" sqref="I13"/>
    </sheetView>
  </sheetViews>
  <sheetFormatPr defaultRowHeight="25.5"/>
  <cols>
    <col min="1" max="1" width="11" style="3" customWidth="1"/>
    <col min="2" max="2" width="13.75" style="3" customWidth="1"/>
    <col min="3" max="4" width="12.5" style="3" customWidth="1"/>
    <col min="5" max="6" width="14.75" style="58" customWidth="1"/>
    <col min="7" max="8" width="14.75" style="3" customWidth="1"/>
    <col min="9" max="9" width="15" customWidth="1"/>
    <col min="10" max="10" width="15" style="3" customWidth="1"/>
    <col min="11" max="11" width="15" customWidth="1"/>
    <col min="12" max="12" width="43" customWidth="1"/>
    <col min="13" max="13" width="17.125" style="3" customWidth="1"/>
    <col min="14" max="15" width="17.125" customWidth="1"/>
    <col min="16" max="16" width="17.125" style="3" customWidth="1"/>
    <col min="17" max="19" width="19" customWidth="1"/>
    <col min="20" max="20" width="19" style="3" customWidth="1"/>
    <col min="21" max="21" width="19.625" style="3" customWidth="1"/>
    <col min="22" max="23" width="6.5" style="3" customWidth="1"/>
    <col min="24" max="16384" width="9" style="3"/>
  </cols>
  <sheetData>
    <row r="1" spans="1:22">
      <c r="A1" s="1" t="s">
        <v>277</v>
      </c>
      <c r="B1" s="2" t="s">
        <v>278</v>
      </c>
      <c r="C1" s="2" t="s">
        <v>279</v>
      </c>
      <c r="D1" s="2" t="s">
        <v>280</v>
      </c>
      <c r="E1" s="2" t="s">
        <v>265</v>
      </c>
      <c r="F1" s="2" t="s">
        <v>266</v>
      </c>
      <c r="G1" s="2" t="s">
        <v>281</v>
      </c>
      <c r="H1" s="2" t="s">
        <v>282</v>
      </c>
      <c r="I1" s="2" t="s">
        <v>267</v>
      </c>
      <c r="J1" s="2" t="s">
        <v>268</v>
      </c>
      <c r="K1" s="2" t="s">
        <v>269</v>
      </c>
      <c r="L1" s="2" t="s">
        <v>270</v>
      </c>
      <c r="M1" s="94" t="s">
        <v>283</v>
      </c>
      <c r="N1" s="94" t="s">
        <v>284</v>
      </c>
      <c r="O1" s="94" t="s">
        <v>285</v>
      </c>
      <c r="P1" s="95" t="s">
        <v>286</v>
      </c>
      <c r="Q1" s="3"/>
      <c r="R1" s="3"/>
      <c r="S1" s="3"/>
      <c r="U1" s="3" t="s">
        <v>271</v>
      </c>
      <c r="V1" s="3" t="s">
        <v>271</v>
      </c>
    </row>
    <row r="2" spans="1:22" ht="29.25">
      <c r="A2" s="4">
        <v>1</v>
      </c>
      <c r="B2" s="60" t="s">
        <v>271</v>
      </c>
      <c r="C2" s="5" t="s">
        <v>287</v>
      </c>
      <c r="D2" s="12" t="s">
        <v>21</v>
      </c>
      <c r="E2" s="60" t="s">
        <v>271</v>
      </c>
      <c r="F2" s="60" t="s">
        <v>271</v>
      </c>
      <c r="G2" s="7" t="s">
        <v>271</v>
      </c>
      <c r="H2" s="6" t="s">
        <v>271</v>
      </c>
      <c r="I2" s="6" t="s">
        <v>271</v>
      </c>
      <c r="J2" s="6" t="s">
        <v>271</v>
      </c>
      <c r="K2" s="6" t="s">
        <v>271</v>
      </c>
      <c r="L2" s="6" t="s">
        <v>288</v>
      </c>
      <c r="M2" s="18">
        <v>1</v>
      </c>
      <c r="N2" s="18">
        <v>11</v>
      </c>
      <c r="O2" s="18">
        <v>1</v>
      </c>
      <c r="P2" s="19">
        <v>1</v>
      </c>
      <c r="Q2" s="3"/>
      <c r="R2" s="3"/>
      <c r="S2" s="3">
        <v>1</v>
      </c>
      <c r="T2" s="3" t="s">
        <v>11</v>
      </c>
      <c r="U2" s="3" t="s">
        <v>48</v>
      </c>
      <c r="V2" s="3" t="s">
        <v>48</v>
      </c>
    </row>
    <row r="3" spans="1:22" ht="29.25">
      <c r="A3" s="4">
        <v>2</v>
      </c>
      <c r="B3" s="6" t="s">
        <v>7</v>
      </c>
      <c r="C3" s="5" t="s">
        <v>289</v>
      </c>
      <c r="D3" s="5" t="s">
        <v>6</v>
      </c>
      <c r="E3" s="60" t="s">
        <v>11</v>
      </c>
      <c r="F3" s="60" t="s">
        <v>11</v>
      </c>
      <c r="G3" s="7" t="s">
        <v>8</v>
      </c>
      <c r="H3" s="6" t="s">
        <v>8</v>
      </c>
      <c r="I3" s="6" t="s">
        <v>7</v>
      </c>
      <c r="J3" s="6" t="s">
        <v>7</v>
      </c>
      <c r="K3" s="6" t="s">
        <v>7</v>
      </c>
      <c r="L3" s="6"/>
      <c r="M3" s="20">
        <v>2</v>
      </c>
      <c r="N3" s="20">
        <v>2</v>
      </c>
      <c r="O3" s="20">
        <v>13</v>
      </c>
      <c r="P3" s="21">
        <v>2</v>
      </c>
      <c r="Q3" s="3"/>
      <c r="R3" s="3"/>
      <c r="S3" s="3">
        <v>2</v>
      </c>
      <c r="T3" s="3" t="s">
        <v>12</v>
      </c>
      <c r="U3" s="3" t="s">
        <v>8</v>
      </c>
      <c r="V3" s="3" t="s">
        <v>8</v>
      </c>
    </row>
    <row r="4" spans="1:22" ht="29.25">
      <c r="A4" s="4">
        <v>3</v>
      </c>
      <c r="B4" s="6" t="s">
        <v>8</v>
      </c>
      <c r="C4" s="5" t="s">
        <v>290</v>
      </c>
      <c r="D4" s="13" t="s">
        <v>0</v>
      </c>
      <c r="E4" s="60" t="s">
        <v>12</v>
      </c>
      <c r="F4" s="60" t="s">
        <v>291</v>
      </c>
      <c r="G4" s="7" t="s">
        <v>16</v>
      </c>
      <c r="H4" s="6" t="s">
        <v>16</v>
      </c>
      <c r="I4" s="6" t="s">
        <v>8</v>
      </c>
      <c r="J4" s="6" t="s">
        <v>8</v>
      </c>
      <c r="K4" s="6" t="s">
        <v>8</v>
      </c>
      <c r="L4" s="6"/>
      <c r="M4" s="20">
        <v>3</v>
      </c>
      <c r="N4" s="22">
        <v>12</v>
      </c>
      <c r="O4" s="20">
        <v>2</v>
      </c>
      <c r="P4" s="21">
        <f t="shared" ref="P4:P23" si="0">P3+1</f>
        <v>3</v>
      </c>
      <c r="Q4" s="3"/>
      <c r="R4" s="3"/>
      <c r="S4" s="3">
        <v>3</v>
      </c>
      <c r="T4" s="3" t="s">
        <v>17</v>
      </c>
      <c r="U4" s="3" t="s">
        <v>20</v>
      </c>
      <c r="V4" s="3" t="s">
        <v>20</v>
      </c>
    </row>
    <row r="5" spans="1:22" ht="29.25">
      <c r="A5" s="4">
        <v>4</v>
      </c>
      <c r="B5" s="6" t="s">
        <v>292</v>
      </c>
      <c r="C5" s="5" t="s">
        <v>293</v>
      </c>
      <c r="D5" s="5" t="s">
        <v>9</v>
      </c>
      <c r="E5" s="60" t="s">
        <v>17</v>
      </c>
      <c r="F5" s="60" t="s">
        <v>17</v>
      </c>
      <c r="G5" s="7" t="s">
        <v>7</v>
      </c>
      <c r="H5" s="6" t="s">
        <v>7</v>
      </c>
      <c r="I5" s="6" t="s">
        <v>10</v>
      </c>
      <c r="J5" s="6" t="s">
        <v>10</v>
      </c>
      <c r="K5" s="6" t="s">
        <v>10</v>
      </c>
      <c r="L5" s="6"/>
      <c r="M5" s="20">
        <v>4</v>
      </c>
      <c r="N5" s="22">
        <v>6</v>
      </c>
      <c r="O5" s="20">
        <v>14</v>
      </c>
      <c r="P5" s="21">
        <f t="shared" si="0"/>
        <v>4</v>
      </c>
      <c r="Q5" s="3"/>
      <c r="R5" s="3"/>
      <c r="S5" s="3">
        <v>4</v>
      </c>
      <c r="T5" s="3" t="s">
        <v>13</v>
      </c>
      <c r="U5" s="3" t="s">
        <v>294</v>
      </c>
      <c r="V5" s="3" t="s">
        <v>294</v>
      </c>
    </row>
    <row r="6" spans="1:22" ht="29.25">
      <c r="A6" s="4">
        <v>5</v>
      </c>
      <c r="B6" s="6" t="s">
        <v>1</v>
      </c>
      <c r="C6" s="5" t="s">
        <v>295</v>
      </c>
      <c r="D6" s="5" t="s">
        <v>295</v>
      </c>
      <c r="E6" s="60" t="s">
        <v>13</v>
      </c>
      <c r="F6" s="60" t="s">
        <v>13</v>
      </c>
      <c r="G6" s="7" t="s">
        <v>1</v>
      </c>
      <c r="H6" s="6" t="s">
        <v>296</v>
      </c>
      <c r="I6" s="6" t="s">
        <v>1</v>
      </c>
      <c r="J6" s="6" t="s">
        <v>1</v>
      </c>
      <c r="K6" s="6" t="s">
        <v>1</v>
      </c>
      <c r="L6" s="9" t="s">
        <v>297</v>
      </c>
      <c r="M6" s="20">
        <v>5</v>
      </c>
      <c r="N6" s="22">
        <v>16</v>
      </c>
      <c r="O6" s="20">
        <v>10</v>
      </c>
      <c r="P6" s="21">
        <f t="shared" si="0"/>
        <v>5</v>
      </c>
      <c r="Q6" s="3"/>
      <c r="R6" s="3"/>
      <c r="S6" s="3">
        <v>5</v>
      </c>
      <c r="T6" s="3" t="s">
        <v>23</v>
      </c>
      <c r="U6" s="3" t="s">
        <v>298</v>
      </c>
      <c r="V6" s="3" t="s">
        <v>298</v>
      </c>
    </row>
    <row r="7" spans="1:22" ht="29.25">
      <c r="A7" s="4">
        <v>6</v>
      </c>
      <c r="B7" s="6" t="s">
        <v>299</v>
      </c>
      <c r="C7" s="5" t="s">
        <v>300</v>
      </c>
      <c r="D7" s="5" t="s">
        <v>18</v>
      </c>
      <c r="E7" s="60" t="s">
        <v>23</v>
      </c>
      <c r="F7" s="60" t="s">
        <v>23</v>
      </c>
      <c r="G7" s="7" t="s">
        <v>298</v>
      </c>
      <c r="H7" s="6" t="s">
        <v>298</v>
      </c>
      <c r="I7" s="6" t="s">
        <v>299</v>
      </c>
      <c r="J7" s="6" t="s">
        <v>299</v>
      </c>
      <c r="K7" s="6" t="s">
        <v>299</v>
      </c>
      <c r="L7" s="6"/>
      <c r="M7" s="20">
        <v>6</v>
      </c>
      <c r="N7" s="20">
        <v>5</v>
      </c>
      <c r="O7" s="20">
        <v>17</v>
      </c>
      <c r="P7" s="21">
        <f t="shared" si="0"/>
        <v>6</v>
      </c>
      <c r="Q7" s="3"/>
      <c r="R7" s="3"/>
      <c r="S7" s="3">
        <v>6</v>
      </c>
      <c r="T7" s="3" t="s">
        <v>24</v>
      </c>
      <c r="U7" s="3" t="s">
        <v>7</v>
      </c>
      <c r="V7" s="3" t="s">
        <v>7</v>
      </c>
    </row>
    <row r="8" spans="1:22" ht="29.25">
      <c r="A8" s="4">
        <v>7</v>
      </c>
      <c r="B8" s="6" t="s">
        <v>301</v>
      </c>
      <c r="C8" s="5" t="s">
        <v>302</v>
      </c>
      <c r="D8" s="5" t="s">
        <v>22</v>
      </c>
      <c r="E8" s="60" t="s">
        <v>24</v>
      </c>
      <c r="F8" s="60" t="s">
        <v>24</v>
      </c>
      <c r="G8" s="7" t="s">
        <v>299</v>
      </c>
      <c r="H8" s="6" t="s">
        <v>299</v>
      </c>
      <c r="I8" s="6" t="s">
        <v>303</v>
      </c>
      <c r="J8" s="6" t="s">
        <v>303</v>
      </c>
      <c r="K8" s="6" t="s">
        <v>303</v>
      </c>
      <c r="L8" s="6"/>
      <c r="M8" s="20">
        <v>7</v>
      </c>
      <c r="N8" s="22">
        <v>7</v>
      </c>
      <c r="O8" s="20">
        <v>18</v>
      </c>
      <c r="P8" s="21">
        <f t="shared" si="0"/>
        <v>7</v>
      </c>
      <c r="Q8" s="3"/>
      <c r="R8" s="3"/>
      <c r="S8" s="3">
        <v>7</v>
      </c>
      <c r="T8" s="3" t="s">
        <v>14</v>
      </c>
      <c r="U8" s="3" t="s">
        <v>299</v>
      </c>
      <c r="V8" s="3" t="s">
        <v>299</v>
      </c>
    </row>
    <row r="9" spans="1:22" ht="29.25">
      <c r="A9" s="4">
        <v>8</v>
      </c>
      <c r="B9" s="6" t="s">
        <v>3</v>
      </c>
      <c r="C9" s="5" t="s">
        <v>120</v>
      </c>
      <c r="D9" s="5" t="s">
        <v>120</v>
      </c>
      <c r="E9" s="60" t="s">
        <v>14</v>
      </c>
      <c r="F9" s="60" t="s">
        <v>14</v>
      </c>
      <c r="G9" s="7" t="s">
        <v>3</v>
      </c>
      <c r="H9" s="6" t="s">
        <v>304</v>
      </c>
      <c r="I9" s="6" t="s">
        <v>3</v>
      </c>
      <c r="J9" s="6" t="s">
        <v>3</v>
      </c>
      <c r="K9" s="6" t="s">
        <v>3</v>
      </c>
      <c r="L9" s="8" t="s">
        <v>305</v>
      </c>
      <c r="M9" s="20">
        <v>8</v>
      </c>
      <c r="N9" s="22">
        <v>17</v>
      </c>
      <c r="O9" s="20">
        <v>11</v>
      </c>
      <c r="P9" s="21">
        <f t="shared" si="0"/>
        <v>8</v>
      </c>
      <c r="Q9" s="3"/>
      <c r="R9" s="3"/>
      <c r="S9" s="3">
        <v>8</v>
      </c>
      <c r="T9" s="3" t="s">
        <v>28</v>
      </c>
      <c r="U9" s="3" t="s">
        <v>306</v>
      </c>
      <c r="V9" s="3" t="s">
        <v>306</v>
      </c>
    </row>
    <row r="10" spans="1:22" ht="29.25">
      <c r="A10" s="4">
        <v>9</v>
      </c>
      <c r="B10" s="6" t="s">
        <v>48</v>
      </c>
      <c r="C10" s="5" t="s">
        <v>307</v>
      </c>
      <c r="D10" s="5" t="s">
        <v>2</v>
      </c>
      <c r="E10" s="60" t="s">
        <v>28</v>
      </c>
      <c r="F10" s="60" t="s">
        <v>28</v>
      </c>
      <c r="G10" s="7" t="s">
        <v>48</v>
      </c>
      <c r="H10" s="6" t="s">
        <v>48</v>
      </c>
      <c r="I10" s="6" t="s">
        <v>48</v>
      </c>
      <c r="J10" s="6" t="s">
        <v>48</v>
      </c>
      <c r="K10" s="6" t="s">
        <v>48</v>
      </c>
      <c r="L10" s="6"/>
      <c r="M10" s="20">
        <v>9</v>
      </c>
      <c r="N10" s="22">
        <v>1</v>
      </c>
      <c r="O10" s="20">
        <v>9</v>
      </c>
      <c r="P10" s="21">
        <f t="shared" si="0"/>
        <v>9</v>
      </c>
      <c r="Q10" s="3"/>
      <c r="R10" s="3"/>
      <c r="S10" s="3">
        <v>9</v>
      </c>
      <c r="T10" s="3" t="s">
        <v>25</v>
      </c>
      <c r="U10" s="3" t="s">
        <v>308</v>
      </c>
      <c r="V10" s="3" t="s">
        <v>308</v>
      </c>
    </row>
    <row r="11" spans="1:22" ht="29.25">
      <c r="A11" s="4">
        <v>10</v>
      </c>
      <c r="B11" s="6" t="s">
        <v>294</v>
      </c>
      <c r="C11" s="5" t="s">
        <v>309</v>
      </c>
      <c r="D11" s="5" t="s">
        <v>19</v>
      </c>
      <c r="E11" s="60" t="s">
        <v>25</v>
      </c>
      <c r="F11" s="60" t="s">
        <v>25</v>
      </c>
      <c r="G11" s="7" t="s">
        <v>20</v>
      </c>
      <c r="H11" s="6" t="s">
        <v>20</v>
      </c>
      <c r="I11" s="6" t="s">
        <v>294</v>
      </c>
      <c r="J11" s="6" t="s">
        <v>294</v>
      </c>
      <c r="K11" s="6" t="s">
        <v>294</v>
      </c>
      <c r="L11" s="6"/>
      <c r="M11" s="20">
        <v>10</v>
      </c>
      <c r="N11" s="20">
        <v>3</v>
      </c>
      <c r="O11" s="20">
        <v>7</v>
      </c>
      <c r="P11" s="21">
        <f t="shared" si="0"/>
        <v>10</v>
      </c>
      <c r="Q11" s="3"/>
      <c r="R11" s="3"/>
      <c r="S11" s="3">
        <v>10</v>
      </c>
      <c r="T11" s="3" t="s">
        <v>26</v>
      </c>
      <c r="U11" s="3" t="s">
        <v>310</v>
      </c>
      <c r="V11" s="3" t="s">
        <v>310</v>
      </c>
    </row>
    <row r="12" spans="1:22" ht="29.25">
      <c r="A12" s="4">
        <v>11</v>
      </c>
      <c r="B12" s="6" t="s">
        <v>311</v>
      </c>
      <c r="C12" s="5" t="s">
        <v>312</v>
      </c>
      <c r="D12" s="5" t="s">
        <v>4</v>
      </c>
      <c r="E12" s="60" t="s">
        <v>26</v>
      </c>
      <c r="F12" s="60" t="s">
        <v>15</v>
      </c>
      <c r="G12" s="7" t="s">
        <v>27</v>
      </c>
      <c r="H12" s="6" t="s">
        <v>27</v>
      </c>
      <c r="I12" s="6" t="s">
        <v>20</v>
      </c>
      <c r="J12" s="6" t="s">
        <v>20</v>
      </c>
      <c r="K12" s="6" t="s">
        <v>20</v>
      </c>
      <c r="L12" s="6"/>
      <c r="M12" s="20">
        <v>11</v>
      </c>
      <c r="N12" s="22">
        <v>13</v>
      </c>
      <c r="O12" s="20">
        <v>3</v>
      </c>
      <c r="P12" s="21">
        <f t="shared" si="0"/>
        <v>11</v>
      </c>
      <c r="Q12" s="3"/>
      <c r="R12" s="3"/>
      <c r="S12" s="3">
        <v>11</v>
      </c>
      <c r="T12" s="3" t="s">
        <v>31</v>
      </c>
      <c r="U12" s="3" t="s">
        <v>16</v>
      </c>
      <c r="V12" s="3" t="s">
        <v>16</v>
      </c>
    </row>
    <row r="13" spans="1:22" ht="29.25">
      <c r="A13" s="4">
        <v>12</v>
      </c>
      <c r="B13" s="6" t="s">
        <v>313</v>
      </c>
      <c r="C13" s="5" t="s">
        <v>314</v>
      </c>
      <c r="D13" s="5" t="s">
        <v>30</v>
      </c>
      <c r="E13" s="60" t="s">
        <v>31</v>
      </c>
      <c r="F13" s="60" t="s">
        <v>31</v>
      </c>
      <c r="G13" s="7" t="s">
        <v>294</v>
      </c>
      <c r="H13" s="6" t="s">
        <v>294</v>
      </c>
      <c r="I13" s="6" t="s">
        <v>315</v>
      </c>
      <c r="J13" s="6" t="s">
        <v>315</v>
      </c>
      <c r="K13" s="6" t="s">
        <v>315</v>
      </c>
      <c r="L13" s="6"/>
      <c r="M13" s="20">
        <v>12</v>
      </c>
      <c r="N13" s="22">
        <v>4</v>
      </c>
      <c r="O13" s="20">
        <v>8</v>
      </c>
      <c r="P13" s="21">
        <f t="shared" si="0"/>
        <v>12</v>
      </c>
      <c r="Q13" s="3"/>
      <c r="R13" s="3"/>
      <c r="S13" s="3">
        <v>12</v>
      </c>
      <c r="T13" s="3" t="s">
        <v>15</v>
      </c>
      <c r="U13" s="3" t="s">
        <v>27</v>
      </c>
      <c r="V13" s="3" t="s">
        <v>27</v>
      </c>
    </row>
    <row r="14" spans="1:22" ht="29.25">
      <c r="A14" s="4">
        <v>13</v>
      </c>
      <c r="B14" s="6" t="s">
        <v>250</v>
      </c>
      <c r="C14" s="5" t="s">
        <v>316</v>
      </c>
      <c r="D14" s="5" t="s">
        <v>316</v>
      </c>
      <c r="E14" s="60" t="s">
        <v>15</v>
      </c>
      <c r="F14" s="60" t="s">
        <v>317</v>
      </c>
      <c r="G14" s="7" t="s">
        <v>5</v>
      </c>
      <c r="H14" s="6" t="s">
        <v>318</v>
      </c>
      <c r="I14" s="6" t="s">
        <v>5</v>
      </c>
      <c r="J14" s="6" t="s">
        <v>5</v>
      </c>
      <c r="K14" s="6" t="s">
        <v>5</v>
      </c>
      <c r="L14" s="8" t="s">
        <v>319</v>
      </c>
      <c r="M14" s="20">
        <v>13</v>
      </c>
      <c r="N14" s="22">
        <v>18</v>
      </c>
      <c r="O14" s="20">
        <v>12</v>
      </c>
      <c r="P14" s="21">
        <f t="shared" si="0"/>
        <v>13</v>
      </c>
      <c r="Q14" s="3"/>
      <c r="R14" s="3"/>
      <c r="S14" s="3">
        <v>13</v>
      </c>
      <c r="T14" s="3" t="s">
        <v>37</v>
      </c>
      <c r="U14" s="3" t="s">
        <v>320</v>
      </c>
      <c r="V14" s="3" t="s">
        <v>320</v>
      </c>
    </row>
    <row r="15" spans="1:22" ht="29.25">
      <c r="A15" s="4">
        <v>14</v>
      </c>
      <c r="B15" s="6" t="s">
        <v>321</v>
      </c>
      <c r="C15" s="5" t="s">
        <v>36</v>
      </c>
      <c r="D15" s="5" t="s">
        <v>36</v>
      </c>
      <c r="E15" s="60" t="s">
        <v>37</v>
      </c>
      <c r="F15" s="60" t="s">
        <v>37</v>
      </c>
      <c r="G15" s="7" t="s">
        <v>321</v>
      </c>
      <c r="H15" s="6" t="s">
        <v>321</v>
      </c>
      <c r="I15" s="6" t="s">
        <v>321</v>
      </c>
      <c r="J15" s="6" t="s">
        <v>321</v>
      </c>
      <c r="K15" s="6" t="s">
        <v>321</v>
      </c>
      <c r="L15" s="6"/>
      <c r="M15" s="20">
        <v>14</v>
      </c>
      <c r="N15" s="20">
        <v>15</v>
      </c>
      <c r="O15" s="20">
        <v>4</v>
      </c>
      <c r="P15" s="21">
        <f t="shared" si="0"/>
        <v>14</v>
      </c>
      <c r="Q15" s="3"/>
      <c r="R15" s="3"/>
      <c r="S15" s="3">
        <v>14</v>
      </c>
      <c r="T15" s="3" t="s">
        <v>38</v>
      </c>
      <c r="U15" s="3" t="s">
        <v>321</v>
      </c>
      <c r="V15" s="3" t="s">
        <v>321</v>
      </c>
    </row>
    <row r="16" spans="1:22" ht="29.25">
      <c r="A16" s="14">
        <v>15</v>
      </c>
      <c r="B16" s="8" t="s">
        <v>322</v>
      </c>
      <c r="C16" s="15" t="s">
        <v>323</v>
      </c>
      <c r="D16" s="15" t="s">
        <v>32</v>
      </c>
      <c r="E16" s="96" t="s">
        <v>324</v>
      </c>
      <c r="F16" s="96" t="s">
        <v>38</v>
      </c>
      <c r="G16" s="17" t="s">
        <v>325</v>
      </c>
      <c r="H16" s="16" t="s">
        <v>326</v>
      </c>
      <c r="I16" s="16" t="s">
        <v>327</v>
      </c>
      <c r="J16" s="16" t="s">
        <v>326</v>
      </c>
      <c r="K16" s="16" t="s">
        <v>328</v>
      </c>
      <c r="L16" s="8" t="s">
        <v>272</v>
      </c>
      <c r="M16" s="20">
        <v>15</v>
      </c>
      <c r="N16" s="22">
        <v>20</v>
      </c>
      <c r="O16" s="20">
        <v>22</v>
      </c>
      <c r="P16" s="21">
        <f t="shared" si="0"/>
        <v>15</v>
      </c>
      <c r="Q16" s="3"/>
      <c r="R16" s="3"/>
      <c r="S16" s="3">
        <v>15</v>
      </c>
      <c r="T16" s="3" t="s">
        <v>39</v>
      </c>
      <c r="U16" s="3" t="s">
        <v>1</v>
      </c>
      <c r="V16" s="3" t="s">
        <v>296</v>
      </c>
    </row>
    <row r="17" spans="1:22" ht="29.25">
      <c r="A17" s="14">
        <v>16</v>
      </c>
      <c r="B17" s="9" t="s">
        <v>329</v>
      </c>
      <c r="C17" s="15" t="s">
        <v>330</v>
      </c>
      <c r="D17" s="15" t="s">
        <v>33</v>
      </c>
      <c r="E17" s="97" t="s">
        <v>39</v>
      </c>
      <c r="F17" s="97" t="s">
        <v>331</v>
      </c>
      <c r="G17" s="17" t="s">
        <v>332</v>
      </c>
      <c r="H17" s="16" t="s">
        <v>333</v>
      </c>
      <c r="I17" s="16" t="s">
        <v>34</v>
      </c>
      <c r="J17" s="16" t="s">
        <v>34</v>
      </c>
      <c r="K17" s="16" t="s">
        <v>34</v>
      </c>
      <c r="L17" s="8" t="s">
        <v>273</v>
      </c>
      <c r="M17" s="20">
        <v>16</v>
      </c>
      <c r="N17" s="22">
        <v>19</v>
      </c>
      <c r="O17" s="20">
        <v>6</v>
      </c>
      <c r="P17" s="21">
        <f t="shared" si="0"/>
        <v>16</v>
      </c>
      <c r="Q17" s="3"/>
      <c r="R17" s="3"/>
      <c r="S17" s="3">
        <v>16</v>
      </c>
      <c r="T17" s="3" t="s">
        <v>42</v>
      </c>
      <c r="U17" s="3" t="s">
        <v>3</v>
      </c>
      <c r="V17" s="3" t="s">
        <v>304</v>
      </c>
    </row>
    <row r="18" spans="1:22" ht="29.25">
      <c r="A18" s="14">
        <v>17</v>
      </c>
      <c r="B18" s="8" t="s">
        <v>334</v>
      </c>
      <c r="C18" s="15" t="s">
        <v>335</v>
      </c>
      <c r="D18" s="15" t="s">
        <v>43</v>
      </c>
      <c r="E18" s="96" t="s">
        <v>336</v>
      </c>
      <c r="F18" s="96" t="s">
        <v>42</v>
      </c>
      <c r="G18" s="17" t="s">
        <v>337</v>
      </c>
      <c r="H18" s="16" t="s">
        <v>338</v>
      </c>
      <c r="I18" s="16" t="s">
        <v>339</v>
      </c>
      <c r="J18" s="16" t="s">
        <v>338</v>
      </c>
      <c r="K18" s="16" t="s">
        <v>340</v>
      </c>
      <c r="L18" s="8" t="s">
        <v>274</v>
      </c>
      <c r="M18" s="20">
        <v>17</v>
      </c>
      <c r="N18" s="22">
        <v>21</v>
      </c>
      <c r="O18" s="20">
        <v>21</v>
      </c>
      <c r="P18" s="21">
        <f t="shared" si="0"/>
        <v>17</v>
      </c>
      <c r="Q18" s="3"/>
      <c r="R18" s="3"/>
      <c r="S18" s="3">
        <v>17</v>
      </c>
      <c r="T18" s="3" t="s">
        <v>47</v>
      </c>
      <c r="U18" s="3" t="s">
        <v>5</v>
      </c>
      <c r="V18" s="3" t="s">
        <v>318</v>
      </c>
    </row>
    <row r="19" spans="1:22" ht="29.25">
      <c r="A19" s="14">
        <v>18</v>
      </c>
      <c r="B19" s="8" t="s">
        <v>341</v>
      </c>
      <c r="C19" s="15" t="s">
        <v>342</v>
      </c>
      <c r="D19" s="15" t="s">
        <v>46</v>
      </c>
      <c r="E19" s="96" t="s">
        <v>275</v>
      </c>
      <c r="F19" s="96" t="s">
        <v>47</v>
      </c>
      <c r="G19" s="17" t="s">
        <v>343</v>
      </c>
      <c r="H19" s="16" t="s">
        <v>344</v>
      </c>
      <c r="I19" s="16" t="s">
        <v>344</v>
      </c>
      <c r="J19" s="16" t="s">
        <v>344</v>
      </c>
      <c r="K19" s="16" t="s">
        <v>344</v>
      </c>
      <c r="L19" s="8" t="s">
        <v>276</v>
      </c>
      <c r="M19" s="20">
        <v>18</v>
      </c>
      <c r="N19" s="20">
        <v>22</v>
      </c>
      <c r="O19" s="20">
        <v>16</v>
      </c>
      <c r="P19" s="21">
        <f t="shared" si="0"/>
        <v>18</v>
      </c>
      <c r="Q19" s="3"/>
      <c r="R19" s="3"/>
      <c r="S19" s="3">
        <v>18</v>
      </c>
      <c r="T19" s="3" t="s">
        <v>40</v>
      </c>
      <c r="U19" s="3" t="s">
        <v>345</v>
      </c>
      <c r="V19" s="3" t="s">
        <v>333</v>
      </c>
    </row>
    <row r="20" spans="1:22" ht="29.25">
      <c r="A20" s="4">
        <v>19</v>
      </c>
      <c r="B20" s="6" t="s">
        <v>346</v>
      </c>
      <c r="C20" s="5" t="s">
        <v>347</v>
      </c>
      <c r="D20" s="5" t="s">
        <v>32</v>
      </c>
      <c r="E20" s="60" t="s">
        <v>40</v>
      </c>
      <c r="F20" s="60" t="s">
        <v>40</v>
      </c>
      <c r="G20" s="7" t="s">
        <v>306</v>
      </c>
      <c r="H20" s="6" t="s">
        <v>306</v>
      </c>
      <c r="I20" s="6" t="s">
        <v>348</v>
      </c>
      <c r="J20" s="6" t="s">
        <v>306</v>
      </c>
      <c r="K20" s="6" t="s">
        <v>349</v>
      </c>
      <c r="L20" s="6"/>
      <c r="M20" s="20">
        <v>19</v>
      </c>
      <c r="N20" s="22">
        <v>8</v>
      </c>
      <c r="O20" s="20">
        <v>19</v>
      </c>
      <c r="P20" s="21">
        <f t="shared" si="0"/>
        <v>19</v>
      </c>
      <c r="Q20" s="3"/>
      <c r="R20" s="3"/>
      <c r="S20" s="3">
        <v>19</v>
      </c>
      <c r="T20" s="3" t="s">
        <v>41</v>
      </c>
      <c r="U20" s="3" t="s">
        <v>34</v>
      </c>
      <c r="V20" s="3" t="s">
        <v>326</v>
      </c>
    </row>
    <row r="21" spans="1:22" ht="29.25">
      <c r="A21" s="4">
        <v>20</v>
      </c>
      <c r="B21" s="6" t="s">
        <v>350</v>
      </c>
      <c r="C21" s="11" t="s">
        <v>330</v>
      </c>
      <c r="D21" s="10" t="s">
        <v>33</v>
      </c>
      <c r="E21" s="60" t="s">
        <v>41</v>
      </c>
      <c r="F21" s="60" t="s">
        <v>331</v>
      </c>
      <c r="G21" s="7" t="s">
        <v>308</v>
      </c>
      <c r="H21" s="6" t="s">
        <v>308</v>
      </c>
      <c r="I21" s="6" t="s">
        <v>35</v>
      </c>
      <c r="J21" s="6" t="s">
        <v>35</v>
      </c>
      <c r="K21" s="6" t="s">
        <v>35</v>
      </c>
      <c r="L21" s="6"/>
      <c r="M21" s="20">
        <v>20</v>
      </c>
      <c r="N21" s="22">
        <v>9</v>
      </c>
      <c r="O21" s="20">
        <v>5</v>
      </c>
      <c r="P21" s="21">
        <f t="shared" si="0"/>
        <v>20</v>
      </c>
      <c r="Q21" s="3"/>
      <c r="R21" s="3"/>
      <c r="S21" s="3">
        <v>20</v>
      </c>
      <c r="T21" s="3" t="s">
        <v>44</v>
      </c>
      <c r="U21" s="3" t="s">
        <v>328</v>
      </c>
      <c r="V21" s="3" t="s">
        <v>338</v>
      </c>
    </row>
    <row r="22" spans="1:22" ht="29.25">
      <c r="A22" s="4">
        <v>21</v>
      </c>
      <c r="B22" s="6" t="s">
        <v>351</v>
      </c>
      <c r="C22" s="5" t="s">
        <v>352</v>
      </c>
      <c r="D22" s="5" t="s">
        <v>43</v>
      </c>
      <c r="E22" s="60" t="s">
        <v>353</v>
      </c>
      <c r="F22" s="60" t="s">
        <v>44</v>
      </c>
      <c r="G22" s="7" t="s">
        <v>320</v>
      </c>
      <c r="H22" s="6" t="s">
        <v>320</v>
      </c>
      <c r="I22" s="6" t="s">
        <v>354</v>
      </c>
      <c r="J22" s="6" t="s">
        <v>320</v>
      </c>
      <c r="K22" s="6" t="s">
        <v>355</v>
      </c>
      <c r="L22" s="6"/>
      <c r="M22" s="20">
        <v>21</v>
      </c>
      <c r="N22" s="22">
        <v>14</v>
      </c>
      <c r="O22" s="20">
        <v>20</v>
      </c>
      <c r="P22" s="21">
        <f t="shared" si="0"/>
        <v>21</v>
      </c>
      <c r="Q22" s="3"/>
      <c r="R22" s="3"/>
      <c r="S22" s="3">
        <v>21</v>
      </c>
      <c r="T22" s="3" t="s">
        <v>45</v>
      </c>
      <c r="U22" s="3" t="s">
        <v>356</v>
      </c>
      <c r="V22" s="3" t="s">
        <v>344</v>
      </c>
    </row>
    <row r="23" spans="1:22" ht="29.25">
      <c r="A23" s="90">
        <v>22</v>
      </c>
      <c r="B23" s="89" t="s">
        <v>310</v>
      </c>
      <c r="C23" s="91" t="s">
        <v>357</v>
      </c>
      <c r="D23" s="93" t="s">
        <v>46</v>
      </c>
      <c r="E23" s="98" t="s">
        <v>358</v>
      </c>
      <c r="F23" s="98" t="s">
        <v>45</v>
      </c>
      <c r="G23" s="92" t="s">
        <v>310</v>
      </c>
      <c r="H23" s="89" t="s">
        <v>310</v>
      </c>
      <c r="I23" s="89" t="s">
        <v>310</v>
      </c>
      <c r="J23" s="89" t="s">
        <v>310</v>
      </c>
      <c r="K23" s="89" t="s">
        <v>310</v>
      </c>
      <c r="L23" s="89"/>
      <c r="M23" s="20">
        <v>22</v>
      </c>
      <c r="N23" s="22">
        <v>10</v>
      </c>
      <c r="O23" s="22">
        <v>15</v>
      </c>
      <c r="P23" s="23">
        <f t="shared" si="0"/>
        <v>22</v>
      </c>
      <c r="Q23" s="3"/>
      <c r="R23" s="3"/>
      <c r="S23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F410-D942-4137-A508-52E4711DF0D6}">
  <sheetPr>
    <tabColor rgb="FFFF0000"/>
  </sheetPr>
  <dimension ref="A1:BC101"/>
  <sheetViews>
    <sheetView workbookViewId="0"/>
    <sheetView workbookViewId="1">
      <selection activeCell="I13" sqref="I13"/>
    </sheetView>
  </sheetViews>
  <sheetFormatPr defaultRowHeight="26.25" outlineLevelCol="1"/>
  <cols>
    <col min="1" max="1" width="8.75" style="24" customWidth="1"/>
    <col min="2" max="2" width="14.375" style="24" customWidth="1"/>
    <col min="3" max="3" width="14.375" style="115" customWidth="1"/>
    <col min="4" max="5" width="14.375" customWidth="1"/>
    <col min="6" max="7" width="15.375" style="24" customWidth="1"/>
    <col min="8" max="8" width="16.75" customWidth="1"/>
    <col min="9" max="9" width="16.75" style="24" customWidth="1"/>
    <col min="10" max="10" width="16" style="24" customWidth="1"/>
    <col min="11" max="12" width="16" customWidth="1"/>
    <col min="13" max="13" width="20.75" style="24" customWidth="1"/>
    <col min="14" max="15" width="15.375" style="24" customWidth="1"/>
    <col min="18" max="18" width="15.375" style="24" customWidth="1"/>
    <col min="20" max="21" width="15.375" style="24" customWidth="1" outlineLevel="1"/>
    <col min="22" max="22" width="15.375" style="24" customWidth="1"/>
    <col min="23" max="23" width="8.75" style="24" customWidth="1"/>
    <col min="24" max="24" width="7.375" style="24" customWidth="1"/>
    <col min="25" max="26" width="15.125" style="24" customWidth="1"/>
    <col min="27" max="27" width="2.875" style="24" customWidth="1"/>
    <col min="28" max="28" width="13.75" style="25" bestFit="1" customWidth="1"/>
    <col min="29" max="29" width="9" style="26" customWidth="1" outlineLevel="1"/>
    <col min="30" max="30" width="9.25" style="26" customWidth="1" outlineLevel="1"/>
    <col min="31" max="31" width="16.75" style="25" customWidth="1"/>
    <col min="32" max="32" width="4.5" style="24" customWidth="1"/>
    <col min="33" max="33" width="51.75" style="27" customWidth="1"/>
    <col min="34" max="34" width="9" style="24"/>
    <col min="35" max="46" width="7.5" style="28" customWidth="1"/>
    <col min="47" max="52" width="19.375" style="29" bestFit="1" customWidth="1"/>
    <col min="53" max="55" width="19.875" style="29" customWidth="1"/>
    <col min="56" max="56" width="19.875" style="24" customWidth="1"/>
    <col min="57" max="16384" width="9" style="24"/>
  </cols>
  <sheetData>
    <row r="1" spans="1:55" ht="27" thickBot="1">
      <c r="D1" s="24"/>
      <c r="E1" s="24"/>
      <c r="H1" s="24"/>
      <c r="K1" s="24"/>
      <c r="L1" s="24"/>
      <c r="P1" s="24"/>
      <c r="Q1" s="24"/>
      <c r="S1" s="25"/>
      <c r="T1" s="26"/>
      <c r="U1" s="26"/>
      <c r="V1" s="25"/>
      <c r="X1" s="27"/>
      <c r="Z1" s="28"/>
      <c r="AA1" s="28"/>
      <c r="AB1" s="28"/>
      <c r="AC1" s="28"/>
      <c r="AD1" s="28"/>
      <c r="AE1" s="28"/>
      <c r="AF1" s="28"/>
      <c r="AG1" s="28"/>
      <c r="AH1" s="28"/>
      <c r="AL1" s="29"/>
      <c r="AM1" s="29"/>
      <c r="AN1" s="29"/>
      <c r="AO1" s="29"/>
      <c r="AP1" s="29"/>
      <c r="AQ1" s="29"/>
      <c r="AR1" s="29"/>
      <c r="AS1" s="29"/>
      <c r="AT1" s="29"/>
      <c r="AU1" s="24"/>
      <c r="AV1" s="24"/>
      <c r="AW1" s="24"/>
      <c r="AX1" s="24"/>
      <c r="AY1" s="24"/>
      <c r="AZ1" s="24"/>
      <c r="BA1" s="24"/>
      <c r="BB1" s="24"/>
      <c r="BC1" s="24"/>
    </row>
    <row r="2" spans="1:55" s="107" customFormat="1" ht="48.75" thickBot="1">
      <c r="A2" s="101" t="s">
        <v>359</v>
      </c>
      <c r="B2" s="102" t="s">
        <v>360</v>
      </c>
      <c r="C2" s="102" t="s">
        <v>361</v>
      </c>
      <c r="D2" s="102" t="s">
        <v>362</v>
      </c>
      <c r="E2" s="102" t="s">
        <v>363</v>
      </c>
      <c r="F2" s="103" t="s">
        <v>364</v>
      </c>
      <c r="G2" s="103" t="s">
        <v>365</v>
      </c>
      <c r="H2" s="104" t="s">
        <v>366</v>
      </c>
      <c r="I2" s="105" t="s">
        <v>367</v>
      </c>
      <c r="J2" s="105" t="s">
        <v>368</v>
      </c>
      <c r="K2" s="105" t="s">
        <v>369</v>
      </c>
      <c r="L2" s="105" t="s">
        <v>370</v>
      </c>
      <c r="M2" s="105" t="s">
        <v>371</v>
      </c>
      <c r="N2" s="105" t="s">
        <v>372</v>
      </c>
      <c r="O2" s="106"/>
      <c r="P2" s="105" t="s">
        <v>368</v>
      </c>
      <c r="Q2" s="105" t="s">
        <v>369</v>
      </c>
      <c r="S2" s="105" t="s">
        <v>368</v>
      </c>
      <c r="T2" s="108" t="s">
        <v>373</v>
      </c>
      <c r="U2" s="109" t="s">
        <v>374</v>
      </c>
      <c r="V2" s="105" t="s">
        <v>369</v>
      </c>
      <c r="X2" s="108"/>
      <c r="Z2" s="110"/>
      <c r="AA2" s="111"/>
      <c r="AB2" s="112" t="s">
        <v>375</v>
      </c>
      <c r="AC2" s="112" t="s">
        <v>376</v>
      </c>
      <c r="AD2" s="112"/>
      <c r="AE2" s="112" t="s">
        <v>377</v>
      </c>
      <c r="AF2" s="112" t="s">
        <v>378</v>
      </c>
      <c r="AG2" s="112" t="s">
        <v>379</v>
      </c>
      <c r="AH2" s="112" t="s">
        <v>380</v>
      </c>
      <c r="AI2" s="112" t="s">
        <v>381</v>
      </c>
      <c r="AJ2" s="112" t="s">
        <v>382</v>
      </c>
      <c r="AK2" s="113"/>
      <c r="AL2" s="114"/>
      <c r="AM2" s="114"/>
      <c r="AN2" s="114"/>
      <c r="AO2" s="114"/>
      <c r="AP2" s="114"/>
      <c r="AQ2" s="114"/>
      <c r="AR2" s="114"/>
      <c r="AS2" s="114"/>
      <c r="AT2" s="114"/>
    </row>
    <row r="3" spans="1:55" ht="35.25" thickBot="1">
      <c r="A3" s="31">
        <f xml:space="preserve"> ROW() - 3</f>
        <v>0</v>
      </c>
      <c r="B3" s="117" t="s">
        <v>383</v>
      </c>
      <c r="C3" s="116" t="s">
        <v>384</v>
      </c>
      <c r="D3" s="99" t="str">
        <f xml:space="preserve"> LEFT(韻母對照表[[#This Row],[十五音識別碼]],1)</f>
        <v>膠</v>
      </c>
      <c r="E3" s="99" t="s">
        <v>385</v>
      </c>
      <c r="F3" s="118" t="s">
        <v>386</v>
      </c>
      <c r="G3" s="118" t="s">
        <v>386</v>
      </c>
      <c r="H3" s="32" t="s">
        <v>251</v>
      </c>
      <c r="I3" s="32" t="s">
        <v>251</v>
      </c>
      <c r="J3" s="32" t="s">
        <v>251</v>
      </c>
      <c r="K3" s="32" t="s">
        <v>251</v>
      </c>
      <c r="L3" s="33" t="s">
        <v>251</v>
      </c>
      <c r="N3" s="34">
        <f t="shared" ref="N3:N34" si="0" xml:space="preserve"> LEN(K3)</f>
        <v>1</v>
      </c>
      <c r="O3" s="36"/>
      <c r="P3" s="32" t="str">
        <f t="shared" ref="P3:P17" si="1">J3</f>
        <v>a</v>
      </c>
      <c r="Q3" s="32" t="str">
        <f t="shared" ref="Q3:Q17" si="2">K3</f>
        <v>a</v>
      </c>
      <c r="S3" s="25" t="str">
        <f t="shared" ref="S3:S66" si="3" xml:space="preserve"> _xlfn.CONCAT(P3, "(\d)")</f>
        <v>a(\d)</v>
      </c>
      <c r="T3" s="26" t="s">
        <v>383</v>
      </c>
      <c r="U3" s="26">
        <f t="shared" ref="U3:U34" si="4" xml:space="preserve"> IFERROR( IF(T3="", "", SEARCH(T3, $P3)), "")</f>
        <v>1</v>
      </c>
      <c r="V3" s="25" t="str">
        <f t="shared" ref="V3:V66" si="5" xml:space="preserve"> IFERROR( _xlfn.CONCAT(LEFT(P3,U3-1), "》", MID(P3,U3,1), "${1}", RIGHT(P3, LEN(P3)-U3)), "" )</f>
        <v>》a${1}</v>
      </c>
      <c r="W3" s="35"/>
      <c r="X3" s="37" t="str">
        <f t="shared" ref="X3:X66" si="6" xml:space="preserve"> IF(AND(Q3&lt;&gt;"", P3&lt;&gt;""), "    - xform/》" &amp; S3 &amp;  "/"  &amp; V3 &amp;  "/", "")</f>
        <v xml:space="preserve">    - xform/》a(\d)/》a${1}/</v>
      </c>
      <c r="Z3" s="28" t="s">
        <v>383</v>
      </c>
      <c r="AA3" s="38" t="str">
        <f t="shared" ref="AA3:AJ4" si="7" xml:space="preserve"> _xlfn.CONCAT($Z3, IF(AA$2="", "", _xlfn.UNICHAR( HEX2DEC( RIGHT(AA$2,4)))))</f>
        <v>a</v>
      </c>
      <c r="AB3" s="38" t="str">
        <f t="shared" si="7"/>
        <v>á</v>
      </c>
      <c r="AC3" s="38" t="str">
        <f t="shared" si="7"/>
        <v>à</v>
      </c>
      <c r="AD3" s="38" t="str">
        <f t="shared" si="7"/>
        <v>a</v>
      </c>
      <c r="AE3" s="38" t="str">
        <f t="shared" si="7"/>
        <v>ǎ</v>
      </c>
      <c r="AF3" s="38" t="str">
        <f t="shared" si="7"/>
        <v>á</v>
      </c>
      <c r="AG3" s="38" t="str">
        <f t="shared" si="7"/>
        <v>ā</v>
      </c>
      <c r="AH3" s="38" t="str">
        <f t="shared" si="7"/>
        <v>a̍</v>
      </c>
      <c r="AI3" s="38" t="str">
        <f t="shared" si="7"/>
        <v>a̋</v>
      </c>
      <c r="AJ3" s="38" t="str">
        <f t="shared" si="7"/>
        <v>å</v>
      </c>
      <c r="AL3" s="39" t="str">
        <f xml:space="preserve"> _xlfn.CONCAT("    - xform/》", $Z3, [1]【調】韻母標調!AJ$1, "/", AA3, "/")</f>
        <v xml:space="preserve">    - xform/》a1/a/</v>
      </c>
      <c r="AM3" s="39" t="str">
        <f xml:space="preserve"> _xlfn.CONCAT("    - xform/》", $Z3, [1]【調】韻母標調!AK$1, "/", AB3, "/")</f>
        <v xml:space="preserve">    - xform/》a2/á/</v>
      </c>
      <c r="AN3" s="39" t="str">
        <f xml:space="preserve"> _xlfn.CONCAT("    - xform/》", $Z3, [1]【調】韻母標調!AL$1, "/", AC3, "/")</f>
        <v xml:space="preserve">    - xform/》a3/à/</v>
      </c>
      <c r="AO3" s="39" t="str">
        <f xml:space="preserve"> _xlfn.CONCAT("    - xform/》", $Z3, [1]【調】韻母標調!AM$1, "/", AD3, "/")</f>
        <v xml:space="preserve">    - xform/》a4/a/</v>
      </c>
      <c r="AP3" s="39" t="str">
        <f xml:space="preserve"> _xlfn.CONCAT("    - xform/》", $Z3, [1]【調】韻母標調!AN$1, "/", AE3, "/")</f>
        <v xml:space="preserve">    - xform/》a5/ǎ/</v>
      </c>
      <c r="AQ3" s="39" t="str">
        <f xml:space="preserve"> _xlfn.CONCAT("    - xform/》", $Z3, [1]【調】韻母標調!AO$1, "/", AF3, "/")</f>
        <v xml:space="preserve">    - xform/》a6/á/</v>
      </c>
      <c r="AR3" s="39" t="str">
        <f xml:space="preserve"> _xlfn.CONCAT("    - xform/》", $Z3, [1]【調】韻母標調!AP$1, "/", AG3, "/")</f>
        <v xml:space="preserve">    - xform/》a7/ā/</v>
      </c>
      <c r="AS3" s="39" t="str">
        <f xml:space="preserve"> _xlfn.CONCAT("    - xform/》", $Z3, [1]【調】韻母標調!AQ$1, "/", AH3, "/")</f>
        <v xml:space="preserve">    - xform/》a8/a̍/</v>
      </c>
      <c r="AT3" s="39" t="str">
        <f xml:space="preserve"> _xlfn.CONCAT("    - xform/》", $Z3, [1]【調】韻母標調!AR$1, "/", AI3, "/")</f>
        <v xml:space="preserve">    - xform/》a9/a̋/</v>
      </c>
      <c r="AU3" s="39" t="str">
        <f xml:space="preserve"> _xlfn.CONCAT("    - xform/》", $Z3, [1]【調】韻母標調!AS$1, "/", AJ3, "/")</f>
        <v xml:space="preserve">    - xform/》a9/å/</v>
      </c>
      <c r="AV3" s="38"/>
      <c r="AW3" s="38"/>
      <c r="AX3" s="28"/>
      <c r="AY3" s="24"/>
      <c r="AZ3" s="24"/>
      <c r="BA3" s="24"/>
      <c r="BB3" s="24"/>
      <c r="BC3" s="24"/>
    </row>
    <row r="4" spans="1:55" ht="35.25" thickBot="1">
      <c r="A4" s="31">
        <f t="shared" ref="A4:A88" si="8" xml:space="preserve"> ROW() - 3</f>
        <v>1</v>
      </c>
      <c r="B4" s="117" t="s">
        <v>387</v>
      </c>
      <c r="C4" s="116" t="s">
        <v>388</v>
      </c>
      <c r="D4" s="99" t="str">
        <f xml:space="preserve"> LEFT(韻母對照表[[#This Row],[十五音識別碼]],1)</f>
        <v>膠</v>
      </c>
      <c r="E4" s="99" t="s">
        <v>389</v>
      </c>
      <c r="F4" s="118" t="s">
        <v>390</v>
      </c>
      <c r="G4" s="118" t="s">
        <v>391</v>
      </c>
      <c r="H4" s="32" t="s">
        <v>392</v>
      </c>
      <c r="I4" s="32" t="s">
        <v>392</v>
      </c>
      <c r="J4" s="32" t="s">
        <v>392</v>
      </c>
      <c r="K4" s="32" t="s">
        <v>392</v>
      </c>
      <c r="L4" s="33" t="s">
        <v>392</v>
      </c>
      <c r="M4" s="32"/>
      <c r="N4" s="34">
        <f t="shared" si="0"/>
        <v>2</v>
      </c>
      <c r="O4" s="36"/>
      <c r="P4" s="32" t="str">
        <f t="shared" si="1"/>
        <v>ah</v>
      </c>
      <c r="Q4" s="32" t="str">
        <f t="shared" si="2"/>
        <v>ah</v>
      </c>
      <c r="S4" s="25" t="str">
        <f t="shared" si="3"/>
        <v>ah(\d)</v>
      </c>
      <c r="T4" s="26" t="s">
        <v>383</v>
      </c>
      <c r="U4" s="26">
        <f t="shared" si="4"/>
        <v>1</v>
      </c>
      <c r="V4" s="25" t="str">
        <f t="shared" si="5"/>
        <v>》a${1}h</v>
      </c>
      <c r="W4" s="35"/>
      <c r="X4" s="37" t="str">
        <f t="shared" si="6"/>
        <v xml:space="preserve">    - xform/》ah(\d)/》a${1}h/</v>
      </c>
      <c r="Z4" s="28" t="s">
        <v>393</v>
      </c>
      <c r="AA4" s="38" t="str">
        <f t="shared" si="7"/>
        <v>u</v>
      </c>
      <c r="AB4" s="38" t="str">
        <f t="shared" si="7"/>
        <v>ú</v>
      </c>
      <c r="AC4" s="38" t="str">
        <f t="shared" si="7"/>
        <v>ù</v>
      </c>
      <c r="AD4" s="38" t="str">
        <f t="shared" si="7"/>
        <v>u</v>
      </c>
      <c r="AE4" s="38" t="str">
        <f t="shared" si="7"/>
        <v>ǔ</v>
      </c>
      <c r="AF4" s="38" t="str">
        <f t="shared" si="7"/>
        <v>ú</v>
      </c>
      <c r="AG4" s="38" t="str">
        <f t="shared" si="7"/>
        <v>ū</v>
      </c>
      <c r="AH4" s="38" t="str">
        <f t="shared" si="7"/>
        <v>u̍</v>
      </c>
      <c r="AI4" s="38" t="str">
        <f t="shared" si="7"/>
        <v>ű</v>
      </c>
      <c r="AJ4" s="38" t="str">
        <f t="shared" si="7"/>
        <v>ů</v>
      </c>
      <c r="AL4" s="39" t="str">
        <f xml:space="preserve"> _xlfn.CONCAT("    - xform/》", $Z4, [1]【調】韻母標調!AJ$1, "/", AA4, "/")</f>
        <v xml:space="preserve">    - xform/》u1/u/</v>
      </c>
      <c r="AM4" s="39" t="str">
        <f xml:space="preserve"> _xlfn.CONCAT("    - xform/》", $Z4, [1]【調】韻母標調!AK$1, "/", AB4, "/")</f>
        <v xml:space="preserve">    - xform/》u2/ú/</v>
      </c>
      <c r="AN4" s="39" t="str">
        <f xml:space="preserve"> _xlfn.CONCAT("    - xform/》", $Z4, [1]【調】韻母標調!AL$1, "/", AC4, "/")</f>
        <v xml:space="preserve">    - xform/》u3/ù/</v>
      </c>
      <c r="AO4" s="39" t="str">
        <f xml:space="preserve"> _xlfn.CONCAT("    - xform/》", $Z4, [1]【調】韻母標調!AM$1, "/", AD4, "/")</f>
        <v xml:space="preserve">    - xform/》u4/u/</v>
      </c>
      <c r="AP4" s="39" t="str">
        <f xml:space="preserve"> _xlfn.CONCAT("    - xform/》", $Z4, [1]【調】韻母標調!AN$1, "/", AE4, "/")</f>
        <v xml:space="preserve">    - xform/》u5/ǔ/</v>
      </c>
      <c r="AQ4" s="39" t="str">
        <f xml:space="preserve"> _xlfn.CONCAT("    - xform/》", $Z4, [1]【調】韻母標調!AO$1, "/", AF4, "/")</f>
        <v xml:space="preserve">    - xform/》u6/ú/</v>
      </c>
      <c r="AR4" s="39" t="str">
        <f xml:space="preserve"> _xlfn.CONCAT("    - xform/》", $Z4, [1]【調】韻母標調!AP$1, "/", AG4, "/")</f>
        <v xml:space="preserve">    - xform/》u7/ū/</v>
      </c>
      <c r="AS4" s="39" t="str">
        <f xml:space="preserve"> _xlfn.CONCAT("    - xform/》", $Z4, [1]【調】韻母標調!AQ$1, "/", AH4, "/")</f>
        <v xml:space="preserve">    - xform/》u8/u̍/</v>
      </c>
      <c r="AT4" s="39" t="str">
        <f xml:space="preserve"> _xlfn.CONCAT("    - xform/》", $Z4, [1]【調】韻母標調!AR$1, "/", AI4, "/")</f>
        <v xml:space="preserve">    - xform/》u9/ű/</v>
      </c>
      <c r="AU4" s="39" t="str">
        <f xml:space="preserve"> _xlfn.CONCAT("    - xform/》", $Z4, [1]【調】韻母標調!AS$1, "/", AJ4, "/")</f>
        <v xml:space="preserve">    - xform/》u9/ů/</v>
      </c>
      <c r="AV4" s="38"/>
      <c r="AW4" s="38"/>
      <c r="AX4" s="28"/>
      <c r="AY4" s="24"/>
      <c r="AZ4" s="24"/>
      <c r="BA4" s="24"/>
      <c r="BB4" s="24"/>
      <c r="BC4" s="24"/>
    </row>
    <row r="5" spans="1:55" ht="35.25" thickBot="1">
      <c r="A5" s="31">
        <f t="shared" si="8"/>
        <v>2</v>
      </c>
      <c r="B5" s="117" t="s">
        <v>394</v>
      </c>
      <c r="C5" s="116" t="s">
        <v>395</v>
      </c>
      <c r="D5" s="99" t="str">
        <f xml:space="preserve"> LEFT(韻母對照表[[#This Row],[十五音識別碼]],1)</f>
        <v>皆</v>
      </c>
      <c r="E5" s="99" t="s">
        <v>396</v>
      </c>
      <c r="F5" s="118" t="s">
        <v>397</v>
      </c>
      <c r="G5" s="118" t="s">
        <v>397</v>
      </c>
      <c r="H5" s="32" t="s">
        <v>398</v>
      </c>
      <c r="I5" s="32" t="s">
        <v>398</v>
      </c>
      <c r="J5" s="32" t="s">
        <v>398</v>
      </c>
      <c r="K5" s="32" t="s">
        <v>398</v>
      </c>
      <c r="L5" s="33" t="s">
        <v>398</v>
      </c>
      <c r="M5" s="32"/>
      <c r="N5" s="34">
        <f t="shared" si="0"/>
        <v>2</v>
      </c>
      <c r="O5" s="36"/>
      <c r="P5" s="32" t="str">
        <f t="shared" si="1"/>
        <v>ai</v>
      </c>
      <c r="Q5" s="32" t="str">
        <f t="shared" si="2"/>
        <v>ai</v>
      </c>
      <c r="S5" s="25" t="str">
        <f t="shared" si="3"/>
        <v>ai(\d)</v>
      </c>
      <c r="T5" s="26" t="s">
        <v>399</v>
      </c>
      <c r="U5" s="26" t="str">
        <f t="shared" si="4"/>
        <v/>
      </c>
      <c r="V5" s="25" t="str">
        <f t="shared" si="5"/>
        <v/>
      </c>
      <c r="W5" s="35"/>
      <c r="X5" s="37" t="str">
        <f t="shared" si="6"/>
        <v xml:space="preserve">    - xform/》ai(\d)//</v>
      </c>
      <c r="Z5" s="28"/>
      <c r="AA5" s="28"/>
      <c r="AB5" s="28"/>
      <c r="AC5" s="28"/>
      <c r="AD5" s="28"/>
      <c r="AE5" s="28"/>
      <c r="AF5" s="28"/>
      <c r="AG5" s="28"/>
      <c r="AH5" s="28"/>
      <c r="AL5" s="29"/>
      <c r="AM5" s="29"/>
      <c r="AN5" s="29"/>
      <c r="AO5" s="29"/>
      <c r="AP5" s="29"/>
      <c r="AQ5" s="29"/>
      <c r="AR5" s="29"/>
      <c r="AS5" s="29"/>
      <c r="AT5" s="29"/>
      <c r="AU5" s="24"/>
      <c r="AV5" s="24"/>
      <c r="AW5" s="24"/>
      <c r="AX5" s="24"/>
      <c r="AY5" s="24"/>
      <c r="AZ5" s="24"/>
      <c r="BA5" s="24"/>
      <c r="BB5" s="24"/>
      <c r="BC5" s="24"/>
    </row>
    <row r="6" spans="1:55" ht="35.25" thickBot="1">
      <c r="A6" s="31">
        <f t="shared" si="8"/>
        <v>3</v>
      </c>
      <c r="B6" s="117" t="s">
        <v>400</v>
      </c>
      <c r="C6" s="116" t="s">
        <v>401</v>
      </c>
      <c r="D6" s="99" t="str">
        <f xml:space="preserve"> LEFT(韻母對照表[[#This Row],[十五音識別碼]],1)</f>
        <v>皆</v>
      </c>
      <c r="E6" s="99" t="s">
        <v>402</v>
      </c>
      <c r="F6" s="119" t="s">
        <v>403</v>
      </c>
      <c r="G6" s="119" t="s">
        <v>404</v>
      </c>
      <c r="H6" s="40" t="s">
        <v>405</v>
      </c>
      <c r="I6" s="40" t="s">
        <v>405</v>
      </c>
      <c r="J6" s="41" t="s">
        <v>405</v>
      </c>
      <c r="K6" s="40" t="s">
        <v>405</v>
      </c>
      <c r="L6" s="40" t="s">
        <v>406</v>
      </c>
      <c r="M6" s="32"/>
      <c r="N6" s="34">
        <f t="shared" si="0"/>
        <v>3</v>
      </c>
      <c r="O6" s="36"/>
      <c r="P6" s="32" t="str">
        <f t="shared" si="1"/>
        <v>aih</v>
      </c>
      <c r="Q6" s="32" t="str">
        <f t="shared" si="2"/>
        <v>aih</v>
      </c>
      <c r="S6" s="25" t="str">
        <f t="shared" si="3"/>
        <v>aih(\d)</v>
      </c>
      <c r="T6" s="26" t="s">
        <v>383</v>
      </c>
      <c r="U6" s="26">
        <f t="shared" si="4"/>
        <v>1</v>
      </c>
      <c r="V6" s="25" t="str">
        <f t="shared" si="5"/>
        <v>》a${1}ih</v>
      </c>
      <c r="W6" s="35"/>
      <c r="X6" s="37" t="str">
        <f t="shared" si="6"/>
        <v xml:space="preserve">    - xform/》aih(\d)/》a${1}ih/</v>
      </c>
      <c r="Z6" s="28"/>
      <c r="AA6" s="28"/>
      <c r="AB6" s="28"/>
      <c r="AC6" s="28"/>
      <c r="AD6" s="28"/>
      <c r="AE6" s="28"/>
      <c r="AF6" s="28"/>
      <c r="AG6" s="28"/>
      <c r="AH6" s="28"/>
      <c r="AL6" s="29"/>
      <c r="AM6" s="29"/>
      <c r="AN6" s="29"/>
      <c r="AO6" s="29"/>
      <c r="AP6" s="29"/>
      <c r="AQ6" s="29"/>
      <c r="AR6" s="29"/>
      <c r="AS6" s="29"/>
      <c r="AT6" s="29"/>
      <c r="AU6" s="24"/>
      <c r="AV6" s="24"/>
      <c r="AW6" s="24"/>
      <c r="AX6" s="24"/>
      <c r="AY6" s="24"/>
      <c r="AZ6" s="24"/>
      <c r="BA6" s="24"/>
      <c r="BB6" s="24"/>
      <c r="BC6" s="24"/>
    </row>
    <row r="7" spans="1:55" ht="35.25" thickBot="1">
      <c r="A7" s="31">
        <f t="shared" si="8"/>
        <v>4</v>
      </c>
      <c r="B7" s="117" t="s">
        <v>407</v>
      </c>
      <c r="C7" s="116" t="s">
        <v>408</v>
      </c>
      <c r="D7" s="99" t="str">
        <f xml:space="preserve"> LEFT(韻母對照表[[#This Row],[十五音識別碼]],1)</f>
        <v>閒</v>
      </c>
      <c r="E7" s="99" t="s">
        <v>409</v>
      </c>
      <c r="F7" s="118" t="s">
        <v>410</v>
      </c>
      <c r="G7" s="118" t="s">
        <v>411</v>
      </c>
      <c r="H7" s="32" t="s">
        <v>412</v>
      </c>
      <c r="I7" s="32" t="s">
        <v>413</v>
      </c>
      <c r="J7" s="32" t="s">
        <v>412</v>
      </c>
      <c r="K7" s="32" t="s">
        <v>412</v>
      </c>
      <c r="L7" s="33" t="s">
        <v>414</v>
      </c>
      <c r="M7" s="42" t="s">
        <v>415</v>
      </c>
      <c r="N7" s="34">
        <f t="shared" si="0"/>
        <v>4</v>
      </c>
      <c r="O7" s="36"/>
      <c r="P7" s="32" t="str">
        <f t="shared" si="1"/>
        <v>ainn</v>
      </c>
      <c r="Q7" s="32" t="str">
        <f t="shared" si="2"/>
        <v>ainn</v>
      </c>
      <c r="S7" s="25" t="str">
        <f t="shared" si="3"/>
        <v>ainn(\d)</v>
      </c>
      <c r="T7" s="26" t="s">
        <v>383</v>
      </c>
      <c r="U7" s="26">
        <f t="shared" si="4"/>
        <v>1</v>
      </c>
      <c r="V7" s="25" t="str">
        <f t="shared" si="5"/>
        <v>》a${1}inn</v>
      </c>
      <c r="W7" s="35"/>
      <c r="X7" s="37" t="str">
        <f t="shared" si="6"/>
        <v xml:space="preserve">    - xform/》ainn(\d)/》a${1}inn/</v>
      </c>
      <c r="Z7" s="28"/>
      <c r="AA7" s="28"/>
      <c r="AB7" s="28"/>
      <c r="AC7" s="28"/>
      <c r="AD7" s="28"/>
      <c r="AE7" s="28"/>
      <c r="AF7" s="28"/>
      <c r="AG7" s="28"/>
      <c r="AH7" s="28"/>
      <c r="AL7" s="29"/>
      <c r="AM7" s="29"/>
      <c r="AN7" s="29"/>
      <c r="AO7" s="29"/>
      <c r="AP7" s="29"/>
      <c r="AQ7" s="29"/>
      <c r="AR7" s="29"/>
      <c r="AS7" s="29"/>
      <c r="AT7" s="29"/>
      <c r="AU7" s="24"/>
      <c r="AV7" s="24"/>
      <c r="AW7" s="24"/>
      <c r="AX7" s="24"/>
      <c r="AY7" s="24"/>
      <c r="AZ7" s="24"/>
      <c r="BA7" s="24"/>
      <c r="BB7" s="24"/>
      <c r="BC7" s="24"/>
    </row>
    <row r="8" spans="1:55" ht="35.25" thickBot="1">
      <c r="A8" s="31">
        <f t="shared" si="8"/>
        <v>5</v>
      </c>
      <c r="B8" s="117" t="str">
        <f>_xlfn.CONCAT("a","k",_xlfn.UNICHAR(794))</f>
        <v>ak̚</v>
      </c>
      <c r="C8" s="116" t="s">
        <v>416</v>
      </c>
      <c r="D8" s="99" t="str">
        <f xml:space="preserve"> LEFT(韻母對照表[[#This Row],[十五音識別碼]],1)</f>
        <v>江</v>
      </c>
      <c r="E8" s="99" t="s">
        <v>417</v>
      </c>
      <c r="F8" s="118" t="s">
        <v>418</v>
      </c>
      <c r="G8" s="118" t="s">
        <v>419</v>
      </c>
      <c r="H8" s="32" t="s">
        <v>420</v>
      </c>
      <c r="I8" s="32" t="s">
        <v>420</v>
      </c>
      <c r="J8" s="43" t="s">
        <v>420</v>
      </c>
      <c r="K8" s="32" t="s">
        <v>420</v>
      </c>
      <c r="L8" s="33" t="s">
        <v>420</v>
      </c>
      <c r="M8" s="32"/>
      <c r="N8" s="34">
        <f t="shared" si="0"/>
        <v>2</v>
      </c>
      <c r="O8" s="36"/>
      <c r="P8" s="32" t="str">
        <f t="shared" si="1"/>
        <v>ak</v>
      </c>
      <c r="Q8" s="32" t="str">
        <f t="shared" si="2"/>
        <v>ak</v>
      </c>
      <c r="S8" s="25" t="str">
        <f t="shared" si="3"/>
        <v>ak(\d)</v>
      </c>
      <c r="T8" s="26" t="s">
        <v>421</v>
      </c>
      <c r="U8" s="26" t="str">
        <f t="shared" si="4"/>
        <v/>
      </c>
      <c r="V8" s="25" t="str">
        <f t="shared" si="5"/>
        <v/>
      </c>
      <c r="W8" s="35"/>
      <c r="X8" s="37" t="str">
        <f t="shared" si="6"/>
        <v xml:space="preserve">    - xform/》ak(\d)//</v>
      </c>
      <c r="Z8" s="28"/>
      <c r="AA8" s="28"/>
      <c r="AB8" s="28"/>
      <c r="AC8" s="28"/>
      <c r="AD8" s="28"/>
      <c r="AE8" s="28"/>
      <c r="AF8" s="28"/>
      <c r="AG8" s="28"/>
      <c r="AH8" s="28"/>
      <c r="AL8" s="29"/>
      <c r="AM8" s="29"/>
      <c r="AN8" s="29"/>
      <c r="AO8" s="29"/>
      <c r="AP8" s="29"/>
      <c r="AQ8" s="29"/>
      <c r="AR8" s="29"/>
      <c r="AS8" s="29"/>
      <c r="AT8" s="29"/>
      <c r="AU8" s="24"/>
      <c r="AV8" s="24"/>
      <c r="AW8" s="24"/>
      <c r="AX8" s="24"/>
      <c r="AY8" s="24"/>
      <c r="AZ8" s="24"/>
      <c r="BA8" s="24"/>
      <c r="BB8" s="24"/>
      <c r="BC8" s="24"/>
    </row>
    <row r="9" spans="1:55" ht="35.25" thickBot="1">
      <c r="A9" s="31">
        <f t="shared" si="8"/>
        <v>6</v>
      </c>
      <c r="B9" s="117" t="s">
        <v>422</v>
      </c>
      <c r="C9" s="116" t="s">
        <v>423</v>
      </c>
      <c r="D9" s="99" t="str">
        <f xml:space="preserve"> LEFT(韻母對照表[[#This Row],[十五音識別碼]],1)</f>
        <v>甘</v>
      </c>
      <c r="E9" s="99" t="s">
        <v>424</v>
      </c>
      <c r="F9" s="118" t="s">
        <v>425</v>
      </c>
      <c r="G9" s="118" t="s">
        <v>426</v>
      </c>
      <c r="H9" s="32" t="s">
        <v>427</v>
      </c>
      <c r="I9" s="32" t="s">
        <v>427</v>
      </c>
      <c r="J9" s="32" t="s">
        <v>427</v>
      </c>
      <c r="K9" s="32" t="s">
        <v>427</v>
      </c>
      <c r="L9" s="33" t="s">
        <v>427</v>
      </c>
      <c r="M9" s="32"/>
      <c r="N9" s="34">
        <f t="shared" si="0"/>
        <v>2</v>
      </c>
      <c r="O9" s="36"/>
      <c r="P9" s="32" t="str">
        <f t="shared" si="1"/>
        <v>am</v>
      </c>
      <c r="Q9" s="32" t="str">
        <f t="shared" si="2"/>
        <v>am</v>
      </c>
      <c r="S9" s="25" t="str">
        <f t="shared" si="3"/>
        <v>am(\d)</v>
      </c>
      <c r="T9" s="26" t="s">
        <v>383</v>
      </c>
      <c r="U9" s="26">
        <f t="shared" si="4"/>
        <v>1</v>
      </c>
      <c r="V9" s="25" t="str">
        <f t="shared" si="5"/>
        <v>》a${1}m</v>
      </c>
      <c r="W9" s="35"/>
      <c r="X9" s="37" t="str">
        <f t="shared" si="6"/>
        <v xml:space="preserve">    - xform/》am(\d)/》a${1}m/</v>
      </c>
      <c r="Z9" s="28" t="s">
        <v>399</v>
      </c>
      <c r="AA9" s="38" t="str">
        <f t="shared" ref="AA9:AJ13" si="9" xml:space="preserve"> _xlfn.CONCAT($Z9, IF(AA$2="", "", _xlfn.UNICHAR( HEX2DEC( RIGHT(AA$2,4)))))</f>
        <v>o</v>
      </c>
      <c r="AB9" s="38" t="str">
        <f t="shared" si="9"/>
        <v>ó</v>
      </c>
      <c r="AC9" s="38" t="str">
        <f t="shared" si="9"/>
        <v>ò</v>
      </c>
      <c r="AD9" s="38" t="str">
        <f t="shared" si="9"/>
        <v>o</v>
      </c>
      <c r="AE9" s="38" t="str">
        <f t="shared" si="9"/>
        <v>ǒ</v>
      </c>
      <c r="AF9" s="38" t="str">
        <f t="shared" si="9"/>
        <v>ó</v>
      </c>
      <c r="AG9" s="38" t="str">
        <f t="shared" si="9"/>
        <v>ō</v>
      </c>
      <c r="AH9" s="38" t="str">
        <f t="shared" si="9"/>
        <v>o̍</v>
      </c>
      <c r="AI9" s="38" t="str">
        <f t="shared" si="9"/>
        <v>ő</v>
      </c>
      <c r="AJ9" s="38" t="str">
        <f t="shared" si="9"/>
        <v>o̊</v>
      </c>
      <c r="AL9" s="39" t="str">
        <f xml:space="preserve"> _xlfn.CONCAT("    - xform/》", $Z9, [1]【調】韻母標調!AJ$1, "/", AA9, "/")</f>
        <v xml:space="preserve">    - xform/》o1/o/</v>
      </c>
      <c r="AM9" s="39" t="str">
        <f xml:space="preserve"> _xlfn.CONCAT("    - xform/》", $Z9, [1]【調】韻母標調!AK$1, "/", AB9, "/")</f>
        <v xml:space="preserve">    - xform/》o2/ó/</v>
      </c>
      <c r="AN9" s="39" t="str">
        <f xml:space="preserve"> _xlfn.CONCAT("    - xform/》", $Z9, [1]【調】韻母標調!AL$1, "/", AC9, "/")</f>
        <v xml:space="preserve">    - xform/》o3/ò/</v>
      </c>
      <c r="AO9" s="39" t="str">
        <f xml:space="preserve"> _xlfn.CONCAT("    - xform/》", $Z9, [1]【調】韻母標調!AM$1, "/", AD9, "/")</f>
        <v xml:space="preserve">    - xform/》o4/o/</v>
      </c>
      <c r="AP9" s="39" t="str">
        <f xml:space="preserve"> _xlfn.CONCAT("    - xform/》", $Z9, [1]【調】韻母標調!AN$1, "/", AE9, "/")</f>
        <v xml:space="preserve">    - xform/》o5/ǒ/</v>
      </c>
      <c r="AQ9" s="39" t="str">
        <f xml:space="preserve"> _xlfn.CONCAT("    - xform/》", $Z9, [1]【調】韻母標調!AO$1, "/", AF9, "/")</f>
        <v xml:space="preserve">    - xform/》o6/ó/</v>
      </c>
      <c r="AR9" s="39" t="str">
        <f xml:space="preserve"> _xlfn.CONCAT("    - xform/》", $Z9, [1]【調】韻母標調!AP$1, "/", AG9, "/")</f>
        <v xml:space="preserve">    - xform/》o7/ō/</v>
      </c>
      <c r="AS9" s="39" t="str">
        <f xml:space="preserve"> _xlfn.CONCAT("    - xform/》", $Z9, [1]【調】韻母標調!AQ$1, "/", AH9, "/")</f>
        <v xml:space="preserve">    - xform/》o8/o̍/</v>
      </c>
      <c r="AT9" s="39" t="str">
        <f xml:space="preserve"> _xlfn.CONCAT("    - xform/》", $Z9, [1]【調】韻母標調!AR$1, "/", AI9, "/")</f>
        <v xml:space="preserve">    - xform/》o9/ő/</v>
      </c>
      <c r="AU9" s="39" t="str">
        <f xml:space="preserve"> _xlfn.CONCAT("    - xform/》", $Z9, [1]【調】韻母標調!AS$1, "/", AJ9, "/")</f>
        <v xml:space="preserve">    - xform/》o9/o̊/</v>
      </c>
      <c r="AV9" s="38"/>
      <c r="AW9" s="38"/>
      <c r="AX9" s="28"/>
      <c r="AY9" s="24"/>
      <c r="AZ9" s="24"/>
      <c r="BA9" s="24"/>
      <c r="BB9" s="24"/>
      <c r="BC9" s="24"/>
    </row>
    <row r="10" spans="1:55" ht="35.25" thickBot="1">
      <c r="A10" s="31">
        <f t="shared" si="8"/>
        <v>7</v>
      </c>
      <c r="B10" s="117" t="s">
        <v>428</v>
      </c>
      <c r="C10" s="116" t="s">
        <v>429</v>
      </c>
      <c r="D10" s="99" t="str">
        <f xml:space="preserve"> LEFT(韻母對照表[[#This Row],[十五音識別碼]],1)</f>
        <v>干</v>
      </c>
      <c r="E10" s="99" t="s">
        <v>430</v>
      </c>
      <c r="F10" s="118" t="s">
        <v>431</v>
      </c>
      <c r="G10" s="118" t="s">
        <v>431</v>
      </c>
      <c r="H10" s="32" t="s">
        <v>432</v>
      </c>
      <c r="I10" s="32" t="s">
        <v>432</v>
      </c>
      <c r="J10" s="32" t="s">
        <v>432</v>
      </c>
      <c r="K10" s="32" t="s">
        <v>432</v>
      </c>
      <c r="L10" s="33" t="s">
        <v>432</v>
      </c>
      <c r="M10" s="32"/>
      <c r="N10" s="34">
        <f t="shared" si="0"/>
        <v>2</v>
      </c>
      <c r="O10" s="36"/>
      <c r="P10" s="32" t="str">
        <f t="shared" si="1"/>
        <v>an</v>
      </c>
      <c r="Q10" s="32" t="str">
        <f t="shared" si="2"/>
        <v>an</v>
      </c>
      <c r="S10" s="25" t="str">
        <f t="shared" si="3"/>
        <v>an(\d)</v>
      </c>
      <c r="T10" s="26" t="s">
        <v>383</v>
      </c>
      <c r="U10" s="26">
        <f t="shared" si="4"/>
        <v>1</v>
      </c>
      <c r="V10" s="25" t="str">
        <f t="shared" si="5"/>
        <v>》a${1}n</v>
      </c>
      <c r="W10" s="35"/>
      <c r="X10" s="37" t="str">
        <f t="shared" si="6"/>
        <v xml:space="preserve">    - xform/》an(\d)/》a${1}n/</v>
      </c>
      <c r="Z10" s="28" t="s">
        <v>433</v>
      </c>
      <c r="AA10" s="38" t="str">
        <f t="shared" si="9"/>
        <v>m</v>
      </c>
      <c r="AB10" s="38" t="str">
        <f t="shared" si="9"/>
        <v>ḿ</v>
      </c>
      <c r="AC10" s="38" t="str">
        <f t="shared" si="9"/>
        <v>m̀</v>
      </c>
      <c r="AD10" s="38" t="str">
        <f t="shared" si="9"/>
        <v>m</v>
      </c>
      <c r="AE10" s="38" t="str">
        <f t="shared" si="9"/>
        <v>m̌</v>
      </c>
      <c r="AF10" s="38" t="str">
        <f t="shared" si="9"/>
        <v>ḿ</v>
      </c>
      <c r="AG10" s="38" t="str">
        <f t="shared" si="9"/>
        <v>m̄</v>
      </c>
      <c r="AH10" s="38" t="str">
        <f t="shared" si="9"/>
        <v>m̍</v>
      </c>
      <c r="AI10" s="38" t="str">
        <f t="shared" si="9"/>
        <v>m̋</v>
      </c>
      <c r="AJ10" s="38" t="str">
        <f t="shared" si="9"/>
        <v>m̊</v>
      </c>
      <c r="AL10" s="39" t="str">
        <f xml:space="preserve"> _xlfn.CONCAT("    - xform/》", $Z10, [1]【調】韻母標調!AJ$1, "/", AA10, "/")</f>
        <v xml:space="preserve">    - xform/》m1/m/</v>
      </c>
      <c r="AM10" s="39" t="str">
        <f xml:space="preserve"> _xlfn.CONCAT("    - xform/》", $Z10, [1]【調】韻母標調!AK$1, "/", AB10, "/")</f>
        <v xml:space="preserve">    - xform/》m2/ḿ/</v>
      </c>
      <c r="AN10" s="39" t="str">
        <f xml:space="preserve"> _xlfn.CONCAT("    - xform/》", $Z10, [1]【調】韻母標調!AL$1, "/", AC10, "/")</f>
        <v xml:space="preserve">    - xform/》m3/m̀/</v>
      </c>
      <c r="AO10" s="39" t="str">
        <f xml:space="preserve"> _xlfn.CONCAT("    - xform/》", $Z10, [1]【調】韻母標調!AM$1, "/", AD10, "/")</f>
        <v xml:space="preserve">    - xform/》m4/m/</v>
      </c>
      <c r="AP10" s="39" t="str">
        <f xml:space="preserve"> _xlfn.CONCAT("    - xform/》", $Z10, [1]【調】韻母標調!AN$1, "/", AE10, "/")</f>
        <v xml:space="preserve">    - xform/》m5/m̌/</v>
      </c>
      <c r="AQ10" s="39" t="str">
        <f xml:space="preserve"> _xlfn.CONCAT("    - xform/》", $Z10, [1]【調】韻母標調!AO$1, "/", AF10, "/")</f>
        <v xml:space="preserve">    - xform/》m6/ḿ/</v>
      </c>
      <c r="AR10" s="39" t="str">
        <f xml:space="preserve"> _xlfn.CONCAT("    - xform/》", $Z10, [1]【調】韻母標調!AP$1, "/", AG10, "/")</f>
        <v xml:space="preserve">    - xform/》m7/m̄/</v>
      </c>
      <c r="AS10" s="39" t="str">
        <f xml:space="preserve"> _xlfn.CONCAT("    - xform/》", $Z10, [1]【調】韻母標調!AQ$1, "/", AH10, "/")</f>
        <v xml:space="preserve">    - xform/》m8/m̍/</v>
      </c>
      <c r="AT10" s="39" t="str">
        <f xml:space="preserve"> _xlfn.CONCAT("    - xform/》", $Z10, [1]【調】韻母標調!AR$1, "/", AI10, "/")</f>
        <v xml:space="preserve">    - xform/》m9/m̋/</v>
      </c>
      <c r="AU10" s="39" t="str">
        <f xml:space="preserve"> _xlfn.CONCAT("    - xform/》", $Z10, [1]【調】韻母標調!AS$1, "/", AJ10, "/")</f>
        <v xml:space="preserve">    - xform/》m9/m̊/</v>
      </c>
      <c r="AV10" s="38"/>
      <c r="AW10" s="38"/>
      <c r="AX10" s="28"/>
      <c r="AY10" s="24"/>
      <c r="AZ10" s="24"/>
      <c r="BA10" s="24"/>
      <c r="BB10" s="24"/>
      <c r="BC10" s="24"/>
    </row>
    <row r="11" spans="1:55" ht="35.25" thickBot="1">
      <c r="A11" s="31">
        <f t="shared" si="8"/>
        <v>8</v>
      </c>
      <c r="B11" s="117" t="s">
        <v>434</v>
      </c>
      <c r="C11" s="116" t="s">
        <v>435</v>
      </c>
      <c r="D11" s="99" t="str">
        <f xml:space="preserve"> LEFT(韻母對照表[[#This Row],[十五音識別碼]],1)</f>
        <v>江</v>
      </c>
      <c r="E11" s="99" t="s">
        <v>436</v>
      </c>
      <c r="F11" s="118" t="s">
        <v>437</v>
      </c>
      <c r="G11" s="118" t="s">
        <v>437</v>
      </c>
      <c r="H11" s="32" t="s">
        <v>438</v>
      </c>
      <c r="I11" s="32" t="s">
        <v>438</v>
      </c>
      <c r="J11" s="32" t="s">
        <v>438</v>
      </c>
      <c r="K11" s="32" t="s">
        <v>438</v>
      </c>
      <c r="L11" s="33" t="s">
        <v>438</v>
      </c>
      <c r="M11" s="32"/>
      <c r="N11" s="34">
        <f t="shared" si="0"/>
        <v>3</v>
      </c>
      <c r="O11" s="36"/>
      <c r="P11" s="32" t="str">
        <f t="shared" si="1"/>
        <v>ang</v>
      </c>
      <c r="Q11" s="32" t="str">
        <f t="shared" si="2"/>
        <v>ang</v>
      </c>
      <c r="S11" s="25" t="str">
        <f t="shared" si="3"/>
        <v>ang(\d)</v>
      </c>
      <c r="T11" s="26" t="s">
        <v>383</v>
      </c>
      <c r="U11" s="26">
        <f t="shared" si="4"/>
        <v>1</v>
      </c>
      <c r="V11" s="25" t="str">
        <f t="shared" si="5"/>
        <v>》a${1}ng</v>
      </c>
      <c r="W11" s="35"/>
      <c r="X11" s="37" t="str">
        <f t="shared" si="6"/>
        <v xml:space="preserve">    - xform/》ang(\d)/》a${1}ng/</v>
      </c>
      <c r="Z11" s="28" t="s">
        <v>439</v>
      </c>
      <c r="AA11" s="38" t="str">
        <f t="shared" si="9"/>
        <v>n</v>
      </c>
      <c r="AB11" s="38" t="str">
        <f t="shared" si="9"/>
        <v>ń</v>
      </c>
      <c r="AC11" s="38" t="str">
        <f t="shared" si="9"/>
        <v>ǹ</v>
      </c>
      <c r="AD11" s="38" t="str">
        <f t="shared" si="9"/>
        <v>n</v>
      </c>
      <c r="AE11" s="38" t="str">
        <f t="shared" si="9"/>
        <v>ň</v>
      </c>
      <c r="AF11" s="38" t="str">
        <f t="shared" si="9"/>
        <v>ń</v>
      </c>
      <c r="AG11" s="38" t="str">
        <f t="shared" si="9"/>
        <v>n̄</v>
      </c>
      <c r="AH11" s="38" t="str">
        <f t="shared" si="9"/>
        <v>n̍</v>
      </c>
      <c r="AI11" s="38" t="str">
        <f t="shared" si="9"/>
        <v>n̋</v>
      </c>
      <c r="AJ11" s="38" t="str">
        <f t="shared" si="9"/>
        <v>n̊</v>
      </c>
      <c r="AL11" s="39" t="str">
        <f xml:space="preserve"> _xlfn.CONCAT("    - xform/》", $Z11, [1]【調】韻母標調!AJ$1, "/", AA11, "/")</f>
        <v xml:space="preserve">    - xform/》n1/n/</v>
      </c>
      <c r="AM11" s="39" t="str">
        <f xml:space="preserve"> _xlfn.CONCAT("    - xform/》", $Z11, [1]【調】韻母標調!AK$1, "/", AB11, "/")</f>
        <v xml:space="preserve">    - xform/》n2/ń/</v>
      </c>
      <c r="AN11" s="39" t="str">
        <f xml:space="preserve"> _xlfn.CONCAT("    - xform/》", $Z11, [1]【調】韻母標調!AL$1, "/", AC11, "/")</f>
        <v xml:space="preserve">    - xform/》n3/ǹ/</v>
      </c>
      <c r="AO11" s="39" t="str">
        <f xml:space="preserve"> _xlfn.CONCAT("    - xform/》", $Z11, [1]【調】韻母標調!AM$1, "/", AD11, "/")</f>
        <v xml:space="preserve">    - xform/》n4/n/</v>
      </c>
      <c r="AP11" s="39" t="str">
        <f xml:space="preserve"> _xlfn.CONCAT("    - xform/》", $Z11, [1]【調】韻母標調!AN$1, "/", AE11, "/")</f>
        <v xml:space="preserve">    - xform/》n5/ň/</v>
      </c>
      <c r="AQ11" s="39" t="str">
        <f xml:space="preserve"> _xlfn.CONCAT("    - xform/》", $Z11, [1]【調】韻母標調!AO$1, "/", AF11, "/")</f>
        <v xml:space="preserve">    - xform/》n6/ń/</v>
      </c>
      <c r="AR11" s="39" t="str">
        <f xml:space="preserve"> _xlfn.CONCAT("    - xform/》", $Z11, [1]【調】韻母標調!AP$1, "/", AG11, "/")</f>
        <v xml:space="preserve">    - xform/》n7/n̄/</v>
      </c>
      <c r="AS11" s="39" t="str">
        <f xml:space="preserve"> _xlfn.CONCAT("    - xform/》", $Z11, [1]【調】韻母標調!AQ$1, "/", AH11, "/")</f>
        <v xml:space="preserve">    - xform/》n8/n̍/</v>
      </c>
      <c r="AT11" s="39" t="str">
        <f xml:space="preserve"> _xlfn.CONCAT("    - xform/》", $Z11, [1]【調】韻母標調!AR$1, "/", AI11, "/")</f>
        <v xml:space="preserve">    - xform/》n9/n̋/</v>
      </c>
      <c r="AU11" s="39" t="str">
        <f xml:space="preserve"> _xlfn.CONCAT("    - xform/》", $Z11, [1]【調】韻母標調!AS$1, "/", AJ11, "/")</f>
        <v xml:space="preserve">    - xform/》n9/n̊/</v>
      </c>
      <c r="AV11" s="38"/>
      <c r="AW11" s="38"/>
      <c r="AX11" s="28"/>
      <c r="AY11" s="24"/>
      <c r="AZ11" s="24"/>
      <c r="BA11" s="24"/>
      <c r="BB11" s="24"/>
      <c r="BC11" s="24"/>
    </row>
    <row r="12" spans="1:55" ht="35.25" thickBot="1">
      <c r="A12" s="31">
        <f t="shared" si="8"/>
        <v>9</v>
      </c>
      <c r="B12" s="117" t="s">
        <v>440</v>
      </c>
      <c r="C12" s="116" t="s">
        <v>441</v>
      </c>
      <c r="D12" s="99" t="str">
        <f xml:space="preserve"> LEFT(韻母對照表[[#This Row],[十五音識別碼]],1)</f>
        <v>監</v>
      </c>
      <c r="E12" s="99" t="s">
        <v>442</v>
      </c>
      <c r="F12" s="118" t="s">
        <v>443</v>
      </c>
      <c r="G12" s="118" t="s">
        <v>444</v>
      </c>
      <c r="H12" s="32" t="s">
        <v>445</v>
      </c>
      <c r="I12" s="32" t="s">
        <v>446</v>
      </c>
      <c r="J12" s="32" t="s">
        <v>445</v>
      </c>
      <c r="K12" s="32" t="s">
        <v>445</v>
      </c>
      <c r="L12" s="33" t="s">
        <v>447</v>
      </c>
      <c r="M12" s="42" t="s">
        <v>415</v>
      </c>
      <c r="N12" s="34">
        <f t="shared" si="0"/>
        <v>3</v>
      </c>
      <c r="O12" s="36"/>
      <c r="P12" s="32" t="str">
        <f t="shared" si="1"/>
        <v>ann</v>
      </c>
      <c r="Q12" s="32" t="str">
        <f t="shared" si="2"/>
        <v>ann</v>
      </c>
      <c r="S12" s="25" t="str">
        <f t="shared" si="3"/>
        <v>ann(\d)</v>
      </c>
      <c r="T12" s="44" t="s">
        <v>383</v>
      </c>
      <c r="U12" s="26">
        <f t="shared" si="4"/>
        <v>1</v>
      </c>
      <c r="V12" s="25" t="str">
        <f t="shared" si="5"/>
        <v>》a${1}nn</v>
      </c>
      <c r="W12" s="35"/>
      <c r="X12" s="37" t="str">
        <f t="shared" si="6"/>
        <v xml:space="preserve">    - xform/》ann(\d)/》a${1}nn/</v>
      </c>
      <c r="Z12" s="28" t="s">
        <v>448</v>
      </c>
      <c r="AA12" s="38" t="str">
        <f t="shared" si="9"/>
        <v>i</v>
      </c>
      <c r="AB12" s="38" t="str">
        <f t="shared" si="9"/>
        <v>í</v>
      </c>
      <c r="AC12" s="38" t="str">
        <f t="shared" si="9"/>
        <v>ì</v>
      </c>
      <c r="AD12" s="38" t="str">
        <f t="shared" si="9"/>
        <v>i</v>
      </c>
      <c r="AE12" s="38" t="str">
        <f t="shared" si="9"/>
        <v>ǐ</v>
      </c>
      <c r="AF12" s="38" t="str">
        <f t="shared" si="9"/>
        <v>í</v>
      </c>
      <c r="AG12" s="38" t="str">
        <f t="shared" si="9"/>
        <v>ī</v>
      </c>
      <c r="AH12" s="38" t="str">
        <f t="shared" si="9"/>
        <v>i̍</v>
      </c>
      <c r="AI12" s="38" t="str">
        <f t="shared" si="9"/>
        <v>i̋</v>
      </c>
      <c r="AJ12" s="38" t="str">
        <f t="shared" si="9"/>
        <v>i̊</v>
      </c>
      <c r="AL12" s="39" t="str">
        <f xml:space="preserve"> _xlfn.CONCAT("    - xform/》", $Z12, [1]【調】韻母標調!AJ$1, "/", AA12, "/")</f>
        <v xml:space="preserve">    - xform/》i1/i/</v>
      </c>
      <c r="AM12" s="39" t="str">
        <f xml:space="preserve"> _xlfn.CONCAT("    - xform/》", $Z12, [1]【調】韻母標調!AK$1, "/", AB12, "/")</f>
        <v xml:space="preserve">    - xform/》i2/í/</v>
      </c>
      <c r="AN12" s="39" t="str">
        <f xml:space="preserve"> _xlfn.CONCAT("    - xform/》", $Z12, [1]【調】韻母標調!AL$1, "/", AC12, "/")</f>
        <v xml:space="preserve">    - xform/》i3/ì/</v>
      </c>
      <c r="AO12" s="39" t="str">
        <f xml:space="preserve"> _xlfn.CONCAT("    - xform/》", $Z12, [1]【調】韻母標調!AM$1, "/", AD12, "/")</f>
        <v xml:space="preserve">    - xform/》i4/i/</v>
      </c>
      <c r="AP12" s="39" t="str">
        <f xml:space="preserve"> _xlfn.CONCAT("    - xform/》", $Z12, [1]【調】韻母標調!AN$1, "/", AE12, "/")</f>
        <v xml:space="preserve">    - xform/》i5/ǐ/</v>
      </c>
      <c r="AQ12" s="39" t="str">
        <f xml:space="preserve"> _xlfn.CONCAT("    - xform/》", $Z12, [1]【調】韻母標調!AO$1, "/", AF12, "/")</f>
        <v xml:space="preserve">    - xform/》i6/í/</v>
      </c>
      <c r="AR12" s="39" t="str">
        <f xml:space="preserve"> _xlfn.CONCAT("    - xform/》", $Z12, [1]【調】韻母標調!AP$1, "/", AG12, "/")</f>
        <v xml:space="preserve">    - xform/》i7/ī/</v>
      </c>
      <c r="AS12" s="39" t="str">
        <f xml:space="preserve"> _xlfn.CONCAT("    - xform/》", $Z12, [1]【調】韻母標調!AQ$1, "/", AH12, "/")</f>
        <v xml:space="preserve">    - xform/》i8/i̍/</v>
      </c>
      <c r="AT12" s="39" t="str">
        <f xml:space="preserve"> _xlfn.CONCAT("    - xform/》", $Z12, [1]【調】韻母標調!AR$1, "/", AI12, "/")</f>
        <v xml:space="preserve">    - xform/》i9/i̋/</v>
      </c>
      <c r="AU12" s="39" t="str">
        <f xml:space="preserve"> _xlfn.CONCAT("    - xform/》", $Z12, [1]【調】韻母標調!AS$1, "/", AJ12, "/")</f>
        <v xml:space="preserve">    - xform/》i9/i̊/</v>
      </c>
      <c r="AV12" s="38"/>
      <c r="AW12" s="38"/>
      <c r="AX12" s="28"/>
      <c r="AY12" s="24"/>
      <c r="AZ12" s="24"/>
      <c r="BA12" s="24"/>
      <c r="BB12" s="24"/>
      <c r="BC12" s="24"/>
    </row>
    <row r="13" spans="1:55" ht="54.75" thickBot="1">
      <c r="A13" s="31">
        <f t="shared" si="8"/>
        <v>10</v>
      </c>
      <c r="B13" s="117" t="s">
        <v>449</v>
      </c>
      <c r="C13" s="116" t="s">
        <v>450</v>
      </c>
      <c r="D13" s="99" t="str">
        <f xml:space="preserve"> LEFT(韻母對照表[[#This Row],[十五音識別碼]],1)</f>
        <v>監</v>
      </c>
      <c r="E13" s="99" t="s">
        <v>451</v>
      </c>
      <c r="F13" s="118" t="s">
        <v>452</v>
      </c>
      <c r="G13" s="118" t="s">
        <v>453</v>
      </c>
      <c r="H13" s="32" t="s">
        <v>454</v>
      </c>
      <c r="I13" s="40" t="s">
        <v>455</v>
      </c>
      <c r="J13" s="32" t="s">
        <v>454</v>
      </c>
      <c r="K13" s="32" t="s">
        <v>456</v>
      </c>
      <c r="L13" s="33" t="s">
        <v>457</v>
      </c>
      <c r="M13" s="42" t="s">
        <v>415</v>
      </c>
      <c r="N13" s="34">
        <f t="shared" si="0"/>
        <v>4</v>
      </c>
      <c r="O13" s="36"/>
      <c r="P13" s="32" t="str">
        <f t="shared" si="1"/>
        <v>annh</v>
      </c>
      <c r="Q13" s="32" t="str">
        <f t="shared" si="2"/>
        <v>annh</v>
      </c>
      <c r="S13" s="25" t="str">
        <f t="shared" si="3"/>
        <v>annh(\d)</v>
      </c>
      <c r="T13" s="26" t="s">
        <v>383</v>
      </c>
      <c r="U13" s="26">
        <f t="shared" si="4"/>
        <v>1</v>
      </c>
      <c r="V13" s="25" t="str">
        <f t="shared" si="5"/>
        <v>》a${1}nnh</v>
      </c>
      <c r="W13" s="35"/>
      <c r="X13" s="37" t="str">
        <f t="shared" si="6"/>
        <v xml:space="preserve">    - xform/》annh(\d)/》a${1}nnh/</v>
      </c>
      <c r="Z13" s="28" t="s">
        <v>421</v>
      </c>
      <c r="AA13" s="38" t="str">
        <f t="shared" si="9"/>
        <v>e</v>
      </c>
      <c r="AB13" s="38" t="str">
        <f t="shared" si="9"/>
        <v>é</v>
      </c>
      <c r="AC13" s="38" t="str">
        <f t="shared" si="9"/>
        <v>è</v>
      </c>
      <c r="AD13" s="38" t="str">
        <f t="shared" si="9"/>
        <v>e</v>
      </c>
      <c r="AE13" s="38" t="str">
        <f t="shared" si="9"/>
        <v>ě</v>
      </c>
      <c r="AF13" s="38" t="str">
        <f t="shared" si="9"/>
        <v>é</v>
      </c>
      <c r="AG13" s="38" t="str">
        <f t="shared" si="9"/>
        <v>ē</v>
      </c>
      <c r="AH13" s="38" t="str">
        <f t="shared" si="9"/>
        <v>e̍</v>
      </c>
      <c r="AI13" s="38" t="str">
        <f t="shared" si="9"/>
        <v>e̋</v>
      </c>
      <c r="AJ13" s="38" t="str">
        <f t="shared" si="9"/>
        <v>e̊</v>
      </c>
      <c r="AL13" s="39" t="str">
        <f xml:space="preserve"> _xlfn.CONCAT("    - xform/》", $Z13, [1]【調】韻母標調!AJ$1, "/", AA13, "/")</f>
        <v xml:space="preserve">    - xform/》e1/e/</v>
      </c>
      <c r="AM13" s="39" t="str">
        <f xml:space="preserve"> _xlfn.CONCAT("    - xform/》", $Z13, [1]【調】韻母標調!AK$1, "/", AB13, "/")</f>
        <v xml:space="preserve">    - xform/》e2/é/</v>
      </c>
      <c r="AN13" s="39" t="str">
        <f xml:space="preserve"> _xlfn.CONCAT("    - xform/》", $Z13, [1]【調】韻母標調!AL$1, "/", AC13, "/")</f>
        <v xml:space="preserve">    - xform/》e3/è/</v>
      </c>
      <c r="AO13" s="39" t="str">
        <f xml:space="preserve"> _xlfn.CONCAT("    - xform/》", $Z13, [1]【調】韻母標調!AM$1, "/", AD13, "/")</f>
        <v xml:space="preserve">    - xform/》e4/e/</v>
      </c>
      <c r="AP13" s="39" t="str">
        <f xml:space="preserve"> _xlfn.CONCAT("    - xform/》", $Z13, [1]【調】韻母標調!AN$1, "/", AE13, "/")</f>
        <v xml:space="preserve">    - xform/》e5/ě/</v>
      </c>
      <c r="AQ13" s="39" t="str">
        <f xml:space="preserve"> _xlfn.CONCAT("    - xform/》", $Z13, [1]【調】韻母標調!AO$1, "/", AF13, "/")</f>
        <v xml:space="preserve">    - xform/》e6/é/</v>
      </c>
      <c r="AR13" s="39" t="str">
        <f xml:space="preserve"> _xlfn.CONCAT("    - xform/》", $Z13, [1]【調】韻母標調!AP$1, "/", AG13, "/")</f>
        <v xml:space="preserve">    - xform/》e7/ē/</v>
      </c>
      <c r="AS13" s="39" t="str">
        <f xml:space="preserve"> _xlfn.CONCAT("    - xform/》", $Z13, [1]【調】韻母標調!AQ$1, "/", AH13, "/")</f>
        <v xml:space="preserve">    - xform/》e8/e̍/</v>
      </c>
      <c r="AT13" s="39" t="str">
        <f xml:space="preserve"> _xlfn.CONCAT("    - xform/》", $Z13, [1]【調】韻母標調!AR$1, "/", AI13, "/")</f>
        <v xml:space="preserve">    - xform/》e9/e̋/</v>
      </c>
      <c r="AU13" s="39" t="str">
        <f xml:space="preserve"> _xlfn.CONCAT("    - xform/》", $Z13, [1]【調】韻母標調!AS$1, "/", AJ13, "/")</f>
        <v xml:space="preserve">    - xform/》e9/e̊/</v>
      </c>
      <c r="AV13" s="38"/>
      <c r="AW13" s="38"/>
      <c r="AX13" s="28"/>
      <c r="AY13" s="24"/>
      <c r="AZ13" s="24"/>
      <c r="BA13" s="24"/>
      <c r="BB13" s="24"/>
      <c r="BC13" s="24"/>
    </row>
    <row r="14" spans="1:55" ht="35.25" thickBot="1">
      <c r="A14" s="31">
        <f t="shared" si="8"/>
        <v>11</v>
      </c>
      <c r="B14" s="117" t="str">
        <f>_xlfn.CONCAT("a","p",_xlfn.UNICHAR(794))</f>
        <v>ap̚</v>
      </c>
      <c r="C14" s="116" t="s">
        <v>458</v>
      </c>
      <c r="D14" s="99" t="str">
        <f xml:space="preserve"> LEFT(韻母對照表[[#This Row],[十五音識別碼]],1)</f>
        <v>甘</v>
      </c>
      <c r="E14" s="99" t="s">
        <v>459</v>
      </c>
      <c r="F14" s="118" t="s">
        <v>460</v>
      </c>
      <c r="G14" s="118" t="s">
        <v>461</v>
      </c>
      <c r="H14" s="32" t="s">
        <v>462</v>
      </c>
      <c r="I14" s="32" t="s">
        <v>462</v>
      </c>
      <c r="J14" s="32" t="s">
        <v>462</v>
      </c>
      <c r="K14" s="32" t="s">
        <v>462</v>
      </c>
      <c r="L14" s="33" t="s">
        <v>462</v>
      </c>
      <c r="M14" s="32"/>
      <c r="N14" s="34">
        <f t="shared" si="0"/>
        <v>2</v>
      </c>
      <c r="O14" s="36"/>
      <c r="P14" s="32" t="str">
        <f t="shared" si="1"/>
        <v>ap</v>
      </c>
      <c r="Q14" s="32" t="str">
        <f t="shared" si="2"/>
        <v>ap</v>
      </c>
      <c r="S14" s="25" t="str">
        <f xml:space="preserve"> _xlfn.CONCAT(P14, "(\d)")</f>
        <v>ap(\d)</v>
      </c>
      <c r="T14" s="26" t="s">
        <v>383</v>
      </c>
      <c r="U14" s="26">
        <f t="shared" si="4"/>
        <v>1</v>
      </c>
      <c r="V14" s="25" t="str">
        <f xml:space="preserve"> IFERROR( _xlfn.CONCAT(LEFT(P14,U14-1), "》", MID(P14,U14,1), "${1}", RIGHT(P14, LEN(P14)-U14)), "" )</f>
        <v>》a${1}p</v>
      </c>
      <c r="W14" s="35"/>
      <c r="X14" s="37" t="str">
        <f xml:space="preserve"> IF(AND(Q14&lt;&gt;"", P14&lt;&gt;""), "    - xform/》" &amp; S14 &amp;  "/"  &amp; V14 &amp;  "/", "")</f>
        <v xml:space="preserve">    - xform/》ap(\d)/》a${1}p/</v>
      </c>
      <c r="Z14" s="28"/>
      <c r="AA14" s="28"/>
      <c r="AB14" s="28"/>
      <c r="AC14" s="28"/>
      <c r="AD14" s="28"/>
      <c r="AE14" s="28"/>
      <c r="AF14" s="28"/>
      <c r="AG14" s="28"/>
      <c r="AH14" s="28"/>
      <c r="AL14" s="29"/>
      <c r="AM14" s="29"/>
      <c r="AN14" s="29"/>
      <c r="AO14" s="29"/>
      <c r="AP14" s="29"/>
      <c r="AQ14" s="29"/>
      <c r="AR14" s="29"/>
      <c r="AS14" s="29"/>
      <c r="AT14" s="29"/>
      <c r="AU14" s="24"/>
      <c r="AV14" s="24"/>
      <c r="AW14" s="24"/>
      <c r="AX14" s="24"/>
      <c r="AY14" s="24"/>
      <c r="AZ14" s="24"/>
      <c r="BA14" s="24"/>
      <c r="BB14" s="24"/>
      <c r="BC14" s="24"/>
    </row>
    <row r="15" spans="1:55" ht="35.25" thickBot="1">
      <c r="A15" s="31">
        <f t="shared" si="8"/>
        <v>12</v>
      </c>
      <c r="B15" s="117" t="str">
        <f>_xlfn.CONCAT("a","t",_xlfn.UNICHAR(794))</f>
        <v>at̚</v>
      </c>
      <c r="C15" s="116" t="s">
        <v>463</v>
      </c>
      <c r="D15" s="99" t="str">
        <f xml:space="preserve"> LEFT(韻母對照表[[#This Row],[十五音識別碼]],1)</f>
        <v>干</v>
      </c>
      <c r="E15" s="99" t="s">
        <v>464</v>
      </c>
      <c r="F15" s="118" t="s">
        <v>465</v>
      </c>
      <c r="G15" s="118" t="s">
        <v>466</v>
      </c>
      <c r="H15" s="32" t="s">
        <v>467</v>
      </c>
      <c r="I15" s="32" t="s">
        <v>467</v>
      </c>
      <c r="J15" s="32" t="s">
        <v>467</v>
      </c>
      <c r="K15" s="32" t="s">
        <v>467</v>
      </c>
      <c r="L15" s="33" t="s">
        <v>467</v>
      </c>
      <c r="M15" s="32"/>
      <c r="N15" s="34">
        <f t="shared" si="0"/>
        <v>2</v>
      </c>
      <c r="O15" s="36"/>
      <c r="P15" s="32" t="str">
        <f t="shared" si="1"/>
        <v>at</v>
      </c>
      <c r="Q15" s="32" t="str">
        <f t="shared" si="2"/>
        <v>at</v>
      </c>
      <c r="S15" s="25" t="str">
        <f xml:space="preserve"> _xlfn.CONCAT(P15, "(\d)")</f>
        <v>at(\d)</v>
      </c>
      <c r="T15" s="26" t="s">
        <v>399</v>
      </c>
      <c r="U15" s="26" t="str">
        <f t="shared" si="4"/>
        <v/>
      </c>
      <c r="V15" s="25" t="str">
        <f xml:space="preserve"> IFERROR( _xlfn.CONCAT(LEFT(P15,U15-1), "》", MID(P15,U15,1), "${1}", RIGHT(P15, LEN(P15)-U15)), "" )</f>
        <v/>
      </c>
      <c r="W15" s="35"/>
      <c r="X15" s="37" t="str">
        <f xml:space="preserve"> IF(AND(Q15&lt;&gt;"", P15&lt;&gt;""), "    - xform/》" &amp; S15 &amp;  "/"  &amp; V15 &amp;  "/", "")</f>
        <v xml:space="preserve">    - xform/》at(\d)//</v>
      </c>
      <c r="Z15" s="28"/>
      <c r="AA15" s="28"/>
      <c r="AB15" s="28"/>
      <c r="AC15" s="28"/>
      <c r="AD15" s="28"/>
      <c r="AE15" s="28"/>
      <c r="AF15" s="28"/>
      <c r="AG15" s="28"/>
      <c r="AH15" s="28"/>
      <c r="AL15" s="29"/>
      <c r="AM15" s="29"/>
      <c r="AN15" s="29"/>
      <c r="AO15" s="29"/>
      <c r="AP15" s="29"/>
      <c r="AQ15" s="29"/>
      <c r="AR15" s="29"/>
      <c r="AS15" s="29"/>
      <c r="AT15" s="29"/>
      <c r="AU15" s="24"/>
      <c r="AV15" s="24"/>
      <c r="AW15" s="24"/>
      <c r="AX15" s="24"/>
      <c r="AY15" s="24"/>
      <c r="AZ15" s="24"/>
      <c r="BA15" s="24"/>
      <c r="BB15" s="24"/>
      <c r="BC15" s="24"/>
    </row>
    <row r="16" spans="1:55" ht="35.25" thickBot="1">
      <c r="A16" s="31">
        <f t="shared" si="8"/>
        <v>13</v>
      </c>
      <c r="B16" s="117" t="s">
        <v>468</v>
      </c>
      <c r="C16" s="116" t="s">
        <v>469</v>
      </c>
      <c r="D16" s="99" t="str">
        <f xml:space="preserve"> LEFT(韻母對照表[[#This Row],[十五音識別碼]],1)</f>
        <v>交</v>
      </c>
      <c r="E16" s="99" t="s">
        <v>470</v>
      </c>
      <c r="F16" s="118" t="s">
        <v>471</v>
      </c>
      <c r="G16" s="118" t="s">
        <v>471</v>
      </c>
      <c r="H16" s="32" t="s">
        <v>472</v>
      </c>
      <c r="I16" s="32" t="s">
        <v>473</v>
      </c>
      <c r="J16" s="32" t="s">
        <v>472</v>
      </c>
      <c r="K16" s="32" t="s">
        <v>472</v>
      </c>
      <c r="L16" s="33" t="s">
        <v>472</v>
      </c>
      <c r="M16" s="32"/>
      <c r="N16" s="34">
        <f t="shared" si="0"/>
        <v>2</v>
      </c>
      <c r="O16" s="36"/>
      <c r="P16" s="32" t="str">
        <f t="shared" si="1"/>
        <v>au</v>
      </c>
      <c r="Q16" s="32" t="str">
        <f t="shared" si="2"/>
        <v>au</v>
      </c>
      <c r="S16" s="25" t="str">
        <f xml:space="preserve"> _xlfn.CONCAT(P16, "(\d)")</f>
        <v>au(\d)</v>
      </c>
      <c r="T16" s="26" t="s">
        <v>383</v>
      </c>
      <c r="U16" s="26">
        <f t="shared" si="4"/>
        <v>1</v>
      </c>
      <c r="V16" s="25" t="str">
        <f xml:space="preserve"> IFERROR( _xlfn.CONCAT(LEFT(P16,U16-1), "》", MID(P16,U16,1), "${1}", RIGHT(P16, LEN(P16)-U16)), "" )</f>
        <v>》a${1}u</v>
      </c>
      <c r="W16" s="35"/>
      <c r="X16" s="37" t="str">
        <f xml:space="preserve"> IF(AND(Q16&lt;&gt;"", P16&lt;&gt;""), "    - xform/》" &amp; S16 &amp;  "/"  &amp; V16 &amp;  "/", "")</f>
        <v xml:space="preserve">    - xform/》au(\d)/》a${1}u/</v>
      </c>
      <c r="Z16" s="28"/>
      <c r="AA16" s="28"/>
      <c r="AB16" s="28"/>
      <c r="AC16" s="28"/>
      <c r="AD16" s="28"/>
      <c r="AE16" s="28"/>
      <c r="AF16" s="28"/>
      <c r="AG16" s="28"/>
      <c r="AH16" s="28"/>
      <c r="AL16" s="29"/>
      <c r="AM16" s="29"/>
      <c r="AN16" s="29"/>
      <c r="AO16" s="29"/>
      <c r="AP16" s="29"/>
      <c r="AQ16" s="29"/>
      <c r="AR16" s="29"/>
      <c r="AS16" s="29"/>
      <c r="AT16" s="29"/>
      <c r="AU16" s="24"/>
      <c r="AV16" s="24"/>
      <c r="AW16" s="24"/>
      <c r="AX16" s="24"/>
      <c r="AY16" s="24"/>
      <c r="AZ16" s="24"/>
      <c r="BA16" s="24"/>
      <c r="BB16" s="24"/>
      <c r="BC16" s="24"/>
    </row>
    <row r="17" spans="1:55" ht="35.25" thickBot="1">
      <c r="A17" s="31">
        <f t="shared" si="8"/>
        <v>14</v>
      </c>
      <c r="B17" s="117" t="s">
        <v>474</v>
      </c>
      <c r="C17" s="116" t="s">
        <v>475</v>
      </c>
      <c r="D17" s="99" t="str">
        <f xml:space="preserve"> LEFT(韻母對照表[[#This Row],[十五音識別碼]],1)</f>
        <v>交</v>
      </c>
      <c r="E17" s="99" t="s">
        <v>476</v>
      </c>
      <c r="F17" s="118" t="s">
        <v>477</v>
      </c>
      <c r="G17" s="118" t="s">
        <v>478</v>
      </c>
      <c r="H17" s="32" t="s">
        <v>479</v>
      </c>
      <c r="I17" s="32" t="s">
        <v>480</v>
      </c>
      <c r="J17" s="43" t="s">
        <v>479</v>
      </c>
      <c r="K17" s="32" t="s">
        <v>479</v>
      </c>
      <c r="L17" s="33" t="s">
        <v>479</v>
      </c>
      <c r="M17" s="32"/>
      <c r="N17" s="34">
        <f t="shared" si="0"/>
        <v>3</v>
      </c>
      <c r="O17" s="36"/>
      <c r="P17" s="32" t="str">
        <f t="shared" si="1"/>
        <v>auh</v>
      </c>
      <c r="Q17" s="32" t="str">
        <f t="shared" si="2"/>
        <v>auh</v>
      </c>
      <c r="S17" s="25" t="str">
        <f xml:space="preserve"> _xlfn.CONCAT(P17, "(\d)")</f>
        <v>auh(\d)</v>
      </c>
      <c r="T17" s="26" t="s">
        <v>383</v>
      </c>
      <c r="U17" s="26">
        <f t="shared" si="4"/>
        <v>1</v>
      </c>
      <c r="V17" s="25" t="str">
        <f xml:space="preserve"> IFERROR( _xlfn.CONCAT(LEFT(P17,U17-1), "》", MID(P17,U17,1), "${1}", RIGHT(P17, LEN(P17)-U17)), "" )</f>
        <v>》a${1}uh</v>
      </c>
      <c r="W17" s="35"/>
      <c r="X17" s="37" t="str">
        <f xml:space="preserve"> IF(AND(Q17&lt;&gt;"", P17&lt;&gt;""), "    - xform/》" &amp; S17 &amp;  "/"  &amp; V17 &amp;  "/", "")</f>
        <v xml:space="preserve">    - xform/》auh(\d)/》a${1}uh/</v>
      </c>
      <c r="Z17" s="28"/>
      <c r="AA17" s="28"/>
      <c r="AB17" s="28"/>
      <c r="AC17" s="28"/>
      <c r="AD17" s="28"/>
      <c r="AE17" s="28"/>
      <c r="AF17" s="28"/>
      <c r="AG17" s="28"/>
      <c r="AH17" s="28"/>
      <c r="AL17" s="29"/>
      <c r="AM17" s="29"/>
      <c r="AN17" s="29"/>
      <c r="AO17" s="29"/>
      <c r="AP17" s="29"/>
      <c r="AQ17" s="29"/>
      <c r="AR17" s="29"/>
      <c r="AS17" s="29"/>
      <c r="AT17" s="29"/>
      <c r="AU17" s="24"/>
      <c r="AV17" s="24"/>
      <c r="AW17" s="24"/>
      <c r="AX17" s="24"/>
      <c r="AY17" s="24"/>
      <c r="AZ17" s="24"/>
      <c r="BA17" s="24"/>
      <c r="BB17" s="24"/>
      <c r="BC17" s="24"/>
    </row>
    <row r="18" spans="1:55" ht="35.25" thickBot="1">
      <c r="A18" s="31">
        <f t="shared" si="8"/>
        <v>15</v>
      </c>
      <c r="B18" s="117" t="s">
        <v>421</v>
      </c>
      <c r="C18" s="116" t="s">
        <v>481</v>
      </c>
      <c r="D18" s="99" t="str">
        <f xml:space="preserve"> LEFT(韻母對照表[[#This Row],[十五音識別碼]],1)</f>
        <v>稽</v>
      </c>
      <c r="E18" s="99" t="s">
        <v>482</v>
      </c>
      <c r="F18" s="118" t="s">
        <v>483</v>
      </c>
      <c r="G18" s="118" t="s">
        <v>484</v>
      </c>
      <c r="H18" s="32" t="s">
        <v>253</v>
      </c>
      <c r="I18" s="32" t="s">
        <v>253</v>
      </c>
      <c r="J18" s="32" t="s">
        <v>253</v>
      </c>
      <c r="K18" s="32" t="s">
        <v>485</v>
      </c>
      <c r="L18" s="33" t="s">
        <v>254</v>
      </c>
      <c r="M18" s="32"/>
      <c r="N18" s="34">
        <f t="shared" si="0"/>
        <v>2</v>
      </c>
      <c r="O18" s="36"/>
      <c r="P18" s="32" t="str">
        <f>J26</f>
        <v>i</v>
      </c>
      <c r="Q18" s="32" t="str">
        <f>K26</f>
        <v>i</v>
      </c>
      <c r="S18" s="25" t="str">
        <f t="shared" si="3"/>
        <v>i(\d)</v>
      </c>
      <c r="T18" s="26" t="s">
        <v>399</v>
      </c>
      <c r="U18" s="26" t="str">
        <f t="shared" si="4"/>
        <v/>
      </c>
      <c r="V18" s="25" t="str">
        <f t="shared" si="5"/>
        <v/>
      </c>
      <c r="W18" s="35"/>
      <c r="X18" s="37" t="str">
        <f t="shared" si="6"/>
        <v xml:space="preserve">    - xform/》i(\d)//</v>
      </c>
      <c r="Z18" s="28"/>
      <c r="AA18" s="28"/>
      <c r="AB18" s="28"/>
      <c r="AC18" s="28"/>
      <c r="AD18" s="28"/>
      <c r="AE18" s="28"/>
      <c r="AF18" s="28"/>
      <c r="AG18" s="28"/>
      <c r="AH18" s="28"/>
      <c r="AL18" s="29"/>
      <c r="AM18" s="29"/>
      <c r="AN18" s="29"/>
      <c r="AO18" s="29"/>
      <c r="AP18" s="29"/>
      <c r="AQ18" s="29"/>
      <c r="AR18" s="29"/>
      <c r="AS18" s="29"/>
      <c r="AT18" s="29"/>
      <c r="AU18" s="24"/>
      <c r="AV18" s="24"/>
      <c r="AW18" s="24"/>
      <c r="AX18" s="24"/>
      <c r="AY18" s="24"/>
      <c r="AZ18" s="24"/>
      <c r="BA18" s="24"/>
      <c r="BB18" s="24"/>
      <c r="BC18" s="24"/>
    </row>
    <row r="19" spans="1:55" ht="27.75" thickBot="1">
      <c r="A19" s="31">
        <f t="shared" si="8"/>
        <v>16</v>
      </c>
      <c r="B19" s="117" t="s">
        <v>486</v>
      </c>
      <c r="C19" s="116" t="s">
        <v>487</v>
      </c>
      <c r="D19" s="99" t="str">
        <f xml:space="preserve"> LEFT(韻母對照表[[#This Row],[十五音識別碼]],1)</f>
        <v>嘉</v>
      </c>
      <c r="E19" s="99" t="s">
        <v>488</v>
      </c>
      <c r="F19" s="119" t="s">
        <v>489</v>
      </c>
      <c r="G19" s="119" t="s">
        <v>490</v>
      </c>
      <c r="H19" s="45"/>
      <c r="I19" s="45"/>
      <c r="J19" s="46" t="s">
        <v>491</v>
      </c>
      <c r="K19" s="40" t="s">
        <v>491</v>
      </c>
      <c r="L19" s="45"/>
      <c r="M19" s="32"/>
      <c r="N19" s="34">
        <f t="shared" si="0"/>
        <v>2</v>
      </c>
      <c r="O19" s="36"/>
      <c r="P19" s="32" t="str">
        <f>J18</f>
        <v>e</v>
      </c>
      <c r="Q19" s="32" t="str">
        <f>K18</f>
        <v>ei</v>
      </c>
      <c r="S19" s="25" t="str">
        <f xml:space="preserve"> _xlfn.CONCAT(P19, "(\d)")</f>
        <v>e(\d)</v>
      </c>
      <c r="T19" s="26" t="s">
        <v>448</v>
      </c>
      <c r="U19" s="26" t="str">
        <f t="shared" si="4"/>
        <v/>
      </c>
      <c r="V19" s="25" t="str">
        <f xml:space="preserve"> IFERROR( _xlfn.CONCAT(LEFT(P19,U19-1), "》", MID(P19,U19,1), "${1}", RIGHT(P19, LEN(P19)-U19)), "" )</f>
        <v/>
      </c>
      <c r="W19" s="35"/>
      <c r="X19" s="37" t="str">
        <f xml:space="preserve"> IF(AND(Q19&lt;&gt;"", P19&lt;&gt;""), "    - xform/》" &amp; S19 &amp;  "/"  &amp; V19 &amp;  "/", "")</f>
        <v xml:space="preserve">    - xform/》e(\d)//</v>
      </c>
      <c r="Z19" s="28"/>
      <c r="AA19" s="28"/>
      <c r="AB19" s="28"/>
      <c r="AC19" s="28"/>
      <c r="AD19" s="28"/>
      <c r="AE19" s="28"/>
      <c r="AF19" s="28"/>
      <c r="AG19" s="28"/>
      <c r="AH19" s="28"/>
      <c r="AL19" s="29"/>
      <c r="AM19" s="29"/>
      <c r="AN19" s="29"/>
      <c r="AO19" s="29"/>
      <c r="AP19" s="29"/>
      <c r="AQ19" s="29"/>
      <c r="AR19" s="29"/>
      <c r="AS19" s="29"/>
      <c r="AT19" s="29"/>
      <c r="AU19" s="24"/>
      <c r="AV19" s="24"/>
      <c r="AW19" s="24"/>
      <c r="AX19" s="24"/>
      <c r="AY19" s="24"/>
      <c r="AZ19" s="24"/>
      <c r="BA19" s="24"/>
      <c r="BB19" s="24"/>
      <c r="BC19" s="24"/>
    </row>
    <row r="20" spans="1:55" ht="35.25" thickBot="1">
      <c r="A20" s="31">
        <f t="shared" si="8"/>
        <v>17</v>
      </c>
      <c r="B20" s="117" t="str">
        <f xml:space="preserve"> _xlfn.CONCAT(B19, "ʔ")</f>
        <v>ɛʔ</v>
      </c>
      <c r="C20" s="116" t="s">
        <v>492</v>
      </c>
      <c r="D20" s="99" t="str">
        <f xml:space="preserve"> LEFT(韻母對照表[[#This Row],[十五音識別碼]],1)</f>
        <v>嘉</v>
      </c>
      <c r="E20" s="99" t="s">
        <v>493</v>
      </c>
      <c r="F20" s="119" t="s">
        <v>494</v>
      </c>
      <c r="G20" s="119" t="s">
        <v>495</v>
      </c>
      <c r="H20" s="45"/>
      <c r="I20" s="45"/>
      <c r="J20" s="46" t="s">
        <v>496</v>
      </c>
      <c r="K20" s="40" t="s">
        <v>496</v>
      </c>
      <c r="L20" s="45"/>
      <c r="M20" s="32"/>
      <c r="N20" s="34">
        <f t="shared" si="0"/>
        <v>3</v>
      </c>
      <c r="O20" s="36"/>
      <c r="P20" s="32" t="str">
        <f>J24</f>
        <v>enn</v>
      </c>
      <c r="Q20" s="32" t="str">
        <f>K24</f>
        <v>enn</v>
      </c>
      <c r="S20" s="25" t="str">
        <f xml:space="preserve"> _xlfn.CONCAT(P20, "(\d)")</f>
        <v>enn(\d)</v>
      </c>
      <c r="T20" s="26" t="s">
        <v>448</v>
      </c>
      <c r="U20" s="26" t="str">
        <f t="shared" si="4"/>
        <v/>
      </c>
      <c r="V20" s="25" t="str">
        <f xml:space="preserve"> IFERROR( _xlfn.CONCAT(LEFT(P20,U20-1), "》", MID(P20,U20,1), "${1}", RIGHT(P20, LEN(P20)-U20)), "" )</f>
        <v/>
      </c>
      <c r="W20" s="35"/>
      <c r="X20" s="37" t="str">
        <f xml:space="preserve"> IF(AND(Q20&lt;&gt;"", P20&lt;&gt;""), "    - xform/》" &amp; S20 &amp;  "/"  &amp; V20 &amp;  "/", "")</f>
        <v xml:space="preserve">    - xform/》enn(\d)//</v>
      </c>
      <c r="Z20" s="28"/>
      <c r="AA20" s="28"/>
      <c r="AB20" s="28"/>
      <c r="AC20" s="28"/>
      <c r="AD20" s="28"/>
      <c r="AE20" s="28"/>
      <c r="AF20" s="28"/>
      <c r="AG20" s="28"/>
      <c r="AH20" s="28"/>
      <c r="AL20" s="29"/>
      <c r="AM20" s="29"/>
      <c r="AN20" s="29"/>
      <c r="AO20" s="29"/>
      <c r="AP20" s="29"/>
      <c r="AQ20" s="29"/>
      <c r="AR20" s="29"/>
      <c r="AS20" s="29"/>
      <c r="AT20" s="29"/>
      <c r="AU20" s="24"/>
      <c r="AV20" s="24"/>
      <c r="AW20" s="24"/>
      <c r="AX20" s="24"/>
      <c r="AY20" s="24"/>
      <c r="AZ20" s="24"/>
      <c r="BA20" s="24"/>
      <c r="BB20" s="24"/>
      <c r="BC20" s="24"/>
    </row>
    <row r="21" spans="1:55" ht="35.25" thickBot="1">
      <c r="A21" s="31">
        <f t="shared" si="8"/>
        <v>18</v>
      </c>
      <c r="B21" s="117" t="s">
        <v>497</v>
      </c>
      <c r="C21" s="116" t="s">
        <v>498</v>
      </c>
      <c r="D21" s="99" t="str">
        <f xml:space="preserve"> LEFT(韻母對照表[[#This Row],[十五音識別碼]],1)</f>
        <v>伽</v>
      </c>
      <c r="E21" s="99" t="s">
        <v>499</v>
      </c>
      <c r="F21" s="118" t="s">
        <v>500</v>
      </c>
      <c r="G21" s="118" t="s">
        <v>501</v>
      </c>
      <c r="H21" s="32" t="s">
        <v>502</v>
      </c>
      <c r="I21" s="32" t="s">
        <v>502</v>
      </c>
      <c r="J21" s="32" t="s">
        <v>502</v>
      </c>
      <c r="K21" s="32" t="s">
        <v>502</v>
      </c>
      <c r="L21" s="33" t="s">
        <v>502</v>
      </c>
      <c r="M21" s="32"/>
      <c r="N21" s="34">
        <f t="shared" si="0"/>
        <v>2</v>
      </c>
      <c r="O21" s="36"/>
      <c r="P21" s="32" t="str">
        <f>J40</f>
        <v>ih</v>
      </c>
      <c r="Q21" s="32" t="str">
        <f>K40</f>
        <v>ih</v>
      </c>
      <c r="S21" s="25" t="str">
        <f xml:space="preserve"> _xlfn.CONCAT(P21, "(\d)")</f>
        <v>ih(\d)</v>
      </c>
      <c r="T21" s="26" t="s">
        <v>383</v>
      </c>
      <c r="U21" s="26" t="str">
        <f t="shared" si="4"/>
        <v/>
      </c>
      <c r="V21" s="25" t="str">
        <f xml:space="preserve"> IFERROR( _xlfn.CONCAT(LEFT(P21,U21-1), "》", MID(P21,U21,1), "${1}", RIGHT(P21, LEN(P21)-U21)), "" )</f>
        <v/>
      </c>
      <c r="W21" s="35"/>
      <c r="X21" s="37" t="str">
        <f xml:space="preserve"> IF(AND(Q21&lt;&gt;"", P21&lt;&gt;""), "    - xform/》" &amp; S21 &amp;  "/"  &amp; V21 &amp;  "/", "")</f>
        <v xml:space="preserve">    - xform/》ih(\d)//</v>
      </c>
      <c r="Z21" s="28"/>
      <c r="AA21" s="28"/>
      <c r="AB21" s="28"/>
      <c r="AC21" s="28"/>
      <c r="AD21" s="28"/>
      <c r="AE21" s="28"/>
      <c r="AF21" s="28"/>
      <c r="AG21" s="28"/>
      <c r="AH21" s="28"/>
      <c r="AL21" s="29"/>
      <c r="AM21" s="29"/>
      <c r="AN21" s="29"/>
      <c r="AO21" s="29"/>
      <c r="AP21" s="29"/>
      <c r="AQ21" s="29"/>
      <c r="AR21" s="29"/>
      <c r="AS21" s="29"/>
      <c r="AT21" s="29"/>
      <c r="AU21" s="24"/>
      <c r="AV21" s="24"/>
      <c r="AW21" s="24"/>
      <c r="AX21" s="24"/>
      <c r="AY21" s="24"/>
      <c r="AZ21" s="24"/>
      <c r="BA21" s="24"/>
      <c r="BB21" s="24"/>
      <c r="BC21" s="24"/>
    </row>
    <row r="22" spans="1:55" ht="54.75" thickBot="1">
      <c r="A22" s="31">
        <f t="shared" si="8"/>
        <v>19</v>
      </c>
      <c r="B22" s="117" t="str">
        <f xml:space="preserve"> _xlfn.CONCAT("ɪ",, "k")</f>
        <v>ɪk</v>
      </c>
      <c r="C22" s="116" t="s">
        <v>503</v>
      </c>
      <c r="D22" s="99" t="str">
        <f xml:space="preserve"> LEFT(韻母對照表[[#This Row],[十五音識別碼]],1)</f>
        <v>經</v>
      </c>
      <c r="E22" s="99" t="s">
        <v>504</v>
      </c>
      <c r="F22" s="119" t="s">
        <v>505</v>
      </c>
      <c r="G22" s="119" t="s">
        <v>506</v>
      </c>
      <c r="H22" s="45"/>
      <c r="I22" s="45"/>
      <c r="J22" s="47" t="s">
        <v>507</v>
      </c>
      <c r="K22" s="40" t="s">
        <v>507</v>
      </c>
      <c r="L22" s="45"/>
      <c r="M22" s="32"/>
      <c r="N22" s="34">
        <f t="shared" si="0"/>
        <v>2</v>
      </c>
      <c r="O22" s="36"/>
      <c r="P22" s="32" t="str">
        <f>J25</f>
        <v>ennh</v>
      </c>
      <c r="Q22" s="32" t="str">
        <f>K25</f>
        <v>ennh</v>
      </c>
      <c r="S22" s="25" t="str">
        <f xml:space="preserve"> _xlfn.CONCAT(P22, "(\d)")</f>
        <v>ennh(\d)</v>
      </c>
      <c r="T22" s="26" t="s">
        <v>448</v>
      </c>
      <c r="U22" s="26" t="str">
        <f t="shared" si="4"/>
        <v/>
      </c>
      <c r="V22" s="25" t="str">
        <f xml:space="preserve"> IFERROR( _xlfn.CONCAT(LEFT(P22,U22-1), "》", MID(P22,U22,1), "${1}", RIGHT(P22, LEN(P22)-U22)), "" )</f>
        <v/>
      </c>
      <c r="W22" s="35"/>
      <c r="X22" s="37" t="str">
        <f xml:space="preserve"> IF(AND(Q22&lt;&gt;"", P22&lt;&gt;""), "    - xform/》" &amp; S22 &amp;  "/"  &amp; V22 &amp;  "/", "")</f>
        <v xml:space="preserve">    - xform/》ennh(\d)//</v>
      </c>
      <c r="Z22" s="28"/>
      <c r="AA22" s="28"/>
      <c r="AB22" s="28"/>
      <c r="AC22" s="28"/>
      <c r="AD22" s="28"/>
      <c r="AE22" s="28"/>
      <c r="AF22" s="28"/>
      <c r="AG22" s="28"/>
      <c r="AH22" s="28"/>
      <c r="AL22" s="29"/>
      <c r="AM22" s="29"/>
      <c r="AN22" s="29"/>
      <c r="AO22" s="29"/>
      <c r="AP22" s="29"/>
      <c r="AQ22" s="29"/>
      <c r="AR22" s="29"/>
      <c r="AS22" s="29"/>
      <c r="AT22" s="29"/>
      <c r="AU22" s="24"/>
      <c r="AV22" s="24"/>
      <c r="AW22" s="24"/>
      <c r="AX22" s="24"/>
      <c r="AY22" s="24"/>
      <c r="AZ22" s="24"/>
      <c r="BA22" s="24"/>
      <c r="BB22" s="24"/>
      <c r="BC22" s="24"/>
    </row>
    <row r="23" spans="1:55" ht="35.25" thickBot="1">
      <c r="A23" s="31">
        <f t="shared" si="8"/>
        <v>20</v>
      </c>
      <c r="B23" s="117" t="str">
        <f xml:space="preserve"> _xlfn.CONCAT("ɪ", "ŋ")</f>
        <v>ɪŋ</v>
      </c>
      <c r="C23" s="116" t="s">
        <v>503</v>
      </c>
      <c r="D23" s="99" t="str">
        <f xml:space="preserve"> LEFT(韻母對照表[[#This Row],[十五音識別碼]],1)</f>
        <v>經</v>
      </c>
      <c r="E23" s="99" t="s">
        <v>508</v>
      </c>
      <c r="F23" s="119" t="s">
        <v>509</v>
      </c>
      <c r="G23" s="119" t="s">
        <v>510</v>
      </c>
      <c r="H23" s="45"/>
      <c r="I23" s="45"/>
      <c r="J23" s="47" t="s">
        <v>511</v>
      </c>
      <c r="K23" s="40" t="s">
        <v>511</v>
      </c>
      <c r="L23" s="45"/>
      <c r="M23" s="32"/>
      <c r="N23" s="34">
        <f t="shared" si="0"/>
        <v>3</v>
      </c>
      <c r="O23" s="36"/>
      <c r="P23" s="32" t="str">
        <f>J21</f>
        <v>eh</v>
      </c>
      <c r="Q23" s="32" t="str">
        <f>K21</f>
        <v>eh</v>
      </c>
      <c r="S23" s="25" t="str">
        <f xml:space="preserve"> _xlfn.CONCAT(P23, "(\d)")</f>
        <v>eh(\d)</v>
      </c>
      <c r="T23" s="26" t="s">
        <v>383</v>
      </c>
      <c r="U23" s="26" t="str">
        <f t="shared" si="4"/>
        <v/>
      </c>
      <c r="V23" s="25" t="str">
        <f xml:space="preserve"> IFERROR( _xlfn.CONCAT(LEFT(P23,U23-1), "》", MID(P23,U23,1), "${1}", RIGHT(P23, LEN(P23)-U23)), "" )</f>
        <v/>
      </c>
      <c r="W23" s="35"/>
      <c r="X23" s="37" t="str">
        <f xml:space="preserve"> IF(AND(Q23&lt;&gt;"", P23&lt;&gt;""), "    - xform/》" &amp; S23 &amp;  "/"  &amp; V23 &amp;  "/", "")</f>
        <v xml:space="preserve">    - xform/》eh(\d)//</v>
      </c>
      <c r="Z23" s="28"/>
      <c r="AA23" s="28"/>
      <c r="AB23" s="28"/>
      <c r="AC23" s="28"/>
      <c r="AD23" s="28"/>
      <c r="AE23" s="28"/>
      <c r="AF23" s="28"/>
      <c r="AG23" s="28"/>
      <c r="AH23" s="28"/>
      <c r="AL23" s="29"/>
      <c r="AM23" s="29"/>
      <c r="AN23" s="29"/>
      <c r="AO23" s="29"/>
      <c r="AP23" s="29"/>
      <c r="AQ23" s="29"/>
      <c r="AR23" s="29"/>
      <c r="AS23" s="29"/>
      <c r="AT23" s="29"/>
      <c r="AU23" s="24"/>
      <c r="AV23" s="24"/>
      <c r="AW23" s="24"/>
      <c r="AX23" s="24"/>
      <c r="AY23" s="24"/>
      <c r="AZ23" s="24"/>
      <c r="BA23" s="24"/>
      <c r="BB23" s="24"/>
      <c r="BC23" s="24"/>
    </row>
    <row r="24" spans="1:55" ht="35.25" thickBot="1">
      <c r="A24" s="31">
        <f t="shared" si="8"/>
        <v>21</v>
      </c>
      <c r="B24" s="117" t="s">
        <v>512</v>
      </c>
      <c r="C24" s="116" t="s">
        <v>513</v>
      </c>
      <c r="D24" s="99" t="str">
        <f xml:space="preserve"> LEFT(韻母對照表[[#This Row],[十五音識別碼]],1)</f>
        <v>更</v>
      </c>
      <c r="E24" s="99" t="s">
        <v>514</v>
      </c>
      <c r="F24" s="118" t="s">
        <v>515</v>
      </c>
      <c r="G24" s="118" t="s">
        <v>516</v>
      </c>
      <c r="H24" s="32" t="s">
        <v>517</v>
      </c>
      <c r="I24" s="32" t="s">
        <v>518</v>
      </c>
      <c r="J24" s="32" t="s">
        <v>517</v>
      </c>
      <c r="K24" s="32" t="s">
        <v>517</v>
      </c>
      <c r="L24" s="33" t="s">
        <v>519</v>
      </c>
      <c r="M24" s="42" t="s">
        <v>415</v>
      </c>
      <c r="N24" s="34">
        <f t="shared" si="0"/>
        <v>3</v>
      </c>
      <c r="O24" s="36"/>
      <c r="P24" s="32" t="str">
        <f>J45</f>
        <v>inn</v>
      </c>
      <c r="Q24" s="32" t="str">
        <f>K45</f>
        <v>inn</v>
      </c>
      <c r="S24" s="25" t="str">
        <f t="shared" si="3"/>
        <v>inn(\d)</v>
      </c>
      <c r="T24" s="26" t="s">
        <v>399</v>
      </c>
      <c r="U24" s="26" t="str">
        <f t="shared" si="4"/>
        <v/>
      </c>
      <c r="V24" s="25" t="str">
        <f t="shared" si="5"/>
        <v/>
      </c>
      <c r="W24" s="35"/>
      <c r="X24" s="37" t="str">
        <f t="shared" si="6"/>
        <v xml:space="preserve">    - xform/》inn(\d)//</v>
      </c>
      <c r="Z24" s="28"/>
      <c r="AA24" s="28"/>
      <c r="AB24" s="28"/>
      <c r="AC24" s="28"/>
      <c r="AD24" s="28"/>
      <c r="AE24" s="28"/>
      <c r="AF24" s="28"/>
      <c r="AG24" s="28"/>
      <c r="AH24" s="28"/>
      <c r="AL24" s="29"/>
      <c r="AM24" s="29"/>
      <c r="AN24" s="29"/>
      <c r="AO24" s="29"/>
      <c r="AP24" s="29"/>
      <c r="AQ24" s="29"/>
      <c r="AR24" s="29"/>
      <c r="AS24" s="29"/>
      <c r="AT24" s="29"/>
      <c r="AU24" s="24"/>
      <c r="AV24" s="24"/>
      <c r="AW24" s="24"/>
      <c r="AX24" s="24"/>
      <c r="AY24" s="24"/>
      <c r="AZ24" s="24"/>
      <c r="BA24" s="24"/>
      <c r="BB24" s="24"/>
      <c r="BC24" s="24"/>
    </row>
    <row r="25" spans="1:55" ht="35.25" thickBot="1">
      <c r="A25" s="31">
        <f t="shared" si="8"/>
        <v>22</v>
      </c>
      <c r="B25" s="117" t="s">
        <v>520</v>
      </c>
      <c r="C25" s="116" t="s">
        <v>521</v>
      </c>
      <c r="D25" s="99" t="str">
        <f xml:space="preserve"> LEFT(韻母對照表[[#This Row],[十五音識別碼]],1)</f>
        <v>更</v>
      </c>
      <c r="E25" s="99" t="s">
        <v>522</v>
      </c>
      <c r="F25" s="119" t="s">
        <v>523</v>
      </c>
      <c r="G25" s="119" t="s">
        <v>524</v>
      </c>
      <c r="H25" s="40" t="s">
        <v>525</v>
      </c>
      <c r="I25" s="40" t="s">
        <v>525</v>
      </c>
      <c r="J25" s="49" t="s">
        <v>526</v>
      </c>
      <c r="K25" s="40" t="s">
        <v>525</v>
      </c>
      <c r="L25" s="40" t="s">
        <v>527</v>
      </c>
      <c r="M25" s="42" t="s">
        <v>415</v>
      </c>
      <c r="N25" s="34">
        <f t="shared" si="0"/>
        <v>4</v>
      </c>
      <c r="O25" s="36"/>
      <c r="P25" s="32" t="str">
        <f>J42</f>
        <v>im</v>
      </c>
      <c r="Q25" s="32" t="str">
        <f>K42</f>
        <v>im</v>
      </c>
      <c r="S25" s="25" t="str">
        <f t="shared" si="3"/>
        <v>im(\d)</v>
      </c>
      <c r="T25" s="26" t="s">
        <v>421</v>
      </c>
      <c r="U25" s="26" t="str">
        <f t="shared" si="4"/>
        <v/>
      </c>
      <c r="V25" s="25" t="str">
        <f t="shared" si="5"/>
        <v/>
      </c>
      <c r="W25" s="35"/>
      <c r="X25" s="37" t="str">
        <f t="shared" si="6"/>
        <v xml:space="preserve">    - xform/》im(\d)//</v>
      </c>
      <c r="Z25" s="28"/>
      <c r="AA25" s="28"/>
      <c r="AB25" s="28"/>
      <c r="AC25" s="28"/>
      <c r="AD25" s="28"/>
      <c r="AE25" s="28"/>
      <c r="AF25" s="28"/>
      <c r="AG25" s="28"/>
      <c r="AH25" s="28"/>
      <c r="AL25" s="29"/>
      <c r="AM25" s="29"/>
      <c r="AN25" s="29"/>
      <c r="AO25" s="29"/>
      <c r="AP25" s="29"/>
      <c r="AQ25" s="29"/>
      <c r="AR25" s="29"/>
      <c r="AS25" s="29"/>
      <c r="AT25" s="29"/>
      <c r="AU25" s="24"/>
      <c r="AV25" s="24"/>
      <c r="AW25" s="24"/>
      <c r="AX25" s="24"/>
      <c r="AY25" s="24"/>
      <c r="AZ25" s="24"/>
      <c r="BA25" s="24"/>
      <c r="BB25" s="24"/>
      <c r="BC25" s="24"/>
    </row>
    <row r="26" spans="1:55" ht="35.25" thickBot="1">
      <c r="A26" s="31">
        <f t="shared" si="8"/>
        <v>23</v>
      </c>
      <c r="B26" s="117" t="s">
        <v>448</v>
      </c>
      <c r="C26" s="116" t="s">
        <v>528</v>
      </c>
      <c r="D26" s="99" t="str">
        <f xml:space="preserve"> LEFT(韻母對照表[[#This Row],[十五音識別碼]],1)</f>
        <v>居</v>
      </c>
      <c r="E26" s="99" t="s">
        <v>529</v>
      </c>
      <c r="F26" s="118" t="s">
        <v>530</v>
      </c>
      <c r="G26" s="118" t="s">
        <v>530</v>
      </c>
      <c r="H26" s="32" t="s">
        <v>255</v>
      </c>
      <c r="I26" s="32" t="s">
        <v>255</v>
      </c>
      <c r="J26" s="32" t="s">
        <v>255</v>
      </c>
      <c r="K26" s="32" t="s">
        <v>255</v>
      </c>
      <c r="L26" s="33" t="s">
        <v>255</v>
      </c>
      <c r="M26" s="32"/>
      <c r="N26" s="34">
        <f t="shared" si="0"/>
        <v>1</v>
      </c>
      <c r="O26" s="36"/>
      <c r="P26" s="32" t="str">
        <f>J43</f>
        <v>in</v>
      </c>
      <c r="Q26" s="32" t="str">
        <f>K43</f>
        <v>in</v>
      </c>
      <c r="S26" s="25" t="str">
        <f t="shared" si="3"/>
        <v>in(\d)</v>
      </c>
      <c r="T26" s="26" t="s">
        <v>383</v>
      </c>
      <c r="U26" s="26" t="str">
        <f t="shared" si="4"/>
        <v/>
      </c>
      <c r="V26" s="25" t="str">
        <f t="shared" si="5"/>
        <v/>
      </c>
      <c r="W26" s="35"/>
      <c r="X26" s="37" t="str">
        <f t="shared" si="6"/>
        <v xml:space="preserve">    - xform/》in(\d)//</v>
      </c>
      <c r="Z26" s="28"/>
      <c r="AA26" s="28"/>
      <c r="AB26" s="28"/>
      <c r="AC26" s="28"/>
      <c r="AD26" s="28"/>
      <c r="AE26" s="28"/>
      <c r="AF26" s="28"/>
      <c r="AG26" s="28"/>
      <c r="AH26" s="28"/>
      <c r="AL26" s="29"/>
      <c r="AM26" s="29"/>
      <c r="AN26" s="29"/>
      <c r="AO26" s="29"/>
      <c r="AP26" s="29"/>
      <c r="AQ26" s="29"/>
      <c r="AR26" s="29"/>
      <c r="AS26" s="29"/>
      <c r="AT26" s="29"/>
      <c r="AU26" s="24"/>
      <c r="AV26" s="24"/>
      <c r="AW26" s="24"/>
      <c r="AX26" s="24"/>
      <c r="AY26" s="24"/>
      <c r="AZ26" s="24"/>
      <c r="BA26" s="24"/>
      <c r="BB26" s="24"/>
      <c r="BC26" s="24"/>
    </row>
    <row r="27" spans="1:55" ht="35.25" thickBot="1">
      <c r="A27" s="31">
        <f t="shared" si="8"/>
        <v>24</v>
      </c>
      <c r="B27" s="117" t="s">
        <v>531</v>
      </c>
      <c r="C27" s="116" t="s">
        <v>532</v>
      </c>
      <c r="D27" s="99" t="str">
        <f xml:space="preserve"> LEFT(韻母對照表[[#This Row],[十五音識別碼]],1)</f>
        <v>迦</v>
      </c>
      <c r="E27" s="99" t="s">
        <v>533</v>
      </c>
      <c r="F27" s="118" t="s">
        <v>534</v>
      </c>
      <c r="G27" s="118" t="s">
        <v>534</v>
      </c>
      <c r="H27" s="32" t="s">
        <v>535</v>
      </c>
      <c r="I27" s="32" t="s">
        <v>535</v>
      </c>
      <c r="J27" s="32" t="s">
        <v>535</v>
      </c>
      <c r="K27" s="32" t="s">
        <v>535</v>
      </c>
      <c r="L27" s="33" t="s">
        <v>535</v>
      </c>
      <c r="M27" s="32"/>
      <c r="N27" s="34">
        <f t="shared" si="0"/>
        <v>2</v>
      </c>
      <c r="O27" s="36"/>
      <c r="P27" s="32" t="str">
        <f>J30</f>
        <v>iam</v>
      </c>
      <c r="Q27" s="32" t="str">
        <f>K30</f>
        <v>iam</v>
      </c>
      <c r="S27" s="25" t="str">
        <f t="shared" si="3"/>
        <v>iam(\d)</v>
      </c>
      <c r="T27" s="26" t="s">
        <v>448</v>
      </c>
      <c r="U27" s="26">
        <f t="shared" si="4"/>
        <v>1</v>
      </c>
      <c r="V27" s="25" t="str">
        <f t="shared" si="5"/>
        <v>》i${1}am</v>
      </c>
      <c r="W27" s="35"/>
      <c r="X27" s="37" t="str">
        <f t="shared" si="6"/>
        <v xml:space="preserve">    - xform/》iam(\d)/》i${1}am/</v>
      </c>
      <c r="Z27" s="28"/>
      <c r="AA27" s="28"/>
      <c r="AB27" s="28"/>
      <c r="AC27" s="28"/>
      <c r="AD27" s="28"/>
      <c r="AE27" s="28"/>
      <c r="AF27" s="28"/>
      <c r="AG27" s="28"/>
      <c r="AH27" s="28"/>
      <c r="AL27" s="29"/>
      <c r="AM27" s="29"/>
      <c r="AN27" s="29"/>
      <c r="AO27" s="29"/>
      <c r="AP27" s="29"/>
      <c r="AQ27" s="29"/>
      <c r="AR27" s="29"/>
      <c r="AS27" s="29"/>
      <c r="AT27" s="29"/>
      <c r="AU27" s="24"/>
      <c r="AV27" s="24"/>
      <c r="AW27" s="24"/>
      <c r="AX27" s="24"/>
      <c r="AY27" s="24"/>
      <c r="AZ27" s="24"/>
      <c r="BA27" s="24"/>
      <c r="BB27" s="24"/>
      <c r="BC27" s="24"/>
    </row>
    <row r="28" spans="1:55" ht="35.25" thickBot="1">
      <c r="A28" s="31">
        <f t="shared" si="8"/>
        <v>25</v>
      </c>
      <c r="B28" s="117" t="str">
        <f xml:space="preserve"> _xlfn.CONCAT(B27, "ʔ")</f>
        <v>ɪaʔ</v>
      </c>
      <c r="C28" s="116" t="s">
        <v>536</v>
      </c>
      <c r="D28" s="99" t="str">
        <f xml:space="preserve"> LEFT(韻母對照表[[#This Row],[十五音識別碼]],1)</f>
        <v>迦</v>
      </c>
      <c r="E28" s="99" t="s">
        <v>537</v>
      </c>
      <c r="F28" s="118" t="s">
        <v>538</v>
      </c>
      <c r="G28" s="118" t="s">
        <v>539</v>
      </c>
      <c r="H28" s="32" t="s">
        <v>540</v>
      </c>
      <c r="I28" s="32" t="s">
        <v>540</v>
      </c>
      <c r="J28" s="32" t="s">
        <v>540</v>
      </c>
      <c r="K28" s="32" t="s">
        <v>540</v>
      </c>
      <c r="L28" s="33" t="s">
        <v>540</v>
      </c>
      <c r="M28" s="32"/>
      <c r="N28" s="34">
        <f t="shared" si="0"/>
        <v>3</v>
      </c>
      <c r="O28" s="36"/>
      <c r="P28" s="32" t="str">
        <f>J32</f>
        <v>iang</v>
      </c>
      <c r="Q28" s="32" t="str">
        <f>K32</f>
        <v>iang</v>
      </c>
      <c r="S28" s="25" t="str">
        <f t="shared" si="3"/>
        <v>iang(\d)</v>
      </c>
      <c r="T28" s="26" t="s">
        <v>448</v>
      </c>
      <c r="U28" s="26">
        <f t="shared" si="4"/>
        <v>1</v>
      </c>
      <c r="V28" s="25" t="str">
        <f t="shared" si="5"/>
        <v>》i${1}ang</v>
      </c>
      <c r="W28" s="35"/>
      <c r="X28" s="37" t="str">
        <f t="shared" si="6"/>
        <v xml:space="preserve">    - xform/》iang(\d)/》i${1}ang/</v>
      </c>
      <c r="Z28" s="28"/>
      <c r="AA28" s="28"/>
      <c r="AB28" s="28"/>
      <c r="AC28" s="28"/>
      <c r="AD28" s="28"/>
      <c r="AE28" s="28"/>
      <c r="AF28" s="28"/>
      <c r="AG28" s="28"/>
      <c r="AH28" s="28"/>
      <c r="AL28" s="29"/>
      <c r="AM28" s="29"/>
      <c r="AN28" s="29"/>
      <c r="AO28" s="29"/>
      <c r="AP28" s="29"/>
      <c r="AQ28" s="29"/>
      <c r="AR28" s="29"/>
      <c r="AS28" s="29"/>
      <c r="AT28" s="29"/>
      <c r="AU28" s="24"/>
      <c r="AV28" s="24"/>
      <c r="AW28" s="24"/>
      <c r="AX28" s="24"/>
      <c r="AY28" s="24"/>
      <c r="AZ28" s="24"/>
      <c r="BA28" s="24"/>
      <c r="BB28" s="24"/>
      <c r="BC28" s="24"/>
    </row>
    <row r="29" spans="1:55" ht="35.25" thickBot="1">
      <c r="A29" s="31">
        <f t="shared" si="8"/>
        <v>26</v>
      </c>
      <c r="B29" s="117" t="s">
        <v>541</v>
      </c>
      <c r="C29" s="116" t="s">
        <v>542</v>
      </c>
      <c r="D29" s="99" t="str">
        <f xml:space="preserve"> LEFT(韻母對照表[[#This Row],[十五音識別碼]],1)</f>
        <v>姜</v>
      </c>
      <c r="E29" s="99" t="s">
        <v>543</v>
      </c>
      <c r="F29" s="118" t="s">
        <v>544</v>
      </c>
      <c r="G29" s="118" t="s">
        <v>545</v>
      </c>
      <c r="H29" s="32" t="s">
        <v>546</v>
      </c>
      <c r="I29" s="32" t="s">
        <v>546</v>
      </c>
      <c r="J29" s="32" t="s">
        <v>546</v>
      </c>
      <c r="K29" s="32" t="s">
        <v>546</v>
      </c>
      <c r="L29" s="33" t="s">
        <v>546</v>
      </c>
      <c r="M29" s="32"/>
      <c r="N29" s="34">
        <f t="shared" si="0"/>
        <v>3</v>
      </c>
      <c r="O29" s="36"/>
      <c r="P29" s="32" t="str">
        <f>J46</f>
        <v>io</v>
      </c>
      <c r="Q29" s="32" t="str">
        <f>K46</f>
        <v>io</v>
      </c>
      <c r="S29" s="25" t="str">
        <f t="shared" si="3"/>
        <v>io(\d)</v>
      </c>
      <c r="T29" s="26" t="s">
        <v>383</v>
      </c>
      <c r="U29" s="26" t="str">
        <f t="shared" si="4"/>
        <v/>
      </c>
      <c r="V29" s="25" t="str">
        <f t="shared" si="5"/>
        <v/>
      </c>
      <c r="W29" s="35"/>
      <c r="X29" s="37" t="str">
        <f t="shared" si="6"/>
        <v xml:space="preserve">    - xform/》io(\d)//</v>
      </c>
      <c r="Z29" s="28"/>
      <c r="AA29" s="28"/>
      <c r="AB29" s="28"/>
      <c r="AC29" s="28"/>
      <c r="AD29" s="28"/>
      <c r="AE29" s="28"/>
      <c r="AF29" s="28"/>
      <c r="AG29" s="28"/>
      <c r="AH29" s="28"/>
      <c r="AL29" s="29"/>
      <c r="AM29" s="29"/>
      <c r="AN29" s="29"/>
      <c r="AO29" s="29"/>
      <c r="AP29" s="29"/>
      <c r="AQ29" s="29"/>
      <c r="AR29" s="29"/>
      <c r="AS29" s="29"/>
      <c r="AT29" s="29"/>
      <c r="AU29" s="24"/>
      <c r="AV29" s="24"/>
      <c r="AW29" s="24"/>
      <c r="AX29" s="24"/>
      <c r="AY29" s="24"/>
      <c r="AZ29" s="24"/>
      <c r="BA29" s="24"/>
      <c r="BB29" s="24"/>
      <c r="BC29" s="24"/>
    </row>
    <row r="30" spans="1:55" ht="35.25" thickBot="1">
      <c r="A30" s="31">
        <f t="shared" si="8"/>
        <v>27</v>
      </c>
      <c r="B30" s="117" t="s">
        <v>547</v>
      </c>
      <c r="C30" s="116" t="s">
        <v>548</v>
      </c>
      <c r="D30" s="99" t="str">
        <f xml:space="preserve"> LEFT(韻母對照表[[#This Row],[十五音識別碼]],1)</f>
        <v>兼</v>
      </c>
      <c r="E30" s="99" t="s">
        <v>549</v>
      </c>
      <c r="F30" s="118" t="s">
        <v>550</v>
      </c>
      <c r="G30" s="118" t="s">
        <v>551</v>
      </c>
      <c r="H30" s="32" t="s">
        <v>552</v>
      </c>
      <c r="I30" s="32" t="s">
        <v>552</v>
      </c>
      <c r="J30" s="32" t="s">
        <v>552</v>
      </c>
      <c r="K30" s="32" t="s">
        <v>552</v>
      </c>
      <c r="L30" s="33" t="s">
        <v>552</v>
      </c>
      <c r="M30" s="32"/>
      <c r="N30" s="34">
        <f t="shared" si="0"/>
        <v>3</v>
      </c>
      <c r="O30" s="36"/>
      <c r="P30" s="32" t="str">
        <f>J36</f>
        <v>iat</v>
      </c>
      <c r="Q30" s="32" t="str">
        <f>K36</f>
        <v>iat</v>
      </c>
      <c r="S30" s="25" t="str">
        <f t="shared" si="3"/>
        <v>iat(\d)</v>
      </c>
      <c r="T30" s="26" t="s">
        <v>421</v>
      </c>
      <c r="U30" s="26" t="str">
        <f t="shared" si="4"/>
        <v/>
      </c>
      <c r="V30" s="25" t="str">
        <f t="shared" si="5"/>
        <v/>
      </c>
      <c r="W30" s="35"/>
      <c r="X30" s="37" t="str">
        <f t="shared" si="6"/>
        <v xml:space="preserve">    - xform/》iat(\d)//</v>
      </c>
      <c r="Z30" s="28"/>
      <c r="AA30" s="28"/>
      <c r="AB30" s="28"/>
      <c r="AC30" s="28"/>
      <c r="AD30" s="28"/>
      <c r="AE30" s="28"/>
      <c r="AF30" s="28"/>
      <c r="AG30" s="28"/>
      <c r="AH30" s="28"/>
      <c r="AL30" s="29"/>
      <c r="AM30" s="29"/>
      <c r="AN30" s="29"/>
      <c r="AO30" s="29"/>
      <c r="AP30" s="29"/>
      <c r="AQ30" s="29"/>
      <c r="AR30" s="29"/>
      <c r="AS30" s="29"/>
      <c r="AT30" s="29"/>
      <c r="AU30" s="24"/>
      <c r="AV30" s="24"/>
      <c r="AW30" s="24"/>
      <c r="AX30" s="24"/>
      <c r="AY30" s="24"/>
      <c r="AZ30" s="24"/>
      <c r="BA30" s="24"/>
      <c r="BB30" s="24"/>
      <c r="BC30" s="24"/>
    </row>
    <row r="31" spans="1:55" ht="35.25" thickBot="1">
      <c r="A31" s="31">
        <f t="shared" si="8"/>
        <v>28</v>
      </c>
      <c r="B31" s="117" t="s">
        <v>553</v>
      </c>
      <c r="C31" s="116" t="s">
        <v>554</v>
      </c>
      <c r="D31" s="99" t="str">
        <f xml:space="preserve"> LEFT(韻母對照表[[#This Row],[十五音識別碼]],1)</f>
        <v>堅</v>
      </c>
      <c r="E31" s="99" t="s">
        <v>555</v>
      </c>
      <c r="F31" s="118" t="s">
        <v>556</v>
      </c>
      <c r="G31" s="118" t="s">
        <v>556</v>
      </c>
      <c r="H31" s="32" t="s">
        <v>557</v>
      </c>
      <c r="I31" s="32" t="s">
        <v>557</v>
      </c>
      <c r="J31" s="32" t="s">
        <v>557</v>
      </c>
      <c r="K31" s="32" t="s">
        <v>557</v>
      </c>
      <c r="L31" s="33" t="s">
        <v>557</v>
      </c>
      <c r="M31" s="32"/>
      <c r="N31" s="34">
        <f t="shared" si="0"/>
        <v>3</v>
      </c>
      <c r="O31" s="36"/>
      <c r="P31" s="32" t="str">
        <f>J29</f>
        <v>iak</v>
      </c>
      <c r="Q31" s="32" t="str">
        <f>K29</f>
        <v>iak</v>
      </c>
      <c r="S31" s="25" t="str">
        <f t="shared" si="3"/>
        <v>iak(\d)</v>
      </c>
      <c r="T31" s="26" t="s">
        <v>439</v>
      </c>
      <c r="U31" s="26" t="str">
        <f t="shared" si="4"/>
        <v/>
      </c>
      <c r="V31" s="25" t="str">
        <f t="shared" si="5"/>
        <v/>
      </c>
      <c r="W31" s="35"/>
      <c r="X31" s="37" t="str">
        <f t="shared" si="6"/>
        <v xml:space="preserve">    - xform/》iak(\d)//</v>
      </c>
      <c r="Z31" s="28"/>
      <c r="AA31" s="28"/>
      <c r="AB31" s="28"/>
      <c r="AC31" s="28"/>
      <c r="AD31" s="28"/>
      <c r="AE31" s="28"/>
      <c r="AF31" s="28"/>
      <c r="AG31" s="28"/>
      <c r="AH31" s="28"/>
      <c r="AL31" s="29"/>
      <c r="AM31" s="29"/>
      <c r="AN31" s="29"/>
      <c r="AO31" s="29"/>
      <c r="AP31" s="29"/>
      <c r="AQ31" s="29"/>
      <c r="AR31" s="29"/>
      <c r="AS31" s="29"/>
      <c r="AT31" s="29"/>
      <c r="AU31" s="24"/>
      <c r="AV31" s="24"/>
      <c r="AW31" s="24"/>
      <c r="AX31" s="24"/>
      <c r="AY31" s="24"/>
      <c r="AZ31" s="24"/>
      <c r="BA31" s="24"/>
      <c r="BB31" s="24"/>
      <c r="BC31" s="24"/>
    </row>
    <row r="32" spans="1:55" ht="35.25" thickBot="1">
      <c r="A32" s="31">
        <f t="shared" si="8"/>
        <v>29</v>
      </c>
      <c r="B32" s="117" t="s">
        <v>558</v>
      </c>
      <c r="C32" s="116" t="s">
        <v>559</v>
      </c>
      <c r="D32" s="99" t="str">
        <f xml:space="preserve"> LEFT(韻母對照表[[#This Row],[十五音識別碼]],1)</f>
        <v>姜</v>
      </c>
      <c r="E32" s="99" t="s">
        <v>560</v>
      </c>
      <c r="F32" s="118" t="s">
        <v>561</v>
      </c>
      <c r="G32" s="118" t="s">
        <v>561</v>
      </c>
      <c r="H32" s="32" t="s">
        <v>562</v>
      </c>
      <c r="I32" s="32" t="s">
        <v>562</v>
      </c>
      <c r="J32" s="32" t="s">
        <v>562</v>
      </c>
      <c r="K32" s="32" t="s">
        <v>562</v>
      </c>
      <c r="L32" s="33" t="s">
        <v>562</v>
      </c>
      <c r="M32" s="32"/>
      <c r="N32" s="34">
        <f t="shared" si="0"/>
        <v>4</v>
      </c>
      <c r="O32" s="36"/>
      <c r="P32" s="32" t="str">
        <f>J37</f>
        <v>iau</v>
      </c>
      <c r="Q32" s="32" t="str">
        <f>K37</f>
        <v>iau</v>
      </c>
      <c r="S32" s="25" t="str">
        <f t="shared" si="3"/>
        <v>iau(\d)</v>
      </c>
      <c r="T32" s="26" t="s">
        <v>399</v>
      </c>
      <c r="U32" s="26" t="str">
        <f t="shared" si="4"/>
        <v/>
      </c>
      <c r="V32" s="25" t="str">
        <f t="shared" si="5"/>
        <v/>
      </c>
      <c r="W32" s="35"/>
      <c r="X32" s="37" t="str">
        <f t="shared" si="6"/>
        <v xml:space="preserve">    - xform/》iau(\d)//</v>
      </c>
      <c r="Z32" s="28"/>
      <c r="AA32" s="28"/>
      <c r="AB32" s="28"/>
      <c r="AC32" s="28"/>
      <c r="AD32" s="28"/>
      <c r="AE32" s="28"/>
      <c r="AF32" s="28"/>
      <c r="AG32" s="28"/>
      <c r="AH32" s="28"/>
      <c r="AL32" s="29"/>
      <c r="AM32" s="29"/>
      <c r="AN32" s="29"/>
      <c r="AO32" s="29"/>
      <c r="AP32" s="29"/>
      <c r="AQ32" s="29"/>
      <c r="AR32" s="29"/>
      <c r="AS32" s="29"/>
      <c r="AT32" s="29"/>
      <c r="AU32" s="24"/>
      <c r="AV32" s="24"/>
      <c r="AW32" s="24"/>
      <c r="AX32" s="24"/>
      <c r="AY32" s="24"/>
      <c r="AZ32" s="24"/>
      <c r="BA32" s="24"/>
      <c r="BB32" s="24"/>
      <c r="BC32" s="24"/>
    </row>
    <row r="33" spans="1:55" ht="35.25" thickBot="1">
      <c r="A33" s="31">
        <f t="shared" si="8"/>
        <v>30</v>
      </c>
      <c r="B33" s="117" t="str">
        <f>_xlfn.CONCAT("ɪ", "a", _xlfn.UNICHAR(771), "")</f>
        <v>ɪã</v>
      </c>
      <c r="C33" s="116" t="s">
        <v>401</v>
      </c>
      <c r="D33" s="99" t="str">
        <f xml:space="preserve"> LEFT(韻母對照表[[#This Row],[十五音識別碼]],1)</f>
        <v>驚</v>
      </c>
      <c r="E33" s="99" t="s">
        <v>563</v>
      </c>
      <c r="F33" s="118" t="s">
        <v>564</v>
      </c>
      <c r="G33" s="118" t="s">
        <v>565</v>
      </c>
      <c r="H33" s="32" t="s">
        <v>566</v>
      </c>
      <c r="I33" s="32" t="s">
        <v>567</v>
      </c>
      <c r="J33" s="32" t="s">
        <v>566</v>
      </c>
      <c r="K33" s="32" t="s">
        <v>566</v>
      </c>
      <c r="L33" s="33" t="s">
        <v>568</v>
      </c>
      <c r="M33" s="42" t="s">
        <v>415</v>
      </c>
      <c r="N33" s="34">
        <f t="shared" si="0"/>
        <v>4</v>
      </c>
      <c r="O33" s="36"/>
      <c r="P33" s="32" t="str">
        <f>J31</f>
        <v>ian</v>
      </c>
      <c r="Q33" s="32" t="str">
        <f>K31</f>
        <v>ian</v>
      </c>
      <c r="S33" s="25" t="str">
        <f t="shared" si="3"/>
        <v>ian(\d)</v>
      </c>
      <c r="T33" s="26" t="s">
        <v>448</v>
      </c>
      <c r="U33" s="26">
        <f t="shared" si="4"/>
        <v>1</v>
      </c>
      <c r="V33" s="25" t="str">
        <f t="shared" si="5"/>
        <v>》i${1}an</v>
      </c>
      <c r="W33" s="35"/>
      <c r="X33" s="37" t="str">
        <f t="shared" si="6"/>
        <v xml:space="preserve">    - xform/》ian(\d)/》i${1}an/</v>
      </c>
      <c r="Z33" s="28"/>
      <c r="AA33" s="28"/>
      <c r="AB33" s="28"/>
      <c r="AC33" s="28"/>
      <c r="AD33" s="28"/>
      <c r="AE33" s="28"/>
      <c r="AF33" s="28"/>
      <c r="AG33" s="28"/>
      <c r="AH33" s="28"/>
      <c r="AL33" s="29"/>
      <c r="AM33" s="29"/>
      <c r="AN33" s="29"/>
      <c r="AO33" s="29"/>
      <c r="AP33" s="29"/>
      <c r="AQ33" s="29"/>
      <c r="AR33" s="29"/>
      <c r="AS33" s="29"/>
      <c r="AT33" s="29"/>
      <c r="AU33" s="24"/>
      <c r="AV33" s="24"/>
      <c r="AW33" s="24"/>
      <c r="AX33" s="24"/>
      <c r="AY33" s="24"/>
      <c r="AZ33" s="24"/>
      <c r="BA33" s="24"/>
      <c r="BB33" s="24"/>
      <c r="BC33" s="24"/>
    </row>
    <row r="34" spans="1:55" ht="35.25" thickBot="1">
      <c r="A34" s="31">
        <f t="shared" si="8"/>
        <v>31</v>
      </c>
      <c r="B34" s="117" t="str">
        <f xml:space="preserve"> _xlfn.CONCAT(B33, "ʔ")</f>
        <v>ɪãʔ</v>
      </c>
      <c r="C34" s="116" t="s">
        <v>569</v>
      </c>
      <c r="D34" s="99" t="str">
        <f xml:space="preserve"> LEFT(韻母對照表[[#This Row],[十五音識別碼]],1)</f>
        <v>迦</v>
      </c>
      <c r="E34" s="99" t="s">
        <v>537</v>
      </c>
      <c r="F34" s="119" t="s">
        <v>570</v>
      </c>
      <c r="G34" s="119" t="s">
        <v>571</v>
      </c>
      <c r="H34" s="40" t="s">
        <v>572</v>
      </c>
      <c r="I34" s="40" t="s">
        <v>572</v>
      </c>
      <c r="J34" s="41" t="s">
        <v>573</v>
      </c>
      <c r="K34" s="40" t="s">
        <v>572</v>
      </c>
      <c r="L34" s="40" t="s">
        <v>574</v>
      </c>
      <c r="M34" s="42" t="s">
        <v>415</v>
      </c>
      <c r="N34" s="34">
        <f t="shared" si="0"/>
        <v>5</v>
      </c>
      <c r="O34" s="36"/>
      <c r="P34" s="32" t="str">
        <f>J35</f>
        <v>iap</v>
      </c>
      <c r="Q34" s="32" t="str">
        <f>K35</f>
        <v>iap</v>
      </c>
      <c r="S34" s="25" t="str">
        <f t="shared" si="3"/>
        <v>iap(\d)</v>
      </c>
      <c r="T34" s="26" t="s">
        <v>448</v>
      </c>
      <c r="U34" s="26">
        <f t="shared" si="4"/>
        <v>1</v>
      </c>
      <c r="V34" s="25" t="str">
        <f t="shared" si="5"/>
        <v>》i${1}ap</v>
      </c>
      <c r="W34" s="35"/>
      <c r="X34" s="37" t="str">
        <f t="shared" si="6"/>
        <v xml:space="preserve">    - xform/》iap(\d)/》i${1}ap/</v>
      </c>
      <c r="Z34" s="28"/>
      <c r="AA34" s="28"/>
      <c r="AB34" s="28"/>
      <c r="AC34" s="28"/>
      <c r="AD34" s="28"/>
      <c r="AE34" s="28"/>
      <c r="AF34" s="28"/>
      <c r="AG34" s="28"/>
      <c r="AH34" s="28"/>
      <c r="AL34" s="29"/>
      <c r="AM34" s="29"/>
      <c r="AN34" s="29"/>
      <c r="AO34" s="29"/>
      <c r="AP34" s="29"/>
      <c r="AQ34" s="29"/>
      <c r="AR34" s="29"/>
      <c r="AS34" s="29"/>
      <c r="AT34" s="29"/>
      <c r="AU34" s="24"/>
      <c r="AV34" s="24"/>
      <c r="AW34" s="24"/>
      <c r="AX34" s="24"/>
      <c r="AY34" s="24"/>
      <c r="AZ34" s="24"/>
      <c r="BA34" s="24"/>
      <c r="BB34" s="24"/>
      <c r="BC34" s="24"/>
    </row>
    <row r="35" spans="1:55" ht="54.75" thickBot="1">
      <c r="A35" s="31">
        <f t="shared" si="8"/>
        <v>32</v>
      </c>
      <c r="B35" s="117" t="s">
        <v>575</v>
      </c>
      <c r="C35" s="116" t="s">
        <v>576</v>
      </c>
      <c r="D35" s="99" t="str">
        <f xml:space="preserve"> LEFT(韻母對照表[[#This Row],[十五音識別碼]],1)</f>
        <v>兼</v>
      </c>
      <c r="E35" s="99" t="s">
        <v>577</v>
      </c>
      <c r="F35" s="118" t="s">
        <v>578</v>
      </c>
      <c r="G35" s="118" t="s">
        <v>579</v>
      </c>
      <c r="H35" s="32" t="s">
        <v>580</v>
      </c>
      <c r="I35" s="32" t="s">
        <v>580</v>
      </c>
      <c r="J35" s="32" t="s">
        <v>580</v>
      </c>
      <c r="K35" s="32" t="s">
        <v>580</v>
      </c>
      <c r="L35" s="33" t="s">
        <v>580</v>
      </c>
      <c r="M35" s="32"/>
      <c r="N35" s="34">
        <f t="shared" ref="N35:N66" si="10" xml:space="preserve"> LEN(K35)</f>
        <v>3</v>
      </c>
      <c r="O35" s="36"/>
      <c r="P35" s="32" t="str">
        <f>J39</f>
        <v>iaunn</v>
      </c>
      <c r="Q35" s="32" t="str">
        <f>K39</f>
        <v>iaunn</v>
      </c>
      <c r="S35" s="25" t="str">
        <f t="shared" si="3"/>
        <v>iaunn(\d)</v>
      </c>
      <c r="T35" s="26" t="s">
        <v>399</v>
      </c>
      <c r="U35" s="26" t="str">
        <f t="shared" ref="U35:U55" si="11" xml:space="preserve"> IFERROR( IF(T35="", "", SEARCH(T35, $P35)), "")</f>
        <v/>
      </c>
      <c r="V35" s="25" t="str">
        <f t="shared" si="5"/>
        <v/>
      </c>
      <c r="W35" s="35"/>
      <c r="X35" s="37" t="str">
        <f t="shared" si="6"/>
        <v xml:space="preserve">    - xform/》iaunn(\d)//</v>
      </c>
      <c r="Z35" s="28"/>
      <c r="AA35" s="28"/>
      <c r="AB35" s="28"/>
      <c r="AC35" s="28"/>
      <c r="AD35" s="28"/>
      <c r="AE35" s="28"/>
      <c r="AF35" s="28"/>
      <c r="AG35" s="28"/>
      <c r="AH35" s="28"/>
      <c r="AL35" s="29"/>
      <c r="AM35" s="29"/>
      <c r="AN35" s="29"/>
      <c r="AO35" s="29"/>
      <c r="AP35" s="29"/>
      <c r="AQ35" s="29"/>
      <c r="AR35" s="29"/>
      <c r="AS35" s="29"/>
      <c r="AT35" s="29"/>
      <c r="AU35" s="24"/>
      <c r="AV35" s="24"/>
      <c r="AW35" s="24"/>
      <c r="AX35" s="24"/>
      <c r="AY35" s="24"/>
      <c r="AZ35" s="24"/>
      <c r="BA35" s="24"/>
      <c r="BB35" s="24"/>
      <c r="BC35" s="24"/>
    </row>
    <row r="36" spans="1:55" ht="35.25" thickBot="1">
      <c r="A36" s="31">
        <f t="shared" si="8"/>
        <v>33</v>
      </c>
      <c r="B36" s="117" t="s">
        <v>581</v>
      </c>
      <c r="C36" s="116" t="s">
        <v>582</v>
      </c>
      <c r="D36" s="99" t="str">
        <f xml:space="preserve"> LEFT(韻母對照表[[#This Row],[十五音識別碼]],1)</f>
        <v>堅</v>
      </c>
      <c r="E36" s="99" t="s">
        <v>583</v>
      </c>
      <c r="F36" s="118" t="s">
        <v>584</v>
      </c>
      <c r="G36" s="118" t="s">
        <v>585</v>
      </c>
      <c r="H36" s="32" t="s">
        <v>586</v>
      </c>
      <c r="I36" s="32" t="s">
        <v>586</v>
      </c>
      <c r="J36" s="32" t="s">
        <v>586</v>
      </c>
      <c r="K36" s="32" t="s">
        <v>586</v>
      </c>
      <c r="L36" s="33" t="s">
        <v>586</v>
      </c>
      <c r="M36" s="32"/>
      <c r="N36" s="34">
        <f t="shared" si="10"/>
        <v>3</v>
      </c>
      <c r="O36" s="36"/>
      <c r="P36" s="32" t="str">
        <f>J38</f>
        <v>iauh</v>
      </c>
      <c r="Q36" s="32" t="str">
        <f>K38</f>
        <v>iauh</v>
      </c>
      <c r="S36" s="25" t="str">
        <f t="shared" si="3"/>
        <v>iauh(\d)</v>
      </c>
      <c r="T36" s="26" t="s">
        <v>399</v>
      </c>
      <c r="U36" s="26" t="str">
        <f t="shared" si="11"/>
        <v/>
      </c>
      <c r="V36" s="25" t="str">
        <f t="shared" si="5"/>
        <v/>
      </c>
      <c r="W36" s="35"/>
      <c r="X36" s="37" t="str">
        <f t="shared" si="6"/>
        <v xml:space="preserve">    - xform/》iauh(\d)//</v>
      </c>
      <c r="Z36" s="28"/>
      <c r="AA36" s="28"/>
      <c r="AB36" s="28"/>
      <c r="AC36" s="28"/>
      <c r="AD36" s="28"/>
      <c r="AE36" s="28"/>
      <c r="AF36" s="28"/>
      <c r="AG36" s="28"/>
      <c r="AH36" s="28"/>
      <c r="AL36" s="29"/>
      <c r="AM36" s="29"/>
      <c r="AN36" s="29"/>
      <c r="AO36" s="29"/>
      <c r="AP36" s="29"/>
      <c r="AQ36" s="29"/>
      <c r="AR36" s="29"/>
      <c r="AS36" s="29"/>
      <c r="AT36" s="29"/>
      <c r="AU36" s="24"/>
      <c r="AV36" s="24"/>
      <c r="AW36" s="24"/>
      <c r="AX36" s="24"/>
      <c r="AY36" s="24"/>
      <c r="AZ36" s="24"/>
      <c r="BA36" s="24"/>
      <c r="BB36" s="24"/>
      <c r="BC36" s="24"/>
    </row>
    <row r="37" spans="1:55" ht="35.25" thickBot="1">
      <c r="A37" s="31">
        <f t="shared" si="8"/>
        <v>34</v>
      </c>
      <c r="B37" s="117" t="s">
        <v>587</v>
      </c>
      <c r="C37" s="116" t="s">
        <v>588</v>
      </c>
      <c r="D37" s="99" t="str">
        <f xml:space="preserve"> LEFT(韻母對照表[[#This Row],[十五音識別碼]],1)</f>
        <v>嬌</v>
      </c>
      <c r="E37" s="99" t="s">
        <v>589</v>
      </c>
      <c r="F37" s="118" t="s">
        <v>590</v>
      </c>
      <c r="G37" s="118" t="s">
        <v>590</v>
      </c>
      <c r="H37" s="32" t="s">
        <v>591</v>
      </c>
      <c r="I37" s="32" t="s">
        <v>592</v>
      </c>
      <c r="J37" s="32" t="s">
        <v>591</v>
      </c>
      <c r="K37" s="32" t="s">
        <v>591</v>
      </c>
      <c r="L37" s="33" t="s">
        <v>591</v>
      </c>
      <c r="M37" s="32"/>
      <c r="N37" s="34">
        <f t="shared" si="10"/>
        <v>3</v>
      </c>
      <c r="O37" s="36"/>
      <c r="P37" s="32" t="str">
        <f>J52</f>
        <v>ionn</v>
      </c>
      <c r="Q37" s="32" t="str">
        <f>K52</f>
        <v>ionn</v>
      </c>
      <c r="S37" s="25" t="str">
        <f t="shared" si="3"/>
        <v>ionn(\d)</v>
      </c>
      <c r="T37" s="26" t="s">
        <v>383</v>
      </c>
      <c r="U37" s="26" t="str">
        <f t="shared" si="11"/>
        <v/>
      </c>
      <c r="V37" s="25" t="str">
        <f t="shared" si="5"/>
        <v/>
      </c>
      <c r="W37" s="35"/>
      <c r="X37" s="37" t="str">
        <f t="shared" si="6"/>
        <v xml:space="preserve">    - xform/》ionn(\d)//</v>
      </c>
      <c r="Z37" s="28"/>
      <c r="AA37" s="28"/>
      <c r="AB37" s="28"/>
      <c r="AC37" s="28"/>
      <c r="AD37" s="28"/>
      <c r="AE37" s="28"/>
      <c r="AF37" s="28"/>
      <c r="AG37" s="28"/>
      <c r="AH37" s="28"/>
      <c r="AL37" s="29"/>
      <c r="AM37" s="29"/>
      <c r="AN37" s="29"/>
      <c r="AO37" s="29"/>
      <c r="AP37" s="29"/>
      <c r="AQ37" s="29"/>
      <c r="AR37" s="29"/>
      <c r="AS37" s="29"/>
      <c r="AT37" s="29"/>
      <c r="AU37" s="24"/>
      <c r="AV37" s="24"/>
      <c r="AW37" s="24"/>
      <c r="AX37" s="24"/>
      <c r="AY37" s="24"/>
      <c r="AZ37" s="24"/>
      <c r="BA37" s="24"/>
      <c r="BB37" s="24"/>
      <c r="BC37" s="24"/>
    </row>
    <row r="38" spans="1:55" ht="35.25" thickBot="1">
      <c r="A38" s="31">
        <f t="shared" si="8"/>
        <v>35</v>
      </c>
      <c r="B38" s="117" t="str">
        <f xml:space="preserve"> _xlfn.CONCAT(B37, "ʔ")</f>
        <v>ɪaʊʔ</v>
      </c>
      <c r="C38" s="116" t="s">
        <v>593</v>
      </c>
      <c r="D38" s="99" t="str">
        <f xml:space="preserve"> LEFT(韻母對照表[[#This Row],[十五音識別碼]],1)</f>
        <v>嬌</v>
      </c>
      <c r="E38" s="99" t="s">
        <v>594</v>
      </c>
      <c r="F38" s="118" t="s">
        <v>595</v>
      </c>
      <c r="G38" s="118" t="s">
        <v>596</v>
      </c>
      <c r="H38" s="32" t="s">
        <v>597</v>
      </c>
      <c r="I38" s="32" t="s">
        <v>598</v>
      </c>
      <c r="J38" s="32" t="s">
        <v>597</v>
      </c>
      <c r="K38" s="32" t="s">
        <v>597</v>
      </c>
      <c r="L38" s="33" t="s">
        <v>597</v>
      </c>
      <c r="M38" s="32"/>
      <c r="N38" s="34">
        <f t="shared" si="10"/>
        <v>4</v>
      </c>
      <c r="O38" s="36"/>
      <c r="P38" s="32" t="str">
        <f>J49</f>
        <v>iong</v>
      </c>
      <c r="Q38" s="32" t="str">
        <f>K49</f>
        <v>iong</v>
      </c>
      <c r="S38" s="25" t="str">
        <f t="shared" si="3"/>
        <v>iong(\d)</v>
      </c>
      <c r="T38" s="26" t="s">
        <v>383</v>
      </c>
      <c r="U38" s="26" t="str">
        <f t="shared" si="11"/>
        <v/>
      </c>
      <c r="V38" s="25" t="str">
        <f t="shared" si="5"/>
        <v/>
      </c>
      <c r="W38" s="35"/>
      <c r="X38" s="37" t="str">
        <f t="shared" si="6"/>
        <v xml:space="preserve">    - xform/》iong(\d)//</v>
      </c>
      <c r="Z38" s="28"/>
      <c r="AA38" s="28"/>
      <c r="AB38" s="28"/>
      <c r="AC38" s="28"/>
      <c r="AD38" s="28"/>
      <c r="AE38" s="28"/>
      <c r="AF38" s="28"/>
      <c r="AG38" s="28"/>
      <c r="AH38" s="28"/>
      <c r="AL38" s="29"/>
      <c r="AM38" s="29"/>
      <c r="AN38" s="29"/>
      <c r="AO38" s="29"/>
      <c r="AP38" s="29"/>
      <c r="AQ38" s="29"/>
      <c r="AR38" s="29"/>
      <c r="AS38" s="29"/>
      <c r="AT38" s="29"/>
      <c r="AU38" s="24"/>
      <c r="AV38" s="24"/>
      <c r="AW38" s="24"/>
      <c r="AX38" s="24"/>
      <c r="AY38" s="24"/>
      <c r="AZ38" s="24"/>
      <c r="BA38" s="24"/>
      <c r="BB38" s="24"/>
      <c r="BC38" s="24"/>
    </row>
    <row r="39" spans="1:55" ht="35.25" thickBot="1">
      <c r="A39" s="31">
        <f t="shared" si="8"/>
        <v>36</v>
      </c>
      <c r="B39" s="117" t="str">
        <f>_xlfn.CONCAT("ɪ", "a", _xlfn.UNICHAR(771), "ʊ")</f>
        <v>ɪãʊ</v>
      </c>
      <c r="C39" s="116" t="s">
        <v>599</v>
      </c>
      <c r="D39" s="99" t="str">
        <f xml:space="preserve"> LEFT(韻母對照表[[#This Row],[十五音識別碼]],1)</f>
        <v>嘄</v>
      </c>
      <c r="E39" s="99" t="s">
        <v>600</v>
      </c>
      <c r="F39" s="118" t="s">
        <v>601</v>
      </c>
      <c r="G39" s="118" t="s">
        <v>602</v>
      </c>
      <c r="H39" s="32" t="s">
        <v>603</v>
      </c>
      <c r="I39" s="32" t="s">
        <v>604</v>
      </c>
      <c r="J39" s="32" t="s">
        <v>603</v>
      </c>
      <c r="K39" s="32" t="s">
        <v>603</v>
      </c>
      <c r="L39" s="33" t="s">
        <v>605</v>
      </c>
      <c r="M39" s="42" t="s">
        <v>415</v>
      </c>
      <c r="N39" s="34">
        <f t="shared" si="10"/>
        <v>5</v>
      </c>
      <c r="O39" s="36"/>
      <c r="P39" s="32" t="str">
        <f>J47</f>
        <v>ioh</v>
      </c>
      <c r="Q39" s="32" t="str">
        <f>K47</f>
        <v>ioh</v>
      </c>
      <c r="S39" s="25" t="str">
        <f t="shared" si="3"/>
        <v>ioh(\d)</v>
      </c>
      <c r="T39" s="26" t="s">
        <v>383</v>
      </c>
      <c r="U39" s="26" t="str">
        <f t="shared" si="11"/>
        <v/>
      </c>
      <c r="V39" s="25" t="str">
        <f t="shared" si="5"/>
        <v/>
      </c>
      <c r="W39" s="35"/>
      <c r="X39" s="37" t="str">
        <f t="shared" si="6"/>
        <v xml:space="preserve">    - xform/》ioh(\d)//</v>
      </c>
      <c r="Z39" s="28"/>
      <c r="AA39" s="28"/>
      <c r="AB39" s="28"/>
      <c r="AC39" s="28"/>
      <c r="AD39" s="28"/>
      <c r="AE39" s="28"/>
      <c r="AF39" s="28"/>
      <c r="AG39" s="28"/>
      <c r="AH39" s="28"/>
      <c r="AL39" s="29"/>
      <c r="AM39" s="29"/>
      <c r="AN39" s="29"/>
      <c r="AO39" s="29"/>
      <c r="AP39" s="29"/>
      <c r="AQ39" s="29"/>
      <c r="AR39" s="29"/>
      <c r="AS39" s="29"/>
      <c r="AT39" s="29"/>
      <c r="AU39" s="24"/>
      <c r="AV39" s="24"/>
      <c r="AW39" s="24"/>
      <c r="AX39" s="24"/>
      <c r="AY39" s="24"/>
      <c r="AZ39" s="24"/>
      <c r="BA39" s="24"/>
      <c r="BB39" s="24"/>
      <c r="BC39" s="24"/>
    </row>
    <row r="40" spans="1:55" ht="35.25" thickBot="1">
      <c r="A40" s="31">
        <f t="shared" si="8"/>
        <v>37</v>
      </c>
      <c r="B40" s="117" t="s">
        <v>606</v>
      </c>
      <c r="C40" s="116" t="s">
        <v>607</v>
      </c>
      <c r="D40" s="99" t="str">
        <f xml:space="preserve"> LEFT(韻母對照表[[#This Row],[十五音識別碼]],1)</f>
        <v>居</v>
      </c>
      <c r="E40" s="99" t="s">
        <v>608</v>
      </c>
      <c r="F40" s="118" t="s">
        <v>609</v>
      </c>
      <c r="G40" s="118" t="s">
        <v>610</v>
      </c>
      <c r="H40" s="32" t="s">
        <v>611</v>
      </c>
      <c r="I40" s="32" t="s">
        <v>611</v>
      </c>
      <c r="J40" s="32" t="s">
        <v>611</v>
      </c>
      <c r="K40" s="32" t="s">
        <v>611</v>
      </c>
      <c r="L40" s="33" t="s">
        <v>611</v>
      </c>
      <c r="M40" s="32"/>
      <c r="N40" s="34">
        <f t="shared" si="10"/>
        <v>2</v>
      </c>
      <c r="O40" s="36"/>
      <c r="P40" s="32" t="str">
        <f>J50</f>
        <v>ip</v>
      </c>
      <c r="Q40" s="32" t="str">
        <f>K50</f>
        <v>ip</v>
      </c>
      <c r="S40" s="25" t="str">
        <f t="shared" si="3"/>
        <v>ip(\d)</v>
      </c>
      <c r="T40" s="26" t="s">
        <v>383</v>
      </c>
      <c r="U40" s="26" t="str">
        <f t="shared" si="11"/>
        <v/>
      </c>
      <c r="V40" s="25" t="str">
        <f t="shared" si="5"/>
        <v/>
      </c>
      <c r="W40" s="35"/>
      <c r="X40" s="37" t="str">
        <f t="shared" si="6"/>
        <v xml:space="preserve">    - xform/》ip(\d)//</v>
      </c>
      <c r="Z40" s="28"/>
      <c r="AA40" s="28"/>
      <c r="AB40" s="28"/>
      <c r="AC40" s="28"/>
      <c r="AD40" s="28"/>
      <c r="AE40" s="28"/>
      <c r="AF40" s="28"/>
      <c r="AG40" s="28"/>
      <c r="AH40" s="28"/>
      <c r="AL40" s="29"/>
      <c r="AM40" s="29"/>
      <c r="AN40" s="29"/>
      <c r="AO40" s="29"/>
      <c r="AP40" s="29"/>
      <c r="AQ40" s="29"/>
      <c r="AR40" s="29"/>
      <c r="AS40" s="29"/>
      <c r="AT40" s="29"/>
      <c r="AU40" s="24"/>
      <c r="AV40" s="24"/>
      <c r="AW40" s="24"/>
      <c r="AX40" s="24"/>
      <c r="AY40" s="24"/>
      <c r="AZ40" s="24"/>
      <c r="BA40" s="24"/>
      <c r="BB40" s="24"/>
      <c r="BC40" s="24"/>
    </row>
    <row r="41" spans="1:55" ht="54.75" thickBot="1">
      <c r="A41" s="31">
        <f t="shared" si="8"/>
        <v>38</v>
      </c>
      <c r="B41" s="117" t="s">
        <v>612</v>
      </c>
      <c r="C41" s="116" t="s">
        <v>613</v>
      </c>
      <c r="D41" s="99" t="str">
        <f xml:space="preserve"> LEFT(韻母對照表[[#This Row],[十五音識別碼]],1)</f>
        <v>經</v>
      </c>
      <c r="E41" s="99" t="s">
        <v>504</v>
      </c>
      <c r="F41" s="118" t="s">
        <v>614</v>
      </c>
      <c r="G41" s="118" t="s">
        <v>615</v>
      </c>
      <c r="H41" s="32" t="s">
        <v>616</v>
      </c>
      <c r="I41" s="32" t="s">
        <v>617</v>
      </c>
      <c r="J41" s="32" t="s">
        <v>617</v>
      </c>
      <c r="K41" s="32" t="s">
        <v>617</v>
      </c>
      <c r="L41" s="33" t="s">
        <v>252</v>
      </c>
      <c r="M41" s="32"/>
      <c r="N41" s="34">
        <f t="shared" si="10"/>
        <v>2</v>
      </c>
      <c r="O41" s="36"/>
      <c r="P41" s="32" t="str">
        <f>J34</f>
        <v>iannh</v>
      </c>
      <c r="Q41" s="32" t="str">
        <f>K34</f>
        <v>iannh</v>
      </c>
      <c r="S41" s="25" t="str">
        <f t="shared" si="3"/>
        <v>iannh(\d)</v>
      </c>
      <c r="T41" s="26" t="s">
        <v>383</v>
      </c>
      <c r="U41" s="26">
        <f t="shared" si="11"/>
        <v>2</v>
      </c>
      <c r="V41" s="25" t="str">
        <f t="shared" si="5"/>
        <v>i》a${1}nnh</v>
      </c>
      <c r="W41" s="35"/>
      <c r="X41" s="37" t="str">
        <f t="shared" si="6"/>
        <v xml:space="preserve">    - xform/》iannh(\d)/i》a${1}nnh/</v>
      </c>
      <c r="Z41" s="28"/>
      <c r="AA41" s="28"/>
      <c r="AB41" s="28"/>
      <c r="AC41" s="28"/>
      <c r="AD41" s="28"/>
      <c r="AE41" s="28"/>
      <c r="AF41" s="28"/>
      <c r="AG41" s="28"/>
      <c r="AH41" s="28"/>
      <c r="AL41" s="29"/>
      <c r="AM41" s="29"/>
      <c r="AN41" s="29"/>
      <c r="AO41" s="29"/>
      <c r="AP41" s="29"/>
      <c r="AQ41" s="29"/>
      <c r="AR41" s="29"/>
      <c r="AS41" s="29"/>
      <c r="AT41" s="29"/>
      <c r="AU41" s="24"/>
      <c r="AV41" s="24"/>
      <c r="AW41" s="24"/>
      <c r="AX41" s="24"/>
      <c r="AY41" s="24"/>
      <c r="AZ41" s="24"/>
      <c r="BA41" s="24"/>
      <c r="BB41" s="24"/>
      <c r="BC41" s="24"/>
    </row>
    <row r="42" spans="1:55" ht="35.25" thickBot="1">
      <c r="A42" s="31">
        <f t="shared" si="8"/>
        <v>39</v>
      </c>
      <c r="B42" s="117" t="s">
        <v>618</v>
      </c>
      <c r="C42" s="116" t="s">
        <v>619</v>
      </c>
      <c r="D42" s="99" t="str">
        <f xml:space="preserve"> LEFT(韻母對照表[[#This Row],[十五音識別碼]],1)</f>
        <v>金</v>
      </c>
      <c r="E42" s="99" t="s">
        <v>620</v>
      </c>
      <c r="F42" s="118" t="s">
        <v>621</v>
      </c>
      <c r="G42" s="118" t="s">
        <v>622</v>
      </c>
      <c r="H42" s="32" t="s">
        <v>623</v>
      </c>
      <c r="I42" s="32" t="s">
        <v>623</v>
      </c>
      <c r="J42" s="32" t="s">
        <v>623</v>
      </c>
      <c r="K42" s="32" t="s">
        <v>623</v>
      </c>
      <c r="L42" s="33" t="s">
        <v>623</v>
      </c>
      <c r="M42" s="32"/>
      <c r="N42" s="34">
        <f t="shared" si="10"/>
        <v>2</v>
      </c>
      <c r="O42" s="36"/>
      <c r="P42" s="32" t="str">
        <f>J51</f>
        <v>it</v>
      </c>
      <c r="Q42" s="32" t="str">
        <f>K51</f>
        <v>it</v>
      </c>
      <c r="S42" s="25" t="str">
        <f t="shared" si="3"/>
        <v>it(\d)</v>
      </c>
      <c r="T42" s="26" t="s">
        <v>383</v>
      </c>
      <c r="U42" s="26" t="str">
        <f t="shared" si="11"/>
        <v/>
      </c>
      <c r="V42" s="25" t="str">
        <f t="shared" si="5"/>
        <v/>
      </c>
      <c r="W42" s="35"/>
      <c r="X42" s="37" t="str">
        <f t="shared" si="6"/>
        <v xml:space="preserve">    - xform/》it(\d)//</v>
      </c>
      <c r="Z42" s="28"/>
      <c r="AA42" s="28"/>
      <c r="AB42" s="28"/>
      <c r="AC42" s="28"/>
      <c r="AD42" s="28"/>
      <c r="AE42" s="28"/>
      <c r="AF42" s="28"/>
      <c r="AG42" s="28"/>
      <c r="AH42" s="28"/>
      <c r="AL42" s="29"/>
      <c r="AM42" s="29"/>
      <c r="AN42" s="29"/>
      <c r="AO42" s="29"/>
      <c r="AP42" s="29"/>
      <c r="AQ42" s="29"/>
      <c r="AR42" s="29"/>
      <c r="AS42" s="29"/>
      <c r="AT42" s="29"/>
      <c r="AU42" s="24"/>
      <c r="AV42" s="24"/>
      <c r="AW42" s="24"/>
      <c r="AX42" s="24"/>
      <c r="AY42" s="24"/>
      <c r="AZ42" s="24"/>
      <c r="BA42" s="24"/>
      <c r="BB42" s="24"/>
      <c r="BC42" s="24"/>
    </row>
    <row r="43" spans="1:55" ht="35.25" thickBot="1">
      <c r="A43" s="31">
        <f t="shared" si="8"/>
        <v>40</v>
      </c>
      <c r="B43" s="117" t="s">
        <v>624</v>
      </c>
      <c r="C43" s="116" t="s">
        <v>625</v>
      </c>
      <c r="D43" s="99" t="str">
        <f xml:space="preserve"> LEFT(韻母對照表[[#This Row],[十五音識別碼]],1)</f>
        <v>巾</v>
      </c>
      <c r="E43" s="99" t="s">
        <v>626</v>
      </c>
      <c r="F43" s="118" t="s">
        <v>627</v>
      </c>
      <c r="G43" s="118" t="s">
        <v>627</v>
      </c>
      <c r="H43" s="32" t="s">
        <v>628</v>
      </c>
      <c r="I43" s="32" t="s">
        <v>628</v>
      </c>
      <c r="J43" s="32" t="s">
        <v>628</v>
      </c>
      <c r="K43" s="32" t="s">
        <v>628</v>
      </c>
      <c r="L43" s="33" t="s">
        <v>628</v>
      </c>
      <c r="M43" s="32"/>
      <c r="N43" s="34">
        <f t="shared" si="10"/>
        <v>2</v>
      </c>
      <c r="O43" s="36"/>
      <c r="P43" s="32" t="str">
        <f>J41</f>
        <v>ik</v>
      </c>
      <c r="Q43" s="32" t="str">
        <f>K41</f>
        <v>ik</v>
      </c>
      <c r="S43" s="25" t="str">
        <f t="shared" si="3"/>
        <v>ik(\d)</v>
      </c>
      <c r="T43" s="26" t="s">
        <v>383</v>
      </c>
      <c r="U43" s="26" t="str">
        <f t="shared" si="11"/>
        <v/>
      </c>
      <c r="V43" s="25" t="str">
        <f t="shared" si="5"/>
        <v/>
      </c>
      <c r="W43" s="35"/>
      <c r="X43" s="37" t="str">
        <f t="shared" si="6"/>
        <v xml:space="preserve">    - xform/》ik(\d)//</v>
      </c>
      <c r="Z43" s="28"/>
      <c r="AA43" s="28"/>
      <c r="AB43" s="28"/>
      <c r="AC43" s="28"/>
      <c r="AD43" s="28"/>
      <c r="AE43" s="28"/>
      <c r="AF43" s="28"/>
      <c r="AG43" s="28"/>
      <c r="AH43" s="28"/>
      <c r="AL43" s="29"/>
      <c r="AM43" s="29"/>
      <c r="AN43" s="29"/>
      <c r="AO43" s="29"/>
      <c r="AP43" s="29"/>
      <c r="AQ43" s="29"/>
      <c r="AR43" s="29"/>
      <c r="AS43" s="29"/>
      <c r="AT43" s="29"/>
      <c r="AU43" s="24"/>
      <c r="AV43" s="24"/>
      <c r="AW43" s="24"/>
      <c r="AX43" s="24"/>
      <c r="AY43" s="24"/>
      <c r="AZ43" s="24"/>
      <c r="BA43" s="24"/>
      <c r="BB43" s="24"/>
      <c r="BC43" s="24"/>
    </row>
    <row r="44" spans="1:55" ht="35.25" thickBot="1">
      <c r="A44" s="31">
        <f t="shared" si="8"/>
        <v>41</v>
      </c>
      <c r="B44" s="117" t="s">
        <v>629</v>
      </c>
      <c r="C44" s="116" t="s">
        <v>630</v>
      </c>
      <c r="D44" s="99" t="str">
        <f xml:space="preserve"> LEFT(韻母對照表[[#This Row],[十五音識別碼]],1)</f>
        <v>經</v>
      </c>
      <c r="E44" s="99" t="s">
        <v>508</v>
      </c>
      <c r="F44" s="118" t="s">
        <v>631</v>
      </c>
      <c r="G44" s="118" t="s">
        <v>631</v>
      </c>
      <c r="H44" s="32" t="s">
        <v>632</v>
      </c>
      <c r="I44" s="32" t="s">
        <v>632</v>
      </c>
      <c r="J44" s="32" t="s">
        <v>632</v>
      </c>
      <c r="K44" s="32" t="s">
        <v>632</v>
      </c>
      <c r="L44" s="33" t="s">
        <v>633</v>
      </c>
      <c r="M44" s="32"/>
      <c r="N44" s="34">
        <f t="shared" si="10"/>
        <v>3</v>
      </c>
      <c r="O44" s="36"/>
      <c r="P44" s="32" t="str">
        <f>J27</f>
        <v>ia</v>
      </c>
      <c r="Q44" s="32" t="str">
        <f>K27</f>
        <v>ia</v>
      </c>
      <c r="S44" s="25" t="str">
        <f t="shared" si="3"/>
        <v>ia(\d)</v>
      </c>
      <c r="T44" s="26" t="s">
        <v>383</v>
      </c>
      <c r="U44" s="26">
        <f t="shared" si="11"/>
        <v>2</v>
      </c>
      <c r="V44" s="25" t="str">
        <f t="shared" si="5"/>
        <v>i》a${1}</v>
      </c>
      <c r="W44" s="35"/>
      <c r="X44" s="37" t="str">
        <f t="shared" si="6"/>
        <v xml:space="preserve">    - xform/》ia(\d)/i》a${1}/</v>
      </c>
      <c r="Z44" s="28"/>
      <c r="AA44" s="28"/>
      <c r="AB44" s="28"/>
      <c r="AC44" s="28"/>
      <c r="AD44" s="28"/>
      <c r="AE44" s="28"/>
      <c r="AF44" s="28"/>
      <c r="AG44" s="28"/>
      <c r="AH44" s="28"/>
      <c r="AL44" s="29"/>
      <c r="AM44" s="29"/>
      <c r="AN44" s="29"/>
      <c r="AO44" s="29"/>
      <c r="AP44" s="29"/>
      <c r="AQ44" s="29"/>
      <c r="AR44" s="29"/>
      <c r="AS44" s="29"/>
      <c r="AT44" s="29"/>
      <c r="AU44" s="24"/>
      <c r="AV44" s="24"/>
      <c r="AW44" s="24"/>
      <c r="AX44" s="24"/>
      <c r="AY44" s="24"/>
      <c r="AZ44" s="24"/>
      <c r="BA44" s="24"/>
      <c r="BB44" s="24"/>
      <c r="BC44" s="24"/>
    </row>
    <row r="45" spans="1:55" ht="35.25" thickBot="1">
      <c r="A45" s="31">
        <f t="shared" si="8"/>
        <v>42</v>
      </c>
      <c r="B45" s="117" t="s">
        <v>634</v>
      </c>
      <c r="C45" s="116" t="s">
        <v>635</v>
      </c>
      <c r="D45" s="99" t="str">
        <f xml:space="preserve"> LEFT(韻母對照表[[#This Row],[十五音識別碼]],1)</f>
        <v>梔</v>
      </c>
      <c r="E45" s="99" t="s">
        <v>636</v>
      </c>
      <c r="F45" s="118" t="s">
        <v>637</v>
      </c>
      <c r="G45" s="118" t="s">
        <v>638</v>
      </c>
      <c r="H45" s="32" t="s">
        <v>639</v>
      </c>
      <c r="I45" s="32" t="s">
        <v>640</v>
      </c>
      <c r="J45" s="32" t="s">
        <v>639</v>
      </c>
      <c r="K45" s="32" t="s">
        <v>639</v>
      </c>
      <c r="L45" s="33" t="s">
        <v>641</v>
      </c>
      <c r="M45" s="42" t="s">
        <v>415</v>
      </c>
      <c r="N45" s="34">
        <f t="shared" si="10"/>
        <v>3</v>
      </c>
      <c r="O45" s="36"/>
      <c r="P45" s="32" t="str">
        <f>J44</f>
        <v>ing</v>
      </c>
      <c r="Q45" s="32" t="str">
        <f>K44</f>
        <v>ing</v>
      </c>
      <c r="S45" s="25" t="str">
        <f xml:space="preserve"> _xlfn.CONCAT(P45, "(\d)")</f>
        <v>ing(\d)</v>
      </c>
      <c r="T45" s="26" t="s">
        <v>383</v>
      </c>
      <c r="U45" s="26" t="str">
        <f t="shared" si="11"/>
        <v/>
      </c>
      <c r="V45" s="25" t="str">
        <f xml:space="preserve"> IFERROR( _xlfn.CONCAT(LEFT(P45,U45-1), "》", MID(P45,U45,1), "${1}", RIGHT(P45, LEN(P45)-U45)), "" )</f>
        <v/>
      </c>
      <c r="W45" s="35"/>
      <c r="X45" s="37" t="str">
        <f xml:space="preserve"> IF(AND(Q45&lt;&gt;"", P45&lt;&gt;""), "    - xform/》" &amp; S45 &amp;  "/"  &amp; V45 &amp;  "/", "")</f>
        <v xml:space="preserve">    - xform/》ing(\d)//</v>
      </c>
      <c r="Z45" s="28"/>
      <c r="AA45" s="28"/>
      <c r="AB45" s="28"/>
      <c r="AC45" s="28"/>
      <c r="AD45" s="28"/>
      <c r="AE45" s="28"/>
      <c r="AF45" s="28"/>
      <c r="AG45" s="28"/>
      <c r="AH45" s="28"/>
      <c r="AL45" s="29"/>
      <c r="AM45" s="29"/>
      <c r="AN45" s="29"/>
      <c r="AO45" s="29"/>
      <c r="AP45" s="29"/>
      <c r="AQ45" s="29"/>
      <c r="AR45" s="29"/>
      <c r="AS45" s="29"/>
      <c r="AT45" s="29"/>
      <c r="AU45" s="24"/>
      <c r="AV45" s="24"/>
      <c r="AW45" s="24"/>
      <c r="AX45" s="24"/>
      <c r="AY45" s="24"/>
      <c r="AZ45" s="24"/>
      <c r="BA45" s="24"/>
      <c r="BB45" s="24"/>
      <c r="BC45" s="24"/>
    </row>
    <row r="46" spans="1:55" ht="35.25" thickBot="1">
      <c r="A46" s="31">
        <f t="shared" si="8"/>
        <v>43</v>
      </c>
      <c r="B46" s="117" t="s">
        <v>642</v>
      </c>
      <c r="C46" s="116" t="s">
        <v>643</v>
      </c>
      <c r="D46" s="99" t="str">
        <f xml:space="preserve"> LEFT(韻母對照表[[#This Row],[十五音識別碼]],1)</f>
        <v>茄</v>
      </c>
      <c r="E46" s="99" t="s">
        <v>644</v>
      </c>
      <c r="F46" s="118" t="s">
        <v>645</v>
      </c>
      <c r="G46" s="118" t="s">
        <v>645</v>
      </c>
      <c r="H46" s="32" t="s">
        <v>646</v>
      </c>
      <c r="I46" s="32" t="s">
        <v>256</v>
      </c>
      <c r="J46" s="32" t="s">
        <v>256</v>
      </c>
      <c r="K46" s="32" t="s">
        <v>256</v>
      </c>
      <c r="L46" s="33" t="s">
        <v>256</v>
      </c>
      <c r="M46" s="32"/>
      <c r="N46" s="34">
        <f t="shared" si="10"/>
        <v>2</v>
      </c>
      <c r="O46" s="36"/>
      <c r="P46" s="32" t="str">
        <f>J48</f>
        <v>iok</v>
      </c>
      <c r="Q46" s="32" t="str">
        <f>K48</f>
        <v>iok</v>
      </c>
      <c r="S46" s="25" t="str">
        <f xml:space="preserve"> _xlfn.CONCAT(P46, "(\d)")</f>
        <v>iok(\d)</v>
      </c>
      <c r="T46" s="26" t="s">
        <v>421</v>
      </c>
      <c r="U46" s="26" t="str">
        <f t="shared" si="11"/>
        <v/>
      </c>
      <c r="V46" s="25" t="str">
        <f xml:space="preserve"> IFERROR( _xlfn.CONCAT(LEFT(P46,U46-1), "》", MID(P46,U46,1), "${1}", RIGHT(P46, LEN(P46)-U46)), "" )</f>
        <v/>
      </c>
      <c r="W46" s="35"/>
      <c r="X46" s="37" t="str">
        <f xml:space="preserve"> IF(AND(Q46&lt;&gt;"", P46&lt;&gt;""), "    - xform/》" &amp; S46 &amp;  "/"  &amp; V46 &amp;  "/", "")</f>
        <v xml:space="preserve">    - xform/》iok(\d)//</v>
      </c>
      <c r="Z46" s="28"/>
      <c r="AA46" s="28"/>
      <c r="AB46" s="28"/>
      <c r="AC46" s="28"/>
      <c r="AD46" s="28"/>
      <c r="AE46" s="28"/>
      <c r="AF46" s="28"/>
      <c r="AG46" s="28"/>
      <c r="AH46" s="28"/>
      <c r="AL46" s="29"/>
      <c r="AM46" s="29"/>
      <c r="AN46" s="29"/>
      <c r="AO46" s="29"/>
      <c r="AP46" s="29"/>
      <c r="AQ46" s="29"/>
      <c r="AR46" s="29"/>
      <c r="AS46" s="29"/>
      <c r="AT46" s="29"/>
      <c r="AU46" s="24"/>
      <c r="AV46" s="24"/>
      <c r="AW46" s="24"/>
      <c r="AX46" s="24"/>
      <c r="AY46" s="24"/>
      <c r="AZ46" s="24"/>
      <c r="BA46" s="24"/>
      <c r="BB46" s="24"/>
      <c r="BC46" s="24"/>
    </row>
    <row r="47" spans="1:55" ht="35.25" thickBot="1">
      <c r="A47" s="31">
        <f t="shared" si="8"/>
        <v>44</v>
      </c>
      <c r="B47" s="117" t="s">
        <v>647</v>
      </c>
      <c r="C47" s="116" t="s">
        <v>648</v>
      </c>
      <c r="D47" s="99" t="str">
        <f xml:space="preserve"> LEFT(韻母對照表[[#This Row],[十五音識別碼]],1)</f>
        <v>茄</v>
      </c>
      <c r="E47" s="99" t="s">
        <v>649</v>
      </c>
      <c r="F47" s="118" t="s">
        <v>650</v>
      </c>
      <c r="G47" s="118" t="s">
        <v>651</v>
      </c>
      <c r="H47" s="32" t="s">
        <v>652</v>
      </c>
      <c r="I47" s="32" t="s">
        <v>653</v>
      </c>
      <c r="J47" s="32" t="s">
        <v>653</v>
      </c>
      <c r="K47" s="32" t="s">
        <v>653</v>
      </c>
      <c r="L47" s="33" t="s">
        <v>653</v>
      </c>
      <c r="M47" s="32"/>
      <c r="N47" s="34">
        <f t="shared" si="10"/>
        <v>3</v>
      </c>
      <c r="O47" s="36"/>
      <c r="P47" s="32" t="str">
        <f>J54</f>
        <v>iunn</v>
      </c>
      <c r="Q47" s="32" t="str">
        <f>K54</f>
        <v>iunn</v>
      </c>
      <c r="S47" s="25" t="str">
        <f xml:space="preserve"> _xlfn.CONCAT(P47, "(\d)")</f>
        <v>iunn(\d)</v>
      </c>
      <c r="T47" s="26" t="s">
        <v>448</v>
      </c>
      <c r="U47" s="26">
        <f t="shared" si="11"/>
        <v>1</v>
      </c>
      <c r="V47" s="25" t="str">
        <f xml:space="preserve"> IFERROR( _xlfn.CONCAT(LEFT(P47,U47-1), "》", MID(P47,U47,1), "${1}", RIGHT(P47, LEN(P47)-U47)), "" )</f>
        <v>》i${1}unn</v>
      </c>
      <c r="W47" s="35"/>
      <c r="X47" s="37" t="str">
        <f xml:space="preserve"> IF(AND(Q47&lt;&gt;"", P47&lt;&gt;""), "    - xform/》" &amp; S47 &amp;  "/"  &amp; V47 &amp;  "/", "")</f>
        <v xml:space="preserve">    - xform/》iunn(\d)/》i${1}unn/</v>
      </c>
      <c r="Z47" s="28"/>
      <c r="AA47" s="28"/>
      <c r="AB47" s="28"/>
      <c r="AC47" s="28"/>
      <c r="AD47" s="28"/>
      <c r="AE47" s="28"/>
      <c r="AF47" s="28"/>
      <c r="AG47" s="28"/>
      <c r="AH47" s="28"/>
      <c r="AL47" s="29"/>
      <c r="AM47" s="29"/>
      <c r="AN47" s="29"/>
      <c r="AO47" s="29"/>
      <c r="AP47" s="29"/>
      <c r="AQ47" s="29"/>
      <c r="AR47" s="29"/>
      <c r="AS47" s="29"/>
      <c r="AT47" s="29"/>
      <c r="AU47" s="24"/>
      <c r="AV47" s="24"/>
      <c r="AW47" s="24"/>
      <c r="AX47" s="24"/>
      <c r="AY47" s="24"/>
      <c r="AZ47" s="24"/>
      <c r="BA47" s="24"/>
      <c r="BB47" s="24"/>
      <c r="BC47" s="24"/>
    </row>
    <row r="48" spans="1:55" ht="35.25" thickBot="1">
      <c r="A48" s="31">
        <f t="shared" si="8"/>
        <v>45</v>
      </c>
      <c r="B48" s="117" t="s">
        <v>654</v>
      </c>
      <c r="C48" s="116" t="s">
        <v>655</v>
      </c>
      <c r="D48" s="99" t="str">
        <f xml:space="preserve"> LEFT(韻母對照表[[#This Row],[十五音識別碼]],1)</f>
        <v>恭</v>
      </c>
      <c r="E48" s="99" t="s">
        <v>656</v>
      </c>
      <c r="F48" s="118" t="s">
        <v>657</v>
      </c>
      <c r="G48" s="118" t="s">
        <v>658</v>
      </c>
      <c r="H48" s="32" t="s">
        <v>659</v>
      </c>
      <c r="I48" s="32" t="s">
        <v>660</v>
      </c>
      <c r="J48" s="32" t="s">
        <v>660</v>
      </c>
      <c r="K48" s="32" t="s">
        <v>660</v>
      </c>
      <c r="L48" s="33" t="s">
        <v>660</v>
      </c>
      <c r="M48" s="32"/>
      <c r="N48" s="34">
        <f t="shared" si="10"/>
        <v>3</v>
      </c>
      <c r="O48" s="36"/>
      <c r="P48" s="32" t="str">
        <f>J60</f>
        <v>o</v>
      </c>
      <c r="Q48" s="32" t="str">
        <f>K60</f>
        <v>o</v>
      </c>
      <c r="S48" s="25" t="str">
        <f xml:space="preserve"> _xlfn.CONCAT(P48, "(\d)")</f>
        <v>o(\d)</v>
      </c>
      <c r="T48" s="26" t="s">
        <v>448</v>
      </c>
      <c r="U48" s="26" t="str">
        <f t="shared" si="11"/>
        <v/>
      </c>
      <c r="V48" s="25" t="str">
        <f xml:space="preserve"> IFERROR( _xlfn.CONCAT(LEFT(P48,U48-1), "》", MID(P48,U48,1), "${1}", RIGHT(P48, LEN(P48)-U48)), "" )</f>
        <v/>
      </c>
      <c r="W48" s="35"/>
      <c r="X48" s="37" t="str">
        <f xml:space="preserve"> IF(AND(Q48&lt;&gt;"", P48&lt;&gt;""), "    - xform/》" &amp; S48 &amp;  "/"  &amp; V48 &amp;  "/", "")</f>
        <v xml:space="preserve">    - xform/》o(\d)//</v>
      </c>
      <c r="Z48" s="28"/>
      <c r="AA48" s="28"/>
      <c r="AB48" s="28"/>
      <c r="AC48" s="28"/>
      <c r="AD48" s="28"/>
      <c r="AE48" s="28"/>
      <c r="AF48" s="28"/>
      <c r="AG48" s="28"/>
      <c r="AH48" s="28"/>
      <c r="AL48" s="29"/>
      <c r="AM48" s="29"/>
      <c r="AN48" s="29"/>
      <c r="AO48" s="29"/>
      <c r="AP48" s="29"/>
      <c r="AQ48" s="29"/>
      <c r="AR48" s="29"/>
      <c r="AS48" s="29"/>
      <c r="AT48" s="29"/>
      <c r="AU48" s="24"/>
      <c r="AV48" s="24"/>
      <c r="AW48" s="24"/>
      <c r="AX48" s="24"/>
      <c r="AY48" s="24"/>
      <c r="AZ48" s="24"/>
      <c r="BA48" s="24"/>
      <c r="BB48" s="24"/>
      <c r="BC48" s="24"/>
    </row>
    <row r="49" spans="1:55" ht="54.75" thickBot="1">
      <c r="A49" s="31">
        <f t="shared" si="8"/>
        <v>46</v>
      </c>
      <c r="B49" s="117" t="s">
        <v>661</v>
      </c>
      <c r="C49" s="116" t="s">
        <v>662</v>
      </c>
      <c r="D49" s="99" t="str">
        <f xml:space="preserve"> LEFT(韻母對照表[[#This Row],[十五音識別碼]],1)</f>
        <v>恭</v>
      </c>
      <c r="E49" s="99" t="s">
        <v>663</v>
      </c>
      <c r="F49" s="118" t="s">
        <v>664</v>
      </c>
      <c r="G49" s="118" t="s">
        <v>665</v>
      </c>
      <c r="H49" s="32" t="s">
        <v>666</v>
      </c>
      <c r="I49" s="32" t="s">
        <v>666</v>
      </c>
      <c r="J49" s="32" t="s">
        <v>666</v>
      </c>
      <c r="K49" s="32" t="s">
        <v>666</v>
      </c>
      <c r="L49" s="33" t="s">
        <v>666</v>
      </c>
      <c r="M49" s="32"/>
      <c r="N49" s="34">
        <f t="shared" si="10"/>
        <v>4</v>
      </c>
      <c r="O49" s="36"/>
      <c r="P49" s="32" t="str">
        <f>J55</f>
        <v>iunnh</v>
      </c>
      <c r="Q49" s="32" t="str">
        <f>K55</f>
        <v>iunnh</v>
      </c>
      <c r="S49" s="25" t="str">
        <f xml:space="preserve"> _xlfn.CONCAT(P49, "(\d)")</f>
        <v>iunnh(\d)</v>
      </c>
      <c r="T49" s="26" t="s">
        <v>383</v>
      </c>
      <c r="U49" s="26" t="str">
        <f t="shared" si="11"/>
        <v/>
      </c>
      <c r="V49" s="25" t="str">
        <f xml:space="preserve"> IFERROR( _xlfn.CONCAT(LEFT(P49,U49-1), "》", MID(P49,U49,1), "${1}", RIGHT(P49, LEN(P49)-U49)), "" )</f>
        <v/>
      </c>
      <c r="W49" s="35"/>
      <c r="X49" s="37" t="str">
        <f xml:space="preserve"> IF(AND(Q49&lt;&gt;"", P49&lt;&gt;""), "    - xform/》" &amp; S49 &amp;  "/"  &amp; V49 &amp;  "/", "")</f>
        <v xml:space="preserve">    - xform/》iunnh(\d)//</v>
      </c>
      <c r="Z49" s="28"/>
      <c r="AA49" s="28"/>
      <c r="AB49" s="28"/>
      <c r="AC49" s="28"/>
      <c r="AD49" s="28"/>
      <c r="AE49" s="28"/>
      <c r="AF49" s="28"/>
      <c r="AG49" s="28"/>
      <c r="AH49" s="28"/>
      <c r="AL49" s="29"/>
      <c r="AM49" s="29"/>
      <c r="AN49" s="29"/>
      <c r="AO49" s="29"/>
      <c r="AP49" s="29"/>
      <c r="AQ49" s="29"/>
      <c r="AR49" s="29"/>
      <c r="AS49" s="29"/>
      <c r="AT49" s="29"/>
      <c r="AU49" s="24"/>
      <c r="AV49" s="24"/>
      <c r="AW49" s="24"/>
      <c r="AX49" s="24"/>
      <c r="AY49" s="24"/>
      <c r="AZ49" s="24"/>
      <c r="BA49" s="24"/>
      <c r="BB49" s="24"/>
      <c r="BC49" s="24"/>
    </row>
    <row r="50" spans="1:55" ht="35.25" thickBot="1">
      <c r="A50" s="31">
        <f t="shared" si="8"/>
        <v>47</v>
      </c>
      <c r="B50" s="117" t="s">
        <v>667</v>
      </c>
      <c r="C50" s="116" t="s">
        <v>668</v>
      </c>
      <c r="D50" s="99" t="str">
        <f xml:space="preserve"> LEFT(韻母對照表[[#This Row],[十五音識別碼]],1)</f>
        <v>金</v>
      </c>
      <c r="E50" s="99" t="s">
        <v>669</v>
      </c>
      <c r="F50" s="118" t="s">
        <v>670</v>
      </c>
      <c r="G50" s="118" t="s">
        <v>671</v>
      </c>
      <c r="H50" s="32" t="s">
        <v>672</v>
      </c>
      <c r="I50" s="32" t="s">
        <v>672</v>
      </c>
      <c r="J50" s="32" t="s">
        <v>672</v>
      </c>
      <c r="K50" s="32" t="s">
        <v>672</v>
      </c>
      <c r="L50" s="33" t="s">
        <v>672</v>
      </c>
      <c r="M50" s="32"/>
      <c r="N50" s="34">
        <f t="shared" si="10"/>
        <v>2</v>
      </c>
      <c r="O50" s="36"/>
      <c r="P50" s="32" t="str">
        <f>J33</f>
        <v>iann</v>
      </c>
      <c r="Q50" s="32" t="str">
        <f>K33</f>
        <v>iann</v>
      </c>
      <c r="S50" s="25" t="str">
        <f t="shared" si="3"/>
        <v>iann(\d)</v>
      </c>
      <c r="T50" s="26" t="s">
        <v>383</v>
      </c>
      <c r="U50" s="26">
        <f t="shared" si="11"/>
        <v>2</v>
      </c>
      <c r="V50" s="25" t="str">
        <f t="shared" si="5"/>
        <v>i》a${1}nn</v>
      </c>
      <c r="W50" s="35"/>
      <c r="X50" s="37" t="str">
        <f t="shared" si="6"/>
        <v xml:space="preserve">    - xform/》iann(\d)/i》a${1}nn/</v>
      </c>
      <c r="Z50" s="28"/>
      <c r="AA50" s="28"/>
      <c r="AB50" s="28"/>
      <c r="AC50" s="28"/>
      <c r="AD50" s="28"/>
      <c r="AE50" s="28"/>
      <c r="AF50" s="28"/>
      <c r="AG50" s="28"/>
      <c r="AH50" s="28"/>
      <c r="AL50" s="29"/>
      <c r="AM50" s="29"/>
      <c r="AN50" s="29"/>
      <c r="AO50" s="29"/>
      <c r="AP50" s="29"/>
      <c r="AQ50" s="29"/>
      <c r="AR50" s="29"/>
      <c r="AS50" s="29"/>
      <c r="AT50" s="29"/>
      <c r="AU50" s="24"/>
      <c r="AV50" s="24"/>
      <c r="AW50" s="24"/>
      <c r="AX50" s="24"/>
      <c r="AY50" s="24"/>
      <c r="AZ50" s="24"/>
      <c r="BA50" s="24"/>
      <c r="BB50" s="24"/>
      <c r="BC50" s="24"/>
    </row>
    <row r="51" spans="1:55" ht="35.25" thickBot="1">
      <c r="A51" s="31">
        <f t="shared" si="8"/>
        <v>48</v>
      </c>
      <c r="B51" s="117" t="s">
        <v>673</v>
      </c>
      <c r="C51" s="116" t="s">
        <v>674</v>
      </c>
      <c r="D51" s="99" t="str">
        <f xml:space="preserve"> LEFT(韻母對照表[[#This Row],[十五音識別碼]],1)</f>
        <v>巾</v>
      </c>
      <c r="E51" s="99" t="s">
        <v>675</v>
      </c>
      <c r="F51" s="118" t="s">
        <v>676</v>
      </c>
      <c r="G51" s="118" t="s">
        <v>677</v>
      </c>
      <c r="H51" s="32" t="s">
        <v>678</v>
      </c>
      <c r="I51" s="32" t="s">
        <v>678</v>
      </c>
      <c r="J51" s="32" t="s">
        <v>678</v>
      </c>
      <c r="K51" s="32" t="s">
        <v>678</v>
      </c>
      <c r="L51" s="33" t="s">
        <v>678</v>
      </c>
      <c r="M51" s="32"/>
      <c r="N51" s="34">
        <f t="shared" si="10"/>
        <v>2</v>
      </c>
      <c r="O51" s="36"/>
      <c r="P51" s="32" t="str">
        <f>J28</f>
        <v>iah</v>
      </c>
      <c r="Q51" s="32" t="str">
        <f>K28</f>
        <v>iah</v>
      </c>
      <c r="S51" s="25" t="str">
        <f t="shared" si="3"/>
        <v>iah(\d)</v>
      </c>
      <c r="T51" s="26" t="s">
        <v>383</v>
      </c>
      <c r="U51" s="26">
        <f t="shared" si="11"/>
        <v>2</v>
      </c>
      <c r="V51" s="25" t="str">
        <f t="shared" si="5"/>
        <v>i》a${1}h</v>
      </c>
      <c r="W51" s="35"/>
      <c r="X51" s="37" t="str">
        <f t="shared" si="6"/>
        <v xml:space="preserve">    - xform/》iah(\d)/i》a${1}h/</v>
      </c>
      <c r="Z51" s="28"/>
      <c r="AA51" s="28"/>
      <c r="AB51" s="28"/>
      <c r="AC51" s="28"/>
      <c r="AD51" s="28"/>
      <c r="AE51" s="28"/>
      <c r="AF51" s="28"/>
      <c r="AG51" s="28"/>
      <c r="AH51" s="28"/>
      <c r="AL51" s="29"/>
      <c r="AM51" s="29"/>
      <c r="AN51" s="29"/>
      <c r="AO51" s="29"/>
      <c r="AP51" s="29"/>
      <c r="AQ51" s="29"/>
      <c r="AR51" s="29"/>
      <c r="AS51" s="29"/>
      <c r="AT51" s="29"/>
      <c r="AU51" s="24"/>
      <c r="AV51" s="24"/>
      <c r="AW51" s="24"/>
      <c r="AX51" s="24"/>
      <c r="AY51" s="24"/>
      <c r="AZ51" s="24"/>
      <c r="BA51" s="24"/>
      <c r="BB51" s="24"/>
      <c r="BC51" s="24"/>
    </row>
    <row r="52" spans="1:55" ht="35.25" thickBot="1">
      <c r="A52" s="31">
        <f t="shared" si="8"/>
        <v>49</v>
      </c>
      <c r="B52" s="117" t="s">
        <v>679</v>
      </c>
      <c r="C52" s="116" t="s">
        <v>680</v>
      </c>
      <c r="D52" s="99" t="str">
        <f xml:space="preserve"> LEFT(韻母對照表[[#This Row],[十五音識別碼]],1)</f>
        <v>薑</v>
      </c>
      <c r="E52" s="99" t="s">
        <v>681</v>
      </c>
      <c r="F52" s="118" t="s">
        <v>682</v>
      </c>
      <c r="G52" s="118" t="s">
        <v>683</v>
      </c>
      <c r="H52" s="32" t="s">
        <v>684</v>
      </c>
      <c r="I52" s="32" t="s">
        <v>685</v>
      </c>
      <c r="J52" s="32" t="s">
        <v>686</v>
      </c>
      <c r="K52" s="32" t="s">
        <v>686</v>
      </c>
      <c r="L52" s="33" t="s">
        <v>687</v>
      </c>
      <c r="M52" s="42" t="s">
        <v>415</v>
      </c>
      <c r="N52" s="34">
        <f t="shared" si="10"/>
        <v>4</v>
      </c>
      <c r="O52" s="36"/>
      <c r="P52" s="32" t="str">
        <f>J53</f>
        <v>iu</v>
      </c>
      <c r="Q52" s="32" t="str">
        <f>K53</f>
        <v>iu</v>
      </c>
      <c r="S52" s="25" t="str">
        <f xml:space="preserve"> _xlfn.CONCAT(P52, "(\d)")</f>
        <v>iu(\d)</v>
      </c>
      <c r="T52" s="26" t="s">
        <v>383</v>
      </c>
      <c r="U52" s="26" t="str">
        <f t="shared" si="11"/>
        <v/>
      </c>
      <c r="V52" s="25" t="str">
        <f xml:space="preserve"> IFERROR( _xlfn.CONCAT(LEFT(P52,U52-1), "》", MID(P52,U52,1), "${1}", RIGHT(P52, LEN(P52)-U52)), "" )</f>
        <v/>
      </c>
      <c r="W52" s="35"/>
      <c r="X52" s="37" t="str">
        <f xml:space="preserve"> IF(AND(Q52&lt;&gt;"", P52&lt;&gt;""), "    - xform/》" &amp; S52 &amp;  "/"  &amp; V52 &amp;  "/", "")</f>
        <v xml:space="preserve">    - xform/》iu(\d)//</v>
      </c>
      <c r="Z52" s="28"/>
      <c r="AA52" s="28"/>
      <c r="AB52" s="28"/>
      <c r="AC52" s="28"/>
      <c r="AD52" s="28"/>
      <c r="AE52" s="28"/>
      <c r="AF52" s="28"/>
      <c r="AG52" s="28"/>
      <c r="AH52" s="28"/>
      <c r="AL52" s="29"/>
      <c r="AM52" s="29"/>
      <c r="AN52" s="29"/>
      <c r="AO52" s="29"/>
      <c r="AP52" s="29"/>
      <c r="AQ52" s="29"/>
      <c r="AR52" s="29"/>
      <c r="AS52" s="29"/>
      <c r="AT52" s="29"/>
      <c r="AU52" s="24"/>
      <c r="AV52" s="24"/>
      <c r="AW52" s="24"/>
      <c r="AX52" s="24"/>
      <c r="AY52" s="24"/>
      <c r="AZ52" s="24"/>
      <c r="BA52" s="24"/>
      <c r="BB52" s="24"/>
      <c r="BC52" s="24"/>
    </row>
    <row r="53" spans="1:55" ht="35.25" thickBot="1">
      <c r="A53" s="31">
        <f t="shared" si="8"/>
        <v>50</v>
      </c>
      <c r="B53" s="117" t="str">
        <f>_xlfn.CONCAT("ɪ", "u")</f>
        <v>ɪu</v>
      </c>
      <c r="C53" s="116" t="s">
        <v>688</v>
      </c>
      <c r="D53" s="99" t="str">
        <f xml:space="preserve"> LEFT(韻母對照表[[#This Row],[十五音識別碼]],1)</f>
        <v>丩</v>
      </c>
      <c r="E53" s="99" t="s">
        <v>689</v>
      </c>
      <c r="F53" s="118" t="s">
        <v>690</v>
      </c>
      <c r="G53" s="118" t="s">
        <v>690</v>
      </c>
      <c r="H53" s="32" t="s">
        <v>257</v>
      </c>
      <c r="I53" s="32" t="s">
        <v>257</v>
      </c>
      <c r="J53" s="32" t="s">
        <v>257</v>
      </c>
      <c r="K53" s="32" t="s">
        <v>257</v>
      </c>
      <c r="L53" s="33" t="s">
        <v>257</v>
      </c>
      <c r="M53" s="32"/>
      <c r="N53" s="34">
        <f t="shared" si="10"/>
        <v>2</v>
      </c>
      <c r="O53" s="36"/>
      <c r="P53" s="32" t="str">
        <f>J67</f>
        <v>oo</v>
      </c>
      <c r="Q53" s="32" t="str">
        <f>K67</f>
        <v>oo</v>
      </c>
      <c r="S53" s="25" t="str">
        <f t="shared" si="3"/>
        <v>oo(\d)</v>
      </c>
      <c r="T53" s="26" t="s">
        <v>421</v>
      </c>
      <c r="U53" s="26" t="str">
        <f t="shared" si="11"/>
        <v/>
      </c>
      <c r="V53" s="25" t="str">
        <f t="shared" si="5"/>
        <v/>
      </c>
      <c r="W53" s="35"/>
      <c r="X53" s="37" t="str">
        <f t="shared" si="6"/>
        <v xml:space="preserve">    - xform/》oo(\d)//</v>
      </c>
      <c r="Z53" s="28"/>
      <c r="AA53" s="28"/>
      <c r="AB53" s="28"/>
      <c r="AC53" s="28"/>
      <c r="AD53" s="28"/>
      <c r="AE53" s="28"/>
      <c r="AF53" s="28"/>
      <c r="AG53" s="28"/>
      <c r="AH53" s="28"/>
      <c r="AL53" s="29"/>
      <c r="AM53" s="29"/>
      <c r="AN53" s="29"/>
      <c r="AO53" s="29"/>
      <c r="AP53" s="29"/>
      <c r="AQ53" s="29"/>
      <c r="AR53" s="29"/>
      <c r="AS53" s="29"/>
      <c r="AT53" s="29"/>
      <c r="AU53" s="24"/>
      <c r="AV53" s="24"/>
      <c r="AW53" s="24"/>
      <c r="AX53" s="24"/>
      <c r="AY53" s="24"/>
      <c r="AZ53" s="24"/>
      <c r="BA53" s="24"/>
      <c r="BB53" s="24"/>
      <c r="BC53" s="24"/>
    </row>
    <row r="54" spans="1:55" ht="35.25" thickBot="1">
      <c r="A54" s="31">
        <f t="shared" si="8"/>
        <v>51</v>
      </c>
      <c r="B54" s="117" t="str">
        <f>_xlfn.CONCAT("ɪ", "u", _xlfn.UNICHAR(771), "")</f>
        <v>ɪũ</v>
      </c>
      <c r="C54" s="116" t="s">
        <v>691</v>
      </c>
      <c r="D54" s="99" t="str">
        <f xml:space="preserve"> LEFT(韻母對照表[[#This Row],[十五音識別碼]],1)</f>
        <v>牛</v>
      </c>
      <c r="E54" s="99" t="s">
        <v>692</v>
      </c>
      <c r="F54" s="118" t="s">
        <v>693</v>
      </c>
      <c r="G54" s="118" t="s">
        <v>694</v>
      </c>
      <c r="H54" s="32" t="s">
        <v>695</v>
      </c>
      <c r="I54" s="32" t="s">
        <v>696</v>
      </c>
      <c r="J54" s="32" t="s">
        <v>695</v>
      </c>
      <c r="K54" s="32" t="s">
        <v>695</v>
      </c>
      <c r="L54" s="33" t="s">
        <v>697</v>
      </c>
      <c r="M54" s="42" t="s">
        <v>415</v>
      </c>
      <c r="N54" s="34">
        <f t="shared" si="10"/>
        <v>4</v>
      </c>
      <c r="O54" s="36"/>
      <c r="P54" s="32" t="str">
        <f>J65</f>
        <v>onn</v>
      </c>
      <c r="Q54" s="32" t="str">
        <f>K65</f>
        <v>onn</v>
      </c>
      <c r="S54" s="25" t="str">
        <f t="shared" si="3"/>
        <v>onn(\d)</v>
      </c>
      <c r="T54" s="26" t="s">
        <v>421</v>
      </c>
      <c r="U54" s="26" t="str">
        <f t="shared" si="11"/>
        <v/>
      </c>
      <c r="V54" s="25" t="str">
        <f t="shared" si="5"/>
        <v/>
      </c>
      <c r="W54" s="35"/>
      <c r="X54" s="37" t="str">
        <f t="shared" si="6"/>
        <v xml:space="preserve">    - xform/》onn(\d)//</v>
      </c>
      <c r="Z54" s="28"/>
      <c r="AA54" s="28"/>
      <c r="AB54" s="28"/>
      <c r="AC54" s="28"/>
      <c r="AD54" s="28"/>
      <c r="AE54" s="28"/>
      <c r="AF54" s="28"/>
      <c r="AG54" s="28"/>
      <c r="AH54" s="28"/>
      <c r="AL54" s="29"/>
      <c r="AM54" s="29"/>
      <c r="AN54" s="29"/>
      <c r="AO54" s="29"/>
      <c r="AP54" s="29"/>
      <c r="AQ54" s="29"/>
      <c r="AR54" s="29"/>
      <c r="AS54" s="29"/>
      <c r="AT54" s="29"/>
      <c r="AU54" s="24"/>
      <c r="AV54" s="24"/>
      <c r="AW54" s="24"/>
      <c r="AX54" s="24"/>
      <c r="AY54" s="24"/>
      <c r="AZ54" s="24"/>
      <c r="BA54" s="24"/>
      <c r="BB54" s="24"/>
      <c r="BC54" s="24"/>
    </row>
    <row r="55" spans="1:55" ht="35.25" thickBot="1">
      <c r="A55" s="31">
        <f t="shared" si="8"/>
        <v>52</v>
      </c>
      <c r="B55" s="117" t="str">
        <f xml:space="preserve"> _xlfn.CONCAT(LEFT(B54,1), MID(B54,2,1), _xlfn.UNICHAR(771), "ʔ")</f>
        <v>ɪũʔ</v>
      </c>
      <c r="C55" s="116" t="s">
        <v>401</v>
      </c>
      <c r="D55" s="99" t="str">
        <f xml:space="preserve"> LEFT(韻母對照表[[#This Row],[十五音識別碼]],1)</f>
        <v>牛</v>
      </c>
      <c r="E55" s="99" t="s">
        <v>698</v>
      </c>
      <c r="F55" s="119" t="s">
        <v>699</v>
      </c>
      <c r="G55" s="119" t="s">
        <v>700</v>
      </c>
      <c r="H55" s="40" t="s">
        <v>701</v>
      </c>
      <c r="I55" s="40" t="s">
        <v>702</v>
      </c>
      <c r="J55" s="41" t="s">
        <v>703</v>
      </c>
      <c r="K55" s="40" t="s">
        <v>701</v>
      </c>
      <c r="L55" s="40" t="s">
        <v>704</v>
      </c>
      <c r="M55" s="42" t="s">
        <v>415</v>
      </c>
      <c r="N55" s="34">
        <f t="shared" si="10"/>
        <v>5</v>
      </c>
      <c r="O55" s="36"/>
      <c r="P55" s="32" t="str">
        <f>J61</f>
        <v>oh</v>
      </c>
      <c r="Q55" s="32" t="str">
        <f>K61</f>
        <v>oh</v>
      </c>
      <c r="S55" s="25" t="str">
        <f t="shared" si="3"/>
        <v>oh(\d)</v>
      </c>
      <c r="T55" s="26" t="s">
        <v>383</v>
      </c>
      <c r="U55" s="26" t="str">
        <f t="shared" si="11"/>
        <v/>
      </c>
      <c r="V55" s="25" t="str">
        <f t="shared" si="5"/>
        <v/>
      </c>
      <c r="W55" s="35"/>
      <c r="X55" s="37" t="str">
        <f t="shared" si="6"/>
        <v xml:space="preserve">    - xform/》oh(\d)//</v>
      </c>
      <c r="Z55" s="28"/>
      <c r="AA55" s="28"/>
      <c r="AB55" s="28"/>
      <c r="AC55" s="28"/>
      <c r="AD55" s="28"/>
      <c r="AE55" s="28"/>
      <c r="AF55" s="28"/>
      <c r="AG55" s="28"/>
      <c r="AH55" s="28"/>
      <c r="AL55" s="29"/>
      <c r="AM55" s="29"/>
      <c r="AN55" s="29"/>
      <c r="AO55" s="29"/>
      <c r="AP55" s="29"/>
      <c r="AQ55" s="29"/>
      <c r="AR55" s="29"/>
      <c r="AS55" s="29"/>
      <c r="AT55" s="29"/>
      <c r="AU55" s="24"/>
      <c r="AV55" s="24"/>
      <c r="AW55" s="24"/>
      <c r="AX55" s="24"/>
      <c r="AY55" s="24"/>
      <c r="AZ55" s="24"/>
      <c r="BA55" s="24"/>
      <c r="BB55" s="24"/>
      <c r="BC55" s="24"/>
    </row>
    <row r="56" spans="1:55" ht="35.25" thickBot="1">
      <c r="A56" s="31">
        <f t="shared" si="8"/>
        <v>53</v>
      </c>
      <c r="B56" s="117" t="s">
        <v>705</v>
      </c>
      <c r="C56" s="116" t="s">
        <v>706</v>
      </c>
      <c r="D56" s="99" t="str">
        <f xml:space="preserve"> LEFT(韻母對照表[[#This Row],[十五音識別碼]],1)</f>
        <v>姆</v>
      </c>
      <c r="E56" s="99" t="s">
        <v>707</v>
      </c>
      <c r="F56" s="118" t="s">
        <v>708</v>
      </c>
      <c r="G56" s="118" t="s">
        <v>709</v>
      </c>
      <c r="H56" s="32" t="s">
        <v>1</v>
      </c>
      <c r="I56" s="32" t="s">
        <v>1</v>
      </c>
      <c r="J56" s="32" t="s">
        <v>1</v>
      </c>
      <c r="K56" s="32" t="s">
        <v>1</v>
      </c>
      <c r="L56" s="33" t="s">
        <v>1</v>
      </c>
      <c r="M56" s="32"/>
      <c r="N56" s="34">
        <f t="shared" si="10"/>
        <v>1</v>
      </c>
      <c r="P56" s="24"/>
      <c r="Q56" s="24"/>
      <c r="S56" s="25"/>
      <c r="T56" s="26"/>
      <c r="U56" s="26"/>
      <c r="V56" s="25"/>
      <c r="X56" s="27"/>
      <c r="Z56" s="28"/>
      <c r="AA56" s="28"/>
      <c r="AB56" s="28"/>
      <c r="AC56" s="28"/>
      <c r="AD56" s="28"/>
      <c r="AE56" s="28"/>
      <c r="AF56" s="28"/>
      <c r="AG56" s="28"/>
      <c r="AH56" s="28"/>
      <c r="AL56" s="29"/>
      <c r="AM56" s="29"/>
      <c r="AN56" s="29"/>
      <c r="AO56" s="29"/>
      <c r="AP56" s="29"/>
      <c r="AQ56" s="29"/>
      <c r="AR56" s="29"/>
      <c r="AS56" s="29"/>
      <c r="AT56" s="29"/>
      <c r="AU56" s="24"/>
      <c r="AV56" s="24"/>
      <c r="AW56" s="24"/>
      <c r="AX56" s="24"/>
      <c r="AY56" s="24"/>
      <c r="AZ56" s="24"/>
      <c r="BA56" s="24"/>
      <c r="BB56" s="24"/>
      <c r="BC56" s="24"/>
    </row>
    <row r="57" spans="1:55" ht="35.25" thickBot="1">
      <c r="A57" s="31">
        <f t="shared" si="8"/>
        <v>54</v>
      </c>
      <c r="B57" s="117" t="s">
        <v>710</v>
      </c>
      <c r="C57" s="116" t="s">
        <v>401</v>
      </c>
      <c r="D57" s="99" t="str">
        <f xml:space="preserve"> LEFT(韻母對照表[[#This Row],[十五音識別碼]],1)</f>
        <v>姆</v>
      </c>
      <c r="E57" s="99" t="s">
        <v>711</v>
      </c>
      <c r="F57" s="119" t="s">
        <v>712</v>
      </c>
      <c r="G57" s="119" t="s">
        <v>713</v>
      </c>
      <c r="H57" s="40" t="s">
        <v>714</v>
      </c>
      <c r="I57" s="40" t="s">
        <v>714</v>
      </c>
      <c r="J57" s="48" t="s">
        <v>715</v>
      </c>
      <c r="K57" s="40" t="s">
        <v>714</v>
      </c>
      <c r="L57" s="40" t="s">
        <v>715</v>
      </c>
      <c r="M57" s="32"/>
      <c r="N57" s="34">
        <f t="shared" si="10"/>
        <v>2</v>
      </c>
      <c r="P57" s="24"/>
      <c r="Q57" s="24"/>
      <c r="S57" s="25"/>
      <c r="T57" s="26"/>
      <c r="U57" s="26"/>
      <c r="V57" s="25"/>
      <c r="X57" s="27"/>
      <c r="Z57" s="28"/>
      <c r="AA57" s="28"/>
      <c r="AB57" s="28"/>
      <c r="AC57" s="28"/>
      <c r="AD57" s="28"/>
      <c r="AE57" s="28"/>
      <c r="AF57" s="28"/>
      <c r="AG57" s="28"/>
      <c r="AH57" s="28"/>
      <c r="AL57" s="29"/>
      <c r="AM57" s="29"/>
      <c r="AN57" s="29"/>
      <c r="AO57" s="29"/>
      <c r="AP57" s="29"/>
      <c r="AQ57" s="29"/>
      <c r="AR57" s="29"/>
      <c r="AS57" s="29"/>
      <c r="AT57" s="29"/>
      <c r="AU57" s="24"/>
      <c r="AV57" s="24"/>
      <c r="AW57" s="24"/>
      <c r="AX57" s="24"/>
      <c r="AY57" s="24"/>
      <c r="AZ57" s="24"/>
      <c r="BA57" s="24"/>
      <c r="BB57" s="24"/>
      <c r="BC57" s="24"/>
    </row>
    <row r="58" spans="1:55" ht="35.25" thickBot="1">
      <c r="A58" s="31">
        <f t="shared" si="8"/>
        <v>55</v>
      </c>
      <c r="B58" s="117" t="s">
        <v>716</v>
      </c>
      <c r="C58" s="116" t="s">
        <v>717</v>
      </c>
      <c r="D58" s="99" t="str">
        <f xml:space="preserve"> LEFT(韻母對照表[[#This Row],[十五音識別碼]],1)</f>
        <v>鋼</v>
      </c>
      <c r="E58" s="99" t="s">
        <v>718</v>
      </c>
      <c r="F58" s="118" t="s">
        <v>719</v>
      </c>
      <c r="G58" s="118" t="s">
        <v>720</v>
      </c>
      <c r="H58" s="32" t="s">
        <v>5</v>
      </c>
      <c r="I58" s="32" t="s">
        <v>5</v>
      </c>
      <c r="J58" s="32" t="s">
        <v>5</v>
      </c>
      <c r="K58" s="32" t="s">
        <v>5</v>
      </c>
      <c r="L58" s="33" t="s">
        <v>5</v>
      </c>
      <c r="M58" s="32"/>
      <c r="N58" s="34">
        <f t="shared" si="10"/>
        <v>2</v>
      </c>
      <c r="P58" s="24"/>
      <c r="Q58" s="24"/>
      <c r="S58" s="25"/>
      <c r="T58" s="26"/>
      <c r="U58" s="26"/>
      <c r="V58" s="25"/>
      <c r="X58" s="27"/>
      <c r="Z58" s="28"/>
      <c r="AA58" s="28"/>
      <c r="AB58" s="28"/>
      <c r="AC58" s="28"/>
      <c r="AD58" s="28"/>
      <c r="AE58" s="28"/>
      <c r="AF58" s="28"/>
      <c r="AG58" s="28"/>
      <c r="AH58" s="28"/>
      <c r="AL58" s="29"/>
      <c r="AM58" s="29"/>
      <c r="AN58" s="29"/>
      <c r="AO58" s="29"/>
      <c r="AP58" s="29"/>
      <c r="AQ58" s="29"/>
      <c r="AR58" s="29"/>
      <c r="AS58" s="29"/>
      <c r="AT58" s="29"/>
      <c r="AU58" s="24"/>
      <c r="AV58" s="24"/>
      <c r="AW58" s="24"/>
      <c r="AX58" s="24"/>
      <c r="AY58" s="24"/>
      <c r="AZ58" s="24"/>
      <c r="BA58" s="24"/>
      <c r="BB58" s="24"/>
      <c r="BC58" s="24"/>
    </row>
    <row r="59" spans="1:55" ht="35.25" thickBot="1">
      <c r="A59" s="31">
        <f t="shared" si="8"/>
        <v>56</v>
      </c>
      <c r="B59" s="117" t="s">
        <v>721</v>
      </c>
      <c r="C59" s="116" t="s">
        <v>401</v>
      </c>
      <c r="D59" s="99" t="str">
        <f xml:space="preserve"> LEFT(韻母對照表[[#This Row],[十五音識別碼]],1)</f>
        <v>鋼</v>
      </c>
      <c r="E59" s="99" t="s">
        <v>722</v>
      </c>
      <c r="F59" s="119" t="s">
        <v>723</v>
      </c>
      <c r="G59" s="119" t="s">
        <v>724</v>
      </c>
      <c r="H59" s="40" t="s">
        <v>725</v>
      </c>
      <c r="I59" s="40" t="s">
        <v>725</v>
      </c>
      <c r="J59" s="48" t="s">
        <v>726</v>
      </c>
      <c r="K59" s="40" t="s">
        <v>725</v>
      </c>
      <c r="L59" s="40" t="s">
        <v>726</v>
      </c>
      <c r="M59" s="32"/>
      <c r="N59" s="34">
        <f t="shared" si="10"/>
        <v>3</v>
      </c>
      <c r="P59" s="24"/>
      <c r="Q59" s="24"/>
      <c r="S59" s="25"/>
      <c r="T59" s="26"/>
      <c r="U59" s="26"/>
      <c r="V59" s="25"/>
      <c r="X59" s="27"/>
      <c r="Z59" s="28"/>
      <c r="AA59" s="28"/>
      <c r="AB59" s="28"/>
      <c r="AC59" s="28"/>
      <c r="AD59" s="28"/>
      <c r="AE59" s="28"/>
      <c r="AF59" s="28"/>
      <c r="AG59" s="28"/>
      <c r="AH59" s="28"/>
      <c r="AL59" s="29"/>
      <c r="AM59" s="29"/>
      <c r="AN59" s="29"/>
      <c r="AO59" s="29"/>
      <c r="AP59" s="29"/>
      <c r="AQ59" s="29"/>
      <c r="AR59" s="29"/>
      <c r="AS59" s="29"/>
      <c r="AT59" s="29"/>
      <c r="AU59" s="24"/>
      <c r="AV59" s="24"/>
      <c r="AW59" s="24"/>
      <c r="AX59" s="24"/>
      <c r="AY59" s="24"/>
      <c r="AZ59" s="24"/>
      <c r="BA59" s="24"/>
      <c r="BB59" s="24"/>
      <c r="BC59" s="24"/>
    </row>
    <row r="60" spans="1:55" ht="35.25" thickBot="1">
      <c r="A60" s="31">
        <f t="shared" si="8"/>
        <v>57</v>
      </c>
      <c r="B60" s="117" t="s">
        <v>727</v>
      </c>
      <c r="C60" s="116" t="s">
        <v>728</v>
      </c>
      <c r="D60" s="99" t="str">
        <f xml:space="preserve"> LEFT(韻母對照表[[#This Row],[十五音識別碼]],1)</f>
        <v>高</v>
      </c>
      <c r="E60" s="99" t="s">
        <v>729</v>
      </c>
      <c r="F60" s="118" t="s">
        <v>730</v>
      </c>
      <c r="G60" s="118" t="s">
        <v>730</v>
      </c>
      <c r="H60" s="32" t="s">
        <v>731</v>
      </c>
      <c r="I60" s="32" t="s">
        <v>258</v>
      </c>
      <c r="J60" s="32" t="s">
        <v>258</v>
      </c>
      <c r="K60" s="32" t="s">
        <v>258</v>
      </c>
      <c r="L60" s="33" t="s">
        <v>258</v>
      </c>
      <c r="M60" s="32"/>
      <c r="N60" s="34">
        <f t="shared" si="10"/>
        <v>1</v>
      </c>
      <c r="O60" s="36"/>
      <c r="P60" s="32" t="str">
        <f>J68</f>
        <v>ooh</v>
      </c>
      <c r="Q60" s="32" t="str">
        <f>K68</f>
        <v>ooh</v>
      </c>
      <c r="S60" s="25" t="str">
        <f t="shared" si="3"/>
        <v>ooh(\d)</v>
      </c>
      <c r="T60" s="26" t="s">
        <v>383</v>
      </c>
      <c r="U60" s="26" t="str">
        <f t="shared" ref="U60:U86" si="12" xml:space="preserve"> IFERROR( IF(T60="", "", SEARCH(T60, $P60)), "")</f>
        <v/>
      </c>
      <c r="V60" s="25" t="str">
        <f t="shared" si="5"/>
        <v/>
      </c>
      <c r="W60" s="35"/>
      <c r="X60" s="37" t="str">
        <f t="shared" si="6"/>
        <v xml:space="preserve">    - xform/》ooh(\d)//</v>
      </c>
      <c r="Z60" s="28"/>
      <c r="AA60" s="28"/>
      <c r="AB60" s="28"/>
      <c r="AC60" s="28"/>
      <c r="AD60" s="28"/>
      <c r="AE60" s="28"/>
      <c r="AF60" s="28"/>
      <c r="AG60" s="28"/>
      <c r="AH60" s="28"/>
      <c r="AL60" s="29"/>
      <c r="AM60" s="29"/>
      <c r="AN60" s="29"/>
      <c r="AO60" s="29"/>
      <c r="AP60" s="29"/>
      <c r="AQ60" s="29"/>
      <c r="AR60" s="29"/>
      <c r="AS60" s="29"/>
      <c r="AT60" s="29"/>
      <c r="AU60" s="24"/>
      <c r="AV60" s="24"/>
      <c r="AW60" s="24"/>
      <c r="AX60" s="24"/>
      <c r="AY60" s="24"/>
      <c r="AZ60" s="24"/>
      <c r="BA60" s="24"/>
      <c r="BB60" s="24"/>
      <c r="BC60" s="24"/>
    </row>
    <row r="61" spans="1:55" ht="35.25" thickBot="1">
      <c r="A61" s="31">
        <f t="shared" si="8"/>
        <v>58</v>
      </c>
      <c r="B61" s="117" t="s">
        <v>732</v>
      </c>
      <c r="C61" s="116" t="s">
        <v>733</v>
      </c>
      <c r="D61" s="99" t="str">
        <f xml:space="preserve"> LEFT(韻母對照表[[#This Row],[十五音識別碼]],1)</f>
        <v>高</v>
      </c>
      <c r="E61" s="99" t="s">
        <v>734</v>
      </c>
      <c r="F61" s="118" t="s">
        <v>735</v>
      </c>
      <c r="G61" s="118" t="s">
        <v>736</v>
      </c>
      <c r="H61" s="32" t="s">
        <v>737</v>
      </c>
      <c r="I61" s="32" t="s">
        <v>738</v>
      </c>
      <c r="J61" s="32" t="s">
        <v>738</v>
      </c>
      <c r="K61" s="32" t="s">
        <v>738</v>
      </c>
      <c r="L61" s="33" t="s">
        <v>738</v>
      </c>
      <c r="M61" s="32"/>
      <c r="N61" s="34">
        <f t="shared" si="10"/>
        <v>2</v>
      </c>
      <c r="O61" s="36"/>
      <c r="P61" s="32" t="str">
        <f>J64</f>
        <v>ong</v>
      </c>
      <c r="Q61" s="32" t="str">
        <f>K64</f>
        <v>ong</v>
      </c>
      <c r="S61" s="25" t="str">
        <f t="shared" si="3"/>
        <v>ong(\d)</v>
      </c>
      <c r="T61" s="26" t="s">
        <v>383</v>
      </c>
      <c r="U61" s="26" t="str">
        <f t="shared" si="12"/>
        <v/>
      </c>
      <c r="V61" s="25" t="str">
        <f t="shared" si="5"/>
        <v/>
      </c>
      <c r="W61" s="35"/>
      <c r="X61" s="37" t="str">
        <f t="shared" si="6"/>
        <v xml:space="preserve">    - xform/》ong(\d)//</v>
      </c>
      <c r="Z61" s="28"/>
      <c r="AA61" s="28"/>
      <c r="AB61" s="28"/>
      <c r="AC61" s="28"/>
      <c r="AD61" s="28"/>
      <c r="AE61" s="28"/>
      <c r="AF61" s="28"/>
      <c r="AG61" s="28"/>
      <c r="AH61" s="28"/>
      <c r="AL61" s="29"/>
      <c r="AM61" s="29"/>
      <c r="AN61" s="29"/>
      <c r="AO61" s="29"/>
      <c r="AP61" s="29"/>
      <c r="AQ61" s="29"/>
      <c r="AR61" s="29"/>
      <c r="AS61" s="29"/>
      <c r="AT61" s="29"/>
      <c r="AU61" s="24"/>
      <c r="AV61" s="24"/>
      <c r="AW61" s="24"/>
      <c r="AX61" s="24"/>
      <c r="AY61" s="24"/>
      <c r="AZ61" s="24"/>
      <c r="BA61" s="24"/>
      <c r="BB61" s="24"/>
      <c r="BC61" s="24"/>
    </row>
    <row r="62" spans="1:55" ht="35.25" thickBot="1">
      <c r="A62" s="31">
        <f t="shared" si="8"/>
        <v>59</v>
      </c>
      <c r="B62" s="117" t="s">
        <v>739</v>
      </c>
      <c r="C62" s="116" t="s">
        <v>740</v>
      </c>
      <c r="D62" s="99" t="str">
        <f xml:space="preserve"> LEFT(韻母對照表[[#This Row],[十五音識別碼]],1)</f>
        <v>公</v>
      </c>
      <c r="E62" s="99" t="s">
        <v>741</v>
      </c>
      <c r="F62" s="118" t="s">
        <v>742</v>
      </c>
      <c r="G62" s="118" t="s">
        <v>743</v>
      </c>
      <c r="H62" s="32" t="s">
        <v>744</v>
      </c>
      <c r="I62" s="32" t="s">
        <v>744</v>
      </c>
      <c r="J62" s="32" t="s">
        <v>744</v>
      </c>
      <c r="K62" s="32" t="s">
        <v>744</v>
      </c>
      <c r="L62" s="33" t="s">
        <v>744</v>
      </c>
      <c r="M62" s="32"/>
      <c r="N62" s="34">
        <f t="shared" si="10"/>
        <v>2</v>
      </c>
      <c r="O62" s="36"/>
      <c r="P62" s="32" t="str">
        <f>J88</f>
        <v>ut</v>
      </c>
      <c r="Q62" s="32" t="str">
        <f>K88</f>
        <v>ut</v>
      </c>
      <c r="S62" s="25" t="str">
        <f t="shared" si="3"/>
        <v>ut(\d)</v>
      </c>
      <c r="T62" s="26" t="s">
        <v>383</v>
      </c>
      <c r="U62" s="26" t="str">
        <f t="shared" si="12"/>
        <v/>
      </c>
      <c r="V62" s="25" t="str">
        <f t="shared" si="5"/>
        <v/>
      </c>
      <c r="W62" s="35"/>
      <c r="X62" s="37" t="str">
        <f t="shared" si="6"/>
        <v xml:space="preserve">    - xform/》ut(\d)//</v>
      </c>
      <c r="Z62" s="28"/>
      <c r="AA62" s="28"/>
      <c r="AB62" s="28"/>
      <c r="AC62" s="28"/>
      <c r="AD62" s="28"/>
      <c r="AE62" s="28"/>
      <c r="AF62" s="28"/>
      <c r="AG62" s="28"/>
      <c r="AH62" s="28"/>
      <c r="AL62" s="29"/>
      <c r="AM62" s="29"/>
      <c r="AN62" s="29"/>
      <c r="AO62" s="29"/>
      <c r="AP62" s="29"/>
      <c r="AQ62" s="29"/>
      <c r="AR62" s="29"/>
      <c r="AS62" s="29"/>
      <c r="AT62" s="29"/>
      <c r="AU62" s="24"/>
      <c r="AV62" s="24"/>
      <c r="AW62" s="24"/>
      <c r="AX62" s="24"/>
      <c r="AY62" s="24"/>
      <c r="AZ62" s="24"/>
      <c r="BA62" s="24"/>
      <c r="BB62" s="24"/>
      <c r="BC62" s="24"/>
    </row>
    <row r="63" spans="1:55" ht="35.25" thickBot="1">
      <c r="A63" s="31">
        <f t="shared" si="8"/>
        <v>60</v>
      </c>
      <c r="B63" s="117" t="s">
        <v>745</v>
      </c>
      <c r="C63" s="116" t="s">
        <v>746</v>
      </c>
      <c r="D63" s="99" t="str">
        <f xml:space="preserve"> LEFT(韻母對照表[[#This Row],[十五音識別碼]],1)</f>
        <v>箴</v>
      </c>
      <c r="E63" s="99" t="s">
        <v>747</v>
      </c>
      <c r="F63" s="118" t="s">
        <v>748</v>
      </c>
      <c r="G63" s="118" t="s">
        <v>749</v>
      </c>
      <c r="H63" s="32" t="s">
        <v>750</v>
      </c>
      <c r="I63" s="32" t="s">
        <v>751</v>
      </c>
      <c r="J63" s="32" t="s">
        <v>751</v>
      </c>
      <c r="K63" s="32" t="s">
        <v>751</v>
      </c>
      <c r="L63" s="33" t="s">
        <v>751</v>
      </c>
      <c r="M63" s="32"/>
      <c r="N63" s="34">
        <f t="shared" si="10"/>
        <v>2</v>
      </c>
      <c r="O63" s="36"/>
      <c r="P63" s="32" t="str">
        <f>J70</f>
        <v>u</v>
      </c>
      <c r="Q63" s="32" t="str">
        <f>K70</f>
        <v>u</v>
      </c>
      <c r="S63" s="25" t="str">
        <f t="shared" si="3"/>
        <v>u(\d)</v>
      </c>
      <c r="T63" s="26" t="s">
        <v>383</v>
      </c>
      <c r="U63" s="26" t="str">
        <f t="shared" si="12"/>
        <v/>
      </c>
      <c r="V63" s="25" t="str">
        <f t="shared" si="5"/>
        <v/>
      </c>
      <c r="W63" s="35"/>
      <c r="X63" s="37" t="str">
        <f t="shared" si="6"/>
        <v xml:space="preserve">    - xform/》u(\d)//</v>
      </c>
      <c r="Z63" s="28"/>
      <c r="AA63" s="28"/>
      <c r="AB63" s="28"/>
      <c r="AC63" s="28"/>
      <c r="AD63" s="28"/>
      <c r="AE63" s="28"/>
      <c r="AF63" s="28"/>
      <c r="AG63" s="28"/>
      <c r="AH63" s="28"/>
      <c r="AL63" s="29"/>
      <c r="AM63" s="29"/>
      <c r="AN63" s="29"/>
      <c r="AO63" s="29"/>
      <c r="AP63" s="29"/>
      <c r="AQ63" s="29"/>
      <c r="AR63" s="29"/>
      <c r="AS63" s="29"/>
      <c r="AT63" s="29"/>
      <c r="AU63" s="24"/>
      <c r="AV63" s="24"/>
      <c r="AW63" s="24"/>
      <c r="AX63" s="24"/>
      <c r="AY63" s="24"/>
      <c r="AZ63" s="24"/>
      <c r="BA63" s="24"/>
      <c r="BB63" s="24"/>
      <c r="BC63" s="24"/>
    </row>
    <row r="64" spans="1:55" ht="35.25" thickBot="1">
      <c r="A64" s="31">
        <f t="shared" si="8"/>
        <v>61</v>
      </c>
      <c r="B64" s="117" t="s">
        <v>752</v>
      </c>
      <c r="C64" s="116" t="s">
        <v>753</v>
      </c>
      <c r="D64" s="99" t="str">
        <f xml:space="preserve"> LEFT(韻母對照表[[#This Row],[十五音識別碼]],1)</f>
        <v>公</v>
      </c>
      <c r="E64" s="99" t="s">
        <v>754</v>
      </c>
      <c r="F64" s="118" t="s">
        <v>755</v>
      </c>
      <c r="G64" s="118" t="s">
        <v>756</v>
      </c>
      <c r="H64" s="32" t="s">
        <v>757</v>
      </c>
      <c r="I64" s="32" t="s">
        <v>757</v>
      </c>
      <c r="J64" s="32" t="s">
        <v>757</v>
      </c>
      <c r="K64" s="32" t="s">
        <v>757</v>
      </c>
      <c r="L64" s="33" t="s">
        <v>757</v>
      </c>
      <c r="M64" s="32"/>
      <c r="N64" s="34">
        <f t="shared" si="10"/>
        <v>3</v>
      </c>
      <c r="O64" s="36"/>
      <c r="P64" s="32" t="str">
        <f>J83</f>
        <v>uh</v>
      </c>
      <c r="Q64" s="32" t="str">
        <f>K83</f>
        <v>uh</v>
      </c>
      <c r="S64" s="25" t="str">
        <f t="shared" si="3"/>
        <v>uh(\d)</v>
      </c>
      <c r="T64" s="26" t="s">
        <v>421</v>
      </c>
      <c r="U64" s="26" t="str">
        <f t="shared" si="12"/>
        <v/>
      </c>
      <c r="V64" s="25" t="str">
        <f t="shared" si="5"/>
        <v/>
      </c>
      <c r="W64" s="35"/>
      <c r="X64" s="37" t="str">
        <f t="shared" si="6"/>
        <v xml:space="preserve">    - xform/》uh(\d)//</v>
      </c>
      <c r="Z64" s="28"/>
      <c r="AA64" s="28"/>
      <c r="AB64" s="28"/>
      <c r="AC64" s="28"/>
      <c r="AD64" s="28"/>
      <c r="AE64" s="28"/>
      <c r="AF64" s="28"/>
      <c r="AG64" s="28"/>
      <c r="AH64" s="28"/>
      <c r="AL64" s="29"/>
      <c r="AM64" s="29"/>
      <c r="AN64" s="29"/>
      <c r="AO64" s="29"/>
      <c r="AP64" s="29"/>
      <c r="AQ64" s="29"/>
      <c r="AR64" s="29"/>
      <c r="AS64" s="29"/>
      <c r="AT64" s="29"/>
      <c r="AU64" s="24"/>
      <c r="AV64" s="24"/>
      <c r="AW64" s="24"/>
      <c r="AX64" s="24"/>
      <c r="AY64" s="24"/>
      <c r="AZ64" s="24"/>
      <c r="BA64" s="24"/>
      <c r="BB64" s="24"/>
      <c r="BC64" s="24"/>
    </row>
    <row r="65" spans="1:55" ht="35.25" thickBot="1">
      <c r="A65" s="31">
        <f t="shared" si="8"/>
        <v>62</v>
      </c>
      <c r="B65" s="117" t="s">
        <v>758</v>
      </c>
      <c r="C65" s="116" t="s">
        <v>759</v>
      </c>
      <c r="D65" s="99" t="str">
        <f xml:space="preserve"> LEFT(韻母對照表[[#This Row],[十五音識別碼]],1)</f>
        <v>姑</v>
      </c>
      <c r="E65" s="99" t="s">
        <v>760</v>
      </c>
      <c r="F65" s="118" t="s">
        <v>761</v>
      </c>
      <c r="G65" s="118" t="s">
        <v>762</v>
      </c>
      <c r="H65" s="32" t="s">
        <v>763</v>
      </c>
      <c r="I65" s="32" t="s">
        <v>764</v>
      </c>
      <c r="J65" s="32" t="s">
        <v>765</v>
      </c>
      <c r="K65" s="32" t="s">
        <v>765</v>
      </c>
      <c r="L65" s="33" t="s">
        <v>766</v>
      </c>
      <c r="M65" s="32"/>
      <c r="N65" s="34">
        <f t="shared" si="10"/>
        <v>3</v>
      </c>
      <c r="O65" s="36"/>
      <c r="P65" s="32" t="str">
        <f>J63</f>
        <v>om</v>
      </c>
      <c r="Q65" s="32" t="str">
        <f>K63</f>
        <v>om</v>
      </c>
      <c r="S65" s="25" t="str">
        <f t="shared" si="3"/>
        <v>om(\d)</v>
      </c>
      <c r="T65" s="26" t="s">
        <v>383</v>
      </c>
      <c r="U65" s="26" t="str">
        <f t="shared" si="12"/>
        <v/>
      </c>
      <c r="V65" s="25" t="str">
        <f t="shared" si="5"/>
        <v/>
      </c>
      <c r="W65" s="35"/>
      <c r="X65" s="37" t="str">
        <f t="shared" si="6"/>
        <v xml:space="preserve">    - xform/》om(\d)//</v>
      </c>
      <c r="Z65" s="28"/>
      <c r="AA65" s="28"/>
      <c r="AB65" s="28"/>
      <c r="AC65" s="28"/>
      <c r="AD65" s="28"/>
      <c r="AE65" s="28"/>
      <c r="AF65" s="28"/>
      <c r="AG65" s="28"/>
      <c r="AH65" s="28"/>
      <c r="AL65" s="29"/>
      <c r="AM65" s="29"/>
      <c r="AN65" s="29"/>
      <c r="AO65" s="29"/>
      <c r="AP65" s="29"/>
      <c r="AQ65" s="29"/>
      <c r="AR65" s="29"/>
      <c r="AS65" s="29"/>
      <c r="AT65" s="29"/>
      <c r="AU65" s="24"/>
      <c r="AV65" s="24"/>
      <c r="AW65" s="24"/>
      <c r="AX65" s="24"/>
      <c r="AY65" s="24"/>
      <c r="AZ65" s="24"/>
      <c r="BA65" s="24"/>
      <c r="BB65" s="24"/>
      <c r="BC65" s="24"/>
    </row>
    <row r="66" spans="1:55" ht="35.25" thickBot="1">
      <c r="A66" s="31">
        <f t="shared" si="8"/>
        <v>63</v>
      </c>
      <c r="B66" s="117" t="s">
        <v>767</v>
      </c>
      <c r="C66" s="116" t="s">
        <v>401</v>
      </c>
      <c r="D66" s="99" t="str">
        <f xml:space="preserve"> LEFT(韻母對照表[[#This Row],[十五音識別碼]],1)</f>
        <v>扛</v>
      </c>
      <c r="E66" s="99" t="s">
        <v>768</v>
      </c>
      <c r="F66" s="118" t="s">
        <v>769</v>
      </c>
      <c r="G66" s="118" t="s">
        <v>770</v>
      </c>
      <c r="H66" s="32" t="s">
        <v>771</v>
      </c>
      <c r="I66" s="32" t="s">
        <v>772</v>
      </c>
      <c r="J66" s="32" t="s">
        <v>771</v>
      </c>
      <c r="K66" s="32" t="s">
        <v>773</v>
      </c>
      <c r="L66" s="33" t="s">
        <v>774</v>
      </c>
      <c r="M66" s="42" t="s">
        <v>415</v>
      </c>
      <c r="N66" s="34">
        <f t="shared" si="10"/>
        <v>4</v>
      </c>
      <c r="O66" s="36"/>
      <c r="P66" s="32" t="str">
        <f>J62</f>
        <v>ok</v>
      </c>
      <c r="Q66" s="32" t="str">
        <f>K62</f>
        <v>ok</v>
      </c>
      <c r="S66" s="25" t="str">
        <f t="shared" si="3"/>
        <v>ok(\d)</v>
      </c>
      <c r="T66" s="26" t="s">
        <v>383</v>
      </c>
      <c r="U66" s="26" t="str">
        <f t="shared" si="12"/>
        <v/>
      </c>
      <c r="V66" s="25" t="str">
        <f t="shared" si="5"/>
        <v/>
      </c>
      <c r="W66" s="35"/>
      <c r="X66" s="37" t="str">
        <f t="shared" si="6"/>
        <v xml:space="preserve">    - xform/》ok(\d)//</v>
      </c>
      <c r="Z66" s="28"/>
      <c r="AA66" s="28"/>
      <c r="AB66" s="28"/>
      <c r="AC66" s="28"/>
      <c r="AD66" s="28"/>
      <c r="AE66" s="28"/>
      <c r="AF66" s="28"/>
      <c r="AG66" s="28"/>
      <c r="AH66" s="28"/>
      <c r="AL66" s="29"/>
      <c r="AM66" s="29"/>
      <c r="AN66" s="29"/>
      <c r="AO66" s="29"/>
      <c r="AP66" s="29"/>
      <c r="AQ66" s="29"/>
      <c r="AR66" s="29"/>
      <c r="AS66" s="29"/>
      <c r="AT66" s="29"/>
      <c r="AU66" s="24"/>
      <c r="AV66" s="24"/>
      <c r="AW66" s="24"/>
      <c r="AX66" s="24"/>
      <c r="AY66" s="24"/>
      <c r="AZ66" s="24"/>
      <c r="BA66" s="24"/>
      <c r="BB66" s="24"/>
      <c r="BC66" s="24"/>
    </row>
    <row r="67" spans="1:55" ht="54.75" thickBot="1">
      <c r="A67" s="31">
        <f t="shared" si="8"/>
        <v>64</v>
      </c>
      <c r="B67" s="117" t="s">
        <v>775</v>
      </c>
      <c r="C67" s="116" t="s">
        <v>776</v>
      </c>
      <c r="D67" s="99" t="str">
        <f xml:space="preserve"> LEFT(韻母對照表[[#This Row],[十五音識別碼]],1)</f>
        <v>沽</v>
      </c>
      <c r="E67" s="99" t="s">
        <v>777</v>
      </c>
      <c r="F67" s="118" t="s">
        <v>778</v>
      </c>
      <c r="G67" s="118" t="s">
        <v>779</v>
      </c>
      <c r="H67" s="32" t="s">
        <v>780</v>
      </c>
      <c r="I67" s="32" t="s">
        <v>780</v>
      </c>
      <c r="J67" s="32" t="s">
        <v>780</v>
      </c>
      <c r="K67" s="32" t="s">
        <v>780</v>
      </c>
      <c r="L67" s="33" t="s">
        <v>781</v>
      </c>
      <c r="M67" s="32"/>
      <c r="N67" s="34">
        <f t="shared" ref="N67:N88" si="13" xml:space="preserve"> LEN(K67)</f>
        <v>2</v>
      </c>
      <c r="O67" s="36"/>
      <c r="P67" s="32" t="str">
        <f>J66</f>
        <v>onnh</v>
      </c>
      <c r="Q67" s="32" t="str">
        <f>K66</f>
        <v>ohnn</v>
      </c>
      <c r="S67" s="25" t="str">
        <f t="shared" ref="S67:S83" si="14" xml:space="preserve"> _xlfn.CONCAT(P67, "(\d)")</f>
        <v>onnh(\d)</v>
      </c>
      <c r="T67" s="26" t="s">
        <v>383</v>
      </c>
      <c r="U67" s="26" t="str">
        <f t="shared" si="12"/>
        <v/>
      </c>
      <c r="V67" s="25" t="str">
        <f t="shared" ref="V67:V88" si="15" xml:space="preserve"> IFERROR( _xlfn.CONCAT(LEFT(P67,U67-1), "》", MID(P67,U67,1), "${1}", RIGHT(P67, LEN(P67)-U67)), "" )</f>
        <v/>
      </c>
      <c r="W67" s="35"/>
      <c r="X67" s="37" t="str">
        <f t="shared" ref="X67:X83" si="16" xml:space="preserve"> IF(AND(Q67&lt;&gt;"", P67&lt;&gt;""), "    - xform/》" &amp; S67 &amp;  "/"  &amp; V67 &amp;  "/", "")</f>
        <v xml:space="preserve">    - xform/》onnh(\d)//</v>
      </c>
      <c r="Z67" s="28"/>
      <c r="AA67" s="28"/>
      <c r="AB67" s="28"/>
      <c r="AC67" s="28"/>
      <c r="AD67" s="28"/>
      <c r="AE67" s="28"/>
      <c r="AF67" s="28"/>
      <c r="AG67" s="28"/>
      <c r="AH67" s="28"/>
      <c r="AL67" s="29"/>
      <c r="AM67" s="29"/>
      <c r="AN67" s="29"/>
      <c r="AO67" s="29"/>
      <c r="AP67" s="29"/>
      <c r="AQ67" s="29"/>
      <c r="AR67" s="29"/>
      <c r="AS67" s="29"/>
      <c r="AT67" s="29"/>
      <c r="AU67" s="24"/>
      <c r="AV67" s="24"/>
      <c r="AW67" s="24"/>
      <c r="AX67" s="24"/>
      <c r="AY67" s="24"/>
      <c r="AZ67" s="24"/>
      <c r="BA67" s="24"/>
      <c r="BB67" s="24"/>
      <c r="BC67" s="24"/>
    </row>
    <row r="68" spans="1:55" ht="35.25" thickBot="1">
      <c r="A68" s="31">
        <f t="shared" si="8"/>
        <v>65</v>
      </c>
      <c r="B68" s="117" t="s">
        <v>782</v>
      </c>
      <c r="C68" s="116" t="s">
        <v>401</v>
      </c>
      <c r="D68" s="99" t="str">
        <f xml:space="preserve"> LEFT(韻母對照表[[#This Row],[十五音識別碼]],1)</f>
        <v>沽</v>
      </c>
      <c r="E68" s="99" t="s">
        <v>783</v>
      </c>
      <c r="F68" s="119" t="s">
        <v>784</v>
      </c>
      <c r="G68" s="119" t="s">
        <v>785</v>
      </c>
      <c r="H68" s="40" t="s">
        <v>786</v>
      </c>
      <c r="I68" s="40" t="s">
        <v>786</v>
      </c>
      <c r="J68" s="48" t="s">
        <v>787</v>
      </c>
      <c r="K68" s="40" t="s">
        <v>786</v>
      </c>
      <c r="L68" s="40" t="s">
        <v>788</v>
      </c>
      <c r="M68" s="32"/>
      <c r="N68" s="34">
        <f t="shared" si="13"/>
        <v>3</v>
      </c>
      <c r="O68" s="36"/>
      <c r="P68" s="32" t="str">
        <f>J69</f>
        <v>op</v>
      </c>
      <c r="Q68" s="32" t="str">
        <f>K69</f>
        <v>op</v>
      </c>
      <c r="S68" s="25" t="str">
        <f t="shared" si="14"/>
        <v>op(\d)</v>
      </c>
      <c r="T68" s="26" t="s">
        <v>383</v>
      </c>
      <c r="U68" s="26" t="str">
        <f t="shared" si="12"/>
        <v/>
      </c>
      <c r="V68" s="25" t="str">
        <f t="shared" si="15"/>
        <v/>
      </c>
      <c r="W68" s="35"/>
      <c r="X68" s="37" t="str">
        <f t="shared" si="16"/>
        <v xml:space="preserve">    - xform/》op(\d)//</v>
      </c>
      <c r="Z68" s="28"/>
      <c r="AA68" s="28"/>
      <c r="AB68" s="28"/>
      <c r="AC68" s="28"/>
      <c r="AD68" s="28"/>
      <c r="AE68" s="28"/>
      <c r="AF68" s="28"/>
      <c r="AG68" s="28"/>
      <c r="AH68" s="28"/>
      <c r="AL68" s="29"/>
      <c r="AM68" s="29"/>
      <c r="AN68" s="29"/>
      <c r="AO68" s="29"/>
      <c r="AP68" s="29"/>
      <c r="AQ68" s="29"/>
      <c r="AR68" s="29"/>
      <c r="AS68" s="29"/>
      <c r="AT68" s="29"/>
      <c r="AU68" s="24"/>
      <c r="AV68" s="24"/>
      <c r="AW68" s="24"/>
      <c r="AX68" s="24"/>
      <c r="AY68" s="24"/>
      <c r="AZ68" s="24"/>
      <c r="BA68" s="24"/>
      <c r="BB68" s="24"/>
      <c r="BC68" s="24"/>
    </row>
    <row r="69" spans="1:55" ht="35.25" thickBot="1">
      <c r="A69" s="31">
        <f t="shared" si="8"/>
        <v>66</v>
      </c>
      <c r="B69" s="117" t="s">
        <v>789</v>
      </c>
      <c r="C69" s="116" t="s">
        <v>790</v>
      </c>
      <c r="D69" s="99" t="str">
        <f xml:space="preserve"> LEFT(韻母對照表[[#This Row],[十五音識別碼]],1)</f>
        <v>箴</v>
      </c>
      <c r="E69" s="99" t="s">
        <v>791</v>
      </c>
      <c r="F69" s="118" t="s">
        <v>792</v>
      </c>
      <c r="G69" s="118" t="s">
        <v>793</v>
      </c>
      <c r="H69" s="32" t="s">
        <v>794</v>
      </c>
      <c r="I69" s="32" t="s">
        <v>795</v>
      </c>
      <c r="J69" s="32" t="s">
        <v>795</v>
      </c>
      <c r="K69" s="32" t="s">
        <v>795</v>
      </c>
      <c r="L69" s="33" t="s">
        <v>795</v>
      </c>
      <c r="M69" s="32"/>
      <c r="N69" s="34">
        <f t="shared" si="13"/>
        <v>2</v>
      </c>
      <c r="O69" s="36"/>
      <c r="P69" s="32" t="str">
        <f>J87</f>
        <v>un</v>
      </c>
      <c r="Q69" s="32" t="str">
        <f>K87</f>
        <v>un</v>
      </c>
      <c r="S69" s="25" t="str">
        <f t="shared" si="14"/>
        <v>un(\d)</v>
      </c>
      <c r="T69" s="26" t="s">
        <v>448</v>
      </c>
      <c r="U69" s="26" t="str">
        <f t="shared" si="12"/>
        <v/>
      </c>
      <c r="V69" s="25" t="str">
        <f t="shared" si="15"/>
        <v/>
      </c>
      <c r="W69" s="35"/>
      <c r="X69" s="37" t="str">
        <f t="shared" si="16"/>
        <v xml:space="preserve">    - xform/》un(\d)//</v>
      </c>
      <c r="Z69" s="28"/>
      <c r="AA69" s="28"/>
      <c r="AB69" s="28"/>
      <c r="AC69" s="28"/>
      <c r="AD69" s="28"/>
      <c r="AE69" s="28"/>
      <c r="AF69" s="28"/>
      <c r="AG69" s="28"/>
      <c r="AH69" s="28"/>
      <c r="AL69" s="29"/>
      <c r="AM69" s="29"/>
      <c r="AN69" s="29"/>
      <c r="AO69" s="29"/>
      <c r="AP69" s="29"/>
      <c r="AQ69" s="29"/>
      <c r="AR69" s="29"/>
      <c r="AS69" s="29"/>
      <c r="AT69" s="29"/>
      <c r="AU69" s="24"/>
      <c r="AV69" s="24"/>
      <c r="AW69" s="24"/>
      <c r="AX69" s="24"/>
      <c r="AY69" s="24"/>
      <c r="AZ69" s="24"/>
      <c r="BA69" s="24"/>
      <c r="BB69" s="24"/>
      <c r="BC69" s="24"/>
    </row>
    <row r="70" spans="1:55" ht="35.25" thickBot="1">
      <c r="A70" s="31">
        <f t="shared" si="8"/>
        <v>67</v>
      </c>
      <c r="B70" s="117" t="s">
        <v>393</v>
      </c>
      <c r="C70" s="116" t="s">
        <v>796</v>
      </c>
      <c r="D70" s="99" t="str">
        <f xml:space="preserve"> LEFT(韻母對照表[[#This Row],[十五音識別碼]],1)</f>
        <v>艍</v>
      </c>
      <c r="E70" s="99" t="s">
        <v>797</v>
      </c>
      <c r="F70" s="118" t="s">
        <v>798</v>
      </c>
      <c r="G70" s="118" t="s">
        <v>798</v>
      </c>
      <c r="H70" s="32" t="s">
        <v>259</v>
      </c>
      <c r="I70" s="32" t="s">
        <v>259</v>
      </c>
      <c r="J70" s="32" t="s">
        <v>259</v>
      </c>
      <c r="K70" s="32" t="s">
        <v>259</v>
      </c>
      <c r="L70" s="33" t="s">
        <v>259</v>
      </c>
      <c r="M70" s="32"/>
      <c r="N70" s="34">
        <f t="shared" si="13"/>
        <v>1</v>
      </c>
      <c r="O70" s="36"/>
      <c r="P70" s="32" t="str">
        <f>J71</f>
        <v>ua</v>
      </c>
      <c r="Q70" s="32" t="str">
        <f>K71</f>
        <v>ua</v>
      </c>
      <c r="S70" s="25" t="str">
        <f t="shared" si="14"/>
        <v>ua(\d)</v>
      </c>
      <c r="T70" s="26" t="s">
        <v>421</v>
      </c>
      <c r="U70" s="26" t="str">
        <f t="shared" si="12"/>
        <v/>
      </c>
      <c r="V70" s="25" t="str">
        <f t="shared" si="15"/>
        <v/>
      </c>
      <c r="W70" s="35"/>
      <c r="X70" s="37" t="str">
        <f t="shared" si="16"/>
        <v xml:space="preserve">    - xform/》ua(\d)//</v>
      </c>
      <c r="Z70" s="28"/>
      <c r="AA70" s="28"/>
      <c r="AB70" s="28"/>
      <c r="AC70" s="28"/>
      <c r="AD70" s="28"/>
      <c r="AE70" s="28"/>
      <c r="AF70" s="28"/>
      <c r="AG70" s="28"/>
      <c r="AH70" s="28"/>
      <c r="AL70" s="29"/>
      <c r="AM70" s="29"/>
      <c r="AN70" s="29"/>
      <c r="AO70" s="29"/>
      <c r="AP70" s="29"/>
      <c r="AQ70" s="29"/>
      <c r="AR70" s="29"/>
      <c r="AS70" s="29"/>
      <c r="AT70" s="29"/>
      <c r="AU70" s="24"/>
      <c r="AV70" s="24"/>
      <c r="AW70" s="24"/>
      <c r="AX70" s="24"/>
      <c r="AY70" s="24"/>
      <c r="AZ70" s="24"/>
      <c r="BA70" s="24"/>
      <c r="BB70" s="24"/>
      <c r="BC70" s="24"/>
    </row>
    <row r="71" spans="1:55" ht="54.75" thickBot="1">
      <c r="A71" s="31">
        <f t="shared" si="8"/>
        <v>68</v>
      </c>
      <c r="B71" s="117" t="s">
        <v>799</v>
      </c>
      <c r="C71" s="116" t="s">
        <v>800</v>
      </c>
      <c r="D71" s="99" t="str">
        <f xml:space="preserve"> LEFT(韻母對照表[[#This Row],[十五音識別碼]],1)</f>
        <v>瓜</v>
      </c>
      <c r="E71" s="99" t="s">
        <v>801</v>
      </c>
      <c r="F71" s="118" t="s">
        <v>802</v>
      </c>
      <c r="G71" s="118" t="s">
        <v>802</v>
      </c>
      <c r="H71" s="32" t="s">
        <v>260</v>
      </c>
      <c r="I71" s="32" t="s">
        <v>260</v>
      </c>
      <c r="J71" s="32" t="s">
        <v>260</v>
      </c>
      <c r="K71" s="32" t="s">
        <v>260</v>
      </c>
      <c r="L71" s="33" t="s">
        <v>803</v>
      </c>
      <c r="M71" s="32"/>
      <c r="N71" s="34">
        <f t="shared" si="13"/>
        <v>2</v>
      </c>
      <c r="O71" s="36"/>
      <c r="P71" s="32" t="str">
        <f>J78</f>
        <v>uang</v>
      </c>
      <c r="Q71" s="32" t="str">
        <f>K78</f>
        <v>uang</v>
      </c>
      <c r="S71" s="25" t="str">
        <f t="shared" si="14"/>
        <v>uang(\d)</v>
      </c>
      <c r="T71" s="26" t="s">
        <v>448</v>
      </c>
      <c r="U71" s="26" t="str">
        <f t="shared" si="12"/>
        <v/>
      </c>
      <c r="V71" s="25" t="str">
        <f t="shared" si="15"/>
        <v/>
      </c>
      <c r="W71" s="35"/>
      <c r="X71" s="37" t="str">
        <f t="shared" si="16"/>
        <v xml:space="preserve">    - xform/》uang(\d)//</v>
      </c>
      <c r="Z71" s="28"/>
      <c r="AA71" s="28"/>
      <c r="AB71" s="28"/>
      <c r="AC71" s="28"/>
      <c r="AD71" s="28"/>
      <c r="AE71" s="28"/>
      <c r="AF71" s="28"/>
      <c r="AG71" s="28"/>
      <c r="AH71" s="28"/>
      <c r="AL71" s="29"/>
      <c r="AM71" s="29"/>
      <c r="AN71" s="29"/>
      <c r="AO71" s="29"/>
      <c r="AP71" s="29"/>
      <c r="AQ71" s="29"/>
      <c r="AR71" s="29"/>
      <c r="AS71" s="29"/>
      <c r="AT71" s="29"/>
      <c r="AU71" s="24"/>
      <c r="AV71" s="24"/>
      <c r="AW71" s="24"/>
      <c r="AX71" s="24"/>
      <c r="AY71" s="24"/>
      <c r="AZ71" s="24"/>
      <c r="BA71" s="24"/>
      <c r="BB71" s="24"/>
      <c r="BC71" s="24"/>
    </row>
    <row r="72" spans="1:55" ht="35.25" thickBot="1">
      <c r="A72" s="31">
        <f t="shared" si="8"/>
        <v>69</v>
      </c>
      <c r="B72" s="117" t="s">
        <v>804</v>
      </c>
      <c r="C72" s="116" t="s">
        <v>805</v>
      </c>
      <c r="D72" s="99" t="str">
        <f xml:space="preserve"> LEFT(韻母對照表[[#This Row],[十五音識別碼]],1)</f>
        <v>瓜</v>
      </c>
      <c r="E72" s="99" t="s">
        <v>806</v>
      </c>
      <c r="F72" s="118" t="s">
        <v>807</v>
      </c>
      <c r="G72" s="118" t="s">
        <v>808</v>
      </c>
      <c r="H72" s="32" t="s">
        <v>809</v>
      </c>
      <c r="I72" s="32" t="s">
        <v>809</v>
      </c>
      <c r="J72" s="32" t="s">
        <v>809</v>
      </c>
      <c r="K72" s="32" t="s">
        <v>809</v>
      </c>
      <c r="L72" s="33" t="s">
        <v>810</v>
      </c>
      <c r="M72" s="32"/>
      <c r="N72" s="34">
        <f t="shared" si="13"/>
        <v>3</v>
      </c>
      <c r="O72" s="36"/>
      <c r="P72" s="32" t="str">
        <f>J73</f>
        <v>uai</v>
      </c>
      <c r="Q72" s="32" t="str">
        <f>K73</f>
        <v>uai</v>
      </c>
      <c r="S72" s="25" t="str">
        <f t="shared" si="14"/>
        <v>uai(\d)</v>
      </c>
      <c r="T72" s="26" t="s">
        <v>448</v>
      </c>
      <c r="U72" s="26">
        <f t="shared" si="12"/>
        <v>3</v>
      </c>
      <c r="V72" s="25" t="str">
        <f t="shared" si="15"/>
        <v>ua》i${1}</v>
      </c>
      <c r="W72" s="35"/>
      <c r="X72" s="37" t="str">
        <f t="shared" si="16"/>
        <v xml:space="preserve">    - xform/》uai(\d)/ua》i${1}/</v>
      </c>
      <c r="Z72" s="28"/>
      <c r="AA72" s="28"/>
      <c r="AB72" s="28"/>
      <c r="AC72" s="28"/>
      <c r="AD72" s="28"/>
      <c r="AE72" s="28"/>
      <c r="AF72" s="28"/>
      <c r="AG72" s="28"/>
      <c r="AH72" s="28"/>
      <c r="AL72" s="29"/>
      <c r="AM72" s="29"/>
      <c r="AN72" s="29"/>
      <c r="AO72" s="29"/>
      <c r="AP72" s="29"/>
      <c r="AQ72" s="29"/>
      <c r="AR72" s="29"/>
      <c r="AS72" s="29"/>
      <c r="AT72" s="29"/>
      <c r="AU72" s="24"/>
      <c r="AV72" s="24"/>
      <c r="AW72" s="24"/>
      <c r="AX72" s="24"/>
      <c r="AY72" s="24"/>
      <c r="AZ72" s="24"/>
      <c r="BA72" s="24"/>
      <c r="BB72" s="24"/>
      <c r="BC72" s="24"/>
    </row>
    <row r="73" spans="1:55" ht="35.25" thickBot="1">
      <c r="A73" s="31">
        <f t="shared" si="8"/>
        <v>70</v>
      </c>
      <c r="B73" s="117" t="s">
        <v>811</v>
      </c>
      <c r="C73" s="116" t="s">
        <v>812</v>
      </c>
      <c r="D73" s="99" t="str">
        <f xml:space="preserve"> LEFT(韻母對照表[[#This Row],[十五音識別碼]],1)</f>
        <v>乖</v>
      </c>
      <c r="E73" s="99" t="s">
        <v>813</v>
      </c>
      <c r="F73" s="118" t="s">
        <v>814</v>
      </c>
      <c r="G73" s="118" t="s">
        <v>814</v>
      </c>
      <c r="H73" s="32" t="s">
        <v>261</v>
      </c>
      <c r="I73" s="32" t="s">
        <v>261</v>
      </c>
      <c r="J73" s="32" t="s">
        <v>261</v>
      </c>
      <c r="K73" s="32" t="s">
        <v>261</v>
      </c>
      <c r="L73" s="33" t="s">
        <v>815</v>
      </c>
      <c r="M73" s="32"/>
      <c r="N73" s="34">
        <f t="shared" si="13"/>
        <v>3</v>
      </c>
      <c r="O73" s="36"/>
      <c r="P73" s="32" t="str">
        <f>J81</f>
        <v>ue</v>
      </c>
      <c r="Q73" s="32" t="str">
        <f>K81</f>
        <v>ue</v>
      </c>
      <c r="S73" s="25" t="str">
        <f t="shared" si="14"/>
        <v>ue(\d)</v>
      </c>
      <c r="T73" s="26" t="s">
        <v>439</v>
      </c>
      <c r="U73" s="26" t="str">
        <f t="shared" si="12"/>
        <v/>
      </c>
      <c r="V73" s="25" t="str">
        <f t="shared" si="15"/>
        <v/>
      </c>
      <c r="W73" s="35"/>
      <c r="X73" s="37" t="str">
        <f t="shared" si="16"/>
        <v xml:space="preserve">    - xform/》ue(\d)//</v>
      </c>
      <c r="Z73" s="28"/>
      <c r="AA73" s="28"/>
      <c r="AB73" s="28"/>
      <c r="AC73" s="28"/>
      <c r="AD73" s="28"/>
      <c r="AE73" s="28"/>
      <c r="AF73" s="28"/>
      <c r="AG73" s="28"/>
      <c r="AH73" s="28"/>
      <c r="AL73" s="29"/>
      <c r="AM73" s="29"/>
      <c r="AN73" s="29"/>
      <c r="AO73" s="29"/>
      <c r="AP73" s="29"/>
      <c r="AQ73" s="29"/>
      <c r="AR73" s="29"/>
      <c r="AS73" s="29"/>
      <c r="AT73" s="29"/>
      <c r="AU73" s="24"/>
      <c r="AV73" s="24"/>
      <c r="AW73" s="24"/>
      <c r="AX73" s="24"/>
      <c r="AY73" s="24"/>
      <c r="AZ73" s="24"/>
      <c r="BA73" s="24"/>
      <c r="BB73" s="24"/>
      <c r="BC73" s="24"/>
    </row>
    <row r="74" spans="1:55" ht="35.25" thickBot="1">
      <c r="A74" s="31">
        <f t="shared" si="8"/>
        <v>71</v>
      </c>
      <c r="B74" s="117" t="s">
        <v>816</v>
      </c>
      <c r="C74" s="116" t="s">
        <v>817</v>
      </c>
      <c r="D74" s="99" t="str">
        <f xml:space="preserve"> LEFT(韻母對照表[[#This Row],[十五音識別碼]],1)</f>
        <v>閂</v>
      </c>
      <c r="E74" s="99" t="s">
        <v>818</v>
      </c>
      <c r="F74" s="118" t="s">
        <v>819</v>
      </c>
      <c r="G74" s="118" t="s">
        <v>820</v>
      </c>
      <c r="H74" s="32" t="s">
        <v>821</v>
      </c>
      <c r="I74" s="32" t="s">
        <v>822</v>
      </c>
      <c r="J74" s="32" t="s">
        <v>821</v>
      </c>
      <c r="K74" s="32" t="s">
        <v>821</v>
      </c>
      <c r="L74" s="33" t="s">
        <v>823</v>
      </c>
      <c r="M74" s="42" t="s">
        <v>415</v>
      </c>
      <c r="N74" s="34">
        <f t="shared" si="13"/>
        <v>5</v>
      </c>
      <c r="O74" s="36"/>
      <c r="P74" s="32" t="str">
        <f>J82</f>
        <v>ueh</v>
      </c>
      <c r="Q74" s="32" t="str">
        <f>K82</f>
        <v>ueh</v>
      </c>
      <c r="S74" s="25" t="str">
        <f t="shared" si="14"/>
        <v>ueh(\d)</v>
      </c>
      <c r="T74" s="26" t="s">
        <v>399</v>
      </c>
      <c r="U74" s="26" t="str">
        <f t="shared" si="12"/>
        <v/>
      </c>
      <c r="V74" s="25" t="str">
        <f t="shared" si="15"/>
        <v/>
      </c>
      <c r="W74" s="35"/>
      <c r="X74" s="37" t="str">
        <f t="shared" si="16"/>
        <v xml:space="preserve">    - xform/》ueh(\d)//</v>
      </c>
      <c r="Z74" s="28"/>
      <c r="AA74" s="28"/>
      <c r="AB74" s="28"/>
      <c r="AC74" s="28"/>
      <c r="AD74" s="28"/>
      <c r="AE74" s="28"/>
      <c r="AF74" s="28"/>
      <c r="AG74" s="28"/>
      <c r="AH74" s="28"/>
      <c r="AL74" s="29"/>
      <c r="AM74" s="29"/>
      <c r="AN74" s="29"/>
      <c r="AO74" s="29"/>
      <c r="AP74" s="29"/>
      <c r="AQ74" s="29"/>
      <c r="AR74" s="29"/>
      <c r="AS74" s="29"/>
      <c r="AT74" s="29"/>
      <c r="AU74" s="24"/>
      <c r="AV74" s="24"/>
      <c r="AW74" s="24"/>
      <c r="AX74" s="24"/>
      <c r="AY74" s="24"/>
      <c r="AZ74" s="24"/>
      <c r="BA74" s="24"/>
      <c r="BB74" s="24"/>
      <c r="BC74" s="24"/>
    </row>
    <row r="75" spans="1:55" ht="35.25" thickBot="1">
      <c r="A75" s="31">
        <f t="shared" si="8"/>
        <v>72</v>
      </c>
      <c r="B75" s="117" t="s">
        <v>824</v>
      </c>
      <c r="C75" s="116" t="s">
        <v>401</v>
      </c>
      <c r="D75" s="99" t="str">
        <f xml:space="preserve"> LEFT(韻母對照表[[#This Row],[十五音識別碼]],1)</f>
        <v>乖</v>
      </c>
      <c r="E75" s="99" t="s">
        <v>825</v>
      </c>
      <c r="F75" s="118" t="s">
        <v>826</v>
      </c>
      <c r="G75" s="118" t="s">
        <v>827</v>
      </c>
      <c r="H75" s="32" t="s">
        <v>828</v>
      </c>
      <c r="I75" s="32" t="s">
        <v>828</v>
      </c>
      <c r="J75" s="32" t="s">
        <v>828</v>
      </c>
      <c r="K75" s="32" t="s">
        <v>828</v>
      </c>
      <c r="L75" s="33" t="s">
        <v>829</v>
      </c>
      <c r="M75" s="32"/>
      <c r="N75" s="34">
        <f t="shared" si="13"/>
        <v>4</v>
      </c>
      <c r="O75" s="36"/>
      <c r="P75" s="32" t="str">
        <f>J84</f>
        <v>ui</v>
      </c>
      <c r="Q75" s="32" t="str">
        <f>K84</f>
        <v>ui</v>
      </c>
      <c r="S75" s="25" t="str">
        <f t="shared" si="14"/>
        <v>ui(\d)</v>
      </c>
      <c r="T75" s="26" t="s">
        <v>399</v>
      </c>
      <c r="U75" s="26" t="str">
        <f t="shared" si="12"/>
        <v/>
      </c>
      <c r="V75" s="25" t="str">
        <f t="shared" si="15"/>
        <v/>
      </c>
      <c r="W75" s="35"/>
      <c r="X75" s="37" t="str">
        <f t="shared" si="16"/>
        <v xml:space="preserve">    - xform/》ui(\d)//</v>
      </c>
      <c r="Z75" s="28"/>
      <c r="AA75" s="28"/>
      <c r="AB75" s="28"/>
      <c r="AC75" s="28"/>
      <c r="AD75" s="28"/>
      <c r="AE75" s="28"/>
      <c r="AF75" s="28"/>
      <c r="AG75" s="28"/>
      <c r="AH75" s="28"/>
      <c r="AL75" s="29"/>
      <c r="AM75" s="29"/>
      <c r="AN75" s="29"/>
      <c r="AO75" s="29"/>
      <c r="AP75" s="29"/>
      <c r="AQ75" s="29"/>
      <c r="AR75" s="29"/>
      <c r="AS75" s="29"/>
      <c r="AT75" s="29"/>
      <c r="AU75" s="24"/>
      <c r="AV75" s="24"/>
      <c r="AW75" s="24"/>
      <c r="AX75" s="24"/>
      <c r="AY75" s="24"/>
      <c r="AZ75" s="24"/>
      <c r="BA75" s="24"/>
      <c r="BB75" s="24"/>
      <c r="BC75" s="24"/>
    </row>
    <row r="76" spans="1:55" ht="35.25" thickBot="1">
      <c r="A76" s="31">
        <f t="shared" si="8"/>
        <v>73</v>
      </c>
      <c r="B76" s="117" t="s">
        <v>830</v>
      </c>
      <c r="C76" s="116" t="s">
        <v>831</v>
      </c>
      <c r="D76" s="99" t="str">
        <f xml:space="preserve"> LEFT(韻母對照表[[#This Row],[十五音識別碼]],1)</f>
        <v>閂</v>
      </c>
      <c r="E76" s="99" t="s">
        <v>832</v>
      </c>
      <c r="F76" s="118" t="s">
        <v>833</v>
      </c>
      <c r="G76" s="118" t="s">
        <v>834</v>
      </c>
      <c r="H76" s="32" t="s">
        <v>835</v>
      </c>
      <c r="I76" s="40" t="s">
        <v>836</v>
      </c>
      <c r="J76" s="32" t="s">
        <v>835</v>
      </c>
      <c r="K76" s="32" t="s">
        <v>837</v>
      </c>
      <c r="L76" s="33" t="s">
        <v>838</v>
      </c>
      <c r="M76" s="42" t="s">
        <v>415</v>
      </c>
      <c r="N76" s="34">
        <f t="shared" si="13"/>
        <v>6</v>
      </c>
      <c r="O76" s="36"/>
      <c r="P76" s="32" t="str">
        <f>J86</f>
        <v>uinn</v>
      </c>
      <c r="Q76" s="32" t="str">
        <f>K86</f>
        <v>uinn</v>
      </c>
      <c r="S76" s="25" t="str">
        <f t="shared" si="14"/>
        <v>uinn(\d)</v>
      </c>
      <c r="T76" s="26" t="s">
        <v>399</v>
      </c>
      <c r="U76" s="26" t="str">
        <f t="shared" si="12"/>
        <v/>
      </c>
      <c r="V76" s="25" t="str">
        <f t="shared" si="15"/>
        <v/>
      </c>
      <c r="W76" s="35"/>
      <c r="X76" s="37" t="str">
        <f t="shared" si="16"/>
        <v xml:space="preserve">    - xform/》uinn(\d)//</v>
      </c>
      <c r="Z76" s="28"/>
      <c r="AA76" s="28"/>
      <c r="AB76" s="28"/>
      <c r="AC76" s="28"/>
      <c r="AD76" s="28"/>
      <c r="AE76" s="28"/>
      <c r="AF76" s="28"/>
      <c r="AG76" s="28"/>
      <c r="AH76" s="28"/>
      <c r="AL76" s="29"/>
      <c r="AM76" s="29"/>
      <c r="AN76" s="29"/>
      <c r="AO76" s="29"/>
      <c r="AP76" s="29"/>
      <c r="AQ76" s="29"/>
      <c r="AR76" s="29"/>
      <c r="AS76" s="29"/>
      <c r="AT76" s="29"/>
      <c r="AU76" s="24"/>
      <c r="AV76" s="24"/>
      <c r="AW76" s="24"/>
      <c r="AX76" s="24"/>
      <c r="AY76" s="24"/>
      <c r="AZ76" s="24"/>
      <c r="BA76" s="24"/>
      <c r="BB76" s="24"/>
      <c r="BC76" s="24"/>
    </row>
    <row r="77" spans="1:55" ht="54.75" thickBot="1">
      <c r="A77" s="31">
        <f t="shared" si="8"/>
        <v>74</v>
      </c>
      <c r="B77" s="117" t="s">
        <v>839</v>
      </c>
      <c r="C77" s="116" t="s">
        <v>840</v>
      </c>
      <c r="D77" s="99" t="str">
        <f xml:space="preserve"> LEFT(韻母對照表[[#This Row],[十五音識別碼]],1)</f>
        <v>觀</v>
      </c>
      <c r="E77" s="99" t="s">
        <v>841</v>
      </c>
      <c r="F77" s="118" t="s">
        <v>842</v>
      </c>
      <c r="G77" s="118" t="s">
        <v>842</v>
      </c>
      <c r="H77" s="32" t="s">
        <v>843</v>
      </c>
      <c r="I77" s="32" t="s">
        <v>843</v>
      </c>
      <c r="J77" s="32" t="s">
        <v>843</v>
      </c>
      <c r="K77" s="32" t="s">
        <v>843</v>
      </c>
      <c r="L77" s="33" t="s">
        <v>844</v>
      </c>
      <c r="M77" s="32"/>
      <c r="N77" s="34">
        <f t="shared" si="13"/>
        <v>3</v>
      </c>
      <c r="O77" s="36"/>
      <c r="P77" s="32" t="str">
        <f>J74</f>
        <v>uainn</v>
      </c>
      <c r="Q77" s="32" t="str">
        <f>K74</f>
        <v>uainn</v>
      </c>
      <c r="S77" s="25" t="str">
        <f t="shared" si="14"/>
        <v>uainn(\d)</v>
      </c>
      <c r="T77" s="26" t="s">
        <v>448</v>
      </c>
      <c r="U77" s="26">
        <f t="shared" si="12"/>
        <v>3</v>
      </c>
      <c r="V77" s="25" t="str">
        <f t="shared" si="15"/>
        <v>ua》i${1}nn</v>
      </c>
      <c r="W77" s="35"/>
      <c r="X77" s="37" t="str">
        <f t="shared" si="16"/>
        <v xml:space="preserve">    - xform/》uainn(\d)/ua》i${1}nn/</v>
      </c>
      <c r="Z77" s="28"/>
      <c r="AA77" s="28"/>
      <c r="AB77" s="28"/>
      <c r="AC77" s="28"/>
      <c r="AD77" s="28"/>
      <c r="AE77" s="28"/>
      <c r="AF77" s="28"/>
      <c r="AG77" s="28"/>
      <c r="AH77" s="28"/>
      <c r="AL77" s="29"/>
      <c r="AM77" s="29"/>
      <c r="AN77" s="29"/>
      <c r="AO77" s="29"/>
      <c r="AP77" s="29"/>
      <c r="AQ77" s="29"/>
      <c r="AR77" s="29"/>
      <c r="AS77" s="29"/>
      <c r="AT77" s="29"/>
      <c r="AU77" s="24"/>
      <c r="AV77" s="24"/>
      <c r="AW77" s="24"/>
      <c r="AX77" s="24"/>
      <c r="AY77" s="24"/>
      <c r="AZ77" s="24"/>
      <c r="BA77" s="24"/>
      <c r="BB77" s="24"/>
      <c r="BC77" s="24"/>
    </row>
    <row r="78" spans="1:55" ht="35.25" thickBot="1">
      <c r="A78" s="31">
        <f t="shared" si="8"/>
        <v>75</v>
      </c>
      <c r="B78" s="117" t="s">
        <v>845</v>
      </c>
      <c r="C78" s="116" t="s">
        <v>846</v>
      </c>
      <c r="D78" s="99" t="str">
        <f xml:space="preserve"> LEFT(韻母對照表[[#This Row],[十五音識別碼]],1)</f>
        <v>光</v>
      </c>
      <c r="E78" s="99" t="s">
        <v>847</v>
      </c>
      <c r="F78" s="118" t="s">
        <v>848</v>
      </c>
      <c r="G78" s="118" t="s">
        <v>848</v>
      </c>
      <c r="H78" s="32" t="s">
        <v>849</v>
      </c>
      <c r="I78" s="32" t="s">
        <v>849</v>
      </c>
      <c r="J78" s="32" t="s">
        <v>849</v>
      </c>
      <c r="K78" s="32" t="s">
        <v>849</v>
      </c>
      <c r="L78" s="33" t="s">
        <v>850</v>
      </c>
      <c r="M78" s="32"/>
      <c r="N78" s="34">
        <f t="shared" si="13"/>
        <v>4</v>
      </c>
      <c r="O78" s="36"/>
      <c r="P78" s="32" t="str">
        <f>J75</f>
        <v>uaih</v>
      </c>
      <c r="Q78" s="32" t="str">
        <f>K75</f>
        <v>uaih</v>
      </c>
      <c r="S78" s="25" t="str">
        <f t="shared" si="14"/>
        <v>uaih(\d)</v>
      </c>
      <c r="T78" s="26" t="s">
        <v>448</v>
      </c>
      <c r="U78" s="26">
        <f t="shared" si="12"/>
        <v>3</v>
      </c>
      <c r="V78" s="25" t="str">
        <f t="shared" si="15"/>
        <v>ua》i${1}h</v>
      </c>
      <c r="W78" s="35"/>
      <c r="X78" s="37" t="str">
        <f t="shared" si="16"/>
        <v xml:space="preserve">    - xform/》uaih(\d)/ua》i${1}h/</v>
      </c>
      <c r="Z78" s="28"/>
      <c r="AA78" s="28"/>
      <c r="AB78" s="28"/>
      <c r="AC78" s="28"/>
      <c r="AD78" s="28"/>
      <c r="AE78" s="28"/>
      <c r="AF78" s="28"/>
      <c r="AG78" s="28"/>
      <c r="AH78" s="28"/>
      <c r="AL78" s="29"/>
      <c r="AM78" s="29"/>
      <c r="AN78" s="29"/>
      <c r="AO78" s="29"/>
      <c r="AP78" s="29"/>
      <c r="AQ78" s="29"/>
      <c r="AR78" s="29"/>
      <c r="AS78" s="29"/>
      <c r="AT78" s="29"/>
      <c r="AU78" s="24"/>
      <c r="AV78" s="24"/>
      <c r="AW78" s="24"/>
      <c r="AX78" s="24"/>
      <c r="AY78" s="24"/>
      <c r="AZ78" s="24"/>
      <c r="BA78" s="24"/>
      <c r="BB78" s="24"/>
      <c r="BC78" s="24"/>
    </row>
    <row r="79" spans="1:55" ht="35.25" thickBot="1">
      <c r="A79" s="31">
        <f t="shared" si="8"/>
        <v>76</v>
      </c>
      <c r="B79" s="117" t="s">
        <v>851</v>
      </c>
      <c r="C79" s="116" t="s">
        <v>852</v>
      </c>
      <c r="D79" s="99" t="str">
        <f xml:space="preserve"> LEFT(韻母對照表[[#This Row],[十五音識別碼]],1)</f>
        <v>官</v>
      </c>
      <c r="E79" s="99" t="s">
        <v>853</v>
      </c>
      <c r="F79" s="118" t="s">
        <v>854</v>
      </c>
      <c r="G79" s="118" t="s">
        <v>855</v>
      </c>
      <c r="H79" s="32" t="s">
        <v>856</v>
      </c>
      <c r="I79" s="32" t="s">
        <v>857</v>
      </c>
      <c r="J79" s="32" t="s">
        <v>856</v>
      </c>
      <c r="K79" s="32" t="s">
        <v>856</v>
      </c>
      <c r="L79" s="33" t="s">
        <v>858</v>
      </c>
      <c r="M79" s="32"/>
      <c r="N79" s="34">
        <f t="shared" si="13"/>
        <v>4</v>
      </c>
      <c r="O79" s="36"/>
      <c r="P79" s="32" t="str">
        <f>J80</f>
        <v>uat</v>
      </c>
      <c r="Q79" s="32" t="str">
        <f>K80</f>
        <v>uat</v>
      </c>
      <c r="S79" s="25" t="str">
        <f t="shared" si="14"/>
        <v>uat(\d)</v>
      </c>
      <c r="T79" s="26" t="s">
        <v>448</v>
      </c>
      <c r="U79" s="26" t="str">
        <f t="shared" si="12"/>
        <v/>
      </c>
      <c r="V79" s="25" t="str">
        <f t="shared" si="15"/>
        <v/>
      </c>
      <c r="W79" s="35"/>
      <c r="X79" s="37" t="str">
        <f t="shared" si="16"/>
        <v xml:space="preserve">    - xform/》uat(\d)//</v>
      </c>
      <c r="Z79" s="28"/>
      <c r="AA79" s="28"/>
      <c r="AB79" s="28"/>
      <c r="AC79" s="28"/>
      <c r="AD79" s="28"/>
      <c r="AE79" s="28"/>
      <c r="AF79" s="28"/>
      <c r="AG79" s="28"/>
      <c r="AH79" s="28"/>
      <c r="AL79" s="29"/>
      <c r="AM79" s="29"/>
      <c r="AN79" s="29"/>
      <c r="AO79" s="29"/>
      <c r="AP79" s="29"/>
      <c r="AQ79" s="29"/>
      <c r="AR79" s="29"/>
      <c r="AS79" s="29"/>
      <c r="AT79" s="29"/>
      <c r="AU79" s="24"/>
      <c r="AV79" s="24"/>
      <c r="AW79" s="24"/>
      <c r="AX79" s="24"/>
      <c r="AY79" s="24"/>
      <c r="AZ79" s="24"/>
      <c r="BA79" s="24"/>
      <c r="BB79" s="24"/>
      <c r="BC79" s="24"/>
    </row>
    <row r="80" spans="1:55" ht="54.75" thickBot="1">
      <c r="A80" s="31">
        <f t="shared" si="8"/>
        <v>77</v>
      </c>
      <c r="B80" s="117" t="s">
        <v>859</v>
      </c>
      <c r="C80" s="116" t="s">
        <v>860</v>
      </c>
      <c r="D80" s="99" t="str">
        <f xml:space="preserve"> LEFT(韻母對照表[[#This Row],[十五音識別碼]],1)</f>
        <v>觀</v>
      </c>
      <c r="E80" s="99" t="s">
        <v>861</v>
      </c>
      <c r="F80" s="118" t="s">
        <v>862</v>
      </c>
      <c r="G80" s="118" t="s">
        <v>863</v>
      </c>
      <c r="H80" s="32" t="s">
        <v>864</v>
      </c>
      <c r="I80" s="32" t="s">
        <v>864</v>
      </c>
      <c r="J80" s="32" t="s">
        <v>864</v>
      </c>
      <c r="K80" s="32" t="s">
        <v>864</v>
      </c>
      <c r="L80" s="33" t="s">
        <v>865</v>
      </c>
      <c r="M80" s="32"/>
      <c r="N80" s="34">
        <f t="shared" si="13"/>
        <v>3</v>
      </c>
      <c r="O80" s="36"/>
      <c r="P80" s="32" t="str">
        <f>J76</f>
        <v>uainnh</v>
      </c>
      <c r="Q80" s="32" t="str">
        <f>K76</f>
        <v>uaihnn</v>
      </c>
      <c r="S80" s="25" t="str">
        <f t="shared" si="14"/>
        <v>uainnh(\d)</v>
      </c>
      <c r="T80" s="26" t="s">
        <v>433</v>
      </c>
      <c r="U80" s="26" t="str">
        <f t="shared" si="12"/>
        <v/>
      </c>
      <c r="V80" s="25" t="str">
        <f t="shared" si="15"/>
        <v/>
      </c>
      <c r="W80" s="35"/>
      <c r="X80" s="37" t="str">
        <f t="shared" si="16"/>
        <v xml:space="preserve">    - xform/》uainnh(\d)//</v>
      </c>
      <c r="Z80" s="28"/>
      <c r="AA80" s="28"/>
      <c r="AB80" s="28"/>
      <c r="AC80" s="28"/>
      <c r="AD80" s="28"/>
      <c r="AE80" s="28"/>
      <c r="AF80" s="28"/>
      <c r="AG80" s="28"/>
      <c r="AH80" s="28"/>
      <c r="AL80" s="29"/>
      <c r="AM80" s="29"/>
      <c r="AN80" s="29"/>
      <c r="AO80" s="29"/>
      <c r="AP80" s="29"/>
      <c r="AQ80" s="29"/>
      <c r="AR80" s="29"/>
      <c r="AS80" s="29"/>
      <c r="AT80" s="29"/>
      <c r="AU80" s="24"/>
      <c r="AV80" s="24"/>
      <c r="AW80" s="24"/>
      <c r="AX80" s="24"/>
      <c r="AY80" s="24"/>
      <c r="AZ80" s="24"/>
      <c r="BA80" s="24"/>
      <c r="BB80" s="24"/>
      <c r="BC80" s="24"/>
    </row>
    <row r="81" spans="1:55" ht="35.25" thickBot="1">
      <c r="A81" s="31">
        <f t="shared" si="8"/>
        <v>78</v>
      </c>
      <c r="B81" s="117" t="s">
        <v>866</v>
      </c>
      <c r="C81" s="116" t="s">
        <v>867</v>
      </c>
      <c r="D81" s="99" t="str">
        <f xml:space="preserve"> LEFT(韻母對照表[[#This Row],[十五音識別碼]],1)</f>
        <v>檜</v>
      </c>
      <c r="E81" s="99" t="s">
        <v>868</v>
      </c>
      <c r="F81" s="118" t="s">
        <v>869</v>
      </c>
      <c r="G81" s="118" t="s">
        <v>870</v>
      </c>
      <c r="H81" s="32" t="s">
        <v>262</v>
      </c>
      <c r="I81" s="32" t="s">
        <v>262</v>
      </c>
      <c r="J81" s="32" t="s">
        <v>262</v>
      </c>
      <c r="K81" s="32" t="s">
        <v>262</v>
      </c>
      <c r="L81" s="33" t="s">
        <v>871</v>
      </c>
      <c r="M81" s="32"/>
      <c r="N81" s="34">
        <f t="shared" si="13"/>
        <v>2</v>
      </c>
      <c r="O81" s="36"/>
      <c r="P81" s="32" t="str">
        <f>J85</f>
        <v>uih</v>
      </c>
      <c r="Q81" s="32" t="str">
        <f>K85</f>
        <v>uih</v>
      </c>
      <c r="S81" s="25" t="str">
        <f t="shared" si="14"/>
        <v>uih(\d)</v>
      </c>
      <c r="T81" s="26" t="s">
        <v>399</v>
      </c>
      <c r="U81" s="26" t="str">
        <f t="shared" si="12"/>
        <v/>
      </c>
      <c r="V81" s="25" t="str">
        <f t="shared" si="15"/>
        <v/>
      </c>
      <c r="W81" s="35"/>
      <c r="X81" s="37" t="str">
        <f t="shared" si="16"/>
        <v xml:space="preserve">    - xform/》uih(\d)//</v>
      </c>
      <c r="Z81" s="28"/>
      <c r="AA81" s="28"/>
      <c r="AB81" s="28"/>
      <c r="AC81" s="28"/>
      <c r="AD81" s="28"/>
      <c r="AE81" s="28"/>
      <c r="AF81" s="28"/>
      <c r="AG81" s="28"/>
      <c r="AH81" s="28"/>
      <c r="AL81" s="29"/>
      <c r="AM81" s="29"/>
      <c r="AN81" s="29"/>
      <c r="AO81" s="29"/>
      <c r="AP81" s="29"/>
      <c r="AQ81" s="29"/>
      <c r="AR81" s="29"/>
      <c r="AS81" s="29"/>
      <c r="AT81" s="29"/>
      <c r="AU81" s="24"/>
      <c r="AV81" s="24"/>
      <c r="AW81" s="24"/>
      <c r="AX81" s="24"/>
      <c r="AY81" s="24"/>
      <c r="AZ81" s="24"/>
      <c r="BA81" s="24"/>
      <c r="BB81" s="24"/>
      <c r="BC81" s="24"/>
    </row>
    <row r="82" spans="1:55" ht="35.25" thickBot="1">
      <c r="A82" s="31">
        <f t="shared" si="8"/>
        <v>79</v>
      </c>
      <c r="B82" s="117" t="s">
        <v>872</v>
      </c>
      <c r="C82" s="116" t="s">
        <v>873</v>
      </c>
      <c r="D82" s="99" t="str">
        <f xml:space="preserve"> LEFT(韻母對照表[[#This Row],[十五音識別碼]],1)</f>
        <v>檜</v>
      </c>
      <c r="E82" s="99" t="s">
        <v>874</v>
      </c>
      <c r="F82" s="118" t="s">
        <v>875</v>
      </c>
      <c r="G82" s="118" t="s">
        <v>876</v>
      </c>
      <c r="H82" s="32" t="s">
        <v>877</v>
      </c>
      <c r="I82" s="32" t="s">
        <v>877</v>
      </c>
      <c r="J82" s="32" t="s">
        <v>877</v>
      </c>
      <c r="K82" s="32" t="s">
        <v>877</v>
      </c>
      <c r="L82" s="33" t="s">
        <v>878</v>
      </c>
      <c r="M82" s="32"/>
      <c r="N82" s="34">
        <f t="shared" si="13"/>
        <v>3</v>
      </c>
      <c r="O82" s="36"/>
      <c r="P82" s="32" t="str">
        <f>J56</f>
        <v>m</v>
      </c>
      <c r="Q82" s="32" t="str">
        <f>K56</f>
        <v>m</v>
      </c>
      <c r="S82" s="25" t="str">
        <f t="shared" si="14"/>
        <v>m(\d)</v>
      </c>
      <c r="T82" s="26" t="s">
        <v>393</v>
      </c>
      <c r="U82" s="26" t="str">
        <f t="shared" si="12"/>
        <v/>
      </c>
      <c r="V82" s="25" t="str">
        <f t="shared" si="15"/>
        <v/>
      </c>
      <c r="W82" s="35"/>
      <c r="X82" s="37" t="str">
        <f t="shared" si="16"/>
        <v xml:space="preserve">    - xform/》m(\d)//</v>
      </c>
      <c r="Z82" s="28"/>
      <c r="AA82" s="28"/>
      <c r="AB82" s="28"/>
      <c r="AC82" s="28"/>
      <c r="AD82" s="28"/>
      <c r="AE82" s="28"/>
      <c r="AF82" s="28"/>
      <c r="AG82" s="28"/>
      <c r="AH82" s="28"/>
      <c r="AL82" s="29"/>
      <c r="AM82" s="29"/>
      <c r="AN82" s="29"/>
      <c r="AO82" s="29"/>
      <c r="AP82" s="29"/>
      <c r="AQ82" s="29"/>
      <c r="AR82" s="29"/>
      <c r="AS82" s="29"/>
      <c r="AT82" s="29"/>
      <c r="AU82" s="24"/>
      <c r="AV82" s="24"/>
      <c r="AW82" s="24"/>
      <c r="AX82" s="24"/>
      <c r="AY82" s="24"/>
      <c r="AZ82" s="24"/>
      <c r="BA82" s="24"/>
      <c r="BB82" s="24"/>
      <c r="BC82" s="24"/>
    </row>
    <row r="83" spans="1:55" ht="54.75" thickBot="1">
      <c r="A83" s="31">
        <f t="shared" si="8"/>
        <v>80</v>
      </c>
      <c r="B83" s="117" t="s">
        <v>879</v>
      </c>
      <c r="C83" s="116" t="s">
        <v>880</v>
      </c>
      <c r="D83" s="99" t="str">
        <f xml:space="preserve"> LEFT(韻母對照表[[#This Row],[十五音識別碼]],1)</f>
        <v>艍</v>
      </c>
      <c r="E83" s="99" t="s">
        <v>881</v>
      </c>
      <c r="F83" s="118" t="s">
        <v>882</v>
      </c>
      <c r="G83" s="118" t="s">
        <v>883</v>
      </c>
      <c r="H83" s="32" t="s">
        <v>884</v>
      </c>
      <c r="I83" s="32" t="s">
        <v>884</v>
      </c>
      <c r="J83" s="32" t="s">
        <v>884</v>
      </c>
      <c r="K83" s="32" t="s">
        <v>884</v>
      </c>
      <c r="L83" s="33" t="s">
        <v>884</v>
      </c>
      <c r="M83" s="32"/>
      <c r="N83" s="34">
        <f t="shared" si="13"/>
        <v>2</v>
      </c>
      <c r="O83" s="36"/>
      <c r="P83" s="32" t="str">
        <f>J79</f>
        <v>uann</v>
      </c>
      <c r="Q83" s="32" t="str">
        <f>K79</f>
        <v>uann</v>
      </c>
      <c r="S83" s="25" t="str">
        <f t="shared" si="14"/>
        <v>uann(\d)</v>
      </c>
      <c r="T83" s="26" t="s">
        <v>448</v>
      </c>
      <c r="U83" s="26" t="str">
        <f t="shared" si="12"/>
        <v/>
      </c>
      <c r="V83" s="25" t="str">
        <f t="shared" si="15"/>
        <v/>
      </c>
      <c r="W83" s="35"/>
      <c r="X83" s="37" t="str">
        <f t="shared" si="16"/>
        <v xml:space="preserve">    - xform/》uann(\d)//</v>
      </c>
      <c r="Z83" s="28"/>
      <c r="AA83" s="28"/>
      <c r="AB83" s="28"/>
      <c r="AC83" s="28"/>
      <c r="AD83" s="28"/>
      <c r="AE83" s="28"/>
      <c r="AF83" s="28"/>
      <c r="AG83" s="28"/>
      <c r="AH83" s="28"/>
      <c r="AL83" s="29"/>
      <c r="AM83" s="29"/>
      <c r="AN83" s="29"/>
      <c r="AO83" s="29"/>
      <c r="AP83" s="29"/>
      <c r="AQ83" s="29"/>
      <c r="AR83" s="29"/>
      <c r="AS83" s="29"/>
      <c r="AT83" s="29"/>
      <c r="AU83" s="24"/>
      <c r="AV83" s="24"/>
      <c r="AW83" s="24"/>
      <c r="AX83" s="24"/>
      <c r="AY83" s="24"/>
      <c r="AZ83" s="24"/>
      <c r="BA83" s="24"/>
      <c r="BB83" s="24"/>
      <c r="BC83" s="24"/>
    </row>
    <row r="84" spans="1:55" ht="35.25" thickBot="1">
      <c r="A84" s="31">
        <f t="shared" si="8"/>
        <v>81</v>
      </c>
      <c r="B84" s="117" t="s">
        <v>885</v>
      </c>
      <c r="C84" s="116" t="s">
        <v>886</v>
      </c>
      <c r="D84" s="99" t="str">
        <f xml:space="preserve"> LEFT(韻母對照表[[#This Row],[十五音識別碼]],1)</f>
        <v>規</v>
      </c>
      <c r="E84" s="99" t="s">
        <v>887</v>
      </c>
      <c r="F84" s="118" t="s">
        <v>888</v>
      </c>
      <c r="G84" s="118" t="s">
        <v>888</v>
      </c>
      <c r="H84" s="32" t="s">
        <v>263</v>
      </c>
      <c r="I84" s="32" t="s">
        <v>263</v>
      </c>
      <c r="J84" s="32" t="s">
        <v>263</v>
      </c>
      <c r="K84" s="32" t="s">
        <v>263</v>
      </c>
      <c r="L84" s="33" t="s">
        <v>263</v>
      </c>
      <c r="M84" s="32"/>
      <c r="N84" s="34">
        <f t="shared" si="13"/>
        <v>2</v>
      </c>
      <c r="O84" s="36"/>
      <c r="P84" s="32" t="str">
        <f>J57</f>
        <v>mh</v>
      </c>
      <c r="Q84" s="32" t="str">
        <f>K57</f>
        <v>mh</v>
      </c>
      <c r="S84" s="25" t="str">
        <f xml:space="preserve"> _xlfn.CONCAT(P84, "(\d)")</f>
        <v>mh(\d)</v>
      </c>
      <c r="T84" s="26" t="s">
        <v>393</v>
      </c>
      <c r="U84" s="26" t="str">
        <f t="shared" si="12"/>
        <v/>
      </c>
      <c r="V84" s="25" t="str">
        <f xml:space="preserve"> IFERROR( _xlfn.CONCAT(LEFT(P84,U84-1), "》", MID(P84,U84,1), "${1}", RIGHT(P84, LEN(P84)-U84)), "" )</f>
        <v/>
      </c>
      <c r="W84" s="35"/>
      <c r="X84" s="37" t="str">
        <f xml:space="preserve"> IF(AND(Q84&lt;&gt;"", P84&lt;&gt;""), "    - xform/》" &amp; S84 &amp;  "/"  &amp; V84 &amp;  "/", "")</f>
        <v xml:space="preserve">    - xform/》mh(\d)//</v>
      </c>
      <c r="Z84" s="28"/>
      <c r="AA84" s="28"/>
      <c r="AB84" s="28"/>
      <c r="AC84" s="28"/>
      <c r="AD84" s="28"/>
      <c r="AE84" s="28"/>
      <c r="AF84" s="28"/>
      <c r="AG84" s="28"/>
      <c r="AH84" s="28"/>
      <c r="AL84" s="29"/>
      <c r="AM84" s="29"/>
      <c r="AN84" s="29"/>
      <c r="AO84" s="29"/>
      <c r="AP84" s="29"/>
      <c r="AQ84" s="29"/>
      <c r="AR84" s="29"/>
      <c r="AS84" s="29"/>
      <c r="AT84" s="29"/>
      <c r="AU84" s="24"/>
      <c r="AV84" s="24"/>
      <c r="AW84" s="24"/>
      <c r="AX84" s="24"/>
      <c r="AY84" s="24"/>
      <c r="AZ84" s="24"/>
      <c r="BA84" s="24"/>
      <c r="BB84" s="24"/>
      <c r="BC84" s="24"/>
    </row>
    <row r="85" spans="1:55" ht="35.25" thickBot="1">
      <c r="A85" s="31">
        <f t="shared" si="8"/>
        <v>82</v>
      </c>
      <c r="B85" s="117" t="s">
        <v>889</v>
      </c>
      <c r="C85" s="116" t="s">
        <v>401</v>
      </c>
      <c r="D85" s="99" t="str">
        <f xml:space="preserve"> LEFT(韻母對照表[[#This Row],[十五音識別碼]],1)</f>
        <v>褌</v>
      </c>
      <c r="E85" s="99" t="s">
        <v>890</v>
      </c>
      <c r="F85" s="119" t="s">
        <v>891</v>
      </c>
      <c r="G85" s="119" t="s">
        <v>892</v>
      </c>
      <c r="H85" s="40" t="s">
        <v>893</v>
      </c>
      <c r="I85" s="40" t="s">
        <v>893</v>
      </c>
      <c r="J85" s="41" t="s">
        <v>894</v>
      </c>
      <c r="K85" s="40" t="s">
        <v>893</v>
      </c>
      <c r="L85" s="40" t="s">
        <v>894</v>
      </c>
      <c r="M85" s="42" t="s">
        <v>415</v>
      </c>
      <c r="N85" s="34">
        <f t="shared" si="13"/>
        <v>3</v>
      </c>
      <c r="O85" s="36"/>
      <c r="P85" s="32" t="str">
        <f>J59</f>
        <v>ngh</v>
      </c>
      <c r="Q85" s="32" t="str">
        <f>K59</f>
        <v>ngh</v>
      </c>
      <c r="S85" s="25" t="str">
        <f xml:space="preserve"> _xlfn.CONCAT(P85, "(\d)")</f>
        <v>ngh(\d)</v>
      </c>
      <c r="T85" s="26" t="s">
        <v>393</v>
      </c>
      <c r="U85" s="26" t="str">
        <f t="shared" si="12"/>
        <v/>
      </c>
      <c r="V85" s="25" t="str">
        <f xml:space="preserve"> IFERROR( _xlfn.CONCAT(LEFT(P85,U85-1), "》", MID(P85,U85,1), "${1}", RIGHT(P85, LEN(P85)-U85)), "" )</f>
        <v/>
      </c>
      <c r="W85" s="35"/>
      <c r="X85" s="37" t="str">
        <f xml:space="preserve"> IF(AND(Q85&lt;&gt;"", P85&lt;&gt;""), "    - xform/》" &amp; S85 &amp;  "/"  &amp; V85 &amp;  "/", "")</f>
        <v xml:space="preserve">    - xform/》ngh(\d)//</v>
      </c>
      <c r="Z85" s="28"/>
      <c r="AA85" s="28"/>
      <c r="AB85" s="28"/>
      <c r="AC85" s="28"/>
      <c r="AD85" s="28"/>
      <c r="AE85" s="28"/>
      <c r="AF85" s="28"/>
      <c r="AG85" s="28"/>
      <c r="AH85" s="28"/>
      <c r="AL85" s="29"/>
      <c r="AM85" s="29"/>
      <c r="AN85" s="29"/>
      <c r="AO85" s="29"/>
      <c r="AP85" s="29"/>
      <c r="AQ85" s="29"/>
      <c r="AR85" s="29"/>
      <c r="AS85" s="29"/>
      <c r="AT85" s="29"/>
      <c r="AU85" s="24"/>
      <c r="AV85" s="24"/>
      <c r="AW85" s="24"/>
      <c r="AX85" s="24"/>
      <c r="AY85" s="24"/>
      <c r="AZ85" s="24"/>
      <c r="BA85" s="24"/>
      <c r="BB85" s="24"/>
      <c r="BC85" s="24"/>
    </row>
    <row r="86" spans="1:55" ht="35.25" thickBot="1">
      <c r="A86" s="31">
        <f t="shared" si="8"/>
        <v>83</v>
      </c>
      <c r="B86" s="117" t="s">
        <v>895</v>
      </c>
      <c r="C86" s="116" t="s">
        <v>896</v>
      </c>
      <c r="D86" s="99" t="str">
        <f xml:space="preserve"> LEFT(韻母對照表[[#This Row],[十五音識別碼]],1)</f>
        <v>褌</v>
      </c>
      <c r="E86" s="99" t="s">
        <v>897</v>
      </c>
      <c r="F86" s="118" t="s">
        <v>898</v>
      </c>
      <c r="G86" s="118" t="s">
        <v>899</v>
      </c>
      <c r="H86" s="32" t="s">
        <v>900</v>
      </c>
      <c r="I86" s="32" t="s">
        <v>901</v>
      </c>
      <c r="J86" s="32" t="s">
        <v>900</v>
      </c>
      <c r="K86" s="32" t="s">
        <v>900</v>
      </c>
      <c r="L86" s="33" t="s">
        <v>902</v>
      </c>
      <c r="M86" s="32"/>
      <c r="N86" s="34">
        <f t="shared" si="13"/>
        <v>4</v>
      </c>
      <c r="O86" s="36"/>
      <c r="P86" s="32" t="str">
        <f>J58</f>
        <v>ng</v>
      </c>
      <c r="Q86" s="32" t="str">
        <f>K58</f>
        <v>ng</v>
      </c>
      <c r="S86" s="25" t="str">
        <f xml:space="preserve"> _xlfn.CONCAT(P86, "(\d)")</f>
        <v>ng(\d)</v>
      </c>
      <c r="T86" s="26" t="s">
        <v>393</v>
      </c>
      <c r="U86" s="26" t="str">
        <f t="shared" si="12"/>
        <v/>
      </c>
      <c r="V86" s="25" t="str">
        <f xml:space="preserve"> IFERROR( _xlfn.CONCAT(LEFT(P86,U86-1), "》", MID(P86,U86,1), "${1}", RIGHT(P86, LEN(P86)-U86)), "" )</f>
        <v/>
      </c>
      <c r="W86" s="35"/>
      <c r="X86" s="37" t="str">
        <f xml:space="preserve"> IF(AND(Q86&lt;&gt;"", P86&lt;&gt;""), "    - xform/》" &amp; S86 &amp;  "/"  &amp; V86 &amp;  "/", "")</f>
        <v xml:space="preserve">    - xform/》ng(\d)//</v>
      </c>
      <c r="Z86" s="28"/>
      <c r="AA86" s="28"/>
      <c r="AB86" s="28"/>
      <c r="AC86" s="28"/>
      <c r="AD86" s="28"/>
      <c r="AE86" s="28"/>
      <c r="AF86" s="28"/>
      <c r="AG86" s="28"/>
      <c r="AH86" s="28"/>
      <c r="AL86" s="29"/>
      <c r="AM86" s="29"/>
      <c r="AN86" s="29"/>
      <c r="AO86" s="29"/>
      <c r="AP86" s="29"/>
      <c r="AQ86" s="29"/>
      <c r="AR86" s="29"/>
      <c r="AS86" s="29"/>
      <c r="AT86" s="29"/>
      <c r="AU86" s="24"/>
      <c r="AV86" s="24"/>
      <c r="AW86" s="24"/>
      <c r="AX86" s="24"/>
      <c r="AY86" s="24"/>
      <c r="AZ86" s="24"/>
      <c r="BA86" s="24"/>
      <c r="BB86" s="24"/>
      <c r="BC86" s="24"/>
    </row>
    <row r="87" spans="1:55" ht="35.25" thickBot="1">
      <c r="A87" s="31">
        <f t="shared" si="8"/>
        <v>84</v>
      </c>
      <c r="B87" s="117" t="s">
        <v>903</v>
      </c>
      <c r="C87" s="116" t="s">
        <v>904</v>
      </c>
      <c r="D87" s="99" t="str">
        <f xml:space="preserve"> LEFT(韻母對照表[[#This Row],[十五音識別碼]],1)</f>
        <v>君</v>
      </c>
      <c r="E87" s="99" t="s">
        <v>905</v>
      </c>
      <c r="F87" s="118" t="s">
        <v>906</v>
      </c>
      <c r="G87" s="118" t="s">
        <v>906</v>
      </c>
      <c r="H87" s="32" t="s">
        <v>907</v>
      </c>
      <c r="I87" s="32" t="s">
        <v>907</v>
      </c>
      <c r="J87" s="32" t="s">
        <v>907</v>
      </c>
      <c r="K87" s="32" t="s">
        <v>907</v>
      </c>
      <c r="L87" s="33" t="s">
        <v>907</v>
      </c>
      <c r="M87" s="32"/>
      <c r="N87" s="34">
        <f t="shared" si="13"/>
        <v>2</v>
      </c>
      <c r="O87" s="36"/>
      <c r="P87" s="32" t="str">
        <f>J72</f>
        <v>uah</v>
      </c>
      <c r="Q87" s="32" t="str">
        <f>K72</f>
        <v>uah</v>
      </c>
      <c r="S87" s="25" t="str">
        <f t="shared" ref="S87:S88" si="17" xml:space="preserve"> _xlfn.CONCAT(P87, "(\d)")</f>
        <v>uah(\d)</v>
      </c>
      <c r="T87" s="26" t="s">
        <v>448</v>
      </c>
      <c r="U87" s="26" t="str">
        <f t="shared" ref="U87:U88" si="18" xml:space="preserve"> IFERROR( IF(T87="", "", SEARCH(T87, $P87)), "")</f>
        <v/>
      </c>
      <c r="V87" s="25" t="str">
        <f t="shared" si="15"/>
        <v/>
      </c>
      <c r="W87" s="35"/>
      <c r="X87" s="37" t="str">
        <f t="shared" ref="X87:X88" si="19" xml:space="preserve"> IF(AND(Q87&lt;&gt;"", P87&lt;&gt;""), "    - xform/》" &amp; S87 &amp;  "/"  &amp; V87 &amp;  "/", "")</f>
        <v xml:space="preserve">    - xform/》uah(\d)//</v>
      </c>
      <c r="Z87" s="28"/>
      <c r="AA87" s="28"/>
      <c r="AB87" s="28"/>
      <c r="AC87" s="28"/>
      <c r="AD87" s="28"/>
      <c r="AE87" s="28"/>
      <c r="AF87" s="28"/>
      <c r="AG87" s="28"/>
      <c r="AH87" s="28"/>
      <c r="AL87" s="29"/>
      <c r="AM87" s="29"/>
      <c r="AN87" s="29"/>
      <c r="AO87" s="29"/>
      <c r="AP87" s="29"/>
      <c r="AQ87" s="29"/>
      <c r="AR87" s="29"/>
      <c r="AS87" s="29"/>
      <c r="AT87" s="29"/>
      <c r="AU87" s="24"/>
      <c r="AV87" s="24"/>
      <c r="AW87" s="24"/>
      <c r="AX87" s="24"/>
      <c r="AY87" s="24"/>
      <c r="AZ87" s="24"/>
      <c r="BA87" s="24"/>
      <c r="BB87" s="24"/>
      <c r="BC87" s="24"/>
    </row>
    <row r="88" spans="1:55" ht="35.25" thickBot="1">
      <c r="A88" s="31">
        <f t="shared" si="8"/>
        <v>85</v>
      </c>
      <c r="B88" s="117" t="s">
        <v>908</v>
      </c>
      <c r="C88" s="116" t="s">
        <v>909</v>
      </c>
      <c r="D88" s="99" t="str">
        <f xml:space="preserve"> LEFT(韻母對照表[[#This Row],[十五音識別碼]],1)</f>
        <v>君</v>
      </c>
      <c r="E88" s="99" t="s">
        <v>910</v>
      </c>
      <c r="F88" s="118" t="s">
        <v>911</v>
      </c>
      <c r="G88" s="118" t="s">
        <v>912</v>
      </c>
      <c r="H88" s="32" t="s">
        <v>913</v>
      </c>
      <c r="I88" s="32" t="s">
        <v>913</v>
      </c>
      <c r="J88" s="32" t="s">
        <v>913</v>
      </c>
      <c r="K88" s="32" t="s">
        <v>913</v>
      </c>
      <c r="L88" s="33" t="s">
        <v>913</v>
      </c>
      <c r="M88" s="32"/>
      <c r="N88" s="34">
        <f t="shared" si="13"/>
        <v>2</v>
      </c>
      <c r="O88" s="36"/>
      <c r="P88" s="32" t="str">
        <f>J77</f>
        <v>uan</v>
      </c>
      <c r="Q88" s="32" t="str">
        <f>K77</f>
        <v>uan</v>
      </c>
      <c r="S88" s="25" t="str">
        <f t="shared" si="17"/>
        <v>uan(\d)</v>
      </c>
      <c r="T88" s="26" t="s">
        <v>448</v>
      </c>
      <c r="U88" s="26" t="str">
        <f t="shared" si="18"/>
        <v/>
      </c>
      <c r="V88" s="25" t="str">
        <f t="shared" si="15"/>
        <v/>
      </c>
      <c r="W88" s="35"/>
      <c r="X88" s="37" t="str">
        <f t="shared" si="19"/>
        <v xml:space="preserve">    - xform/》uan(\d)//</v>
      </c>
      <c r="Z88" s="28"/>
      <c r="AA88" s="28"/>
      <c r="AB88" s="28"/>
      <c r="AC88" s="28"/>
      <c r="AD88" s="28"/>
      <c r="AE88" s="28"/>
      <c r="AF88" s="28"/>
      <c r="AG88" s="28"/>
      <c r="AH88" s="28"/>
      <c r="AL88" s="29"/>
      <c r="AM88" s="29"/>
      <c r="AN88" s="29"/>
      <c r="AO88" s="29"/>
      <c r="AP88" s="29"/>
      <c r="AQ88" s="29"/>
      <c r="AR88" s="29"/>
      <c r="AS88" s="29"/>
      <c r="AT88" s="29"/>
      <c r="AU88" s="24"/>
      <c r="AV88" s="24"/>
      <c r="AW88" s="24"/>
      <c r="AX88" s="24"/>
      <c r="AY88" s="24"/>
      <c r="AZ88" s="24"/>
      <c r="BA88" s="24"/>
      <c r="BB88" s="24"/>
      <c r="BC88" s="24"/>
    </row>
    <row r="89" spans="1:55">
      <c r="L89" s="24"/>
    </row>
    <row r="90" spans="1:55" ht="52.5" customHeight="1">
      <c r="L90" s="24"/>
    </row>
    <row r="91" spans="1:55">
      <c r="L91" s="24"/>
    </row>
    <row r="92" spans="1:55">
      <c r="L92" s="24"/>
    </row>
    <row r="93" spans="1:55">
      <c r="L93" s="24"/>
    </row>
    <row r="94" spans="1:55">
      <c r="L94" s="24"/>
    </row>
    <row r="95" spans="1:55">
      <c r="L95" s="24"/>
    </row>
    <row r="96" spans="1:55">
      <c r="L96" s="24"/>
    </row>
    <row r="97" spans="1:12">
      <c r="L97" s="24"/>
    </row>
    <row r="98" spans="1:12">
      <c r="L98" s="24"/>
    </row>
    <row r="99" spans="1:12">
      <c r="L99" s="24"/>
    </row>
    <row r="100" spans="1:12">
      <c r="A100" s="50" t="str">
        <f xml:space="preserve"> "(""" &amp; _xlfn.TEXTJOIN(""",""",TRUE,I3:I88) &amp; """)"</f>
        <v>("a","ah","ai","aih","nai","ak","am","an","ang","na","nah","ap","at","ao","aoh","e","eh","ne","ennh","i","ia","iah","iak","iam","ian","iang","nia","iannh","iap","iat","iao","iaoh","niao","ih","ik","im","in","ing","ni","io","ioh","iok","iong","ip","it","nioo","iu","niu","niuh","m","mh","ng","ngh","o","oh","ok","om","ong","noo","niuh","oo","ooh","op","u","ua","uah","uai","nuai","uaih","uainnh","uan","uang","nua","uat","ue","ueh","uh","ui","uih","nui","un","ut")</v>
      </c>
      <c r="L100" s="24"/>
    </row>
    <row r="101" spans="1:12">
      <c r="L101" s="24"/>
    </row>
  </sheetData>
  <phoneticPr fontId="7" type="noConversion"/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BBD2-97D7-47CB-84C4-799A6D29E4B1}">
  <sheetPr>
    <tabColor theme="9" tint="0.39997558519241921"/>
  </sheetPr>
  <dimension ref="B1:O58"/>
  <sheetViews>
    <sheetView showGridLines="0" zoomScale="70" zoomScaleNormal="70" workbookViewId="0">
      <selection activeCell="D6" sqref="D6:D7"/>
    </sheetView>
    <sheetView tabSelected="1" workbookViewId="1">
      <selection activeCell="O10" sqref="O10"/>
    </sheetView>
  </sheetViews>
  <sheetFormatPr defaultRowHeight="38.25" outlineLevelCol="1"/>
  <cols>
    <col min="2" max="2" width="7" style="132" customWidth="1"/>
    <col min="3" max="3" width="11.875" style="132" customWidth="1" outlineLevel="1"/>
    <col min="4" max="4" width="18.5" style="132" customWidth="1" outlineLevel="1"/>
    <col min="5" max="12" width="12.25" style="133" customWidth="1"/>
    <col min="13" max="13" width="14.375" style="134" customWidth="1"/>
    <col min="14" max="15" width="9" style="140"/>
  </cols>
  <sheetData>
    <row r="1" spans="2:13" ht="10.5" customHeight="1"/>
    <row r="2" spans="2:13">
      <c r="B2" s="158" t="s">
        <v>49</v>
      </c>
      <c r="C2" s="159"/>
      <c r="D2" s="162" t="s">
        <v>50</v>
      </c>
      <c r="E2" s="164" t="s">
        <v>51</v>
      </c>
      <c r="F2" s="165"/>
      <c r="G2" s="165"/>
      <c r="H2" s="165"/>
      <c r="I2" s="165"/>
      <c r="J2" s="165"/>
      <c r="K2" s="165"/>
      <c r="L2" s="166"/>
    </row>
    <row r="3" spans="2:13" ht="32.25" customHeight="1">
      <c r="B3" s="160"/>
      <c r="C3" s="161"/>
      <c r="D3" s="163"/>
      <c r="E3" s="167" t="s">
        <v>53</v>
      </c>
      <c r="F3" s="168"/>
      <c r="G3" s="167" t="s">
        <v>54</v>
      </c>
      <c r="H3" s="168"/>
      <c r="I3" s="167" t="s">
        <v>55</v>
      </c>
      <c r="J3" s="168"/>
      <c r="K3" s="167" t="s">
        <v>56</v>
      </c>
      <c r="L3" s="168"/>
    </row>
    <row r="4" spans="2:13" ht="51">
      <c r="B4" s="169" t="s">
        <v>57</v>
      </c>
      <c r="C4" s="172" t="s">
        <v>58</v>
      </c>
      <c r="D4" s="174" t="s">
        <v>59</v>
      </c>
      <c r="E4" s="142" t="s">
        <v>236</v>
      </c>
      <c r="F4" s="143" t="s">
        <v>61</v>
      </c>
      <c r="G4" s="142" t="s">
        <v>969</v>
      </c>
      <c r="H4" s="143" t="s">
        <v>63</v>
      </c>
      <c r="I4" s="142" t="s">
        <v>236</v>
      </c>
      <c r="J4" s="143" t="s">
        <v>65</v>
      </c>
      <c r="K4" s="142" t="s">
        <v>237</v>
      </c>
      <c r="L4" s="143" t="s">
        <v>67</v>
      </c>
    </row>
    <row r="5" spans="2:13" ht="50.25">
      <c r="B5" s="170"/>
      <c r="C5" s="173"/>
      <c r="D5" s="175"/>
      <c r="E5" s="144" t="s">
        <v>11</v>
      </c>
      <c r="F5" s="195" t="s">
        <v>69</v>
      </c>
      <c r="G5" s="144" t="s">
        <v>17</v>
      </c>
      <c r="H5" s="195" t="s">
        <v>70</v>
      </c>
      <c r="I5" s="144" t="s">
        <v>11</v>
      </c>
      <c r="J5" s="195" t="s">
        <v>69</v>
      </c>
      <c r="K5" s="144" t="s">
        <v>72</v>
      </c>
      <c r="L5" s="195" t="s">
        <v>73</v>
      </c>
    </row>
    <row r="6" spans="2:13" ht="51">
      <c r="B6" s="170"/>
      <c r="C6" s="172" t="s">
        <v>75</v>
      </c>
      <c r="D6" s="174" t="s">
        <v>76</v>
      </c>
      <c r="E6" s="141" t="s">
        <v>970</v>
      </c>
      <c r="F6" s="135" t="s">
        <v>78</v>
      </c>
      <c r="G6" s="141" t="s">
        <v>970</v>
      </c>
      <c r="H6" s="135" t="s">
        <v>80</v>
      </c>
      <c r="I6" s="141" t="s">
        <v>970</v>
      </c>
      <c r="J6" s="135" t="s">
        <v>82</v>
      </c>
      <c r="K6" s="187" t="s">
        <v>235</v>
      </c>
      <c r="L6" s="135" t="s">
        <v>84</v>
      </c>
    </row>
    <row r="7" spans="2:13" ht="50.25">
      <c r="B7" s="171"/>
      <c r="C7" s="173"/>
      <c r="D7" s="175"/>
      <c r="E7" s="136" t="s">
        <v>37</v>
      </c>
      <c r="F7" s="194" t="s">
        <v>36</v>
      </c>
      <c r="G7" s="136" t="s">
        <v>37</v>
      </c>
      <c r="H7" s="194" t="s">
        <v>36</v>
      </c>
      <c r="I7" s="136" t="s">
        <v>37</v>
      </c>
      <c r="J7" s="194" t="s">
        <v>36</v>
      </c>
      <c r="K7" s="136" t="s">
        <v>12</v>
      </c>
      <c r="L7" s="194" t="s">
        <v>0</v>
      </c>
    </row>
    <row r="8" spans="2:13" ht="51">
      <c r="B8" s="169" t="s">
        <v>89</v>
      </c>
      <c r="C8" s="172" t="s">
        <v>90</v>
      </c>
      <c r="D8" s="174" t="s">
        <v>91</v>
      </c>
      <c r="E8" s="142" t="s">
        <v>239</v>
      </c>
      <c r="F8" s="143" t="s">
        <v>93</v>
      </c>
      <c r="G8" s="142" t="s">
        <v>971</v>
      </c>
      <c r="H8" s="143" t="s">
        <v>95</v>
      </c>
      <c r="I8" s="142" t="s">
        <v>239</v>
      </c>
      <c r="J8" s="143" t="s">
        <v>97</v>
      </c>
      <c r="K8" s="142" t="s">
        <v>240</v>
      </c>
      <c r="L8" s="143" t="s">
        <v>99</v>
      </c>
    </row>
    <row r="9" spans="2:13" ht="50.25">
      <c r="B9" s="170"/>
      <c r="C9" s="173"/>
      <c r="D9" s="175"/>
      <c r="E9" s="144" t="s">
        <v>23</v>
      </c>
      <c r="F9" s="195" t="s">
        <v>101</v>
      </c>
      <c r="G9" s="144" t="s">
        <v>24</v>
      </c>
      <c r="H9" s="195" t="s">
        <v>102</v>
      </c>
      <c r="I9" s="144" t="s">
        <v>23</v>
      </c>
      <c r="J9" s="195" t="s">
        <v>101</v>
      </c>
      <c r="K9" s="144" t="s">
        <v>987</v>
      </c>
      <c r="L9" s="195" t="s">
        <v>105</v>
      </c>
    </row>
    <row r="10" spans="2:13" ht="51">
      <c r="B10" s="170"/>
      <c r="C10" s="172" t="s">
        <v>107</v>
      </c>
      <c r="D10" s="174" t="s">
        <v>108</v>
      </c>
      <c r="E10" s="141" t="s">
        <v>239</v>
      </c>
      <c r="F10" s="135" t="s">
        <v>110</v>
      </c>
      <c r="G10" s="141" t="s">
        <v>971</v>
      </c>
      <c r="H10" s="135" t="s">
        <v>112</v>
      </c>
      <c r="I10" s="141" t="s">
        <v>239</v>
      </c>
      <c r="J10" s="135" t="s">
        <v>114</v>
      </c>
      <c r="K10" s="187" t="s">
        <v>240</v>
      </c>
      <c r="L10" s="135" t="s">
        <v>116</v>
      </c>
    </row>
    <row r="11" spans="2:13" ht="50.25">
      <c r="B11" s="171"/>
      <c r="C11" s="173"/>
      <c r="D11" s="175"/>
      <c r="E11" s="136" t="s">
        <v>23</v>
      </c>
      <c r="F11" s="194" t="s">
        <v>18</v>
      </c>
      <c r="G11" s="136" t="s">
        <v>24</v>
      </c>
      <c r="H11" s="194" t="s">
        <v>22</v>
      </c>
      <c r="I11" s="136" t="s">
        <v>23</v>
      </c>
      <c r="J11" s="194" t="s">
        <v>18</v>
      </c>
      <c r="K11" s="136" t="s">
        <v>14</v>
      </c>
      <c r="L11" s="194" t="s">
        <v>120</v>
      </c>
    </row>
    <row r="12" spans="2:13" ht="51">
      <c r="B12" s="183" t="s">
        <v>122</v>
      </c>
      <c r="C12" s="188" t="s">
        <v>123</v>
      </c>
      <c r="D12" s="174" t="s">
        <v>124</v>
      </c>
      <c r="E12" s="142" t="s">
        <v>972</v>
      </c>
      <c r="F12" s="143" t="s">
        <v>126</v>
      </c>
      <c r="G12" s="142" t="s">
        <v>973</v>
      </c>
      <c r="H12" s="143" t="s">
        <v>128</v>
      </c>
      <c r="I12" s="142" t="s">
        <v>972</v>
      </c>
      <c r="J12" s="143" t="s">
        <v>130</v>
      </c>
      <c r="K12" s="142"/>
      <c r="L12" s="143"/>
    </row>
    <row r="13" spans="2:13" ht="50.25">
      <c r="B13" s="184"/>
      <c r="C13" s="189"/>
      <c r="D13" s="176"/>
      <c r="E13" s="144" t="s">
        <v>40</v>
      </c>
      <c r="F13" s="195" t="s">
        <v>132</v>
      </c>
      <c r="G13" s="144" t="s">
        <v>44</v>
      </c>
      <c r="H13" s="195" t="s">
        <v>133</v>
      </c>
      <c r="I13" s="144" t="s">
        <v>41</v>
      </c>
      <c r="J13" s="195" t="s">
        <v>134</v>
      </c>
      <c r="K13" s="144"/>
      <c r="L13" s="195"/>
    </row>
    <row r="14" spans="2:13" ht="51">
      <c r="B14" s="184"/>
      <c r="C14" s="189"/>
      <c r="D14" s="176"/>
      <c r="E14" s="141" t="s">
        <v>243</v>
      </c>
      <c r="F14" s="135" t="s">
        <v>137</v>
      </c>
      <c r="G14" s="141"/>
      <c r="H14" s="135"/>
      <c r="I14" s="141" t="s">
        <v>243</v>
      </c>
      <c r="J14" s="135" t="s">
        <v>139</v>
      </c>
      <c r="K14" s="187"/>
      <c r="L14" s="135"/>
    </row>
    <row r="15" spans="2:13" s="140" customFormat="1" ht="50.25">
      <c r="B15" s="184"/>
      <c r="C15" s="190"/>
      <c r="D15" s="175"/>
      <c r="E15" s="136" t="s">
        <v>140</v>
      </c>
      <c r="F15" s="194" t="s">
        <v>141</v>
      </c>
      <c r="G15" s="136"/>
      <c r="H15" s="194"/>
      <c r="I15" s="136" t="s">
        <v>45</v>
      </c>
      <c r="J15" s="194" t="s">
        <v>46</v>
      </c>
      <c r="K15" s="136"/>
      <c r="L15" s="194"/>
      <c r="M15" s="134"/>
    </row>
    <row r="16" spans="2:13" s="140" customFormat="1" ht="51">
      <c r="B16" s="184"/>
      <c r="C16" s="191" t="s">
        <v>977</v>
      </c>
      <c r="D16" s="157"/>
      <c r="E16" s="142" t="s">
        <v>972</v>
      </c>
      <c r="F16" s="143" t="s">
        <v>979</v>
      </c>
      <c r="G16" s="142" t="s">
        <v>973</v>
      </c>
      <c r="H16" s="143" t="s">
        <v>981</v>
      </c>
      <c r="I16" s="142" t="s">
        <v>972</v>
      </c>
      <c r="J16" s="143" t="s">
        <v>152</v>
      </c>
      <c r="K16" s="142"/>
      <c r="L16" s="143"/>
      <c r="M16" s="134"/>
    </row>
    <row r="17" spans="2:15" s="140" customFormat="1" ht="50.25">
      <c r="B17" s="184"/>
      <c r="C17" s="192"/>
      <c r="D17" s="157"/>
      <c r="E17" s="144" t="s">
        <v>40</v>
      </c>
      <c r="F17" s="195" t="s">
        <v>132</v>
      </c>
      <c r="G17" s="144" t="s">
        <v>44</v>
      </c>
      <c r="H17" s="195" t="s">
        <v>133</v>
      </c>
      <c r="I17" s="144" t="s">
        <v>40</v>
      </c>
      <c r="J17" s="195" t="s">
        <v>32</v>
      </c>
      <c r="K17" s="144"/>
      <c r="L17" s="195"/>
      <c r="M17" s="134"/>
    </row>
    <row r="18" spans="2:15" s="140" customFormat="1" ht="51" customHeight="1">
      <c r="B18" s="184"/>
      <c r="C18" s="192"/>
      <c r="D18" s="157"/>
      <c r="E18" s="141" t="s">
        <v>243</v>
      </c>
      <c r="F18" s="135" t="s">
        <v>983</v>
      </c>
      <c r="G18" s="141"/>
      <c r="H18" s="135"/>
      <c r="I18" s="141"/>
      <c r="J18" s="135"/>
      <c r="K18" s="187"/>
      <c r="L18" s="135"/>
      <c r="M18" s="134"/>
    </row>
    <row r="19" spans="2:15" s="140" customFormat="1" ht="50.25">
      <c r="B19" s="184"/>
      <c r="C19" s="193"/>
      <c r="D19" s="157"/>
      <c r="E19" s="136" t="s">
        <v>47</v>
      </c>
      <c r="F19" s="194" t="s">
        <v>141</v>
      </c>
      <c r="G19" s="136"/>
      <c r="H19" s="194"/>
      <c r="I19" s="136"/>
      <c r="J19" s="194"/>
      <c r="K19" s="136"/>
      <c r="L19" s="194"/>
      <c r="M19" s="134"/>
    </row>
    <row r="20" spans="2:15" s="140" customFormat="1" ht="51" customHeight="1">
      <c r="B20" s="184"/>
      <c r="C20" s="188" t="s">
        <v>975</v>
      </c>
      <c r="D20" s="174" t="s">
        <v>146</v>
      </c>
      <c r="E20" s="142" t="s">
        <v>972</v>
      </c>
      <c r="F20" s="143" t="s">
        <v>148</v>
      </c>
      <c r="G20" s="142" t="s">
        <v>973</v>
      </c>
      <c r="H20" s="143" t="s">
        <v>150</v>
      </c>
      <c r="I20" s="142" t="s">
        <v>243</v>
      </c>
      <c r="J20" s="143" t="s">
        <v>984</v>
      </c>
      <c r="K20" s="142"/>
      <c r="L20" s="143"/>
      <c r="M20" s="134"/>
    </row>
    <row r="21" spans="2:15" ht="50.25">
      <c r="B21" s="184"/>
      <c r="C21" s="189"/>
      <c r="D21" s="176"/>
      <c r="E21" s="144" t="s">
        <v>38</v>
      </c>
      <c r="F21" s="195" t="s">
        <v>132</v>
      </c>
      <c r="G21" s="144" t="s">
        <v>42</v>
      </c>
      <c r="H21" s="195" t="s">
        <v>133</v>
      </c>
      <c r="I21" s="144" t="s">
        <v>45</v>
      </c>
      <c r="J21" s="195" t="s">
        <v>134</v>
      </c>
      <c r="K21" s="144"/>
      <c r="L21" s="195"/>
    </row>
    <row r="22" spans="2:15" ht="51">
      <c r="B22" s="184"/>
      <c r="C22" s="189"/>
      <c r="D22" s="176"/>
      <c r="E22" s="141" t="s">
        <v>243</v>
      </c>
      <c r="F22" s="135" t="s">
        <v>158</v>
      </c>
      <c r="G22" s="141"/>
      <c r="H22" s="135"/>
      <c r="I22" s="141" t="s">
        <v>243</v>
      </c>
      <c r="J22" s="135" t="s">
        <v>160</v>
      </c>
      <c r="K22" s="187"/>
      <c r="L22" s="135"/>
    </row>
    <row r="23" spans="2:15" ht="50.25">
      <c r="B23" s="185"/>
      <c r="C23" s="190"/>
      <c r="D23" s="175"/>
      <c r="E23" s="136" t="s">
        <v>140</v>
      </c>
      <c r="F23" s="194" t="s">
        <v>141</v>
      </c>
      <c r="G23" s="136"/>
      <c r="H23" s="194"/>
      <c r="I23" s="136" t="s">
        <v>140</v>
      </c>
      <c r="J23" s="194" t="s">
        <v>141</v>
      </c>
      <c r="K23" s="136"/>
      <c r="L23" s="194"/>
    </row>
    <row r="24" spans="2:15" ht="45.75" customHeight="1">
      <c r="B24" s="177" t="s">
        <v>165</v>
      </c>
      <c r="C24" s="178"/>
      <c r="D24" s="174" t="s">
        <v>166</v>
      </c>
      <c r="E24" s="142" t="s">
        <v>245</v>
      </c>
      <c r="F24" s="143" t="s">
        <v>168</v>
      </c>
      <c r="G24" s="142" t="s">
        <v>986</v>
      </c>
      <c r="H24" s="143" t="s">
        <v>170</v>
      </c>
      <c r="I24" s="142" t="s">
        <v>244</v>
      </c>
      <c r="J24" s="143" t="s">
        <v>172</v>
      </c>
      <c r="K24" s="142" t="s">
        <v>246</v>
      </c>
      <c r="L24" s="143" t="s">
        <v>174</v>
      </c>
    </row>
    <row r="25" spans="2:15" ht="50.25">
      <c r="B25" s="179"/>
      <c r="C25" s="180"/>
      <c r="D25" s="175"/>
      <c r="E25" s="144" t="s">
        <v>176</v>
      </c>
      <c r="F25" s="195" t="s">
        <v>177</v>
      </c>
      <c r="G25" s="144" t="s">
        <v>31</v>
      </c>
      <c r="H25" s="195" t="s">
        <v>178</v>
      </c>
      <c r="I25" s="144" t="s">
        <v>179</v>
      </c>
      <c r="J25" s="195" t="s">
        <v>180</v>
      </c>
      <c r="K25" s="144" t="s">
        <v>988</v>
      </c>
      <c r="L25" s="195" t="s">
        <v>181</v>
      </c>
    </row>
    <row r="26" spans="2:15" ht="45.75" customHeight="1">
      <c r="B26" s="177" t="s">
        <v>183</v>
      </c>
      <c r="C26" s="178"/>
      <c r="D26" s="174" t="s">
        <v>183</v>
      </c>
      <c r="E26" s="141" t="s">
        <v>993</v>
      </c>
      <c r="F26" s="135" t="s">
        <v>185</v>
      </c>
      <c r="G26" s="141"/>
      <c r="H26" s="135"/>
      <c r="I26" s="141"/>
      <c r="J26" s="135"/>
      <c r="K26" s="187"/>
      <c r="L26" s="135"/>
    </row>
    <row r="27" spans="2:15" s="134" customFormat="1" ht="50.25">
      <c r="B27" s="181"/>
      <c r="C27" s="182"/>
      <c r="D27" s="175"/>
      <c r="E27" s="136" t="s">
        <v>187</v>
      </c>
      <c r="F27" s="194" t="s">
        <v>188</v>
      </c>
      <c r="G27" s="136"/>
      <c r="H27" s="194"/>
      <c r="I27" s="136"/>
      <c r="J27" s="194"/>
      <c r="K27" s="136"/>
      <c r="L27" s="194"/>
      <c r="N27" s="140"/>
      <c r="O27" s="140"/>
    </row>
    <row r="28" spans="2:15" ht="45.75" customHeight="1">
      <c r="B28" s="181"/>
      <c r="C28" s="182"/>
      <c r="D28" s="174" t="s">
        <v>166</v>
      </c>
      <c r="E28" s="142" t="s">
        <v>247</v>
      </c>
      <c r="F28" s="143" t="s">
        <v>191</v>
      </c>
      <c r="G28" s="142"/>
      <c r="H28" s="143"/>
      <c r="I28" s="142" t="s">
        <v>247</v>
      </c>
      <c r="J28" s="143" t="s">
        <v>193</v>
      </c>
      <c r="K28" s="142" t="s">
        <v>249</v>
      </c>
      <c r="L28" s="143" t="s">
        <v>992</v>
      </c>
    </row>
    <row r="29" spans="2:15" s="134" customFormat="1" ht="50.25">
      <c r="B29" s="181"/>
      <c r="C29" s="182"/>
      <c r="D29" s="175"/>
      <c r="E29" s="144" t="s">
        <v>985</v>
      </c>
      <c r="F29" s="195" t="s">
        <v>248</v>
      </c>
      <c r="G29" s="144"/>
      <c r="H29" s="195"/>
      <c r="I29" s="144" t="s">
        <v>985</v>
      </c>
      <c r="J29" s="195" t="s">
        <v>248</v>
      </c>
      <c r="K29" s="144" t="s">
        <v>271</v>
      </c>
      <c r="L29" s="195" t="s">
        <v>21</v>
      </c>
      <c r="N29" s="140"/>
      <c r="O29" s="140"/>
    </row>
    <row r="30" spans="2:15" ht="45.75" customHeight="1">
      <c r="B30" s="181"/>
      <c r="C30" s="182"/>
      <c r="D30" s="174" t="s">
        <v>198</v>
      </c>
      <c r="E30" s="141"/>
      <c r="F30" s="135"/>
      <c r="G30" s="141"/>
      <c r="H30" s="135"/>
      <c r="I30" s="141"/>
      <c r="J30" s="135"/>
      <c r="K30" s="141" t="s">
        <v>993</v>
      </c>
      <c r="L30" s="135" t="s">
        <v>200</v>
      </c>
    </row>
    <row r="31" spans="2:15" s="134" customFormat="1" ht="50.25">
      <c r="B31" s="179"/>
      <c r="C31" s="180"/>
      <c r="D31" s="175"/>
      <c r="E31" s="136"/>
      <c r="F31" s="194"/>
      <c r="G31" s="136"/>
      <c r="H31" s="194"/>
      <c r="I31" s="136"/>
      <c r="J31" s="194"/>
      <c r="K31" s="136" t="s">
        <v>271</v>
      </c>
      <c r="L31" s="194" t="s">
        <v>21</v>
      </c>
      <c r="N31" s="140"/>
      <c r="O31" s="140"/>
    </row>
    <row r="32" spans="2:15" ht="45.75" customHeight="1">
      <c r="B32" s="177" t="s">
        <v>205</v>
      </c>
      <c r="C32" s="178"/>
      <c r="D32" s="174" t="s">
        <v>91</v>
      </c>
      <c r="E32" s="142"/>
      <c r="F32" s="143"/>
      <c r="G32" s="142"/>
      <c r="H32" s="143"/>
      <c r="I32" s="142"/>
      <c r="J32" s="143"/>
      <c r="K32" s="142" t="s">
        <v>241</v>
      </c>
      <c r="L32" s="143" t="s">
        <v>207</v>
      </c>
    </row>
    <row r="33" spans="2:13" ht="50.25">
      <c r="B33" s="179"/>
      <c r="C33" s="180"/>
      <c r="D33" s="175"/>
      <c r="E33" s="144"/>
      <c r="F33" s="195"/>
      <c r="G33" s="144"/>
      <c r="H33" s="195"/>
      <c r="I33" s="144"/>
      <c r="J33" s="195"/>
      <c r="K33" s="144" t="s">
        <v>989</v>
      </c>
      <c r="L33" s="195" t="s">
        <v>209</v>
      </c>
    </row>
    <row r="34" spans="2:13" ht="51">
      <c r="B34" s="177" t="s">
        <v>210</v>
      </c>
      <c r="C34" s="178"/>
      <c r="D34" s="174" t="s">
        <v>146</v>
      </c>
      <c r="E34" s="141"/>
      <c r="F34" s="135"/>
      <c r="G34" s="141"/>
      <c r="H34" s="135"/>
      <c r="I34" s="141"/>
      <c r="J34" s="135"/>
      <c r="K34" s="187" t="s">
        <v>242</v>
      </c>
      <c r="L34" s="135" t="s">
        <v>212</v>
      </c>
    </row>
    <row r="35" spans="2:13" ht="50.25">
      <c r="B35" s="179"/>
      <c r="C35" s="180"/>
      <c r="D35" s="175"/>
      <c r="E35" s="136"/>
      <c r="F35" s="194"/>
      <c r="G35" s="136"/>
      <c r="H35" s="194"/>
      <c r="I35" s="136"/>
      <c r="J35" s="194"/>
      <c r="K35" s="136" t="s">
        <v>41</v>
      </c>
      <c r="L35" s="194" t="s">
        <v>134</v>
      </c>
    </row>
    <row r="37" spans="2:13" s="140" customFormat="1">
      <c r="B37" s="132"/>
      <c r="C37" s="132"/>
      <c r="D37" s="132"/>
      <c r="E37" s="133"/>
      <c r="F37" s="133"/>
      <c r="G37" s="133"/>
      <c r="H37" s="133"/>
      <c r="I37" s="133"/>
      <c r="J37" s="133"/>
      <c r="K37" s="133"/>
      <c r="L37" s="133"/>
      <c r="M37" s="134"/>
    </row>
    <row r="38" spans="2:13" s="140" customFormat="1">
      <c r="B38" s="132"/>
      <c r="C38" s="132"/>
      <c r="D38" s="132"/>
      <c r="E38" s="133"/>
      <c r="F38" s="133"/>
      <c r="G38" s="133"/>
      <c r="H38" s="133"/>
      <c r="I38" s="133"/>
      <c r="J38" s="133"/>
      <c r="K38" s="133"/>
      <c r="L38" s="133"/>
      <c r="M38" s="134"/>
    </row>
    <row r="39" spans="2:13" s="140" customFormat="1">
      <c r="B39" s="132"/>
      <c r="C39" s="132"/>
      <c r="D39" s="132"/>
      <c r="E39" s="133"/>
      <c r="F39" s="133"/>
      <c r="G39" s="133"/>
      <c r="H39" s="133"/>
      <c r="I39" s="133"/>
      <c r="J39" s="133"/>
      <c r="K39" s="133"/>
      <c r="L39" s="133"/>
      <c r="M39" s="134"/>
    </row>
    <row r="40" spans="2:13" s="140" customFormat="1">
      <c r="B40" s="132"/>
      <c r="C40" s="132"/>
      <c r="D40" s="132"/>
      <c r="E40" s="133"/>
      <c r="F40" s="133"/>
      <c r="G40" s="133"/>
      <c r="H40" s="133"/>
      <c r="I40" s="133"/>
      <c r="J40" s="133"/>
      <c r="K40" s="133"/>
      <c r="L40" s="133"/>
      <c r="M40" s="134"/>
    </row>
    <row r="41" spans="2:13" s="140" customFormat="1">
      <c r="B41" s="132"/>
      <c r="C41" s="132"/>
      <c r="D41" s="132"/>
      <c r="E41" s="133"/>
      <c r="F41" s="133"/>
      <c r="G41" s="133"/>
      <c r="H41" s="133"/>
      <c r="I41" s="133"/>
      <c r="J41" s="133"/>
      <c r="K41" s="133"/>
      <c r="L41" s="133"/>
      <c r="M41" s="134"/>
    </row>
    <row r="42" spans="2:13" s="140" customFormat="1">
      <c r="B42" s="132"/>
      <c r="C42" s="132"/>
      <c r="D42" s="132"/>
      <c r="E42" s="133"/>
      <c r="F42" s="133"/>
      <c r="G42" s="133"/>
      <c r="H42" s="133"/>
      <c r="I42" s="133"/>
      <c r="J42" s="133"/>
      <c r="K42" s="133"/>
      <c r="L42" s="133"/>
      <c r="M42" s="134"/>
    </row>
    <row r="43" spans="2:13" s="140" customFormat="1">
      <c r="B43" s="132"/>
      <c r="C43" s="132"/>
      <c r="D43" s="132"/>
      <c r="E43" s="133"/>
      <c r="F43" s="133"/>
      <c r="G43" s="133"/>
      <c r="H43" s="133"/>
      <c r="I43" s="133"/>
      <c r="J43" s="133"/>
      <c r="K43" s="133"/>
      <c r="L43" s="133"/>
      <c r="M43" s="134"/>
    </row>
    <row r="44" spans="2:13" s="140" customFormat="1">
      <c r="B44" s="132"/>
      <c r="C44" s="132"/>
      <c r="D44" s="132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2:13" s="140" customFormat="1">
      <c r="B45" s="132"/>
      <c r="C45" s="132"/>
      <c r="D45" s="132"/>
      <c r="E45" s="133"/>
      <c r="F45" s="133"/>
      <c r="G45" s="133"/>
      <c r="H45" s="133"/>
      <c r="I45" s="133"/>
      <c r="J45" s="133"/>
      <c r="K45" s="133"/>
      <c r="L45" s="133"/>
      <c r="M45" s="134"/>
    </row>
    <row r="46" spans="2:13" s="140" customFormat="1">
      <c r="B46" s="132"/>
      <c r="C46" s="132"/>
      <c r="D46" s="132"/>
      <c r="E46" s="133"/>
      <c r="F46" s="133"/>
      <c r="G46" s="133"/>
      <c r="H46" s="133"/>
      <c r="I46" s="133"/>
      <c r="J46" s="133"/>
      <c r="K46" s="133"/>
      <c r="L46" s="133"/>
      <c r="M46" s="134"/>
    </row>
    <row r="47" spans="2:13" s="140" customFormat="1">
      <c r="B47" s="132"/>
      <c r="C47" s="132"/>
      <c r="D47" s="132"/>
      <c r="E47" s="133"/>
      <c r="F47" s="133"/>
      <c r="G47" s="133"/>
      <c r="H47" s="133"/>
      <c r="I47" s="133"/>
      <c r="J47" s="133"/>
      <c r="K47" s="133"/>
      <c r="L47" s="133"/>
      <c r="M47" s="134"/>
    </row>
    <row r="48" spans="2:13" s="140" customFormat="1">
      <c r="B48" s="132"/>
      <c r="C48" s="132"/>
      <c r="D48" s="132"/>
      <c r="E48" s="133"/>
      <c r="F48" s="133"/>
      <c r="G48" s="133"/>
      <c r="H48" s="133"/>
      <c r="I48" s="133"/>
      <c r="J48" s="133"/>
      <c r="K48" s="133"/>
      <c r="L48" s="133"/>
      <c r="M48" s="134"/>
    </row>
    <row r="49" spans="2:13" s="140" customFormat="1">
      <c r="B49" s="132"/>
      <c r="C49" s="132"/>
      <c r="D49" s="132"/>
      <c r="E49" s="133"/>
      <c r="F49" s="133"/>
      <c r="G49" s="133"/>
      <c r="H49" s="133"/>
      <c r="I49" s="133"/>
      <c r="J49" s="133"/>
      <c r="K49" s="133"/>
      <c r="L49" s="133"/>
      <c r="M49" s="134"/>
    </row>
    <row r="50" spans="2:13" s="140" customFormat="1">
      <c r="B50" s="132"/>
      <c r="C50" s="132"/>
      <c r="D50" s="132"/>
      <c r="E50" s="133"/>
      <c r="F50" s="133"/>
      <c r="G50" s="133"/>
      <c r="H50" s="133"/>
      <c r="I50" s="133"/>
      <c r="J50" s="133"/>
      <c r="K50" s="133"/>
      <c r="L50" s="133"/>
      <c r="M50" s="134"/>
    </row>
    <row r="51" spans="2:13" s="140" customFormat="1">
      <c r="B51" s="132"/>
      <c r="C51" s="132"/>
      <c r="D51" s="132"/>
      <c r="E51" s="133"/>
      <c r="F51" s="133"/>
      <c r="G51" s="133"/>
      <c r="H51" s="133"/>
      <c r="I51" s="133"/>
      <c r="J51" s="133"/>
      <c r="K51" s="133"/>
      <c r="L51" s="133"/>
      <c r="M51" s="134"/>
    </row>
    <row r="52" spans="2:13" s="140" customFormat="1">
      <c r="B52" s="132"/>
      <c r="C52" s="132"/>
      <c r="D52" s="132"/>
      <c r="E52" s="133"/>
      <c r="F52" s="133"/>
      <c r="G52" s="133"/>
      <c r="H52" s="133"/>
      <c r="I52" s="133"/>
      <c r="J52" s="133"/>
      <c r="K52" s="133"/>
      <c r="L52" s="133"/>
      <c r="M52" s="134"/>
    </row>
    <row r="53" spans="2:13" s="140" customFormat="1">
      <c r="B53" s="132"/>
      <c r="C53" s="132"/>
      <c r="D53" s="132"/>
      <c r="E53" s="133"/>
      <c r="F53" s="133"/>
      <c r="G53" s="133"/>
      <c r="H53" s="133"/>
      <c r="I53" s="133"/>
      <c r="J53" s="133"/>
      <c r="K53" s="133"/>
      <c r="L53" s="133"/>
      <c r="M53" s="134"/>
    </row>
    <row r="54" spans="2:13" s="140" customFormat="1">
      <c r="B54" s="132"/>
      <c r="C54" s="132"/>
      <c r="D54" s="132"/>
      <c r="E54" s="133"/>
      <c r="F54" s="133"/>
      <c r="G54" s="133"/>
      <c r="H54" s="133"/>
      <c r="I54" s="133"/>
      <c r="J54" s="133"/>
      <c r="K54" s="133"/>
      <c r="L54" s="133"/>
      <c r="M54" s="134"/>
    </row>
    <row r="55" spans="2:13" s="140" customFormat="1">
      <c r="B55" s="132"/>
      <c r="C55" s="132"/>
      <c r="D55" s="132"/>
      <c r="E55" s="133"/>
      <c r="F55" s="133"/>
      <c r="G55" s="133"/>
      <c r="H55" s="133"/>
      <c r="I55" s="133"/>
      <c r="J55" s="133"/>
      <c r="K55" s="133"/>
      <c r="L55" s="133"/>
      <c r="M55" s="134"/>
    </row>
    <row r="56" spans="2:13" s="140" customFormat="1">
      <c r="B56" s="132"/>
      <c r="C56" s="132"/>
      <c r="D56" s="132"/>
      <c r="E56" s="133"/>
      <c r="F56" s="133"/>
      <c r="G56" s="133"/>
      <c r="H56" s="133"/>
      <c r="I56" s="133"/>
      <c r="J56" s="133"/>
      <c r="K56" s="133"/>
      <c r="L56" s="133"/>
      <c r="M56" s="134"/>
    </row>
    <row r="57" spans="2:13" s="140" customFormat="1">
      <c r="B57" s="132"/>
      <c r="C57" s="132"/>
      <c r="D57" s="132"/>
      <c r="E57" s="133"/>
      <c r="F57" s="133"/>
      <c r="G57" s="133"/>
      <c r="H57" s="133"/>
      <c r="I57" s="133"/>
      <c r="J57" s="133"/>
      <c r="K57" s="133"/>
      <c r="L57" s="133"/>
      <c r="M57" s="134"/>
    </row>
    <row r="58" spans="2:13" s="140" customFormat="1">
      <c r="B58" s="132"/>
      <c r="C58" s="132"/>
      <c r="D58" s="132"/>
      <c r="E58" s="133"/>
      <c r="F58" s="133"/>
      <c r="G58" s="133"/>
      <c r="H58" s="133"/>
      <c r="I58" s="133"/>
      <c r="J58" s="133"/>
      <c r="K58" s="133"/>
      <c r="L58" s="133"/>
      <c r="M58" s="134"/>
    </row>
  </sheetData>
  <mergeCells count="33">
    <mergeCell ref="B34:C35"/>
    <mergeCell ref="D34:D35"/>
    <mergeCell ref="C16:C19"/>
    <mergeCell ref="B26:C31"/>
    <mergeCell ref="D26:D27"/>
    <mergeCell ref="D28:D29"/>
    <mergeCell ref="D30:D31"/>
    <mergeCell ref="B32:C33"/>
    <mergeCell ref="D32:D33"/>
    <mergeCell ref="B12:B23"/>
    <mergeCell ref="C12:C15"/>
    <mergeCell ref="D12:D15"/>
    <mergeCell ref="C20:C23"/>
    <mergeCell ref="D20:D23"/>
    <mergeCell ref="B24:C25"/>
    <mergeCell ref="D24:D25"/>
    <mergeCell ref="B4:B7"/>
    <mergeCell ref="C4:C5"/>
    <mergeCell ref="D4:D5"/>
    <mergeCell ref="C6:C7"/>
    <mergeCell ref="D6:D7"/>
    <mergeCell ref="B8:B11"/>
    <mergeCell ref="C8:C9"/>
    <mergeCell ref="D8:D9"/>
    <mergeCell ref="C10:C11"/>
    <mergeCell ref="D10:D11"/>
    <mergeCell ref="B2:C3"/>
    <mergeCell ref="D2:D3"/>
    <mergeCell ref="E2:L2"/>
    <mergeCell ref="E3:F3"/>
    <mergeCell ref="G3:H3"/>
    <mergeCell ref="I3:J3"/>
    <mergeCell ref="K3:L3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30A0-0027-4D1B-88DC-39EC027DCFEF}">
  <sheetPr>
    <tabColor theme="9" tint="0.39997558519241921"/>
  </sheetPr>
  <dimension ref="A1:L42"/>
  <sheetViews>
    <sheetView workbookViewId="0"/>
    <sheetView workbookViewId="1"/>
  </sheetViews>
  <sheetFormatPr defaultRowHeight="29.25" outlineLevelCol="1"/>
  <cols>
    <col min="1" max="1" width="11.125" style="235" customWidth="1"/>
    <col min="2" max="2" width="11.125" style="235" hidden="1" customWidth="1"/>
    <col min="3" max="3" width="14.125" style="235" hidden="1" customWidth="1"/>
    <col min="4" max="4" width="11.875" style="236" customWidth="1"/>
    <col min="5" max="6" width="18.125" style="235" hidden="1" customWidth="1" outlineLevel="1"/>
    <col min="7" max="7" width="8.25" style="207" customWidth="1" collapsed="1"/>
    <col min="8" max="8" width="16.875" style="237" bestFit="1" customWidth="1"/>
    <col min="9" max="9" width="8.25" style="208" customWidth="1"/>
    <col min="10" max="10" width="10.75" style="207" customWidth="1"/>
    <col min="11" max="11" width="99.125" style="216" customWidth="1"/>
    <col min="12" max="12" width="77.75" style="243" customWidth="1"/>
    <col min="13" max="16384" width="9" style="216"/>
  </cols>
  <sheetData>
    <row r="1" spans="1:12" ht="42">
      <c r="A1" s="214" t="s">
        <v>994</v>
      </c>
      <c r="B1" s="244" t="s">
        <v>1126</v>
      </c>
      <c r="C1" s="196" t="s">
        <v>995</v>
      </c>
      <c r="D1" s="197" t="s">
        <v>996</v>
      </c>
      <c r="E1" s="215" t="s">
        <v>997</v>
      </c>
      <c r="F1" s="215" t="s">
        <v>998</v>
      </c>
      <c r="G1" s="197" t="s">
        <v>999</v>
      </c>
      <c r="H1" s="210" t="s">
        <v>1117</v>
      </c>
      <c r="I1" s="197" t="s">
        <v>1000</v>
      </c>
      <c r="J1" s="197" t="s">
        <v>1001</v>
      </c>
      <c r="K1" s="215" t="s">
        <v>1002</v>
      </c>
      <c r="L1" s="239" t="s">
        <v>1003</v>
      </c>
    </row>
    <row r="2" spans="1:12" ht="33.75">
      <c r="A2" s="217">
        <v>1</v>
      </c>
      <c r="B2" s="217">
        <v>1</v>
      </c>
      <c r="C2" s="245" cm="1">
        <f t="array" ref="C2" xml:space="preserve"> INDEX(聲母對照表[識別號], MATCH(TRUE, EXACT(切語上字表[[#This Row],[聲母標音]], 聲母對照表[台羅拼音]),0))</f>
        <v>2</v>
      </c>
      <c r="D2" s="218" t="s">
        <v>1042</v>
      </c>
      <c r="E2" s="219" t="s">
        <v>1043</v>
      </c>
      <c r="F2" s="219" t="s">
        <v>1044</v>
      </c>
      <c r="G2" s="198" t="s">
        <v>1045</v>
      </c>
      <c r="H2" s="220" t="s">
        <v>7</v>
      </c>
      <c r="I2" s="202" t="s">
        <v>1007</v>
      </c>
      <c r="J2" s="205" t="s">
        <v>1008</v>
      </c>
      <c r="K2" s="221" t="s">
        <v>1046</v>
      </c>
      <c r="L2" s="240"/>
    </row>
    <row r="3" spans="1:12" ht="33.75">
      <c r="A3" s="217">
        <v>2</v>
      </c>
      <c r="B3" s="217">
        <v>2</v>
      </c>
      <c r="C3" s="245" cm="1">
        <f t="array" ref="C3" xml:space="preserve"> INDEX(聲母對照表[識別號], MATCH(TRUE, EXACT(切語上字表[[#This Row],[聲母標音]], 聲母對照表[台羅拼音]),0))</f>
        <v>4</v>
      </c>
      <c r="D3" s="218" t="s">
        <v>1042</v>
      </c>
      <c r="E3" s="219" t="s">
        <v>1043</v>
      </c>
      <c r="F3" s="219" t="s">
        <v>1044</v>
      </c>
      <c r="G3" s="198" t="s">
        <v>1047</v>
      </c>
      <c r="H3" s="220" t="s">
        <v>10</v>
      </c>
      <c r="I3" s="202" t="s">
        <v>1011</v>
      </c>
      <c r="J3" s="205" t="s">
        <v>29</v>
      </c>
      <c r="K3" s="222" t="s">
        <v>1048</v>
      </c>
      <c r="L3" s="240"/>
    </row>
    <row r="4" spans="1:12" ht="33.75">
      <c r="A4" s="217">
        <v>3</v>
      </c>
      <c r="B4" s="217">
        <v>3</v>
      </c>
      <c r="C4" s="245" cm="1">
        <f t="array" ref="C4" xml:space="preserve"> INDEX(聲母對照表[識別號], MATCH(TRUE, EXACT(切語上字表[[#This Row],[聲母標音]], 聲母對照表[台羅拼音]),0))</f>
        <v>2</v>
      </c>
      <c r="D4" s="218" t="s">
        <v>1042</v>
      </c>
      <c r="E4" s="219" t="s">
        <v>1043</v>
      </c>
      <c r="F4" s="219" t="s">
        <v>1044</v>
      </c>
      <c r="G4" s="198" t="s">
        <v>1049</v>
      </c>
      <c r="H4" s="220" t="s">
        <v>7</v>
      </c>
      <c r="I4" s="200" t="s">
        <v>1014</v>
      </c>
      <c r="J4" s="205" t="s">
        <v>1015</v>
      </c>
      <c r="K4" s="222" t="s">
        <v>1050</v>
      </c>
      <c r="L4" s="240"/>
    </row>
    <row r="5" spans="1:12" ht="33.75">
      <c r="A5" s="217">
        <v>4</v>
      </c>
      <c r="B5" s="217">
        <v>4</v>
      </c>
      <c r="C5" s="245" cm="1">
        <f t="array" ref="C5" xml:space="preserve"> INDEX(聲母對照表[識別號], MATCH(TRUE, EXACT(切語上字表[[#This Row],[聲母標音]], 聲母對照表[台羅拼音]),0))</f>
        <v>5</v>
      </c>
      <c r="D5" s="218" t="s">
        <v>1042</v>
      </c>
      <c r="E5" s="219" t="s">
        <v>1043</v>
      </c>
      <c r="F5" s="219" t="s">
        <v>1044</v>
      </c>
      <c r="G5" s="198" t="s">
        <v>1051</v>
      </c>
      <c r="H5" s="220" t="s">
        <v>1</v>
      </c>
      <c r="I5" s="203" t="s">
        <v>1018</v>
      </c>
      <c r="J5" s="223" t="s">
        <v>1019</v>
      </c>
      <c r="K5" s="222" t="s">
        <v>1052</v>
      </c>
      <c r="L5" s="238" t="s">
        <v>1118</v>
      </c>
    </row>
    <row r="6" spans="1:12" ht="33.75">
      <c r="A6" s="217">
        <v>5</v>
      </c>
      <c r="B6" s="217">
        <v>5</v>
      </c>
      <c r="C6" s="245" cm="1">
        <f t="array" ref="C6" xml:space="preserve"> INDEX(聲母對照表[識別號], MATCH(TRUE, EXACT(切語上字表[[#This Row],[聲母標音]], 聲母對照表[台羅拼音]),0))</f>
        <v>14</v>
      </c>
      <c r="D6" s="218" t="s">
        <v>1042</v>
      </c>
      <c r="E6" s="224" t="s">
        <v>1053</v>
      </c>
      <c r="F6" s="224"/>
      <c r="G6" s="198" t="s">
        <v>1054</v>
      </c>
      <c r="H6" s="225" t="s">
        <v>321</v>
      </c>
      <c r="I6" s="199" t="s">
        <v>1007</v>
      </c>
      <c r="J6" s="205" t="s">
        <v>1008</v>
      </c>
      <c r="K6" s="222" t="s">
        <v>1055</v>
      </c>
      <c r="L6" s="238" t="s">
        <v>1123</v>
      </c>
    </row>
    <row r="7" spans="1:12" ht="33.75">
      <c r="A7" s="217">
        <v>6</v>
      </c>
      <c r="B7" s="217">
        <v>6</v>
      </c>
      <c r="C7" s="245" cm="1">
        <f t="array" ref="C7" xml:space="preserve"> INDEX(聲母對照表[識別號], MATCH(TRUE, EXACT(切語上字表[[#This Row],[聲母標音]], 聲母對照表[台羅拼音]),0))</f>
        <v>14</v>
      </c>
      <c r="D7" s="218" t="s">
        <v>1042</v>
      </c>
      <c r="E7" s="224" t="s">
        <v>1053</v>
      </c>
      <c r="F7" s="224"/>
      <c r="G7" s="198" t="s">
        <v>1056</v>
      </c>
      <c r="H7" s="225" t="s">
        <v>321</v>
      </c>
      <c r="I7" s="199" t="s">
        <v>1011</v>
      </c>
      <c r="J7" s="205" t="s">
        <v>29</v>
      </c>
      <c r="K7" s="222" t="s">
        <v>1057</v>
      </c>
      <c r="L7" s="238" t="s">
        <v>1124</v>
      </c>
    </row>
    <row r="8" spans="1:12" ht="33.75">
      <c r="A8" s="217">
        <v>7</v>
      </c>
      <c r="B8" s="217">
        <v>7</v>
      </c>
      <c r="C8" s="245" cm="1">
        <f t="array" ref="C8" xml:space="preserve"> INDEX(聲母對照表[識別號], MATCH(TRUE, EXACT(切語上字表[[#This Row],[聲母標音]], 聲母對照表[台羅拼音]),0))</f>
        <v>14</v>
      </c>
      <c r="D8" s="218" t="s">
        <v>1042</v>
      </c>
      <c r="E8" s="224" t="s">
        <v>1053</v>
      </c>
      <c r="F8" s="224"/>
      <c r="G8" s="198" t="s">
        <v>1058</v>
      </c>
      <c r="H8" s="225" t="s">
        <v>321</v>
      </c>
      <c r="I8" s="200" t="s">
        <v>1014</v>
      </c>
      <c r="J8" s="205" t="s">
        <v>1015</v>
      </c>
      <c r="K8" s="222" t="s">
        <v>1059</v>
      </c>
      <c r="L8" s="238" t="s">
        <v>1125</v>
      </c>
    </row>
    <row r="9" spans="1:12" ht="33.75">
      <c r="A9" s="217">
        <v>8</v>
      </c>
      <c r="B9" s="217">
        <v>8</v>
      </c>
      <c r="C9" s="245" cm="1">
        <f t="array" ref="C9" xml:space="preserve"> INDEX(聲母對照表[識別號], MATCH(TRUE, EXACT(切語上字表[[#This Row],[聲母標音]], 聲母對照表[台羅拼音]),0))</f>
        <v>3</v>
      </c>
      <c r="D9" s="218" t="s">
        <v>1042</v>
      </c>
      <c r="E9" s="224" t="s">
        <v>1053</v>
      </c>
      <c r="F9" s="224"/>
      <c r="G9" s="198" t="s">
        <v>1060</v>
      </c>
      <c r="H9" s="225" t="s">
        <v>8</v>
      </c>
      <c r="I9" s="199" t="s">
        <v>1018</v>
      </c>
      <c r="J9" s="205" t="s">
        <v>1019</v>
      </c>
      <c r="K9" s="222" t="s">
        <v>1061</v>
      </c>
      <c r="L9" s="241"/>
    </row>
    <row r="10" spans="1:12" ht="33.75">
      <c r="A10" s="217">
        <v>9</v>
      </c>
      <c r="B10" s="217">
        <v>9</v>
      </c>
      <c r="C10" s="245" cm="1">
        <f t="array" ref="C10" xml:space="preserve"> INDEX(聲母對照表[識別號], MATCH(TRUE, EXACT(切語上字表[[#This Row],[聲母標音]], 聲母對照表[台羅拼音]),0))</f>
        <v>6</v>
      </c>
      <c r="D10" s="218" t="s">
        <v>1021</v>
      </c>
      <c r="E10" s="226" t="s">
        <v>1022</v>
      </c>
      <c r="F10" s="219" t="s">
        <v>1023</v>
      </c>
      <c r="G10" s="198" t="s">
        <v>1024</v>
      </c>
      <c r="H10" s="227" t="s">
        <v>299</v>
      </c>
      <c r="I10" s="199" t="s">
        <v>1007</v>
      </c>
      <c r="J10" s="205" t="s">
        <v>1008</v>
      </c>
      <c r="K10" s="222" t="s">
        <v>1025</v>
      </c>
      <c r="L10" s="241"/>
    </row>
    <row r="11" spans="1:12" ht="33.75">
      <c r="A11" s="217">
        <v>10</v>
      </c>
      <c r="B11" s="217">
        <v>10</v>
      </c>
      <c r="C11" s="245" cm="1">
        <f t="array" ref="C11" xml:space="preserve"> INDEX(聲母對照表[識別號], MATCH(TRUE, EXACT(切語上字表[[#This Row],[聲母標音]], 聲母對照表[台羅拼音]),0))</f>
        <v>7</v>
      </c>
      <c r="D11" s="218" t="s">
        <v>1021</v>
      </c>
      <c r="E11" s="219" t="s">
        <v>1022</v>
      </c>
      <c r="F11" s="219" t="s">
        <v>1023</v>
      </c>
      <c r="G11" s="198" t="s">
        <v>1026</v>
      </c>
      <c r="H11" s="228" t="s">
        <v>303</v>
      </c>
      <c r="I11" s="199" t="s">
        <v>1011</v>
      </c>
      <c r="J11" s="205" t="s">
        <v>29</v>
      </c>
      <c r="K11" s="222" t="s">
        <v>1027</v>
      </c>
      <c r="L11" s="241"/>
    </row>
    <row r="12" spans="1:12" ht="33.75">
      <c r="A12" s="217">
        <v>11</v>
      </c>
      <c r="B12" s="217">
        <v>11</v>
      </c>
      <c r="C12" s="245" cm="1">
        <f t="array" ref="C12" xml:space="preserve"> INDEX(聲母對照表[識別號], MATCH(TRUE, EXACT(切語上字表[[#This Row],[聲母標音]], 聲母對照表[台羅拼音]),0))</f>
        <v>6</v>
      </c>
      <c r="D12" s="218" t="s">
        <v>1021</v>
      </c>
      <c r="E12" s="219" t="s">
        <v>1022</v>
      </c>
      <c r="F12" s="219" t="s">
        <v>1023</v>
      </c>
      <c r="G12" s="198" t="s">
        <v>1028</v>
      </c>
      <c r="H12" s="228" t="s">
        <v>299</v>
      </c>
      <c r="I12" s="200" t="s">
        <v>1014</v>
      </c>
      <c r="J12" s="205" t="s">
        <v>1015</v>
      </c>
      <c r="K12" s="222" t="s">
        <v>1029</v>
      </c>
      <c r="L12" s="241"/>
    </row>
    <row r="13" spans="1:12" ht="33.75">
      <c r="A13" s="217">
        <v>12</v>
      </c>
      <c r="B13" s="217">
        <v>12</v>
      </c>
      <c r="C13" s="245" cm="1">
        <f t="array" ref="C13" xml:space="preserve"> INDEX(聲母對照表[識別號], MATCH(TRUE, EXACT(切語上字表[[#This Row],[聲母標音]], 聲母對照表[台羅拼音]),0))</f>
        <v>8</v>
      </c>
      <c r="D13" s="218" t="s">
        <v>1021</v>
      </c>
      <c r="E13" s="219" t="s">
        <v>1022</v>
      </c>
      <c r="F13" s="219" t="s">
        <v>1023</v>
      </c>
      <c r="G13" s="198" t="s">
        <v>1030</v>
      </c>
      <c r="H13" s="228" t="s">
        <v>3</v>
      </c>
      <c r="I13" s="201" t="s">
        <v>1018</v>
      </c>
      <c r="J13" s="223" t="s">
        <v>1019</v>
      </c>
      <c r="K13" s="222" t="s">
        <v>1031</v>
      </c>
      <c r="L13" s="238"/>
    </row>
    <row r="14" spans="1:12" ht="33.75">
      <c r="A14" s="217">
        <v>13</v>
      </c>
      <c r="B14" s="217">
        <v>13</v>
      </c>
      <c r="C14" s="245" cm="1">
        <f t="array" ref="C14" xml:space="preserve"> INDEX(聲母對照表[識別號], MATCH(TRUE, EXACT(切語上字表[[#This Row],[聲母標音]], 聲母對照表[台羅拼音]),0))</f>
        <v>6</v>
      </c>
      <c r="D14" s="218" t="s">
        <v>1021</v>
      </c>
      <c r="E14" s="224" t="s">
        <v>1032</v>
      </c>
      <c r="F14" s="224" t="s">
        <v>1023</v>
      </c>
      <c r="G14" s="209" t="s">
        <v>1033</v>
      </c>
      <c r="H14" s="228" t="s">
        <v>299</v>
      </c>
      <c r="I14" s="199" t="s">
        <v>1007</v>
      </c>
      <c r="J14" s="205" t="s">
        <v>1008</v>
      </c>
      <c r="K14" s="222" t="s">
        <v>1034</v>
      </c>
      <c r="L14" s="238"/>
    </row>
    <row r="15" spans="1:12" ht="33.75">
      <c r="A15" s="217">
        <v>14</v>
      </c>
      <c r="B15" s="217">
        <v>14</v>
      </c>
      <c r="C15" s="245" cm="1">
        <f t="array" ref="C15" xml:space="preserve"> INDEX(聲母對照表[識別號], MATCH(TRUE, EXACT(切語上字表[[#This Row],[聲母標音]], 聲母對照表[台羅拼音]),0))</f>
        <v>7</v>
      </c>
      <c r="D15" s="218" t="s">
        <v>1021</v>
      </c>
      <c r="E15" s="224" t="s">
        <v>1032</v>
      </c>
      <c r="F15" s="224" t="s">
        <v>1023</v>
      </c>
      <c r="G15" s="198" t="s">
        <v>1035</v>
      </c>
      <c r="H15" s="225" t="s">
        <v>303</v>
      </c>
      <c r="I15" s="199" t="s">
        <v>1011</v>
      </c>
      <c r="J15" s="205" t="s">
        <v>29</v>
      </c>
      <c r="K15" s="222" t="s">
        <v>1036</v>
      </c>
      <c r="L15" s="238"/>
    </row>
    <row r="16" spans="1:12" ht="33.75">
      <c r="A16" s="217">
        <v>15</v>
      </c>
      <c r="B16" s="217">
        <v>15</v>
      </c>
      <c r="C16" s="245" cm="1">
        <f t="array" ref="C16" xml:space="preserve"> INDEX(聲母對照表[識別號], MATCH(TRUE, EXACT(切語上字表[[#This Row],[聲母標音]], 聲母對照表[台羅拼音]),0))</f>
        <v>6</v>
      </c>
      <c r="D16" s="218" t="s">
        <v>1021</v>
      </c>
      <c r="E16" s="224" t="s">
        <v>1032</v>
      </c>
      <c r="F16" s="224" t="s">
        <v>1023</v>
      </c>
      <c r="G16" s="198" t="s">
        <v>1037</v>
      </c>
      <c r="H16" s="225" t="s">
        <v>299</v>
      </c>
      <c r="I16" s="199" t="s">
        <v>1014</v>
      </c>
      <c r="J16" s="205" t="s">
        <v>1015</v>
      </c>
      <c r="K16" s="222" t="s">
        <v>1038</v>
      </c>
      <c r="L16" s="238"/>
    </row>
    <row r="17" spans="1:12" ht="33.75">
      <c r="A17" s="217">
        <v>16</v>
      </c>
      <c r="B17" s="217">
        <v>16</v>
      </c>
      <c r="C17" s="245" cm="1">
        <f t="array" ref="C17" xml:space="preserve"> INDEX(聲母對照表[識別號], MATCH(TRUE, EXACT(切語上字表[[#This Row],[聲母標音]], 聲母對照表[台羅拼音]),0))</f>
        <v>8</v>
      </c>
      <c r="D17" s="218" t="s">
        <v>1021</v>
      </c>
      <c r="E17" s="224" t="s">
        <v>1032</v>
      </c>
      <c r="F17" s="224" t="s">
        <v>1023</v>
      </c>
      <c r="G17" s="198" t="s">
        <v>1039</v>
      </c>
      <c r="H17" s="225" t="s">
        <v>1040</v>
      </c>
      <c r="I17" s="199" t="s">
        <v>1018</v>
      </c>
      <c r="J17" s="223" t="s">
        <v>1019</v>
      </c>
      <c r="K17" s="222" t="s">
        <v>1041</v>
      </c>
      <c r="L17" s="238" t="s">
        <v>1119</v>
      </c>
    </row>
    <row r="18" spans="1:12" ht="33.75">
      <c r="A18" s="217">
        <v>17</v>
      </c>
      <c r="B18" s="217">
        <v>17</v>
      </c>
      <c r="C18" s="245" cm="1">
        <f t="array" ref="C18" xml:space="preserve"> INDEX(聲母對照表[識別號], MATCH(TRUE, EXACT(切語上字表[[#This Row],[聲母標音]], 聲母對照表[台羅拼音]),0))</f>
        <v>19</v>
      </c>
      <c r="D18" s="229" t="s">
        <v>1062</v>
      </c>
      <c r="E18" s="229" t="s">
        <v>1063</v>
      </c>
      <c r="F18" s="219" t="s">
        <v>1064</v>
      </c>
      <c r="G18" s="198" t="s">
        <v>1065</v>
      </c>
      <c r="H18" s="225" t="s">
        <v>348</v>
      </c>
      <c r="I18" s="199" t="s">
        <v>1007</v>
      </c>
      <c r="J18" s="205" t="s">
        <v>1008</v>
      </c>
      <c r="K18" s="204" t="s">
        <v>1066</v>
      </c>
      <c r="L18" s="241"/>
    </row>
    <row r="19" spans="1:12" ht="33.75">
      <c r="A19" s="217">
        <v>18</v>
      </c>
      <c r="B19" s="217">
        <v>18</v>
      </c>
      <c r="C19" s="245" cm="1">
        <f t="array" ref="C19" xml:space="preserve"> INDEX(聲母對照表[識別號], MATCH(TRUE, EXACT(切語上字表[[#This Row],[聲母標音]], 聲母對照表[台羅拼音]),0))</f>
        <v>21</v>
      </c>
      <c r="D19" s="229" t="s">
        <v>1062</v>
      </c>
      <c r="E19" s="229" t="s">
        <v>1063</v>
      </c>
      <c r="F19" s="219" t="s">
        <v>1064</v>
      </c>
      <c r="G19" s="198" t="s">
        <v>1067</v>
      </c>
      <c r="H19" s="225" t="s">
        <v>354</v>
      </c>
      <c r="I19" s="199" t="s">
        <v>1011</v>
      </c>
      <c r="J19" s="205" t="s">
        <v>29</v>
      </c>
      <c r="K19" s="222" t="s">
        <v>1068</v>
      </c>
      <c r="L19" s="241"/>
    </row>
    <row r="20" spans="1:12" ht="33.75">
      <c r="A20" s="217">
        <v>19</v>
      </c>
      <c r="B20" s="217">
        <v>19</v>
      </c>
      <c r="C20" s="245" cm="1">
        <f t="array" ref="C20" xml:space="preserve"> INDEX(聲母對照表[識別號], MATCH(TRUE, EXACT(切語上字表[[#This Row],[聲母標音]], 聲母對照表[台羅拼音]),0))</f>
        <v>19</v>
      </c>
      <c r="D20" s="229" t="s">
        <v>1062</v>
      </c>
      <c r="E20" s="229" t="s">
        <v>1063</v>
      </c>
      <c r="F20" s="219" t="s">
        <v>1064</v>
      </c>
      <c r="G20" s="198" t="s">
        <v>1069</v>
      </c>
      <c r="H20" s="228" t="s">
        <v>348</v>
      </c>
      <c r="I20" s="200" t="s">
        <v>1014</v>
      </c>
      <c r="J20" s="205" t="s">
        <v>1015</v>
      </c>
      <c r="K20" s="222" t="s">
        <v>1070</v>
      </c>
      <c r="L20" s="238"/>
    </row>
    <row r="21" spans="1:12" ht="33.75">
      <c r="A21" s="217">
        <v>20</v>
      </c>
      <c r="B21" s="217">
        <v>20</v>
      </c>
      <c r="C21" s="245" cm="1">
        <f t="array" ref="C21" xml:space="preserve"> INDEX(聲母對照表[識別號], MATCH(TRUE, EXACT(切語上字表[[#This Row],[聲母標音]], 聲母對照表[台羅拼音]),0))</f>
        <v>22</v>
      </c>
      <c r="D21" s="229" t="s">
        <v>1062</v>
      </c>
      <c r="E21" s="229" t="s">
        <v>1063</v>
      </c>
      <c r="F21" s="229" t="s">
        <v>1071</v>
      </c>
      <c r="G21" s="198" t="s">
        <v>1072</v>
      </c>
      <c r="H21" s="228" t="s">
        <v>310</v>
      </c>
      <c r="I21" s="199" t="s">
        <v>1007</v>
      </c>
      <c r="J21" s="230" t="s">
        <v>1008</v>
      </c>
      <c r="K21" s="222" t="s">
        <v>1073</v>
      </c>
      <c r="L21" s="241"/>
    </row>
    <row r="22" spans="1:12" ht="33.75">
      <c r="A22" s="217">
        <v>21</v>
      </c>
      <c r="B22" s="217">
        <v>21</v>
      </c>
      <c r="C22" s="245" cm="1">
        <f t="array" ref="C22" xml:space="preserve"> INDEX(聲母對照表[識別號], MATCH(TRUE, EXACT(切語上字表[[#This Row],[聲母標音]], 聲母對照表[台羅拼音]),0))</f>
        <v>22</v>
      </c>
      <c r="D22" s="229" t="s">
        <v>1062</v>
      </c>
      <c r="E22" s="229" t="s">
        <v>1063</v>
      </c>
      <c r="F22" s="229" t="s">
        <v>1071</v>
      </c>
      <c r="G22" s="198" t="s">
        <v>1074</v>
      </c>
      <c r="H22" s="228" t="s">
        <v>310</v>
      </c>
      <c r="I22" s="200" t="s">
        <v>1014</v>
      </c>
      <c r="J22" s="205" t="str">
        <f xml:space="preserve"> CHAR(32)</f>
        <v xml:space="preserve"> </v>
      </c>
      <c r="K22" s="222" t="s">
        <v>1075</v>
      </c>
      <c r="L22" s="238"/>
    </row>
    <row r="23" spans="1:12" ht="33.75">
      <c r="A23" s="217">
        <v>22</v>
      </c>
      <c r="B23" s="217">
        <v>22</v>
      </c>
      <c r="C23" s="245" cm="1">
        <f t="array" ref="C23" xml:space="preserve"> INDEX(聲母對照表[識別號], MATCH(TRUE, EXACT(切語上字表[[#This Row],[聲母標音]], 聲母對照表[台羅拼音]),0))</f>
        <v>19</v>
      </c>
      <c r="D23" s="229" t="s">
        <v>1062</v>
      </c>
      <c r="E23" s="231" t="s">
        <v>976</v>
      </c>
      <c r="F23" s="231" t="s">
        <v>1064</v>
      </c>
      <c r="G23" s="198" t="s">
        <v>978</v>
      </c>
      <c r="H23" s="232" t="s">
        <v>348</v>
      </c>
      <c r="I23" s="199" t="s">
        <v>1007</v>
      </c>
      <c r="J23" s="230" t="s">
        <v>1008</v>
      </c>
      <c r="K23" s="221" t="s">
        <v>1076</v>
      </c>
      <c r="L23" s="238" t="s">
        <v>1077</v>
      </c>
    </row>
    <row r="24" spans="1:12" ht="33.75">
      <c r="A24" s="217">
        <v>23</v>
      </c>
      <c r="B24" s="217">
        <v>23</v>
      </c>
      <c r="C24" s="245" cm="1">
        <f t="array" ref="C24" xml:space="preserve"> INDEX(聲母對照表[識別號], MATCH(TRUE, EXACT(切語上字表[[#This Row],[聲母標音]], 聲母對照表[台羅拼音]),0))</f>
        <v>21</v>
      </c>
      <c r="D24" s="229" t="s">
        <v>1062</v>
      </c>
      <c r="E24" s="231" t="s">
        <v>976</v>
      </c>
      <c r="F24" s="231" t="s">
        <v>1064</v>
      </c>
      <c r="G24" s="198" t="s">
        <v>980</v>
      </c>
      <c r="H24" s="232" t="s">
        <v>354</v>
      </c>
      <c r="I24" s="199" t="s">
        <v>1011</v>
      </c>
      <c r="J24" s="230" t="s">
        <v>29</v>
      </c>
      <c r="K24" s="221" t="s">
        <v>1078</v>
      </c>
      <c r="L24" s="238" t="s">
        <v>1079</v>
      </c>
    </row>
    <row r="25" spans="1:12" ht="33.75">
      <c r="A25" s="217">
        <v>24</v>
      </c>
      <c r="B25" s="217">
        <v>24</v>
      </c>
      <c r="C25" s="245" cm="1">
        <f t="array" ref="C25" xml:space="preserve"> INDEX(聲母對照表[識別號], MATCH(TRUE, EXACT(切語上字表[[#This Row],[聲母標音]], 聲母對照表[台羅拼音]),0))</f>
        <v>19</v>
      </c>
      <c r="D25" s="229" t="s">
        <v>1062</v>
      </c>
      <c r="E25" s="231" t="s">
        <v>976</v>
      </c>
      <c r="F25" s="231" t="s">
        <v>1064</v>
      </c>
      <c r="G25" s="211" t="s">
        <v>1080</v>
      </c>
      <c r="H25" s="232" t="s">
        <v>348</v>
      </c>
      <c r="I25" s="200" t="s">
        <v>1014</v>
      </c>
      <c r="J25" s="230" t="s">
        <v>1015</v>
      </c>
      <c r="K25" s="222" t="s">
        <v>1081</v>
      </c>
      <c r="L25" s="238" t="s">
        <v>1082</v>
      </c>
    </row>
    <row r="26" spans="1:12" ht="33.75">
      <c r="A26" s="217">
        <v>25</v>
      </c>
      <c r="B26" s="217">
        <v>25</v>
      </c>
      <c r="C26" s="245" cm="1">
        <f t="array" ref="C26" xml:space="preserve"> INDEX(聲母對照表[識別號], MATCH(TRUE, EXACT(切語上字表[[#This Row],[聲母標音]], 聲母對照表[台羅拼音]),0))</f>
        <v>22</v>
      </c>
      <c r="D26" s="229" t="s">
        <v>1062</v>
      </c>
      <c r="E26" s="231" t="s">
        <v>976</v>
      </c>
      <c r="F26" s="231" t="s">
        <v>1071</v>
      </c>
      <c r="G26" s="198" t="s">
        <v>982</v>
      </c>
      <c r="H26" s="220" t="s">
        <v>310</v>
      </c>
      <c r="I26" s="202" t="s">
        <v>1007</v>
      </c>
      <c r="J26" s="206" t="s">
        <v>1083</v>
      </c>
      <c r="K26" s="222" t="s">
        <v>1084</v>
      </c>
      <c r="L26" s="242"/>
    </row>
    <row r="27" spans="1:12" ht="33.75">
      <c r="A27" s="217">
        <v>26</v>
      </c>
      <c r="B27" s="217">
        <v>26</v>
      </c>
      <c r="C27" s="245" cm="1">
        <f t="array" ref="C27" xml:space="preserve"> INDEX(聲母對照表[識別號], MATCH(TRUE, EXACT(切語上字表[[#This Row],[聲母標音]], 聲母對照表[台羅拼音]),0))</f>
        <v>19</v>
      </c>
      <c r="D27" s="229" t="s">
        <v>1062</v>
      </c>
      <c r="E27" s="233" t="s">
        <v>974</v>
      </c>
      <c r="F27" s="233" t="s">
        <v>1064</v>
      </c>
      <c r="G27" s="198" t="s">
        <v>1085</v>
      </c>
      <c r="H27" s="232" t="s">
        <v>348</v>
      </c>
      <c r="I27" s="202" t="s">
        <v>1007</v>
      </c>
      <c r="J27" s="205" t="s">
        <v>1008</v>
      </c>
      <c r="K27" s="222" t="s">
        <v>1086</v>
      </c>
      <c r="L27" s="238" t="s">
        <v>1077</v>
      </c>
    </row>
    <row r="28" spans="1:12" ht="33.75">
      <c r="A28" s="217">
        <v>27</v>
      </c>
      <c r="B28" s="217">
        <v>27</v>
      </c>
      <c r="C28" s="245" cm="1">
        <f t="array" ref="C28" xml:space="preserve"> INDEX(聲母對照表[識別號], MATCH(TRUE, EXACT(切語上字表[[#This Row],[聲母標音]], 聲母對照表[台羅拼音]),0))</f>
        <v>21</v>
      </c>
      <c r="D28" s="229" t="s">
        <v>1062</v>
      </c>
      <c r="E28" s="233" t="s">
        <v>974</v>
      </c>
      <c r="F28" s="233" t="s">
        <v>1064</v>
      </c>
      <c r="G28" s="209" t="s">
        <v>1087</v>
      </c>
      <c r="H28" s="220" t="s">
        <v>354</v>
      </c>
      <c r="I28" s="202" t="s">
        <v>1011</v>
      </c>
      <c r="J28" s="205" t="s">
        <v>29</v>
      </c>
      <c r="K28" s="222" t="s">
        <v>1088</v>
      </c>
      <c r="L28" s="238" t="s">
        <v>1079</v>
      </c>
    </row>
    <row r="29" spans="1:12" ht="33.75">
      <c r="A29" s="217">
        <v>28</v>
      </c>
      <c r="B29" s="217">
        <v>28</v>
      </c>
      <c r="C29" s="245" cm="1">
        <f t="array" ref="C29" xml:space="preserve"> INDEX(聲母對照表[識別號], MATCH(TRUE, EXACT(切語上字表[[#This Row],[聲母標音]], 聲母對照表[台羅拼音]),0))</f>
        <v>22</v>
      </c>
      <c r="D29" s="229" t="s">
        <v>1062</v>
      </c>
      <c r="E29" s="233" t="s">
        <v>974</v>
      </c>
      <c r="F29" s="233" t="s">
        <v>1071</v>
      </c>
      <c r="G29" s="198" t="s">
        <v>1089</v>
      </c>
      <c r="H29" s="220" t="s">
        <v>310</v>
      </c>
      <c r="I29" s="202" t="s">
        <v>1014</v>
      </c>
      <c r="J29" s="206" t="s">
        <v>29</v>
      </c>
      <c r="K29" s="222" t="s">
        <v>1090</v>
      </c>
      <c r="L29" s="238"/>
    </row>
    <row r="30" spans="1:12" ht="33.75">
      <c r="A30" s="217">
        <v>29</v>
      </c>
      <c r="B30" s="217">
        <v>29</v>
      </c>
      <c r="C30" s="245" cm="1">
        <f t="array" ref="C30" xml:space="preserve"> INDEX(聲母對照表[識別號], MATCH(TRUE, EXACT(切語上字表[[#This Row],[聲母標音]], 聲母對照表[台羅拼音]),0))</f>
        <v>22</v>
      </c>
      <c r="D30" s="229" t="s">
        <v>1062</v>
      </c>
      <c r="E30" s="233" t="s">
        <v>974</v>
      </c>
      <c r="F30" s="233" t="s">
        <v>1071</v>
      </c>
      <c r="G30" s="198" t="s">
        <v>1091</v>
      </c>
      <c r="H30" s="225" t="s">
        <v>310</v>
      </c>
      <c r="I30" s="199" t="s">
        <v>1007</v>
      </c>
      <c r="J30" s="205" t="s">
        <v>29</v>
      </c>
      <c r="K30" s="234" t="s">
        <v>1092</v>
      </c>
      <c r="L30" s="238" t="s">
        <v>1093</v>
      </c>
    </row>
    <row r="31" spans="1:12" ht="33.75">
      <c r="A31" s="217">
        <v>30</v>
      </c>
      <c r="B31" s="217">
        <v>30</v>
      </c>
      <c r="C31" s="245" cm="1">
        <f t="array" ref="C31" xml:space="preserve"> INDEX(聲母對照表[識別號], MATCH(TRUE, EXACT(切語上字表[[#This Row],[聲母標音]], 聲母對照表[台羅拼音]),0))</f>
        <v>22</v>
      </c>
      <c r="D31" s="229" t="s">
        <v>1062</v>
      </c>
      <c r="E31" s="233" t="s">
        <v>974</v>
      </c>
      <c r="F31" s="233" t="s">
        <v>1071</v>
      </c>
      <c r="G31" s="198" t="s">
        <v>1094</v>
      </c>
      <c r="H31" s="232" t="s">
        <v>310</v>
      </c>
      <c r="I31" s="200" t="s">
        <v>1014</v>
      </c>
      <c r="J31" s="206" t="s">
        <v>29</v>
      </c>
      <c r="K31" s="234" t="s">
        <v>1095</v>
      </c>
      <c r="L31" s="238" t="s">
        <v>1096</v>
      </c>
    </row>
    <row r="32" spans="1:12" ht="33.75">
      <c r="A32" s="217">
        <v>31</v>
      </c>
      <c r="B32" s="217">
        <v>31</v>
      </c>
      <c r="C32" s="245" cm="1">
        <f t="array" ref="C32" xml:space="preserve"> INDEX(聲母對照表[識別號], MATCH(TRUE, EXACT(切語上字表[[#This Row],[聲母標音]], 聲母對照表[台羅拼音]),0))</f>
        <v>10</v>
      </c>
      <c r="D32" s="229" t="s">
        <v>1004</v>
      </c>
      <c r="E32" s="219" t="s">
        <v>1004</v>
      </c>
      <c r="F32" s="219" t="s">
        <v>1005</v>
      </c>
      <c r="G32" s="198" t="s">
        <v>1006</v>
      </c>
      <c r="H32" s="228" t="s">
        <v>294</v>
      </c>
      <c r="I32" s="199" t="s">
        <v>1007</v>
      </c>
      <c r="J32" s="205" t="s">
        <v>1008</v>
      </c>
      <c r="K32" s="221" t="s">
        <v>1009</v>
      </c>
      <c r="L32" s="238"/>
    </row>
    <row r="33" spans="1:12" ht="33.75">
      <c r="A33" s="217">
        <v>32</v>
      </c>
      <c r="B33" s="217">
        <v>32</v>
      </c>
      <c r="C33" s="245" cm="1">
        <f t="array" ref="C33" xml:space="preserve"> INDEX(聲母對照表[識別號], MATCH(TRUE, EXACT(切語上字表[[#This Row],[聲母標音]], 聲母對照表[台羅拼音]),0))</f>
        <v>12</v>
      </c>
      <c r="D33" s="229" t="s">
        <v>1004</v>
      </c>
      <c r="E33" s="219" t="s">
        <v>1004</v>
      </c>
      <c r="F33" s="219" t="s">
        <v>1005</v>
      </c>
      <c r="G33" s="198" t="s">
        <v>1010</v>
      </c>
      <c r="H33" s="228" t="s">
        <v>315</v>
      </c>
      <c r="I33" s="199" t="s">
        <v>1011</v>
      </c>
      <c r="J33" s="205" t="s">
        <v>29</v>
      </c>
      <c r="K33" s="221" t="s">
        <v>1012</v>
      </c>
      <c r="L33" s="241"/>
    </row>
    <row r="34" spans="1:12" ht="33.75">
      <c r="A34" s="217">
        <v>33</v>
      </c>
      <c r="B34" s="217">
        <v>33</v>
      </c>
      <c r="C34" s="245" cm="1">
        <f t="array" ref="C34" xml:space="preserve"> INDEX(聲母對照表[識別號], MATCH(TRUE, EXACT(切語上字表[[#This Row],[聲母標音]], 聲母對照表[台羅拼音]),0))</f>
        <v>10</v>
      </c>
      <c r="D34" s="229" t="s">
        <v>1004</v>
      </c>
      <c r="E34" s="219" t="s">
        <v>1004</v>
      </c>
      <c r="F34" s="219" t="s">
        <v>1005</v>
      </c>
      <c r="G34" s="198" t="s">
        <v>1013</v>
      </c>
      <c r="H34" s="228" t="s">
        <v>294</v>
      </c>
      <c r="I34" s="200" t="s">
        <v>1014</v>
      </c>
      <c r="J34" s="205" t="s">
        <v>1015</v>
      </c>
      <c r="K34" s="222" t="s">
        <v>1016</v>
      </c>
      <c r="L34" s="241"/>
    </row>
    <row r="35" spans="1:12" ht="33.75">
      <c r="A35" s="217">
        <v>34</v>
      </c>
      <c r="B35" s="217">
        <v>34</v>
      </c>
      <c r="C35" s="245" cm="1">
        <f t="array" ref="C35" xml:space="preserve"> INDEX(聲母對照表[識別號], MATCH(TRUE, EXACT(切語上字表[[#This Row],[聲母標音]], 聲母對照表[台羅拼音]),0))</f>
        <v>11</v>
      </c>
      <c r="D35" s="229" t="s">
        <v>1004</v>
      </c>
      <c r="E35" s="219" t="s">
        <v>1004</v>
      </c>
      <c r="F35" s="219" t="s">
        <v>1005</v>
      </c>
      <c r="G35" s="198" t="s">
        <v>1017</v>
      </c>
      <c r="H35" s="228" t="s">
        <v>20</v>
      </c>
      <c r="I35" s="201" t="s">
        <v>1018</v>
      </c>
      <c r="J35" s="223" t="s">
        <v>1019</v>
      </c>
      <c r="K35" s="222" t="s">
        <v>1020</v>
      </c>
      <c r="L35" s="238" t="s">
        <v>1120</v>
      </c>
    </row>
    <row r="36" spans="1:12" ht="33.75">
      <c r="A36" s="217">
        <v>35</v>
      </c>
      <c r="B36" s="217">
        <v>35</v>
      </c>
      <c r="C36" s="245" cm="1">
        <f t="array" ref="C36" xml:space="preserve"> INDEX(聲母對照表[識別號], MATCH(TRUE, EXACT(切語上字表[[#This Row],[聲母標音]], 聲母對照表[台羅拼音]),0))</f>
        <v>1</v>
      </c>
      <c r="D36" s="229" t="s">
        <v>183</v>
      </c>
      <c r="E36" s="224" t="s">
        <v>183</v>
      </c>
      <c r="F36" s="224"/>
      <c r="G36" s="198" t="s">
        <v>990</v>
      </c>
      <c r="H36" s="225" t="s">
        <v>271</v>
      </c>
      <c r="I36" s="199" t="s">
        <v>1007</v>
      </c>
      <c r="J36" s="205" t="s">
        <v>1097</v>
      </c>
      <c r="K36" s="234" t="s">
        <v>1098</v>
      </c>
      <c r="L36" s="241"/>
    </row>
    <row r="37" spans="1:12" ht="33.75">
      <c r="A37" s="217">
        <v>36</v>
      </c>
      <c r="B37" s="217">
        <v>36</v>
      </c>
      <c r="C37" s="245" cm="1">
        <f t="array" ref="C37" xml:space="preserve"> INDEX(聲母對照表[識別號], MATCH(TRUE, EXACT(切語上字表[[#This Row],[聲母標音]], 聲母對照表[台羅拼音]),0))</f>
        <v>14</v>
      </c>
      <c r="D37" s="218" t="s">
        <v>183</v>
      </c>
      <c r="E37" s="224" t="s">
        <v>183</v>
      </c>
      <c r="F37" s="224"/>
      <c r="G37" s="198" t="s">
        <v>1099</v>
      </c>
      <c r="H37" s="225" t="s">
        <v>321</v>
      </c>
      <c r="I37" s="202" t="s">
        <v>1011</v>
      </c>
      <c r="J37" s="205" t="s">
        <v>29</v>
      </c>
      <c r="K37" s="234" t="s">
        <v>1100</v>
      </c>
      <c r="L37" s="241"/>
    </row>
    <row r="38" spans="1:12" ht="33.75">
      <c r="A38" s="217">
        <v>37</v>
      </c>
      <c r="B38" s="217">
        <v>37</v>
      </c>
      <c r="C38" s="245" cm="1">
        <f t="array" ref="C38" xml:space="preserve"> INDEX(聲母對照表[識別號], MATCH(TRUE, EXACT(切語上字表[[#This Row],[聲母標音]], 聲母對照表[台羅拼音]),0))</f>
        <v>14</v>
      </c>
      <c r="D38" s="218" t="s">
        <v>183</v>
      </c>
      <c r="E38" s="224" t="s">
        <v>183</v>
      </c>
      <c r="F38" s="224"/>
      <c r="G38" s="213" t="s">
        <v>1101</v>
      </c>
      <c r="H38" s="225" t="s">
        <v>321</v>
      </c>
      <c r="I38" s="200" t="s">
        <v>1014</v>
      </c>
      <c r="J38" s="206" t="s">
        <v>29</v>
      </c>
      <c r="K38" s="234" t="s">
        <v>1102</v>
      </c>
      <c r="L38" s="238" t="s">
        <v>1121</v>
      </c>
    </row>
    <row r="39" spans="1:12" ht="33.75">
      <c r="A39" s="217">
        <v>38</v>
      </c>
      <c r="B39" s="217">
        <v>38</v>
      </c>
      <c r="C39" s="245" cm="1">
        <f t="array" ref="C39" xml:space="preserve"> INDEX(聲母對照表[識別號], MATCH(TRUE, EXACT(切語上字表[[#This Row],[聲母標音]], 聲母對照表[台羅拼音]),0))</f>
        <v>1</v>
      </c>
      <c r="D39" s="218" t="s">
        <v>183</v>
      </c>
      <c r="E39" s="224" t="s">
        <v>183</v>
      </c>
      <c r="F39" s="224"/>
      <c r="G39" s="198" t="s">
        <v>991</v>
      </c>
      <c r="H39" s="225" t="s">
        <v>271</v>
      </c>
      <c r="I39" s="199" t="s">
        <v>1018</v>
      </c>
      <c r="J39" s="205" t="s">
        <v>1097</v>
      </c>
      <c r="K39" s="234" t="s">
        <v>1103</v>
      </c>
      <c r="L39" s="241"/>
    </row>
    <row r="40" spans="1:12" ht="33.75">
      <c r="A40" s="217">
        <v>39</v>
      </c>
      <c r="B40" s="217">
        <v>39</v>
      </c>
      <c r="C40" s="245" cm="1">
        <f t="array" ref="C40" xml:space="preserve"> INDEX(聲母對照表[識別號], MATCH(TRUE, EXACT(切語上字表[[#This Row],[聲母標音]], 聲母對照表[台羅拼音]),0))</f>
        <v>1</v>
      </c>
      <c r="D40" s="218" t="s">
        <v>183</v>
      </c>
      <c r="E40" s="219" t="s">
        <v>183</v>
      </c>
      <c r="F40" s="219"/>
      <c r="G40" s="212" t="s">
        <v>1104</v>
      </c>
      <c r="H40" s="228" t="s">
        <v>271</v>
      </c>
      <c r="I40" s="199" t="s">
        <v>1018</v>
      </c>
      <c r="J40" s="206" t="s">
        <v>1097</v>
      </c>
      <c r="K40" s="234" t="s">
        <v>1105</v>
      </c>
      <c r="L40" s="238" t="s">
        <v>1122</v>
      </c>
    </row>
    <row r="41" spans="1:12" ht="33.75">
      <c r="A41" s="217">
        <v>40</v>
      </c>
      <c r="B41" s="217">
        <v>40</v>
      </c>
      <c r="C41" s="245" cm="1">
        <f t="array" ref="C41" xml:space="preserve"> INDEX(聲母對照表[識別號], MATCH(TRUE, EXACT(切語上字表[[#This Row],[聲母標音]], 聲母對照表[台羅拼音]),0))</f>
        <v>9</v>
      </c>
      <c r="D41" s="218" t="s">
        <v>1106</v>
      </c>
      <c r="E41" s="219" t="s">
        <v>1107</v>
      </c>
      <c r="F41" s="219" t="s">
        <v>1108</v>
      </c>
      <c r="G41" s="209" t="s">
        <v>1109</v>
      </c>
      <c r="H41" s="228" t="s">
        <v>1110</v>
      </c>
      <c r="I41" s="201" t="s">
        <v>1018</v>
      </c>
      <c r="J41" s="205" t="s">
        <v>1019</v>
      </c>
      <c r="K41" s="234" t="s">
        <v>1111</v>
      </c>
      <c r="L41" s="241"/>
    </row>
    <row r="42" spans="1:12" ht="33.75">
      <c r="A42" s="217">
        <v>41</v>
      </c>
      <c r="B42" s="217">
        <v>41</v>
      </c>
      <c r="C42" s="245" cm="1">
        <f t="array" ref="C42" xml:space="preserve"> INDEX(聲母對照表[識別號], MATCH(TRUE, EXACT(切語上字表[[#This Row],[聲母標音]], 聲母對照表[台羅拼音]),0))</f>
        <v>20</v>
      </c>
      <c r="D42" s="218" t="s">
        <v>1112</v>
      </c>
      <c r="E42" s="219" t="s">
        <v>1113</v>
      </c>
      <c r="F42" s="219" t="s">
        <v>1114</v>
      </c>
      <c r="G42" s="209" t="s">
        <v>1115</v>
      </c>
      <c r="H42" s="228" t="s">
        <v>35</v>
      </c>
      <c r="I42" s="201" t="s">
        <v>1018</v>
      </c>
      <c r="J42" s="205" t="s">
        <v>1019</v>
      </c>
      <c r="K42" s="234" t="s">
        <v>1116</v>
      </c>
      <c r="L42" s="23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ED61-975A-4C60-9AFA-3568E8000EDD}">
  <sheetPr>
    <tabColor rgb="FF00B0F0"/>
    <pageSetUpPr fitToPage="1"/>
  </sheetPr>
  <dimension ref="A1:AQ302"/>
  <sheetViews>
    <sheetView workbookViewId="0">
      <pane ySplit="1" topLeftCell="A2" activePane="bottomLeft" state="frozen"/>
      <selection activeCell="Q111" sqref="Q111"/>
      <selection pane="bottomLeft" activeCell="I2" sqref="I2:K302"/>
    </sheetView>
    <sheetView workbookViewId="1">
      <selection activeCell="F4" sqref="F4"/>
    </sheetView>
  </sheetViews>
  <sheetFormatPr defaultColWidth="8" defaultRowHeight="26.25" outlineLevelCol="1"/>
  <cols>
    <col min="1" max="1" width="13" style="254" customWidth="1"/>
    <col min="2" max="2" width="10.625" style="259" customWidth="1"/>
    <col min="3" max="3" width="14.125" style="266" customWidth="1"/>
    <col min="5" max="5" width="8.25" customWidth="1"/>
    <col min="6" max="8" width="8.25" style="259" customWidth="1"/>
    <col min="9" max="9" width="8.25" style="267" customWidth="1"/>
    <col min="10" max="10" width="53.75" style="259" bestFit="1" customWidth="1"/>
    <col min="11" max="11" width="53.75" bestFit="1" customWidth="1"/>
    <col min="12" max="12" width="50.375" style="267" bestFit="1" customWidth="1"/>
    <col min="13" max="13" width="16.125" style="259" customWidth="1" outlineLevel="1"/>
    <col min="14" max="14" width="54.5" style="259" bestFit="1" customWidth="1"/>
    <col min="15" max="15" width="51" style="259" bestFit="1" customWidth="1"/>
    <col min="16" max="16" width="8" style="259" bestFit="1" customWidth="1"/>
    <col min="17" max="17" width="19.375" style="266" bestFit="1" customWidth="1"/>
    <col min="18" max="18" width="19.375" style="259" customWidth="1"/>
    <col min="19" max="19" width="18.75" style="259" customWidth="1"/>
    <col min="20" max="20" width="54.5" style="259" bestFit="1" customWidth="1"/>
    <col min="21" max="21" width="51" style="259" bestFit="1" customWidth="1"/>
    <col min="22" max="23" width="8" style="259" bestFit="1" customWidth="1"/>
    <col min="24" max="24" width="39.625" style="259" customWidth="1"/>
    <col min="25" max="25" width="54.5" style="267" bestFit="1" customWidth="1"/>
    <col min="26" max="26" width="51" style="259" bestFit="1" customWidth="1"/>
    <col min="27" max="28" width="54.5" style="259" bestFit="1" customWidth="1"/>
    <col min="29" max="29" width="6.125" style="259" customWidth="1"/>
    <col min="30" max="30" width="27.625" style="268" customWidth="1"/>
    <col min="31" max="31" width="24.25" style="268" customWidth="1"/>
    <col min="32" max="32" width="64.875" style="266" customWidth="1"/>
    <col min="33" max="33" width="47.625" style="259" customWidth="1" collapsed="1"/>
    <col min="34" max="34" width="13.75" style="269" customWidth="1"/>
    <col min="35" max="35" width="15" style="256" customWidth="1"/>
    <col min="36" max="36" width="42" style="270" customWidth="1"/>
    <col min="37" max="37" width="28.375" style="259" customWidth="1"/>
    <col min="38" max="38" width="10.5" style="268" customWidth="1"/>
    <col min="39" max="39" width="10.5" style="259" customWidth="1"/>
    <col min="40" max="40" width="49.25" style="268" customWidth="1"/>
    <col min="41" max="41" width="70.5" style="259" customWidth="1" collapsed="1"/>
    <col min="42" max="42" width="9.75" style="271" customWidth="1"/>
    <col min="43" max="43" width="9.75" style="249" customWidth="1"/>
    <col min="44" max="44" width="13.75" style="254" bestFit="1" customWidth="1"/>
    <col min="45" max="45" width="9" style="254" customWidth="1"/>
    <col min="46" max="46" width="14.875" style="254" customWidth="1"/>
    <col min="47" max="47" width="15.625" style="254" customWidth="1"/>
    <col min="48" max="16384" width="8" style="254"/>
  </cols>
  <sheetData>
    <row r="1" spans="1:43" s="248" customFormat="1" ht="32.25" customHeight="1">
      <c r="A1" s="246" t="s">
        <v>1127</v>
      </c>
      <c r="B1" s="247" t="s">
        <v>968</v>
      </c>
      <c r="C1" s="246" t="s">
        <v>1128</v>
      </c>
      <c r="D1" s="247" t="s">
        <v>1130</v>
      </c>
      <c r="E1" s="247" t="s">
        <v>1134</v>
      </c>
      <c r="F1" s="246" t="s">
        <v>1131</v>
      </c>
      <c r="G1" s="246" t="s">
        <v>1132</v>
      </c>
      <c r="H1" s="246" t="s">
        <v>1133</v>
      </c>
      <c r="I1" s="246" t="s">
        <v>1129</v>
      </c>
      <c r="J1" s="246" t="s">
        <v>1135</v>
      </c>
      <c r="K1" s="246" t="s">
        <v>1136</v>
      </c>
      <c r="N1" s="247"/>
    </row>
    <row r="2" spans="1:43" ht="33.75">
      <c r="A2" s="249">
        <v>1</v>
      </c>
      <c r="B2" s="249" t="s">
        <v>1137</v>
      </c>
      <c r="C2" s="250" t="s">
        <v>757</v>
      </c>
      <c r="D2" s="252" t="s">
        <v>1140</v>
      </c>
      <c r="E2" s="252" t="s">
        <v>1139</v>
      </c>
      <c r="F2" s="249" t="s">
        <v>1141</v>
      </c>
      <c r="G2" s="249" t="s">
        <v>674</v>
      </c>
      <c r="H2" s="249" t="s">
        <v>1795</v>
      </c>
      <c r="I2" s="251" t="s">
        <v>1138</v>
      </c>
      <c r="J2" s="253" t="s">
        <v>1142</v>
      </c>
      <c r="K2" s="254"/>
      <c r="L2" s="254"/>
      <c r="M2" s="255" t="s">
        <v>1143</v>
      </c>
      <c r="N2" s="249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</row>
    <row r="3" spans="1:43" ht="33.75">
      <c r="A3" s="249">
        <v>2</v>
      </c>
      <c r="B3" s="249" t="s">
        <v>1144</v>
      </c>
      <c r="C3" s="250" t="s">
        <v>757</v>
      </c>
      <c r="D3" s="252" t="s">
        <v>1140</v>
      </c>
      <c r="E3" s="252" t="s">
        <v>1145</v>
      </c>
      <c r="F3" s="249" t="s">
        <v>1141</v>
      </c>
      <c r="G3" s="249" t="s">
        <v>674</v>
      </c>
      <c r="H3" s="249" t="s">
        <v>1796</v>
      </c>
      <c r="I3" s="251" t="s">
        <v>1138</v>
      </c>
      <c r="J3" s="253" t="s">
        <v>1146</v>
      </c>
      <c r="K3" s="254"/>
      <c r="L3" s="254"/>
      <c r="M3" s="256"/>
      <c r="N3" s="249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</row>
    <row r="4" spans="1:43" ht="33.75">
      <c r="A4" s="249">
        <v>3</v>
      </c>
      <c r="B4" s="249" t="s">
        <v>1147</v>
      </c>
      <c r="C4" s="250" t="s">
        <v>757</v>
      </c>
      <c r="D4" s="252" t="s">
        <v>1140</v>
      </c>
      <c r="E4" s="252" t="s">
        <v>1148</v>
      </c>
      <c r="F4" s="249" t="s">
        <v>1141</v>
      </c>
      <c r="G4" s="249" t="s">
        <v>674</v>
      </c>
      <c r="H4" s="249" t="s">
        <v>30</v>
      </c>
      <c r="I4" s="251" t="s">
        <v>1138</v>
      </c>
      <c r="J4" s="253" t="s">
        <v>1149</v>
      </c>
      <c r="K4" s="254"/>
      <c r="L4" s="254"/>
      <c r="M4" s="256"/>
      <c r="N4" s="249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</row>
    <row r="5" spans="1:43" ht="33.75">
      <c r="A5" s="249">
        <v>4</v>
      </c>
      <c r="B5" s="249" t="s">
        <v>1150</v>
      </c>
      <c r="C5" s="250" t="s">
        <v>744</v>
      </c>
      <c r="D5" s="252" t="s">
        <v>1140</v>
      </c>
      <c r="E5" s="252" t="s">
        <v>1151</v>
      </c>
      <c r="F5" s="249" t="s">
        <v>1141</v>
      </c>
      <c r="G5" s="249" t="s">
        <v>674</v>
      </c>
      <c r="H5" s="249" t="s">
        <v>33</v>
      </c>
      <c r="I5" s="251" t="s">
        <v>1138</v>
      </c>
      <c r="J5" s="253" t="s">
        <v>1152</v>
      </c>
      <c r="K5" s="254"/>
      <c r="L5" s="254"/>
      <c r="M5" s="256"/>
      <c r="N5" s="249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</row>
    <row r="6" spans="1:43" ht="33.75">
      <c r="A6" s="249">
        <v>5</v>
      </c>
      <c r="B6" s="249" t="s">
        <v>1153</v>
      </c>
      <c r="C6" s="250" t="s">
        <v>666</v>
      </c>
      <c r="D6" s="252" t="s">
        <v>1140</v>
      </c>
      <c r="E6" s="252" t="s">
        <v>1139</v>
      </c>
      <c r="F6" s="249" t="s">
        <v>1141</v>
      </c>
      <c r="G6" s="249" t="s">
        <v>1155</v>
      </c>
      <c r="H6" s="249" t="s">
        <v>1795</v>
      </c>
      <c r="I6" s="251" t="s">
        <v>1154</v>
      </c>
      <c r="J6" s="253" t="s">
        <v>1156</v>
      </c>
      <c r="K6" s="254"/>
      <c r="L6" s="254"/>
      <c r="M6" s="256"/>
      <c r="N6" s="249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4"/>
      <c r="AF6" s="254"/>
      <c r="AG6" s="254"/>
      <c r="AH6" s="254"/>
      <c r="AI6" s="254"/>
      <c r="AJ6" s="254"/>
      <c r="AK6" s="254"/>
      <c r="AL6" s="254"/>
      <c r="AM6" s="254"/>
      <c r="AN6" s="254"/>
      <c r="AO6" s="254"/>
      <c r="AP6" s="254"/>
      <c r="AQ6" s="254"/>
    </row>
    <row r="7" spans="1:43" ht="33.75">
      <c r="A7" s="249">
        <v>6</v>
      </c>
      <c r="B7" s="249" t="s">
        <v>1157</v>
      </c>
      <c r="C7" s="250" t="s">
        <v>666</v>
      </c>
      <c r="D7" s="252" t="s">
        <v>1140</v>
      </c>
      <c r="E7" s="252" t="s">
        <v>1145</v>
      </c>
      <c r="F7" s="249" t="s">
        <v>1141</v>
      </c>
      <c r="G7" s="249" t="s">
        <v>1155</v>
      </c>
      <c r="H7" s="249" t="s">
        <v>1796</v>
      </c>
      <c r="I7" s="251" t="s">
        <v>1154</v>
      </c>
      <c r="J7" s="257"/>
      <c r="K7" s="258" t="s">
        <v>1158</v>
      </c>
      <c r="L7" s="254"/>
      <c r="N7" s="249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</row>
    <row r="8" spans="1:43" ht="33.75">
      <c r="A8" s="249">
        <v>7</v>
      </c>
      <c r="B8" s="249" t="s">
        <v>1159</v>
      </c>
      <c r="C8" s="250" t="s">
        <v>666</v>
      </c>
      <c r="D8" s="252" t="s">
        <v>1140</v>
      </c>
      <c r="E8" s="252" t="s">
        <v>1148</v>
      </c>
      <c r="F8" s="249" t="s">
        <v>1141</v>
      </c>
      <c r="G8" s="249" t="s">
        <v>1155</v>
      </c>
      <c r="H8" s="249" t="s">
        <v>30</v>
      </c>
      <c r="I8" s="251" t="s">
        <v>1154</v>
      </c>
      <c r="J8" s="253" t="s">
        <v>1160</v>
      </c>
      <c r="K8" s="254"/>
      <c r="L8" s="254"/>
      <c r="M8" s="256"/>
      <c r="N8" s="249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</row>
    <row r="9" spans="1:43" ht="33.75">
      <c r="A9" s="249">
        <v>8</v>
      </c>
      <c r="B9" s="249" t="s">
        <v>1161</v>
      </c>
      <c r="C9" s="250" t="s">
        <v>660</v>
      </c>
      <c r="D9" s="252" t="s">
        <v>1140</v>
      </c>
      <c r="E9" s="252" t="s">
        <v>1151</v>
      </c>
      <c r="F9" s="249" t="s">
        <v>1141</v>
      </c>
      <c r="G9" s="249" t="s">
        <v>1155</v>
      </c>
      <c r="H9" s="249" t="s">
        <v>33</v>
      </c>
      <c r="I9" s="251" t="s">
        <v>1154</v>
      </c>
      <c r="J9" s="253" t="s">
        <v>1162</v>
      </c>
      <c r="K9" s="254"/>
      <c r="L9" s="254"/>
      <c r="M9" s="256"/>
      <c r="N9" s="249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</row>
    <row r="10" spans="1:43" ht="33.75">
      <c r="A10" s="249">
        <v>9</v>
      </c>
      <c r="B10" s="249" t="s">
        <v>1163</v>
      </c>
      <c r="C10" s="250" t="s">
        <v>757</v>
      </c>
      <c r="D10" s="252" t="s">
        <v>1140</v>
      </c>
      <c r="E10" s="252" t="s">
        <v>1163</v>
      </c>
      <c r="F10" s="249" t="s">
        <v>1141</v>
      </c>
      <c r="G10" s="249" t="s">
        <v>674</v>
      </c>
      <c r="H10" s="249" t="s">
        <v>1795</v>
      </c>
      <c r="I10" s="251" t="s">
        <v>1138</v>
      </c>
      <c r="J10" s="253" t="s">
        <v>1164</v>
      </c>
      <c r="K10" s="254"/>
      <c r="L10" s="254"/>
      <c r="M10" s="256"/>
      <c r="N10" s="249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</row>
    <row r="11" spans="1:43" ht="33.75">
      <c r="A11" s="249">
        <v>10</v>
      </c>
      <c r="B11" s="249" t="s">
        <v>1163</v>
      </c>
      <c r="C11" s="250" t="s">
        <v>757</v>
      </c>
      <c r="D11" s="252" t="s">
        <v>1140</v>
      </c>
      <c r="E11" s="252" t="s">
        <v>1165</v>
      </c>
      <c r="F11" s="249" t="s">
        <v>1141</v>
      </c>
      <c r="G11" s="249" t="s">
        <v>674</v>
      </c>
      <c r="H11" s="249" t="s">
        <v>30</v>
      </c>
      <c r="I11" s="251" t="s">
        <v>1138</v>
      </c>
      <c r="J11" s="253" t="s">
        <v>1166</v>
      </c>
      <c r="K11" s="254"/>
      <c r="L11" s="254"/>
      <c r="M11" s="256"/>
      <c r="N11" s="249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</row>
    <row r="12" spans="1:43" ht="33.75">
      <c r="A12" s="249">
        <v>11</v>
      </c>
      <c r="B12" s="249" t="s">
        <v>1163</v>
      </c>
      <c r="C12" s="250" t="s">
        <v>744</v>
      </c>
      <c r="D12" s="252" t="s">
        <v>1140</v>
      </c>
      <c r="E12" s="252" t="s">
        <v>1167</v>
      </c>
      <c r="F12" s="249" t="s">
        <v>1141</v>
      </c>
      <c r="G12" s="249" t="s">
        <v>674</v>
      </c>
      <c r="H12" s="249" t="s">
        <v>33</v>
      </c>
      <c r="I12" s="251" t="s">
        <v>1138</v>
      </c>
      <c r="J12" s="253" t="s">
        <v>1168</v>
      </c>
      <c r="K12" s="254"/>
      <c r="L12" s="254"/>
      <c r="M12" s="256"/>
      <c r="N12" s="249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</row>
    <row r="13" spans="1:43" ht="33.75">
      <c r="A13" s="249">
        <v>12</v>
      </c>
      <c r="B13" s="249" t="s">
        <v>1169</v>
      </c>
      <c r="C13" s="250" t="s">
        <v>666</v>
      </c>
      <c r="D13" s="252" t="s">
        <v>1140</v>
      </c>
      <c r="E13" s="252" t="s">
        <v>1169</v>
      </c>
      <c r="F13" s="249" t="s">
        <v>1141</v>
      </c>
      <c r="G13" s="249" t="s">
        <v>1155</v>
      </c>
      <c r="H13" s="249" t="s">
        <v>1795</v>
      </c>
      <c r="I13" s="251" t="s">
        <v>1154</v>
      </c>
      <c r="J13" s="253" t="s">
        <v>1170</v>
      </c>
      <c r="K13" s="254"/>
      <c r="L13" s="254"/>
      <c r="M13" s="256"/>
      <c r="N13" s="249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</row>
    <row r="14" spans="1:43" ht="33.75">
      <c r="A14" s="249">
        <v>13</v>
      </c>
      <c r="B14" s="249" t="s">
        <v>1169</v>
      </c>
      <c r="C14" s="250" t="s">
        <v>666</v>
      </c>
      <c r="D14" s="252" t="s">
        <v>1140</v>
      </c>
      <c r="E14" s="252" t="s">
        <v>1171</v>
      </c>
      <c r="F14" s="249" t="s">
        <v>1141</v>
      </c>
      <c r="G14" s="249" t="s">
        <v>1155</v>
      </c>
      <c r="H14" s="249" t="s">
        <v>1796</v>
      </c>
      <c r="I14" s="251" t="s">
        <v>1154</v>
      </c>
      <c r="J14" s="253" t="s">
        <v>1172</v>
      </c>
      <c r="K14" s="254"/>
      <c r="L14" s="254"/>
      <c r="M14" s="256"/>
      <c r="N14" s="249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</row>
    <row r="15" spans="1:43" ht="33.75">
      <c r="A15" s="249">
        <v>14</v>
      </c>
      <c r="B15" s="249" t="s">
        <v>1169</v>
      </c>
      <c r="C15" s="250" t="s">
        <v>666</v>
      </c>
      <c r="D15" s="252" t="s">
        <v>1140</v>
      </c>
      <c r="E15" s="252" t="s">
        <v>1173</v>
      </c>
      <c r="F15" s="249" t="s">
        <v>1141</v>
      </c>
      <c r="G15" s="249" t="s">
        <v>1155</v>
      </c>
      <c r="H15" s="249" t="s">
        <v>30</v>
      </c>
      <c r="I15" s="251" t="s">
        <v>1154</v>
      </c>
      <c r="J15" s="253" t="s">
        <v>1174</v>
      </c>
      <c r="K15" s="254"/>
      <c r="L15" s="254"/>
      <c r="M15" s="256"/>
      <c r="N15" s="249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</row>
    <row r="16" spans="1:43" ht="33.75">
      <c r="A16" s="249">
        <v>15</v>
      </c>
      <c r="B16" s="249" t="s">
        <v>1169</v>
      </c>
      <c r="C16" s="250" t="s">
        <v>660</v>
      </c>
      <c r="D16" s="252" t="s">
        <v>1140</v>
      </c>
      <c r="E16" s="252" t="s">
        <v>1175</v>
      </c>
      <c r="F16" s="249" t="s">
        <v>1141</v>
      </c>
      <c r="G16" s="249" t="s">
        <v>1155</v>
      </c>
      <c r="H16" s="249" t="s">
        <v>33</v>
      </c>
      <c r="I16" s="251" t="s">
        <v>1154</v>
      </c>
      <c r="J16" s="253" t="s">
        <v>1176</v>
      </c>
      <c r="K16" s="254"/>
      <c r="L16" s="254"/>
      <c r="N16" s="249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</row>
    <row r="17" spans="1:43" ht="33.75">
      <c r="A17" s="249">
        <v>16</v>
      </c>
      <c r="B17" s="249" t="s">
        <v>1177</v>
      </c>
      <c r="C17" s="250" t="s">
        <v>438</v>
      </c>
      <c r="D17" s="252" t="s">
        <v>1177</v>
      </c>
      <c r="E17" s="252" t="s">
        <v>1177</v>
      </c>
      <c r="F17" s="249" t="s">
        <v>1141</v>
      </c>
      <c r="G17" s="249" t="s">
        <v>1178</v>
      </c>
      <c r="H17" s="249" t="s">
        <v>1795</v>
      </c>
      <c r="I17" s="251" t="s">
        <v>1138</v>
      </c>
      <c r="J17" s="253" t="s">
        <v>1179</v>
      </c>
      <c r="K17" s="254"/>
      <c r="L17" s="259"/>
      <c r="M17" s="266"/>
      <c r="Q17" s="259"/>
      <c r="U17" s="267"/>
      <c r="Y17" s="259"/>
      <c r="Z17" s="268"/>
      <c r="AA17" s="268"/>
      <c r="AB17" s="266"/>
      <c r="AD17" s="269"/>
      <c r="AE17" s="256"/>
      <c r="AF17" s="270"/>
      <c r="AH17" s="268"/>
      <c r="AI17" s="259"/>
      <c r="AJ17" s="268"/>
      <c r="AL17" s="271"/>
      <c r="AM17" s="249"/>
      <c r="AN17" s="254"/>
      <c r="AO17" s="254"/>
      <c r="AP17" s="254"/>
      <c r="AQ17" s="254"/>
    </row>
    <row r="18" spans="1:43" ht="33.75">
      <c r="A18" s="249">
        <v>17</v>
      </c>
      <c r="B18" s="249" t="s">
        <v>1177</v>
      </c>
      <c r="C18" s="250" t="s">
        <v>438</v>
      </c>
      <c r="D18" s="252" t="s">
        <v>1177</v>
      </c>
      <c r="E18" s="252" t="s">
        <v>1180</v>
      </c>
      <c r="F18" s="249" t="s">
        <v>1141</v>
      </c>
      <c r="G18" s="249" t="s">
        <v>1178</v>
      </c>
      <c r="H18" s="249" t="s">
        <v>1796</v>
      </c>
      <c r="I18" s="251" t="s">
        <v>1138</v>
      </c>
      <c r="J18" s="253" t="s">
        <v>1181</v>
      </c>
      <c r="K18" s="254"/>
      <c r="L18" s="259"/>
      <c r="M18" s="266"/>
      <c r="Q18" s="259"/>
      <c r="U18" s="267"/>
      <c r="Y18" s="259"/>
      <c r="Z18" s="268"/>
      <c r="AA18" s="268"/>
      <c r="AB18" s="266"/>
      <c r="AD18" s="269"/>
      <c r="AE18" s="256"/>
      <c r="AF18" s="270"/>
      <c r="AH18" s="268"/>
      <c r="AI18" s="259"/>
      <c r="AJ18" s="268"/>
      <c r="AL18" s="271"/>
      <c r="AM18" s="249"/>
      <c r="AN18" s="254"/>
      <c r="AO18" s="254"/>
      <c r="AP18" s="254"/>
      <c r="AQ18" s="254"/>
    </row>
    <row r="19" spans="1:43" ht="33.75">
      <c r="A19" s="249">
        <v>18</v>
      </c>
      <c r="B19" s="249" t="s">
        <v>1177</v>
      </c>
      <c r="C19" s="250" t="s">
        <v>438</v>
      </c>
      <c r="D19" s="252" t="s">
        <v>1177</v>
      </c>
      <c r="E19" s="252" t="s">
        <v>1182</v>
      </c>
      <c r="F19" s="249" t="s">
        <v>1141</v>
      </c>
      <c r="G19" s="249" t="s">
        <v>1178</v>
      </c>
      <c r="H19" s="249" t="s">
        <v>30</v>
      </c>
      <c r="I19" s="251" t="s">
        <v>1138</v>
      </c>
      <c r="J19" s="253" t="s">
        <v>1183</v>
      </c>
      <c r="K19" s="254"/>
      <c r="L19" s="259"/>
      <c r="M19" s="266"/>
      <c r="Q19" s="259"/>
      <c r="U19" s="267"/>
      <c r="Y19" s="259"/>
      <c r="Z19" s="268"/>
      <c r="AA19" s="268"/>
      <c r="AB19" s="266"/>
      <c r="AD19" s="269"/>
      <c r="AE19" s="256"/>
      <c r="AF19" s="270"/>
      <c r="AH19" s="268"/>
      <c r="AI19" s="259"/>
      <c r="AJ19" s="268"/>
      <c r="AL19" s="271"/>
      <c r="AM19" s="249"/>
      <c r="AN19" s="254"/>
      <c r="AO19" s="254"/>
      <c r="AP19" s="254"/>
      <c r="AQ19" s="254"/>
    </row>
    <row r="20" spans="1:43" ht="33.75">
      <c r="A20" s="249">
        <v>19</v>
      </c>
      <c r="B20" s="249" t="s">
        <v>1177</v>
      </c>
      <c r="C20" s="250" t="s">
        <v>420</v>
      </c>
      <c r="D20" s="252" t="s">
        <v>1177</v>
      </c>
      <c r="E20" s="252" t="s">
        <v>1184</v>
      </c>
      <c r="F20" s="249" t="s">
        <v>1141</v>
      </c>
      <c r="G20" s="249" t="s">
        <v>1178</v>
      </c>
      <c r="H20" s="249" t="s">
        <v>33</v>
      </c>
      <c r="I20" s="251" t="s">
        <v>1138</v>
      </c>
      <c r="J20" s="253" t="s">
        <v>1185</v>
      </c>
      <c r="K20" s="254"/>
      <c r="L20" s="259"/>
      <c r="M20" s="266"/>
      <c r="Q20" s="259"/>
      <c r="U20" s="267"/>
      <c r="Y20" s="259"/>
      <c r="Z20" s="268"/>
      <c r="AA20" s="268"/>
      <c r="AB20" s="266"/>
      <c r="AD20" s="269"/>
      <c r="AE20" s="256"/>
      <c r="AF20" s="270"/>
      <c r="AH20" s="268"/>
      <c r="AI20" s="259"/>
      <c r="AJ20" s="268"/>
      <c r="AL20" s="271"/>
      <c r="AM20" s="249"/>
      <c r="AN20" s="254"/>
      <c r="AO20" s="254"/>
      <c r="AP20" s="254"/>
      <c r="AQ20" s="254"/>
    </row>
    <row r="21" spans="1:43" ht="33.75">
      <c r="A21" s="249">
        <v>20</v>
      </c>
      <c r="B21" s="249" t="s">
        <v>1186</v>
      </c>
      <c r="C21" s="250" t="s">
        <v>255</v>
      </c>
      <c r="D21" s="252" t="s">
        <v>323</v>
      </c>
      <c r="E21" s="252" t="s">
        <v>1188</v>
      </c>
      <c r="F21" s="249" t="s">
        <v>1141</v>
      </c>
      <c r="G21" s="249" t="s">
        <v>1155</v>
      </c>
      <c r="H21" s="249" t="s">
        <v>1795</v>
      </c>
      <c r="I21" s="251" t="s">
        <v>1187</v>
      </c>
      <c r="J21" s="253" t="s">
        <v>1189</v>
      </c>
      <c r="K21" s="254"/>
      <c r="L21" s="259"/>
      <c r="M21" s="266"/>
      <c r="Q21" s="259"/>
      <c r="U21" s="267"/>
      <c r="Y21" s="259"/>
      <c r="Z21" s="268"/>
      <c r="AA21" s="268"/>
      <c r="AB21" s="266"/>
      <c r="AD21" s="269"/>
      <c r="AE21" s="256"/>
      <c r="AF21" s="270"/>
      <c r="AH21" s="268"/>
      <c r="AI21" s="259"/>
      <c r="AJ21" s="268"/>
      <c r="AL21" s="271"/>
      <c r="AM21" s="249"/>
      <c r="AN21" s="254"/>
      <c r="AO21" s="254"/>
      <c r="AP21" s="254"/>
      <c r="AQ21" s="254"/>
    </row>
    <row r="22" spans="1:43" s="249" customFormat="1" ht="33.75">
      <c r="A22" s="249">
        <v>21</v>
      </c>
      <c r="B22" s="249" t="s">
        <v>1190</v>
      </c>
      <c r="C22" s="250" t="s">
        <v>263</v>
      </c>
      <c r="D22" s="252" t="s">
        <v>323</v>
      </c>
      <c r="E22" s="252" t="s">
        <v>1188</v>
      </c>
      <c r="F22" s="249" t="s">
        <v>1192</v>
      </c>
      <c r="G22" s="249" t="s">
        <v>1155</v>
      </c>
      <c r="H22" s="249" t="s">
        <v>1795</v>
      </c>
      <c r="I22" s="251" t="s">
        <v>1191</v>
      </c>
      <c r="J22" s="253" t="s">
        <v>1193</v>
      </c>
      <c r="K22" s="254"/>
    </row>
    <row r="23" spans="1:43" s="249" customFormat="1" ht="33.75">
      <c r="A23" s="249">
        <v>22</v>
      </c>
      <c r="B23" s="249" t="s">
        <v>1194</v>
      </c>
      <c r="C23" s="250" t="s">
        <v>255</v>
      </c>
      <c r="D23" s="252" t="s">
        <v>323</v>
      </c>
      <c r="E23" s="252" t="s">
        <v>1195</v>
      </c>
      <c r="F23" s="249" t="s">
        <v>1141</v>
      </c>
      <c r="G23" s="249" t="s">
        <v>1155</v>
      </c>
      <c r="H23" s="249" t="s">
        <v>1796</v>
      </c>
      <c r="I23" s="251" t="s">
        <v>1187</v>
      </c>
      <c r="J23" s="253" t="s">
        <v>1196</v>
      </c>
      <c r="K23" s="254"/>
    </row>
    <row r="24" spans="1:43" s="249" customFormat="1" ht="33.75">
      <c r="A24" s="249">
        <v>23</v>
      </c>
      <c r="B24" s="249" t="s">
        <v>1197</v>
      </c>
      <c r="C24" s="250" t="s">
        <v>263</v>
      </c>
      <c r="D24" s="252" t="s">
        <v>323</v>
      </c>
      <c r="E24" s="252" t="s">
        <v>1195</v>
      </c>
      <c r="F24" s="249" t="s">
        <v>1192</v>
      </c>
      <c r="G24" s="249" t="s">
        <v>1155</v>
      </c>
      <c r="H24" s="249" t="s">
        <v>1796</v>
      </c>
      <c r="I24" s="251" t="s">
        <v>1191</v>
      </c>
      <c r="J24" s="253" t="s">
        <v>1198</v>
      </c>
      <c r="K24" s="254"/>
    </row>
    <row r="25" spans="1:43" s="249" customFormat="1" ht="33.75">
      <c r="A25" s="249">
        <v>24</v>
      </c>
      <c r="B25" s="249" t="s">
        <v>1199</v>
      </c>
      <c r="C25" s="250" t="s">
        <v>255</v>
      </c>
      <c r="D25" s="252" t="s">
        <v>323</v>
      </c>
      <c r="E25" s="252" t="s">
        <v>1200</v>
      </c>
      <c r="F25" s="249" t="s">
        <v>1141</v>
      </c>
      <c r="G25" s="249" t="s">
        <v>1155</v>
      </c>
      <c r="H25" s="249" t="s">
        <v>30</v>
      </c>
      <c r="I25" s="251" t="s">
        <v>1187</v>
      </c>
      <c r="J25" s="253" t="s">
        <v>1201</v>
      </c>
      <c r="K25" s="254"/>
    </row>
    <row r="26" spans="1:43" s="249" customFormat="1" ht="33.75">
      <c r="A26" s="249">
        <v>25</v>
      </c>
      <c r="B26" s="249" t="s">
        <v>1202</v>
      </c>
      <c r="C26" s="250" t="s">
        <v>263</v>
      </c>
      <c r="D26" s="252" t="s">
        <v>323</v>
      </c>
      <c r="E26" s="252" t="s">
        <v>1200</v>
      </c>
      <c r="F26" s="249" t="s">
        <v>1192</v>
      </c>
      <c r="G26" s="249" t="s">
        <v>1155</v>
      </c>
      <c r="H26" s="249" t="s">
        <v>30</v>
      </c>
      <c r="I26" s="251" t="s">
        <v>1191</v>
      </c>
      <c r="J26" s="253" t="s">
        <v>1203</v>
      </c>
      <c r="K26" s="254"/>
    </row>
    <row r="27" spans="1:43" s="249" customFormat="1" ht="33.75">
      <c r="A27" s="249">
        <v>26</v>
      </c>
      <c r="B27" s="249" t="s">
        <v>1204</v>
      </c>
      <c r="C27" s="250" t="s">
        <v>255</v>
      </c>
      <c r="D27" s="252" t="s">
        <v>323</v>
      </c>
      <c r="E27" s="252" t="s">
        <v>1205</v>
      </c>
      <c r="F27" s="249" t="s">
        <v>1141</v>
      </c>
      <c r="G27" s="249" t="s">
        <v>1155</v>
      </c>
      <c r="H27" s="249" t="s">
        <v>1795</v>
      </c>
      <c r="I27" s="251" t="s">
        <v>1187</v>
      </c>
      <c r="J27" s="253" t="s">
        <v>1206</v>
      </c>
      <c r="K27" s="254"/>
    </row>
    <row r="28" spans="1:43" s="249" customFormat="1" ht="33.75">
      <c r="A28" s="249">
        <v>27</v>
      </c>
      <c r="B28" s="249" t="s">
        <v>1207</v>
      </c>
      <c r="C28" s="250" t="s">
        <v>263</v>
      </c>
      <c r="D28" s="252" t="s">
        <v>323</v>
      </c>
      <c r="E28" s="252" t="s">
        <v>1205</v>
      </c>
      <c r="F28" s="249" t="s">
        <v>1192</v>
      </c>
      <c r="G28" s="249" t="s">
        <v>1155</v>
      </c>
      <c r="H28" s="249" t="s">
        <v>1795</v>
      </c>
      <c r="I28" s="251" t="s">
        <v>1191</v>
      </c>
      <c r="J28" s="253" t="s">
        <v>1208</v>
      </c>
      <c r="K28" s="254"/>
    </row>
    <row r="29" spans="1:43" s="249" customFormat="1" ht="33.75">
      <c r="A29" s="249">
        <v>28</v>
      </c>
      <c r="B29" s="249" t="s">
        <v>1207</v>
      </c>
      <c r="C29" s="250" t="s">
        <v>255</v>
      </c>
      <c r="D29" s="252" t="s">
        <v>323</v>
      </c>
      <c r="E29" s="252" t="s">
        <v>1209</v>
      </c>
      <c r="F29" s="249" t="s">
        <v>1141</v>
      </c>
      <c r="G29" s="249" t="s">
        <v>1155</v>
      </c>
      <c r="H29" s="249" t="s">
        <v>1796</v>
      </c>
      <c r="I29" s="251" t="s">
        <v>1187</v>
      </c>
      <c r="J29" s="253" t="s">
        <v>1210</v>
      </c>
      <c r="K29" s="254"/>
    </row>
    <row r="30" spans="1:43" s="249" customFormat="1" ht="33.75">
      <c r="A30" s="249">
        <v>29</v>
      </c>
      <c r="B30" s="249" t="s">
        <v>1211</v>
      </c>
      <c r="C30" s="250" t="s">
        <v>263</v>
      </c>
      <c r="D30" s="252" t="s">
        <v>323</v>
      </c>
      <c r="E30" s="252" t="s">
        <v>1209</v>
      </c>
      <c r="F30" s="249" t="s">
        <v>1192</v>
      </c>
      <c r="G30" s="249" t="s">
        <v>1155</v>
      </c>
      <c r="H30" s="249" t="s">
        <v>1796</v>
      </c>
      <c r="I30" s="251" t="s">
        <v>1191</v>
      </c>
      <c r="J30" s="253" t="s">
        <v>1212</v>
      </c>
      <c r="K30" s="254"/>
    </row>
    <row r="31" spans="1:43" s="249" customFormat="1" ht="33.75">
      <c r="A31" s="249">
        <v>30</v>
      </c>
      <c r="B31" s="249" t="s">
        <v>1213</v>
      </c>
      <c r="C31" s="250" t="s">
        <v>255</v>
      </c>
      <c r="D31" s="252" t="s">
        <v>323</v>
      </c>
      <c r="E31" s="252" t="s">
        <v>1214</v>
      </c>
      <c r="F31" s="249" t="s">
        <v>1141</v>
      </c>
      <c r="G31" s="249" t="s">
        <v>1155</v>
      </c>
      <c r="H31" s="249" t="s">
        <v>30</v>
      </c>
      <c r="I31" s="251" t="s">
        <v>1187</v>
      </c>
      <c r="J31" s="253" t="s">
        <v>1215</v>
      </c>
      <c r="K31" s="254"/>
    </row>
    <row r="32" spans="1:43" s="249" customFormat="1" ht="33.75">
      <c r="A32" s="249">
        <v>31</v>
      </c>
      <c r="B32" s="249" t="s">
        <v>1216</v>
      </c>
      <c r="C32" s="250" t="s">
        <v>263</v>
      </c>
      <c r="D32" s="252" t="s">
        <v>323</v>
      </c>
      <c r="E32" s="252" t="s">
        <v>1214</v>
      </c>
      <c r="F32" s="249" t="s">
        <v>1192</v>
      </c>
      <c r="G32" s="249" t="s">
        <v>1155</v>
      </c>
      <c r="H32" s="249" t="s">
        <v>30</v>
      </c>
      <c r="I32" s="251" t="s">
        <v>1191</v>
      </c>
      <c r="J32" s="253" t="s">
        <v>1217</v>
      </c>
      <c r="K32" s="254"/>
    </row>
    <row r="33" spans="1:11" s="249" customFormat="1" ht="33.75">
      <c r="A33" s="249">
        <v>32</v>
      </c>
      <c r="B33" s="249" t="s">
        <v>1218</v>
      </c>
      <c r="C33" s="250" t="s">
        <v>255</v>
      </c>
      <c r="D33" s="252" t="s">
        <v>323</v>
      </c>
      <c r="E33" s="252" t="s">
        <v>1219</v>
      </c>
      <c r="F33" s="249" t="s">
        <v>1141</v>
      </c>
      <c r="G33" s="249" t="s">
        <v>1155</v>
      </c>
      <c r="H33" s="249" t="s">
        <v>1795</v>
      </c>
      <c r="I33" s="251" t="s">
        <v>1154</v>
      </c>
      <c r="J33" s="253" t="s">
        <v>1220</v>
      </c>
      <c r="K33" s="254"/>
    </row>
    <row r="34" spans="1:11" s="249" customFormat="1" ht="33.75">
      <c r="A34" s="249">
        <v>33</v>
      </c>
      <c r="B34" s="249" t="s">
        <v>1219</v>
      </c>
      <c r="C34" s="250" t="s">
        <v>255</v>
      </c>
      <c r="D34" s="252" t="s">
        <v>323</v>
      </c>
      <c r="E34" s="252" t="s">
        <v>323</v>
      </c>
      <c r="F34" s="249" t="s">
        <v>1141</v>
      </c>
      <c r="G34" s="249" t="s">
        <v>1155</v>
      </c>
      <c r="H34" s="249" t="s">
        <v>1796</v>
      </c>
      <c r="I34" s="251" t="s">
        <v>1154</v>
      </c>
      <c r="J34" s="253" t="s">
        <v>1221</v>
      </c>
      <c r="K34" s="254"/>
    </row>
    <row r="35" spans="1:11" s="249" customFormat="1" ht="33.75">
      <c r="A35" s="249">
        <v>34</v>
      </c>
      <c r="B35" s="249" t="s">
        <v>1219</v>
      </c>
      <c r="C35" s="250" t="s">
        <v>255</v>
      </c>
      <c r="D35" s="252" t="s">
        <v>323</v>
      </c>
      <c r="E35" s="252" t="s">
        <v>1222</v>
      </c>
      <c r="F35" s="249" t="s">
        <v>1141</v>
      </c>
      <c r="G35" s="249" t="s">
        <v>1155</v>
      </c>
      <c r="H35" s="249" t="s">
        <v>30</v>
      </c>
      <c r="I35" s="251" t="s">
        <v>1154</v>
      </c>
      <c r="J35" s="253" t="s">
        <v>1223</v>
      </c>
      <c r="K35" s="254"/>
    </row>
    <row r="36" spans="1:11" s="249" customFormat="1" ht="33.75">
      <c r="A36" s="249">
        <v>35</v>
      </c>
      <c r="B36" s="249" t="s">
        <v>1224</v>
      </c>
      <c r="C36" s="250" t="s">
        <v>255</v>
      </c>
      <c r="D36" s="252" t="s">
        <v>323</v>
      </c>
      <c r="E36" s="252" t="s">
        <v>1060</v>
      </c>
      <c r="F36" s="249" t="s">
        <v>1141</v>
      </c>
      <c r="G36" s="249" t="s">
        <v>1155</v>
      </c>
      <c r="H36" s="249" t="s">
        <v>1795</v>
      </c>
      <c r="I36" s="251" t="s">
        <v>1187</v>
      </c>
      <c r="J36" s="253" t="s">
        <v>1225</v>
      </c>
      <c r="K36" s="254"/>
    </row>
    <row r="37" spans="1:11" s="249" customFormat="1" ht="33.75">
      <c r="A37" s="249">
        <v>36</v>
      </c>
      <c r="B37" s="249" t="s">
        <v>1226</v>
      </c>
      <c r="C37" s="250" t="s">
        <v>263</v>
      </c>
      <c r="D37" s="252" t="s">
        <v>323</v>
      </c>
      <c r="E37" s="252" t="s">
        <v>1060</v>
      </c>
      <c r="F37" s="249" t="s">
        <v>1192</v>
      </c>
      <c r="G37" s="249" t="s">
        <v>1155</v>
      </c>
      <c r="H37" s="249" t="s">
        <v>1795</v>
      </c>
      <c r="I37" s="251" t="s">
        <v>1191</v>
      </c>
      <c r="J37" s="253" t="s">
        <v>1227</v>
      </c>
      <c r="K37" s="254"/>
    </row>
    <row r="38" spans="1:11" s="249" customFormat="1" ht="33.75">
      <c r="A38" s="249">
        <v>37</v>
      </c>
      <c r="B38" s="249" t="s">
        <v>1228</v>
      </c>
      <c r="C38" s="250" t="s">
        <v>255</v>
      </c>
      <c r="D38" s="252" t="s">
        <v>323</v>
      </c>
      <c r="E38" s="252" t="s">
        <v>1229</v>
      </c>
      <c r="F38" s="249" t="s">
        <v>1141</v>
      </c>
      <c r="G38" s="249" t="s">
        <v>1155</v>
      </c>
      <c r="H38" s="249" t="s">
        <v>1796</v>
      </c>
      <c r="I38" s="251" t="s">
        <v>1187</v>
      </c>
      <c r="J38" s="253" t="s">
        <v>1230</v>
      </c>
      <c r="K38" s="254"/>
    </row>
    <row r="39" spans="1:11" s="249" customFormat="1" ht="33.75">
      <c r="A39" s="249">
        <v>38</v>
      </c>
      <c r="B39" s="249" t="s">
        <v>1231</v>
      </c>
      <c r="C39" s="250" t="s">
        <v>263</v>
      </c>
      <c r="D39" s="252" t="s">
        <v>323</v>
      </c>
      <c r="E39" s="252" t="s">
        <v>1229</v>
      </c>
      <c r="F39" s="249" t="s">
        <v>1192</v>
      </c>
      <c r="G39" s="249" t="s">
        <v>1155</v>
      </c>
      <c r="H39" s="249" t="s">
        <v>1796</v>
      </c>
      <c r="I39" s="251" t="s">
        <v>1191</v>
      </c>
      <c r="J39" s="253" t="s">
        <v>1232</v>
      </c>
      <c r="K39" s="254"/>
    </row>
    <row r="40" spans="1:11" s="249" customFormat="1" ht="33.75">
      <c r="A40" s="249">
        <v>39</v>
      </c>
      <c r="B40" s="249" t="s">
        <v>1233</v>
      </c>
      <c r="C40" s="250" t="s">
        <v>255</v>
      </c>
      <c r="D40" s="252" t="s">
        <v>323</v>
      </c>
      <c r="E40" s="252" t="s">
        <v>1234</v>
      </c>
      <c r="F40" s="249" t="s">
        <v>1141</v>
      </c>
      <c r="G40" s="249" t="s">
        <v>1155</v>
      </c>
      <c r="H40" s="249" t="s">
        <v>30</v>
      </c>
      <c r="I40" s="251" t="s">
        <v>1187</v>
      </c>
      <c r="J40" s="253" t="s">
        <v>1235</v>
      </c>
      <c r="K40" s="254"/>
    </row>
    <row r="41" spans="1:11" s="249" customFormat="1" ht="33.75">
      <c r="A41" s="249">
        <v>40</v>
      </c>
      <c r="B41" s="249" t="s">
        <v>1236</v>
      </c>
      <c r="C41" s="250" t="s">
        <v>263</v>
      </c>
      <c r="D41" s="252" t="s">
        <v>323</v>
      </c>
      <c r="E41" s="252" t="s">
        <v>1234</v>
      </c>
      <c r="F41" s="249" t="s">
        <v>1192</v>
      </c>
      <c r="G41" s="249" t="s">
        <v>1155</v>
      </c>
      <c r="H41" s="249" t="s">
        <v>30</v>
      </c>
      <c r="I41" s="251" t="s">
        <v>1191</v>
      </c>
      <c r="J41" s="253" t="s">
        <v>1237</v>
      </c>
      <c r="K41" s="254"/>
    </row>
    <row r="42" spans="1:11" s="249" customFormat="1" ht="33.75">
      <c r="A42" s="249">
        <v>41</v>
      </c>
      <c r="B42" s="249" t="s">
        <v>1238</v>
      </c>
      <c r="C42" s="250" t="s">
        <v>259</v>
      </c>
      <c r="D42" s="252" t="s">
        <v>1239</v>
      </c>
      <c r="E42" s="252" t="s">
        <v>1238</v>
      </c>
      <c r="F42" s="249" t="s">
        <v>1141</v>
      </c>
      <c r="G42" s="249" t="s">
        <v>1155</v>
      </c>
      <c r="H42" s="249" t="s">
        <v>1795</v>
      </c>
      <c r="I42" s="251" t="s">
        <v>1154</v>
      </c>
      <c r="J42" s="253" t="s">
        <v>1240</v>
      </c>
      <c r="K42" s="254"/>
    </row>
    <row r="43" spans="1:11" s="249" customFormat="1" ht="33.75">
      <c r="A43" s="249">
        <v>42</v>
      </c>
      <c r="B43" s="249" t="s">
        <v>1238</v>
      </c>
      <c r="C43" s="250" t="s">
        <v>259</v>
      </c>
      <c r="D43" s="252" t="s">
        <v>1239</v>
      </c>
      <c r="E43" s="252" t="s">
        <v>4</v>
      </c>
      <c r="F43" s="249" t="s">
        <v>1141</v>
      </c>
      <c r="G43" s="249" t="s">
        <v>1155</v>
      </c>
      <c r="H43" s="249" t="s">
        <v>1796</v>
      </c>
      <c r="I43" s="251" t="s">
        <v>1154</v>
      </c>
      <c r="J43" s="253" t="s">
        <v>1241</v>
      </c>
      <c r="K43" s="254"/>
    </row>
    <row r="44" spans="1:11" s="249" customFormat="1" ht="33.75">
      <c r="A44" s="249">
        <v>43</v>
      </c>
      <c r="B44" s="249" t="s">
        <v>1238</v>
      </c>
      <c r="C44" s="250" t="s">
        <v>259</v>
      </c>
      <c r="D44" s="252" t="s">
        <v>1239</v>
      </c>
      <c r="E44" s="252" t="s">
        <v>1242</v>
      </c>
      <c r="F44" s="249" t="s">
        <v>1141</v>
      </c>
      <c r="G44" s="249" t="s">
        <v>1155</v>
      </c>
      <c r="H44" s="249" t="s">
        <v>30</v>
      </c>
      <c r="I44" s="251" t="s">
        <v>1154</v>
      </c>
      <c r="J44" s="253" t="s">
        <v>1243</v>
      </c>
      <c r="K44" s="254"/>
    </row>
    <row r="45" spans="1:11" s="249" customFormat="1" ht="33.75">
      <c r="A45" s="249">
        <v>44</v>
      </c>
      <c r="B45" s="249" t="s">
        <v>1244</v>
      </c>
      <c r="C45" s="250" t="s">
        <v>259</v>
      </c>
      <c r="D45" s="252" t="s">
        <v>1239</v>
      </c>
      <c r="E45" s="252" t="s">
        <v>1244</v>
      </c>
      <c r="F45" s="249" t="s">
        <v>1141</v>
      </c>
      <c r="G45" s="249" t="s">
        <v>1155</v>
      </c>
      <c r="H45" s="249" t="s">
        <v>1795</v>
      </c>
      <c r="I45" s="251" t="s">
        <v>1154</v>
      </c>
      <c r="J45" s="253" t="s">
        <v>1245</v>
      </c>
      <c r="K45" s="254"/>
    </row>
    <row r="46" spans="1:11" s="249" customFormat="1" ht="33.75">
      <c r="A46" s="249">
        <v>45</v>
      </c>
      <c r="B46" s="249" t="s">
        <v>1244</v>
      </c>
      <c r="C46" s="250" t="s">
        <v>259</v>
      </c>
      <c r="D46" s="252" t="s">
        <v>1239</v>
      </c>
      <c r="E46" s="252" t="s">
        <v>1246</v>
      </c>
      <c r="F46" s="249" t="s">
        <v>1141</v>
      </c>
      <c r="G46" s="249" t="s">
        <v>1155</v>
      </c>
      <c r="H46" s="249" t="s">
        <v>1796</v>
      </c>
      <c r="I46" s="251" t="s">
        <v>1154</v>
      </c>
      <c r="J46" s="253" t="s">
        <v>1247</v>
      </c>
      <c r="K46" s="254"/>
    </row>
    <row r="47" spans="1:11" s="249" customFormat="1" ht="33.75">
      <c r="A47" s="249">
        <v>46</v>
      </c>
      <c r="B47" s="249" t="s">
        <v>1244</v>
      </c>
      <c r="C47" s="250" t="s">
        <v>259</v>
      </c>
      <c r="D47" s="252" t="s">
        <v>1239</v>
      </c>
      <c r="E47" s="252" t="s">
        <v>1239</v>
      </c>
      <c r="F47" s="249" t="s">
        <v>1141</v>
      </c>
      <c r="G47" s="249" t="s">
        <v>1155</v>
      </c>
      <c r="H47" s="249" t="s">
        <v>30</v>
      </c>
      <c r="I47" s="251" t="s">
        <v>1154</v>
      </c>
      <c r="J47" s="253" t="s">
        <v>1248</v>
      </c>
      <c r="K47" s="254"/>
    </row>
    <row r="48" spans="1:11" s="249" customFormat="1" ht="33.75">
      <c r="A48" s="249">
        <v>47</v>
      </c>
      <c r="B48" s="249" t="s">
        <v>1249</v>
      </c>
      <c r="C48" s="250" t="s">
        <v>780</v>
      </c>
      <c r="D48" s="252" t="s">
        <v>1239</v>
      </c>
      <c r="E48" s="252" t="s">
        <v>1249</v>
      </c>
      <c r="F48" s="249" t="s">
        <v>1141</v>
      </c>
      <c r="G48" s="249" t="s">
        <v>674</v>
      </c>
      <c r="H48" s="249" t="s">
        <v>1795</v>
      </c>
      <c r="I48" s="251" t="s">
        <v>1138</v>
      </c>
      <c r="J48" s="253" t="s">
        <v>1250</v>
      </c>
      <c r="K48" s="254"/>
    </row>
    <row r="49" spans="1:11" s="249" customFormat="1" ht="33.75">
      <c r="A49" s="249">
        <v>48</v>
      </c>
      <c r="B49" s="249" t="s">
        <v>1249</v>
      </c>
      <c r="C49" s="250" t="s">
        <v>780</v>
      </c>
      <c r="D49" s="252" t="s">
        <v>1239</v>
      </c>
      <c r="E49" s="252" t="s">
        <v>1251</v>
      </c>
      <c r="F49" s="249" t="s">
        <v>1141</v>
      </c>
      <c r="G49" s="249" t="s">
        <v>674</v>
      </c>
      <c r="H49" s="249" t="s">
        <v>1796</v>
      </c>
      <c r="I49" s="251" t="s">
        <v>1138</v>
      </c>
      <c r="J49" s="253" t="s">
        <v>1252</v>
      </c>
      <c r="K49" s="254"/>
    </row>
    <row r="50" spans="1:11" s="249" customFormat="1" ht="33.75">
      <c r="A50" s="249">
        <v>49</v>
      </c>
      <c r="B50" s="249" t="s">
        <v>1249</v>
      </c>
      <c r="C50" s="250" t="s">
        <v>780</v>
      </c>
      <c r="D50" s="252" t="s">
        <v>1239</v>
      </c>
      <c r="E50" s="252" t="s">
        <v>1253</v>
      </c>
      <c r="F50" s="249" t="s">
        <v>1141</v>
      </c>
      <c r="G50" s="249" t="s">
        <v>674</v>
      </c>
      <c r="H50" s="249" t="s">
        <v>30</v>
      </c>
      <c r="I50" s="251" t="s">
        <v>1138</v>
      </c>
      <c r="J50" s="253" t="s">
        <v>1254</v>
      </c>
      <c r="K50" s="254"/>
    </row>
    <row r="51" spans="1:11" s="249" customFormat="1" ht="33.75">
      <c r="A51" s="249">
        <v>50</v>
      </c>
      <c r="B51" s="249" t="s">
        <v>1255</v>
      </c>
      <c r="C51" s="250" t="s">
        <v>253</v>
      </c>
      <c r="D51" s="252" t="s">
        <v>1257</v>
      </c>
      <c r="E51" s="252" t="s">
        <v>1256</v>
      </c>
      <c r="F51" s="249" t="s">
        <v>1141</v>
      </c>
      <c r="G51" s="249" t="s">
        <v>1258</v>
      </c>
      <c r="H51" s="249" t="s">
        <v>1795</v>
      </c>
      <c r="I51" s="251" t="s">
        <v>1187</v>
      </c>
      <c r="J51" s="253" t="s">
        <v>1259</v>
      </c>
      <c r="K51" s="254"/>
    </row>
    <row r="52" spans="1:11" s="249" customFormat="1" ht="33.75">
      <c r="A52" s="249">
        <v>51</v>
      </c>
      <c r="B52" s="249" t="s">
        <v>1260</v>
      </c>
      <c r="C52" s="250" t="s">
        <v>263</v>
      </c>
      <c r="D52" s="252" t="s">
        <v>1257</v>
      </c>
      <c r="E52" s="252" t="s">
        <v>1256</v>
      </c>
      <c r="F52" s="249" t="s">
        <v>1192</v>
      </c>
      <c r="G52" s="249" t="s">
        <v>1258</v>
      </c>
      <c r="H52" s="249" t="s">
        <v>1795</v>
      </c>
      <c r="I52" s="251" t="s">
        <v>1191</v>
      </c>
      <c r="J52" s="253" t="s">
        <v>1261</v>
      </c>
      <c r="K52" s="260" t="s">
        <v>1262</v>
      </c>
    </row>
    <row r="53" spans="1:11" s="249" customFormat="1" ht="33.75">
      <c r="A53" s="249">
        <v>52</v>
      </c>
      <c r="B53" s="249" t="s">
        <v>1263</v>
      </c>
      <c r="C53" s="250" t="s">
        <v>253</v>
      </c>
      <c r="D53" s="252" t="s">
        <v>1257</v>
      </c>
      <c r="E53" s="252" t="s">
        <v>1264</v>
      </c>
      <c r="F53" s="249" t="s">
        <v>1141</v>
      </c>
      <c r="G53" s="249" t="s">
        <v>1258</v>
      </c>
      <c r="H53" s="249" t="s">
        <v>1796</v>
      </c>
      <c r="I53" s="251" t="s">
        <v>1187</v>
      </c>
      <c r="J53" s="253" t="s">
        <v>1265</v>
      </c>
      <c r="K53" s="254"/>
    </row>
    <row r="54" spans="1:11" s="249" customFormat="1" ht="33.75">
      <c r="A54" s="249">
        <v>53</v>
      </c>
      <c r="B54" s="249" t="s">
        <v>1266</v>
      </c>
      <c r="C54" s="250" t="s">
        <v>263</v>
      </c>
      <c r="D54" s="252" t="s">
        <v>1257</v>
      </c>
      <c r="E54" s="252" t="s">
        <v>1264</v>
      </c>
      <c r="F54" s="249" t="s">
        <v>1192</v>
      </c>
      <c r="G54" s="249" t="s">
        <v>1258</v>
      </c>
      <c r="H54" s="249" t="s">
        <v>1796</v>
      </c>
      <c r="I54" s="251" t="s">
        <v>1191</v>
      </c>
      <c r="J54" s="253"/>
      <c r="K54" s="260" t="s">
        <v>1267</v>
      </c>
    </row>
    <row r="55" spans="1:11" s="249" customFormat="1" ht="33.75">
      <c r="A55" s="249">
        <v>54</v>
      </c>
      <c r="B55" s="249" t="s">
        <v>1268</v>
      </c>
      <c r="C55" s="250" t="s">
        <v>253</v>
      </c>
      <c r="D55" s="252" t="s">
        <v>1257</v>
      </c>
      <c r="E55" s="252" t="s">
        <v>1269</v>
      </c>
      <c r="F55" s="249" t="s">
        <v>1141</v>
      </c>
      <c r="G55" s="249" t="s">
        <v>1258</v>
      </c>
      <c r="H55" s="249" t="s">
        <v>30</v>
      </c>
      <c r="I55" s="251" t="s">
        <v>1187</v>
      </c>
      <c r="J55" s="253" t="s">
        <v>1270</v>
      </c>
      <c r="K55" s="254"/>
    </row>
    <row r="56" spans="1:11" s="249" customFormat="1" ht="33.75">
      <c r="A56" s="249">
        <v>55</v>
      </c>
      <c r="B56" s="249" t="s">
        <v>1271</v>
      </c>
      <c r="C56" s="250" t="s">
        <v>263</v>
      </c>
      <c r="D56" s="252" t="s">
        <v>1257</v>
      </c>
      <c r="E56" s="252" t="s">
        <v>1269</v>
      </c>
      <c r="F56" s="249" t="s">
        <v>1192</v>
      </c>
      <c r="G56" s="249" t="s">
        <v>1258</v>
      </c>
      <c r="H56" s="249" t="s">
        <v>30</v>
      </c>
      <c r="I56" s="251" t="s">
        <v>1191</v>
      </c>
      <c r="J56" s="253" t="s">
        <v>1272</v>
      </c>
      <c r="K56" s="254"/>
    </row>
    <row r="57" spans="1:11" s="249" customFormat="1" ht="33.75">
      <c r="A57" s="249">
        <v>56</v>
      </c>
      <c r="B57" s="249" t="s">
        <v>1273</v>
      </c>
      <c r="C57" s="250" t="s">
        <v>253</v>
      </c>
      <c r="D57" s="252" t="s">
        <v>1257</v>
      </c>
      <c r="E57" s="252" t="s">
        <v>1274</v>
      </c>
      <c r="F57" s="249" t="s">
        <v>1141</v>
      </c>
      <c r="G57" s="249" t="s">
        <v>1155</v>
      </c>
      <c r="H57" s="249" t="s">
        <v>30</v>
      </c>
      <c r="I57" s="251" t="s">
        <v>1187</v>
      </c>
      <c r="J57" s="253" t="s">
        <v>1275</v>
      </c>
      <c r="K57" s="254"/>
    </row>
    <row r="58" spans="1:11" s="249" customFormat="1" ht="33.75">
      <c r="A58" s="249">
        <v>57</v>
      </c>
      <c r="B58" s="249" t="s">
        <v>1276</v>
      </c>
      <c r="C58" s="250" t="s">
        <v>262</v>
      </c>
      <c r="D58" s="252" t="s">
        <v>1257</v>
      </c>
      <c r="E58" s="252" t="s">
        <v>1274</v>
      </c>
      <c r="F58" s="249" t="s">
        <v>1192</v>
      </c>
      <c r="G58" s="249" t="s">
        <v>1155</v>
      </c>
      <c r="H58" s="249" t="s">
        <v>30</v>
      </c>
      <c r="I58" s="251" t="s">
        <v>1191</v>
      </c>
      <c r="J58" s="253" t="s">
        <v>1277</v>
      </c>
      <c r="K58" s="254"/>
    </row>
    <row r="59" spans="1:11" s="249" customFormat="1" ht="33.75">
      <c r="A59" s="249">
        <v>58</v>
      </c>
      <c r="B59" s="249" t="s">
        <v>1278</v>
      </c>
      <c r="C59" s="250" t="s">
        <v>398</v>
      </c>
      <c r="D59" s="252" t="s">
        <v>1257</v>
      </c>
      <c r="E59" s="252" t="s">
        <v>1280</v>
      </c>
      <c r="F59" s="249" t="s">
        <v>1141</v>
      </c>
      <c r="G59" s="249" t="s">
        <v>674</v>
      </c>
      <c r="H59" s="249" t="s">
        <v>30</v>
      </c>
      <c r="I59" s="251" t="s">
        <v>1279</v>
      </c>
      <c r="J59" s="253" t="s">
        <v>1281</v>
      </c>
      <c r="K59" s="254"/>
    </row>
    <row r="60" spans="1:11" s="249" customFormat="1" ht="33.75">
      <c r="A60" s="249">
        <v>59</v>
      </c>
      <c r="B60" s="249" t="s">
        <v>1282</v>
      </c>
      <c r="C60" s="250" t="s">
        <v>262</v>
      </c>
      <c r="D60" s="252" t="s">
        <v>1257</v>
      </c>
      <c r="E60" s="252" t="s">
        <v>1280</v>
      </c>
      <c r="F60" s="249" t="s">
        <v>1192</v>
      </c>
      <c r="G60" s="249" t="s">
        <v>674</v>
      </c>
      <c r="H60" s="249" t="s">
        <v>30</v>
      </c>
      <c r="I60" s="251" t="s">
        <v>1283</v>
      </c>
      <c r="J60" s="253" t="s">
        <v>1284</v>
      </c>
      <c r="K60" s="254"/>
    </row>
    <row r="61" spans="1:11" s="249" customFormat="1" ht="33.75">
      <c r="A61" s="249">
        <v>60</v>
      </c>
      <c r="B61" s="249" t="s">
        <v>1285</v>
      </c>
      <c r="C61" s="250" t="s">
        <v>398</v>
      </c>
      <c r="D61" s="252" t="s">
        <v>1257</v>
      </c>
      <c r="E61" s="252" t="s">
        <v>1286</v>
      </c>
      <c r="F61" s="249" t="s">
        <v>1141</v>
      </c>
      <c r="G61" s="249" t="s">
        <v>1178</v>
      </c>
      <c r="H61" s="249" t="s">
        <v>1795</v>
      </c>
      <c r="I61" s="251" t="s">
        <v>1279</v>
      </c>
      <c r="J61" s="253" t="s">
        <v>1287</v>
      </c>
      <c r="K61" s="254"/>
    </row>
    <row r="62" spans="1:11" s="249" customFormat="1" ht="33.75">
      <c r="A62" s="249">
        <v>61</v>
      </c>
      <c r="B62" s="249" t="s">
        <v>1288</v>
      </c>
      <c r="C62" s="250" t="s">
        <v>260</v>
      </c>
      <c r="D62" s="252" t="s">
        <v>1257</v>
      </c>
      <c r="E62" s="252" t="s">
        <v>1286</v>
      </c>
      <c r="F62" s="249" t="s">
        <v>1192</v>
      </c>
      <c r="G62" s="249" t="s">
        <v>1178</v>
      </c>
      <c r="H62" s="249" t="s">
        <v>1795</v>
      </c>
      <c r="I62" s="251" t="s">
        <v>1283</v>
      </c>
      <c r="J62" s="253" t="s">
        <v>1289</v>
      </c>
      <c r="K62" s="254"/>
    </row>
    <row r="63" spans="1:11" s="249" customFormat="1" ht="33.75">
      <c r="A63" s="249">
        <v>62</v>
      </c>
      <c r="B63" s="249" t="s">
        <v>1290</v>
      </c>
      <c r="C63" s="250" t="s">
        <v>398</v>
      </c>
      <c r="D63" s="252" t="s">
        <v>1257</v>
      </c>
      <c r="E63" s="252" t="s">
        <v>1257</v>
      </c>
      <c r="F63" s="249" t="s">
        <v>1141</v>
      </c>
      <c r="G63" s="249" t="s">
        <v>1178</v>
      </c>
      <c r="H63" s="249" t="s">
        <v>1796</v>
      </c>
      <c r="I63" s="251" t="s">
        <v>1279</v>
      </c>
      <c r="J63" s="253" t="s">
        <v>1291</v>
      </c>
      <c r="K63" s="254"/>
    </row>
    <row r="64" spans="1:11" s="249" customFormat="1" ht="33.75">
      <c r="A64" s="249">
        <v>63</v>
      </c>
      <c r="B64" s="249" t="s">
        <v>1292</v>
      </c>
      <c r="C64" s="250" t="s">
        <v>260</v>
      </c>
      <c r="D64" s="252" t="s">
        <v>1257</v>
      </c>
      <c r="E64" s="252" t="s">
        <v>1257</v>
      </c>
      <c r="F64" s="249" t="s">
        <v>1192</v>
      </c>
      <c r="G64" s="249" t="s">
        <v>1178</v>
      </c>
      <c r="H64" s="249" t="s">
        <v>1796</v>
      </c>
      <c r="I64" s="251" t="s">
        <v>1283</v>
      </c>
      <c r="J64" s="261" t="s">
        <v>1293</v>
      </c>
      <c r="K64" s="254"/>
    </row>
    <row r="65" spans="1:11" s="249" customFormat="1" ht="33.75">
      <c r="A65" s="249">
        <v>64</v>
      </c>
      <c r="B65" s="249" t="s">
        <v>1294</v>
      </c>
      <c r="C65" s="250" t="s">
        <v>398</v>
      </c>
      <c r="D65" s="252" t="s">
        <v>1257</v>
      </c>
      <c r="E65" s="252" t="s">
        <v>1295</v>
      </c>
      <c r="F65" s="249" t="s">
        <v>1141</v>
      </c>
      <c r="G65" s="249" t="s">
        <v>1178</v>
      </c>
      <c r="H65" s="249" t="s">
        <v>30</v>
      </c>
      <c r="I65" s="251" t="s">
        <v>1279</v>
      </c>
      <c r="J65" s="253" t="s">
        <v>1296</v>
      </c>
      <c r="K65" s="254"/>
    </row>
    <row r="66" spans="1:11" s="249" customFormat="1" ht="33.75">
      <c r="A66" s="249">
        <v>65</v>
      </c>
      <c r="B66" s="249" t="s">
        <v>1297</v>
      </c>
      <c r="C66" s="250" t="s">
        <v>260</v>
      </c>
      <c r="D66" s="252" t="s">
        <v>1257</v>
      </c>
      <c r="E66" s="252" t="s">
        <v>1295</v>
      </c>
      <c r="F66" s="249" t="s">
        <v>1192</v>
      </c>
      <c r="G66" s="249" t="s">
        <v>1178</v>
      </c>
      <c r="H66" s="249" t="s">
        <v>30</v>
      </c>
      <c r="I66" s="251" t="s">
        <v>1283</v>
      </c>
      <c r="J66" s="261"/>
      <c r="K66" s="254"/>
    </row>
    <row r="67" spans="1:11" s="249" customFormat="1" ht="33.75">
      <c r="A67" s="249">
        <v>66</v>
      </c>
      <c r="B67" s="249" t="s">
        <v>1298</v>
      </c>
      <c r="C67" s="250" t="s">
        <v>398</v>
      </c>
      <c r="D67" s="252" t="s">
        <v>1257</v>
      </c>
      <c r="E67" s="252" t="s">
        <v>1299</v>
      </c>
      <c r="F67" s="249" t="s">
        <v>1141</v>
      </c>
      <c r="G67" s="249" t="s">
        <v>1178</v>
      </c>
      <c r="H67" s="249" t="s">
        <v>1795</v>
      </c>
      <c r="I67" s="251" t="s">
        <v>1279</v>
      </c>
      <c r="J67" s="253" t="s">
        <v>1300</v>
      </c>
      <c r="K67" s="254"/>
    </row>
    <row r="68" spans="1:11" s="249" customFormat="1" ht="33.75">
      <c r="A68" s="249">
        <v>67</v>
      </c>
      <c r="B68" s="249" t="s">
        <v>1301</v>
      </c>
      <c r="C68" s="250" t="s">
        <v>261</v>
      </c>
      <c r="D68" s="252" t="s">
        <v>1257</v>
      </c>
      <c r="E68" s="252" t="s">
        <v>1299</v>
      </c>
      <c r="F68" s="249" t="s">
        <v>1192</v>
      </c>
      <c r="G68" s="249" t="s">
        <v>1178</v>
      </c>
      <c r="H68" s="249" t="s">
        <v>1795</v>
      </c>
      <c r="I68" s="251" t="s">
        <v>1283</v>
      </c>
      <c r="J68" s="253" t="s">
        <v>1302</v>
      </c>
      <c r="K68" s="254"/>
    </row>
    <row r="69" spans="1:11" s="249" customFormat="1" ht="33.75">
      <c r="A69" s="249">
        <v>68</v>
      </c>
      <c r="B69" s="249" t="s">
        <v>1303</v>
      </c>
      <c r="C69" s="250" t="s">
        <v>398</v>
      </c>
      <c r="D69" s="252" t="s">
        <v>1257</v>
      </c>
      <c r="E69" s="252" t="s">
        <v>1304</v>
      </c>
      <c r="F69" s="249" t="s">
        <v>1141</v>
      </c>
      <c r="G69" s="249" t="s">
        <v>1178</v>
      </c>
      <c r="H69" s="249" t="s">
        <v>1796</v>
      </c>
      <c r="I69" s="251" t="s">
        <v>1279</v>
      </c>
      <c r="J69" s="253" t="s">
        <v>1305</v>
      </c>
      <c r="K69" s="254"/>
    </row>
    <row r="70" spans="1:11" s="249" customFormat="1" ht="33.75">
      <c r="A70" s="249">
        <v>69</v>
      </c>
      <c r="B70" s="249" t="s">
        <v>1306</v>
      </c>
      <c r="C70" s="250" t="s">
        <v>261</v>
      </c>
      <c r="D70" s="252" t="s">
        <v>1257</v>
      </c>
      <c r="E70" s="252" t="s">
        <v>1304</v>
      </c>
      <c r="F70" s="249" t="s">
        <v>1192</v>
      </c>
      <c r="G70" s="249" t="s">
        <v>1178</v>
      </c>
      <c r="H70" s="249" t="s">
        <v>1796</v>
      </c>
      <c r="I70" s="251" t="s">
        <v>1283</v>
      </c>
      <c r="J70" s="253"/>
      <c r="K70" s="254"/>
    </row>
    <row r="71" spans="1:11" s="249" customFormat="1" ht="33.75">
      <c r="A71" s="249">
        <v>70</v>
      </c>
      <c r="B71" s="249" t="s">
        <v>1307</v>
      </c>
      <c r="C71" s="250" t="s">
        <v>398</v>
      </c>
      <c r="D71" s="252" t="s">
        <v>1257</v>
      </c>
      <c r="E71" s="252" t="s">
        <v>812</v>
      </c>
      <c r="F71" s="249" t="s">
        <v>1141</v>
      </c>
      <c r="G71" s="249" t="s">
        <v>1178</v>
      </c>
      <c r="H71" s="249" t="s">
        <v>30</v>
      </c>
      <c r="I71" s="251" t="s">
        <v>1279</v>
      </c>
      <c r="J71" s="253" t="s">
        <v>1308</v>
      </c>
      <c r="K71" s="254"/>
    </row>
    <row r="72" spans="1:11" s="249" customFormat="1" ht="33.75">
      <c r="A72" s="249">
        <v>71</v>
      </c>
      <c r="B72" s="249" t="s">
        <v>1309</v>
      </c>
      <c r="C72" s="250" t="s">
        <v>261</v>
      </c>
      <c r="D72" s="252" t="s">
        <v>1257</v>
      </c>
      <c r="E72" s="252" t="s">
        <v>812</v>
      </c>
      <c r="F72" s="249" t="s">
        <v>1192</v>
      </c>
      <c r="G72" s="249" t="s">
        <v>1178</v>
      </c>
      <c r="H72" s="249" t="s">
        <v>30</v>
      </c>
      <c r="I72" s="251" t="s">
        <v>1283</v>
      </c>
      <c r="J72" s="253" t="s">
        <v>1310</v>
      </c>
      <c r="K72" s="254"/>
    </row>
    <row r="73" spans="1:11" s="249" customFormat="1" ht="33.75">
      <c r="A73" s="249">
        <v>72</v>
      </c>
      <c r="B73" s="249" t="s">
        <v>1311</v>
      </c>
      <c r="C73" s="250" t="s">
        <v>398</v>
      </c>
      <c r="D73" s="252" t="s">
        <v>1257</v>
      </c>
      <c r="E73" s="252" t="s">
        <v>1312</v>
      </c>
      <c r="F73" s="249" t="s">
        <v>1141</v>
      </c>
      <c r="G73" s="249" t="s">
        <v>1178</v>
      </c>
      <c r="H73" s="249" t="s">
        <v>30</v>
      </c>
      <c r="I73" s="251" t="s">
        <v>1279</v>
      </c>
      <c r="J73" s="253" t="s">
        <v>1313</v>
      </c>
      <c r="K73" s="254"/>
    </row>
    <row r="74" spans="1:11" s="249" customFormat="1" ht="33.75">
      <c r="A74" s="249">
        <v>73</v>
      </c>
      <c r="B74" s="249" t="s">
        <v>1314</v>
      </c>
      <c r="C74" s="250" t="s">
        <v>261</v>
      </c>
      <c r="D74" s="252" t="s">
        <v>1257</v>
      </c>
      <c r="E74" s="252" t="s">
        <v>1312</v>
      </c>
      <c r="F74" s="249" t="s">
        <v>1192</v>
      </c>
      <c r="G74" s="249" t="s">
        <v>1178</v>
      </c>
      <c r="H74" s="249" t="s">
        <v>30</v>
      </c>
      <c r="I74" s="251" t="s">
        <v>1283</v>
      </c>
      <c r="J74" s="253" t="s">
        <v>1315</v>
      </c>
      <c r="K74" s="254"/>
    </row>
    <row r="75" spans="1:11" s="249" customFormat="1" ht="33.75">
      <c r="A75" s="249">
        <v>74</v>
      </c>
      <c r="B75" s="249" t="s">
        <v>1316</v>
      </c>
      <c r="C75" s="250" t="s">
        <v>262</v>
      </c>
      <c r="D75" s="252" t="s">
        <v>1257</v>
      </c>
      <c r="E75" s="252" t="s">
        <v>1316</v>
      </c>
      <c r="F75" s="249" t="s">
        <v>1192</v>
      </c>
      <c r="G75" s="249" t="s">
        <v>674</v>
      </c>
      <c r="H75" s="249" t="s">
        <v>1795</v>
      </c>
      <c r="I75" s="251" t="s">
        <v>1283</v>
      </c>
      <c r="J75" s="253" t="s">
        <v>1317</v>
      </c>
      <c r="K75" s="254"/>
    </row>
    <row r="76" spans="1:11" s="249" customFormat="1" ht="33.75">
      <c r="A76" s="249">
        <v>75</v>
      </c>
      <c r="B76" s="249" t="s">
        <v>1316</v>
      </c>
      <c r="C76" s="250" t="s">
        <v>262</v>
      </c>
      <c r="D76" s="252" t="s">
        <v>1257</v>
      </c>
      <c r="E76" s="252" t="s">
        <v>1318</v>
      </c>
      <c r="F76" s="249" t="s">
        <v>1192</v>
      </c>
      <c r="G76" s="249" t="s">
        <v>674</v>
      </c>
      <c r="H76" s="249" t="s">
        <v>1796</v>
      </c>
      <c r="I76" s="251" t="s">
        <v>1283</v>
      </c>
      <c r="J76" s="253" t="s">
        <v>1319</v>
      </c>
      <c r="K76" s="254"/>
    </row>
    <row r="77" spans="1:11" s="249" customFormat="1" ht="33.75">
      <c r="A77" s="249">
        <v>76</v>
      </c>
      <c r="B77" s="249" t="s">
        <v>1316</v>
      </c>
      <c r="C77" s="250" t="s">
        <v>262</v>
      </c>
      <c r="D77" s="252" t="s">
        <v>1257</v>
      </c>
      <c r="E77" s="252" t="s">
        <v>1320</v>
      </c>
      <c r="F77" s="249" t="s">
        <v>1192</v>
      </c>
      <c r="G77" s="249" t="s">
        <v>674</v>
      </c>
      <c r="H77" s="249" t="s">
        <v>30</v>
      </c>
      <c r="I77" s="251" t="s">
        <v>1283</v>
      </c>
      <c r="J77" s="253" t="s">
        <v>1321</v>
      </c>
      <c r="K77" s="254"/>
    </row>
    <row r="78" spans="1:11" s="249" customFormat="1" ht="33.75">
      <c r="A78" s="249">
        <v>77</v>
      </c>
      <c r="B78" s="249" t="s">
        <v>1322</v>
      </c>
      <c r="C78" s="250" t="s">
        <v>398</v>
      </c>
      <c r="D78" s="252" t="s">
        <v>1257</v>
      </c>
      <c r="E78" s="252" t="s">
        <v>1322</v>
      </c>
      <c r="F78" s="249" t="s">
        <v>1141</v>
      </c>
      <c r="G78" s="249" t="s">
        <v>674</v>
      </c>
      <c r="H78" s="249" t="s">
        <v>1795</v>
      </c>
      <c r="I78" s="251" t="s">
        <v>1279</v>
      </c>
      <c r="J78" s="253" t="s">
        <v>1323</v>
      </c>
      <c r="K78" s="254"/>
    </row>
    <row r="79" spans="1:11" s="249" customFormat="1" ht="33.75">
      <c r="A79" s="249">
        <v>78</v>
      </c>
      <c r="B79" s="249" t="s">
        <v>1322</v>
      </c>
      <c r="C79" s="250" t="s">
        <v>398</v>
      </c>
      <c r="D79" s="252" t="s">
        <v>1257</v>
      </c>
      <c r="E79" s="252" t="s">
        <v>1324</v>
      </c>
      <c r="F79" s="249" t="s">
        <v>1141</v>
      </c>
      <c r="G79" s="249" t="s">
        <v>674</v>
      </c>
      <c r="H79" s="249" t="s">
        <v>1796</v>
      </c>
      <c r="I79" s="251" t="s">
        <v>1279</v>
      </c>
      <c r="J79" s="261" t="s">
        <v>1325</v>
      </c>
      <c r="K79" s="254"/>
    </row>
    <row r="80" spans="1:11" s="249" customFormat="1" ht="33.75">
      <c r="A80" s="249">
        <v>79</v>
      </c>
      <c r="B80" s="249" t="s">
        <v>1322</v>
      </c>
      <c r="C80" s="250" t="s">
        <v>398</v>
      </c>
      <c r="D80" s="252" t="s">
        <v>1257</v>
      </c>
      <c r="E80" s="252" t="s">
        <v>1326</v>
      </c>
      <c r="F80" s="249" t="s">
        <v>1141</v>
      </c>
      <c r="G80" s="249" t="s">
        <v>674</v>
      </c>
      <c r="H80" s="249" t="s">
        <v>30</v>
      </c>
      <c r="I80" s="251" t="s">
        <v>1279</v>
      </c>
      <c r="J80" s="253" t="s">
        <v>1327</v>
      </c>
      <c r="K80" s="262"/>
    </row>
    <row r="81" spans="1:11" s="249" customFormat="1" ht="33.75">
      <c r="A81" s="249">
        <v>80</v>
      </c>
      <c r="B81" s="249" t="s">
        <v>1328</v>
      </c>
      <c r="C81" s="250" t="s">
        <v>262</v>
      </c>
      <c r="D81" s="252" t="s">
        <v>1257</v>
      </c>
      <c r="E81" s="252" t="s">
        <v>1328</v>
      </c>
      <c r="F81" s="249" t="s">
        <v>1192</v>
      </c>
      <c r="G81" s="249" t="s">
        <v>1155</v>
      </c>
      <c r="H81" s="249" t="s">
        <v>30</v>
      </c>
      <c r="I81" s="251" t="s">
        <v>1191</v>
      </c>
      <c r="J81" s="253" t="s">
        <v>1329</v>
      </c>
      <c r="K81" s="254"/>
    </row>
    <row r="82" spans="1:11" s="249" customFormat="1" ht="33.75">
      <c r="A82" s="249">
        <v>81</v>
      </c>
      <c r="B82" s="249" t="s">
        <v>1330</v>
      </c>
      <c r="C82" s="250" t="s">
        <v>628</v>
      </c>
      <c r="D82" s="252" t="s">
        <v>1331</v>
      </c>
      <c r="E82" s="252" t="s">
        <v>1330</v>
      </c>
      <c r="F82" s="249" t="s">
        <v>1141</v>
      </c>
      <c r="G82" s="249" t="s">
        <v>1155</v>
      </c>
      <c r="H82" s="249" t="s">
        <v>1795</v>
      </c>
      <c r="I82" s="251" t="s">
        <v>1187</v>
      </c>
      <c r="J82" s="253" t="s">
        <v>1332</v>
      </c>
      <c r="K82" s="254"/>
    </row>
    <row r="83" spans="1:11" s="249" customFormat="1" ht="33.75">
      <c r="A83" s="249">
        <v>82</v>
      </c>
      <c r="B83" s="249" t="s">
        <v>1330</v>
      </c>
      <c r="C83" s="250" t="s">
        <v>628</v>
      </c>
      <c r="D83" s="252" t="s">
        <v>1331</v>
      </c>
      <c r="E83" s="252" t="s">
        <v>1333</v>
      </c>
      <c r="F83" s="249" t="s">
        <v>1141</v>
      </c>
      <c r="G83" s="249" t="s">
        <v>1155</v>
      </c>
      <c r="H83" s="249" t="s">
        <v>1796</v>
      </c>
      <c r="I83" s="251" t="s">
        <v>1187</v>
      </c>
      <c r="J83" s="253" t="s">
        <v>1334</v>
      </c>
      <c r="K83" s="254"/>
    </row>
    <row r="84" spans="1:11" s="249" customFormat="1" ht="33.75">
      <c r="A84" s="249">
        <v>83</v>
      </c>
      <c r="B84" s="249" t="s">
        <v>1330</v>
      </c>
      <c r="C84" s="250" t="s">
        <v>628</v>
      </c>
      <c r="D84" s="252" t="s">
        <v>1331</v>
      </c>
      <c r="E84" s="252" t="s">
        <v>1335</v>
      </c>
      <c r="F84" s="249" t="s">
        <v>1141</v>
      </c>
      <c r="G84" s="249" t="s">
        <v>1155</v>
      </c>
      <c r="H84" s="249" t="s">
        <v>30</v>
      </c>
      <c r="I84" s="251" t="s">
        <v>1187</v>
      </c>
      <c r="J84" s="253" t="s">
        <v>1336</v>
      </c>
      <c r="K84" s="254"/>
    </row>
    <row r="85" spans="1:11" s="249" customFormat="1" ht="33.75">
      <c r="A85" s="249">
        <v>84</v>
      </c>
      <c r="B85" s="249" t="s">
        <v>1330</v>
      </c>
      <c r="C85" s="250" t="s">
        <v>678</v>
      </c>
      <c r="D85" s="252" t="s">
        <v>1331</v>
      </c>
      <c r="E85" s="252" t="s">
        <v>1337</v>
      </c>
      <c r="F85" s="249" t="s">
        <v>1141</v>
      </c>
      <c r="G85" s="249" t="s">
        <v>1155</v>
      </c>
      <c r="H85" s="249" t="s">
        <v>33</v>
      </c>
      <c r="I85" s="251" t="s">
        <v>1187</v>
      </c>
      <c r="J85" s="253" t="s">
        <v>1338</v>
      </c>
      <c r="K85" s="254"/>
    </row>
    <row r="86" spans="1:11" s="249" customFormat="1" ht="33.75">
      <c r="A86" s="249">
        <v>85</v>
      </c>
      <c r="B86" s="249" t="s">
        <v>1339</v>
      </c>
      <c r="C86" s="250" t="s">
        <v>907</v>
      </c>
      <c r="D86" s="252" t="s">
        <v>1331</v>
      </c>
      <c r="E86" s="252" t="s">
        <v>1339</v>
      </c>
      <c r="F86" s="249" t="s">
        <v>1141</v>
      </c>
      <c r="G86" s="249" t="s">
        <v>1155</v>
      </c>
      <c r="H86" s="249" t="s">
        <v>1795</v>
      </c>
      <c r="I86" s="251" t="s">
        <v>1191</v>
      </c>
      <c r="J86" s="253" t="s">
        <v>1340</v>
      </c>
      <c r="K86" s="254"/>
    </row>
    <row r="87" spans="1:11" s="249" customFormat="1" ht="33.75">
      <c r="A87" s="249">
        <v>86</v>
      </c>
      <c r="B87" s="249" t="s">
        <v>1339</v>
      </c>
      <c r="C87" s="250" t="s">
        <v>907</v>
      </c>
      <c r="D87" s="252" t="s">
        <v>1331</v>
      </c>
      <c r="E87" s="252" t="s">
        <v>1341</v>
      </c>
      <c r="F87" s="249" t="s">
        <v>1141</v>
      </c>
      <c r="G87" s="249" t="s">
        <v>1155</v>
      </c>
      <c r="H87" s="249" t="s">
        <v>1796</v>
      </c>
      <c r="I87" s="251" t="s">
        <v>1191</v>
      </c>
      <c r="J87" s="253" t="s">
        <v>1342</v>
      </c>
      <c r="K87" s="254"/>
    </row>
    <row r="88" spans="1:11" s="249" customFormat="1" ht="33.75">
      <c r="A88" s="249">
        <v>87</v>
      </c>
      <c r="B88" s="249" t="s">
        <v>1339</v>
      </c>
      <c r="C88" s="250" t="s">
        <v>907</v>
      </c>
      <c r="D88" s="252" t="s">
        <v>1331</v>
      </c>
      <c r="E88" s="252" t="s">
        <v>1343</v>
      </c>
      <c r="F88" s="249" t="s">
        <v>1141</v>
      </c>
      <c r="G88" s="249" t="s">
        <v>1155</v>
      </c>
      <c r="H88" s="249" t="s">
        <v>30</v>
      </c>
      <c r="I88" s="251" t="s">
        <v>1191</v>
      </c>
      <c r="J88" s="253" t="s">
        <v>1344</v>
      </c>
      <c r="K88" s="254"/>
    </row>
    <row r="89" spans="1:11" s="249" customFormat="1" ht="33.75">
      <c r="A89" s="249">
        <v>88</v>
      </c>
      <c r="B89" s="249" t="s">
        <v>1339</v>
      </c>
      <c r="C89" s="250" t="s">
        <v>913</v>
      </c>
      <c r="D89" s="252" t="s">
        <v>1331</v>
      </c>
      <c r="E89" s="252" t="s">
        <v>1345</v>
      </c>
      <c r="F89" s="249" t="s">
        <v>1141</v>
      </c>
      <c r="G89" s="249" t="s">
        <v>1155</v>
      </c>
      <c r="H89" s="249" t="s">
        <v>33</v>
      </c>
      <c r="I89" s="251" t="s">
        <v>1191</v>
      </c>
      <c r="J89" s="253" t="s">
        <v>1346</v>
      </c>
      <c r="K89" s="254"/>
    </row>
    <row r="90" spans="1:11" s="249" customFormat="1" ht="33.75">
      <c r="A90" s="249">
        <v>89</v>
      </c>
      <c r="B90" s="249" t="s">
        <v>1331</v>
      </c>
      <c r="C90" s="250" t="s">
        <v>628</v>
      </c>
      <c r="D90" s="252" t="s">
        <v>1331</v>
      </c>
      <c r="E90" s="252" t="s">
        <v>1331</v>
      </c>
      <c r="F90" s="249" t="s">
        <v>1141</v>
      </c>
      <c r="G90" s="249" t="s">
        <v>1178</v>
      </c>
      <c r="H90" s="249" t="s">
        <v>1795</v>
      </c>
      <c r="I90" s="251" t="s">
        <v>1279</v>
      </c>
      <c r="J90" s="253" t="s">
        <v>1347</v>
      </c>
      <c r="K90" s="254"/>
    </row>
    <row r="91" spans="1:11" s="249" customFormat="1" ht="33.75">
      <c r="A91" s="249">
        <v>90</v>
      </c>
      <c r="B91" s="249" t="s">
        <v>1331</v>
      </c>
      <c r="C91" s="250" t="s">
        <v>628</v>
      </c>
      <c r="D91" s="252" t="s">
        <v>1331</v>
      </c>
      <c r="E91" s="252" t="s">
        <v>1348</v>
      </c>
      <c r="F91" s="249" t="s">
        <v>1141</v>
      </c>
      <c r="G91" s="249" t="s">
        <v>1178</v>
      </c>
      <c r="H91" s="249" t="s">
        <v>30</v>
      </c>
      <c r="I91" s="251" t="s">
        <v>1279</v>
      </c>
      <c r="J91" s="263"/>
      <c r="K91" s="264" t="s">
        <v>1349</v>
      </c>
    </row>
    <row r="92" spans="1:11" s="249" customFormat="1" ht="33.75">
      <c r="A92" s="249">
        <v>91</v>
      </c>
      <c r="B92" s="249" t="s">
        <v>1331</v>
      </c>
      <c r="C92" s="250" t="s">
        <v>678</v>
      </c>
      <c r="D92" s="252" t="s">
        <v>1331</v>
      </c>
      <c r="E92" s="252" t="s">
        <v>1350</v>
      </c>
      <c r="F92" s="249" t="s">
        <v>1141</v>
      </c>
      <c r="G92" s="249" t="s">
        <v>1178</v>
      </c>
      <c r="H92" s="249" t="s">
        <v>33</v>
      </c>
      <c r="I92" s="251" t="s">
        <v>1279</v>
      </c>
      <c r="J92" s="253" t="s">
        <v>1351</v>
      </c>
      <c r="K92" s="254"/>
    </row>
    <row r="93" spans="1:11" s="249" customFormat="1" ht="33.75">
      <c r="A93" s="249">
        <v>92</v>
      </c>
      <c r="B93" s="249" t="s">
        <v>1352</v>
      </c>
      <c r="C93" s="250" t="s">
        <v>907</v>
      </c>
      <c r="D93" s="252" t="s">
        <v>1331</v>
      </c>
      <c r="E93" s="252" t="s">
        <v>1352</v>
      </c>
      <c r="F93" s="249" t="s">
        <v>1141</v>
      </c>
      <c r="G93" s="249" t="s">
        <v>1155</v>
      </c>
      <c r="H93" s="249" t="s">
        <v>1795</v>
      </c>
      <c r="I93" s="251" t="s">
        <v>1191</v>
      </c>
      <c r="J93" s="253" t="s">
        <v>1353</v>
      </c>
      <c r="K93" s="254"/>
    </row>
    <row r="94" spans="1:11" s="249" customFormat="1" ht="33.75">
      <c r="A94" s="249">
        <v>93</v>
      </c>
      <c r="B94" s="249" t="s">
        <v>1352</v>
      </c>
      <c r="C94" s="250" t="s">
        <v>907</v>
      </c>
      <c r="D94" s="252" t="s">
        <v>1331</v>
      </c>
      <c r="E94" s="252" t="s">
        <v>1354</v>
      </c>
      <c r="F94" s="249" t="s">
        <v>1141</v>
      </c>
      <c r="G94" s="249" t="s">
        <v>1155</v>
      </c>
      <c r="H94" s="249" t="s">
        <v>1796</v>
      </c>
      <c r="I94" s="251" t="s">
        <v>1191</v>
      </c>
      <c r="J94" s="253" t="s">
        <v>1355</v>
      </c>
      <c r="K94" s="254"/>
    </row>
    <row r="95" spans="1:11" s="249" customFormat="1" ht="33.75">
      <c r="A95" s="249">
        <v>94</v>
      </c>
      <c r="B95" s="249" t="s">
        <v>1352</v>
      </c>
      <c r="C95" s="250" t="s">
        <v>907</v>
      </c>
      <c r="D95" s="252" t="s">
        <v>1331</v>
      </c>
      <c r="E95" s="252" t="s">
        <v>1356</v>
      </c>
      <c r="F95" s="249" t="s">
        <v>1141</v>
      </c>
      <c r="G95" s="249" t="s">
        <v>1155</v>
      </c>
      <c r="H95" s="249" t="s">
        <v>30</v>
      </c>
      <c r="I95" s="251" t="s">
        <v>1191</v>
      </c>
      <c r="J95" s="253" t="s">
        <v>1357</v>
      </c>
      <c r="K95" s="254"/>
    </row>
    <row r="96" spans="1:11" s="249" customFormat="1" ht="33.75">
      <c r="A96" s="249">
        <v>95</v>
      </c>
      <c r="B96" s="249" t="s">
        <v>1352</v>
      </c>
      <c r="C96" s="250" t="s">
        <v>913</v>
      </c>
      <c r="D96" s="252" t="s">
        <v>1331</v>
      </c>
      <c r="E96" s="252" t="s">
        <v>1358</v>
      </c>
      <c r="F96" s="249" t="s">
        <v>1141</v>
      </c>
      <c r="G96" s="249" t="s">
        <v>1155</v>
      </c>
      <c r="H96" s="249" t="s">
        <v>33</v>
      </c>
      <c r="I96" s="251" t="s">
        <v>1191</v>
      </c>
      <c r="J96" s="253" t="s">
        <v>1359</v>
      </c>
      <c r="K96" s="254"/>
    </row>
    <row r="97" spans="1:11" s="249" customFormat="1" ht="33.75">
      <c r="A97" s="249">
        <v>96</v>
      </c>
      <c r="B97" s="249" t="s">
        <v>1360</v>
      </c>
      <c r="C97" s="250" t="s">
        <v>907</v>
      </c>
      <c r="D97" s="252" t="s">
        <v>1331</v>
      </c>
      <c r="E97" s="252" t="s">
        <v>1360</v>
      </c>
      <c r="F97" s="249" t="s">
        <v>1141</v>
      </c>
      <c r="G97" s="249" t="s">
        <v>674</v>
      </c>
      <c r="H97" s="249" t="s">
        <v>1795</v>
      </c>
      <c r="I97" s="251" t="s">
        <v>1283</v>
      </c>
      <c r="J97" s="253" t="s">
        <v>1361</v>
      </c>
      <c r="K97" s="254"/>
    </row>
    <row r="98" spans="1:11" s="249" customFormat="1" ht="33.75">
      <c r="A98" s="249">
        <v>97</v>
      </c>
      <c r="B98" s="249" t="s">
        <v>1360</v>
      </c>
      <c r="C98" s="250" t="s">
        <v>907</v>
      </c>
      <c r="D98" s="252" t="s">
        <v>1331</v>
      </c>
      <c r="E98" s="252" t="s">
        <v>1362</v>
      </c>
      <c r="F98" s="249" t="s">
        <v>1141</v>
      </c>
      <c r="G98" s="249" t="s">
        <v>674</v>
      </c>
      <c r="H98" s="249" t="s">
        <v>1796</v>
      </c>
      <c r="I98" s="251" t="s">
        <v>1283</v>
      </c>
      <c r="J98" s="253" t="s">
        <v>1363</v>
      </c>
      <c r="K98" s="254"/>
    </row>
    <row r="99" spans="1:11" s="249" customFormat="1" ht="33.75">
      <c r="A99" s="249">
        <v>98</v>
      </c>
      <c r="B99" s="249" t="s">
        <v>1360</v>
      </c>
      <c r="C99" s="250" t="s">
        <v>907</v>
      </c>
      <c r="D99" s="252" t="s">
        <v>1331</v>
      </c>
      <c r="E99" s="252" t="s">
        <v>1364</v>
      </c>
      <c r="F99" s="249" t="s">
        <v>1141</v>
      </c>
      <c r="G99" s="249" t="s">
        <v>674</v>
      </c>
      <c r="H99" s="249" t="s">
        <v>30</v>
      </c>
      <c r="I99" s="251" t="s">
        <v>1283</v>
      </c>
      <c r="J99" s="253" t="s">
        <v>1365</v>
      </c>
      <c r="K99" s="254"/>
    </row>
    <row r="100" spans="1:11" s="249" customFormat="1" ht="33.75">
      <c r="A100" s="249">
        <v>99</v>
      </c>
      <c r="B100" s="249" t="s">
        <v>1360</v>
      </c>
      <c r="C100" s="250" t="s">
        <v>913</v>
      </c>
      <c r="D100" s="252" t="s">
        <v>1331</v>
      </c>
      <c r="E100" s="252" t="s">
        <v>1366</v>
      </c>
      <c r="F100" s="249" t="s">
        <v>1141</v>
      </c>
      <c r="G100" s="249" t="s">
        <v>674</v>
      </c>
      <c r="H100" s="249" t="s">
        <v>33</v>
      </c>
      <c r="I100" s="251" t="s">
        <v>1283</v>
      </c>
      <c r="J100" s="253" t="s">
        <v>1367</v>
      </c>
      <c r="K100" s="254"/>
    </row>
    <row r="101" spans="1:11" s="249" customFormat="1" ht="33.75">
      <c r="A101" s="249">
        <v>100</v>
      </c>
      <c r="B101" s="249" t="s">
        <v>1368</v>
      </c>
      <c r="C101" s="250" t="s">
        <v>907</v>
      </c>
      <c r="D101" s="252" t="s">
        <v>1331</v>
      </c>
      <c r="E101" s="252" t="s">
        <v>1368</v>
      </c>
      <c r="F101" s="249" t="s">
        <v>1141</v>
      </c>
      <c r="G101" s="249" t="s">
        <v>674</v>
      </c>
      <c r="H101" s="249" t="s">
        <v>1795</v>
      </c>
      <c r="I101" s="251" t="s">
        <v>1279</v>
      </c>
      <c r="J101" s="253" t="s">
        <v>1369</v>
      </c>
      <c r="K101" s="254"/>
    </row>
    <row r="102" spans="1:11" s="249" customFormat="1" ht="33.75">
      <c r="A102" s="249">
        <v>101</v>
      </c>
      <c r="B102" s="249" t="s">
        <v>1368</v>
      </c>
      <c r="C102" s="250" t="s">
        <v>907</v>
      </c>
      <c r="D102" s="252" t="s">
        <v>1331</v>
      </c>
      <c r="E102" s="252" t="s">
        <v>1370</v>
      </c>
      <c r="F102" s="249" t="s">
        <v>1141</v>
      </c>
      <c r="G102" s="249" t="s">
        <v>674</v>
      </c>
      <c r="H102" s="249" t="s">
        <v>1796</v>
      </c>
      <c r="I102" s="251" t="s">
        <v>1279</v>
      </c>
      <c r="J102" s="253" t="s">
        <v>1371</v>
      </c>
      <c r="K102" s="254"/>
    </row>
    <row r="103" spans="1:11" s="249" customFormat="1" ht="33.75">
      <c r="A103" s="249">
        <v>102</v>
      </c>
      <c r="B103" s="249" t="s">
        <v>1368</v>
      </c>
      <c r="C103" s="250" t="s">
        <v>907</v>
      </c>
      <c r="D103" s="252" t="s">
        <v>1331</v>
      </c>
      <c r="E103" s="252" t="s">
        <v>1372</v>
      </c>
      <c r="F103" s="249" t="s">
        <v>1141</v>
      </c>
      <c r="G103" s="249" t="s">
        <v>674</v>
      </c>
      <c r="H103" s="249" t="s">
        <v>30</v>
      </c>
      <c r="I103" s="251" t="s">
        <v>1279</v>
      </c>
      <c r="J103" s="253" t="s">
        <v>1373</v>
      </c>
      <c r="K103" s="254"/>
    </row>
    <row r="104" spans="1:11" s="249" customFormat="1" ht="33.75">
      <c r="A104" s="249">
        <v>103</v>
      </c>
      <c r="B104" s="249" t="s">
        <v>1368</v>
      </c>
      <c r="C104" s="250" t="s">
        <v>913</v>
      </c>
      <c r="D104" s="252" t="s">
        <v>1331</v>
      </c>
      <c r="E104" s="252" t="s">
        <v>1374</v>
      </c>
      <c r="F104" s="249" t="s">
        <v>1141</v>
      </c>
      <c r="G104" s="249" t="s">
        <v>674</v>
      </c>
      <c r="H104" s="249" t="s">
        <v>33</v>
      </c>
      <c r="I104" s="251" t="s">
        <v>1279</v>
      </c>
      <c r="J104" s="253"/>
      <c r="K104" s="254"/>
    </row>
    <row r="105" spans="1:11" s="249" customFormat="1" ht="33.75">
      <c r="A105" s="249">
        <v>104</v>
      </c>
      <c r="B105" s="249" t="s">
        <v>1375</v>
      </c>
      <c r="C105" s="250" t="s">
        <v>557</v>
      </c>
      <c r="D105" s="252" t="s">
        <v>1331</v>
      </c>
      <c r="E105" s="252" t="s">
        <v>1376</v>
      </c>
      <c r="F105" s="249" t="s">
        <v>1141</v>
      </c>
      <c r="G105" s="249" t="s">
        <v>1155</v>
      </c>
      <c r="H105" s="249" t="s">
        <v>1795</v>
      </c>
      <c r="I105" s="251" t="s">
        <v>1187</v>
      </c>
      <c r="J105" s="253" t="s">
        <v>1377</v>
      </c>
      <c r="K105" s="254"/>
    </row>
    <row r="106" spans="1:11" s="249" customFormat="1" ht="33.75">
      <c r="A106" s="249">
        <v>105</v>
      </c>
      <c r="B106" s="249" t="s">
        <v>1378</v>
      </c>
      <c r="C106" s="250" t="s">
        <v>843</v>
      </c>
      <c r="D106" s="252" t="s">
        <v>1331</v>
      </c>
      <c r="E106" s="252" t="s">
        <v>1376</v>
      </c>
      <c r="F106" s="249" t="s">
        <v>1192</v>
      </c>
      <c r="G106" s="249" t="s">
        <v>1155</v>
      </c>
      <c r="H106" s="249" t="s">
        <v>1795</v>
      </c>
      <c r="I106" s="251" t="s">
        <v>1191</v>
      </c>
      <c r="J106" s="253" t="s">
        <v>1379</v>
      </c>
      <c r="K106" s="254"/>
    </row>
    <row r="107" spans="1:11" s="249" customFormat="1" ht="33.75">
      <c r="A107" s="249">
        <v>106</v>
      </c>
      <c r="B107" s="249" t="s">
        <v>1380</v>
      </c>
      <c r="C107" s="250" t="s">
        <v>557</v>
      </c>
      <c r="D107" s="252" t="s">
        <v>1331</v>
      </c>
      <c r="E107" s="252" t="s">
        <v>1381</v>
      </c>
      <c r="F107" s="249" t="s">
        <v>1141</v>
      </c>
      <c r="G107" s="249" t="s">
        <v>1155</v>
      </c>
      <c r="H107" s="249" t="s">
        <v>1796</v>
      </c>
      <c r="I107" s="251" t="s">
        <v>1187</v>
      </c>
      <c r="J107" s="253" t="s">
        <v>1382</v>
      </c>
      <c r="K107" s="254"/>
    </row>
    <row r="108" spans="1:11" s="249" customFormat="1" ht="33.75">
      <c r="A108" s="249">
        <v>107</v>
      </c>
      <c r="B108" s="249" t="s">
        <v>1383</v>
      </c>
      <c r="C108" s="250" t="s">
        <v>843</v>
      </c>
      <c r="D108" s="252" t="s">
        <v>1331</v>
      </c>
      <c r="E108" s="252" t="s">
        <v>1381</v>
      </c>
      <c r="F108" s="249" t="s">
        <v>1192</v>
      </c>
      <c r="G108" s="249" t="s">
        <v>1155</v>
      </c>
      <c r="H108" s="249" t="s">
        <v>1796</v>
      </c>
      <c r="I108" s="251" t="s">
        <v>1191</v>
      </c>
      <c r="J108" s="253" t="s">
        <v>1384</v>
      </c>
      <c r="K108" s="254"/>
    </row>
    <row r="109" spans="1:11" s="249" customFormat="1" ht="33.75">
      <c r="A109" s="249">
        <v>108</v>
      </c>
      <c r="B109" s="249" t="s">
        <v>1385</v>
      </c>
      <c r="C109" s="250" t="s">
        <v>557</v>
      </c>
      <c r="D109" s="252" t="s">
        <v>1331</v>
      </c>
      <c r="E109" s="252" t="s">
        <v>1386</v>
      </c>
      <c r="F109" s="249" t="s">
        <v>1141</v>
      </c>
      <c r="G109" s="249" t="s">
        <v>1155</v>
      </c>
      <c r="H109" s="249" t="s">
        <v>30</v>
      </c>
      <c r="I109" s="251" t="s">
        <v>1187</v>
      </c>
      <c r="J109" s="253" t="s">
        <v>1387</v>
      </c>
      <c r="K109" s="254"/>
    </row>
    <row r="110" spans="1:11" s="249" customFormat="1" ht="33.75">
      <c r="A110" s="249">
        <v>109</v>
      </c>
      <c r="B110" s="249" t="s">
        <v>1388</v>
      </c>
      <c r="C110" s="250" t="s">
        <v>843</v>
      </c>
      <c r="D110" s="252" t="s">
        <v>1331</v>
      </c>
      <c r="E110" s="252" t="s">
        <v>1386</v>
      </c>
      <c r="F110" s="249" t="s">
        <v>1192</v>
      </c>
      <c r="G110" s="249" t="s">
        <v>1155</v>
      </c>
      <c r="H110" s="249" t="s">
        <v>30</v>
      </c>
      <c r="I110" s="251" t="s">
        <v>1191</v>
      </c>
      <c r="J110" s="253" t="s">
        <v>1389</v>
      </c>
      <c r="K110" s="254"/>
    </row>
    <row r="111" spans="1:11" s="249" customFormat="1" ht="33.75">
      <c r="A111" s="249">
        <v>110</v>
      </c>
      <c r="B111" s="249" t="s">
        <v>1390</v>
      </c>
      <c r="C111" s="250" t="s">
        <v>586</v>
      </c>
      <c r="D111" s="252" t="s">
        <v>1331</v>
      </c>
      <c r="E111" s="252" t="s">
        <v>1391</v>
      </c>
      <c r="F111" s="249" t="s">
        <v>1141</v>
      </c>
      <c r="G111" s="249" t="s">
        <v>1155</v>
      </c>
      <c r="H111" s="249" t="s">
        <v>33</v>
      </c>
      <c r="I111" s="251" t="s">
        <v>1187</v>
      </c>
      <c r="J111" s="253" t="s">
        <v>1392</v>
      </c>
      <c r="K111" s="254"/>
    </row>
    <row r="112" spans="1:11" s="249" customFormat="1" ht="33.75">
      <c r="A112" s="249">
        <v>111</v>
      </c>
      <c r="B112" s="249" t="s">
        <v>1393</v>
      </c>
      <c r="C112" s="250" t="s">
        <v>864</v>
      </c>
      <c r="D112" s="252" t="s">
        <v>1331</v>
      </c>
      <c r="E112" s="252" t="s">
        <v>1391</v>
      </c>
      <c r="F112" s="249" t="s">
        <v>1192</v>
      </c>
      <c r="G112" s="249" t="s">
        <v>1155</v>
      </c>
      <c r="H112" s="249" t="s">
        <v>33</v>
      </c>
      <c r="I112" s="251" t="s">
        <v>1191</v>
      </c>
      <c r="J112" s="253" t="s">
        <v>1394</v>
      </c>
      <c r="K112" s="254"/>
    </row>
    <row r="113" spans="1:11" s="249" customFormat="1" ht="33.75">
      <c r="A113" s="249">
        <v>112</v>
      </c>
      <c r="B113" s="249" t="s">
        <v>1395</v>
      </c>
      <c r="C113" s="250" t="s">
        <v>432</v>
      </c>
      <c r="D113" s="252" t="s">
        <v>1396</v>
      </c>
      <c r="E113" s="252" t="s">
        <v>1395</v>
      </c>
      <c r="F113" s="249" t="s">
        <v>1141</v>
      </c>
      <c r="G113" s="249" t="s">
        <v>674</v>
      </c>
      <c r="H113" s="249" t="s">
        <v>1795</v>
      </c>
      <c r="I113" s="251" t="s">
        <v>1279</v>
      </c>
      <c r="J113" s="253" t="s">
        <v>1397</v>
      </c>
      <c r="K113" s="254"/>
    </row>
    <row r="114" spans="1:11" s="249" customFormat="1" ht="33.75">
      <c r="A114" s="249">
        <v>113</v>
      </c>
      <c r="B114" s="249" t="s">
        <v>1395</v>
      </c>
      <c r="C114" s="250" t="s">
        <v>432</v>
      </c>
      <c r="D114" s="252" t="s">
        <v>1396</v>
      </c>
      <c r="E114" s="252" t="s">
        <v>1398</v>
      </c>
      <c r="F114" s="249" t="s">
        <v>1141</v>
      </c>
      <c r="G114" s="249" t="s">
        <v>674</v>
      </c>
      <c r="H114" s="249" t="s">
        <v>1796</v>
      </c>
      <c r="I114" s="251" t="s">
        <v>1279</v>
      </c>
      <c r="J114" s="253" t="s">
        <v>1399</v>
      </c>
      <c r="K114" s="254"/>
    </row>
    <row r="115" spans="1:11" s="249" customFormat="1" ht="33.75">
      <c r="A115" s="249">
        <v>114</v>
      </c>
      <c r="B115" s="249" t="s">
        <v>1395</v>
      </c>
      <c r="C115" s="250" t="s">
        <v>432</v>
      </c>
      <c r="D115" s="252" t="s">
        <v>1396</v>
      </c>
      <c r="E115" s="252" t="s">
        <v>1400</v>
      </c>
      <c r="F115" s="249" t="s">
        <v>1141</v>
      </c>
      <c r="G115" s="249" t="s">
        <v>674</v>
      </c>
      <c r="H115" s="249" t="s">
        <v>30</v>
      </c>
      <c r="I115" s="251" t="s">
        <v>1279</v>
      </c>
      <c r="J115" s="253" t="s">
        <v>1401</v>
      </c>
      <c r="K115" s="254"/>
    </row>
    <row r="116" spans="1:11" s="249" customFormat="1" ht="33.75">
      <c r="A116" s="249">
        <v>115</v>
      </c>
      <c r="B116" s="249" t="s">
        <v>1395</v>
      </c>
      <c r="C116" s="250" t="s">
        <v>467</v>
      </c>
      <c r="D116" s="252" t="s">
        <v>1396</v>
      </c>
      <c r="E116" s="252" t="s">
        <v>1402</v>
      </c>
      <c r="F116" s="249" t="s">
        <v>1141</v>
      </c>
      <c r="G116" s="249" t="s">
        <v>674</v>
      </c>
      <c r="H116" s="249" t="s">
        <v>33</v>
      </c>
      <c r="I116" s="251" t="s">
        <v>1279</v>
      </c>
      <c r="J116" s="253" t="s">
        <v>1403</v>
      </c>
      <c r="K116" s="254"/>
    </row>
    <row r="117" spans="1:11" s="249" customFormat="1" ht="33.75">
      <c r="A117" s="249">
        <v>116</v>
      </c>
      <c r="B117" s="249" t="s">
        <v>1404</v>
      </c>
      <c r="C117" s="250" t="s">
        <v>843</v>
      </c>
      <c r="D117" s="252" t="s">
        <v>1396</v>
      </c>
      <c r="E117" s="252" t="s">
        <v>1404</v>
      </c>
      <c r="F117" s="249" t="s">
        <v>1192</v>
      </c>
      <c r="G117" s="249" t="s">
        <v>674</v>
      </c>
      <c r="H117" s="249" t="s">
        <v>1795</v>
      </c>
      <c r="I117" s="251" t="s">
        <v>1283</v>
      </c>
      <c r="J117" s="253" t="s">
        <v>1405</v>
      </c>
      <c r="K117" s="254"/>
    </row>
    <row r="118" spans="1:11" s="249" customFormat="1" ht="33.75">
      <c r="A118" s="249">
        <v>117</v>
      </c>
      <c r="B118" s="249" t="s">
        <v>1404</v>
      </c>
      <c r="C118" s="250" t="s">
        <v>843</v>
      </c>
      <c r="D118" s="252" t="s">
        <v>1396</v>
      </c>
      <c r="E118" s="252" t="s">
        <v>1406</v>
      </c>
      <c r="F118" s="249" t="s">
        <v>1192</v>
      </c>
      <c r="G118" s="249" t="s">
        <v>674</v>
      </c>
      <c r="H118" s="249" t="s">
        <v>1796</v>
      </c>
      <c r="I118" s="251" t="s">
        <v>1283</v>
      </c>
      <c r="J118" s="253" t="s">
        <v>1407</v>
      </c>
      <c r="K118" s="254"/>
    </row>
    <row r="119" spans="1:11" s="249" customFormat="1" ht="33.75">
      <c r="A119" s="249">
        <v>118</v>
      </c>
      <c r="B119" s="249" t="s">
        <v>1404</v>
      </c>
      <c r="C119" s="250" t="s">
        <v>843</v>
      </c>
      <c r="D119" s="252" t="s">
        <v>1396</v>
      </c>
      <c r="E119" s="252" t="s">
        <v>1408</v>
      </c>
      <c r="F119" s="249" t="s">
        <v>1192</v>
      </c>
      <c r="G119" s="249" t="s">
        <v>674</v>
      </c>
      <c r="H119" s="249" t="s">
        <v>30</v>
      </c>
      <c r="I119" s="251" t="s">
        <v>1283</v>
      </c>
      <c r="J119" s="253" t="s">
        <v>1409</v>
      </c>
      <c r="K119" s="254"/>
    </row>
    <row r="120" spans="1:11" s="249" customFormat="1" ht="33.75">
      <c r="A120" s="249">
        <v>119</v>
      </c>
      <c r="B120" s="249" t="s">
        <v>1404</v>
      </c>
      <c r="C120" s="250" t="s">
        <v>864</v>
      </c>
      <c r="D120" s="252" t="s">
        <v>1396</v>
      </c>
      <c r="E120" s="252" t="s">
        <v>1410</v>
      </c>
      <c r="F120" s="249" t="s">
        <v>1192</v>
      </c>
      <c r="G120" s="249" t="s">
        <v>674</v>
      </c>
      <c r="H120" s="249" t="s">
        <v>33</v>
      </c>
      <c r="I120" s="251" t="s">
        <v>1283</v>
      </c>
      <c r="J120" s="253" t="s">
        <v>1411</v>
      </c>
      <c r="K120" s="254"/>
    </row>
    <row r="121" spans="1:11" s="249" customFormat="1" ht="33.75">
      <c r="A121" s="249">
        <v>120</v>
      </c>
      <c r="B121" s="249" t="s">
        <v>1412</v>
      </c>
      <c r="C121" s="250" t="s">
        <v>432</v>
      </c>
      <c r="D121" s="252" t="s">
        <v>1396</v>
      </c>
      <c r="E121" s="252" t="s">
        <v>1413</v>
      </c>
      <c r="F121" s="249" t="s">
        <v>1141</v>
      </c>
      <c r="G121" s="249" t="s">
        <v>1178</v>
      </c>
      <c r="H121" s="249" t="s">
        <v>1795</v>
      </c>
      <c r="I121" s="251" t="s">
        <v>1279</v>
      </c>
      <c r="J121" s="253" t="s">
        <v>1414</v>
      </c>
      <c r="K121" s="254"/>
    </row>
    <row r="122" spans="1:11" s="249" customFormat="1" ht="33.75">
      <c r="A122" s="249">
        <v>121</v>
      </c>
      <c r="B122" s="249" t="s">
        <v>1415</v>
      </c>
      <c r="C122" s="250" t="s">
        <v>843</v>
      </c>
      <c r="D122" s="252" t="s">
        <v>1396</v>
      </c>
      <c r="E122" s="252" t="s">
        <v>1413</v>
      </c>
      <c r="F122" s="249" t="s">
        <v>1192</v>
      </c>
      <c r="G122" s="249" t="s">
        <v>1178</v>
      </c>
      <c r="H122" s="249" t="s">
        <v>1795</v>
      </c>
      <c r="I122" s="251" t="s">
        <v>1283</v>
      </c>
      <c r="J122" s="253" t="s">
        <v>1416</v>
      </c>
      <c r="K122" s="254"/>
    </row>
    <row r="123" spans="1:11" s="249" customFormat="1" ht="33.75">
      <c r="A123" s="249">
        <v>122</v>
      </c>
      <c r="B123" s="249" t="s">
        <v>1417</v>
      </c>
      <c r="C123" s="250" t="s">
        <v>432</v>
      </c>
      <c r="D123" s="252" t="s">
        <v>1396</v>
      </c>
      <c r="E123" s="252" t="s">
        <v>1418</v>
      </c>
      <c r="F123" s="249" t="s">
        <v>1141</v>
      </c>
      <c r="G123" s="249" t="s">
        <v>1178</v>
      </c>
      <c r="H123" s="249" t="s">
        <v>1796</v>
      </c>
      <c r="I123" s="251" t="s">
        <v>1279</v>
      </c>
      <c r="J123" s="253" t="s">
        <v>1419</v>
      </c>
      <c r="K123" s="254"/>
    </row>
    <row r="124" spans="1:11" s="249" customFormat="1" ht="33.75">
      <c r="A124" s="249">
        <v>123</v>
      </c>
      <c r="B124" s="249" t="s">
        <v>1420</v>
      </c>
      <c r="C124" s="250" t="s">
        <v>843</v>
      </c>
      <c r="D124" s="252" t="s">
        <v>1396</v>
      </c>
      <c r="E124" s="252" t="s">
        <v>1418</v>
      </c>
      <c r="F124" s="249" t="s">
        <v>1192</v>
      </c>
      <c r="G124" s="249" t="s">
        <v>1178</v>
      </c>
      <c r="H124" s="249" t="s">
        <v>1796</v>
      </c>
      <c r="I124" s="251" t="s">
        <v>1283</v>
      </c>
      <c r="J124" s="253" t="s">
        <v>1421</v>
      </c>
      <c r="K124" s="254"/>
    </row>
    <row r="125" spans="1:11" s="249" customFormat="1" ht="33.75">
      <c r="A125" s="249">
        <v>124</v>
      </c>
      <c r="B125" s="249" t="s">
        <v>1422</v>
      </c>
      <c r="C125" s="250" t="s">
        <v>432</v>
      </c>
      <c r="D125" s="252" t="s">
        <v>1396</v>
      </c>
      <c r="E125" s="252" t="s">
        <v>1423</v>
      </c>
      <c r="F125" s="249" t="s">
        <v>1141</v>
      </c>
      <c r="G125" s="249" t="s">
        <v>1178</v>
      </c>
      <c r="H125" s="249" t="s">
        <v>30</v>
      </c>
      <c r="I125" s="251" t="s">
        <v>1279</v>
      </c>
      <c r="J125" s="253" t="s">
        <v>1424</v>
      </c>
      <c r="K125" s="254"/>
    </row>
    <row r="126" spans="1:11" s="249" customFormat="1" ht="33.75">
      <c r="A126" s="249">
        <v>125</v>
      </c>
      <c r="B126" s="249" t="s">
        <v>1425</v>
      </c>
      <c r="C126" s="250" t="s">
        <v>843</v>
      </c>
      <c r="D126" s="252" t="s">
        <v>1396</v>
      </c>
      <c r="E126" s="252" t="s">
        <v>1423</v>
      </c>
      <c r="F126" s="249" t="s">
        <v>1192</v>
      </c>
      <c r="G126" s="249" t="s">
        <v>1178</v>
      </c>
      <c r="H126" s="249" t="s">
        <v>30</v>
      </c>
      <c r="I126" s="251" t="s">
        <v>1283</v>
      </c>
      <c r="J126" s="253" t="s">
        <v>1426</v>
      </c>
      <c r="K126" s="254"/>
    </row>
    <row r="127" spans="1:11" s="249" customFormat="1" ht="33.75">
      <c r="A127" s="249">
        <v>126</v>
      </c>
      <c r="B127" s="249" t="s">
        <v>1427</v>
      </c>
      <c r="C127" s="250" t="s">
        <v>467</v>
      </c>
      <c r="D127" s="252" t="s">
        <v>1396</v>
      </c>
      <c r="E127" s="252" t="s">
        <v>1428</v>
      </c>
      <c r="F127" s="249" t="s">
        <v>1141</v>
      </c>
      <c r="G127" s="249" t="s">
        <v>1178</v>
      </c>
      <c r="H127" s="249" t="s">
        <v>33</v>
      </c>
      <c r="I127" s="251" t="s">
        <v>1279</v>
      </c>
      <c r="J127" s="253" t="s">
        <v>1429</v>
      </c>
      <c r="K127" s="254"/>
    </row>
    <row r="128" spans="1:11" s="249" customFormat="1" ht="33.75">
      <c r="A128" s="249">
        <v>127</v>
      </c>
      <c r="B128" s="249" t="s">
        <v>1430</v>
      </c>
      <c r="C128" s="250" t="s">
        <v>864</v>
      </c>
      <c r="D128" s="252" t="s">
        <v>1396</v>
      </c>
      <c r="E128" s="252" t="s">
        <v>1428</v>
      </c>
      <c r="F128" s="249" t="s">
        <v>1192</v>
      </c>
      <c r="G128" s="249" t="s">
        <v>1178</v>
      </c>
      <c r="H128" s="249" t="s">
        <v>33</v>
      </c>
      <c r="I128" s="251" t="s">
        <v>1283</v>
      </c>
      <c r="J128" s="253" t="s">
        <v>1431</v>
      </c>
      <c r="K128" s="254"/>
    </row>
    <row r="129" spans="1:11" s="249" customFormat="1" ht="33.75">
      <c r="A129" s="249">
        <v>128</v>
      </c>
      <c r="B129" s="249" t="s">
        <v>1432</v>
      </c>
      <c r="C129" s="250" t="s">
        <v>432</v>
      </c>
      <c r="D129" s="252" t="s">
        <v>1396</v>
      </c>
      <c r="E129" s="252" t="s">
        <v>1396</v>
      </c>
      <c r="F129" s="249" t="s">
        <v>1141</v>
      </c>
      <c r="G129" s="249" t="s">
        <v>1178</v>
      </c>
      <c r="H129" s="249" t="s">
        <v>1795</v>
      </c>
      <c r="I129" s="251" t="s">
        <v>1279</v>
      </c>
      <c r="J129" s="253" t="s">
        <v>1433</v>
      </c>
      <c r="K129" s="254"/>
    </row>
    <row r="130" spans="1:11" s="249" customFormat="1" ht="33.75">
      <c r="A130" s="249">
        <v>129</v>
      </c>
      <c r="B130" s="249" t="s">
        <v>1434</v>
      </c>
      <c r="C130" s="250" t="s">
        <v>843</v>
      </c>
      <c r="D130" s="252" t="s">
        <v>1396</v>
      </c>
      <c r="E130" s="252" t="s">
        <v>1396</v>
      </c>
      <c r="F130" s="249" t="s">
        <v>1192</v>
      </c>
      <c r="G130" s="249" t="s">
        <v>1178</v>
      </c>
      <c r="H130" s="249" t="s">
        <v>1795</v>
      </c>
      <c r="I130" s="251" t="s">
        <v>1283</v>
      </c>
      <c r="J130" s="253" t="s">
        <v>1435</v>
      </c>
      <c r="K130" s="254"/>
    </row>
    <row r="131" spans="1:11" s="249" customFormat="1" ht="33.75">
      <c r="A131" s="249">
        <v>130</v>
      </c>
      <c r="B131" s="249" t="s">
        <v>1436</v>
      </c>
      <c r="C131" s="250" t="s">
        <v>432</v>
      </c>
      <c r="D131" s="252" t="s">
        <v>1396</v>
      </c>
      <c r="E131" s="252" t="s">
        <v>1437</v>
      </c>
      <c r="F131" s="249" t="s">
        <v>1141</v>
      </c>
      <c r="G131" s="249" t="s">
        <v>1178</v>
      </c>
      <c r="H131" s="249" t="s">
        <v>1796</v>
      </c>
      <c r="I131" s="251" t="s">
        <v>1279</v>
      </c>
      <c r="J131" s="253" t="s">
        <v>1438</v>
      </c>
      <c r="K131" s="254"/>
    </row>
    <row r="132" spans="1:11" s="249" customFormat="1" ht="33.75">
      <c r="A132" s="249">
        <v>131</v>
      </c>
      <c r="B132" s="249" t="s">
        <v>1439</v>
      </c>
      <c r="C132" s="250" t="s">
        <v>843</v>
      </c>
      <c r="D132" s="252" t="s">
        <v>1396</v>
      </c>
      <c r="E132" s="252" t="s">
        <v>1437</v>
      </c>
      <c r="F132" s="249" t="s">
        <v>1192</v>
      </c>
      <c r="G132" s="249" t="s">
        <v>1178</v>
      </c>
      <c r="H132" s="249" t="s">
        <v>1796</v>
      </c>
      <c r="I132" s="251" t="s">
        <v>1283</v>
      </c>
      <c r="J132" s="253" t="s">
        <v>1440</v>
      </c>
      <c r="K132" s="254"/>
    </row>
    <row r="133" spans="1:11" s="249" customFormat="1" ht="33.75">
      <c r="A133" s="249">
        <v>132</v>
      </c>
      <c r="B133" s="249" t="s">
        <v>1441</v>
      </c>
      <c r="C133" s="250" t="s">
        <v>432</v>
      </c>
      <c r="D133" s="252" t="s">
        <v>1396</v>
      </c>
      <c r="E133" s="252" t="s">
        <v>1442</v>
      </c>
      <c r="F133" s="249" t="s">
        <v>1141</v>
      </c>
      <c r="G133" s="249" t="s">
        <v>1178</v>
      </c>
      <c r="H133" s="249" t="s">
        <v>30</v>
      </c>
      <c r="I133" s="251" t="s">
        <v>1279</v>
      </c>
      <c r="J133" s="253" t="s">
        <v>1443</v>
      </c>
      <c r="K133" s="254"/>
    </row>
    <row r="134" spans="1:11" s="249" customFormat="1" ht="33.75">
      <c r="A134" s="249">
        <v>133</v>
      </c>
      <c r="B134" s="249" t="s">
        <v>1444</v>
      </c>
      <c r="C134" s="250" t="s">
        <v>843</v>
      </c>
      <c r="D134" s="252" t="s">
        <v>1396</v>
      </c>
      <c r="E134" s="252" t="s">
        <v>1442</v>
      </c>
      <c r="F134" s="249" t="s">
        <v>1192</v>
      </c>
      <c r="G134" s="249" t="s">
        <v>1178</v>
      </c>
      <c r="H134" s="249" t="s">
        <v>30</v>
      </c>
      <c r="I134" s="251" t="s">
        <v>1283</v>
      </c>
      <c r="J134" s="253" t="s">
        <v>1445</v>
      </c>
      <c r="K134" s="254"/>
    </row>
    <row r="135" spans="1:11" s="249" customFormat="1" ht="33.75">
      <c r="A135" s="249">
        <v>134</v>
      </c>
      <c r="B135" s="249" t="s">
        <v>1446</v>
      </c>
      <c r="C135" s="250" t="s">
        <v>467</v>
      </c>
      <c r="D135" s="252" t="s">
        <v>1396</v>
      </c>
      <c r="E135" s="252" t="s">
        <v>1447</v>
      </c>
      <c r="F135" s="249" t="s">
        <v>1141</v>
      </c>
      <c r="G135" s="249" t="s">
        <v>1178</v>
      </c>
      <c r="H135" s="249" t="s">
        <v>33</v>
      </c>
      <c r="I135" s="251" t="s">
        <v>1279</v>
      </c>
      <c r="J135" s="253" t="s">
        <v>1448</v>
      </c>
      <c r="K135" s="254"/>
    </row>
    <row r="136" spans="1:11" s="249" customFormat="1" ht="33.75">
      <c r="A136" s="249">
        <v>135</v>
      </c>
      <c r="B136" s="249" t="s">
        <v>1449</v>
      </c>
      <c r="C136" s="250" t="s">
        <v>864</v>
      </c>
      <c r="D136" s="252" t="s">
        <v>1396</v>
      </c>
      <c r="E136" s="252" t="s">
        <v>1447</v>
      </c>
      <c r="F136" s="249" t="s">
        <v>1192</v>
      </c>
      <c r="G136" s="249" t="s">
        <v>1178</v>
      </c>
      <c r="H136" s="249" t="s">
        <v>33</v>
      </c>
      <c r="I136" s="251" t="s">
        <v>1283</v>
      </c>
      <c r="J136" s="253" t="s">
        <v>1450</v>
      </c>
      <c r="K136" s="254"/>
    </row>
    <row r="137" spans="1:11" s="249" customFormat="1" ht="33.75">
      <c r="A137" s="249">
        <v>136</v>
      </c>
      <c r="B137" s="249" t="s">
        <v>1451</v>
      </c>
      <c r="C137" s="250" t="s">
        <v>557</v>
      </c>
      <c r="D137" s="252" t="s">
        <v>1396</v>
      </c>
      <c r="E137" s="252" t="s">
        <v>1452</v>
      </c>
      <c r="F137" s="249" t="s">
        <v>1141</v>
      </c>
      <c r="G137" s="249" t="s">
        <v>1258</v>
      </c>
      <c r="H137" s="249" t="s">
        <v>1795</v>
      </c>
      <c r="I137" s="251" t="s">
        <v>1187</v>
      </c>
      <c r="J137" s="253" t="s">
        <v>1453</v>
      </c>
      <c r="K137" s="254"/>
    </row>
    <row r="138" spans="1:11" s="249" customFormat="1" ht="33.75">
      <c r="A138" s="249">
        <v>137</v>
      </c>
      <c r="B138" s="249" t="s">
        <v>1454</v>
      </c>
      <c r="C138" s="250" t="s">
        <v>557</v>
      </c>
      <c r="D138" s="252" t="s">
        <v>1396</v>
      </c>
      <c r="E138" s="252" t="s">
        <v>1452</v>
      </c>
      <c r="F138" s="249" t="s">
        <v>1192</v>
      </c>
      <c r="G138" s="249" t="s">
        <v>1258</v>
      </c>
      <c r="H138" s="249" t="s">
        <v>1795</v>
      </c>
      <c r="I138" s="251" t="s">
        <v>1191</v>
      </c>
      <c r="J138" s="253" t="s">
        <v>1455</v>
      </c>
      <c r="K138" s="254"/>
    </row>
    <row r="139" spans="1:11" s="249" customFormat="1" ht="33.75">
      <c r="A139" s="249">
        <v>138</v>
      </c>
      <c r="B139" s="249" t="s">
        <v>1456</v>
      </c>
      <c r="C139" s="250" t="s">
        <v>557</v>
      </c>
      <c r="D139" s="252" t="s">
        <v>1396</v>
      </c>
      <c r="E139" s="252" t="s">
        <v>1457</v>
      </c>
      <c r="F139" s="249" t="s">
        <v>1141</v>
      </c>
      <c r="G139" s="249" t="s">
        <v>1258</v>
      </c>
      <c r="H139" s="249" t="s">
        <v>1796</v>
      </c>
      <c r="I139" s="251" t="s">
        <v>1187</v>
      </c>
      <c r="J139" s="253" t="s">
        <v>1458</v>
      </c>
      <c r="K139" s="254"/>
    </row>
    <row r="140" spans="1:11" s="249" customFormat="1" ht="33.75">
      <c r="A140" s="249">
        <v>139</v>
      </c>
      <c r="B140" s="249" t="s">
        <v>1459</v>
      </c>
      <c r="C140" s="250" t="s">
        <v>557</v>
      </c>
      <c r="D140" s="252" t="s">
        <v>1396</v>
      </c>
      <c r="E140" s="252" t="s">
        <v>1457</v>
      </c>
      <c r="F140" s="249" t="s">
        <v>1192</v>
      </c>
      <c r="G140" s="249" t="s">
        <v>1258</v>
      </c>
      <c r="H140" s="249" t="s">
        <v>1796</v>
      </c>
      <c r="I140" s="251" t="s">
        <v>1191</v>
      </c>
      <c r="J140" s="253" t="s">
        <v>1460</v>
      </c>
      <c r="K140" s="254"/>
    </row>
    <row r="141" spans="1:11" s="249" customFormat="1" ht="33.75">
      <c r="A141" s="249">
        <v>140</v>
      </c>
      <c r="B141" s="249" t="s">
        <v>1461</v>
      </c>
      <c r="C141" s="250" t="s">
        <v>557</v>
      </c>
      <c r="D141" s="252" t="s">
        <v>1396</v>
      </c>
      <c r="E141" s="252" t="s">
        <v>1462</v>
      </c>
      <c r="F141" s="249" t="s">
        <v>1141</v>
      </c>
      <c r="G141" s="249" t="s">
        <v>1258</v>
      </c>
      <c r="H141" s="249" t="s">
        <v>30</v>
      </c>
      <c r="I141" s="251" t="s">
        <v>1187</v>
      </c>
      <c r="J141" s="253" t="s">
        <v>1463</v>
      </c>
      <c r="K141" s="254"/>
    </row>
    <row r="142" spans="1:11" s="249" customFormat="1" ht="33.75">
      <c r="A142" s="249">
        <v>141</v>
      </c>
      <c r="B142" s="249" t="s">
        <v>1464</v>
      </c>
      <c r="C142" s="250" t="s">
        <v>557</v>
      </c>
      <c r="D142" s="252" t="s">
        <v>1396</v>
      </c>
      <c r="E142" s="252" t="s">
        <v>1462</v>
      </c>
      <c r="F142" s="249" t="s">
        <v>1192</v>
      </c>
      <c r="G142" s="249" t="s">
        <v>1258</v>
      </c>
      <c r="H142" s="249" t="s">
        <v>30</v>
      </c>
      <c r="I142" s="251" t="s">
        <v>1191</v>
      </c>
      <c r="J142" s="253" t="s">
        <v>1465</v>
      </c>
      <c r="K142" s="254"/>
    </row>
    <row r="143" spans="1:11" s="249" customFormat="1" ht="33.75">
      <c r="A143" s="249">
        <v>142</v>
      </c>
      <c r="B143" s="249" t="s">
        <v>1466</v>
      </c>
      <c r="C143" s="250" t="s">
        <v>586</v>
      </c>
      <c r="D143" s="252" t="s">
        <v>1396</v>
      </c>
      <c r="E143" s="252" t="s">
        <v>1467</v>
      </c>
      <c r="F143" s="249" t="s">
        <v>1141</v>
      </c>
      <c r="G143" s="249" t="s">
        <v>1258</v>
      </c>
      <c r="H143" s="249" t="s">
        <v>33</v>
      </c>
      <c r="I143" s="251" t="s">
        <v>1187</v>
      </c>
      <c r="J143" s="253" t="s">
        <v>1468</v>
      </c>
      <c r="K143" s="254"/>
    </row>
    <row r="144" spans="1:11" s="249" customFormat="1" ht="33.75">
      <c r="A144" s="249">
        <v>143</v>
      </c>
      <c r="B144" s="249" t="s">
        <v>1469</v>
      </c>
      <c r="C144" s="250" t="s">
        <v>586</v>
      </c>
      <c r="D144" s="252" t="s">
        <v>1396</v>
      </c>
      <c r="E144" s="252" t="s">
        <v>1467</v>
      </c>
      <c r="F144" s="249" t="s">
        <v>1192</v>
      </c>
      <c r="G144" s="249" t="s">
        <v>1258</v>
      </c>
      <c r="H144" s="249" t="s">
        <v>33</v>
      </c>
      <c r="I144" s="251" t="s">
        <v>1191</v>
      </c>
      <c r="J144" s="253" t="s">
        <v>1470</v>
      </c>
      <c r="K144" s="254"/>
    </row>
    <row r="145" spans="1:11" s="249" customFormat="1" ht="33.75">
      <c r="A145" s="249">
        <v>144</v>
      </c>
      <c r="B145" s="249" t="s">
        <v>1471</v>
      </c>
      <c r="C145" s="250" t="s">
        <v>557</v>
      </c>
      <c r="D145" s="252" t="s">
        <v>1396</v>
      </c>
      <c r="E145" s="252" t="s">
        <v>1472</v>
      </c>
      <c r="F145" s="249" t="s">
        <v>1141</v>
      </c>
      <c r="G145" s="249" t="s">
        <v>1155</v>
      </c>
      <c r="H145" s="249" t="s">
        <v>1795</v>
      </c>
      <c r="I145" s="251" t="s">
        <v>1187</v>
      </c>
      <c r="J145" s="253" t="s">
        <v>1473</v>
      </c>
      <c r="K145" s="254"/>
    </row>
    <row r="146" spans="1:11" s="249" customFormat="1" ht="33.75">
      <c r="A146" s="249">
        <v>145</v>
      </c>
      <c r="B146" s="249" t="s">
        <v>1474</v>
      </c>
      <c r="C146" s="250" t="s">
        <v>843</v>
      </c>
      <c r="D146" s="252" t="s">
        <v>1396</v>
      </c>
      <c r="E146" s="252" t="s">
        <v>1472</v>
      </c>
      <c r="F146" s="249" t="s">
        <v>1192</v>
      </c>
      <c r="G146" s="249" t="s">
        <v>1155</v>
      </c>
      <c r="H146" s="249" t="s">
        <v>1795</v>
      </c>
      <c r="I146" s="251" t="s">
        <v>1191</v>
      </c>
      <c r="J146" s="253" t="s">
        <v>1475</v>
      </c>
      <c r="K146" s="254"/>
    </row>
    <row r="147" spans="1:11" s="249" customFormat="1" ht="33.75">
      <c r="A147" s="249">
        <v>146</v>
      </c>
      <c r="B147" s="249" t="s">
        <v>1476</v>
      </c>
      <c r="C147" s="250" t="s">
        <v>557</v>
      </c>
      <c r="D147" s="252" t="s">
        <v>1396</v>
      </c>
      <c r="E147" s="252" t="s">
        <v>1477</v>
      </c>
      <c r="F147" s="249" t="s">
        <v>1141</v>
      </c>
      <c r="G147" s="249" t="s">
        <v>1155</v>
      </c>
      <c r="H147" s="249" t="s">
        <v>1796</v>
      </c>
      <c r="I147" s="251" t="s">
        <v>1187</v>
      </c>
      <c r="J147" s="253" t="s">
        <v>1478</v>
      </c>
      <c r="K147" s="254"/>
    </row>
    <row r="148" spans="1:11" s="249" customFormat="1" ht="33.75">
      <c r="A148" s="249">
        <v>147</v>
      </c>
      <c r="B148" s="249" t="s">
        <v>1479</v>
      </c>
      <c r="C148" s="250" t="s">
        <v>843</v>
      </c>
      <c r="D148" s="252" t="s">
        <v>1396</v>
      </c>
      <c r="E148" s="252" t="s">
        <v>1477</v>
      </c>
      <c r="F148" s="249" t="s">
        <v>1192</v>
      </c>
      <c r="G148" s="249" t="s">
        <v>1155</v>
      </c>
      <c r="H148" s="249" t="s">
        <v>1796</v>
      </c>
      <c r="I148" s="251" t="s">
        <v>1191</v>
      </c>
      <c r="J148" s="253" t="s">
        <v>1480</v>
      </c>
      <c r="K148" s="254"/>
    </row>
    <row r="149" spans="1:11" s="249" customFormat="1" ht="33.75">
      <c r="A149" s="249">
        <v>148</v>
      </c>
      <c r="B149" s="249" t="s">
        <v>1481</v>
      </c>
      <c r="C149" s="250" t="s">
        <v>557</v>
      </c>
      <c r="D149" s="252" t="s">
        <v>1396</v>
      </c>
      <c r="E149" s="252" t="s">
        <v>1482</v>
      </c>
      <c r="F149" s="249" t="s">
        <v>1141</v>
      </c>
      <c r="G149" s="249" t="s">
        <v>1155</v>
      </c>
      <c r="H149" s="249" t="s">
        <v>30</v>
      </c>
      <c r="I149" s="251" t="s">
        <v>1187</v>
      </c>
      <c r="J149" s="253" t="s">
        <v>1483</v>
      </c>
      <c r="K149" s="254"/>
    </row>
    <row r="150" spans="1:11" s="249" customFormat="1" ht="33.75">
      <c r="A150" s="249">
        <v>149</v>
      </c>
      <c r="B150" s="249" t="s">
        <v>1484</v>
      </c>
      <c r="C150" s="250" t="s">
        <v>843</v>
      </c>
      <c r="D150" s="252" t="s">
        <v>1396</v>
      </c>
      <c r="E150" s="252" t="s">
        <v>1482</v>
      </c>
      <c r="F150" s="249" t="s">
        <v>1192</v>
      </c>
      <c r="G150" s="249" t="s">
        <v>1155</v>
      </c>
      <c r="H150" s="249" t="s">
        <v>30</v>
      </c>
      <c r="I150" s="251" t="s">
        <v>1191</v>
      </c>
      <c r="J150" s="253" t="s">
        <v>1485</v>
      </c>
      <c r="K150" s="254"/>
    </row>
    <row r="151" spans="1:11" s="249" customFormat="1" ht="33.75">
      <c r="A151" s="249">
        <v>150</v>
      </c>
      <c r="B151" s="249" t="s">
        <v>1486</v>
      </c>
      <c r="C151" s="250" t="s">
        <v>586</v>
      </c>
      <c r="D151" s="252" t="s">
        <v>1396</v>
      </c>
      <c r="E151" s="252" t="s">
        <v>1487</v>
      </c>
      <c r="F151" s="249" t="s">
        <v>1141</v>
      </c>
      <c r="G151" s="249" t="s">
        <v>1155</v>
      </c>
      <c r="H151" s="249" t="s">
        <v>33</v>
      </c>
      <c r="I151" s="251" t="s">
        <v>1187</v>
      </c>
      <c r="J151" s="253" t="s">
        <v>1488</v>
      </c>
      <c r="K151" s="254"/>
    </row>
    <row r="152" spans="1:11" s="249" customFormat="1" ht="33.75">
      <c r="A152" s="249">
        <v>151</v>
      </c>
      <c r="B152" s="249" t="s">
        <v>1489</v>
      </c>
      <c r="C152" s="250" t="s">
        <v>864</v>
      </c>
      <c r="D152" s="252" t="s">
        <v>1396</v>
      </c>
      <c r="E152" s="252" t="s">
        <v>1487</v>
      </c>
      <c r="F152" s="249" t="s">
        <v>1192</v>
      </c>
      <c r="G152" s="249" t="s">
        <v>1155</v>
      </c>
      <c r="H152" s="249" t="s">
        <v>33</v>
      </c>
      <c r="I152" s="251" t="s">
        <v>1191</v>
      </c>
      <c r="J152" s="253" t="s">
        <v>1490</v>
      </c>
      <c r="K152" s="254"/>
    </row>
    <row r="153" spans="1:11" s="249" customFormat="1" ht="33.75">
      <c r="A153" s="249">
        <v>152</v>
      </c>
      <c r="B153" s="249" t="s">
        <v>1491</v>
      </c>
      <c r="C153" s="250" t="s">
        <v>591</v>
      </c>
      <c r="D153" s="252" t="s">
        <v>1492</v>
      </c>
      <c r="E153" s="252" t="s">
        <v>1491</v>
      </c>
      <c r="F153" s="249" t="s">
        <v>1141</v>
      </c>
      <c r="G153" s="249" t="s">
        <v>1258</v>
      </c>
      <c r="H153" s="249" t="s">
        <v>1795</v>
      </c>
      <c r="I153" s="251" t="s">
        <v>1187</v>
      </c>
      <c r="J153" s="253" t="s">
        <v>1493</v>
      </c>
      <c r="K153" s="254"/>
    </row>
    <row r="154" spans="1:11" s="249" customFormat="1" ht="33.75">
      <c r="A154" s="249">
        <v>153</v>
      </c>
      <c r="B154" s="249" t="s">
        <v>1491</v>
      </c>
      <c r="C154" s="250" t="s">
        <v>591</v>
      </c>
      <c r="D154" s="252" t="s">
        <v>1492</v>
      </c>
      <c r="E154" s="252" t="s">
        <v>1494</v>
      </c>
      <c r="F154" s="249" t="s">
        <v>1141</v>
      </c>
      <c r="G154" s="249" t="s">
        <v>1258</v>
      </c>
      <c r="H154" s="249" t="s">
        <v>1796</v>
      </c>
      <c r="I154" s="251" t="s">
        <v>1187</v>
      </c>
      <c r="J154" s="253" t="s">
        <v>1495</v>
      </c>
      <c r="K154" s="254"/>
    </row>
    <row r="155" spans="1:11" s="249" customFormat="1" ht="33.75">
      <c r="A155" s="249">
        <v>154</v>
      </c>
      <c r="B155" s="249" t="s">
        <v>1491</v>
      </c>
      <c r="C155" s="250" t="s">
        <v>591</v>
      </c>
      <c r="D155" s="252" t="s">
        <v>1492</v>
      </c>
      <c r="E155" s="252" t="s">
        <v>1496</v>
      </c>
      <c r="F155" s="249" t="s">
        <v>1141</v>
      </c>
      <c r="G155" s="249" t="s">
        <v>1258</v>
      </c>
      <c r="H155" s="249" t="s">
        <v>30</v>
      </c>
      <c r="I155" s="251" t="s">
        <v>1187</v>
      </c>
      <c r="J155" s="253" t="s">
        <v>1497</v>
      </c>
      <c r="K155" s="254"/>
    </row>
    <row r="156" spans="1:11" s="249" customFormat="1" ht="33.75">
      <c r="A156" s="249">
        <v>155</v>
      </c>
      <c r="B156" s="249" t="s">
        <v>1498</v>
      </c>
      <c r="C156" s="250" t="s">
        <v>591</v>
      </c>
      <c r="D156" s="252" t="s">
        <v>1492</v>
      </c>
      <c r="E156" s="252" t="s">
        <v>1498</v>
      </c>
      <c r="F156" s="249" t="s">
        <v>1141</v>
      </c>
      <c r="G156" s="249" t="s">
        <v>1155</v>
      </c>
      <c r="H156" s="249" t="s">
        <v>1795</v>
      </c>
      <c r="I156" s="251" t="s">
        <v>1187</v>
      </c>
      <c r="J156" s="253" t="s">
        <v>1499</v>
      </c>
      <c r="K156" s="254"/>
    </row>
    <row r="157" spans="1:11" s="249" customFormat="1" ht="33.75">
      <c r="A157" s="249">
        <v>156</v>
      </c>
      <c r="B157" s="249" t="s">
        <v>1498</v>
      </c>
      <c r="C157" s="250" t="s">
        <v>591</v>
      </c>
      <c r="D157" s="252" t="s">
        <v>1492</v>
      </c>
      <c r="E157" s="252" t="s">
        <v>1500</v>
      </c>
      <c r="F157" s="249" t="s">
        <v>1141</v>
      </c>
      <c r="G157" s="249" t="s">
        <v>1155</v>
      </c>
      <c r="H157" s="249" t="s">
        <v>1796</v>
      </c>
      <c r="I157" s="251" t="s">
        <v>1187</v>
      </c>
      <c r="J157" s="253" t="s">
        <v>1501</v>
      </c>
      <c r="K157" s="254"/>
    </row>
    <row r="158" spans="1:11" s="249" customFormat="1" ht="33.75">
      <c r="A158" s="249">
        <v>157</v>
      </c>
      <c r="B158" s="249" t="s">
        <v>1498</v>
      </c>
      <c r="C158" s="250" t="s">
        <v>591</v>
      </c>
      <c r="D158" s="252" t="s">
        <v>1492</v>
      </c>
      <c r="E158" s="252" t="s">
        <v>1502</v>
      </c>
      <c r="F158" s="249" t="s">
        <v>1141</v>
      </c>
      <c r="G158" s="249" t="s">
        <v>1155</v>
      </c>
      <c r="H158" s="249" t="s">
        <v>30</v>
      </c>
      <c r="I158" s="251" t="s">
        <v>1187</v>
      </c>
      <c r="J158" s="253" t="s">
        <v>1503</v>
      </c>
      <c r="K158" s="254"/>
    </row>
    <row r="159" spans="1:11" s="249" customFormat="1" ht="33.75">
      <c r="A159" s="249">
        <v>158</v>
      </c>
      <c r="B159" s="249" t="s">
        <v>1504</v>
      </c>
      <c r="C159" s="250" t="s">
        <v>472</v>
      </c>
      <c r="D159" s="252" t="s">
        <v>1492</v>
      </c>
      <c r="E159" s="252" t="s">
        <v>1504</v>
      </c>
      <c r="F159" s="249" t="s">
        <v>1141</v>
      </c>
      <c r="G159" s="249" t="s">
        <v>1178</v>
      </c>
      <c r="H159" s="249" t="s">
        <v>1795</v>
      </c>
      <c r="I159" s="251" t="s">
        <v>1279</v>
      </c>
      <c r="J159" s="253" t="s">
        <v>1505</v>
      </c>
      <c r="K159" s="254"/>
    </row>
    <row r="160" spans="1:11" s="249" customFormat="1" ht="33.75">
      <c r="A160" s="249">
        <v>159</v>
      </c>
      <c r="B160" s="249" t="s">
        <v>1504</v>
      </c>
      <c r="C160" s="250" t="s">
        <v>472</v>
      </c>
      <c r="D160" s="252" t="s">
        <v>1492</v>
      </c>
      <c r="E160" s="252" t="s">
        <v>1506</v>
      </c>
      <c r="F160" s="249" t="s">
        <v>1141</v>
      </c>
      <c r="G160" s="249" t="s">
        <v>1178</v>
      </c>
      <c r="H160" s="249" t="s">
        <v>1796</v>
      </c>
      <c r="I160" s="251" t="s">
        <v>1279</v>
      </c>
      <c r="J160" s="253" t="s">
        <v>1507</v>
      </c>
      <c r="K160" s="254"/>
    </row>
    <row r="161" spans="1:11" s="249" customFormat="1" ht="33.75">
      <c r="A161" s="249">
        <v>160</v>
      </c>
      <c r="B161" s="249" t="s">
        <v>1504</v>
      </c>
      <c r="C161" s="250" t="s">
        <v>472</v>
      </c>
      <c r="D161" s="252" t="s">
        <v>1492</v>
      </c>
      <c r="E161" s="252" t="s">
        <v>1492</v>
      </c>
      <c r="F161" s="249" t="s">
        <v>1141</v>
      </c>
      <c r="G161" s="249" t="s">
        <v>1178</v>
      </c>
      <c r="H161" s="249" t="s">
        <v>30</v>
      </c>
      <c r="I161" s="251" t="s">
        <v>1279</v>
      </c>
      <c r="J161" s="253" t="s">
        <v>1508</v>
      </c>
      <c r="K161" s="254"/>
    </row>
    <row r="162" spans="1:11" s="249" customFormat="1" ht="33.75">
      <c r="A162" s="249">
        <v>161</v>
      </c>
      <c r="B162" s="249" t="s">
        <v>1509</v>
      </c>
      <c r="C162" s="250" t="s">
        <v>258</v>
      </c>
      <c r="D162" s="252" t="s">
        <v>1492</v>
      </c>
      <c r="E162" s="252" t="s">
        <v>1509</v>
      </c>
      <c r="F162" s="249" t="s">
        <v>1141</v>
      </c>
      <c r="G162" s="249" t="s">
        <v>674</v>
      </c>
      <c r="H162" s="249" t="s">
        <v>1795</v>
      </c>
      <c r="I162" s="251" t="s">
        <v>1279</v>
      </c>
      <c r="J162" s="253" t="s">
        <v>1510</v>
      </c>
      <c r="K162" s="254"/>
    </row>
    <row r="163" spans="1:11" s="249" customFormat="1" ht="33.75">
      <c r="A163" s="249">
        <v>162</v>
      </c>
      <c r="B163" s="249" t="s">
        <v>1509</v>
      </c>
      <c r="C163" s="250" t="s">
        <v>258</v>
      </c>
      <c r="D163" s="252" t="s">
        <v>1492</v>
      </c>
      <c r="E163" s="252" t="s">
        <v>1511</v>
      </c>
      <c r="F163" s="249" t="s">
        <v>1141</v>
      </c>
      <c r="G163" s="249" t="s">
        <v>674</v>
      </c>
      <c r="H163" s="249" t="s">
        <v>1796</v>
      </c>
      <c r="I163" s="251" t="s">
        <v>1279</v>
      </c>
      <c r="J163" s="253" t="s">
        <v>1512</v>
      </c>
      <c r="K163" s="254"/>
    </row>
    <row r="164" spans="1:11" s="249" customFormat="1" ht="33.75">
      <c r="A164" s="249">
        <v>163</v>
      </c>
      <c r="B164" s="249" t="s">
        <v>1509</v>
      </c>
      <c r="C164" s="250" t="s">
        <v>258</v>
      </c>
      <c r="D164" s="252" t="s">
        <v>1492</v>
      </c>
      <c r="E164" s="252" t="s">
        <v>1513</v>
      </c>
      <c r="F164" s="249" t="s">
        <v>1141</v>
      </c>
      <c r="G164" s="249" t="s">
        <v>674</v>
      </c>
      <c r="H164" s="249" t="s">
        <v>30</v>
      </c>
      <c r="I164" s="251" t="s">
        <v>1279</v>
      </c>
      <c r="J164" s="253" t="s">
        <v>1514</v>
      </c>
      <c r="K164" s="254"/>
    </row>
    <row r="165" spans="1:11" s="249" customFormat="1" ht="33.75">
      <c r="A165" s="249">
        <v>164</v>
      </c>
      <c r="B165" s="249" t="s">
        <v>1515</v>
      </c>
      <c r="C165" s="250" t="s">
        <v>258</v>
      </c>
      <c r="D165" s="252" t="s">
        <v>728</v>
      </c>
      <c r="E165" s="252" t="s">
        <v>1515</v>
      </c>
      <c r="F165" s="249" t="s">
        <v>1141</v>
      </c>
      <c r="G165" s="249" t="s">
        <v>674</v>
      </c>
      <c r="H165" s="249" t="s">
        <v>1795</v>
      </c>
      <c r="I165" s="251" t="s">
        <v>1279</v>
      </c>
      <c r="J165" s="253" t="s">
        <v>1516</v>
      </c>
      <c r="K165" s="254"/>
    </row>
    <row r="166" spans="1:11" s="249" customFormat="1" ht="33.75">
      <c r="A166" s="249">
        <v>165</v>
      </c>
      <c r="B166" s="249" t="s">
        <v>1515</v>
      </c>
      <c r="C166" s="250" t="s">
        <v>258</v>
      </c>
      <c r="D166" s="252" t="s">
        <v>728</v>
      </c>
      <c r="E166" s="252" t="s">
        <v>1517</v>
      </c>
      <c r="F166" s="249" t="s">
        <v>1141</v>
      </c>
      <c r="G166" s="249" t="s">
        <v>674</v>
      </c>
      <c r="H166" s="249" t="s">
        <v>1796</v>
      </c>
      <c r="I166" s="251" t="s">
        <v>1279</v>
      </c>
      <c r="J166" s="253" t="s">
        <v>1518</v>
      </c>
      <c r="K166" s="254"/>
    </row>
    <row r="167" spans="1:11" s="249" customFormat="1" ht="33.75">
      <c r="A167" s="249">
        <v>166</v>
      </c>
      <c r="B167" s="249" t="s">
        <v>1515</v>
      </c>
      <c r="C167" s="250" t="s">
        <v>258</v>
      </c>
      <c r="D167" s="252" t="s">
        <v>728</v>
      </c>
      <c r="E167" s="252" t="s">
        <v>1519</v>
      </c>
      <c r="F167" s="249" t="s">
        <v>1141</v>
      </c>
      <c r="G167" s="249" t="s">
        <v>674</v>
      </c>
      <c r="H167" s="249" t="s">
        <v>30</v>
      </c>
      <c r="I167" s="251" t="s">
        <v>1279</v>
      </c>
      <c r="J167" s="253" t="s">
        <v>1520</v>
      </c>
      <c r="K167" s="254"/>
    </row>
    <row r="168" spans="1:11" s="249" customFormat="1" ht="33.75">
      <c r="A168" s="249">
        <v>167</v>
      </c>
      <c r="B168" s="249" t="s">
        <v>1521</v>
      </c>
      <c r="C168" s="250" t="s">
        <v>258</v>
      </c>
      <c r="D168" s="252" t="s">
        <v>728</v>
      </c>
      <c r="E168" s="252" t="s">
        <v>1522</v>
      </c>
      <c r="F168" s="249" t="s">
        <v>1141</v>
      </c>
      <c r="G168" s="249" t="s">
        <v>674</v>
      </c>
      <c r="H168" s="249" t="s">
        <v>1795</v>
      </c>
      <c r="I168" s="251" t="s">
        <v>1283</v>
      </c>
      <c r="J168" s="253" t="s">
        <v>1523</v>
      </c>
      <c r="K168" s="254"/>
    </row>
    <row r="169" spans="1:11" s="249" customFormat="1" ht="33.75">
      <c r="A169" s="249">
        <v>168</v>
      </c>
      <c r="B169" s="249" t="s">
        <v>1521</v>
      </c>
      <c r="C169" s="250" t="s">
        <v>258</v>
      </c>
      <c r="D169" s="252" t="s">
        <v>728</v>
      </c>
      <c r="E169" s="252" t="s">
        <v>728</v>
      </c>
      <c r="F169" s="249" t="s">
        <v>1141</v>
      </c>
      <c r="G169" s="249" t="s">
        <v>674</v>
      </c>
      <c r="H169" s="249" t="s">
        <v>1796</v>
      </c>
      <c r="I169" s="251" t="s">
        <v>1283</v>
      </c>
      <c r="J169" s="253" t="s">
        <v>1524</v>
      </c>
      <c r="K169" s="254"/>
    </row>
    <row r="170" spans="1:11" s="249" customFormat="1" ht="33.75">
      <c r="A170" s="249">
        <v>169</v>
      </c>
      <c r="B170" s="249" t="s">
        <v>1521</v>
      </c>
      <c r="C170" s="250" t="s">
        <v>258</v>
      </c>
      <c r="D170" s="252" t="s">
        <v>728</v>
      </c>
      <c r="E170" s="252" t="s">
        <v>1525</v>
      </c>
      <c r="F170" s="249" t="s">
        <v>1141</v>
      </c>
      <c r="G170" s="249" t="s">
        <v>674</v>
      </c>
      <c r="H170" s="249" t="s">
        <v>30</v>
      </c>
      <c r="I170" s="251" t="s">
        <v>1283</v>
      </c>
      <c r="J170" s="253" t="s">
        <v>1526</v>
      </c>
      <c r="K170" s="254"/>
    </row>
    <row r="171" spans="1:11" s="249" customFormat="1" ht="33.75">
      <c r="A171" s="249">
        <v>170</v>
      </c>
      <c r="B171" s="249" t="s">
        <v>1527</v>
      </c>
      <c r="C171" s="250" t="s">
        <v>535</v>
      </c>
      <c r="D171" s="252" t="s">
        <v>728</v>
      </c>
      <c r="E171" s="252" t="s">
        <v>1522</v>
      </c>
      <c r="F171" s="249" t="s">
        <v>1141</v>
      </c>
      <c r="G171" s="249" t="s">
        <v>1155</v>
      </c>
      <c r="H171" s="249" t="s">
        <v>1795</v>
      </c>
      <c r="I171" s="251" t="s">
        <v>1187</v>
      </c>
      <c r="J171" s="253" t="s">
        <v>1528</v>
      </c>
      <c r="K171" s="254"/>
    </row>
    <row r="172" spans="1:11" s="249" customFormat="1" ht="33.75">
      <c r="A172" s="249">
        <v>171</v>
      </c>
      <c r="B172" s="249" t="s">
        <v>1529</v>
      </c>
      <c r="C172" s="250" t="s">
        <v>535</v>
      </c>
      <c r="D172" s="252" t="s">
        <v>728</v>
      </c>
      <c r="E172" s="252" t="s">
        <v>1522</v>
      </c>
      <c r="F172" s="249" t="s">
        <v>1192</v>
      </c>
      <c r="G172" s="249" t="s">
        <v>1155</v>
      </c>
      <c r="H172" s="249" t="s">
        <v>1795</v>
      </c>
      <c r="I172" s="251" t="s">
        <v>1191</v>
      </c>
      <c r="J172" s="253" t="s">
        <v>1530</v>
      </c>
      <c r="K172" s="254"/>
    </row>
    <row r="173" spans="1:11" s="249" customFormat="1" ht="33.75">
      <c r="A173" s="249">
        <v>172</v>
      </c>
      <c r="B173" s="249" t="s">
        <v>1527</v>
      </c>
      <c r="C173" s="250" t="s">
        <v>535</v>
      </c>
      <c r="D173" s="252" t="s">
        <v>728</v>
      </c>
      <c r="E173" s="252" t="s">
        <v>728</v>
      </c>
      <c r="F173" s="249" t="s">
        <v>1141</v>
      </c>
      <c r="G173" s="249" t="s">
        <v>1155</v>
      </c>
      <c r="H173" s="249" t="s">
        <v>1796</v>
      </c>
      <c r="I173" s="251" t="s">
        <v>1187</v>
      </c>
      <c r="J173" s="253"/>
      <c r="K173" s="254"/>
    </row>
    <row r="174" spans="1:11" s="249" customFormat="1" ht="33.75">
      <c r="A174" s="249">
        <v>173</v>
      </c>
      <c r="B174" s="249" t="s">
        <v>1529</v>
      </c>
      <c r="C174" s="250" t="s">
        <v>535</v>
      </c>
      <c r="D174" s="252" t="s">
        <v>728</v>
      </c>
      <c r="E174" s="252" t="s">
        <v>728</v>
      </c>
      <c r="F174" s="249" t="s">
        <v>1192</v>
      </c>
      <c r="G174" s="249" t="s">
        <v>1155</v>
      </c>
      <c r="H174" s="249" t="s">
        <v>1796</v>
      </c>
      <c r="I174" s="251" t="s">
        <v>1191</v>
      </c>
      <c r="J174" s="253"/>
      <c r="K174" s="254"/>
    </row>
    <row r="175" spans="1:11" s="249" customFormat="1" ht="33.75">
      <c r="A175" s="249">
        <v>174</v>
      </c>
      <c r="B175" s="249" t="s">
        <v>1527</v>
      </c>
      <c r="C175" s="250" t="s">
        <v>535</v>
      </c>
      <c r="D175" s="252" t="s">
        <v>728</v>
      </c>
      <c r="E175" s="252" t="s">
        <v>1525</v>
      </c>
      <c r="F175" s="249" t="s">
        <v>1141</v>
      </c>
      <c r="G175" s="249" t="s">
        <v>1155</v>
      </c>
      <c r="H175" s="249" t="s">
        <v>30</v>
      </c>
      <c r="I175" s="251" t="s">
        <v>1187</v>
      </c>
      <c r="J175" s="253"/>
      <c r="K175" s="254"/>
    </row>
    <row r="176" spans="1:11" s="249" customFormat="1" ht="33.75">
      <c r="A176" s="249">
        <v>175</v>
      </c>
      <c r="B176" s="249" t="s">
        <v>1529</v>
      </c>
      <c r="C176" s="250" t="s">
        <v>535</v>
      </c>
      <c r="D176" s="252" t="s">
        <v>728</v>
      </c>
      <c r="E176" s="252" t="s">
        <v>1525</v>
      </c>
      <c r="F176" s="249" t="s">
        <v>1192</v>
      </c>
      <c r="G176" s="249" t="s">
        <v>1155</v>
      </c>
      <c r="H176" s="249" t="s">
        <v>30</v>
      </c>
      <c r="I176" s="251" t="s">
        <v>1191</v>
      </c>
      <c r="J176" s="253"/>
      <c r="K176" s="254"/>
    </row>
    <row r="177" spans="1:11" s="249" customFormat="1" ht="33.75">
      <c r="A177" s="249">
        <v>176</v>
      </c>
      <c r="B177" s="249" t="s">
        <v>1531</v>
      </c>
      <c r="C177" s="250" t="s">
        <v>251</v>
      </c>
      <c r="D177" s="252" t="s">
        <v>1533</v>
      </c>
      <c r="E177" s="252" t="s">
        <v>1532</v>
      </c>
      <c r="F177" s="249" t="s">
        <v>1141</v>
      </c>
      <c r="G177" s="249" t="s">
        <v>1178</v>
      </c>
      <c r="H177" s="249" t="s">
        <v>1795</v>
      </c>
      <c r="I177" s="251" t="s">
        <v>1279</v>
      </c>
      <c r="J177" s="253" t="s">
        <v>1534</v>
      </c>
      <c r="K177" s="254"/>
    </row>
    <row r="178" spans="1:11" s="249" customFormat="1" ht="33.75">
      <c r="A178" s="249">
        <v>177</v>
      </c>
      <c r="B178" s="249" t="s">
        <v>1535</v>
      </c>
      <c r="C178" s="250" t="s">
        <v>260</v>
      </c>
      <c r="D178" s="252" t="s">
        <v>1533</v>
      </c>
      <c r="E178" s="252" t="s">
        <v>1532</v>
      </c>
      <c r="F178" s="249" t="s">
        <v>1192</v>
      </c>
      <c r="G178" s="249" t="s">
        <v>1178</v>
      </c>
      <c r="H178" s="249" t="s">
        <v>1795</v>
      </c>
      <c r="I178" s="251" t="s">
        <v>1283</v>
      </c>
      <c r="J178" s="253" t="s">
        <v>1536</v>
      </c>
      <c r="K178" s="254"/>
    </row>
    <row r="179" spans="1:11" s="249" customFormat="1" ht="33.75">
      <c r="A179" s="249">
        <v>178</v>
      </c>
      <c r="B179" s="249" t="s">
        <v>1537</v>
      </c>
      <c r="C179" s="250" t="s">
        <v>251</v>
      </c>
      <c r="D179" s="252" t="s">
        <v>1533</v>
      </c>
      <c r="E179" s="252" t="s">
        <v>1538</v>
      </c>
      <c r="F179" s="249" t="s">
        <v>1141</v>
      </c>
      <c r="G179" s="249" t="s">
        <v>1178</v>
      </c>
      <c r="H179" s="249" t="s">
        <v>1796</v>
      </c>
      <c r="I179" s="251" t="s">
        <v>1279</v>
      </c>
      <c r="J179" s="253" t="s">
        <v>1539</v>
      </c>
      <c r="K179" s="254"/>
    </row>
    <row r="180" spans="1:11" s="249" customFormat="1" ht="33.75">
      <c r="A180" s="249">
        <v>179</v>
      </c>
      <c r="B180" s="249" t="s">
        <v>1540</v>
      </c>
      <c r="C180" s="250" t="s">
        <v>260</v>
      </c>
      <c r="D180" s="252" t="s">
        <v>1533</v>
      </c>
      <c r="E180" s="252" t="s">
        <v>1538</v>
      </c>
      <c r="F180" s="249" t="s">
        <v>1192</v>
      </c>
      <c r="G180" s="249" t="s">
        <v>1178</v>
      </c>
      <c r="H180" s="249" t="s">
        <v>1796</v>
      </c>
      <c r="I180" s="251" t="s">
        <v>1283</v>
      </c>
      <c r="J180" s="253" t="s">
        <v>1541</v>
      </c>
      <c r="K180" s="254"/>
    </row>
    <row r="181" spans="1:11" s="249" customFormat="1" ht="33.75">
      <c r="A181" s="249">
        <v>180</v>
      </c>
      <c r="B181" s="249" t="s">
        <v>1542</v>
      </c>
      <c r="C181" s="250" t="s">
        <v>251</v>
      </c>
      <c r="D181" s="252" t="s">
        <v>1533</v>
      </c>
      <c r="E181" s="252" t="s">
        <v>1543</v>
      </c>
      <c r="F181" s="249" t="s">
        <v>1141</v>
      </c>
      <c r="G181" s="249" t="s">
        <v>1178</v>
      </c>
      <c r="H181" s="249" t="s">
        <v>30</v>
      </c>
      <c r="I181" s="251" t="s">
        <v>1279</v>
      </c>
      <c r="J181" s="253" t="s">
        <v>1544</v>
      </c>
      <c r="K181" s="254"/>
    </row>
    <row r="182" spans="1:11" s="249" customFormat="1" ht="33.75">
      <c r="A182" s="249">
        <v>181</v>
      </c>
      <c r="B182" s="249" t="s">
        <v>1545</v>
      </c>
      <c r="C182" s="250" t="s">
        <v>260</v>
      </c>
      <c r="D182" s="252" t="s">
        <v>1533</v>
      </c>
      <c r="E182" s="252" t="s">
        <v>1543</v>
      </c>
      <c r="F182" s="249" t="s">
        <v>1192</v>
      </c>
      <c r="G182" s="249" t="s">
        <v>1178</v>
      </c>
      <c r="H182" s="249" t="s">
        <v>30</v>
      </c>
      <c r="I182" s="251" t="s">
        <v>1283</v>
      </c>
      <c r="J182" s="253" t="s">
        <v>1546</v>
      </c>
      <c r="K182" s="254"/>
    </row>
    <row r="183" spans="1:11" s="249" customFormat="1" ht="33.75">
      <c r="A183" s="249">
        <v>182</v>
      </c>
      <c r="B183" s="249" t="s">
        <v>1547</v>
      </c>
      <c r="C183" s="250" t="s">
        <v>535</v>
      </c>
      <c r="D183" s="252" t="s">
        <v>1533</v>
      </c>
      <c r="E183" s="252" t="s">
        <v>1532</v>
      </c>
      <c r="F183" s="249" t="s">
        <v>1141</v>
      </c>
      <c r="G183" s="249" t="s">
        <v>1155</v>
      </c>
      <c r="H183" s="249" t="s">
        <v>1795</v>
      </c>
      <c r="I183" s="251" t="s">
        <v>1187</v>
      </c>
      <c r="J183" s="253" t="s">
        <v>1548</v>
      </c>
      <c r="K183" s="254"/>
    </row>
    <row r="184" spans="1:11" s="249" customFormat="1" ht="33.75">
      <c r="A184" s="249">
        <v>183</v>
      </c>
      <c r="B184" s="249" t="s">
        <v>1549</v>
      </c>
      <c r="C184" s="250" t="s">
        <v>535</v>
      </c>
      <c r="D184" s="252" t="s">
        <v>1533</v>
      </c>
      <c r="E184" s="252" t="s">
        <v>1538</v>
      </c>
      <c r="F184" s="249" t="s">
        <v>1141</v>
      </c>
      <c r="G184" s="249" t="s">
        <v>1155</v>
      </c>
      <c r="H184" s="249" t="s">
        <v>1796</v>
      </c>
      <c r="I184" s="251" t="s">
        <v>1187</v>
      </c>
      <c r="J184" s="253" t="s">
        <v>1550</v>
      </c>
      <c r="K184" s="254"/>
    </row>
    <row r="185" spans="1:11" s="249" customFormat="1" ht="33.75">
      <c r="A185" s="249">
        <v>184</v>
      </c>
      <c r="B185" s="249" t="s">
        <v>1551</v>
      </c>
      <c r="C185" s="250" t="s">
        <v>535</v>
      </c>
      <c r="D185" s="252" t="s">
        <v>1533</v>
      </c>
      <c r="E185" s="252" t="s">
        <v>1543</v>
      </c>
      <c r="F185" s="249" t="s">
        <v>1141</v>
      </c>
      <c r="G185" s="249" t="s">
        <v>1155</v>
      </c>
      <c r="H185" s="249" t="s">
        <v>30</v>
      </c>
      <c r="I185" s="251" t="s">
        <v>1187</v>
      </c>
      <c r="J185" s="253" t="s">
        <v>1552</v>
      </c>
      <c r="K185" s="254"/>
    </row>
    <row r="186" spans="1:11" s="249" customFormat="1" ht="33.75">
      <c r="A186" s="249">
        <v>185</v>
      </c>
      <c r="B186" s="249" t="s">
        <v>1553</v>
      </c>
      <c r="C186" s="250" t="s">
        <v>666</v>
      </c>
      <c r="D186" s="252" t="s">
        <v>1555</v>
      </c>
      <c r="E186" s="252" t="s">
        <v>1554</v>
      </c>
      <c r="F186" s="249" t="s">
        <v>1141</v>
      </c>
      <c r="G186" s="249" t="s">
        <v>1155</v>
      </c>
      <c r="H186" s="249" t="s">
        <v>1795</v>
      </c>
      <c r="I186" s="251" t="s">
        <v>1187</v>
      </c>
      <c r="J186" s="253" t="s">
        <v>1556</v>
      </c>
      <c r="K186" s="254"/>
    </row>
    <row r="187" spans="1:11" s="249" customFormat="1" ht="33.75">
      <c r="A187" s="249">
        <v>186</v>
      </c>
      <c r="B187" s="249" t="s">
        <v>1557</v>
      </c>
      <c r="C187" s="250" t="s">
        <v>757</v>
      </c>
      <c r="D187" s="252" t="s">
        <v>1555</v>
      </c>
      <c r="E187" s="252" t="s">
        <v>1554</v>
      </c>
      <c r="F187" s="249" t="s">
        <v>1192</v>
      </c>
      <c r="G187" s="249" t="s">
        <v>1155</v>
      </c>
      <c r="H187" s="249" t="s">
        <v>1795</v>
      </c>
      <c r="I187" s="251" t="s">
        <v>1191</v>
      </c>
      <c r="J187" s="253" t="s">
        <v>1558</v>
      </c>
      <c r="K187" s="254" t="s">
        <v>1559</v>
      </c>
    </row>
    <row r="188" spans="1:11" s="249" customFormat="1" ht="33.75">
      <c r="A188" s="249">
        <v>187</v>
      </c>
      <c r="B188" s="249" t="s">
        <v>1560</v>
      </c>
      <c r="C188" s="250" t="s">
        <v>666</v>
      </c>
      <c r="D188" s="252" t="s">
        <v>1555</v>
      </c>
      <c r="E188" s="252" t="s">
        <v>1561</v>
      </c>
      <c r="F188" s="249" t="s">
        <v>1141</v>
      </c>
      <c r="G188" s="249" t="s">
        <v>1155</v>
      </c>
      <c r="H188" s="249" t="s">
        <v>1796</v>
      </c>
      <c r="I188" s="251" t="s">
        <v>1187</v>
      </c>
      <c r="J188" s="253" t="s">
        <v>1562</v>
      </c>
      <c r="K188" s="254"/>
    </row>
    <row r="189" spans="1:11" s="249" customFormat="1" ht="33.75">
      <c r="A189" s="249">
        <v>188</v>
      </c>
      <c r="B189" s="249" t="s">
        <v>1563</v>
      </c>
      <c r="C189" s="250" t="s">
        <v>757</v>
      </c>
      <c r="D189" s="252" t="s">
        <v>1555</v>
      </c>
      <c r="E189" s="252" t="s">
        <v>1561</v>
      </c>
      <c r="F189" s="249" t="s">
        <v>1192</v>
      </c>
      <c r="G189" s="249" t="s">
        <v>1155</v>
      </c>
      <c r="H189" s="249" t="s">
        <v>1796</v>
      </c>
      <c r="I189" s="251" t="s">
        <v>1191</v>
      </c>
      <c r="J189" s="253" t="s">
        <v>1564</v>
      </c>
      <c r="K189" s="254"/>
    </row>
    <row r="190" spans="1:11" s="249" customFormat="1" ht="33.75">
      <c r="A190" s="249">
        <v>189</v>
      </c>
      <c r="B190" s="249" t="s">
        <v>1565</v>
      </c>
      <c r="C190" s="250" t="s">
        <v>666</v>
      </c>
      <c r="D190" s="252" t="s">
        <v>1555</v>
      </c>
      <c r="E190" s="252" t="s">
        <v>1566</v>
      </c>
      <c r="F190" s="249" t="s">
        <v>1141</v>
      </c>
      <c r="G190" s="249" t="s">
        <v>1155</v>
      </c>
      <c r="H190" s="249" t="s">
        <v>30</v>
      </c>
      <c r="I190" s="251" t="s">
        <v>1187</v>
      </c>
      <c r="J190" s="253" t="s">
        <v>1567</v>
      </c>
      <c r="K190" s="254"/>
    </row>
    <row r="191" spans="1:11" s="249" customFormat="1" ht="33.75">
      <c r="A191" s="249">
        <v>190</v>
      </c>
      <c r="B191" s="249" t="s">
        <v>1568</v>
      </c>
      <c r="C191" s="250" t="s">
        <v>757</v>
      </c>
      <c r="D191" s="252" t="s">
        <v>1555</v>
      </c>
      <c r="E191" s="252" t="s">
        <v>1566</v>
      </c>
      <c r="F191" s="249" t="s">
        <v>1192</v>
      </c>
      <c r="G191" s="249" t="s">
        <v>1155</v>
      </c>
      <c r="H191" s="249" t="s">
        <v>30</v>
      </c>
      <c r="I191" s="251" t="s">
        <v>1191</v>
      </c>
      <c r="J191" s="253" t="s">
        <v>1569</v>
      </c>
      <c r="K191" s="254"/>
    </row>
    <row r="192" spans="1:11" s="249" customFormat="1" ht="33.75">
      <c r="A192" s="249">
        <v>191</v>
      </c>
      <c r="B192" s="249" t="s">
        <v>1570</v>
      </c>
      <c r="C192" s="250" t="s">
        <v>660</v>
      </c>
      <c r="D192" s="252" t="s">
        <v>1555</v>
      </c>
      <c r="E192" s="252" t="s">
        <v>1571</v>
      </c>
      <c r="F192" s="249" t="s">
        <v>1141</v>
      </c>
      <c r="G192" s="249" t="s">
        <v>1155</v>
      </c>
      <c r="H192" s="249" t="s">
        <v>33</v>
      </c>
      <c r="I192" s="251" t="s">
        <v>1187</v>
      </c>
      <c r="J192" s="253" t="s">
        <v>1572</v>
      </c>
      <c r="K192" s="254"/>
    </row>
    <row r="193" spans="1:11" s="249" customFormat="1" ht="33.75">
      <c r="A193" s="249">
        <v>192</v>
      </c>
      <c r="B193" s="249" t="s">
        <v>1573</v>
      </c>
      <c r="C193" s="250" t="s">
        <v>744</v>
      </c>
      <c r="D193" s="252" t="s">
        <v>1555</v>
      </c>
      <c r="E193" s="252" t="s">
        <v>1571</v>
      </c>
      <c r="F193" s="249" t="s">
        <v>1192</v>
      </c>
      <c r="G193" s="249" t="s">
        <v>1155</v>
      </c>
      <c r="H193" s="249" t="s">
        <v>33</v>
      </c>
      <c r="I193" s="251" t="s">
        <v>1191</v>
      </c>
      <c r="J193" s="253" t="s">
        <v>1574</v>
      </c>
      <c r="K193" s="254"/>
    </row>
    <row r="194" spans="1:11" s="249" customFormat="1" ht="33.75">
      <c r="A194" s="249">
        <v>193</v>
      </c>
      <c r="B194" s="249" t="s">
        <v>1575</v>
      </c>
      <c r="C194" s="250" t="s">
        <v>757</v>
      </c>
      <c r="D194" s="252" t="s">
        <v>1555</v>
      </c>
      <c r="E194" s="252" t="s">
        <v>1576</v>
      </c>
      <c r="F194" s="249" t="s">
        <v>1141</v>
      </c>
      <c r="G194" s="249" t="s">
        <v>674</v>
      </c>
      <c r="H194" s="249" t="s">
        <v>1795</v>
      </c>
      <c r="I194" s="251" t="s">
        <v>1279</v>
      </c>
      <c r="J194" s="253" t="s">
        <v>1577</v>
      </c>
      <c r="K194" s="254"/>
    </row>
    <row r="195" spans="1:11" s="249" customFormat="1" ht="33.75">
      <c r="A195" s="249">
        <v>194</v>
      </c>
      <c r="B195" s="249" t="s">
        <v>1578</v>
      </c>
      <c r="C195" s="250" t="s">
        <v>757</v>
      </c>
      <c r="D195" s="252" t="s">
        <v>1555</v>
      </c>
      <c r="E195" s="252" t="s">
        <v>1576</v>
      </c>
      <c r="F195" s="249" t="s">
        <v>1192</v>
      </c>
      <c r="G195" s="249" t="s">
        <v>674</v>
      </c>
      <c r="H195" s="249" t="s">
        <v>1795</v>
      </c>
      <c r="I195" s="251" t="s">
        <v>1283</v>
      </c>
      <c r="J195" s="253" t="s">
        <v>1579</v>
      </c>
      <c r="K195" s="254"/>
    </row>
    <row r="196" spans="1:11" s="249" customFormat="1" ht="33.75">
      <c r="A196" s="249">
        <v>195</v>
      </c>
      <c r="B196" s="249" t="s">
        <v>1580</v>
      </c>
      <c r="C196" s="250" t="s">
        <v>757</v>
      </c>
      <c r="D196" s="252" t="s">
        <v>1555</v>
      </c>
      <c r="E196" s="252" t="s">
        <v>1581</v>
      </c>
      <c r="F196" s="249" t="s">
        <v>1141</v>
      </c>
      <c r="G196" s="249" t="s">
        <v>674</v>
      </c>
      <c r="H196" s="249" t="s">
        <v>1796</v>
      </c>
      <c r="I196" s="251" t="s">
        <v>1279</v>
      </c>
      <c r="J196" s="253" t="s">
        <v>1582</v>
      </c>
      <c r="K196" s="254"/>
    </row>
    <row r="197" spans="1:11" s="249" customFormat="1" ht="33.75">
      <c r="A197" s="249">
        <v>196</v>
      </c>
      <c r="B197" s="249" t="s">
        <v>1583</v>
      </c>
      <c r="C197" s="250" t="s">
        <v>757</v>
      </c>
      <c r="D197" s="252" t="s">
        <v>1555</v>
      </c>
      <c r="E197" s="252" t="s">
        <v>1581</v>
      </c>
      <c r="F197" s="249" t="s">
        <v>1192</v>
      </c>
      <c r="G197" s="249" t="s">
        <v>674</v>
      </c>
      <c r="H197" s="249" t="s">
        <v>1796</v>
      </c>
      <c r="I197" s="251" t="s">
        <v>1283</v>
      </c>
      <c r="J197" s="253" t="s">
        <v>1584</v>
      </c>
      <c r="K197" s="254"/>
    </row>
    <row r="198" spans="1:11" s="249" customFormat="1" ht="33.75">
      <c r="A198" s="249">
        <v>197</v>
      </c>
      <c r="B198" s="249" t="s">
        <v>1585</v>
      </c>
      <c r="C198" s="250" t="s">
        <v>757</v>
      </c>
      <c r="D198" s="252" t="s">
        <v>1555</v>
      </c>
      <c r="E198" s="252" t="s">
        <v>1555</v>
      </c>
      <c r="F198" s="249" t="s">
        <v>1141</v>
      </c>
      <c r="G198" s="249" t="s">
        <v>674</v>
      </c>
      <c r="H198" s="249" t="s">
        <v>30</v>
      </c>
      <c r="I198" s="251" t="s">
        <v>1279</v>
      </c>
      <c r="J198" s="253" t="s">
        <v>1586</v>
      </c>
      <c r="K198" s="254"/>
    </row>
    <row r="199" spans="1:11" s="249" customFormat="1" ht="33.75">
      <c r="A199" s="249">
        <v>198</v>
      </c>
      <c r="B199" s="249" t="s">
        <v>1587</v>
      </c>
      <c r="C199" s="250" t="s">
        <v>757</v>
      </c>
      <c r="D199" s="252" t="s">
        <v>1555</v>
      </c>
      <c r="E199" s="252" t="s">
        <v>1555</v>
      </c>
      <c r="F199" s="249" t="s">
        <v>1192</v>
      </c>
      <c r="G199" s="249" t="s">
        <v>674</v>
      </c>
      <c r="H199" s="249" t="s">
        <v>30</v>
      </c>
      <c r="I199" s="251" t="s">
        <v>1283</v>
      </c>
      <c r="J199" s="253" t="s">
        <v>1588</v>
      </c>
      <c r="K199" s="254"/>
    </row>
    <row r="200" spans="1:11" s="249" customFormat="1" ht="33.75">
      <c r="A200" s="249">
        <v>199</v>
      </c>
      <c r="B200" s="249" t="s">
        <v>1589</v>
      </c>
      <c r="C200" s="250" t="s">
        <v>744</v>
      </c>
      <c r="D200" s="252" t="s">
        <v>1555</v>
      </c>
      <c r="E200" s="252" t="s">
        <v>1590</v>
      </c>
      <c r="F200" s="249" t="s">
        <v>1141</v>
      </c>
      <c r="G200" s="249" t="s">
        <v>674</v>
      </c>
      <c r="H200" s="249" t="s">
        <v>33</v>
      </c>
      <c r="I200" s="251" t="s">
        <v>1279</v>
      </c>
      <c r="J200" s="253" t="s">
        <v>1591</v>
      </c>
      <c r="K200" s="254"/>
    </row>
    <row r="201" spans="1:11" s="249" customFormat="1" ht="33.75">
      <c r="A201" s="249">
        <v>200</v>
      </c>
      <c r="B201" s="249" t="s">
        <v>1592</v>
      </c>
      <c r="C201" s="250" t="s">
        <v>744</v>
      </c>
      <c r="D201" s="252" t="s">
        <v>1555</v>
      </c>
      <c r="E201" s="252" t="s">
        <v>1590</v>
      </c>
      <c r="F201" s="249" t="s">
        <v>1192</v>
      </c>
      <c r="G201" s="249" t="s">
        <v>674</v>
      </c>
      <c r="H201" s="249" t="s">
        <v>33</v>
      </c>
      <c r="I201" s="251" t="s">
        <v>1283</v>
      </c>
      <c r="J201" s="253" t="s">
        <v>1593</v>
      </c>
      <c r="K201" s="254"/>
    </row>
    <row r="202" spans="1:11" s="249" customFormat="1" ht="33.75">
      <c r="A202" s="249">
        <v>201</v>
      </c>
      <c r="B202" s="249" t="s">
        <v>1594</v>
      </c>
      <c r="C202" s="250" t="s">
        <v>632</v>
      </c>
      <c r="D202" s="252" t="s">
        <v>1595</v>
      </c>
      <c r="E202" s="252" t="s">
        <v>635</v>
      </c>
      <c r="F202" s="249" t="s">
        <v>1141</v>
      </c>
      <c r="G202" s="249" t="s">
        <v>1178</v>
      </c>
      <c r="H202" s="249" t="s">
        <v>1795</v>
      </c>
      <c r="I202" s="251" t="s">
        <v>1279</v>
      </c>
      <c r="J202" s="253" t="s">
        <v>1596</v>
      </c>
      <c r="K202" s="254"/>
    </row>
    <row r="203" spans="1:11" s="249" customFormat="1" ht="33.75">
      <c r="A203" s="249">
        <v>202</v>
      </c>
      <c r="B203" s="249" t="s">
        <v>1597</v>
      </c>
      <c r="C203" s="250" t="s">
        <v>757</v>
      </c>
      <c r="D203" s="252" t="s">
        <v>1595</v>
      </c>
      <c r="E203" s="252" t="s">
        <v>635</v>
      </c>
      <c r="F203" s="249" t="s">
        <v>1192</v>
      </c>
      <c r="G203" s="249" t="s">
        <v>1178</v>
      </c>
      <c r="H203" s="249" t="s">
        <v>1795</v>
      </c>
      <c r="I203" s="251" t="s">
        <v>1283</v>
      </c>
      <c r="J203" s="253" t="s">
        <v>1598</v>
      </c>
      <c r="K203" s="254"/>
    </row>
    <row r="204" spans="1:11" s="249" customFormat="1" ht="33.75">
      <c r="A204" s="249">
        <v>203</v>
      </c>
      <c r="B204" s="249" t="s">
        <v>1599</v>
      </c>
      <c r="C204" s="250" t="s">
        <v>632</v>
      </c>
      <c r="D204" s="252" t="s">
        <v>1595</v>
      </c>
      <c r="E204" s="252" t="s">
        <v>1595</v>
      </c>
      <c r="F204" s="249" t="s">
        <v>1141</v>
      </c>
      <c r="G204" s="249" t="s">
        <v>1178</v>
      </c>
      <c r="H204" s="249" t="s">
        <v>1796</v>
      </c>
      <c r="I204" s="251" t="s">
        <v>1279</v>
      </c>
      <c r="J204" s="253" t="s">
        <v>1600</v>
      </c>
      <c r="K204" s="254"/>
    </row>
    <row r="205" spans="1:11" s="249" customFormat="1" ht="33.75">
      <c r="A205" s="249">
        <v>204</v>
      </c>
      <c r="B205" s="249" t="s">
        <v>1601</v>
      </c>
      <c r="C205" s="250" t="s">
        <v>757</v>
      </c>
      <c r="D205" s="252" t="s">
        <v>1595</v>
      </c>
      <c r="E205" s="252" t="s">
        <v>1595</v>
      </c>
      <c r="F205" s="249" t="s">
        <v>1192</v>
      </c>
      <c r="G205" s="249" t="s">
        <v>1178</v>
      </c>
      <c r="H205" s="249" t="s">
        <v>1796</v>
      </c>
      <c r="I205" s="251" t="s">
        <v>1283</v>
      </c>
      <c r="J205" s="253" t="s">
        <v>1602</v>
      </c>
      <c r="K205" s="254"/>
    </row>
    <row r="206" spans="1:11" s="249" customFormat="1" ht="33.75">
      <c r="A206" s="249">
        <v>205</v>
      </c>
      <c r="B206" s="249" t="s">
        <v>1603</v>
      </c>
      <c r="C206" s="250" t="s">
        <v>632</v>
      </c>
      <c r="D206" s="252" t="s">
        <v>1595</v>
      </c>
      <c r="E206" s="252" t="s">
        <v>1604</v>
      </c>
      <c r="F206" s="249" t="s">
        <v>1141</v>
      </c>
      <c r="G206" s="249" t="s">
        <v>1178</v>
      </c>
      <c r="H206" s="249" t="s">
        <v>30</v>
      </c>
      <c r="I206" s="251" t="s">
        <v>1279</v>
      </c>
      <c r="J206" s="253" t="s">
        <v>1605</v>
      </c>
      <c r="K206" s="254"/>
    </row>
    <row r="207" spans="1:11" s="249" customFormat="1" ht="33.75">
      <c r="A207" s="249">
        <v>206</v>
      </c>
      <c r="B207" s="249" t="s">
        <v>1606</v>
      </c>
      <c r="C207" s="250" t="s">
        <v>757</v>
      </c>
      <c r="D207" s="252" t="s">
        <v>1595</v>
      </c>
      <c r="E207" s="252" t="s">
        <v>1604</v>
      </c>
      <c r="F207" s="249" t="s">
        <v>1192</v>
      </c>
      <c r="G207" s="249" t="s">
        <v>1178</v>
      </c>
      <c r="H207" s="249" t="s">
        <v>30</v>
      </c>
      <c r="I207" s="251" t="s">
        <v>1283</v>
      </c>
      <c r="J207" s="253" t="s">
        <v>1607</v>
      </c>
      <c r="K207" s="254"/>
    </row>
    <row r="208" spans="1:11" s="249" customFormat="1" ht="33.75">
      <c r="A208" s="249">
        <v>207</v>
      </c>
      <c r="B208" s="249" t="s">
        <v>1608</v>
      </c>
      <c r="C208" s="250" t="s">
        <v>617</v>
      </c>
      <c r="D208" s="252" t="s">
        <v>1595</v>
      </c>
      <c r="E208" s="252" t="s">
        <v>1609</v>
      </c>
      <c r="F208" s="249" t="s">
        <v>1141</v>
      </c>
      <c r="G208" s="249" t="s">
        <v>1178</v>
      </c>
      <c r="H208" s="249" t="s">
        <v>33</v>
      </c>
      <c r="I208" s="251" t="s">
        <v>1279</v>
      </c>
      <c r="J208" s="253" t="s">
        <v>1610</v>
      </c>
      <c r="K208" s="254"/>
    </row>
    <row r="209" spans="1:11" s="249" customFormat="1" ht="33.75">
      <c r="A209" s="249">
        <v>208</v>
      </c>
      <c r="B209" s="249" t="s">
        <v>1611</v>
      </c>
      <c r="C209" s="250" t="s">
        <v>744</v>
      </c>
      <c r="D209" s="252" t="s">
        <v>1595</v>
      </c>
      <c r="E209" s="252" t="s">
        <v>1609</v>
      </c>
      <c r="F209" s="249" t="s">
        <v>1192</v>
      </c>
      <c r="G209" s="249" t="s">
        <v>1178</v>
      </c>
      <c r="H209" s="249" t="s">
        <v>33</v>
      </c>
      <c r="I209" s="251" t="s">
        <v>1283</v>
      </c>
      <c r="J209" s="253" t="s">
        <v>1612</v>
      </c>
      <c r="K209" s="254"/>
    </row>
    <row r="210" spans="1:11" s="249" customFormat="1" ht="33.75">
      <c r="A210" s="249">
        <v>209</v>
      </c>
      <c r="B210" s="249" t="s">
        <v>1613</v>
      </c>
      <c r="C210" s="250" t="s">
        <v>632</v>
      </c>
      <c r="D210" s="252" t="s">
        <v>1595</v>
      </c>
      <c r="E210" s="252" t="s">
        <v>635</v>
      </c>
      <c r="F210" s="249" t="s">
        <v>1141</v>
      </c>
      <c r="G210" s="249" t="s">
        <v>1155</v>
      </c>
      <c r="H210" s="249" t="s">
        <v>1795</v>
      </c>
      <c r="I210" s="251" t="s">
        <v>1187</v>
      </c>
      <c r="J210" s="253" t="s">
        <v>1614</v>
      </c>
      <c r="K210" s="254"/>
    </row>
    <row r="211" spans="1:11" s="249" customFormat="1" ht="33.75">
      <c r="A211" s="249">
        <v>210</v>
      </c>
      <c r="B211" s="249" t="s">
        <v>1615</v>
      </c>
      <c r="C211" s="250" t="s">
        <v>632</v>
      </c>
      <c r="D211" s="252" t="s">
        <v>1595</v>
      </c>
      <c r="E211" s="252" t="s">
        <v>635</v>
      </c>
      <c r="F211" s="249" t="s">
        <v>1192</v>
      </c>
      <c r="G211" s="249" t="s">
        <v>1155</v>
      </c>
      <c r="H211" s="249" t="s">
        <v>1795</v>
      </c>
      <c r="I211" s="251" t="s">
        <v>1191</v>
      </c>
      <c r="J211" s="253" t="s">
        <v>1616</v>
      </c>
      <c r="K211" s="254"/>
    </row>
    <row r="212" spans="1:11" s="249" customFormat="1" ht="33.75">
      <c r="A212" s="249">
        <v>211</v>
      </c>
      <c r="B212" s="249" t="s">
        <v>1617</v>
      </c>
      <c r="C212" s="250" t="s">
        <v>632</v>
      </c>
      <c r="D212" s="252" t="s">
        <v>1595</v>
      </c>
      <c r="E212" s="252" t="s">
        <v>1595</v>
      </c>
      <c r="F212" s="249" t="s">
        <v>1141</v>
      </c>
      <c r="G212" s="249" t="s">
        <v>1155</v>
      </c>
      <c r="H212" s="249" t="s">
        <v>1796</v>
      </c>
      <c r="I212" s="251" t="s">
        <v>1187</v>
      </c>
      <c r="J212" s="253" t="s">
        <v>1618</v>
      </c>
      <c r="K212" s="254"/>
    </row>
    <row r="213" spans="1:11" s="249" customFormat="1" ht="33.75">
      <c r="A213" s="249">
        <v>212</v>
      </c>
      <c r="B213" s="249" t="s">
        <v>1619</v>
      </c>
      <c r="C213" s="250" t="s">
        <v>632</v>
      </c>
      <c r="D213" s="252" t="s">
        <v>1595</v>
      </c>
      <c r="E213" s="252" t="s">
        <v>1595</v>
      </c>
      <c r="F213" s="249" t="s">
        <v>1192</v>
      </c>
      <c r="G213" s="249" t="s">
        <v>1155</v>
      </c>
      <c r="H213" s="249" t="s">
        <v>1796</v>
      </c>
      <c r="I213" s="251" t="s">
        <v>1191</v>
      </c>
      <c r="J213" s="253" t="s">
        <v>1620</v>
      </c>
      <c r="K213" s="254"/>
    </row>
    <row r="214" spans="1:11" s="249" customFormat="1" ht="33.75">
      <c r="A214" s="249">
        <v>213</v>
      </c>
      <c r="B214" s="249" t="s">
        <v>1621</v>
      </c>
      <c r="C214" s="250" t="s">
        <v>632</v>
      </c>
      <c r="D214" s="252" t="s">
        <v>1595</v>
      </c>
      <c r="E214" s="252" t="s">
        <v>1604</v>
      </c>
      <c r="F214" s="249" t="s">
        <v>1141</v>
      </c>
      <c r="G214" s="249" t="s">
        <v>1155</v>
      </c>
      <c r="H214" s="249" t="s">
        <v>30</v>
      </c>
      <c r="I214" s="251" t="s">
        <v>1187</v>
      </c>
      <c r="J214" s="253" t="s">
        <v>1622</v>
      </c>
      <c r="K214" s="254"/>
    </row>
    <row r="215" spans="1:11" s="249" customFormat="1" ht="33.75">
      <c r="A215" s="249">
        <v>214</v>
      </c>
      <c r="B215" s="249" t="s">
        <v>1623</v>
      </c>
      <c r="C215" s="250" t="s">
        <v>632</v>
      </c>
      <c r="D215" s="252" t="s">
        <v>1595</v>
      </c>
      <c r="E215" s="252" t="s">
        <v>1604</v>
      </c>
      <c r="F215" s="249" t="s">
        <v>1192</v>
      </c>
      <c r="G215" s="249" t="s">
        <v>1155</v>
      </c>
      <c r="H215" s="249" t="s">
        <v>30</v>
      </c>
      <c r="I215" s="251" t="s">
        <v>1191</v>
      </c>
      <c r="J215" s="253" t="s">
        <v>1624</v>
      </c>
      <c r="K215" s="254"/>
    </row>
    <row r="216" spans="1:11" s="249" customFormat="1" ht="33.75">
      <c r="A216" s="249">
        <v>215</v>
      </c>
      <c r="B216" s="249" t="s">
        <v>1625</v>
      </c>
      <c r="C216" s="250" t="s">
        <v>617</v>
      </c>
      <c r="D216" s="252" t="s">
        <v>1595</v>
      </c>
      <c r="E216" s="252" t="s">
        <v>1609</v>
      </c>
      <c r="F216" s="249" t="s">
        <v>1141</v>
      </c>
      <c r="G216" s="249" t="s">
        <v>1155</v>
      </c>
      <c r="H216" s="249" t="s">
        <v>33</v>
      </c>
      <c r="I216" s="251" t="s">
        <v>1187</v>
      </c>
      <c r="J216" s="253" t="s">
        <v>1626</v>
      </c>
      <c r="K216" s="254"/>
    </row>
    <row r="217" spans="1:11" s="249" customFormat="1" ht="33.75">
      <c r="A217" s="249">
        <v>216</v>
      </c>
      <c r="B217" s="249" t="s">
        <v>1627</v>
      </c>
      <c r="C217" s="250" t="s">
        <v>617</v>
      </c>
      <c r="D217" s="252" t="s">
        <v>1595</v>
      </c>
      <c r="E217" s="252" t="s">
        <v>1609</v>
      </c>
      <c r="F217" s="249" t="s">
        <v>1192</v>
      </c>
      <c r="G217" s="249" t="s">
        <v>1155</v>
      </c>
      <c r="H217" s="249" t="s">
        <v>33</v>
      </c>
      <c r="I217" s="251" t="s">
        <v>1191</v>
      </c>
      <c r="J217" s="253"/>
      <c r="K217" s="254"/>
    </row>
    <row r="218" spans="1:11" s="249" customFormat="1" ht="33.75">
      <c r="A218" s="249">
        <v>217</v>
      </c>
      <c r="B218" s="249" t="s">
        <v>1628</v>
      </c>
      <c r="C218" s="250" t="s">
        <v>632</v>
      </c>
      <c r="D218" s="252" t="s">
        <v>1595</v>
      </c>
      <c r="E218" s="252" t="s">
        <v>1629</v>
      </c>
      <c r="F218" s="249" t="s">
        <v>1141</v>
      </c>
      <c r="G218" s="249" t="s">
        <v>1178</v>
      </c>
      <c r="H218" s="249" t="s">
        <v>1795</v>
      </c>
      <c r="I218" s="251" t="s">
        <v>1279</v>
      </c>
      <c r="J218" s="253" t="s">
        <v>1630</v>
      </c>
      <c r="K218" s="254"/>
    </row>
    <row r="219" spans="1:11" s="249" customFormat="1" ht="33.75">
      <c r="A219" s="249">
        <v>218</v>
      </c>
      <c r="B219" s="249" t="s">
        <v>1631</v>
      </c>
      <c r="C219" s="250" t="s">
        <v>757</v>
      </c>
      <c r="D219" s="252" t="s">
        <v>1595</v>
      </c>
      <c r="E219" s="252" t="s">
        <v>1629</v>
      </c>
      <c r="F219" s="249" t="s">
        <v>1192</v>
      </c>
      <c r="G219" s="249" t="s">
        <v>1178</v>
      </c>
      <c r="H219" s="249" t="s">
        <v>1795</v>
      </c>
      <c r="I219" s="251" t="s">
        <v>1283</v>
      </c>
      <c r="J219" s="253" t="s">
        <v>1632</v>
      </c>
      <c r="K219" s="254"/>
    </row>
    <row r="220" spans="1:11" s="249" customFormat="1" ht="33.75">
      <c r="A220" s="249">
        <v>219</v>
      </c>
      <c r="B220" s="249" t="s">
        <v>1633</v>
      </c>
      <c r="C220" s="250" t="s">
        <v>632</v>
      </c>
      <c r="D220" s="252" t="s">
        <v>1595</v>
      </c>
      <c r="E220" s="252" t="s">
        <v>1633</v>
      </c>
      <c r="F220" s="249" t="s">
        <v>1141</v>
      </c>
      <c r="G220" s="249" t="s">
        <v>1178</v>
      </c>
      <c r="H220" s="249" t="s">
        <v>1796</v>
      </c>
      <c r="I220" s="251" t="s">
        <v>1279</v>
      </c>
      <c r="J220" s="253" t="s">
        <v>1634</v>
      </c>
      <c r="K220" s="254"/>
    </row>
    <row r="221" spans="1:11" s="249" customFormat="1" ht="33.75">
      <c r="A221" s="249">
        <v>220</v>
      </c>
      <c r="C221" s="250" t="s">
        <v>757</v>
      </c>
      <c r="D221" s="252" t="s">
        <v>1595</v>
      </c>
      <c r="E221" s="252" t="s">
        <v>1633</v>
      </c>
      <c r="F221" s="249" t="s">
        <v>1192</v>
      </c>
      <c r="G221" s="249" t="s">
        <v>1178</v>
      </c>
      <c r="H221" s="249" t="s">
        <v>1796</v>
      </c>
      <c r="I221" s="251" t="s">
        <v>1283</v>
      </c>
      <c r="J221" s="253"/>
      <c r="K221" s="254"/>
    </row>
    <row r="222" spans="1:11" s="249" customFormat="1" ht="33.75">
      <c r="A222" s="249">
        <v>221</v>
      </c>
      <c r="B222" s="249" t="s">
        <v>1635</v>
      </c>
      <c r="C222" s="250" t="s">
        <v>632</v>
      </c>
      <c r="D222" s="252" t="s">
        <v>1595</v>
      </c>
      <c r="E222" s="252" t="s">
        <v>1635</v>
      </c>
      <c r="F222" s="249" t="s">
        <v>1141</v>
      </c>
      <c r="G222" s="249" t="s">
        <v>1178</v>
      </c>
      <c r="H222" s="249" t="s">
        <v>30</v>
      </c>
      <c r="I222" s="251" t="s">
        <v>1279</v>
      </c>
      <c r="J222" s="253" t="s">
        <v>1636</v>
      </c>
      <c r="K222" s="254"/>
    </row>
    <row r="223" spans="1:11" s="249" customFormat="1" ht="33.75">
      <c r="A223" s="249">
        <v>222</v>
      </c>
      <c r="C223" s="250" t="s">
        <v>757</v>
      </c>
      <c r="D223" s="252" t="s">
        <v>1595</v>
      </c>
      <c r="E223" s="252" t="s">
        <v>1635</v>
      </c>
      <c r="F223" s="249" t="s">
        <v>1192</v>
      </c>
      <c r="G223" s="249" t="s">
        <v>1178</v>
      </c>
      <c r="H223" s="249" t="s">
        <v>30</v>
      </c>
      <c r="I223" s="251" t="s">
        <v>1283</v>
      </c>
      <c r="J223" s="253"/>
      <c r="K223" s="254"/>
    </row>
    <row r="224" spans="1:11" s="249" customFormat="1" ht="33.75">
      <c r="A224" s="249">
        <v>223</v>
      </c>
      <c r="B224" s="249" t="s">
        <v>1637</v>
      </c>
      <c r="C224" s="250" t="s">
        <v>617</v>
      </c>
      <c r="D224" s="252" t="s">
        <v>1595</v>
      </c>
      <c r="E224" s="252" t="s">
        <v>1638</v>
      </c>
      <c r="F224" s="249" t="s">
        <v>1141</v>
      </c>
      <c r="G224" s="249" t="s">
        <v>1178</v>
      </c>
      <c r="H224" s="249" t="s">
        <v>33</v>
      </c>
      <c r="I224" s="251" t="s">
        <v>1279</v>
      </c>
      <c r="J224" s="253" t="s">
        <v>1639</v>
      </c>
      <c r="K224" s="254"/>
    </row>
    <row r="225" spans="1:11" s="249" customFormat="1" ht="33.75">
      <c r="A225" s="249">
        <v>224</v>
      </c>
      <c r="B225" s="249" t="s">
        <v>1640</v>
      </c>
      <c r="C225" s="250" t="s">
        <v>744</v>
      </c>
      <c r="D225" s="252" t="s">
        <v>1595</v>
      </c>
      <c r="E225" s="252" t="s">
        <v>1638</v>
      </c>
      <c r="F225" s="249" t="s">
        <v>1192</v>
      </c>
      <c r="G225" s="249" t="s">
        <v>1178</v>
      </c>
      <c r="H225" s="249" t="s">
        <v>33</v>
      </c>
      <c r="I225" s="251" t="s">
        <v>1283</v>
      </c>
      <c r="J225" s="253" t="s">
        <v>1641</v>
      </c>
      <c r="K225" s="254"/>
    </row>
    <row r="226" spans="1:11" s="249" customFormat="1" ht="33.75">
      <c r="A226" s="249">
        <v>225</v>
      </c>
      <c r="B226" s="249" t="s">
        <v>1642</v>
      </c>
      <c r="C226" s="250" t="s">
        <v>632</v>
      </c>
      <c r="D226" s="252" t="s">
        <v>1595</v>
      </c>
      <c r="E226" s="252" t="s">
        <v>1067</v>
      </c>
      <c r="F226" s="249" t="s">
        <v>1141</v>
      </c>
      <c r="G226" s="249" t="s">
        <v>1155</v>
      </c>
      <c r="H226" s="249" t="s">
        <v>1795</v>
      </c>
      <c r="I226" s="251" t="s">
        <v>1187</v>
      </c>
      <c r="J226" s="253" t="s">
        <v>1643</v>
      </c>
      <c r="K226" s="254"/>
    </row>
    <row r="227" spans="1:11" s="249" customFormat="1" ht="33.75">
      <c r="A227" s="249">
        <v>226</v>
      </c>
      <c r="B227" s="249" t="s">
        <v>1644</v>
      </c>
      <c r="C227" s="250" t="s">
        <v>632</v>
      </c>
      <c r="D227" s="252" t="s">
        <v>1595</v>
      </c>
      <c r="E227" s="252" t="s">
        <v>1067</v>
      </c>
      <c r="F227" s="249" t="s">
        <v>1192</v>
      </c>
      <c r="G227" s="249" t="s">
        <v>1155</v>
      </c>
      <c r="H227" s="249" t="s">
        <v>1795</v>
      </c>
      <c r="I227" s="251" t="s">
        <v>1191</v>
      </c>
      <c r="J227" s="253" t="s">
        <v>1645</v>
      </c>
      <c r="K227" s="254"/>
    </row>
    <row r="228" spans="1:11" s="249" customFormat="1" ht="33.75">
      <c r="A228" s="249">
        <v>227</v>
      </c>
      <c r="B228" s="249" t="s">
        <v>1646</v>
      </c>
      <c r="C228" s="250" t="s">
        <v>632</v>
      </c>
      <c r="D228" s="252" t="s">
        <v>1595</v>
      </c>
      <c r="E228" s="252" t="s">
        <v>1647</v>
      </c>
      <c r="F228" s="249" t="s">
        <v>1141</v>
      </c>
      <c r="G228" s="249" t="s">
        <v>1155</v>
      </c>
      <c r="H228" s="249" t="s">
        <v>1796</v>
      </c>
      <c r="I228" s="251" t="s">
        <v>1187</v>
      </c>
      <c r="J228" s="253" t="s">
        <v>1648</v>
      </c>
      <c r="K228" s="254"/>
    </row>
    <row r="229" spans="1:11" s="249" customFormat="1" ht="33.75">
      <c r="A229" s="249">
        <v>228</v>
      </c>
      <c r="B229" s="249" t="s">
        <v>1649</v>
      </c>
      <c r="C229" s="250" t="s">
        <v>632</v>
      </c>
      <c r="D229" s="252" t="s">
        <v>1595</v>
      </c>
      <c r="E229" s="252" t="s">
        <v>1647</v>
      </c>
      <c r="F229" s="249" t="s">
        <v>1192</v>
      </c>
      <c r="G229" s="249" t="s">
        <v>1155</v>
      </c>
      <c r="H229" s="249" t="s">
        <v>1796</v>
      </c>
      <c r="I229" s="251" t="s">
        <v>1191</v>
      </c>
      <c r="J229" s="253" t="s">
        <v>1650</v>
      </c>
      <c r="K229" s="254"/>
    </row>
    <row r="230" spans="1:11" s="249" customFormat="1" ht="33.75">
      <c r="A230" s="249">
        <v>229</v>
      </c>
      <c r="B230" s="249" t="s">
        <v>1651</v>
      </c>
      <c r="C230" s="250" t="s">
        <v>632</v>
      </c>
      <c r="D230" s="252" t="s">
        <v>1595</v>
      </c>
      <c r="E230" s="252" t="s">
        <v>1651</v>
      </c>
      <c r="F230" s="249" t="s">
        <v>1141</v>
      </c>
      <c r="G230" s="249" t="s">
        <v>1155</v>
      </c>
      <c r="H230" s="249" t="s">
        <v>30</v>
      </c>
      <c r="I230" s="251" t="s">
        <v>1187</v>
      </c>
      <c r="J230" s="253" t="s">
        <v>1652</v>
      </c>
      <c r="K230" s="254"/>
    </row>
    <row r="231" spans="1:11" s="249" customFormat="1" ht="33.75">
      <c r="A231" s="249">
        <v>230</v>
      </c>
      <c r="C231" s="250" t="s">
        <v>632</v>
      </c>
      <c r="D231" s="252" t="s">
        <v>1595</v>
      </c>
      <c r="E231" s="252" t="s">
        <v>1651</v>
      </c>
      <c r="F231" s="249" t="s">
        <v>1192</v>
      </c>
      <c r="G231" s="249" t="s">
        <v>1155</v>
      </c>
      <c r="H231" s="249" t="s">
        <v>30</v>
      </c>
      <c r="I231" s="251" t="s">
        <v>1191</v>
      </c>
      <c r="J231" s="253"/>
      <c r="K231" s="254"/>
    </row>
    <row r="232" spans="1:11" s="249" customFormat="1" ht="33.75">
      <c r="A232" s="249">
        <v>231</v>
      </c>
      <c r="B232" s="249" t="s">
        <v>1653</v>
      </c>
      <c r="C232" s="250" t="s">
        <v>617</v>
      </c>
      <c r="D232" s="252" t="s">
        <v>1595</v>
      </c>
      <c r="E232" s="252" t="s">
        <v>1654</v>
      </c>
      <c r="F232" s="249" t="s">
        <v>1141</v>
      </c>
      <c r="G232" s="249" t="s">
        <v>1155</v>
      </c>
      <c r="H232" s="249" t="s">
        <v>33</v>
      </c>
      <c r="I232" s="251" t="s">
        <v>1187</v>
      </c>
      <c r="J232" s="253" t="s">
        <v>1655</v>
      </c>
      <c r="K232" s="254"/>
    </row>
    <row r="233" spans="1:11" s="249" customFormat="1" ht="33.75">
      <c r="A233" s="249">
        <v>232</v>
      </c>
      <c r="B233" s="249" t="s">
        <v>1656</v>
      </c>
      <c r="C233" s="250" t="s">
        <v>617</v>
      </c>
      <c r="D233" s="252" t="s">
        <v>1595</v>
      </c>
      <c r="E233" s="252" t="s">
        <v>1654</v>
      </c>
      <c r="F233" s="249" t="s">
        <v>1192</v>
      </c>
      <c r="G233" s="249" t="s">
        <v>1155</v>
      </c>
      <c r="H233" s="249" t="s">
        <v>33</v>
      </c>
      <c r="I233" s="251" t="s">
        <v>1191</v>
      </c>
      <c r="J233" s="253" t="s">
        <v>1657</v>
      </c>
      <c r="K233" s="254"/>
    </row>
    <row r="234" spans="1:11" s="249" customFormat="1" ht="33.75">
      <c r="A234" s="249">
        <v>233</v>
      </c>
      <c r="B234" s="249" t="s">
        <v>1658</v>
      </c>
      <c r="C234" s="250" t="s">
        <v>632</v>
      </c>
      <c r="D234" s="252" t="s">
        <v>1595</v>
      </c>
      <c r="E234" s="252" t="s">
        <v>1659</v>
      </c>
      <c r="F234" s="249" t="s">
        <v>1141</v>
      </c>
      <c r="G234" s="249" t="s">
        <v>1258</v>
      </c>
      <c r="H234" s="249" t="s">
        <v>1795</v>
      </c>
      <c r="I234" s="251" t="s">
        <v>1187</v>
      </c>
      <c r="J234" s="253" t="s">
        <v>1660</v>
      </c>
      <c r="K234" s="254"/>
    </row>
    <row r="235" spans="1:11" s="249" customFormat="1" ht="33.75">
      <c r="A235" s="249">
        <v>234</v>
      </c>
      <c r="B235" s="249" t="s">
        <v>1661</v>
      </c>
      <c r="C235" s="250" t="s">
        <v>632</v>
      </c>
      <c r="D235" s="252" t="s">
        <v>1595</v>
      </c>
      <c r="E235" s="252" t="s">
        <v>1659</v>
      </c>
      <c r="F235" s="249" t="s">
        <v>1192</v>
      </c>
      <c r="G235" s="249" t="s">
        <v>1258</v>
      </c>
      <c r="H235" s="249" t="s">
        <v>1795</v>
      </c>
      <c r="I235" s="251" t="s">
        <v>1191</v>
      </c>
      <c r="J235" s="253" t="s">
        <v>1662</v>
      </c>
      <c r="K235" s="254"/>
    </row>
    <row r="236" spans="1:11" s="249" customFormat="1" ht="33.75">
      <c r="A236" s="249">
        <v>235</v>
      </c>
      <c r="B236" s="249" t="s">
        <v>1663</v>
      </c>
      <c r="C236" s="250" t="s">
        <v>632</v>
      </c>
      <c r="D236" s="252" t="s">
        <v>1595</v>
      </c>
      <c r="E236" s="252" t="s">
        <v>1664</v>
      </c>
      <c r="F236" s="249" t="s">
        <v>1141</v>
      </c>
      <c r="G236" s="249" t="s">
        <v>1258</v>
      </c>
      <c r="H236" s="249" t="s">
        <v>1796</v>
      </c>
      <c r="I236" s="251" t="s">
        <v>1187</v>
      </c>
      <c r="J236" s="253" t="s">
        <v>1665</v>
      </c>
      <c r="K236" s="254"/>
    </row>
    <row r="237" spans="1:11" s="249" customFormat="1" ht="33.75">
      <c r="A237" s="249">
        <v>236</v>
      </c>
      <c r="B237" s="249" t="s">
        <v>1666</v>
      </c>
      <c r="C237" s="250" t="s">
        <v>632</v>
      </c>
      <c r="D237" s="252" t="s">
        <v>1595</v>
      </c>
      <c r="E237" s="252" t="s">
        <v>1664</v>
      </c>
      <c r="F237" s="249" t="s">
        <v>1192</v>
      </c>
      <c r="G237" s="249" t="s">
        <v>1258</v>
      </c>
      <c r="H237" s="249" t="s">
        <v>1796</v>
      </c>
      <c r="I237" s="251" t="s">
        <v>1191</v>
      </c>
      <c r="J237" s="253" t="s">
        <v>1667</v>
      </c>
      <c r="K237" s="254"/>
    </row>
    <row r="238" spans="1:11" s="249" customFormat="1" ht="33.75">
      <c r="A238" s="249">
        <v>237</v>
      </c>
      <c r="B238" s="249" t="s">
        <v>1668</v>
      </c>
      <c r="C238" s="250" t="s">
        <v>632</v>
      </c>
      <c r="D238" s="252" t="s">
        <v>1595</v>
      </c>
      <c r="E238" s="252" t="s">
        <v>1668</v>
      </c>
      <c r="F238" s="249" t="s">
        <v>1141</v>
      </c>
      <c r="G238" s="249" t="s">
        <v>1258</v>
      </c>
      <c r="H238" s="249" t="s">
        <v>30</v>
      </c>
      <c r="I238" s="251" t="s">
        <v>1187</v>
      </c>
      <c r="J238" s="253" t="s">
        <v>1669</v>
      </c>
      <c r="K238" s="254"/>
    </row>
    <row r="239" spans="1:11" s="249" customFormat="1" ht="33.75">
      <c r="A239" s="249">
        <v>238</v>
      </c>
      <c r="C239" s="250" t="s">
        <v>632</v>
      </c>
      <c r="D239" s="252" t="s">
        <v>1595</v>
      </c>
      <c r="E239" s="252" t="s">
        <v>1668</v>
      </c>
      <c r="F239" s="249" t="s">
        <v>1192</v>
      </c>
      <c r="G239" s="249" t="s">
        <v>1258</v>
      </c>
      <c r="H239" s="249" t="s">
        <v>30</v>
      </c>
      <c r="I239" s="251" t="s">
        <v>1191</v>
      </c>
      <c r="J239" s="253"/>
      <c r="K239" s="254"/>
    </row>
    <row r="240" spans="1:11" s="249" customFormat="1" ht="33.75">
      <c r="A240" s="249">
        <v>239</v>
      </c>
      <c r="B240" s="249" t="s">
        <v>1670</v>
      </c>
      <c r="C240" s="250" t="s">
        <v>617</v>
      </c>
      <c r="D240" s="252" t="s">
        <v>1595</v>
      </c>
      <c r="E240" s="252" t="s">
        <v>1671</v>
      </c>
      <c r="F240" s="249" t="s">
        <v>1141</v>
      </c>
      <c r="G240" s="249" t="s">
        <v>1258</v>
      </c>
      <c r="H240" s="249" t="s">
        <v>33</v>
      </c>
      <c r="I240" s="251" t="s">
        <v>1187</v>
      </c>
      <c r="J240" s="253" t="s">
        <v>1672</v>
      </c>
      <c r="K240" s="254"/>
    </row>
    <row r="241" spans="1:11" s="249" customFormat="1" ht="33.75">
      <c r="A241" s="249">
        <v>240</v>
      </c>
      <c r="B241" s="249" t="s">
        <v>1673</v>
      </c>
      <c r="C241" s="250" t="s">
        <v>617</v>
      </c>
      <c r="D241" s="252" t="s">
        <v>1595</v>
      </c>
      <c r="E241" s="252" t="s">
        <v>1671</v>
      </c>
      <c r="F241" s="249" t="s">
        <v>1192</v>
      </c>
      <c r="G241" s="249" t="s">
        <v>1258</v>
      </c>
      <c r="H241" s="249" t="s">
        <v>33</v>
      </c>
      <c r="I241" s="251" t="s">
        <v>1191</v>
      </c>
      <c r="J241" s="253" t="s">
        <v>1674</v>
      </c>
      <c r="K241" s="254"/>
    </row>
    <row r="242" spans="1:11" s="249" customFormat="1" ht="33.75">
      <c r="A242" s="249">
        <v>241</v>
      </c>
      <c r="B242" s="249" t="s">
        <v>1675</v>
      </c>
      <c r="C242" s="250" t="s">
        <v>632</v>
      </c>
      <c r="D242" s="252" t="s">
        <v>32</v>
      </c>
      <c r="E242" s="252" t="s">
        <v>1675</v>
      </c>
      <c r="F242" s="249" t="s">
        <v>1141</v>
      </c>
      <c r="G242" s="249" t="s">
        <v>1155</v>
      </c>
      <c r="H242" s="249" t="s">
        <v>1795</v>
      </c>
      <c r="I242" s="251" t="s">
        <v>1187</v>
      </c>
      <c r="J242" s="253" t="s">
        <v>1676</v>
      </c>
      <c r="K242" s="254"/>
    </row>
    <row r="243" spans="1:11" s="249" customFormat="1" ht="33.75">
      <c r="A243" s="249">
        <v>242</v>
      </c>
      <c r="B243" s="249" t="s">
        <v>1675</v>
      </c>
      <c r="C243" s="250" t="s">
        <v>632</v>
      </c>
      <c r="D243" s="252" t="s">
        <v>32</v>
      </c>
      <c r="E243" s="252" t="s">
        <v>1677</v>
      </c>
      <c r="F243" s="249" t="s">
        <v>1141</v>
      </c>
      <c r="G243" s="249" t="s">
        <v>1155</v>
      </c>
      <c r="H243" s="249" t="s">
        <v>1796</v>
      </c>
      <c r="I243" s="251" t="s">
        <v>1187</v>
      </c>
      <c r="J243" s="261" t="s">
        <v>1678</v>
      </c>
      <c r="K243" s="254"/>
    </row>
    <row r="244" spans="1:11" s="249" customFormat="1" ht="33.75">
      <c r="A244" s="249">
        <v>243</v>
      </c>
      <c r="B244" s="249" t="s">
        <v>1675</v>
      </c>
      <c r="C244" s="250" t="s">
        <v>632</v>
      </c>
      <c r="D244" s="252" t="s">
        <v>32</v>
      </c>
      <c r="E244" s="252" t="s">
        <v>1679</v>
      </c>
      <c r="F244" s="249" t="s">
        <v>1141</v>
      </c>
      <c r="G244" s="249" t="s">
        <v>1155</v>
      </c>
      <c r="H244" s="249" t="s">
        <v>30</v>
      </c>
      <c r="I244" s="251" t="s">
        <v>1187</v>
      </c>
      <c r="J244" s="253" t="s">
        <v>1680</v>
      </c>
      <c r="K244" s="254"/>
    </row>
    <row r="245" spans="1:11" s="249" customFormat="1" ht="33.75">
      <c r="A245" s="249">
        <v>244</v>
      </c>
      <c r="B245" s="249" t="s">
        <v>1675</v>
      </c>
      <c r="C245" s="250" t="s">
        <v>617</v>
      </c>
      <c r="D245" s="252" t="s">
        <v>32</v>
      </c>
      <c r="E245" s="252" t="s">
        <v>1681</v>
      </c>
      <c r="F245" s="249" t="s">
        <v>1141</v>
      </c>
      <c r="G245" s="249" t="s">
        <v>1155</v>
      </c>
      <c r="H245" s="249" t="s">
        <v>33</v>
      </c>
      <c r="I245" s="251" t="s">
        <v>1187</v>
      </c>
      <c r="J245" s="253" t="s">
        <v>1682</v>
      </c>
      <c r="K245" s="254"/>
    </row>
    <row r="246" spans="1:11" s="249" customFormat="1" ht="33.75">
      <c r="A246" s="249">
        <v>245</v>
      </c>
      <c r="B246" s="249" t="s">
        <v>1683</v>
      </c>
      <c r="C246" s="250" t="s">
        <v>632</v>
      </c>
      <c r="D246" s="252" t="s">
        <v>32</v>
      </c>
      <c r="E246" s="252" t="s">
        <v>1684</v>
      </c>
      <c r="F246" s="249" t="s">
        <v>1141</v>
      </c>
      <c r="G246" s="249" t="s">
        <v>674</v>
      </c>
      <c r="H246" s="249" t="s">
        <v>1795</v>
      </c>
      <c r="I246" s="251" t="s">
        <v>1279</v>
      </c>
      <c r="J246" s="253" t="s">
        <v>1685</v>
      </c>
      <c r="K246" s="254"/>
    </row>
    <row r="247" spans="1:11" s="249" customFormat="1" ht="33.75">
      <c r="A247" s="249">
        <v>246</v>
      </c>
      <c r="B247" s="249" t="s">
        <v>1686</v>
      </c>
      <c r="C247" s="250" t="s">
        <v>757</v>
      </c>
      <c r="D247" s="252" t="s">
        <v>32</v>
      </c>
      <c r="E247" s="252" t="s">
        <v>1684</v>
      </c>
      <c r="F247" s="249" t="s">
        <v>1192</v>
      </c>
      <c r="G247" s="249" t="s">
        <v>674</v>
      </c>
      <c r="H247" s="249" t="s">
        <v>1795</v>
      </c>
      <c r="I247" s="251" t="s">
        <v>1283</v>
      </c>
      <c r="J247" s="253" t="s">
        <v>1687</v>
      </c>
      <c r="K247" s="254"/>
    </row>
    <row r="248" spans="1:11" s="249" customFormat="1" ht="33.75">
      <c r="A248" s="249">
        <v>247</v>
      </c>
      <c r="B248" s="249" t="s">
        <v>1132</v>
      </c>
      <c r="C248" s="250" t="s">
        <v>632</v>
      </c>
      <c r="D248" s="252" t="s">
        <v>32</v>
      </c>
      <c r="E248" s="252" t="s">
        <v>1132</v>
      </c>
      <c r="F248" s="249" t="s">
        <v>1141</v>
      </c>
      <c r="G248" s="249" t="s">
        <v>674</v>
      </c>
      <c r="H248" s="249" t="s">
        <v>1796</v>
      </c>
      <c r="I248" s="251" t="s">
        <v>1279</v>
      </c>
      <c r="J248" s="253" t="s">
        <v>1688</v>
      </c>
      <c r="K248" s="254"/>
    </row>
    <row r="249" spans="1:11" s="249" customFormat="1" ht="33.75">
      <c r="A249" s="249">
        <v>248</v>
      </c>
      <c r="C249" s="250" t="s">
        <v>757</v>
      </c>
      <c r="D249" s="252" t="s">
        <v>32</v>
      </c>
      <c r="E249" s="252" t="s">
        <v>1132</v>
      </c>
      <c r="F249" s="249" t="s">
        <v>1192</v>
      </c>
      <c r="G249" s="249" t="s">
        <v>674</v>
      </c>
      <c r="H249" s="249" t="s">
        <v>1796</v>
      </c>
      <c r="I249" s="251" t="s">
        <v>1283</v>
      </c>
      <c r="J249" s="253"/>
      <c r="K249" s="254"/>
    </row>
    <row r="250" spans="1:11" s="249" customFormat="1" ht="33.75">
      <c r="A250" s="249">
        <v>249</v>
      </c>
      <c r="B250" s="249" t="s">
        <v>1689</v>
      </c>
      <c r="C250" s="250" t="s">
        <v>632</v>
      </c>
      <c r="D250" s="252" t="s">
        <v>32</v>
      </c>
      <c r="E250" s="252" t="s">
        <v>1689</v>
      </c>
      <c r="F250" s="249" t="s">
        <v>1141</v>
      </c>
      <c r="G250" s="249" t="s">
        <v>674</v>
      </c>
      <c r="H250" s="249" t="s">
        <v>30</v>
      </c>
      <c r="I250" s="251" t="s">
        <v>1279</v>
      </c>
      <c r="J250" s="253" t="s">
        <v>1690</v>
      </c>
      <c r="K250" s="254"/>
    </row>
    <row r="251" spans="1:11" s="249" customFormat="1" ht="33.75">
      <c r="A251" s="249">
        <v>250</v>
      </c>
      <c r="C251" s="250" t="s">
        <v>757</v>
      </c>
      <c r="D251" s="252" t="s">
        <v>32</v>
      </c>
      <c r="E251" s="252" t="s">
        <v>1689</v>
      </c>
      <c r="F251" s="249" t="s">
        <v>1192</v>
      </c>
      <c r="G251" s="249" t="s">
        <v>674</v>
      </c>
      <c r="H251" s="249" t="s">
        <v>30</v>
      </c>
      <c r="I251" s="251" t="s">
        <v>1283</v>
      </c>
      <c r="J251" s="253"/>
      <c r="K251" s="254"/>
    </row>
    <row r="252" spans="1:11" s="249" customFormat="1" ht="33.75">
      <c r="A252" s="249">
        <v>251</v>
      </c>
      <c r="B252" s="249" t="s">
        <v>1691</v>
      </c>
      <c r="C252" s="250" t="s">
        <v>617</v>
      </c>
      <c r="D252" s="252" t="s">
        <v>32</v>
      </c>
      <c r="E252" s="252" t="s">
        <v>1692</v>
      </c>
      <c r="F252" s="249" t="s">
        <v>1141</v>
      </c>
      <c r="G252" s="249" t="s">
        <v>674</v>
      </c>
      <c r="H252" s="249" t="s">
        <v>33</v>
      </c>
      <c r="I252" s="251" t="s">
        <v>1279</v>
      </c>
      <c r="J252" s="253" t="s">
        <v>1693</v>
      </c>
      <c r="K252" s="254"/>
    </row>
    <row r="253" spans="1:11" s="249" customFormat="1" ht="33.75">
      <c r="A253" s="249">
        <v>252</v>
      </c>
      <c r="B253" s="249" t="s">
        <v>1694</v>
      </c>
      <c r="C253" s="250" t="s">
        <v>744</v>
      </c>
      <c r="D253" s="252" t="s">
        <v>32</v>
      </c>
      <c r="E253" s="252" t="s">
        <v>1692</v>
      </c>
      <c r="F253" s="249" t="s">
        <v>1192</v>
      </c>
      <c r="G253" s="249" t="s">
        <v>674</v>
      </c>
      <c r="H253" s="249" t="s">
        <v>33</v>
      </c>
      <c r="I253" s="251" t="s">
        <v>1283</v>
      </c>
      <c r="J253" s="253" t="s">
        <v>1695</v>
      </c>
      <c r="K253" s="254"/>
    </row>
    <row r="254" spans="1:11" s="249" customFormat="1" ht="33.75">
      <c r="A254" s="249">
        <v>253</v>
      </c>
      <c r="B254" s="249" t="s">
        <v>1696</v>
      </c>
      <c r="C254" s="250" t="s">
        <v>257</v>
      </c>
      <c r="D254" s="252" t="s">
        <v>1697</v>
      </c>
      <c r="E254" s="252" t="s">
        <v>1696</v>
      </c>
      <c r="F254" s="249" t="s">
        <v>1141</v>
      </c>
      <c r="G254" s="249" t="s">
        <v>1155</v>
      </c>
      <c r="H254" s="249" t="s">
        <v>1795</v>
      </c>
      <c r="I254" s="251" t="s">
        <v>1187</v>
      </c>
      <c r="J254" s="253" t="s">
        <v>1698</v>
      </c>
      <c r="K254" s="254"/>
    </row>
    <row r="255" spans="1:11" s="249" customFormat="1" ht="33.75">
      <c r="A255" s="249">
        <v>254</v>
      </c>
      <c r="B255" s="249" t="s">
        <v>1696</v>
      </c>
      <c r="C255" s="250" t="s">
        <v>257</v>
      </c>
      <c r="D255" s="252" t="s">
        <v>1697</v>
      </c>
      <c r="E255" s="252" t="s">
        <v>1699</v>
      </c>
      <c r="F255" s="249" t="s">
        <v>1141</v>
      </c>
      <c r="G255" s="249" t="s">
        <v>1155</v>
      </c>
      <c r="H255" s="249" t="s">
        <v>1796</v>
      </c>
      <c r="I255" s="251" t="s">
        <v>1187</v>
      </c>
      <c r="J255" s="253" t="s">
        <v>1700</v>
      </c>
      <c r="K255" s="254"/>
    </row>
    <row r="256" spans="1:11" s="249" customFormat="1" ht="33.75">
      <c r="A256" s="249">
        <v>255</v>
      </c>
      <c r="B256" s="249" t="s">
        <v>1696</v>
      </c>
      <c r="C256" s="250" t="s">
        <v>257</v>
      </c>
      <c r="D256" s="252" t="s">
        <v>1697</v>
      </c>
      <c r="E256" s="252" t="s">
        <v>1701</v>
      </c>
      <c r="F256" s="249" t="s">
        <v>1141</v>
      </c>
      <c r="G256" s="249" t="s">
        <v>1155</v>
      </c>
      <c r="H256" s="249" t="s">
        <v>30</v>
      </c>
      <c r="I256" s="251" t="s">
        <v>1187</v>
      </c>
      <c r="J256" s="253" t="s">
        <v>1702</v>
      </c>
      <c r="K256" s="254"/>
    </row>
    <row r="257" spans="1:11" s="249" customFormat="1" ht="33.75">
      <c r="A257" s="249">
        <v>256</v>
      </c>
      <c r="B257" s="249" t="s">
        <v>1703</v>
      </c>
      <c r="C257" s="250" t="s">
        <v>256</v>
      </c>
      <c r="D257" s="252" t="s">
        <v>1697</v>
      </c>
      <c r="E257" s="252" t="s">
        <v>1703</v>
      </c>
      <c r="F257" s="249" t="s">
        <v>1141</v>
      </c>
      <c r="G257" s="249" t="s">
        <v>674</v>
      </c>
      <c r="H257" s="249" t="s">
        <v>1795</v>
      </c>
      <c r="I257" s="251" t="s">
        <v>1279</v>
      </c>
      <c r="J257" s="253" t="s">
        <v>1704</v>
      </c>
      <c r="K257" s="254"/>
    </row>
    <row r="258" spans="1:11" s="249" customFormat="1" ht="33.75">
      <c r="A258" s="249">
        <v>257</v>
      </c>
      <c r="B258" s="249" t="s">
        <v>1703</v>
      </c>
      <c r="C258" s="250" t="s">
        <v>256</v>
      </c>
      <c r="D258" s="252" t="s">
        <v>1697</v>
      </c>
      <c r="E258" s="252" t="s">
        <v>1705</v>
      </c>
      <c r="F258" s="249" t="s">
        <v>1141</v>
      </c>
      <c r="G258" s="249" t="s">
        <v>674</v>
      </c>
      <c r="H258" s="249" t="s">
        <v>1796</v>
      </c>
      <c r="I258" s="251" t="s">
        <v>1279</v>
      </c>
      <c r="J258" s="253" t="s">
        <v>1706</v>
      </c>
      <c r="K258" s="254"/>
    </row>
    <row r="259" spans="1:11" s="249" customFormat="1" ht="33.75">
      <c r="A259" s="249">
        <v>258</v>
      </c>
      <c r="B259" s="249" t="s">
        <v>1703</v>
      </c>
      <c r="C259" s="250" t="s">
        <v>256</v>
      </c>
      <c r="D259" s="252" t="s">
        <v>1697</v>
      </c>
      <c r="E259" s="252" t="s">
        <v>1707</v>
      </c>
      <c r="F259" s="249" t="s">
        <v>1141</v>
      </c>
      <c r="G259" s="249" t="s">
        <v>674</v>
      </c>
      <c r="H259" s="249" t="s">
        <v>30</v>
      </c>
      <c r="I259" s="251" t="s">
        <v>1279</v>
      </c>
      <c r="J259" s="253" t="s">
        <v>1708</v>
      </c>
      <c r="K259" s="254"/>
    </row>
    <row r="260" spans="1:11" s="249" customFormat="1" ht="33.75">
      <c r="A260" s="249">
        <v>259</v>
      </c>
      <c r="B260" s="249" t="s">
        <v>1709</v>
      </c>
      <c r="C260" s="250" t="s">
        <v>257</v>
      </c>
      <c r="D260" s="252" t="s">
        <v>1697</v>
      </c>
      <c r="E260" s="252" t="s">
        <v>1709</v>
      </c>
      <c r="F260" s="249" t="s">
        <v>1141</v>
      </c>
      <c r="G260" s="249" t="s">
        <v>1155</v>
      </c>
      <c r="H260" s="249" t="s">
        <v>1795</v>
      </c>
      <c r="I260" s="251" t="s">
        <v>1187</v>
      </c>
      <c r="J260" s="253" t="s">
        <v>1710</v>
      </c>
      <c r="K260" s="254"/>
    </row>
    <row r="261" spans="1:11" s="249" customFormat="1" ht="33.75">
      <c r="A261" s="249">
        <v>260</v>
      </c>
      <c r="B261" s="249" t="s">
        <v>1709</v>
      </c>
      <c r="C261" s="250" t="s">
        <v>257</v>
      </c>
      <c r="D261" s="252" t="s">
        <v>1697</v>
      </c>
      <c r="E261" s="252" t="s">
        <v>1711</v>
      </c>
      <c r="F261" s="249" t="s">
        <v>1141</v>
      </c>
      <c r="G261" s="249" t="s">
        <v>1155</v>
      </c>
      <c r="H261" s="249" t="s">
        <v>1796</v>
      </c>
      <c r="I261" s="251" t="s">
        <v>1187</v>
      </c>
      <c r="J261" s="253" t="s">
        <v>1712</v>
      </c>
      <c r="K261" s="254"/>
    </row>
    <row r="262" spans="1:11" s="249" customFormat="1" ht="33.75">
      <c r="A262" s="249">
        <v>261</v>
      </c>
      <c r="B262" s="249" t="s">
        <v>1709</v>
      </c>
      <c r="C262" s="250" t="s">
        <v>257</v>
      </c>
      <c r="D262" s="252" t="s">
        <v>1697</v>
      </c>
      <c r="E262" s="252" t="s">
        <v>1713</v>
      </c>
      <c r="F262" s="249" t="s">
        <v>1141</v>
      </c>
      <c r="G262" s="249" t="s">
        <v>1155</v>
      </c>
      <c r="H262" s="249" t="s">
        <v>30</v>
      </c>
      <c r="I262" s="251" t="s">
        <v>1187</v>
      </c>
      <c r="J262" s="253" t="s">
        <v>1714</v>
      </c>
      <c r="K262" s="254"/>
    </row>
    <row r="263" spans="1:11" s="249" customFormat="1" ht="33.75">
      <c r="A263" s="249">
        <v>262</v>
      </c>
      <c r="B263" s="249" t="s">
        <v>1715</v>
      </c>
      <c r="C263" s="250" t="s">
        <v>623</v>
      </c>
      <c r="D263" s="252" t="s">
        <v>619</v>
      </c>
      <c r="E263" s="252" t="s">
        <v>1715</v>
      </c>
      <c r="F263" s="249" t="s">
        <v>1141</v>
      </c>
      <c r="G263" s="249" t="s">
        <v>1155</v>
      </c>
      <c r="H263" s="249" t="s">
        <v>1795</v>
      </c>
      <c r="I263" s="251" t="s">
        <v>1187</v>
      </c>
      <c r="J263" s="253" t="s">
        <v>1716</v>
      </c>
      <c r="K263" s="254"/>
    </row>
    <row r="264" spans="1:11" s="249" customFormat="1" ht="33.75">
      <c r="A264" s="249">
        <v>263</v>
      </c>
      <c r="B264" s="249" t="s">
        <v>1715</v>
      </c>
      <c r="C264" s="250" t="s">
        <v>623</v>
      </c>
      <c r="D264" s="252" t="s">
        <v>619</v>
      </c>
      <c r="E264" s="252" t="s">
        <v>1717</v>
      </c>
      <c r="F264" s="249" t="s">
        <v>1141</v>
      </c>
      <c r="G264" s="249" t="s">
        <v>1155</v>
      </c>
      <c r="H264" s="249" t="s">
        <v>1796</v>
      </c>
      <c r="I264" s="251" t="s">
        <v>1187</v>
      </c>
      <c r="J264" s="253" t="s">
        <v>1718</v>
      </c>
      <c r="K264" s="254"/>
    </row>
    <row r="265" spans="1:11" s="249" customFormat="1" ht="33.75">
      <c r="A265" s="249">
        <v>264</v>
      </c>
      <c r="B265" s="249" t="s">
        <v>1715</v>
      </c>
      <c r="C265" s="250" t="s">
        <v>623</v>
      </c>
      <c r="D265" s="252" t="s">
        <v>619</v>
      </c>
      <c r="E265" s="252" t="s">
        <v>1719</v>
      </c>
      <c r="F265" s="249" t="s">
        <v>1141</v>
      </c>
      <c r="G265" s="249" t="s">
        <v>1155</v>
      </c>
      <c r="H265" s="249" t="s">
        <v>30</v>
      </c>
      <c r="I265" s="251" t="s">
        <v>1187</v>
      </c>
      <c r="J265" s="253" t="s">
        <v>1720</v>
      </c>
      <c r="K265" s="254"/>
    </row>
    <row r="266" spans="1:11" s="249" customFormat="1" ht="33.75">
      <c r="A266" s="249">
        <v>265</v>
      </c>
      <c r="B266" s="249" t="s">
        <v>1715</v>
      </c>
      <c r="C266" s="250" t="s">
        <v>672</v>
      </c>
      <c r="D266" s="252" t="s">
        <v>619</v>
      </c>
      <c r="E266" s="252" t="s">
        <v>1721</v>
      </c>
      <c r="F266" s="249" t="s">
        <v>1141</v>
      </c>
      <c r="G266" s="249" t="s">
        <v>1155</v>
      </c>
      <c r="H266" s="249" t="s">
        <v>33</v>
      </c>
      <c r="I266" s="251" t="s">
        <v>1187</v>
      </c>
      <c r="J266" s="253" t="s">
        <v>1722</v>
      </c>
      <c r="K266" s="254"/>
    </row>
    <row r="267" spans="1:11" s="249" customFormat="1" ht="33.75">
      <c r="A267" s="249">
        <v>266</v>
      </c>
      <c r="B267" s="249" t="s">
        <v>1723</v>
      </c>
      <c r="C267" s="250" t="s">
        <v>427</v>
      </c>
      <c r="D267" s="252" t="s">
        <v>1724</v>
      </c>
      <c r="E267" s="252" t="s">
        <v>1723</v>
      </c>
      <c r="F267" s="249" t="s">
        <v>1141</v>
      </c>
      <c r="G267" s="249" t="s">
        <v>674</v>
      </c>
      <c r="H267" s="249" t="s">
        <v>1795</v>
      </c>
      <c r="I267" s="251" t="s">
        <v>1279</v>
      </c>
      <c r="J267" s="253" t="s">
        <v>1725</v>
      </c>
      <c r="K267" s="254"/>
    </row>
    <row r="268" spans="1:11" s="249" customFormat="1" ht="33.75">
      <c r="A268" s="249">
        <v>267</v>
      </c>
      <c r="B268" s="249" t="s">
        <v>1723</v>
      </c>
      <c r="C268" s="250" t="s">
        <v>427</v>
      </c>
      <c r="D268" s="252" t="s">
        <v>1724</v>
      </c>
      <c r="E268" s="252" t="s">
        <v>1726</v>
      </c>
      <c r="F268" s="249" t="s">
        <v>1141</v>
      </c>
      <c r="G268" s="249" t="s">
        <v>674</v>
      </c>
      <c r="H268" s="249" t="s">
        <v>1796</v>
      </c>
      <c r="I268" s="251" t="s">
        <v>1279</v>
      </c>
      <c r="J268" s="253" t="s">
        <v>1727</v>
      </c>
      <c r="K268" s="254"/>
    </row>
    <row r="269" spans="1:11" s="249" customFormat="1" ht="33.75">
      <c r="A269" s="249">
        <v>268</v>
      </c>
      <c r="B269" s="249" t="s">
        <v>1723</v>
      </c>
      <c r="C269" s="250" t="s">
        <v>427</v>
      </c>
      <c r="D269" s="252" t="s">
        <v>1724</v>
      </c>
      <c r="E269" s="252" t="s">
        <v>1728</v>
      </c>
      <c r="F269" s="249" t="s">
        <v>1141</v>
      </c>
      <c r="G269" s="249" t="s">
        <v>674</v>
      </c>
      <c r="H269" s="249" t="s">
        <v>30</v>
      </c>
      <c r="I269" s="251" t="s">
        <v>1279</v>
      </c>
      <c r="J269" s="253" t="s">
        <v>1729</v>
      </c>
      <c r="K269" s="254"/>
    </row>
    <row r="270" spans="1:11" s="249" customFormat="1" ht="33.75">
      <c r="A270" s="249">
        <v>269</v>
      </c>
      <c r="B270" s="249" t="s">
        <v>1723</v>
      </c>
      <c r="C270" s="250" t="s">
        <v>462</v>
      </c>
      <c r="D270" s="252" t="s">
        <v>1724</v>
      </c>
      <c r="E270" s="252" t="s">
        <v>1192</v>
      </c>
      <c r="F270" s="249" t="s">
        <v>1141</v>
      </c>
      <c r="G270" s="249" t="s">
        <v>674</v>
      </c>
      <c r="H270" s="249" t="s">
        <v>33</v>
      </c>
      <c r="I270" s="251" t="s">
        <v>1279</v>
      </c>
      <c r="J270" s="253" t="s">
        <v>1730</v>
      </c>
      <c r="K270" s="254"/>
    </row>
    <row r="271" spans="1:11" s="249" customFormat="1" ht="33.75">
      <c r="A271" s="249">
        <v>270</v>
      </c>
      <c r="B271" s="249" t="s">
        <v>1731</v>
      </c>
      <c r="C271" s="250" t="s">
        <v>427</v>
      </c>
      <c r="D271" s="252" t="s">
        <v>1724</v>
      </c>
      <c r="E271" s="252" t="s">
        <v>1731</v>
      </c>
      <c r="F271" s="249" t="s">
        <v>1141</v>
      </c>
      <c r="G271" s="249" t="s">
        <v>674</v>
      </c>
      <c r="H271" s="249" t="s">
        <v>1795</v>
      </c>
      <c r="I271" s="251" t="s">
        <v>1279</v>
      </c>
      <c r="J271" s="253" t="s">
        <v>1732</v>
      </c>
      <c r="K271" s="254"/>
    </row>
    <row r="272" spans="1:11" s="249" customFormat="1" ht="33.75">
      <c r="A272" s="249">
        <v>271</v>
      </c>
      <c r="B272" s="249" t="s">
        <v>1731</v>
      </c>
      <c r="C272" s="250" t="s">
        <v>427</v>
      </c>
      <c r="D272" s="252" t="s">
        <v>1724</v>
      </c>
      <c r="E272" s="252" t="s">
        <v>1733</v>
      </c>
      <c r="F272" s="249" t="s">
        <v>1141</v>
      </c>
      <c r="G272" s="249" t="s">
        <v>674</v>
      </c>
      <c r="H272" s="249" t="s">
        <v>1796</v>
      </c>
      <c r="I272" s="251" t="s">
        <v>1279</v>
      </c>
      <c r="J272" s="253" t="s">
        <v>1734</v>
      </c>
      <c r="K272" s="254"/>
    </row>
    <row r="273" spans="1:11" s="249" customFormat="1" ht="33.75">
      <c r="A273" s="249">
        <v>272</v>
      </c>
      <c r="B273" s="249" t="s">
        <v>1731</v>
      </c>
      <c r="C273" s="250" t="s">
        <v>427</v>
      </c>
      <c r="D273" s="252" t="s">
        <v>1724</v>
      </c>
      <c r="E273" s="252" t="s">
        <v>1735</v>
      </c>
      <c r="F273" s="249" t="s">
        <v>1141</v>
      </c>
      <c r="G273" s="249" t="s">
        <v>674</v>
      </c>
      <c r="H273" s="249" t="s">
        <v>30</v>
      </c>
      <c r="I273" s="251" t="s">
        <v>1279</v>
      </c>
      <c r="J273" s="253" t="s">
        <v>1736</v>
      </c>
      <c r="K273" s="254"/>
    </row>
    <row r="274" spans="1:11" s="249" customFormat="1" ht="33.75">
      <c r="A274" s="249">
        <v>273</v>
      </c>
      <c r="B274" s="249" t="s">
        <v>1731</v>
      </c>
      <c r="C274" s="250" t="s">
        <v>462</v>
      </c>
      <c r="D274" s="252" t="s">
        <v>1724</v>
      </c>
      <c r="E274" s="252" t="s">
        <v>1737</v>
      </c>
      <c r="F274" s="249" t="s">
        <v>1141</v>
      </c>
      <c r="G274" s="249" t="s">
        <v>674</v>
      </c>
      <c r="H274" s="249" t="s">
        <v>33</v>
      </c>
      <c r="I274" s="251" t="s">
        <v>1279</v>
      </c>
      <c r="J274" s="253" t="s">
        <v>1738</v>
      </c>
      <c r="K274" s="254"/>
    </row>
    <row r="275" spans="1:11" s="249" customFormat="1" ht="33.75">
      <c r="A275" s="249">
        <v>274</v>
      </c>
      <c r="B275" s="249" t="s">
        <v>1739</v>
      </c>
      <c r="C275" s="250" t="s">
        <v>552</v>
      </c>
      <c r="D275" s="252" t="s">
        <v>1724</v>
      </c>
      <c r="E275" s="252" t="s">
        <v>1739</v>
      </c>
      <c r="F275" s="249" t="s">
        <v>1141</v>
      </c>
      <c r="G275" s="249" t="s">
        <v>1155</v>
      </c>
      <c r="H275" s="249" t="s">
        <v>1795</v>
      </c>
      <c r="I275" s="251" t="s">
        <v>1187</v>
      </c>
      <c r="J275" s="253" t="s">
        <v>1740</v>
      </c>
      <c r="K275" s="254"/>
    </row>
    <row r="276" spans="1:11" s="249" customFormat="1" ht="33.75">
      <c r="A276" s="249">
        <v>275</v>
      </c>
      <c r="B276" s="249" t="s">
        <v>1739</v>
      </c>
      <c r="C276" s="250" t="s">
        <v>552</v>
      </c>
      <c r="D276" s="252" t="s">
        <v>1724</v>
      </c>
      <c r="E276" s="252" t="s">
        <v>1741</v>
      </c>
      <c r="F276" s="249" t="s">
        <v>1141</v>
      </c>
      <c r="G276" s="249" t="s">
        <v>1155</v>
      </c>
      <c r="H276" s="249" t="s">
        <v>1796</v>
      </c>
      <c r="I276" s="251" t="s">
        <v>1187</v>
      </c>
      <c r="J276" s="253" t="s">
        <v>1742</v>
      </c>
      <c r="K276" s="254"/>
    </row>
    <row r="277" spans="1:11" s="249" customFormat="1" ht="33.75">
      <c r="A277" s="249">
        <v>276</v>
      </c>
      <c r="B277" s="249" t="s">
        <v>1739</v>
      </c>
      <c r="C277" s="250" t="s">
        <v>552</v>
      </c>
      <c r="D277" s="252" t="s">
        <v>1724</v>
      </c>
      <c r="E277" s="252" t="s">
        <v>1743</v>
      </c>
      <c r="F277" s="249" t="s">
        <v>1141</v>
      </c>
      <c r="G277" s="249" t="s">
        <v>1155</v>
      </c>
      <c r="H277" s="249" t="s">
        <v>30</v>
      </c>
      <c r="I277" s="251" t="s">
        <v>1187</v>
      </c>
      <c r="J277" s="253" t="s">
        <v>1744</v>
      </c>
      <c r="K277" s="254"/>
    </row>
    <row r="278" spans="1:11" s="249" customFormat="1" ht="33.75">
      <c r="A278" s="249">
        <v>277</v>
      </c>
      <c r="B278" s="249" t="s">
        <v>1739</v>
      </c>
      <c r="C278" s="250" t="s">
        <v>580</v>
      </c>
      <c r="D278" s="252" t="s">
        <v>1724</v>
      </c>
      <c r="E278" s="252" t="s">
        <v>1745</v>
      </c>
      <c r="F278" s="249" t="s">
        <v>1141</v>
      </c>
      <c r="G278" s="249" t="s">
        <v>1155</v>
      </c>
      <c r="H278" s="249" t="s">
        <v>33</v>
      </c>
      <c r="I278" s="251" t="s">
        <v>1187</v>
      </c>
      <c r="J278" s="253" t="s">
        <v>1746</v>
      </c>
      <c r="K278" s="254"/>
    </row>
    <row r="279" spans="1:11" s="249" customFormat="1" ht="33.75">
      <c r="A279" s="249">
        <v>278</v>
      </c>
      <c r="B279" s="249" t="s">
        <v>1747</v>
      </c>
      <c r="C279" s="250" t="s">
        <v>552</v>
      </c>
      <c r="D279" s="252" t="s">
        <v>1724</v>
      </c>
      <c r="E279" s="252" t="s">
        <v>1747</v>
      </c>
      <c r="F279" s="249" t="s">
        <v>1141</v>
      </c>
      <c r="G279" s="249" t="s">
        <v>1258</v>
      </c>
      <c r="H279" s="249" t="s">
        <v>1795</v>
      </c>
      <c r="I279" s="251" t="s">
        <v>1187</v>
      </c>
      <c r="J279" s="253" t="s">
        <v>1748</v>
      </c>
      <c r="K279" s="254"/>
    </row>
    <row r="280" spans="1:11" s="249" customFormat="1" ht="33.75">
      <c r="A280" s="249">
        <v>279</v>
      </c>
      <c r="B280" s="249" t="s">
        <v>1747</v>
      </c>
      <c r="C280" s="250" t="s">
        <v>552</v>
      </c>
      <c r="D280" s="252" t="s">
        <v>1724</v>
      </c>
      <c r="E280" s="252" t="s">
        <v>1749</v>
      </c>
      <c r="F280" s="249" t="s">
        <v>1141</v>
      </c>
      <c r="G280" s="249" t="s">
        <v>1258</v>
      </c>
      <c r="H280" s="249" t="s">
        <v>1796</v>
      </c>
      <c r="I280" s="251" t="s">
        <v>1187</v>
      </c>
      <c r="J280" s="253" t="s">
        <v>1750</v>
      </c>
      <c r="K280" s="254"/>
    </row>
    <row r="281" spans="1:11" s="249" customFormat="1" ht="33.75">
      <c r="A281" s="249">
        <v>280</v>
      </c>
      <c r="B281" s="249" t="s">
        <v>1747</v>
      </c>
      <c r="C281" s="250" t="s">
        <v>552</v>
      </c>
      <c r="D281" s="252" t="s">
        <v>1724</v>
      </c>
      <c r="E281" s="252" t="s">
        <v>1751</v>
      </c>
      <c r="F281" s="249" t="s">
        <v>1141</v>
      </c>
      <c r="G281" s="249" t="s">
        <v>1258</v>
      </c>
      <c r="H281" s="249" t="s">
        <v>30</v>
      </c>
      <c r="I281" s="251" t="s">
        <v>1187</v>
      </c>
      <c r="J281" s="253" t="s">
        <v>1752</v>
      </c>
      <c r="K281" s="254"/>
    </row>
    <row r="282" spans="1:11" s="249" customFormat="1" ht="33.75">
      <c r="A282" s="249">
        <v>281</v>
      </c>
      <c r="B282" s="249" t="s">
        <v>1747</v>
      </c>
      <c r="C282" s="250" t="s">
        <v>580</v>
      </c>
      <c r="D282" s="252" t="s">
        <v>1724</v>
      </c>
      <c r="E282" s="252" t="s">
        <v>1753</v>
      </c>
      <c r="F282" s="249" t="s">
        <v>1141</v>
      </c>
      <c r="G282" s="249" t="s">
        <v>1258</v>
      </c>
      <c r="H282" s="249" t="s">
        <v>33</v>
      </c>
      <c r="I282" s="251" t="s">
        <v>1187</v>
      </c>
      <c r="J282" s="253" t="s">
        <v>1754</v>
      </c>
      <c r="K282" s="260" t="s">
        <v>1755</v>
      </c>
    </row>
    <row r="283" spans="1:11" s="249" customFormat="1" ht="33.75">
      <c r="A283" s="249">
        <v>282</v>
      </c>
      <c r="B283" s="249" t="s">
        <v>1724</v>
      </c>
      <c r="C283" s="250" t="s">
        <v>427</v>
      </c>
      <c r="D283" s="252" t="s">
        <v>1724</v>
      </c>
      <c r="E283" s="252" t="s">
        <v>1724</v>
      </c>
      <c r="F283" s="249" t="s">
        <v>1141</v>
      </c>
      <c r="G283" s="249" t="s">
        <v>1178</v>
      </c>
      <c r="H283" s="249" t="s">
        <v>1795</v>
      </c>
      <c r="I283" s="251" t="s">
        <v>1279</v>
      </c>
      <c r="J283" s="265" t="s">
        <v>1756</v>
      </c>
      <c r="K283" s="254"/>
    </row>
    <row r="284" spans="1:11" s="249" customFormat="1" ht="33.75">
      <c r="A284" s="249">
        <v>283</v>
      </c>
      <c r="B284" s="249" t="s">
        <v>1724</v>
      </c>
      <c r="C284" s="250" t="s">
        <v>427</v>
      </c>
      <c r="D284" s="252" t="s">
        <v>1724</v>
      </c>
      <c r="E284" s="252" t="s">
        <v>1757</v>
      </c>
      <c r="F284" s="249" t="s">
        <v>1141</v>
      </c>
      <c r="G284" s="249" t="s">
        <v>1178</v>
      </c>
      <c r="H284" s="249" t="s">
        <v>1796</v>
      </c>
      <c r="I284" s="251" t="s">
        <v>1279</v>
      </c>
      <c r="J284" s="253" t="s">
        <v>1758</v>
      </c>
      <c r="K284" s="254"/>
    </row>
    <row r="285" spans="1:11" s="249" customFormat="1" ht="33.75">
      <c r="A285" s="249">
        <v>284</v>
      </c>
      <c r="B285" s="249" t="s">
        <v>1724</v>
      </c>
      <c r="C285" s="250" t="s">
        <v>427</v>
      </c>
      <c r="D285" s="252" t="s">
        <v>1724</v>
      </c>
      <c r="E285" s="252" t="s">
        <v>1759</v>
      </c>
      <c r="F285" s="249" t="s">
        <v>1141</v>
      </c>
      <c r="G285" s="249" t="s">
        <v>1178</v>
      </c>
      <c r="H285" s="249" t="s">
        <v>30</v>
      </c>
      <c r="I285" s="251" t="s">
        <v>1279</v>
      </c>
      <c r="J285" s="253" t="s">
        <v>1760</v>
      </c>
      <c r="K285" s="254"/>
    </row>
    <row r="286" spans="1:11" s="249" customFormat="1" ht="33.75">
      <c r="A286" s="249">
        <v>285</v>
      </c>
      <c r="B286" s="249" t="s">
        <v>1724</v>
      </c>
      <c r="C286" s="250" t="s">
        <v>462</v>
      </c>
      <c r="D286" s="252" t="s">
        <v>1724</v>
      </c>
      <c r="E286" s="252" t="s">
        <v>1761</v>
      </c>
      <c r="F286" s="249" t="s">
        <v>1141</v>
      </c>
      <c r="G286" s="249" t="s">
        <v>1178</v>
      </c>
      <c r="H286" s="249" t="s">
        <v>33</v>
      </c>
      <c r="I286" s="251" t="s">
        <v>1279</v>
      </c>
      <c r="J286" s="253" t="s">
        <v>1762</v>
      </c>
      <c r="K286" s="254"/>
    </row>
    <row r="287" spans="1:11" s="249" customFormat="1" ht="33.75">
      <c r="A287" s="249">
        <v>286</v>
      </c>
      <c r="B287" s="249" t="s">
        <v>1763</v>
      </c>
      <c r="C287" s="250" t="s">
        <v>427</v>
      </c>
      <c r="D287" s="252" t="s">
        <v>1724</v>
      </c>
      <c r="E287" s="252" t="s">
        <v>1763</v>
      </c>
      <c r="F287" s="249" t="s">
        <v>1141</v>
      </c>
      <c r="G287" s="249" t="s">
        <v>1178</v>
      </c>
      <c r="H287" s="249" t="s">
        <v>1795</v>
      </c>
      <c r="I287" s="251" t="s">
        <v>1279</v>
      </c>
      <c r="J287" s="253" t="s">
        <v>1764</v>
      </c>
      <c r="K287" s="254"/>
    </row>
    <row r="288" spans="1:11" s="249" customFormat="1" ht="33.75">
      <c r="A288" s="249">
        <v>287</v>
      </c>
      <c r="B288" s="249" t="s">
        <v>1763</v>
      </c>
      <c r="C288" s="250" t="s">
        <v>427</v>
      </c>
      <c r="D288" s="252" t="s">
        <v>1724</v>
      </c>
      <c r="E288" s="252" t="s">
        <v>1765</v>
      </c>
      <c r="F288" s="249" t="s">
        <v>1141</v>
      </c>
      <c r="G288" s="249" t="s">
        <v>1178</v>
      </c>
      <c r="H288" s="249" t="s">
        <v>1796</v>
      </c>
      <c r="I288" s="251" t="s">
        <v>1279</v>
      </c>
      <c r="J288" s="253" t="s">
        <v>1766</v>
      </c>
      <c r="K288" s="254"/>
    </row>
    <row r="289" spans="1:11" s="249" customFormat="1" ht="33.75">
      <c r="A289" s="249">
        <v>288</v>
      </c>
      <c r="B289" s="249" t="s">
        <v>1763</v>
      </c>
      <c r="C289" s="250" t="s">
        <v>427</v>
      </c>
      <c r="D289" s="252" t="s">
        <v>1724</v>
      </c>
      <c r="E289" s="252" t="s">
        <v>1767</v>
      </c>
      <c r="F289" s="249" t="s">
        <v>1141</v>
      </c>
      <c r="G289" s="249" t="s">
        <v>1178</v>
      </c>
      <c r="H289" s="249" t="s">
        <v>30</v>
      </c>
      <c r="I289" s="251" t="s">
        <v>1279</v>
      </c>
      <c r="J289" s="253" t="s">
        <v>1768</v>
      </c>
      <c r="K289" s="254"/>
    </row>
    <row r="290" spans="1:11" s="249" customFormat="1" ht="33.75">
      <c r="A290" s="249">
        <v>289</v>
      </c>
      <c r="B290" s="249" t="s">
        <v>1763</v>
      </c>
      <c r="C290" s="250" t="s">
        <v>462</v>
      </c>
      <c r="D290" s="252" t="s">
        <v>1724</v>
      </c>
      <c r="E290" s="252" t="s">
        <v>1769</v>
      </c>
      <c r="F290" s="249" t="s">
        <v>1141</v>
      </c>
      <c r="G290" s="249" t="s">
        <v>1178</v>
      </c>
      <c r="H290" s="249" t="s">
        <v>33</v>
      </c>
      <c r="I290" s="251" t="s">
        <v>1279</v>
      </c>
      <c r="J290" s="253" t="s">
        <v>1770</v>
      </c>
      <c r="K290" s="254"/>
    </row>
    <row r="291" spans="1:11" s="249" customFormat="1" ht="33.75">
      <c r="A291" s="249">
        <v>290</v>
      </c>
      <c r="B291" s="249" t="s">
        <v>1771</v>
      </c>
      <c r="C291" s="250" t="s">
        <v>552</v>
      </c>
      <c r="D291" s="252" t="s">
        <v>1724</v>
      </c>
      <c r="E291" s="252" t="s">
        <v>1771</v>
      </c>
      <c r="F291" s="249" t="s">
        <v>1141</v>
      </c>
      <c r="G291" s="249" t="s">
        <v>1155</v>
      </c>
      <c r="H291" s="249" t="s">
        <v>1795</v>
      </c>
      <c r="I291" s="251" t="s">
        <v>1187</v>
      </c>
      <c r="J291" s="253" t="s">
        <v>1772</v>
      </c>
      <c r="K291" s="254"/>
    </row>
    <row r="292" spans="1:11" s="249" customFormat="1" ht="33.75">
      <c r="A292" s="249">
        <v>291</v>
      </c>
      <c r="B292" s="249" t="s">
        <v>1771</v>
      </c>
      <c r="C292" s="250" t="s">
        <v>552</v>
      </c>
      <c r="D292" s="252" t="s">
        <v>1724</v>
      </c>
      <c r="E292" s="252" t="s">
        <v>1773</v>
      </c>
      <c r="F292" s="249" t="s">
        <v>1141</v>
      </c>
      <c r="G292" s="249" t="s">
        <v>1155</v>
      </c>
      <c r="H292" s="249" t="s">
        <v>1796</v>
      </c>
      <c r="I292" s="251" t="s">
        <v>1187</v>
      </c>
      <c r="J292" s="253" t="s">
        <v>1774</v>
      </c>
      <c r="K292" s="254"/>
    </row>
    <row r="293" spans="1:11" s="249" customFormat="1" ht="33.75">
      <c r="A293" s="249">
        <v>292</v>
      </c>
      <c r="B293" s="249" t="s">
        <v>1771</v>
      </c>
      <c r="C293" s="250" t="s">
        <v>552</v>
      </c>
      <c r="D293" s="252" t="s">
        <v>1724</v>
      </c>
      <c r="E293" s="252" t="s">
        <v>1775</v>
      </c>
      <c r="F293" s="249" t="s">
        <v>1141</v>
      </c>
      <c r="G293" s="249" t="s">
        <v>1155</v>
      </c>
      <c r="H293" s="249" t="s">
        <v>30</v>
      </c>
      <c r="I293" s="251" t="s">
        <v>1187</v>
      </c>
      <c r="J293" s="253" t="s">
        <v>1776</v>
      </c>
      <c r="K293" s="254"/>
    </row>
    <row r="294" spans="1:11" s="249" customFormat="1" ht="33.75">
      <c r="A294" s="249">
        <v>293</v>
      </c>
      <c r="B294" s="249" t="s">
        <v>1771</v>
      </c>
      <c r="C294" s="250" t="s">
        <v>580</v>
      </c>
      <c r="D294" s="252" t="s">
        <v>1724</v>
      </c>
      <c r="E294" s="252" t="s">
        <v>1777</v>
      </c>
      <c r="F294" s="249" t="s">
        <v>1141</v>
      </c>
      <c r="G294" s="249" t="s">
        <v>1155</v>
      </c>
      <c r="H294" s="249" t="s">
        <v>33</v>
      </c>
      <c r="I294" s="251" t="s">
        <v>1187</v>
      </c>
      <c r="J294" s="253" t="s">
        <v>1778</v>
      </c>
      <c r="K294" s="254"/>
    </row>
    <row r="295" spans="1:11" s="249" customFormat="1" ht="33.75">
      <c r="A295" s="249">
        <v>294</v>
      </c>
      <c r="B295" s="249" t="s">
        <v>1779</v>
      </c>
      <c r="C295" s="250" t="s">
        <v>843</v>
      </c>
      <c r="D295" s="252" t="s">
        <v>1724</v>
      </c>
      <c r="E295" s="252" t="s">
        <v>1779</v>
      </c>
      <c r="F295" s="249" t="s">
        <v>1192</v>
      </c>
      <c r="G295" s="249" t="s">
        <v>1155</v>
      </c>
      <c r="H295" s="249" t="s">
        <v>1795</v>
      </c>
      <c r="I295" s="251" t="s">
        <v>1191</v>
      </c>
      <c r="J295" s="253" t="s">
        <v>1780</v>
      </c>
      <c r="K295" s="254"/>
    </row>
    <row r="296" spans="1:11" s="249" customFormat="1" ht="33.75">
      <c r="A296" s="249">
        <v>295</v>
      </c>
      <c r="B296" s="249" t="s">
        <v>1779</v>
      </c>
      <c r="C296" s="250" t="s">
        <v>843</v>
      </c>
      <c r="D296" s="252" t="s">
        <v>1724</v>
      </c>
      <c r="E296" s="252" t="s">
        <v>1781</v>
      </c>
      <c r="F296" s="249" t="s">
        <v>1192</v>
      </c>
      <c r="G296" s="249" t="s">
        <v>1155</v>
      </c>
      <c r="H296" s="249" t="s">
        <v>1796</v>
      </c>
      <c r="I296" s="251" t="s">
        <v>1191</v>
      </c>
      <c r="J296" s="253" t="s">
        <v>1782</v>
      </c>
      <c r="K296" s="254"/>
    </row>
    <row r="297" spans="1:11" s="249" customFormat="1" ht="33.75">
      <c r="A297" s="249">
        <v>296</v>
      </c>
      <c r="B297" s="249" t="s">
        <v>1779</v>
      </c>
      <c r="C297" s="250" t="s">
        <v>843</v>
      </c>
      <c r="D297" s="252" t="s">
        <v>1724</v>
      </c>
      <c r="E297" s="252" t="s">
        <v>1783</v>
      </c>
      <c r="F297" s="249" t="s">
        <v>1192</v>
      </c>
      <c r="G297" s="249" t="s">
        <v>1155</v>
      </c>
      <c r="H297" s="249" t="s">
        <v>30</v>
      </c>
      <c r="I297" s="251" t="s">
        <v>1191</v>
      </c>
      <c r="J297" s="253" t="s">
        <v>1784</v>
      </c>
      <c r="K297" s="254"/>
    </row>
    <row r="298" spans="1:11" s="249" customFormat="1" ht="33.75">
      <c r="A298" s="249">
        <v>297</v>
      </c>
      <c r="B298" s="249" t="s">
        <v>1779</v>
      </c>
      <c r="C298" s="250" t="s">
        <v>864</v>
      </c>
      <c r="D298" s="252" t="s">
        <v>1724</v>
      </c>
      <c r="E298" s="252" t="s">
        <v>1785</v>
      </c>
      <c r="F298" s="249" t="s">
        <v>1192</v>
      </c>
      <c r="G298" s="249" t="s">
        <v>1155</v>
      </c>
      <c r="H298" s="249" t="s">
        <v>33</v>
      </c>
      <c r="I298" s="251" t="s">
        <v>1191</v>
      </c>
      <c r="J298" s="253" t="s">
        <v>1786</v>
      </c>
      <c r="K298" s="254"/>
    </row>
    <row r="299" spans="1:11" s="249" customFormat="1" ht="33.75">
      <c r="A299" s="249">
        <v>298</v>
      </c>
      <c r="B299" s="249" t="s">
        <v>1787</v>
      </c>
      <c r="C299" s="250" t="s">
        <v>628</v>
      </c>
      <c r="D299" s="252" t="s">
        <v>1331</v>
      </c>
      <c r="E299" s="252" t="s">
        <v>1787</v>
      </c>
      <c r="F299" s="249" t="s">
        <v>1141</v>
      </c>
      <c r="G299" s="249" t="s">
        <v>1155</v>
      </c>
      <c r="H299" s="249" t="s">
        <v>1795</v>
      </c>
      <c r="I299" s="251" t="s">
        <v>1187</v>
      </c>
      <c r="J299" s="253" t="s">
        <v>1788</v>
      </c>
      <c r="K299" s="254"/>
    </row>
    <row r="300" spans="1:11" s="249" customFormat="1" ht="33.75">
      <c r="A300" s="249">
        <v>299</v>
      </c>
      <c r="B300" s="249" t="s">
        <v>1787</v>
      </c>
      <c r="C300" s="250" t="s">
        <v>628</v>
      </c>
      <c r="D300" s="252" t="s">
        <v>1331</v>
      </c>
      <c r="E300" s="252" t="s">
        <v>1789</v>
      </c>
      <c r="F300" s="249" t="s">
        <v>1141</v>
      </c>
      <c r="G300" s="249" t="s">
        <v>1155</v>
      </c>
      <c r="H300" s="249" t="s">
        <v>1796</v>
      </c>
      <c r="I300" s="251" t="s">
        <v>1187</v>
      </c>
      <c r="J300" s="253" t="s">
        <v>1790</v>
      </c>
      <c r="K300" s="254"/>
    </row>
    <row r="301" spans="1:11" s="249" customFormat="1" ht="33.75">
      <c r="A301" s="249">
        <v>300</v>
      </c>
      <c r="B301" s="249" t="s">
        <v>1787</v>
      </c>
      <c r="C301" s="250" t="s">
        <v>628</v>
      </c>
      <c r="D301" s="252" t="s">
        <v>1331</v>
      </c>
      <c r="E301" s="252" t="s">
        <v>1791</v>
      </c>
      <c r="F301" s="249" t="s">
        <v>1141</v>
      </c>
      <c r="G301" s="249" t="s">
        <v>1155</v>
      </c>
      <c r="H301" s="249" t="s">
        <v>30</v>
      </c>
      <c r="I301" s="251" t="s">
        <v>1187</v>
      </c>
      <c r="J301" s="253" t="s">
        <v>1792</v>
      </c>
      <c r="K301" s="254"/>
    </row>
    <row r="302" spans="1:11" s="249" customFormat="1" ht="33.75">
      <c r="A302" s="249">
        <v>301</v>
      </c>
      <c r="B302" s="249" t="s">
        <v>1787</v>
      </c>
      <c r="C302" s="250" t="s">
        <v>678</v>
      </c>
      <c r="D302" s="252" t="s">
        <v>1331</v>
      </c>
      <c r="E302" s="252" t="s">
        <v>1793</v>
      </c>
      <c r="F302" s="249" t="s">
        <v>1141</v>
      </c>
      <c r="G302" s="249" t="s">
        <v>1155</v>
      </c>
      <c r="H302" s="249" t="s">
        <v>33</v>
      </c>
      <c r="I302" s="251" t="s">
        <v>1187</v>
      </c>
      <c r="J302" s="253" t="s">
        <v>1794</v>
      </c>
      <c r="K302" s="254"/>
    </row>
  </sheetData>
  <phoneticPr fontId="2" type="noConversion"/>
  <printOptions horizontalCentered="1"/>
  <pageMargins left="0.11811023622047245" right="0.11811023622047245" top="0.19685039370078741" bottom="0.31496062992125984" header="0.31496062992125984" footer="0.11811023622047245"/>
  <pageSetup paperSize="9" scale="60" fitToHeight="0" orientation="landscape" r:id="rId1"/>
  <headerFooter>
    <oddFooter>&amp;L&amp;D &amp;T&amp;R&amp;N 頁之 &amp;P  　</oddFooter>
  </headerFooter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8492-C44E-4B96-A4DB-5673E7DFBCCA}">
  <sheetPr>
    <tabColor rgb="FFFFFF00"/>
  </sheetPr>
  <dimension ref="A1:V9"/>
  <sheetViews>
    <sheetView topLeftCell="G1" workbookViewId="0">
      <selection activeCell="T5" sqref="T5"/>
    </sheetView>
    <sheetView workbookViewId="1"/>
  </sheetViews>
  <sheetFormatPr defaultRowHeight="15.75"/>
  <cols>
    <col min="1" max="1" width="16.375" style="259" customWidth="1"/>
    <col min="2" max="2" width="16.375" style="271" customWidth="1"/>
    <col min="3" max="4" width="16.375" style="259" customWidth="1"/>
    <col min="5" max="5" width="16.375" style="271" customWidth="1"/>
    <col min="6" max="6" width="17.75" style="329" customWidth="1"/>
    <col min="7" max="8" width="17.75" style="259" customWidth="1"/>
    <col min="9" max="9" width="19.625" style="259" customWidth="1"/>
    <col min="10" max="11" width="17.75" style="259" customWidth="1"/>
    <col min="12" max="12" width="9" style="259"/>
    <col min="13" max="13" width="17.75" style="259" customWidth="1"/>
    <col min="14" max="14" width="18.5" style="259" customWidth="1"/>
    <col min="15" max="16" width="14.25" style="259" customWidth="1"/>
    <col min="17" max="17" width="9" style="259"/>
    <col min="18" max="20" width="13.75" style="259" customWidth="1"/>
    <col min="21" max="16384" width="9" style="259"/>
  </cols>
  <sheetData>
    <row r="1" spans="1:22" ht="25.5">
      <c r="A1" s="298" t="s">
        <v>1831</v>
      </c>
      <c r="B1" s="299" t="s">
        <v>1819</v>
      </c>
      <c r="C1" s="298" t="s">
        <v>1832</v>
      </c>
      <c r="D1" s="298" t="s">
        <v>1833</v>
      </c>
      <c r="E1" s="300" t="s">
        <v>1834</v>
      </c>
      <c r="F1" s="300" t="s">
        <v>1835</v>
      </c>
      <c r="G1" s="298" t="s">
        <v>1836</v>
      </c>
      <c r="H1" s="298" t="s">
        <v>1837</v>
      </c>
      <c r="I1" s="301" t="s">
        <v>1838</v>
      </c>
      <c r="J1" s="298" t="s">
        <v>1839</v>
      </c>
      <c r="K1" s="298" t="s">
        <v>1840</v>
      </c>
      <c r="M1" s="302" t="s">
        <v>1805</v>
      </c>
      <c r="N1" s="302" t="s">
        <v>1841</v>
      </c>
      <c r="O1" s="302" t="s">
        <v>1842</v>
      </c>
      <c r="P1" s="302" t="s">
        <v>1843</v>
      </c>
      <c r="R1" s="303" t="s">
        <v>1843</v>
      </c>
      <c r="S1" s="303" t="s">
        <v>1844</v>
      </c>
      <c r="T1" s="303" t="s">
        <v>1841</v>
      </c>
      <c r="V1" s="304" t="s">
        <v>1845</v>
      </c>
    </row>
    <row r="2" spans="1:22" ht="30">
      <c r="A2" s="305" t="s">
        <v>1846</v>
      </c>
      <c r="B2" s="306" t="s">
        <v>1847</v>
      </c>
      <c r="C2" s="307" t="s">
        <v>1848</v>
      </c>
      <c r="D2" s="307" t="s">
        <v>674</v>
      </c>
      <c r="E2" s="308" t="s">
        <v>1829</v>
      </c>
      <c r="F2" s="309">
        <v>1</v>
      </c>
      <c r="G2" s="309">
        <v>7</v>
      </c>
      <c r="H2" s="310">
        <v>1</v>
      </c>
      <c r="I2" s="311" t="s">
        <v>238</v>
      </c>
      <c r="J2" s="309">
        <v>44</v>
      </c>
      <c r="K2" s="309">
        <v>55</v>
      </c>
      <c r="M2" s="312" t="s">
        <v>1849</v>
      </c>
      <c r="N2" s="312" t="s">
        <v>1850</v>
      </c>
      <c r="O2" s="312" t="s">
        <v>1851</v>
      </c>
      <c r="P2" s="312">
        <v>1</v>
      </c>
      <c r="R2" s="312">
        <v>1</v>
      </c>
      <c r="S2" s="312" t="s">
        <v>1852</v>
      </c>
      <c r="T2" s="312" t="s">
        <v>1850</v>
      </c>
      <c r="V2" s="313" t="s">
        <v>1853</v>
      </c>
    </row>
    <row r="3" spans="1:22" ht="30">
      <c r="A3" s="305" t="s">
        <v>1854</v>
      </c>
      <c r="B3" s="306" t="s">
        <v>1855</v>
      </c>
      <c r="C3" s="307" t="s">
        <v>1856</v>
      </c>
      <c r="D3" s="307" t="s">
        <v>1178</v>
      </c>
      <c r="E3" s="308" t="s">
        <v>1857</v>
      </c>
      <c r="F3" s="309">
        <v>2</v>
      </c>
      <c r="G3" s="309">
        <v>1</v>
      </c>
      <c r="H3" s="310">
        <v>3</v>
      </c>
      <c r="I3" s="311" t="s">
        <v>1858</v>
      </c>
      <c r="J3" s="309">
        <v>42</v>
      </c>
      <c r="K3" s="309">
        <v>53</v>
      </c>
      <c r="M3" s="312" t="s">
        <v>1859</v>
      </c>
      <c r="N3" s="312" t="s">
        <v>1850</v>
      </c>
      <c r="O3" s="312" t="s">
        <v>1851</v>
      </c>
      <c r="P3" s="312">
        <v>1</v>
      </c>
      <c r="R3" s="314">
        <v>2</v>
      </c>
      <c r="S3" s="314" t="s">
        <v>1860</v>
      </c>
      <c r="T3" s="314" t="s">
        <v>1861</v>
      </c>
      <c r="V3" s="313" t="s">
        <v>1862</v>
      </c>
    </row>
    <row r="4" spans="1:22" ht="30">
      <c r="A4" s="305" t="s">
        <v>1863</v>
      </c>
      <c r="B4" s="306" t="s">
        <v>1864</v>
      </c>
      <c r="C4" s="307" t="s">
        <v>1865</v>
      </c>
      <c r="D4" s="307" t="s">
        <v>1155</v>
      </c>
      <c r="E4" s="308" t="s">
        <v>1866</v>
      </c>
      <c r="F4" s="309">
        <v>3</v>
      </c>
      <c r="G4" s="309">
        <v>2</v>
      </c>
      <c r="H4" s="310">
        <v>5</v>
      </c>
      <c r="I4" s="311" t="s">
        <v>1867</v>
      </c>
      <c r="J4" s="309">
        <v>21</v>
      </c>
      <c r="K4" s="309">
        <v>11</v>
      </c>
      <c r="M4" s="314" t="s">
        <v>1861</v>
      </c>
      <c r="N4" s="314" t="s">
        <v>1861</v>
      </c>
      <c r="O4" s="314" t="s">
        <v>1851</v>
      </c>
      <c r="P4" s="314">
        <v>2</v>
      </c>
      <c r="R4" s="312">
        <v>3</v>
      </c>
      <c r="S4" s="312" t="s">
        <v>1868</v>
      </c>
      <c r="T4" s="312" t="s">
        <v>1869</v>
      </c>
      <c r="V4" s="313" t="s">
        <v>1870</v>
      </c>
    </row>
    <row r="5" spans="1:22" ht="30.75">
      <c r="A5" s="305" t="s">
        <v>1871</v>
      </c>
      <c r="B5" s="306" t="s">
        <v>1872</v>
      </c>
      <c r="C5" s="307" t="s">
        <v>1873</v>
      </c>
      <c r="D5" s="307" t="s">
        <v>1258</v>
      </c>
      <c r="E5" s="308" t="s">
        <v>1826</v>
      </c>
      <c r="F5" s="309">
        <v>4</v>
      </c>
      <c r="G5" s="309">
        <v>8</v>
      </c>
      <c r="H5" s="310">
        <v>7</v>
      </c>
      <c r="I5" s="315" t="s">
        <v>238</v>
      </c>
      <c r="J5" s="309">
        <v>30</v>
      </c>
      <c r="K5" s="309">
        <v>30</v>
      </c>
      <c r="M5" s="312" t="s">
        <v>1869</v>
      </c>
      <c r="N5" s="312" t="s">
        <v>1869</v>
      </c>
      <c r="O5" s="312" t="s">
        <v>1851</v>
      </c>
      <c r="P5" s="312">
        <v>3</v>
      </c>
      <c r="R5" s="316">
        <v>4</v>
      </c>
      <c r="S5" s="316" t="s">
        <v>1874</v>
      </c>
      <c r="T5" s="316" t="s">
        <v>1875</v>
      </c>
      <c r="V5" s="313" t="s">
        <v>1862</v>
      </c>
    </row>
    <row r="6" spans="1:22" ht="30.75">
      <c r="A6" s="305" t="s">
        <v>1850</v>
      </c>
      <c r="B6" s="306" t="s">
        <v>1876</v>
      </c>
      <c r="C6" s="307" t="s">
        <v>1877</v>
      </c>
      <c r="D6" s="307" t="s">
        <v>1878</v>
      </c>
      <c r="E6" s="308" t="s">
        <v>1828</v>
      </c>
      <c r="F6" s="309">
        <v>5</v>
      </c>
      <c r="G6" s="309">
        <v>7</v>
      </c>
      <c r="H6" s="310">
        <v>2</v>
      </c>
      <c r="I6" s="317" t="s">
        <v>1879</v>
      </c>
      <c r="J6" s="309">
        <v>24</v>
      </c>
      <c r="K6" s="309">
        <v>35</v>
      </c>
      <c r="M6" s="314" t="s">
        <v>1875</v>
      </c>
      <c r="N6" s="314" t="s">
        <v>1875</v>
      </c>
      <c r="O6" s="314" t="s">
        <v>1880</v>
      </c>
      <c r="P6" s="314">
        <v>4</v>
      </c>
      <c r="V6" s="313" t="s">
        <v>1881</v>
      </c>
    </row>
    <row r="7" spans="1:22" ht="30.75">
      <c r="A7" s="318" t="s">
        <v>1861</v>
      </c>
      <c r="B7" s="306" t="s">
        <v>1882</v>
      </c>
      <c r="C7" s="318" t="s">
        <v>1883</v>
      </c>
      <c r="D7" s="318" t="s">
        <v>1178</v>
      </c>
      <c r="E7" s="308" t="s">
        <v>1884</v>
      </c>
      <c r="F7" s="319">
        <v>6</v>
      </c>
      <c r="G7" s="319"/>
      <c r="H7" s="320">
        <v>4</v>
      </c>
      <c r="I7" s="321" t="s">
        <v>238</v>
      </c>
      <c r="J7" s="319"/>
      <c r="K7" s="319"/>
    </row>
    <row r="8" spans="1:22" ht="30.75">
      <c r="A8" s="305" t="s">
        <v>1869</v>
      </c>
      <c r="B8" s="306" t="s">
        <v>1885</v>
      </c>
      <c r="C8" s="307" t="s">
        <v>1886</v>
      </c>
      <c r="D8" s="307" t="s">
        <v>1887</v>
      </c>
      <c r="E8" s="308" t="s">
        <v>1888</v>
      </c>
      <c r="F8" s="309">
        <v>7</v>
      </c>
      <c r="G8" s="309">
        <v>3</v>
      </c>
      <c r="H8" s="310">
        <v>6</v>
      </c>
      <c r="I8" s="317" t="s">
        <v>1889</v>
      </c>
      <c r="J8" s="309">
        <v>22</v>
      </c>
      <c r="K8" s="309">
        <v>33</v>
      </c>
      <c r="R8" s="259" t="str">
        <f xml:space="preserve"> _xlfn.XLOOKUP(F4,四聲調表[四聲調號],四聲調表[四聲調名],"四聲調號有錯！",1)</f>
        <v>去</v>
      </c>
    </row>
    <row r="9" spans="1:22" ht="30.75">
      <c r="A9" s="322" t="s">
        <v>1875</v>
      </c>
      <c r="B9" s="323" t="s">
        <v>1890</v>
      </c>
      <c r="C9" s="324" t="s">
        <v>1891</v>
      </c>
      <c r="D9" s="324" t="s">
        <v>1892</v>
      </c>
      <c r="E9" s="325" t="s">
        <v>1827</v>
      </c>
      <c r="F9" s="326">
        <v>8</v>
      </c>
      <c r="G9" s="326">
        <v>4</v>
      </c>
      <c r="H9" s="327">
        <v>8</v>
      </c>
      <c r="I9" s="328" t="s">
        <v>1893</v>
      </c>
      <c r="J9" s="326">
        <v>50</v>
      </c>
      <c r="K9" s="326">
        <v>50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A83C-3F07-4A5A-891D-5934E7BA160A}">
  <dimension ref="B1:BC39"/>
  <sheetViews>
    <sheetView workbookViewId="0"/>
    <sheetView workbookViewId="1"/>
  </sheetViews>
  <sheetFormatPr defaultRowHeight="25.5"/>
  <cols>
    <col min="1" max="1" width="2.375" style="3" customWidth="1"/>
    <col min="2" max="3" width="11" style="3" customWidth="1"/>
    <col min="4" max="4" width="12.25" style="3" bestFit="1" customWidth="1"/>
    <col min="5" max="5" width="17.75" style="3" bestFit="1" customWidth="1"/>
    <col min="6" max="6" width="12.25" style="3" bestFit="1" customWidth="1"/>
    <col min="7" max="7" width="8.375" style="3" customWidth="1"/>
    <col min="8" max="8" width="13.75" style="58" customWidth="1"/>
    <col min="9" max="9" width="12.25" style="58" bestFit="1" customWidth="1"/>
    <col min="10" max="11" width="12.25" style="58" customWidth="1"/>
    <col min="12" max="12" width="13.75" style="58" customWidth="1"/>
    <col min="13" max="13" width="19.25" style="58" customWidth="1"/>
    <col min="14" max="14" width="13.75" style="58" customWidth="1"/>
    <col min="15" max="15" width="19.25" style="58" customWidth="1"/>
    <col min="16" max="17" width="13.75" style="58" customWidth="1"/>
    <col min="18" max="18" width="12.25" style="58" customWidth="1"/>
    <col min="33" max="16384" width="9" style="3"/>
  </cols>
  <sheetData>
    <row r="1" spans="2:55" s="24" customFormat="1" ht="30" customHeight="1">
      <c r="B1" s="51" t="s">
        <v>914</v>
      </c>
      <c r="D1" s="50"/>
      <c r="E1" s="50"/>
      <c r="I1" s="50"/>
      <c r="J1" s="50"/>
      <c r="K1" s="50"/>
      <c r="L1" s="50"/>
      <c r="M1" s="50"/>
      <c r="N1" s="50"/>
      <c r="O1" s="50"/>
      <c r="P1" s="50"/>
      <c r="Q1" s="50"/>
      <c r="R1" s="50"/>
      <c r="AG1" s="53"/>
      <c r="AI1" s="28"/>
      <c r="AJ1" s="28">
        <v>1</v>
      </c>
      <c r="AK1" s="28">
        <v>2</v>
      </c>
      <c r="AL1" s="28">
        <v>3</v>
      </c>
      <c r="AM1" s="28">
        <v>4</v>
      </c>
      <c r="AN1" s="28">
        <v>5</v>
      </c>
      <c r="AO1" s="28">
        <v>6</v>
      </c>
      <c r="AP1" s="28">
        <v>7</v>
      </c>
      <c r="AQ1" s="28">
        <v>8</v>
      </c>
      <c r="AR1" s="28">
        <v>9</v>
      </c>
      <c r="AS1" s="28">
        <v>9</v>
      </c>
      <c r="AT1" s="28"/>
      <c r="AU1" s="29"/>
      <c r="AV1" s="29"/>
      <c r="AW1" s="29"/>
      <c r="AX1" s="29"/>
      <c r="AY1" s="29"/>
      <c r="AZ1" s="29"/>
      <c r="BA1" s="29"/>
      <c r="BB1" s="29"/>
      <c r="BC1" s="29"/>
    </row>
    <row r="3" spans="2:55">
      <c r="B3" s="54" t="s">
        <v>915</v>
      </c>
      <c r="C3" s="54" t="s">
        <v>916</v>
      </c>
      <c r="D3" s="54" t="s">
        <v>917</v>
      </c>
      <c r="E3" s="54" t="s">
        <v>918</v>
      </c>
      <c r="F3" s="54" t="s">
        <v>368</v>
      </c>
      <c r="H3" s="55" t="s">
        <v>919</v>
      </c>
      <c r="I3" s="56" t="s">
        <v>916</v>
      </c>
      <c r="J3" s="56" t="s">
        <v>920</v>
      </c>
      <c r="K3" s="56" t="s">
        <v>921</v>
      </c>
      <c r="L3" s="56" t="s">
        <v>917</v>
      </c>
      <c r="M3" s="56" t="s">
        <v>918</v>
      </c>
      <c r="N3" s="56" t="s">
        <v>368</v>
      </c>
      <c r="O3" s="56" t="s">
        <v>922</v>
      </c>
      <c r="P3" s="56" t="s">
        <v>367</v>
      </c>
      <c r="Q3" s="57" t="s">
        <v>923</v>
      </c>
    </row>
    <row r="4" spans="2:55" ht="34.5">
      <c r="B4" s="60">
        <v>1</v>
      </c>
      <c r="C4" s="60" t="s">
        <v>924</v>
      </c>
      <c r="D4" s="61" t="s">
        <v>925</v>
      </c>
      <c r="E4" s="7"/>
      <c r="F4" s="62" t="str">
        <f xml:space="preserve"> IFERROR( _xlfn.CONCAT("a"), "")</f>
        <v>a</v>
      </c>
      <c r="H4" s="63">
        <v>1</v>
      </c>
      <c r="I4" s="60" t="s">
        <v>924</v>
      </c>
      <c r="J4" s="60">
        <v>44</v>
      </c>
      <c r="K4" s="60" t="s">
        <v>926</v>
      </c>
      <c r="L4" s="61" t="s">
        <v>925</v>
      </c>
      <c r="M4" s="7"/>
      <c r="N4" s="64" t="str">
        <f xml:space="preserve"> IFERROR( _xlfn.CONCAT("a", IF($M4="", "", _xlfn.UNICHAR(HEX2DEC(RIGHT($M4,4))))), "")</f>
        <v>a</v>
      </c>
      <c r="O4" s="65" t="s">
        <v>379</v>
      </c>
      <c r="P4" s="66" t="str">
        <f xml:space="preserve"> IFERROR( _xlfn.CONCAT("a", _xlfn.UNICHAR(HEX2DEC(RIGHT(O4,4)))), "")</f>
        <v>ā</v>
      </c>
      <c r="Q4" s="67">
        <v>1</v>
      </c>
    </row>
    <row r="5" spans="2:55" ht="34.5">
      <c r="B5" s="60">
        <v>2</v>
      </c>
      <c r="C5" s="60" t="s">
        <v>927</v>
      </c>
      <c r="D5" s="69" t="s">
        <v>928</v>
      </c>
      <c r="E5" s="7" t="s">
        <v>375</v>
      </c>
      <c r="F5" s="62" t="str">
        <f xml:space="preserve"> IFERROR( _xlfn.CONCAT("a", _xlfn.UNICHAR(HEX2DEC(RIGHT($E5,4)))), "")</f>
        <v>á</v>
      </c>
      <c r="H5" s="63">
        <v>7</v>
      </c>
      <c r="I5" s="60" t="s">
        <v>929</v>
      </c>
      <c r="J5" s="60">
        <v>22</v>
      </c>
      <c r="K5" s="60" t="s">
        <v>930</v>
      </c>
      <c r="L5" s="61" t="s">
        <v>931</v>
      </c>
      <c r="M5" s="7" t="s">
        <v>379</v>
      </c>
      <c r="N5" s="64" t="str">
        <f xml:space="preserve"> IFERROR( _xlfn.CONCAT("a", IF($M5="", "", _xlfn.UNICHAR(HEX2DEC(RIGHT($M5,4))))), "")</f>
        <v>ā</v>
      </c>
      <c r="O5" s="65" t="s">
        <v>932</v>
      </c>
      <c r="P5" s="66" t="str">
        <f xml:space="preserve"> IFERROR( _xlfn.CONCAT("a", _xlfn.UNICHAR(HEX2DEC(RIGHT(O5,4)))), "")</f>
        <v>â</v>
      </c>
      <c r="Q5" s="67">
        <v>6</v>
      </c>
    </row>
    <row r="6" spans="2:55" ht="34.5">
      <c r="B6" s="60">
        <v>3</v>
      </c>
      <c r="C6" s="60" t="s">
        <v>933</v>
      </c>
      <c r="D6" s="69" t="s">
        <v>934</v>
      </c>
      <c r="E6" s="7" t="s">
        <v>935</v>
      </c>
      <c r="F6" s="62" t="str">
        <f t="shared" ref="F6:F13" si="0" xml:space="preserve"> IFERROR( _xlfn.CONCAT("a", _xlfn.UNICHAR(HEX2DEC(RIGHT($E6,4)))), "")</f>
        <v>à</v>
      </c>
      <c r="H6" s="63">
        <v>3</v>
      </c>
      <c r="I6" s="60" t="s">
        <v>933</v>
      </c>
      <c r="J6" s="60">
        <v>21</v>
      </c>
      <c r="K6" s="60" t="s">
        <v>936</v>
      </c>
      <c r="L6" s="69" t="s">
        <v>934</v>
      </c>
      <c r="M6" s="7" t="s">
        <v>375</v>
      </c>
      <c r="N6" s="64" t="str">
        <f xml:space="preserve"> IFERROR( _xlfn.CONCAT("a", IF($M7="", "", _xlfn.UNICHAR(HEX2DEC(RIGHT($M7,4))))), "")</f>
        <v>à</v>
      </c>
      <c r="O6" s="65" t="s">
        <v>935</v>
      </c>
      <c r="P6" s="66" t="str">
        <f xml:space="preserve"> IFERROR( _xlfn.CONCAT("a", _xlfn.UNICHAR(HEX2DEC(RIGHT(O6,4)))), "")</f>
        <v>à</v>
      </c>
      <c r="Q6" s="67">
        <v>5</v>
      </c>
    </row>
    <row r="7" spans="2:55" ht="34.5">
      <c r="B7" s="60">
        <v>4</v>
      </c>
      <c r="C7" s="60" t="s">
        <v>937</v>
      </c>
      <c r="D7" s="69" t="s">
        <v>938</v>
      </c>
      <c r="E7" s="7"/>
      <c r="F7" s="62" t="str">
        <f t="shared" si="0"/>
        <v/>
      </c>
      <c r="H7" s="63">
        <v>2</v>
      </c>
      <c r="I7" s="60" t="s">
        <v>927</v>
      </c>
      <c r="J7" s="60">
        <v>53</v>
      </c>
      <c r="K7" s="60" t="s">
        <v>939</v>
      </c>
      <c r="L7" s="69" t="s">
        <v>928</v>
      </c>
      <c r="M7" s="7" t="s">
        <v>935</v>
      </c>
      <c r="N7" s="64" t="str">
        <f xml:space="preserve"> IFERROR( _xlfn.CONCAT("a", IF($M6="", "", _xlfn.UNICHAR(HEX2DEC(RIGHT($M6,4))))), "")</f>
        <v>á</v>
      </c>
      <c r="O7" s="65" t="s">
        <v>377</v>
      </c>
      <c r="P7" s="66" t="str">
        <f xml:space="preserve"> IFERROR( _xlfn.CONCAT("a", _xlfn.UNICHAR(HEX2DEC(RIGHT(O7,4)))), "")</f>
        <v>ǎ</v>
      </c>
      <c r="Q7" s="67">
        <v>3</v>
      </c>
    </row>
    <row r="8" spans="2:55" ht="34.5">
      <c r="B8" s="60">
        <v>5</v>
      </c>
      <c r="C8" s="60" t="s">
        <v>940</v>
      </c>
      <c r="D8" s="69" t="s">
        <v>941</v>
      </c>
      <c r="E8" s="7" t="s">
        <v>377</v>
      </c>
      <c r="F8" s="62" t="str">
        <f t="shared" si="0"/>
        <v>ǎ</v>
      </c>
      <c r="H8" s="63">
        <v>5</v>
      </c>
      <c r="I8" s="60" t="s">
        <v>940</v>
      </c>
      <c r="J8" s="60">
        <v>24</v>
      </c>
      <c r="K8" s="60" t="s">
        <v>942</v>
      </c>
      <c r="L8" s="69" t="s">
        <v>941</v>
      </c>
      <c r="M8" s="7" t="s">
        <v>378</v>
      </c>
      <c r="N8" s="64" t="str">
        <f xml:space="preserve"> IFERROR( _xlfn.CONCAT("a", IF($M8="", "", _xlfn.UNICHAR(HEX2DEC(RIGHT($M8,4))))), "")</f>
        <v>á</v>
      </c>
      <c r="O8" s="65" t="s">
        <v>378</v>
      </c>
      <c r="P8" s="66" t="str">
        <f xml:space="preserve"> IFERROR( _xlfn.CONCAT("a", _xlfn.UNICHAR(HEX2DEC(RIGHT(O8,4)))), "")</f>
        <v>á</v>
      </c>
      <c r="Q8" s="67">
        <v>2</v>
      </c>
    </row>
    <row r="9" spans="2:55" ht="34.5">
      <c r="B9" s="70">
        <v>6</v>
      </c>
      <c r="C9" s="60" t="s">
        <v>927</v>
      </c>
      <c r="D9" s="69"/>
      <c r="E9" s="71" t="s">
        <v>378</v>
      </c>
      <c r="F9" s="62" t="str">
        <f t="shared" si="0"/>
        <v>á</v>
      </c>
      <c r="H9" s="63">
        <v>7</v>
      </c>
      <c r="I9" s="60" t="s">
        <v>937</v>
      </c>
      <c r="J9" s="72">
        <v>320</v>
      </c>
      <c r="K9" s="60" t="s">
        <v>943</v>
      </c>
      <c r="L9" s="69" t="s">
        <v>938</v>
      </c>
      <c r="M9" s="7" t="s">
        <v>377</v>
      </c>
      <c r="N9" s="64" t="str">
        <f xml:space="preserve"> IFERROR( _xlfn.CONCAT("a", IF($M9="", "", _xlfn.UNICHAR(HEX2DEC(RIGHT($M9,4))))), "")</f>
        <v>ǎ</v>
      </c>
      <c r="O9" s="65" t="s">
        <v>944</v>
      </c>
      <c r="P9" s="66" t="str">
        <f xml:space="preserve"> IFERROR( _xlfn.CONCAT("a", _xlfn.UNICHAR(HEX2DEC(RIGHT(O9,4))), "h"), "")</f>
        <v>āh</v>
      </c>
      <c r="Q9" s="67">
        <v>7</v>
      </c>
    </row>
    <row r="10" spans="2:55" ht="34.5">
      <c r="B10" s="60">
        <v>7</v>
      </c>
      <c r="C10" s="60" t="s">
        <v>929</v>
      </c>
      <c r="D10" s="61" t="s">
        <v>931</v>
      </c>
      <c r="E10" s="7" t="s">
        <v>379</v>
      </c>
      <c r="F10" s="62" t="str">
        <f t="shared" si="0"/>
        <v>ā</v>
      </c>
      <c r="H10" s="63">
        <v>8</v>
      </c>
      <c r="I10" s="60" t="s">
        <v>945</v>
      </c>
      <c r="J10" s="72">
        <v>40</v>
      </c>
      <c r="K10" s="60" t="s">
        <v>946</v>
      </c>
      <c r="L10" s="69" t="s">
        <v>947</v>
      </c>
      <c r="M10" s="7" t="s">
        <v>948</v>
      </c>
      <c r="N10" s="64" t="str">
        <f xml:space="preserve"> IFERROR( _xlfn.CONCAT("a", IF($M10="", "", _xlfn.UNICHAR(HEX2DEC(RIGHT($M10,4))))), "")</f>
        <v>a̍</v>
      </c>
      <c r="O10" s="65" t="s">
        <v>378</v>
      </c>
      <c r="P10" s="66" t="str">
        <f xml:space="preserve"> IFERROR( _xlfn.CONCAT("a", _xlfn.UNICHAR(HEX2DEC(RIGHT(O10,4))), "h"), "")</f>
        <v>áh</v>
      </c>
      <c r="Q10" s="67">
        <v>8</v>
      </c>
    </row>
    <row r="11" spans="2:55" ht="34.5">
      <c r="B11" s="60">
        <v>8</v>
      </c>
      <c r="C11" s="60" t="s">
        <v>945</v>
      </c>
      <c r="D11" s="69" t="s">
        <v>947</v>
      </c>
      <c r="E11" s="7" t="s">
        <v>948</v>
      </c>
      <c r="F11" s="62" t="str">
        <f t="shared" si="0"/>
        <v>a̍</v>
      </c>
      <c r="H11" s="73">
        <v>6</v>
      </c>
      <c r="I11" s="74" t="s">
        <v>949</v>
      </c>
      <c r="J11" s="74"/>
      <c r="K11" s="74"/>
      <c r="L11" s="75"/>
      <c r="M11" s="76" t="s">
        <v>378</v>
      </c>
      <c r="N11" s="77" t="str">
        <f xml:space="preserve"> IFERROR( _xlfn.CONCAT("a", IF($M11="", "", _xlfn.UNICHAR(HEX2DEC(RIGHT($M11,4))))), "")</f>
        <v>á</v>
      </c>
      <c r="O11" s="78" t="s">
        <v>377</v>
      </c>
      <c r="P11" s="79" t="str">
        <f xml:space="preserve"> IFERROR( _xlfn.CONCAT("a", _xlfn.UNICHAR(HEX2DEC(RIGHT(O11,4)))), "")</f>
        <v>ǎ</v>
      </c>
      <c r="Q11" s="80" t="str">
        <f xml:space="preserve"> IFERROR( _xlfn.CONCAT("a", _xlfn.UNICHAR(HEX2DEC(RIGHT(P11,4)))), "")</f>
        <v/>
      </c>
    </row>
    <row r="12" spans="2:55" ht="30">
      <c r="B12" s="60">
        <v>9</v>
      </c>
      <c r="C12" s="60" t="s">
        <v>950</v>
      </c>
      <c r="D12" s="69"/>
      <c r="E12" s="7" t="s">
        <v>381</v>
      </c>
      <c r="F12" s="62" t="str">
        <f t="shared" si="0"/>
        <v>a̋</v>
      </c>
    </row>
    <row r="13" spans="2:55" ht="30">
      <c r="B13" s="60">
        <v>0</v>
      </c>
      <c r="C13" s="60" t="s">
        <v>950</v>
      </c>
      <c r="D13" s="69"/>
      <c r="E13" s="7" t="s">
        <v>382</v>
      </c>
      <c r="F13" s="62" t="str">
        <f t="shared" si="0"/>
        <v>å</v>
      </c>
      <c r="H13" s="55" t="s">
        <v>915</v>
      </c>
      <c r="I13" s="57" t="s">
        <v>951</v>
      </c>
    </row>
    <row r="14" spans="2:55">
      <c r="H14" s="63">
        <v>1</v>
      </c>
      <c r="I14" s="81" t="str">
        <f>IFERROR(_xlfn.UNICHAR(CHOOSE($H14+1,8304,185,178,179,8308,8309,8310,8311,8312,8313)),"")</f>
        <v>¹</v>
      </c>
    </row>
    <row r="15" spans="2:55">
      <c r="H15" s="63">
        <v>2</v>
      </c>
      <c r="I15" s="81" t="str">
        <f t="shared" ref="I15:I23" si="1">IFERROR(_xlfn.UNICHAR(CHOOSE($H15+1,8304,185,178,179,8308,8309,8310,8311,8312,8313)),"")</f>
        <v>²</v>
      </c>
    </row>
    <row r="16" spans="2:55">
      <c r="B16" s="54" t="s">
        <v>915</v>
      </c>
      <c r="C16" s="54" t="s">
        <v>916</v>
      </c>
      <c r="D16" s="54" t="s">
        <v>917</v>
      </c>
      <c r="E16" s="54" t="s">
        <v>952</v>
      </c>
      <c r="F16" s="54" t="s">
        <v>282</v>
      </c>
      <c r="H16" s="63">
        <v>3</v>
      </c>
      <c r="I16" s="81" t="str">
        <f t="shared" si="1"/>
        <v>³</v>
      </c>
      <c r="J16" s="3"/>
      <c r="K16" s="3"/>
      <c r="L16" s="3"/>
      <c r="M16" s="3"/>
      <c r="N16" s="3"/>
      <c r="O16" s="3"/>
      <c r="P16" s="3"/>
      <c r="Q16" s="3"/>
      <c r="R16" s="3"/>
    </row>
    <row r="17" spans="2:18" ht="30">
      <c r="B17" s="60">
        <v>1</v>
      </c>
      <c r="C17" s="60" t="s">
        <v>924</v>
      </c>
      <c r="D17" s="61" t="s">
        <v>925</v>
      </c>
      <c r="E17" s="65" t="s">
        <v>379</v>
      </c>
      <c r="F17" s="82" t="str">
        <f t="shared" ref="F17:F19" si="2" xml:space="preserve"> IFERROR( _xlfn.CONCAT("a", _xlfn.UNICHAR(HEX2DEC(RIGHT(E17,4)))), "")</f>
        <v>ā</v>
      </c>
      <c r="H17" s="63">
        <v>4</v>
      </c>
      <c r="I17" s="81" t="str">
        <f t="shared" si="1"/>
        <v>⁴</v>
      </c>
    </row>
    <row r="18" spans="2:18" ht="30">
      <c r="B18" s="60">
        <v>2</v>
      </c>
      <c r="C18" s="60" t="s">
        <v>940</v>
      </c>
      <c r="D18" s="69" t="s">
        <v>941</v>
      </c>
      <c r="E18" s="65" t="s">
        <v>378</v>
      </c>
      <c r="F18" s="82" t="str">
        <f xml:space="preserve"> IFERROR( _xlfn.CONCAT("a", _xlfn.UNICHAR(HEX2DEC(RIGHT(E18,4)))), "")</f>
        <v>á</v>
      </c>
      <c r="H18" s="63">
        <v>5</v>
      </c>
      <c r="I18" s="81" t="str">
        <f t="shared" si="1"/>
        <v>⁵</v>
      </c>
    </row>
    <row r="19" spans="2:18" ht="30">
      <c r="B19" s="60">
        <v>3</v>
      </c>
      <c r="C19" s="60" t="s">
        <v>927</v>
      </c>
      <c r="D19" s="69" t="s">
        <v>928</v>
      </c>
      <c r="E19" s="65" t="s">
        <v>377</v>
      </c>
      <c r="F19" s="82" t="str">
        <f t="shared" si="2"/>
        <v>ǎ</v>
      </c>
      <c r="H19" s="83">
        <v>6</v>
      </c>
      <c r="I19" s="81" t="str">
        <f t="shared" si="1"/>
        <v>⁶</v>
      </c>
    </row>
    <row r="20" spans="2:18" ht="30">
      <c r="B20" s="70">
        <v>4</v>
      </c>
      <c r="C20" s="70" t="s">
        <v>927</v>
      </c>
      <c r="D20" s="69"/>
      <c r="E20" s="84" t="s">
        <v>377</v>
      </c>
      <c r="F20" s="85" t="str">
        <f xml:space="preserve"> IFERROR( _xlfn.CONCAT("a", _xlfn.UNICHAR(HEX2DEC(RIGHT(E20,4)))), "")</f>
        <v>ǎ</v>
      </c>
      <c r="H20" s="63">
        <v>7</v>
      </c>
      <c r="I20" s="81" t="str">
        <f t="shared" si="1"/>
        <v>⁷</v>
      </c>
    </row>
    <row r="21" spans="2:18" ht="30">
      <c r="B21" s="60">
        <v>5</v>
      </c>
      <c r="C21" s="60" t="s">
        <v>933</v>
      </c>
      <c r="D21" s="69" t="s">
        <v>934</v>
      </c>
      <c r="E21" s="65" t="s">
        <v>935</v>
      </c>
      <c r="F21" s="82" t="str">
        <f xml:space="preserve"> IFERROR( _xlfn.CONCAT("a", _xlfn.UNICHAR(HEX2DEC(RIGHT(E21,4)))), "")</f>
        <v>à</v>
      </c>
      <c r="H21" s="63">
        <v>8</v>
      </c>
      <c r="I21" s="81" t="str">
        <f t="shared" si="1"/>
        <v>⁸</v>
      </c>
    </row>
    <row r="22" spans="2:18" ht="30">
      <c r="B22" s="60">
        <v>6</v>
      </c>
      <c r="C22" s="60" t="s">
        <v>929</v>
      </c>
      <c r="D22" s="61" t="s">
        <v>931</v>
      </c>
      <c r="E22" s="65" t="s">
        <v>932</v>
      </c>
      <c r="F22" s="82" t="str">
        <f t="shared" ref="F22" si="3" xml:space="preserve"> IFERROR( _xlfn.CONCAT("a", _xlfn.UNICHAR(HEX2DEC(RIGHT(E22,4)))), "")</f>
        <v>â</v>
      </c>
      <c r="H22" s="63">
        <v>9</v>
      </c>
      <c r="I22" s="81" t="str">
        <f t="shared" si="1"/>
        <v>⁹</v>
      </c>
    </row>
    <row r="23" spans="2:18" ht="30">
      <c r="B23" s="60">
        <v>7</v>
      </c>
      <c r="C23" s="60" t="s">
        <v>937</v>
      </c>
      <c r="D23" s="69" t="s">
        <v>938</v>
      </c>
      <c r="E23" s="65" t="s">
        <v>944</v>
      </c>
      <c r="F23" s="82" t="str">
        <f xml:space="preserve"> IFERROR( _xlfn.CONCAT("a", _xlfn.UNICHAR(HEX2DEC(RIGHT(E23,4))), "h"), "")</f>
        <v>āh</v>
      </c>
      <c r="H23" s="86">
        <v>0</v>
      </c>
      <c r="I23" s="87" t="str">
        <f t="shared" si="1"/>
        <v>⁰</v>
      </c>
    </row>
    <row r="24" spans="2:18" ht="30">
      <c r="B24" s="60">
        <v>8</v>
      </c>
      <c r="C24" s="60" t="s">
        <v>945</v>
      </c>
      <c r="D24" s="69" t="s">
        <v>947</v>
      </c>
      <c r="E24" s="65" t="s">
        <v>378</v>
      </c>
      <c r="F24" s="82" t="str">
        <f xml:space="preserve"> IFERROR( _xlfn.CONCAT("a", _xlfn.UNICHAR(HEX2DEC(RIGHT(E24,4))), "h"), "")</f>
        <v>áh</v>
      </c>
      <c r="H24" s="3"/>
    </row>
    <row r="25" spans="2:18" ht="30">
      <c r="B25" s="60">
        <v>9</v>
      </c>
      <c r="C25" s="60" t="s">
        <v>950</v>
      </c>
      <c r="D25" s="69"/>
      <c r="E25" s="65"/>
      <c r="F25" s="82"/>
      <c r="H25" s="3"/>
      <c r="I25" s="3" t="str">
        <f xml:space="preserve"> IFERROR( _xlfn.CONCAT("l", "u", _xlfn.UNICHAR(HEX2DEC(RIGHT(G38,4))), "n"), "")</f>
        <v/>
      </c>
      <c r="J25" s="3"/>
      <c r="K25" s="3"/>
      <c r="L25" s="3"/>
      <c r="M25" s="3"/>
      <c r="N25" s="3"/>
      <c r="O25" s="3"/>
      <c r="P25" s="3"/>
      <c r="Q25" s="3"/>
      <c r="R25" s="3"/>
    </row>
    <row r="26" spans="2:18" ht="30">
      <c r="B26" s="60">
        <v>0</v>
      </c>
      <c r="C26" s="60" t="s">
        <v>950</v>
      </c>
      <c r="D26" s="69"/>
      <c r="E26" s="65"/>
      <c r="F26" s="82"/>
      <c r="H26" s="3"/>
      <c r="I26" s="3" t="str">
        <f xml:space="preserve"> IFERROR( _xlfn.CONCAT("l", "u", _xlfn.UNICHAR(HEX2DEC(RIGHT(G39,4))), "n"), "")</f>
        <v/>
      </c>
      <c r="J26" s="3"/>
      <c r="K26" s="3"/>
      <c r="L26" s="3"/>
      <c r="M26" s="3"/>
      <c r="N26" s="3"/>
      <c r="O26" s="3"/>
      <c r="P26" s="3"/>
      <c r="Q26" s="3"/>
      <c r="R26" s="3"/>
    </row>
    <row r="38" spans="6:7">
      <c r="F38" s="58"/>
      <c r="G38" s="58"/>
    </row>
    <row r="39" spans="6:7">
      <c r="F39" s="58"/>
      <c r="G39" s="58"/>
    </row>
  </sheetData>
  <phoneticPr fontId="2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3C1D-A5C7-4C15-ADA0-CC6A80746AD7}">
  <dimension ref="B1:P54"/>
  <sheetViews>
    <sheetView showGridLines="0" zoomScale="70" zoomScaleNormal="70" workbookViewId="0">
      <selection activeCell="D6" sqref="D6:D7"/>
    </sheetView>
    <sheetView workbookViewId="1"/>
  </sheetViews>
  <sheetFormatPr defaultRowHeight="44.25" outlineLevelCol="1"/>
  <cols>
    <col min="2" max="2" width="7" style="132" customWidth="1"/>
    <col min="3" max="3" width="11.875" style="132" customWidth="1" outlineLevel="1"/>
    <col min="4" max="4" width="18.5" style="132" customWidth="1" outlineLevel="1"/>
    <col min="5" max="12" width="12.25" style="133" customWidth="1"/>
    <col min="13" max="13" width="14.375" style="134" customWidth="1"/>
    <col min="14" max="14" width="174.25" style="147" customWidth="1"/>
    <col min="15" max="16" width="9" style="140"/>
  </cols>
  <sheetData>
    <row r="1" spans="2:14" ht="10.5" customHeight="1"/>
    <row r="2" spans="2:14" ht="38.25">
      <c r="B2" s="158" t="s">
        <v>49</v>
      </c>
      <c r="C2" s="159"/>
      <c r="D2" s="162" t="s">
        <v>50</v>
      </c>
      <c r="E2" s="164" t="s">
        <v>51</v>
      </c>
      <c r="F2" s="165"/>
      <c r="G2" s="165"/>
      <c r="H2" s="165"/>
      <c r="I2" s="165"/>
      <c r="J2" s="165"/>
      <c r="K2" s="165"/>
      <c r="L2" s="166"/>
      <c r="N2" s="148" t="s">
        <v>52</v>
      </c>
    </row>
    <row r="3" spans="2:14" ht="32.25" customHeight="1">
      <c r="B3" s="160"/>
      <c r="C3" s="161"/>
      <c r="D3" s="163"/>
      <c r="E3" s="167" t="s">
        <v>53</v>
      </c>
      <c r="F3" s="168"/>
      <c r="G3" s="167" t="s">
        <v>54</v>
      </c>
      <c r="H3" s="168"/>
      <c r="I3" s="167" t="s">
        <v>55</v>
      </c>
      <c r="J3" s="168"/>
      <c r="K3" s="167" t="s">
        <v>56</v>
      </c>
      <c r="L3" s="168"/>
      <c r="N3" s="149"/>
    </row>
    <row r="4" spans="2:14" ht="51">
      <c r="B4" s="169" t="s">
        <v>57</v>
      </c>
      <c r="C4" s="172" t="s">
        <v>58</v>
      </c>
      <c r="D4" s="174" t="s">
        <v>59</v>
      </c>
      <c r="E4" s="142" t="s">
        <v>60</v>
      </c>
      <c r="F4" s="143" t="s">
        <v>61</v>
      </c>
      <c r="G4" s="142" t="s">
        <v>62</v>
      </c>
      <c r="H4" s="143" t="s">
        <v>63</v>
      </c>
      <c r="I4" s="142" t="s">
        <v>64</v>
      </c>
      <c r="J4" s="143" t="s">
        <v>65</v>
      </c>
      <c r="K4" s="142" t="s">
        <v>66</v>
      </c>
      <c r="L4" s="143" t="s">
        <v>67</v>
      </c>
      <c r="N4" s="150" t="s">
        <v>68</v>
      </c>
    </row>
    <row r="5" spans="2:14">
      <c r="B5" s="170"/>
      <c r="C5" s="173"/>
      <c r="D5" s="175"/>
      <c r="E5" s="144" t="s">
        <v>11</v>
      </c>
      <c r="F5" s="145" t="s">
        <v>69</v>
      </c>
      <c r="G5" s="144" t="s">
        <v>17</v>
      </c>
      <c r="H5" s="145" t="s">
        <v>70</v>
      </c>
      <c r="I5" s="144" t="s">
        <v>12</v>
      </c>
      <c r="J5" s="151" t="s">
        <v>71</v>
      </c>
      <c r="K5" s="144" t="s">
        <v>72</v>
      </c>
      <c r="L5" s="145" t="s">
        <v>73</v>
      </c>
      <c r="N5" s="150" t="s">
        <v>74</v>
      </c>
    </row>
    <row r="6" spans="2:14" ht="51">
      <c r="B6" s="170"/>
      <c r="C6" s="172" t="s">
        <v>75</v>
      </c>
      <c r="D6" s="174" t="s">
        <v>76</v>
      </c>
      <c r="E6" s="141" t="s">
        <v>77</v>
      </c>
      <c r="F6" s="135" t="s">
        <v>78</v>
      </c>
      <c r="G6" s="141" t="s">
        <v>79</v>
      </c>
      <c r="H6" s="135" t="s">
        <v>80</v>
      </c>
      <c r="I6" s="141" t="s">
        <v>81</v>
      </c>
      <c r="J6" s="135" t="s">
        <v>82</v>
      </c>
      <c r="K6" s="141" t="s">
        <v>83</v>
      </c>
      <c r="L6" s="135" t="s">
        <v>84</v>
      </c>
      <c r="N6" s="150" t="s">
        <v>85</v>
      </c>
    </row>
    <row r="7" spans="2:14">
      <c r="B7" s="171"/>
      <c r="C7" s="173"/>
      <c r="D7" s="175"/>
      <c r="E7" s="138" t="s">
        <v>37</v>
      </c>
      <c r="F7" s="139" t="s">
        <v>36</v>
      </c>
      <c r="G7" s="138" t="s">
        <v>17</v>
      </c>
      <c r="H7" s="139" t="s">
        <v>70</v>
      </c>
      <c r="I7" s="138" t="s">
        <v>11</v>
      </c>
      <c r="J7" s="139" t="s">
        <v>69</v>
      </c>
      <c r="K7" s="152" t="s">
        <v>86</v>
      </c>
      <c r="L7" s="153" t="s">
        <v>87</v>
      </c>
      <c r="N7" s="150" t="s">
        <v>88</v>
      </c>
    </row>
    <row r="8" spans="2:14" ht="51">
      <c r="B8" s="169" t="s">
        <v>89</v>
      </c>
      <c r="C8" s="172" t="s">
        <v>90</v>
      </c>
      <c r="D8" s="174" t="s">
        <v>91</v>
      </c>
      <c r="E8" s="142" t="s">
        <v>92</v>
      </c>
      <c r="F8" s="143" t="s">
        <v>93</v>
      </c>
      <c r="G8" s="142" t="s">
        <v>94</v>
      </c>
      <c r="H8" s="143" t="s">
        <v>95</v>
      </c>
      <c r="I8" s="141" t="s">
        <v>96</v>
      </c>
      <c r="J8" s="135" t="s">
        <v>97</v>
      </c>
      <c r="K8" s="142" t="s">
        <v>98</v>
      </c>
      <c r="L8" s="143" t="s">
        <v>99</v>
      </c>
      <c r="N8" s="148" t="s">
        <v>100</v>
      </c>
    </row>
    <row r="9" spans="2:14">
      <c r="B9" s="170"/>
      <c r="C9" s="173"/>
      <c r="D9" s="175"/>
      <c r="E9" s="144" t="s">
        <v>23</v>
      </c>
      <c r="F9" s="145" t="s">
        <v>101</v>
      </c>
      <c r="G9" s="144" t="s">
        <v>24</v>
      </c>
      <c r="H9" s="145" t="s">
        <v>102</v>
      </c>
      <c r="I9" s="152" t="s">
        <v>103</v>
      </c>
      <c r="J9" s="154" t="s">
        <v>104</v>
      </c>
      <c r="K9" s="144" t="s">
        <v>14</v>
      </c>
      <c r="L9" s="145" t="s">
        <v>105</v>
      </c>
      <c r="N9" s="148" t="s">
        <v>106</v>
      </c>
    </row>
    <row r="10" spans="2:14" ht="51">
      <c r="B10" s="170"/>
      <c r="C10" s="172" t="s">
        <v>107</v>
      </c>
      <c r="D10" s="174" t="s">
        <v>108</v>
      </c>
      <c r="E10" s="141" t="s">
        <v>109</v>
      </c>
      <c r="F10" s="135" t="s">
        <v>110</v>
      </c>
      <c r="G10" s="141" t="s">
        <v>111</v>
      </c>
      <c r="H10" s="135" t="s">
        <v>112</v>
      </c>
      <c r="I10" s="141" t="s">
        <v>113</v>
      </c>
      <c r="J10" s="135" t="s">
        <v>114</v>
      </c>
      <c r="K10" s="141" t="s">
        <v>115</v>
      </c>
      <c r="L10" s="135" t="s">
        <v>116</v>
      </c>
      <c r="N10" s="148" t="s">
        <v>117</v>
      </c>
    </row>
    <row r="11" spans="2:14">
      <c r="B11" s="171"/>
      <c r="C11" s="173"/>
      <c r="D11" s="175"/>
      <c r="E11" s="138" t="s">
        <v>40</v>
      </c>
      <c r="F11" s="139" t="s">
        <v>32</v>
      </c>
      <c r="G11" s="138" t="s">
        <v>44</v>
      </c>
      <c r="H11" s="139" t="s">
        <v>43</v>
      </c>
      <c r="I11" s="152" t="s">
        <v>118</v>
      </c>
      <c r="J11" s="154" t="s">
        <v>119</v>
      </c>
      <c r="K11" s="138" t="s">
        <v>14</v>
      </c>
      <c r="L11" s="139" t="s">
        <v>120</v>
      </c>
      <c r="N11" s="150" t="s">
        <v>121</v>
      </c>
    </row>
    <row r="12" spans="2:14" ht="51">
      <c r="B12" s="183" t="s">
        <v>122</v>
      </c>
      <c r="C12" s="172" t="s">
        <v>123</v>
      </c>
      <c r="D12" s="174" t="s">
        <v>124</v>
      </c>
      <c r="E12" s="142" t="s">
        <v>125</v>
      </c>
      <c r="F12" s="143" t="s">
        <v>126</v>
      </c>
      <c r="G12" s="142" t="s">
        <v>127</v>
      </c>
      <c r="H12" s="143" t="s">
        <v>128</v>
      </c>
      <c r="I12" s="142" t="s">
        <v>129</v>
      </c>
      <c r="J12" s="143" t="s">
        <v>130</v>
      </c>
      <c r="K12" s="141"/>
      <c r="L12" s="135"/>
      <c r="N12" s="150" t="s">
        <v>131</v>
      </c>
    </row>
    <row r="13" spans="2:14">
      <c r="B13" s="184"/>
      <c r="C13" s="186"/>
      <c r="D13" s="176"/>
      <c r="E13" s="144" t="s">
        <v>40</v>
      </c>
      <c r="F13" s="145" t="s">
        <v>132</v>
      </c>
      <c r="G13" s="144" t="s">
        <v>44</v>
      </c>
      <c r="H13" s="145" t="s">
        <v>133</v>
      </c>
      <c r="I13" s="144" t="s">
        <v>41</v>
      </c>
      <c r="J13" s="145" t="s">
        <v>134</v>
      </c>
      <c r="K13" s="136"/>
      <c r="L13" s="137"/>
      <c r="N13" s="150" t="s">
        <v>135</v>
      </c>
    </row>
    <row r="14" spans="2:14" ht="51">
      <c r="B14" s="184"/>
      <c r="C14" s="186"/>
      <c r="D14" s="176"/>
      <c r="E14" s="142" t="s">
        <v>136</v>
      </c>
      <c r="F14" s="143" t="s">
        <v>137</v>
      </c>
      <c r="G14" s="141"/>
      <c r="H14" s="135"/>
      <c r="I14" s="141" t="s">
        <v>138</v>
      </c>
      <c r="J14" s="135" t="s">
        <v>139</v>
      </c>
      <c r="K14" s="141"/>
      <c r="L14" s="135"/>
      <c r="N14" s="149"/>
    </row>
    <row r="15" spans="2:14" ht="49.5">
      <c r="B15" s="184"/>
      <c r="C15" s="173"/>
      <c r="D15" s="175"/>
      <c r="E15" s="144" t="s">
        <v>140</v>
      </c>
      <c r="F15" s="145" t="s">
        <v>141</v>
      </c>
      <c r="G15" s="136"/>
      <c r="H15" s="137"/>
      <c r="I15" s="152" t="s">
        <v>142</v>
      </c>
      <c r="J15" s="153" t="s">
        <v>143</v>
      </c>
      <c r="K15" s="136"/>
      <c r="L15" s="137"/>
      <c r="N15" s="150" t="s">
        <v>144</v>
      </c>
    </row>
    <row r="16" spans="2:14" ht="51">
      <c r="B16" s="184"/>
      <c r="C16" s="172" t="s">
        <v>145</v>
      </c>
      <c r="D16" s="174" t="s">
        <v>146</v>
      </c>
      <c r="E16" s="142" t="s">
        <v>147</v>
      </c>
      <c r="F16" s="143" t="s">
        <v>148</v>
      </c>
      <c r="G16" s="142" t="s">
        <v>149</v>
      </c>
      <c r="H16" s="143" t="s">
        <v>150</v>
      </c>
      <c r="I16" s="142" t="s">
        <v>151</v>
      </c>
      <c r="J16" s="143" t="s">
        <v>152</v>
      </c>
      <c r="K16" s="141"/>
      <c r="L16" s="135"/>
      <c r="N16" s="148" t="s">
        <v>153</v>
      </c>
    </row>
    <row r="17" spans="2:16">
      <c r="B17" s="184"/>
      <c r="C17" s="186"/>
      <c r="D17" s="176"/>
      <c r="E17" s="144" t="s">
        <v>38</v>
      </c>
      <c r="F17" s="145" t="s">
        <v>154</v>
      </c>
      <c r="G17" s="144" t="s">
        <v>42</v>
      </c>
      <c r="H17" s="145" t="s">
        <v>155</v>
      </c>
      <c r="I17" s="144" t="s">
        <v>39</v>
      </c>
      <c r="J17" s="145" t="s">
        <v>134</v>
      </c>
      <c r="K17" s="136"/>
      <c r="L17" s="137"/>
      <c r="N17" s="150" t="s">
        <v>156</v>
      </c>
    </row>
    <row r="18" spans="2:16" ht="51">
      <c r="B18" s="184"/>
      <c r="C18" s="186"/>
      <c r="D18" s="176"/>
      <c r="E18" s="142" t="s">
        <v>157</v>
      </c>
      <c r="F18" s="143" t="s">
        <v>158</v>
      </c>
      <c r="G18" s="141"/>
      <c r="H18" s="135"/>
      <c r="I18" s="141" t="s">
        <v>159</v>
      </c>
      <c r="J18" s="135" t="s">
        <v>160</v>
      </c>
      <c r="K18" s="141"/>
      <c r="L18" s="135"/>
      <c r="N18" s="150" t="s">
        <v>161</v>
      </c>
    </row>
    <row r="19" spans="2:16" ht="54">
      <c r="B19" s="185"/>
      <c r="C19" s="173"/>
      <c r="D19" s="175"/>
      <c r="E19" s="144" t="s">
        <v>47</v>
      </c>
      <c r="F19" s="145" t="s">
        <v>141</v>
      </c>
      <c r="G19" s="136"/>
      <c r="H19" s="137"/>
      <c r="I19" s="152" t="s">
        <v>162</v>
      </c>
      <c r="J19" s="153" t="s">
        <v>163</v>
      </c>
      <c r="K19" s="136"/>
      <c r="L19" s="137"/>
      <c r="N19" s="150" t="s">
        <v>164</v>
      </c>
    </row>
    <row r="20" spans="2:16" ht="45.75" customHeight="1">
      <c r="B20" s="177" t="s">
        <v>165</v>
      </c>
      <c r="C20" s="178"/>
      <c r="D20" s="174" t="s">
        <v>166</v>
      </c>
      <c r="E20" s="142" t="s">
        <v>167</v>
      </c>
      <c r="F20" s="143" t="s">
        <v>168</v>
      </c>
      <c r="G20" s="142" t="s">
        <v>169</v>
      </c>
      <c r="H20" s="143" t="s">
        <v>170</v>
      </c>
      <c r="I20" s="142" t="s">
        <v>171</v>
      </c>
      <c r="J20" s="143" t="s">
        <v>172</v>
      </c>
      <c r="K20" s="142" t="s">
        <v>173</v>
      </c>
      <c r="L20" s="143" t="s">
        <v>174</v>
      </c>
      <c r="N20" s="150" t="s">
        <v>175</v>
      </c>
    </row>
    <row r="21" spans="2:16">
      <c r="B21" s="179"/>
      <c r="C21" s="180"/>
      <c r="D21" s="175"/>
      <c r="E21" s="144" t="s">
        <v>176</v>
      </c>
      <c r="F21" s="145" t="s">
        <v>177</v>
      </c>
      <c r="G21" s="144" t="s">
        <v>31</v>
      </c>
      <c r="H21" s="145" t="s">
        <v>178</v>
      </c>
      <c r="I21" s="155" t="s">
        <v>179</v>
      </c>
      <c r="J21" s="145" t="s">
        <v>180</v>
      </c>
      <c r="K21" s="144" t="s">
        <v>15</v>
      </c>
      <c r="L21" s="145" t="s">
        <v>181</v>
      </c>
      <c r="N21" s="150" t="s">
        <v>182</v>
      </c>
    </row>
    <row r="22" spans="2:16" ht="45.75" customHeight="1">
      <c r="B22" s="177" t="s">
        <v>183</v>
      </c>
      <c r="C22" s="178"/>
      <c r="D22" s="174" t="s">
        <v>183</v>
      </c>
      <c r="E22" s="142" t="s">
        <v>184</v>
      </c>
      <c r="F22" s="143" t="s">
        <v>185</v>
      </c>
      <c r="G22" s="141"/>
      <c r="H22" s="135"/>
      <c r="I22" s="141"/>
      <c r="J22" s="135"/>
      <c r="K22" s="141"/>
      <c r="L22" s="135"/>
      <c r="N22" s="150" t="s">
        <v>186</v>
      </c>
    </row>
    <row r="23" spans="2:16" s="134" customFormat="1">
      <c r="B23" s="181"/>
      <c r="C23" s="182"/>
      <c r="D23" s="175"/>
      <c r="E23" s="144" t="s">
        <v>187</v>
      </c>
      <c r="F23" s="145" t="s">
        <v>188</v>
      </c>
      <c r="G23" s="136"/>
      <c r="H23" s="137"/>
      <c r="I23" s="136"/>
      <c r="J23" s="137"/>
      <c r="K23" s="136"/>
      <c r="L23" s="137"/>
      <c r="N23" s="150" t="s">
        <v>189</v>
      </c>
      <c r="O23" s="140"/>
      <c r="P23" s="140"/>
    </row>
    <row r="24" spans="2:16" ht="45.75" customHeight="1">
      <c r="B24" s="181"/>
      <c r="C24" s="182"/>
      <c r="D24" s="174" t="s">
        <v>166</v>
      </c>
      <c r="E24" s="142" t="s">
        <v>190</v>
      </c>
      <c r="F24" s="143" t="s">
        <v>191</v>
      </c>
      <c r="G24" s="141"/>
      <c r="H24" s="135"/>
      <c r="I24" s="146" t="s">
        <v>192</v>
      </c>
      <c r="J24" s="135" t="s">
        <v>193</v>
      </c>
      <c r="K24" s="141"/>
      <c r="L24" s="135"/>
      <c r="N24" s="150" t="s">
        <v>194</v>
      </c>
    </row>
    <row r="25" spans="2:16" s="134" customFormat="1" ht="54">
      <c r="B25" s="181"/>
      <c r="C25" s="182"/>
      <c r="D25" s="175"/>
      <c r="E25" s="144" t="s">
        <v>37</v>
      </c>
      <c r="F25" s="145" t="s">
        <v>36</v>
      </c>
      <c r="G25" s="136"/>
      <c r="H25" s="137"/>
      <c r="I25" s="152" t="s">
        <v>195</v>
      </c>
      <c r="J25" s="153" t="s">
        <v>196</v>
      </c>
      <c r="K25" s="136"/>
      <c r="L25" s="137"/>
      <c r="N25" s="150" t="s">
        <v>197</v>
      </c>
      <c r="O25" s="140"/>
      <c r="P25" s="140"/>
    </row>
    <row r="26" spans="2:16" ht="45.75" customHeight="1">
      <c r="B26" s="181"/>
      <c r="C26" s="182"/>
      <c r="D26" s="174" t="s">
        <v>198</v>
      </c>
      <c r="E26" s="141"/>
      <c r="F26" s="135"/>
      <c r="G26" s="141"/>
      <c r="H26" s="135"/>
      <c r="I26" s="141"/>
      <c r="J26" s="135"/>
      <c r="K26" s="141" t="s">
        <v>199</v>
      </c>
      <c r="L26" s="135" t="s">
        <v>200</v>
      </c>
      <c r="N26" s="150" t="s">
        <v>201</v>
      </c>
    </row>
    <row r="27" spans="2:16" s="134" customFormat="1">
      <c r="B27" s="179"/>
      <c r="C27" s="180"/>
      <c r="D27" s="175"/>
      <c r="E27" s="136"/>
      <c r="F27" s="137"/>
      <c r="G27" s="136"/>
      <c r="H27" s="137"/>
      <c r="I27" s="136"/>
      <c r="J27" s="137"/>
      <c r="K27" s="152" t="s">
        <v>202</v>
      </c>
      <c r="L27" s="156" t="s">
        <v>203</v>
      </c>
      <c r="N27" s="150" t="s">
        <v>204</v>
      </c>
      <c r="O27" s="140"/>
      <c r="P27" s="140"/>
    </row>
    <row r="28" spans="2:16" ht="45.75" customHeight="1">
      <c r="B28" s="177" t="s">
        <v>205</v>
      </c>
      <c r="C28" s="178"/>
      <c r="D28" s="174" t="s">
        <v>91</v>
      </c>
      <c r="E28" s="141"/>
      <c r="F28" s="135"/>
      <c r="G28" s="141"/>
      <c r="H28" s="135"/>
      <c r="I28" s="141"/>
      <c r="J28" s="135"/>
      <c r="K28" s="142" t="s">
        <v>206</v>
      </c>
      <c r="L28" s="143" t="s">
        <v>207</v>
      </c>
      <c r="N28" s="150" t="s">
        <v>208</v>
      </c>
    </row>
    <row r="29" spans="2:16">
      <c r="B29" s="179"/>
      <c r="C29" s="180"/>
      <c r="D29" s="175"/>
      <c r="E29" s="136"/>
      <c r="F29" s="137"/>
      <c r="G29" s="136"/>
      <c r="H29" s="137"/>
      <c r="I29" s="136"/>
      <c r="J29" s="137"/>
      <c r="K29" s="144" t="s">
        <v>28</v>
      </c>
      <c r="L29" s="145" t="s">
        <v>209</v>
      </c>
      <c r="N29" s="149"/>
    </row>
    <row r="30" spans="2:16" ht="51">
      <c r="B30" s="177" t="s">
        <v>210</v>
      </c>
      <c r="C30" s="178"/>
      <c r="D30" s="174" t="s">
        <v>146</v>
      </c>
      <c r="E30" s="141"/>
      <c r="F30" s="135"/>
      <c r="G30" s="141"/>
      <c r="H30" s="135"/>
      <c r="I30" s="141"/>
      <c r="J30" s="135"/>
      <c r="K30" s="141" t="s">
        <v>211</v>
      </c>
      <c r="L30" s="135" t="s">
        <v>212</v>
      </c>
      <c r="N30" s="150" t="s">
        <v>213</v>
      </c>
    </row>
    <row r="31" spans="2:16">
      <c r="B31" s="179"/>
      <c r="C31" s="180"/>
      <c r="D31" s="175"/>
      <c r="E31" s="136"/>
      <c r="F31" s="137"/>
      <c r="G31" s="136"/>
      <c r="H31" s="137"/>
      <c r="I31" s="136"/>
      <c r="J31" s="137"/>
      <c r="K31" s="138" t="s">
        <v>41</v>
      </c>
      <c r="L31" s="139" t="s">
        <v>134</v>
      </c>
      <c r="N31" s="150" t="s">
        <v>214</v>
      </c>
    </row>
    <row r="32" spans="2:16" ht="38.25">
      <c r="N32" s="150" t="s">
        <v>215</v>
      </c>
    </row>
    <row r="33" spans="14:14" ht="38.25">
      <c r="N33" s="150" t="s">
        <v>88</v>
      </c>
    </row>
    <row r="34" spans="14:14" ht="38.25">
      <c r="N34" s="148" t="s">
        <v>216</v>
      </c>
    </row>
    <row r="35" spans="14:14" ht="38.25">
      <c r="N35" s="148" t="s">
        <v>217</v>
      </c>
    </row>
    <row r="36" spans="14:14" ht="38.25">
      <c r="N36" s="149"/>
    </row>
    <row r="37" spans="14:14" ht="38.25">
      <c r="N37" s="150" t="s">
        <v>218</v>
      </c>
    </row>
    <row r="38" spans="14:14" ht="38.25">
      <c r="N38" s="150" t="s">
        <v>219</v>
      </c>
    </row>
    <row r="39" spans="14:14" ht="38.25">
      <c r="N39" s="150" t="s">
        <v>220</v>
      </c>
    </row>
    <row r="40" spans="14:14" ht="38.25">
      <c r="N40" s="150" t="s">
        <v>221</v>
      </c>
    </row>
    <row r="41" spans="14:14" ht="38.25">
      <c r="N41" s="150" t="s">
        <v>222</v>
      </c>
    </row>
    <row r="42" spans="14:14" ht="38.25">
      <c r="N42" s="150" t="s">
        <v>223</v>
      </c>
    </row>
    <row r="43" spans="14:14" ht="38.25">
      <c r="N43" s="150" t="s">
        <v>224</v>
      </c>
    </row>
    <row r="44" spans="14:14" ht="38.25">
      <c r="N44" s="149"/>
    </row>
    <row r="45" spans="14:14" ht="38.25">
      <c r="N45" s="150" t="s">
        <v>225</v>
      </c>
    </row>
    <row r="46" spans="14:14" ht="38.25">
      <c r="N46" s="150" t="s">
        <v>226</v>
      </c>
    </row>
    <row r="47" spans="14:14" ht="38.25">
      <c r="N47" s="150" t="s">
        <v>227</v>
      </c>
    </row>
    <row r="48" spans="14:14" ht="38.25">
      <c r="N48" s="150" t="s">
        <v>228</v>
      </c>
    </row>
    <row r="49" spans="14:14" ht="38.25">
      <c r="N49" s="150" t="s">
        <v>229</v>
      </c>
    </row>
    <row r="50" spans="14:14" ht="38.25">
      <c r="N50" s="150" t="s">
        <v>230</v>
      </c>
    </row>
    <row r="51" spans="14:14" ht="38.25">
      <c r="N51" s="150" t="s">
        <v>231</v>
      </c>
    </row>
    <row r="52" spans="14:14" ht="38.25">
      <c r="N52" s="150" t="s">
        <v>232</v>
      </c>
    </row>
    <row r="53" spans="14:14" ht="38.25">
      <c r="N53" s="150" t="s">
        <v>233</v>
      </c>
    </row>
    <row r="54" spans="14:14" ht="38.25">
      <c r="N54" s="150" t="s">
        <v>234</v>
      </c>
    </row>
  </sheetData>
  <mergeCells count="32">
    <mergeCell ref="B30:C31"/>
    <mergeCell ref="D30:D31"/>
    <mergeCell ref="D10:D11"/>
    <mergeCell ref="D26:D27"/>
    <mergeCell ref="B22:C27"/>
    <mergeCell ref="B28:C29"/>
    <mergeCell ref="C16:C19"/>
    <mergeCell ref="D12:D15"/>
    <mergeCell ref="D16:D19"/>
    <mergeCell ref="B20:C21"/>
    <mergeCell ref="D24:D25"/>
    <mergeCell ref="D20:D21"/>
    <mergeCell ref="D22:D23"/>
    <mergeCell ref="D28:D29"/>
    <mergeCell ref="I3:J3"/>
    <mergeCell ref="K3:L3"/>
    <mergeCell ref="E2:L2"/>
    <mergeCell ref="D2:D3"/>
    <mergeCell ref="C6:C7"/>
    <mergeCell ref="D4:D5"/>
    <mergeCell ref="D6:D7"/>
    <mergeCell ref="B2:C3"/>
    <mergeCell ref="E3:F3"/>
    <mergeCell ref="G3:H3"/>
    <mergeCell ref="D8:D9"/>
    <mergeCell ref="B12:B19"/>
    <mergeCell ref="B8:B11"/>
    <mergeCell ref="B4:B7"/>
    <mergeCell ref="C4:C5"/>
    <mergeCell ref="C8:C9"/>
    <mergeCell ref="C10:C11"/>
    <mergeCell ref="C12:C15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37F0-EF86-428D-98F5-17E504B9C43B}">
  <dimension ref="B1:P54"/>
  <sheetViews>
    <sheetView showGridLines="0" zoomScale="70" zoomScaleNormal="70" workbookViewId="0">
      <selection activeCell="D6" sqref="D6:D7"/>
    </sheetView>
    <sheetView workbookViewId="1"/>
  </sheetViews>
  <sheetFormatPr defaultRowHeight="44.25" outlineLevelCol="1"/>
  <cols>
    <col min="2" max="2" width="7" style="132" customWidth="1"/>
    <col min="3" max="3" width="11.875" style="132" customWidth="1" outlineLevel="1"/>
    <col min="4" max="4" width="18.5" style="132" customWidth="1" outlineLevel="1"/>
    <col min="5" max="12" width="11" style="133" customWidth="1"/>
    <col min="13" max="13" width="14.375" style="134" customWidth="1"/>
    <col min="14" max="14" width="174.25" style="147" customWidth="1"/>
    <col min="15" max="16" width="9" style="140"/>
  </cols>
  <sheetData>
    <row r="1" spans="2:14" ht="10.5" customHeight="1"/>
    <row r="2" spans="2:14" ht="38.25">
      <c r="B2" s="158" t="s">
        <v>49</v>
      </c>
      <c r="C2" s="159"/>
      <c r="D2" s="162" t="s">
        <v>50</v>
      </c>
      <c r="E2" s="164" t="s">
        <v>51</v>
      </c>
      <c r="F2" s="165"/>
      <c r="G2" s="165"/>
      <c r="H2" s="165"/>
      <c r="I2" s="165"/>
      <c r="J2" s="165"/>
      <c r="K2" s="165"/>
      <c r="L2" s="166"/>
      <c r="N2" s="148" t="s">
        <v>52</v>
      </c>
    </row>
    <row r="3" spans="2:14" ht="32.25" customHeight="1">
      <c r="B3" s="160"/>
      <c r="C3" s="161"/>
      <c r="D3" s="163"/>
      <c r="E3" s="167" t="s">
        <v>53</v>
      </c>
      <c r="F3" s="168"/>
      <c r="G3" s="167" t="s">
        <v>54</v>
      </c>
      <c r="H3" s="168"/>
      <c r="I3" s="167" t="s">
        <v>55</v>
      </c>
      <c r="J3" s="168"/>
      <c r="K3" s="167" t="s">
        <v>56</v>
      </c>
      <c r="L3" s="168"/>
      <c r="N3" s="149"/>
    </row>
    <row r="4" spans="2:14" ht="51">
      <c r="B4" s="169" t="s">
        <v>57</v>
      </c>
      <c r="C4" s="172" t="s">
        <v>58</v>
      </c>
      <c r="D4" s="174" t="s">
        <v>59</v>
      </c>
      <c r="E4" s="142" t="s">
        <v>60</v>
      </c>
      <c r="F4" s="143" t="s">
        <v>61</v>
      </c>
      <c r="G4" s="142" t="s">
        <v>62</v>
      </c>
      <c r="H4" s="143" t="s">
        <v>63</v>
      </c>
      <c r="I4" s="142" t="s">
        <v>64</v>
      </c>
      <c r="J4" s="143" t="s">
        <v>65</v>
      </c>
      <c r="K4" s="142" t="s">
        <v>66</v>
      </c>
      <c r="L4" s="143" t="s">
        <v>67</v>
      </c>
      <c r="N4" s="150" t="s">
        <v>68</v>
      </c>
    </row>
    <row r="5" spans="2:14">
      <c r="B5" s="170"/>
      <c r="C5" s="173"/>
      <c r="D5" s="175"/>
      <c r="E5" s="144" t="s">
        <v>11</v>
      </c>
      <c r="F5" s="145" t="s">
        <v>69</v>
      </c>
      <c r="G5" s="144" t="s">
        <v>17</v>
      </c>
      <c r="H5" s="145" t="s">
        <v>70</v>
      </c>
      <c r="I5" s="144" t="s">
        <v>12</v>
      </c>
      <c r="J5" s="151" t="s">
        <v>71</v>
      </c>
      <c r="K5" s="144" t="s">
        <v>13</v>
      </c>
      <c r="L5" s="145" t="s">
        <v>73</v>
      </c>
      <c r="N5" s="150" t="s">
        <v>74</v>
      </c>
    </row>
    <row r="6" spans="2:14" ht="51">
      <c r="B6" s="170"/>
      <c r="C6" s="172" t="s">
        <v>75</v>
      </c>
      <c r="D6" s="174" t="s">
        <v>76</v>
      </c>
      <c r="E6" s="141" t="s">
        <v>77</v>
      </c>
      <c r="F6" s="135" t="s">
        <v>78</v>
      </c>
      <c r="G6" s="141" t="s">
        <v>79</v>
      </c>
      <c r="H6" s="135" t="s">
        <v>80</v>
      </c>
      <c r="I6" s="141" t="s">
        <v>81</v>
      </c>
      <c r="J6" s="135" t="s">
        <v>82</v>
      </c>
      <c r="K6" s="141" t="s">
        <v>83</v>
      </c>
      <c r="L6" s="135" t="s">
        <v>84</v>
      </c>
      <c r="N6" s="150" t="s">
        <v>85</v>
      </c>
    </row>
    <row r="7" spans="2:14">
      <c r="B7" s="171"/>
      <c r="C7" s="173"/>
      <c r="D7" s="175"/>
      <c r="E7" s="136"/>
      <c r="F7" s="137"/>
      <c r="G7" s="136"/>
      <c r="H7" s="137"/>
      <c r="I7" s="136"/>
      <c r="J7" s="137"/>
      <c r="K7" s="136"/>
      <c r="L7" s="137"/>
      <c r="N7" s="150" t="s">
        <v>88</v>
      </c>
    </row>
    <row r="8" spans="2:14" ht="51">
      <c r="B8" s="169" t="s">
        <v>89</v>
      </c>
      <c r="C8" s="172" t="s">
        <v>90</v>
      </c>
      <c r="D8" s="174" t="s">
        <v>91</v>
      </c>
      <c r="E8" s="142" t="s">
        <v>92</v>
      </c>
      <c r="F8" s="143" t="s">
        <v>93</v>
      </c>
      <c r="G8" s="142" t="s">
        <v>94</v>
      </c>
      <c r="H8" s="143" t="s">
        <v>95</v>
      </c>
      <c r="I8" s="141" t="s">
        <v>96</v>
      </c>
      <c r="J8" s="135" t="s">
        <v>97</v>
      </c>
      <c r="K8" s="142" t="s">
        <v>98</v>
      </c>
      <c r="L8" s="143" t="s">
        <v>99</v>
      </c>
      <c r="N8" s="148" t="s">
        <v>100</v>
      </c>
    </row>
    <row r="9" spans="2:14">
      <c r="B9" s="170"/>
      <c r="C9" s="173"/>
      <c r="D9" s="175"/>
      <c r="E9" s="144" t="s">
        <v>23</v>
      </c>
      <c r="F9" s="145" t="s">
        <v>101</v>
      </c>
      <c r="G9" s="144" t="s">
        <v>24</v>
      </c>
      <c r="H9" s="145" t="s">
        <v>102</v>
      </c>
      <c r="I9" s="136"/>
      <c r="J9" s="137"/>
      <c r="K9" s="144" t="s">
        <v>14</v>
      </c>
      <c r="L9" s="145" t="s">
        <v>105</v>
      </c>
      <c r="N9" s="148" t="s">
        <v>106</v>
      </c>
    </row>
    <row r="10" spans="2:14" ht="51">
      <c r="B10" s="170"/>
      <c r="C10" s="172" t="s">
        <v>107</v>
      </c>
      <c r="D10" s="174" t="s">
        <v>108</v>
      </c>
      <c r="E10" s="141" t="s">
        <v>109</v>
      </c>
      <c r="F10" s="135" t="s">
        <v>110</v>
      </c>
      <c r="G10" s="141" t="s">
        <v>111</v>
      </c>
      <c r="H10" s="135" t="s">
        <v>112</v>
      </c>
      <c r="I10" s="141" t="s">
        <v>113</v>
      </c>
      <c r="J10" s="135" t="s">
        <v>114</v>
      </c>
      <c r="K10" s="141" t="s">
        <v>115</v>
      </c>
      <c r="L10" s="135" t="s">
        <v>116</v>
      </c>
      <c r="N10" s="148" t="s">
        <v>117</v>
      </c>
    </row>
    <row r="11" spans="2:14">
      <c r="B11" s="171"/>
      <c r="C11" s="173"/>
      <c r="D11" s="175"/>
      <c r="E11" s="136"/>
      <c r="F11" s="137"/>
      <c r="G11" s="136"/>
      <c r="H11" s="137"/>
      <c r="I11" s="136"/>
      <c r="J11" s="137"/>
      <c r="K11" s="136"/>
      <c r="L11" s="137"/>
      <c r="N11" s="150" t="s">
        <v>121</v>
      </c>
    </row>
    <row r="12" spans="2:14" ht="51">
      <c r="B12" s="183" t="s">
        <v>122</v>
      </c>
      <c r="C12" s="172" t="s">
        <v>123</v>
      </c>
      <c r="D12" s="174" t="s">
        <v>124</v>
      </c>
      <c r="E12" s="142" t="s">
        <v>125</v>
      </c>
      <c r="F12" s="143" t="s">
        <v>126</v>
      </c>
      <c r="G12" s="142" t="s">
        <v>127</v>
      </c>
      <c r="H12" s="143" t="s">
        <v>128</v>
      </c>
      <c r="I12" s="142" t="s">
        <v>129</v>
      </c>
      <c r="J12" s="143" t="s">
        <v>130</v>
      </c>
      <c r="K12" s="141"/>
      <c r="L12" s="135"/>
      <c r="N12" s="150" t="s">
        <v>131</v>
      </c>
    </row>
    <row r="13" spans="2:14">
      <c r="B13" s="184"/>
      <c r="C13" s="186"/>
      <c r="D13" s="176"/>
      <c r="E13" s="144" t="s">
        <v>40</v>
      </c>
      <c r="F13" s="145" t="s">
        <v>132</v>
      </c>
      <c r="G13" s="144" t="s">
        <v>44</v>
      </c>
      <c r="H13" s="145" t="s">
        <v>133</v>
      </c>
      <c r="I13" s="144" t="s">
        <v>41</v>
      </c>
      <c r="J13" s="145" t="s">
        <v>134</v>
      </c>
      <c r="K13" s="136"/>
      <c r="L13" s="137"/>
      <c r="N13" s="150" t="s">
        <v>135</v>
      </c>
    </row>
    <row r="14" spans="2:14" ht="51">
      <c r="B14" s="184"/>
      <c r="C14" s="186"/>
      <c r="D14" s="176"/>
      <c r="E14" s="142" t="s">
        <v>136</v>
      </c>
      <c r="F14" s="143" t="s">
        <v>137</v>
      </c>
      <c r="G14" s="141"/>
      <c r="H14" s="135"/>
      <c r="I14" s="141" t="s">
        <v>138</v>
      </c>
      <c r="J14" s="135" t="s">
        <v>139</v>
      </c>
      <c r="K14" s="141"/>
      <c r="L14" s="135"/>
      <c r="N14" s="149"/>
    </row>
    <row r="15" spans="2:14">
      <c r="B15" s="184"/>
      <c r="C15" s="173"/>
      <c r="D15" s="175"/>
      <c r="E15" s="144" t="s">
        <v>140</v>
      </c>
      <c r="F15" s="145" t="s">
        <v>141</v>
      </c>
      <c r="G15" s="136"/>
      <c r="H15" s="137"/>
      <c r="I15" s="136"/>
      <c r="J15" s="137"/>
      <c r="K15" s="136"/>
      <c r="L15" s="137"/>
      <c r="N15" s="150" t="s">
        <v>144</v>
      </c>
    </row>
    <row r="16" spans="2:14" ht="51">
      <c r="B16" s="184"/>
      <c r="C16" s="172" t="s">
        <v>145</v>
      </c>
      <c r="D16" s="174" t="s">
        <v>146</v>
      </c>
      <c r="E16" s="142" t="s">
        <v>147</v>
      </c>
      <c r="F16" s="143" t="s">
        <v>148</v>
      </c>
      <c r="G16" s="142" t="s">
        <v>149</v>
      </c>
      <c r="H16" s="143" t="s">
        <v>150</v>
      </c>
      <c r="I16" s="142" t="s">
        <v>151</v>
      </c>
      <c r="J16" s="143" t="s">
        <v>152</v>
      </c>
      <c r="K16" s="141"/>
      <c r="L16" s="135"/>
      <c r="N16" s="148" t="s">
        <v>153</v>
      </c>
    </row>
    <row r="17" spans="2:16">
      <c r="B17" s="184"/>
      <c r="C17" s="186"/>
      <c r="D17" s="176"/>
      <c r="E17" s="144" t="s">
        <v>38</v>
      </c>
      <c r="F17" s="145" t="s">
        <v>154</v>
      </c>
      <c r="G17" s="144" t="s">
        <v>42</v>
      </c>
      <c r="H17" s="145" t="s">
        <v>155</v>
      </c>
      <c r="I17" s="144" t="s">
        <v>39</v>
      </c>
      <c r="J17" s="145" t="s">
        <v>134</v>
      </c>
      <c r="K17" s="136"/>
      <c r="L17" s="137"/>
      <c r="N17" s="150" t="s">
        <v>156</v>
      </c>
    </row>
    <row r="18" spans="2:16" ht="51">
      <c r="B18" s="184"/>
      <c r="C18" s="186"/>
      <c r="D18" s="176"/>
      <c r="E18" s="142" t="s">
        <v>157</v>
      </c>
      <c r="F18" s="143" t="s">
        <v>158</v>
      </c>
      <c r="G18" s="141"/>
      <c r="H18" s="135"/>
      <c r="I18" s="141" t="s">
        <v>159</v>
      </c>
      <c r="J18" s="135" t="s">
        <v>160</v>
      </c>
      <c r="K18" s="141"/>
      <c r="L18" s="135"/>
      <c r="N18" s="150" t="s">
        <v>161</v>
      </c>
    </row>
    <row r="19" spans="2:16">
      <c r="B19" s="185"/>
      <c r="C19" s="173"/>
      <c r="D19" s="175"/>
      <c r="E19" s="144" t="s">
        <v>47</v>
      </c>
      <c r="F19" s="145" t="s">
        <v>141</v>
      </c>
      <c r="G19" s="136"/>
      <c r="H19" s="137"/>
      <c r="I19" s="136"/>
      <c r="J19" s="137"/>
      <c r="K19" s="136"/>
      <c r="L19" s="137"/>
      <c r="N19" s="150" t="s">
        <v>164</v>
      </c>
    </row>
    <row r="20" spans="2:16" ht="45.75" customHeight="1">
      <c r="B20" s="177" t="s">
        <v>165</v>
      </c>
      <c r="C20" s="178"/>
      <c r="D20" s="174" t="s">
        <v>166</v>
      </c>
      <c r="E20" s="142" t="s">
        <v>167</v>
      </c>
      <c r="F20" s="143" t="s">
        <v>168</v>
      </c>
      <c r="G20" s="142" t="s">
        <v>169</v>
      </c>
      <c r="H20" s="143" t="s">
        <v>170</v>
      </c>
      <c r="I20" s="142" t="s">
        <v>171</v>
      </c>
      <c r="J20" s="143" t="s">
        <v>172</v>
      </c>
      <c r="K20" s="142" t="s">
        <v>173</v>
      </c>
      <c r="L20" s="143" t="s">
        <v>174</v>
      </c>
      <c r="N20" s="150" t="s">
        <v>175</v>
      </c>
    </row>
    <row r="21" spans="2:16">
      <c r="B21" s="179"/>
      <c r="C21" s="180"/>
      <c r="D21" s="175"/>
      <c r="E21" s="144" t="s">
        <v>25</v>
      </c>
      <c r="F21" s="145" t="s">
        <v>177</v>
      </c>
      <c r="G21" s="144" t="s">
        <v>31</v>
      </c>
      <c r="H21" s="145" t="s">
        <v>178</v>
      </c>
      <c r="I21" s="144" t="s">
        <v>26</v>
      </c>
      <c r="J21" s="145" t="s">
        <v>180</v>
      </c>
      <c r="K21" s="144" t="s">
        <v>15</v>
      </c>
      <c r="L21" s="145" t="s">
        <v>181</v>
      </c>
      <c r="N21" s="150" t="s">
        <v>182</v>
      </c>
    </row>
    <row r="22" spans="2:16" ht="45.75" customHeight="1">
      <c r="B22" s="177" t="s">
        <v>183</v>
      </c>
      <c r="C22" s="178"/>
      <c r="D22" s="174" t="s">
        <v>183</v>
      </c>
      <c r="E22" s="142" t="s">
        <v>184</v>
      </c>
      <c r="F22" s="143" t="s">
        <v>185</v>
      </c>
      <c r="G22" s="141"/>
      <c r="H22" s="135"/>
      <c r="I22" s="141"/>
      <c r="J22" s="135"/>
      <c r="K22" s="141"/>
      <c r="L22" s="135"/>
      <c r="N22" s="150" t="s">
        <v>186</v>
      </c>
    </row>
    <row r="23" spans="2:16" s="134" customFormat="1">
      <c r="B23" s="181"/>
      <c r="C23" s="182"/>
      <c r="D23" s="175"/>
      <c r="E23" s="144" t="s">
        <v>187</v>
      </c>
      <c r="F23" s="145" t="s">
        <v>188</v>
      </c>
      <c r="G23" s="136"/>
      <c r="H23" s="137"/>
      <c r="I23" s="136"/>
      <c r="J23" s="137"/>
      <c r="K23" s="136"/>
      <c r="L23" s="137"/>
      <c r="N23" s="150" t="s">
        <v>189</v>
      </c>
      <c r="O23" s="140"/>
      <c r="P23" s="140"/>
    </row>
    <row r="24" spans="2:16" ht="45.75" customHeight="1">
      <c r="B24" s="181"/>
      <c r="C24" s="182"/>
      <c r="D24" s="174" t="s">
        <v>166</v>
      </c>
      <c r="E24" s="142" t="s">
        <v>190</v>
      </c>
      <c r="F24" s="143" t="s">
        <v>191</v>
      </c>
      <c r="G24" s="141"/>
      <c r="H24" s="135"/>
      <c r="I24" s="146" t="s">
        <v>192</v>
      </c>
      <c r="J24" s="135" t="s">
        <v>193</v>
      </c>
      <c r="K24" s="141"/>
      <c r="L24" s="135"/>
      <c r="N24" s="150" t="s">
        <v>194</v>
      </c>
    </row>
    <row r="25" spans="2:16" s="134" customFormat="1">
      <c r="B25" s="181"/>
      <c r="C25" s="182"/>
      <c r="D25" s="175"/>
      <c r="E25" s="144" t="s">
        <v>37</v>
      </c>
      <c r="F25" s="145" t="s">
        <v>36</v>
      </c>
      <c r="G25" s="136"/>
      <c r="H25" s="137"/>
      <c r="I25" s="136"/>
      <c r="J25" s="137"/>
      <c r="K25" s="136"/>
      <c r="L25" s="137"/>
      <c r="N25" s="150" t="s">
        <v>197</v>
      </c>
      <c r="O25" s="140"/>
      <c r="P25" s="140"/>
    </row>
    <row r="26" spans="2:16" ht="45.75" customHeight="1">
      <c r="B26" s="181"/>
      <c r="C26" s="182"/>
      <c r="D26" s="174" t="s">
        <v>198</v>
      </c>
      <c r="E26" s="141"/>
      <c r="F26" s="135"/>
      <c r="G26" s="141"/>
      <c r="H26" s="135"/>
      <c r="I26" s="141"/>
      <c r="J26" s="135"/>
      <c r="K26" s="141" t="s">
        <v>199</v>
      </c>
      <c r="L26" s="135" t="s">
        <v>200</v>
      </c>
      <c r="N26" s="150" t="s">
        <v>201</v>
      </c>
    </row>
    <row r="27" spans="2:16" s="134" customFormat="1">
      <c r="B27" s="179"/>
      <c r="C27" s="180"/>
      <c r="D27" s="175"/>
      <c r="E27" s="136"/>
      <c r="F27" s="137"/>
      <c r="G27" s="136"/>
      <c r="H27" s="137"/>
      <c r="I27" s="136"/>
      <c r="J27" s="137"/>
      <c r="K27" s="136"/>
      <c r="L27" s="137"/>
      <c r="N27" s="150" t="s">
        <v>204</v>
      </c>
      <c r="O27" s="140"/>
      <c r="P27" s="140"/>
    </row>
    <row r="28" spans="2:16" ht="45.75" customHeight="1">
      <c r="B28" s="177" t="s">
        <v>205</v>
      </c>
      <c r="C28" s="178"/>
      <c r="D28" s="174" t="s">
        <v>91</v>
      </c>
      <c r="E28" s="141"/>
      <c r="F28" s="135"/>
      <c r="G28" s="141"/>
      <c r="H28" s="135"/>
      <c r="I28" s="141"/>
      <c r="J28" s="135"/>
      <c r="K28" s="142" t="s">
        <v>206</v>
      </c>
      <c r="L28" s="143" t="s">
        <v>207</v>
      </c>
      <c r="N28" s="150" t="s">
        <v>208</v>
      </c>
    </row>
    <row r="29" spans="2:16">
      <c r="B29" s="179"/>
      <c r="C29" s="180"/>
      <c r="D29" s="175"/>
      <c r="E29" s="136"/>
      <c r="F29" s="137"/>
      <c r="G29" s="136"/>
      <c r="H29" s="137"/>
      <c r="I29" s="136"/>
      <c r="J29" s="137"/>
      <c r="K29" s="144" t="s">
        <v>28</v>
      </c>
      <c r="L29" s="145" t="s">
        <v>209</v>
      </c>
      <c r="N29" s="149"/>
    </row>
    <row r="30" spans="2:16" ht="51">
      <c r="B30" s="177" t="s">
        <v>210</v>
      </c>
      <c r="C30" s="178"/>
      <c r="D30" s="174" t="s">
        <v>146</v>
      </c>
      <c r="E30" s="141"/>
      <c r="F30" s="135"/>
      <c r="G30" s="141"/>
      <c r="H30" s="135"/>
      <c r="I30" s="141"/>
      <c r="J30" s="135"/>
      <c r="K30" s="141" t="s">
        <v>211</v>
      </c>
      <c r="L30" s="135" t="s">
        <v>212</v>
      </c>
      <c r="N30" s="150" t="s">
        <v>213</v>
      </c>
    </row>
    <row r="31" spans="2:16">
      <c r="B31" s="179"/>
      <c r="C31" s="180"/>
      <c r="D31" s="175"/>
      <c r="E31" s="136"/>
      <c r="F31" s="137"/>
      <c r="G31" s="136"/>
      <c r="H31" s="137"/>
      <c r="I31" s="136"/>
      <c r="J31" s="137"/>
      <c r="K31" s="136"/>
      <c r="L31" s="137"/>
      <c r="N31" s="150" t="s">
        <v>214</v>
      </c>
    </row>
    <row r="32" spans="2:16" ht="38.25">
      <c r="N32" s="150" t="s">
        <v>215</v>
      </c>
    </row>
    <row r="33" spans="14:14" ht="38.25">
      <c r="N33" s="150" t="s">
        <v>88</v>
      </c>
    </row>
    <row r="34" spans="14:14" ht="38.25">
      <c r="N34" s="148" t="s">
        <v>216</v>
      </c>
    </row>
    <row r="35" spans="14:14" ht="38.25">
      <c r="N35" s="148" t="s">
        <v>217</v>
      </c>
    </row>
    <row r="36" spans="14:14" ht="38.25">
      <c r="N36" s="149"/>
    </row>
    <row r="37" spans="14:14" ht="38.25">
      <c r="N37" s="150" t="s">
        <v>218</v>
      </c>
    </row>
    <row r="38" spans="14:14" ht="38.25">
      <c r="N38" s="150" t="s">
        <v>219</v>
      </c>
    </row>
    <row r="39" spans="14:14" ht="38.25">
      <c r="N39" s="150" t="s">
        <v>220</v>
      </c>
    </row>
    <row r="40" spans="14:14" ht="38.25">
      <c r="N40" s="150" t="s">
        <v>221</v>
      </c>
    </row>
    <row r="41" spans="14:14" ht="38.25">
      <c r="N41" s="150" t="s">
        <v>222</v>
      </c>
    </row>
    <row r="42" spans="14:14" ht="38.25">
      <c r="N42" s="150" t="s">
        <v>223</v>
      </c>
    </row>
    <row r="43" spans="14:14" ht="38.25">
      <c r="N43" s="150" t="s">
        <v>224</v>
      </c>
    </row>
    <row r="44" spans="14:14" ht="38.25">
      <c r="N44" s="149"/>
    </row>
    <row r="45" spans="14:14" ht="38.25">
      <c r="N45" s="150" t="s">
        <v>225</v>
      </c>
    </row>
    <row r="46" spans="14:14" ht="38.25">
      <c r="N46" s="150" t="s">
        <v>226</v>
      </c>
    </row>
    <row r="47" spans="14:14" ht="38.25">
      <c r="N47" s="150" t="s">
        <v>227</v>
      </c>
    </row>
    <row r="48" spans="14:14" ht="38.25">
      <c r="N48" s="150" t="s">
        <v>228</v>
      </c>
    </row>
    <row r="49" spans="14:14" ht="38.25">
      <c r="N49" s="150" t="s">
        <v>229</v>
      </c>
    </row>
    <row r="50" spans="14:14" ht="38.25">
      <c r="N50" s="150" t="s">
        <v>230</v>
      </c>
    </row>
    <row r="51" spans="14:14" ht="38.25">
      <c r="N51" s="150" t="s">
        <v>231</v>
      </c>
    </row>
    <row r="52" spans="14:14" ht="38.25">
      <c r="N52" s="150" t="s">
        <v>232</v>
      </c>
    </row>
    <row r="53" spans="14:14" ht="38.25">
      <c r="N53" s="150" t="s">
        <v>233</v>
      </c>
    </row>
    <row r="54" spans="14:14" ht="38.25">
      <c r="N54" s="150" t="s">
        <v>234</v>
      </c>
    </row>
  </sheetData>
  <mergeCells count="32">
    <mergeCell ref="D16:D19"/>
    <mergeCell ref="B30:C31"/>
    <mergeCell ref="D30:D31"/>
    <mergeCell ref="B22:C27"/>
    <mergeCell ref="D22:D23"/>
    <mergeCell ref="D24:D25"/>
    <mergeCell ref="D26:D27"/>
    <mergeCell ref="B28:C29"/>
    <mergeCell ref="D28:D29"/>
    <mergeCell ref="B20:C21"/>
    <mergeCell ref="D20:D21"/>
    <mergeCell ref="B12:B19"/>
    <mergeCell ref="C12:C15"/>
    <mergeCell ref="D12:D15"/>
    <mergeCell ref="C16:C19"/>
    <mergeCell ref="B4:B7"/>
    <mergeCell ref="C4:C5"/>
    <mergeCell ref="D4:D5"/>
    <mergeCell ref="C6:C7"/>
    <mergeCell ref="D6:D7"/>
    <mergeCell ref="B8:B11"/>
    <mergeCell ref="C8:C9"/>
    <mergeCell ref="D8:D9"/>
    <mergeCell ref="C10:C11"/>
    <mergeCell ref="D10:D11"/>
    <mergeCell ref="B2:C3"/>
    <mergeCell ref="D2:D3"/>
    <mergeCell ref="E2:L2"/>
    <mergeCell ref="E3:F3"/>
    <mergeCell ref="G3:H3"/>
    <mergeCell ref="I3:J3"/>
    <mergeCell ref="K3:L3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0654-E373-48D5-9724-36529E809595}">
  <dimension ref="B1:V37"/>
  <sheetViews>
    <sheetView tabSelected="1" workbookViewId="0"/>
    <sheetView workbookViewId="1"/>
  </sheetViews>
  <sheetFormatPr defaultRowHeight="25.5"/>
  <cols>
    <col min="1" max="1" width="7.625" customWidth="1"/>
    <col min="2" max="2" width="9" style="122"/>
    <col min="3" max="4" width="19.625" customWidth="1"/>
    <col min="5" max="5" width="10.125" customWidth="1"/>
    <col min="6" max="8" width="19.625" customWidth="1"/>
    <col min="9" max="9" width="3.25" style="3" bestFit="1" customWidth="1"/>
    <col min="10" max="18" width="10.625" style="3" customWidth="1"/>
    <col min="19" max="22" width="9" style="3"/>
  </cols>
  <sheetData>
    <row r="1" spans="2:22" ht="15.75" customHeight="1" thickBot="1">
      <c r="I1" s="52"/>
      <c r="J1" s="52"/>
      <c r="K1" s="52"/>
      <c r="L1" s="50"/>
      <c r="M1" s="50"/>
      <c r="N1" s="24"/>
      <c r="O1" s="24"/>
      <c r="P1" s="24"/>
      <c r="Q1" s="24"/>
      <c r="R1" s="25"/>
      <c r="S1" s="26"/>
      <c r="T1" s="26"/>
      <c r="U1" s="25"/>
      <c r="V1" s="24"/>
    </row>
    <row r="2" spans="2:22" s="120" customFormat="1" ht="31.5" thickBot="1">
      <c r="B2" s="125" t="s">
        <v>953</v>
      </c>
      <c r="C2" s="125" t="s">
        <v>954</v>
      </c>
      <c r="D2" s="125" t="s">
        <v>955</v>
      </c>
      <c r="F2" s="127" t="s">
        <v>953</v>
      </c>
      <c r="G2" s="130" t="s">
        <v>956</v>
      </c>
      <c r="H2" s="10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ht="30.75" thickBot="1">
      <c r="B3" s="34"/>
      <c r="C3" s="121" t="s">
        <v>957</v>
      </c>
      <c r="D3" s="126" t="str">
        <f xml:space="preserve"> _xlfn.CONCAT("a", _xlfn.UNICHAR(HEX2DEC(RIGHT(C3,4))))</f>
        <v>ã</v>
      </c>
      <c r="F3" s="128" t="s">
        <v>958</v>
      </c>
      <c r="G3" s="129">
        <f xml:space="preserve"> _xlfn.UNICODE(G2)</f>
        <v>12444</v>
      </c>
      <c r="H3" s="24"/>
      <c r="J3" s="59" t="str">
        <f xml:space="preserve"> _xlfn.CONCAT("o", _xlfn.UNICHAR(HEX2DEC(RIGHT("U+0358",4))))</f>
        <v>o͘</v>
      </c>
      <c r="K3" s="54" t="s">
        <v>383</v>
      </c>
      <c r="L3" s="54" t="s">
        <v>448</v>
      </c>
      <c r="M3" s="54" t="s">
        <v>393</v>
      </c>
      <c r="N3" s="54" t="s">
        <v>421</v>
      </c>
      <c r="O3" s="54" t="s">
        <v>399</v>
      </c>
      <c r="P3" s="54" t="s">
        <v>433</v>
      </c>
      <c r="Q3" s="54" t="s">
        <v>439</v>
      </c>
    </row>
    <row r="4" spans="2:22" ht="30.75" thickBot="1">
      <c r="B4" s="34" t="s">
        <v>249</v>
      </c>
      <c r="C4" s="121" t="s">
        <v>959</v>
      </c>
      <c r="D4" s="126" t="str">
        <f xml:space="preserve"> _xlfn.CONCAT("a", _xlfn.UNICHAR(HEX2DEC(RIGHT(C4,4))))</f>
        <v>aʔ</v>
      </c>
      <c r="F4" s="128" t="s">
        <v>960</v>
      </c>
      <c r="G4" s="129" t="str">
        <f xml:space="preserve"> DEC2HEX(G3)</f>
        <v>309C</v>
      </c>
      <c r="H4" s="24"/>
      <c r="I4" s="3">
        <v>1</v>
      </c>
      <c r="J4" s="68" t="str">
        <f>IFERROR( _xlfn.CONCAT("o", _xlfn.UNICHAR(HEX2DEC(RIGHT("U+0358",4))), _xlfn.UNICHAR(HEX2DEC(RIGHT(【調】韻母標調!E4,4)))), $J$3)</f>
        <v>o͘</v>
      </c>
      <c r="K4" s="68" t="str">
        <f>IFERROR( _xlfn.CONCAT(K$3, IF(【調】韻母標調!$E4="", "", _xlfn.UNICHAR(HEX2DEC(RIGHT(【調】韻母標調!$E4,4))))), "")</f>
        <v>a</v>
      </c>
      <c r="L4" s="68" t="str">
        <f>IFERROR( _xlfn.CONCAT(L$3, IF(【調】韻母標調!$E4="", "", _xlfn.UNICHAR(HEX2DEC(RIGHT(【調】韻母標調!$E4,4))))), "")</f>
        <v>i</v>
      </c>
      <c r="M4" s="68" t="str">
        <f>IFERROR( _xlfn.CONCAT(M$3, IF(【調】韻母標調!$E4="", "", _xlfn.UNICHAR(HEX2DEC(RIGHT(【調】韻母標調!$E4,4))))), "")</f>
        <v>u</v>
      </c>
      <c r="N4" s="68" t="str">
        <f>IFERROR( _xlfn.CONCAT(N$3, IF(【調】韻母標調!$E4="", "", _xlfn.UNICHAR(HEX2DEC(RIGHT(【調】韻母標調!$E4,4))))), "")</f>
        <v>e</v>
      </c>
      <c r="O4" s="68" t="str">
        <f>IFERROR( _xlfn.CONCAT(O$3, IF(【調】韻母標調!$E4="", "", _xlfn.UNICHAR(HEX2DEC(RIGHT(【調】韻母標調!$E4,4))))), "")</f>
        <v>o</v>
      </c>
      <c r="P4" s="68" t="str">
        <f>IFERROR( _xlfn.CONCAT(P$3, IF(【調】韻母標調!$E4="", "", _xlfn.UNICHAR(HEX2DEC(RIGHT(【調】韻母標調!$E4,4))))), "")</f>
        <v>m</v>
      </c>
      <c r="Q4" s="68" t="str">
        <f>IFERROR( _xlfn.CONCAT(Q$3, IF(【調】韻母標調!$E4="", "", _xlfn.UNICHAR(HEX2DEC(RIGHT(【調】韻母標調!$E4,4))))), "")</f>
        <v>n</v>
      </c>
    </row>
    <row r="5" spans="2:22" ht="30.75" thickBot="1">
      <c r="B5" s="30" t="s">
        <v>956</v>
      </c>
      <c r="C5" s="121" t="s">
        <v>961</v>
      </c>
      <c r="D5" s="126" t="str">
        <f xml:space="preserve"> _xlfn.UNICHAR(HEX2DEC(RIGHT(C5,4)))</f>
        <v>゜</v>
      </c>
      <c r="F5" s="128" t="s">
        <v>954</v>
      </c>
      <c r="G5" s="129" t="str">
        <f>_xlfn.CONCAT("U+",F19)</f>
        <v>U+</v>
      </c>
      <c r="H5" s="24"/>
      <c r="I5" s="3">
        <v>2</v>
      </c>
      <c r="J5" s="68" t="str">
        <f>IFERROR( _xlfn.CONCAT("o", _xlfn.UNICHAR(HEX2DEC(RIGHT("U+0358",4))), _xlfn.UNICHAR(HEX2DEC(RIGHT(【調】韻母標調!E5,4)))), $J$3)</f>
        <v>ó͘</v>
      </c>
      <c r="K5" s="68" t="str">
        <f>IFERROR( _xlfn.CONCAT(K$3, IF(【調】韻母標調!$E5="", "", _xlfn.UNICHAR(HEX2DEC(RIGHT(【調】韻母標調!$E5,4))))), "")</f>
        <v>á</v>
      </c>
      <c r="L5" s="68" t="str">
        <f>IFERROR( _xlfn.CONCAT(L$3, IF(【調】韻母標調!$E5="", "", _xlfn.UNICHAR(HEX2DEC(RIGHT(【調】韻母標調!$E5,4))))), "")</f>
        <v>í</v>
      </c>
      <c r="M5" s="68" t="str">
        <f>IFERROR( _xlfn.CONCAT(M$3, IF(【調】韻母標調!$E5="", "", _xlfn.UNICHAR(HEX2DEC(RIGHT(【調】韻母標調!$E5,4))))), "")</f>
        <v>ú</v>
      </c>
      <c r="N5" s="68" t="str">
        <f>IFERROR( _xlfn.CONCAT(N$3, IF(【調】韻母標調!$E5="", "", _xlfn.UNICHAR(HEX2DEC(RIGHT(【調】韻母標調!$E5,4))))), "")</f>
        <v>é</v>
      </c>
      <c r="O5" s="68" t="str">
        <f>IFERROR( _xlfn.CONCAT(O$3, IF(【調】韻母標調!$E5="", "", _xlfn.UNICHAR(HEX2DEC(RIGHT(【調】韻母標調!$E5,4))))), "")</f>
        <v>ó</v>
      </c>
      <c r="P5" s="68" t="str">
        <f>IFERROR( _xlfn.CONCAT(P$3, IF(【調】韻母標調!$E5="", "", _xlfn.UNICHAR(HEX2DEC(RIGHT(【調】韻母標調!$E5,4))))), "")</f>
        <v>ḿ</v>
      </c>
      <c r="Q5" s="68" t="str">
        <f>IFERROR( _xlfn.CONCAT(Q$3, IF(【調】韻母標調!$E5="", "", _xlfn.UNICHAR(HEX2DEC(RIGHT(【調】韻母標調!$E5,4))))), "")</f>
        <v>ń</v>
      </c>
    </row>
    <row r="6" spans="2:22" ht="30.75" thickBot="1">
      <c r="B6" s="30"/>
      <c r="C6" s="121" t="s">
        <v>962</v>
      </c>
      <c r="D6" s="126" t="str">
        <f xml:space="preserve"> _xlfn.CONCAT("a", _xlfn.UNICHAR(HEX2DEC(RIGHT(C6,4))))</f>
        <v>aࡖ</v>
      </c>
      <c r="G6" s="131" t="str">
        <f>RIGHT(C5,4)</f>
        <v>309C</v>
      </c>
      <c r="H6" s="24"/>
      <c r="I6" s="3">
        <v>3</v>
      </c>
      <c r="J6" s="68" t="str">
        <f>IFERROR( _xlfn.CONCAT("o", _xlfn.UNICHAR(HEX2DEC(RIGHT("U+0358",4))), _xlfn.UNICHAR(HEX2DEC(RIGHT(【調】韻母標調!E6,4)))), $J$3)</f>
        <v>ò͘</v>
      </c>
      <c r="K6" s="68" t="str">
        <f>IFERROR( _xlfn.CONCAT(K$3, IF(【調】韻母標調!$E6="", "", _xlfn.UNICHAR(HEX2DEC(RIGHT(【調】韻母標調!$E6,4))))), "")</f>
        <v>à</v>
      </c>
      <c r="L6" s="68" t="str">
        <f>IFERROR( _xlfn.CONCAT(L$3, IF(【調】韻母標調!$E6="", "", _xlfn.UNICHAR(HEX2DEC(RIGHT(【調】韻母標調!$E6,4))))), "")</f>
        <v>ì</v>
      </c>
      <c r="M6" s="68" t="str">
        <f>IFERROR( _xlfn.CONCAT(M$3, IF(【調】韻母標調!$E6="", "", _xlfn.UNICHAR(HEX2DEC(RIGHT(【調】韻母標調!$E6,4))))), "")</f>
        <v>ù</v>
      </c>
      <c r="N6" s="68" t="str">
        <f>IFERROR( _xlfn.CONCAT(N$3, IF(【調】韻母標調!$E6="", "", _xlfn.UNICHAR(HEX2DEC(RIGHT(【調】韻母標調!$E6,4))))), "")</f>
        <v>è</v>
      </c>
      <c r="O6" s="68" t="str">
        <f>IFERROR( _xlfn.CONCAT(O$3, IF(【調】韻母標調!$E6="", "", _xlfn.UNICHAR(HEX2DEC(RIGHT(【調】韻母標調!$E6,4))))), "")</f>
        <v>ò</v>
      </c>
      <c r="P6" s="68" t="str">
        <f>IFERROR( _xlfn.CONCAT(P$3, IF(【調】韻母標調!$E6="", "", _xlfn.UNICHAR(HEX2DEC(RIGHT(【調】韻母標調!$E6,4))))), "")</f>
        <v>m̀</v>
      </c>
      <c r="Q6" s="68" t="str">
        <f>IFERROR( _xlfn.CONCAT(Q$3, IF(【調】韻母標調!$E6="", "", _xlfn.UNICHAR(HEX2DEC(RIGHT(【調】韻母標調!$E6,4))))), "")</f>
        <v>ǹ</v>
      </c>
    </row>
    <row r="7" spans="2:22" ht="30.75" thickBot="1">
      <c r="B7" s="30"/>
      <c r="C7" s="121"/>
      <c r="D7" s="30"/>
      <c r="G7" s="131">
        <f xml:space="preserve"> HEX2DEC(G6)</f>
        <v>12444</v>
      </c>
      <c r="H7" s="24"/>
      <c r="I7" s="3">
        <v>4</v>
      </c>
      <c r="J7" s="68" t="str">
        <f>IFERROR( _xlfn.CONCAT("o", _xlfn.UNICHAR(HEX2DEC(RIGHT("U+0358",4))), _xlfn.UNICHAR(HEX2DEC(RIGHT(【調】韻母標調!E7,4)))), $J$3)</f>
        <v>o͘</v>
      </c>
      <c r="K7" s="68" t="str">
        <f>IFERROR( _xlfn.CONCAT(K$3, IF(【調】韻母標調!$E7="", "", _xlfn.UNICHAR(HEX2DEC(RIGHT(【調】韻母標調!$E7,4))))), "")</f>
        <v>a</v>
      </c>
      <c r="L7" s="68" t="str">
        <f>IFERROR( _xlfn.CONCAT(L$3, IF(【調】韻母標調!$E7="", "", _xlfn.UNICHAR(HEX2DEC(RIGHT(【調】韻母標調!$E7,4))))), "")</f>
        <v>i</v>
      </c>
      <c r="M7" s="68" t="str">
        <f>IFERROR( _xlfn.CONCAT(M$3, IF(【調】韻母標調!$E7="", "", _xlfn.UNICHAR(HEX2DEC(RIGHT(【調】韻母標調!$E7,4))))), "")</f>
        <v>u</v>
      </c>
      <c r="N7" s="68" t="str">
        <f>IFERROR( _xlfn.CONCAT(N$3, IF(【調】韻母標調!$E7="", "", _xlfn.UNICHAR(HEX2DEC(RIGHT(【調】韻母標調!$E7,4))))), "")</f>
        <v>e</v>
      </c>
      <c r="O7" s="68" t="str">
        <f>IFERROR( _xlfn.CONCAT(O$3, IF(【調】韻母標調!$E7="", "", _xlfn.UNICHAR(HEX2DEC(RIGHT(【調】韻母標調!$E7,4))))), "")</f>
        <v>o</v>
      </c>
      <c r="P7" s="68" t="str">
        <f>IFERROR( _xlfn.CONCAT(P$3, IF(【調】韻母標調!$E7="", "", _xlfn.UNICHAR(HEX2DEC(RIGHT(【調】韻母標調!$E7,4))))), "")</f>
        <v>m</v>
      </c>
      <c r="Q7" s="68" t="str">
        <f>IFERROR( _xlfn.CONCAT(Q$3, IF(【調】韻母標調!$E7="", "", _xlfn.UNICHAR(HEX2DEC(RIGHT(【調】韻母標調!$E7,4))))), "")</f>
        <v>n</v>
      </c>
    </row>
    <row r="8" spans="2:22" ht="30.75" thickBot="1">
      <c r="B8"/>
      <c r="G8" s="131" t="str">
        <f xml:space="preserve"> _xlfn.UNICHAR(G7)</f>
        <v>゜</v>
      </c>
      <c r="H8" s="24"/>
      <c r="I8" s="3">
        <v>5</v>
      </c>
      <c r="J8" s="68" t="str">
        <f>IFERROR( _xlfn.CONCAT("o", _xlfn.UNICHAR(HEX2DEC(RIGHT("U+0358",4))), _xlfn.UNICHAR(HEX2DEC(RIGHT(【調】韻母標調!E8,4)))), "")</f>
        <v>ǒ͘</v>
      </c>
      <c r="K8" s="68" t="str">
        <f>IFERROR( _xlfn.CONCAT(K$3, IF(【調】韻母標調!$E8="", "", _xlfn.UNICHAR(HEX2DEC(RIGHT(【調】韻母標調!$E8,4))))), "")</f>
        <v>ǎ</v>
      </c>
      <c r="L8" s="68" t="str">
        <f>IFERROR( _xlfn.CONCAT(L$3, IF(【調】韻母標調!$E8="", "", _xlfn.UNICHAR(HEX2DEC(RIGHT(【調】韻母標調!$E8,4))))), "")</f>
        <v>ǐ</v>
      </c>
      <c r="M8" s="68" t="str">
        <f>IFERROR( _xlfn.CONCAT(M$3, IF(【調】韻母標調!$E8="", "", _xlfn.UNICHAR(HEX2DEC(RIGHT(【調】韻母標調!$E8,4))))), "")</f>
        <v>ǔ</v>
      </c>
      <c r="N8" s="68" t="str">
        <f>IFERROR( _xlfn.CONCAT(N$3, IF(【調】韻母標調!$E8="", "", _xlfn.UNICHAR(HEX2DEC(RIGHT(【調】韻母標調!$E8,4))))), "")</f>
        <v>ě</v>
      </c>
      <c r="O8" s="68" t="str">
        <f>IFERROR( _xlfn.CONCAT(O$3, IF(【調】韻母標調!$E8="", "", _xlfn.UNICHAR(HEX2DEC(RIGHT(【調】韻母標調!$E8,4))))), "")</f>
        <v>ǒ</v>
      </c>
      <c r="P8" s="68" t="str">
        <f>IFERROR( _xlfn.CONCAT(P$3, IF(【調】韻母標調!$E8="", "", _xlfn.UNICHAR(HEX2DEC(RIGHT(【調】韻母標調!$E8,4))))), "")</f>
        <v>m̌</v>
      </c>
      <c r="Q8" s="68" t="str">
        <f>IFERROR( _xlfn.CONCAT(Q$3, IF(【調】韻母標調!$E8="", "", _xlfn.UNICHAR(HEX2DEC(RIGHT(【調】韻母標調!$E8,4))))), "")</f>
        <v>ň</v>
      </c>
    </row>
    <row r="9" spans="2:22" ht="30.75" thickBot="1">
      <c r="B9" s="125" t="s">
        <v>953</v>
      </c>
      <c r="C9" s="125" t="s">
        <v>954</v>
      </c>
      <c r="D9" s="125" t="s">
        <v>955</v>
      </c>
      <c r="G9" s="24"/>
      <c r="H9" s="24"/>
      <c r="I9" s="3">
        <v>6</v>
      </c>
      <c r="J9" s="68" t="str">
        <f>IFERROR( _xlfn.CONCAT("o", _xlfn.UNICHAR(HEX2DEC(RIGHT("U+0358",4))), _xlfn.UNICHAR(HEX2DEC(RIGHT(【調】韻母標調!E9,4)))), "")</f>
        <v>ó͘</v>
      </c>
      <c r="K9" s="68" t="str">
        <f>IFERROR( _xlfn.CONCAT(K$3, IF(【調】韻母標調!$E9="", "", _xlfn.UNICHAR(HEX2DEC(RIGHT(【調】韻母標調!$E9,4))))), "")</f>
        <v>á</v>
      </c>
      <c r="L9" s="68" t="str">
        <f>IFERROR( _xlfn.CONCAT(L$3, IF(【調】韻母標調!$E9="", "", _xlfn.UNICHAR(HEX2DEC(RIGHT(【調】韻母標調!$E9,4))))), "")</f>
        <v>í</v>
      </c>
      <c r="M9" s="68" t="str">
        <f>IFERROR( _xlfn.CONCAT(M$3, IF(【調】韻母標調!$E9="", "", _xlfn.UNICHAR(HEX2DEC(RIGHT(【調】韻母標調!$E9,4))))), "")</f>
        <v>ú</v>
      </c>
      <c r="N9" s="68" t="str">
        <f>IFERROR( _xlfn.CONCAT(N$3, IF(【調】韻母標調!$E9="", "", _xlfn.UNICHAR(HEX2DEC(RIGHT(【調】韻母標調!$E9,4))))), "")</f>
        <v>é</v>
      </c>
      <c r="O9" s="68" t="str">
        <f>IFERROR( _xlfn.CONCAT(O$3, IF(【調】韻母標調!$E9="", "", _xlfn.UNICHAR(HEX2DEC(RIGHT(【調】韻母標調!$E9,4))))), "")</f>
        <v>ó</v>
      </c>
      <c r="P9" s="68" t="str">
        <f>IFERROR( _xlfn.CONCAT(P$3, IF(【調】韻母標調!$E9="", "", _xlfn.UNICHAR(HEX2DEC(RIGHT(【調】韻母標調!$E9,4))))), "")</f>
        <v>ḿ</v>
      </c>
      <c r="Q9" s="68" t="str">
        <f>IFERROR( _xlfn.CONCAT(Q$3, IF(【調】韻母標調!$E9="", "", _xlfn.UNICHAR(HEX2DEC(RIGHT(【調】韻母標調!$E9,4))))), "")</f>
        <v>ń</v>
      </c>
    </row>
    <row r="10" spans="2:22" ht="30.75" thickBot="1">
      <c r="B10" s="124" t="s">
        <v>963</v>
      </c>
      <c r="C10" s="30" t="str">
        <f xml:space="preserve"> _xlfn.CONCAT("U+", TEXT(DEC2HEX(_xlfn.UNICODE(B10)), "0000"))</f>
        <v>U+14B</v>
      </c>
      <c r="D10" s="124" t="s">
        <v>963</v>
      </c>
      <c r="G10" s="24"/>
      <c r="H10" s="24"/>
      <c r="I10" s="3">
        <v>7</v>
      </c>
      <c r="J10" s="68" t="str">
        <f>IFERROR( _xlfn.CONCAT("o", _xlfn.UNICHAR(HEX2DEC(RIGHT("U+0358",4))), _xlfn.UNICHAR(HEX2DEC(RIGHT(【調】韻母標調!E10,4)))), "")</f>
        <v>ō͘</v>
      </c>
      <c r="K10" s="68" t="str">
        <f>IFERROR( _xlfn.CONCAT(K$3, IF(【調】韻母標調!$E10="", "", _xlfn.UNICHAR(HEX2DEC(RIGHT(【調】韻母標調!$E10,4))))), "")</f>
        <v>ā</v>
      </c>
      <c r="L10" s="68" t="str">
        <f>IFERROR( _xlfn.CONCAT(L$3, IF(【調】韻母標調!$E10="", "", _xlfn.UNICHAR(HEX2DEC(RIGHT(【調】韻母標調!$E10,4))))), "")</f>
        <v>ī</v>
      </c>
      <c r="M10" s="68" t="str">
        <f>IFERROR( _xlfn.CONCAT(M$3, IF(【調】韻母標調!$E10="", "", _xlfn.UNICHAR(HEX2DEC(RIGHT(【調】韻母標調!$E10,4))))), "")</f>
        <v>ū</v>
      </c>
      <c r="N10" s="68" t="str">
        <f>IFERROR( _xlfn.CONCAT(N$3, IF(【調】韻母標調!$E10="", "", _xlfn.UNICHAR(HEX2DEC(RIGHT(【調】韻母標調!$E10,4))))), "")</f>
        <v>ē</v>
      </c>
      <c r="O10" s="68" t="str">
        <f>IFERROR( _xlfn.CONCAT(O$3, IF(【調】韻母標調!$E10="", "", _xlfn.UNICHAR(HEX2DEC(RIGHT(【調】韻母標調!$E10,4))))), "")</f>
        <v>ō</v>
      </c>
      <c r="P10" s="68" t="str">
        <f>IFERROR( _xlfn.CONCAT(P$3, IF(【調】韻母標調!$E10="", "", _xlfn.UNICHAR(HEX2DEC(RIGHT(【調】韻母標調!$E10,4))))), "")</f>
        <v>m̄</v>
      </c>
      <c r="Q10" s="68" t="str">
        <f>IFERROR( _xlfn.CONCAT(Q$3, IF(【調】韻母標調!$E10="", "", _xlfn.UNICHAR(HEX2DEC(RIGHT(【調】韻母標調!$E10,4))))), "")</f>
        <v>n̄</v>
      </c>
    </row>
    <row r="11" spans="2:22" ht="30.75" thickBot="1">
      <c r="B11" s="30" t="s">
        <v>264</v>
      </c>
      <c r="C11" s="30"/>
      <c r="D11" s="30" t="s">
        <v>264</v>
      </c>
      <c r="H11" s="24"/>
      <c r="I11" s="3">
        <v>8</v>
      </c>
      <c r="J11" s="68" t="str">
        <f>IFERROR( _xlfn.CONCAT("o", _xlfn.UNICHAR(HEX2DEC(RIGHT("U+0358",4))), _xlfn.UNICHAR(HEX2DEC(RIGHT(【調】韻母標調!E11,4)))), "")</f>
        <v>o̍͘</v>
      </c>
      <c r="K11" s="68" t="str">
        <f>IFERROR( _xlfn.CONCAT(K$3, IF(【調】韻母標調!$E11="", "", _xlfn.UNICHAR(HEX2DEC(RIGHT(【調】韻母標調!$E11,4))))), "")</f>
        <v>a̍</v>
      </c>
      <c r="L11" s="68" t="str">
        <f>IFERROR( _xlfn.CONCAT(L$3, IF(【調】韻母標調!$E11="", "", _xlfn.UNICHAR(HEX2DEC(RIGHT(【調】韻母標調!$E11,4))))), "")</f>
        <v>i̍</v>
      </c>
      <c r="M11" s="68" t="str">
        <f>IFERROR( _xlfn.CONCAT(M$3, IF(【調】韻母標調!$E11="", "", _xlfn.UNICHAR(HEX2DEC(RIGHT(【調】韻母標調!$E11,4))))), "")</f>
        <v>u̍</v>
      </c>
      <c r="N11" s="68" t="str">
        <f>IFERROR( _xlfn.CONCAT(N$3, IF(【調】韻母標調!$E11="", "", _xlfn.UNICHAR(HEX2DEC(RIGHT(【調】韻母標調!$E11,4))))), "")</f>
        <v>e̍</v>
      </c>
      <c r="O11" s="68" t="str">
        <f>IFERROR( _xlfn.CONCAT(O$3, IF(【調】韻母標調!$E11="", "", _xlfn.UNICHAR(HEX2DEC(RIGHT(【調】韻母標調!$E11,4))))), "")</f>
        <v>o̍</v>
      </c>
      <c r="P11" s="68" t="str">
        <f>IFERROR( _xlfn.CONCAT(P$3, IF(【調】韻母標調!$E11="", "", _xlfn.UNICHAR(HEX2DEC(RIGHT(【調】韻母標調!$E11,4))))), "")</f>
        <v>m̍</v>
      </c>
      <c r="Q11" s="68" t="str">
        <f>IFERROR( _xlfn.CONCAT(Q$3, IF(【調】韻母標調!$E11="", "", _xlfn.UNICHAR(HEX2DEC(RIGHT(【調】韻母標調!$E11,4))))), "")</f>
        <v>n̍</v>
      </c>
    </row>
    <row r="12" spans="2:22" ht="30.75" thickBot="1">
      <c r="B12" s="124" t="s">
        <v>727</v>
      </c>
      <c r="C12" s="30"/>
      <c r="D12" s="124" t="s">
        <v>727</v>
      </c>
      <c r="I12" s="3">
        <v>9</v>
      </c>
      <c r="J12" s="68" t="str">
        <f>IFERROR( _xlfn.CONCAT("o", _xlfn.UNICHAR(HEX2DEC(RIGHT("U+0358",4))), _xlfn.UNICHAR(HEX2DEC(RIGHT(【調】韻母標調!E12,4)))), "")</f>
        <v>ő͘</v>
      </c>
      <c r="K12" s="68" t="str">
        <f>IFERROR( _xlfn.CONCAT(K$3, IF(【調】韻母標調!$E12="", "", _xlfn.UNICHAR(HEX2DEC(RIGHT(【調】韻母標調!$E12,4))))), "")</f>
        <v>a̋</v>
      </c>
      <c r="L12" s="68" t="str">
        <f>IFERROR( _xlfn.CONCAT(L$3, IF(【調】韻母標調!$E12="", "", _xlfn.UNICHAR(HEX2DEC(RIGHT(【調】韻母標調!$E12,4))))), "")</f>
        <v>i̋</v>
      </c>
      <c r="M12" s="68" t="str">
        <f>IFERROR( _xlfn.CONCAT(M$3, IF(【調】韻母標調!$E12="", "", _xlfn.UNICHAR(HEX2DEC(RIGHT(【調】韻母標調!$E12,4))))), "")</f>
        <v>ű</v>
      </c>
      <c r="N12" s="68" t="str">
        <f>IFERROR( _xlfn.CONCAT(N$3, IF(【調】韻母標調!$E12="", "", _xlfn.UNICHAR(HEX2DEC(RIGHT(【調】韻母標調!$E12,4))))), "")</f>
        <v>e̋</v>
      </c>
      <c r="O12" s="68" t="str">
        <f>IFERROR( _xlfn.CONCAT(O$3, IF(【調】韻母標調!$E12="", "", _xlfn.UNICHAR(HEX2DEC(RIGHT(【調】韻母標調!$E12,4))))), "")</f>
        <v>ő</v>
      </c>
      <c r="P12" s="68" t="str">
        <f>IFERROR( _xlfn.CONCAT(P$3, IF(【調】韻母標調!$E12="", "", _xlfn.UNICHAR(HEX2DEC(RIGHT(【調】韻母標調!$E12,4))))), "")</f>
        <v>m̋</v>
      </c>
      <c r="Q12" s="68" t="str">
        <f>IFERROR( _xlfn.CONCAT(Q$3, IF(【調】韻母標調!$E12="", "", _xlfn.UNICHAR(HEX2DEC(RIGHT(【調】韻母標調!$E12,4))))), "")</f>
        <v>n̋</v>
      </c>
    </row>
    <row r="13" spans="2:22" ht="35.25" thickBot="1">
      <c r="B13" s="30" t="s">
        <v>964</v>
      </c>
      <c r="C13" s="30"/>
      <c r="D13" s="123" t="str">
        <f xml:space="preserve"> _xlfn.CONCAT(B12,B10)</f>
        <v>əŋ</v>
      </c>
      <c r="I13" s="3">
        <v>0</v>
      </c>
      <c r="J13" s="68" t="str">
        <f>IFERROR( _xlfn.CONCAT("o", _xlfn.UNICHAR(HEX2DEC(RIGHT("U+0358",4))), _xlfn.UNICHAR(HEX2DEC(RIGHT(【調】韻母標調!E13,4)))), "")</f>
        <v>o̊͘</v>
      </c>
      <c r="K13" s="68" t="str">
        <f>IFERROR( _xlfn.CONCAT(K$3, IF(【調】韻母標調!$E13="", "", _xlfn.UNICHAR(HEX2DEC(RIGHT(【調】韻母標調!$E13,4))))), "")</f>
        <v>å</v>
      </c>
      <c r="L13" s="68" t="str">
        <f>IFERROR( _xlfn.CONCAT(L$3, IF(【調】韻母標調!$E13="", "", _xlfn.UNICHAR(HEX2DEC(RIGHT(【調】韻母標調!$E13,4))))), "")</f>
        <v>i̊</v>
      </c>
      <c r="M13" s="68" t="str">
        <f>IFERROR( _xlfn.CONCAT(M$3, IF(【調】韻母標調!$E13="", "", _xlfn.UNICHAR(HEX2DEC(RIGHT(【調】韻母標調!$E13,4))))), "")</f>
        <v>ů</v>
      </c>
      <c r="N13" s="68" t="str">
        <f>IFERROR( _xlfn.CONCAT(N$3, IF(【調】韻母標調!$E13="", "", _xlfn.UNICHAR(HEX2DEC(RIGHT(【調】韻母標調!$E13,4))))), "")</f>
        <v>e̊</v>
      </c>
      <c r="O13" s="68" t="str">
        <f>IFERROR( _xlfn.CONCAT(O$3, IF(【調】韻母標調!$E13="", "", _xlfn.UNICHAR(HEX2DEC(RIGHT(【調】韻母標調!$E13,4))))), "")</f>
        <v>o̊</v>
      </c>
      <c r="P13" s="68" t="str">
        <f>IFERROR( _xlfn.CONCAT(P$3, IF(【調】韻母標調!$E13="", "", _xlfn.UNICHAR(HEX2DEC(RIGHT(【調】韻母標調!$E13,4))))), "")</f>
        <v>m̊</v>
      </c>
      <c r="Q13" s="68" t="str">
        <f>IFERROR( _xlfn.CONCAT(Q$3, IF(【調】韻母標調!$E13="", "", _xlfn.UNICHAR(HEX2DEC(RIGHT(【調】韻母標調!$E13,4))))), "")</f>
        <v>n̊</v>
      </c>
    </row>
    <row r="14" spans="2:22" ht="26.25" thickBot="1">
      <c r="B14" s="124" t="s">
        <v>965</v>
      </c>
      <c r="C14" s="30"/>
      <c r="D14" s="124" t="s">
        <v>965</v>
      </c>
    </row>
    <row r="16" spans="2:22">
      <c r="J16" s="54" t="s">
        <v>383</v>
      </c>
      <c r="K16" s="54" t="s">
        <v>448</v>
      </c>
      <c r="L16" s="54" t="s">
        <v>393</v>
      </c>
      <c r="M16" s="54" t="s">
        <v>421</v>
      </c>
      <c r="N16" s="54" t="s">
        <v>399</v>
      </c>
      <c r="O16" s="54" t="s">
        <v>433</v>
      </c>
      <c r="P16" s="54" t="s">
        <v>439</v>
      </c>
      <c r="S16" s="3" t="str">
        <f xml:space="preserve"> IFERROR( _xlfn.CONCAT("l", "u", _xlfn.UNICHAR(HEX2DEC(RIGHT(【調】韻母標調!$O4,4))), "n"), "")</f>
        <v>lūn</v>
      </c>
      <c r="T16" s="3" t="str">
        <f xml:space="preserve"> IFERROR( _xlfn.CONCAT("n", "g", "o", _xlfn.UNICHAR(HEX2DEC(RIGHT(【調】韻母標調!$O4,4))), "o"), "")</f>
        <v>ngōo</v>
      </c>
    </row>
    <row r="17" spans="2:20" ht="30">
      <c r="I17" s="3">
        <v>1</v>
      </c>
      <c r="J17" s="68" t="str">
        <f>IFERROR( _xlfn.CONCAT(K$3, IF(【調】韻母標調!$E17="", "", _xlfn.UNICHAR(HEX2DEC(RIGHT(【調】韻母標調!$E17,4))))), "")</f>
        <v>ā</v>
      </c>
      <c r="K17" s="68" t="str">
        <f>IFERROR( _xlfn.CONCAT(L$3, IF(【調】韻母標調!$E17="", "", _xlfn.UNICHAR(HEX2DEC(RIGHT(【調】韻母標調!$E17,4))))), "")</f>
        <v>ī</v>
      </c>
      <c r="L17" s="68" t="str">
        <f>IFERROR( _xlfn.CONCAT(M$3, IF(【調】韻母標調!$E17="", "", _xlfn.UNICHAR(HEX2DEC(RIGHT(【調】韻母標調!$E17,4))))), "")</f>
        <v>ū</v>
      </c>
      <c r="M17" s="68" t="str">
        <f>IFERROR( _xlfn.CONCAT(N$3, IF(【調】韻母標調!$E17="", "", _xlfn.UNICHAR(HEX2DEC(RIGHT(【調】韻母標調!$E17,4))))), "")</f>
        <v>ē</v>
      </c>
      <c r="N17" s="68" t="str">
        <f>IFERROR( _xlfn.CONCAT(O$3, IF(【調】韻母標調!$E17="", "", _xlfn.UNICHAR(HEX2DEC(RIGHT(【調】韻母標調!$E17,4))))), "")</f>
        <v>ō</v>
      </c>
      <c r="O17" s="68" t="str">
        <f>IFERROR( _xlfn.CONCAT(P$3, IF(【調】韻母標調!$E17="", "", _xlfn.UNICHAR(HEX2DEC(RIGHT(【調】韻母標調!$E17,4))))), "")</f>
        <v>m̄</v>
      </c>
      <c r="P17" s="68" t="str">
        <f>IFERROR( _xlfn.CONCAT(Q$3, IF(【調】韻母標調!$E17="", "", _xlfn.UNICHAR(HEX2DEC(RIGHT(【調】韻母標調!$E17,4))))), "")</f>
        <v>n̄</v>
      </c>
      <c r="S17" s="3" t="str">
        <f xml:space="preserve"> IFERROR( _xlfn.CONCAT("l", "u", _xlfn.UNICHAR(HEX2DEC(RIGHT(【調】韻母標調!$O7,4))), "n"), "")</f>
        <v>lǔn</v>
      </c>
      <c r="T17" s="3" t="str">
        <f xml:space="preserve"> IFERROR( _xlfn.CONCAT("n", "g", "o", _xlfn.UNICHAR(HEX2DEC(RIGHT(【調】韻母標調!$O7,4))), "o"), "")</f>
        <v>ngǒo</v>
      </c>
    </row>
    <row r="18" spans="2:20" ht="30">
      <c r="B18" s="24" t="s">
        <v>966</v>
      </c>
      <c r="I18" s="3">
        <v>2</v>
      </c>
      <c r="J18" s="68" t="str">
        <f>IFERROR( _xlfn.CONCAT(K$3, IF(【調】韻母標調!$E18="", "", _xlfn.UNICHAR(HEX2DEC(RIGHT(【調】韻母標調!$E18,4))))), "")</f>
        <v>á</v>
      </c>
      <c r="K18" s="68" t="str">
        <f>IFERROR( _xlfn.CONCAT(L$3, IF(【調】韻母標調!$E18="", "", _xlfn.UNICHAR(HEX2DEC(RIGHT(【調】韻母標調!$E18,4))))), "")</f>
        <v>í</v>
      </c>
      <c r="L18" s="68" t="str">
        <f>IFERROR( _xlfn.CONCAT(M$3, IF(【調】韻母標調!$E18="", "", _xlfn.UNICHAR(HEX2DEC(RIGHT(【調】韻母標調!$E18,4))))), "")</f>
        <v>ú</v>
      </c>
      <c r="M18" s="68" t="str">
        <f>IFERROR( _xlfn.CONCAT(N$3, IF(【調】韻母標調!$E18="", "", _xlfn.UNICHAR(HEX2DEC(RIGHT(【調】韻母標調!$E18,4))))), "")</f>
        <v>é</v>
      </c>
      <c r="N18" s="68" t="str">
        <f>IFERROR( _xlfn.CONCAT(O$3, IF(【調】韻母標調!$E18="", "", _xlfn.UNICHAR(HEX2DEC(RIGHT(【調】韻母標調!$E18,4))))), "")</f>
        <v>ó</v>
      </c>
      <c r="O18" s="68" t="str">
        <f>IFERROR( _xlfn.CONCAT(P$3, IF(【調】韻母標調!$E18="", "", _xlfn.UNICHAR(HEX2DEC(RIGHT(【調】韻母標調!$E18,4))))), "")</f>
        <v>ḿ</v>
      </c>
      <c r="P18" s="68" t="str">
        <f>IFERROR( _xlfn.CONCAT(Q$3, IF(【調】韻母標調!$E18="", "", _xlfn.UNICHAR(HEX2DEC(RIGHT(【調】韻母標調!$E18,4))))), "")</f>
        <v>ń</v>
      </c>
      <c r="S18" s="3" t="str">
        <f xml:space="preserve"> IFERROR( _xlfn.CONCAT("l", "u", _xlfn.UNICHAR(HEX2DEC(RIGHT(【調】韻母標調!$O6,4))), "n"), "")</f>
        <v>lùn</v>
      </c>
      <c r="T18" s="3" t="str">
        <f xml:space="preserve"> IFERROR( _xlfn.CONCAT("n", "g", "o", _xlfn.UNICHAR(HEX2DEC(RIGHT(【調】韻母標調!$O6,4))), "o"), "")</f>
        <v>ngòo</v>
      </c>
    </row>
    <row r="19" spans="2:20" ht="30">
      <c r="B19" s="24" t="s">
        <v>967</v>
      </c>
      <c r="I19" s="3">
        <v>3</v>
      </c>
      <c r="J19" s="68" t="str">
        <f>IFERROR( _xlfn.CONCAT(K$3, IF(【調】韻母標調!$E19="", "", _xlfn.UNICHAR(HEX2DEC(RIGHT(【調】韻母標調!$E19,4))))), "")</f>
        <v>ǎ</v>
      </c>
      <c r="K19" s="68" t="str">
        <f>IFERROR( _xlfn.CONCAT(L$3, IF(【調】韻母標調!$E19="", "", _xlfn.UNICHAR(HEX2DEC(RIGHT(【調】韻母標調!$E19,4))))), "")</f>
        <v>ǐ</v>
      </c>
      <c r="L19" s="68" t="str">
        <f>IFERROR( _xlfn.CONCAT(M$3, IF(【調】韻母標調!$E19="", "", _xlfn.UNICHAR(HEX2DEC(RIGHT(【調】韻母標調!$E19,4))))), "")</f>
        <v>ǔ</v>
      </c>
      <c r="M19" s="68" t="str">
        <f>IFERROR( _xlfn.CONCAT(N$3, IF(【調】韻母標調!$E19="", "", _xlfn.UNICHAR(HEX2DEC(RIGHT(【調】韻母標調!$E19,4))))), "")</f>
        <v>ě</v>
      </c>
      <c r="N19" s="68" t="str">
        <f>IFERROR( _xlfn.CONCAT(O$3, IF(【調】韻母標調!$E19="", "", _xlfn.UNICHAR(HEX2DEC(RIGHT(【調】韻母標調!$E19,4))))), "")</f>
        <v>ǒ</v>
      </c>
      <c r="O19" s="68" t="str">
        <f>IFERROR( _xlfn.CONCAT(P$3, IF(【調】韻母標調!$E19="", "", _xlfn.UNICHAR(HEX2DEC(RIGHT(【調】韻母標調!$E19,4))))), "")</f>
        <v>m̌</v>
      </c>
      <c r="P19" s="68" t="str">
        <f>IFERROR( _xlfn.CONCAT(Q$3, IF(【調】韻母標調!$E19="", "", _xlfn.UNICHAR(HEX2DEC(RIGHT(【調】韻母標調!$E19,4))))), "")</f>
        <v>ň</v>
      </c>
      <c r="S19" s="3" t="str">
        <f xml:space="preserve"> IFERROR( _xlfn.CONCAT("l", "u", _xlfn.UNICHAR(HEX2DEC(RIGHT(【調】韻母標調!$O9,4))), "n"), "")</f>
        <v>lūn</v>
      </c>
      <c r="T19" s="3" t="str">
        <f xml:space="preserve"> IFERROR( _xlfn.CONCAT("n", "g", "o", _xlfn.UNICHAR(HEX2DEC(RIGHT(【調】韻母標調!$O9,4))), "o"), "")</f>
        <v>ngōo</v>
      </c>
    </row>
    <row r="20" spans="2:20" ht="30">
      <c r="I20" s="3">
        <v>4</v>
      </c>
      <c r="J20" s="68" t="str">
        <f>IFERROR( _xlfn.CONCAT(K$3, IF(【調】韻母標調!$E20="", "", _xlfn.UNICHAR(HEX2DEC(RIGHT(【調】韻母標調!$E20,4))))), "")</f>
        <v>ǎ</v>
      </c>
      <c r="K20" s="68" t="str">
        <f>IFERROR( _xlfn.CONCAT(L$3, IF(【調】韻母標調!$E20="", "", _xlfn.UNICHAR(HEX2DEC(RIGHT(【調】韻母標調!$E20,4))))), "")</f>
        <v>ǐ</v>
      </c>
      <c r="L20" s="68" t="str">
        <f>IFERROR( _xlfn.CONCAT(M$3, IF(【調】韻母標調!$E20="", "", _xlfn.UNICHAR(HEX2DEC(RIGHT(【調】韻母標調!$E20,4))))), "")</f>
        <v>ǔ</v>
      </c>
      <c r="M20" s="68" t="str">
        <f>IFERROR( _xlfn.CONCAT(N$3, IF(【調】韻母標調!$E20="", "", _xlfn.UNICHAR(HEX2DEC(RIGHT(【調】韻母標調!$E20,4))))), "")</f>
        <v>ě</v>
      </c>
      <c r="N20" s="68" t="str">
        <f>IFERROR( _xlfn.CONCAT(O$3, IF(【調】韻母標調!$E20="", "", _xlfn.UNICHAR(HEX2DEC(RIGHT(【調】韻母標調!$E20,4))))), "")</f>
        <v>ǒ</v>
      </c>
      <c r="O20" s="68" t="str">
        <f>IFERROR( _xlfn.CONCAT(P$3, IF(【調】韻母標調!$E20="", "", _xlfn.UNICHAR(HEX2DEC(RIGHT(【調】韻母標調!$E20,4))))), "")</f>
        <v>m̌</v>
      </c>
      <c r="P20" s="68" t="str">
        <f>IFERROR( _xlfn.CONCAT(Q$3, IF(【調】韻母標調!$E20="", "", _xlfn.UNICHAR(HEX2DEC(RIGHT(【調】韻母標調!$E20,4))))), "")</f>
        <v>ň</v>
      </c>
      <c r="S20" s="3" t="str">
        <f xml:space="preserve"> IFERROR( _xlfn.CONCAT("l", "u", _xlfn.UNICHAR(HEX2DEC(RIGHT(【調】韻母標調!$O8,4))), "n"), "")</f>
        <v>lún</v>
      </c>
      <c r="T20" s="3" t="str">
        <f xml:space="preserve"> IFERROR( _xlfn.CONCAT("n", "g", "o", _xlfn.UNICHAR(HEX2DEC(RIGHT(【調】韻母標調!$O8,4))), "o"), "")</f>
        <v>ngóo</v>
      </c>
    </row>
    <row r="21" spans="2:20" ht="30">
      <c r="I21" s="3">
        <v>5</v>
      </c>
      <c r="J21" s="68" t="str">
        <f>IFERROR( _xlfn.CONCAT(K$3, IF(【調】韻母標調!$E21="", "", _xlfn.UNICHAR(HEX2DEC(RIGHT(【調】韻母標調!$E21,4))))), "")</f>
        <v>à</v>
      </c>
      <c r="K21" s="68" t="str">
        <f>IFERROR( _xlfn.CONCAT(L$3, IF(【調】韻母標調!$E21="", "", _xlfn.UNICHAR(HEX2DEC(RIGHT(【調】韻母標調!$E21,4))))), "")</f>
        <v>ì</v>
      </c>
      <c r="L21" s="68" t="str">
        <f>IFERROR( _xlfn.CONCAT(M$3, IF(【調】韻母標調!$E21="", "", _xlfn.UNICHAR(HEX2DEC(RIGHT(【調】韻母標調!$E21,4))))), "")</f>
        <v>ù</v>
      </c>
      <c r="M21" s="68" t="str">
        <f>IFERROR( _xlfn.CONCAT(N$3, IF(【調】韻母標調!$E21="", "", _xlfn.UNICHAR(HEX2DEC(RIGHT(【調】韻母標調!$E21,4))))), "")</f>
        <v>è</v>
      </c>
      <c r="N21" s="68" t="str">
        <f>IFERROR( _xlfn.CONCAT(O$3, IF(【調】韻母標調!$E21="", "", _xlfn.UNICHAR(HEX2DEC(RIGHT(【調】韻母標調!$E21,4))))), "")</f>
        <v>ò</v>
      </c>
      <c r="O21" s="68" t="str">
        <f>IFERROR( _xlfn.CONCAT(P$3, IF(【調】韻母標調!$E21="", "", _xlfn.UNICHAR(HEX2DEC(RIGHT(【調】韻母標調!$E21,4))))), "")</f>
        <v>m̀</v>
      </c>
      <c r="P21" s="68" t="str">
        <f>IFERROR( _xlfn.CONCAT(Q$3, IF(【調】韻母標調!$E21="", "", _xlfn.UNICHAR(HEX2DEC(RIGHT(【調】韻母標調!$E21,4))))), "")</f>
        <v>ǹ</v>
      </c>
      <c r="S21" s="3" t="str">
        <f xml:space="preserve"> IFERROR( _xlfn.CONCAT("l", "u", _xlfn.UNICHAR(HEX2DEC(RIGHT(【調】韻母標調!$O11,4))), "n"), "")</f>
        <v>lǔn</v>
      </c>
      <c r="T21" s="3" t="str">
        <f xml:space="preserve"> IFERROR( _xlfn.CONCAT("n", "g", "o", _xlfn.UNICHAR(HEX2DEC(RIGHT(【調】韻母標調!$O11,4))), "o"), "")</f>
        <v>ngǒo</v>
      </c>
    </row>
    <row r="22" spans="2:20" ht="30">
      <c r="I22" s="3">
        <v>6</v>
      </c>
      <c r="J22" s="68" t="str">
        <f>IFERROR( _xlfn.CONCAT(K$3, IF(【調】韻母標調!$E22="", "", _xlfn.UNICHAR(HEX2DEC(RIGHT(【調】韻母標調!$E22,4))))), "")</f>
        <v>â</v>
      </c>
      <c r="K22" s="68" t="str">
        <f>IFERROR( _xlfn.CONCAT(L$3, IF(【調】韻母標調!$E22="", "", _xlfn.UNICHAR(HEX2DEC(RIGHT(【調】韻母標調!$E22,4))))), "")</f>
        <v>î</v>
      </c>
      <c r="L22" s="68" t="str">
        <f>IFERROR( _xlfn.CONCAT(M$3, IF(【調】韻母標調!$E22="", "", _xlfn.UNICHAR(HEX2DEC(RIGHT(【調】韻母標調!$E22,4))))), "")</f>
        <v>û</v>
      </c>
      <c r="M22" s="68" t="str">
        <f>IFERROR( _xlfn.CONCAT(N$3, IF(【調】韻母標調!$E22="", "", _xlfn.UNICHAR(HEX2DEC(RIGHT(【調】韻母標調!$E22,4))))), "")</f>
        <v>ê</v>
      </c>
      <c r="N22" s="68" t="str">
        <f>IFERROR( _xlfn.CONCAT(O$3, IF(【調】韻母標調!$E22="", "", _xlfn.UNICHAR(HEX2DEC(RIGHT(【調】韻母標調!$E22,4))))), "")</f>
        <v>ô</v>
      </c>
      <c r="O22" s="68" t="str">
        <f>IFERROR( _xlfn.CONCAT(P$3, IF(【調】韻母標調!$E22="", "", _xlfn.UNICHAR(HEX2DEC(RIGHT(【調】韻母標調!$E22,4))))), "")</f>
        <v>m̂</v>
      </c>
      <c r="P22" s="68" t="str">
        <f>IFERROR( _xlfn.CONCAT(Q$3, IF(【調】韻母標調!$E22="", "", _xlfn.UNICHAR(HEX2DEC(RIGHT(【調】韻母標調!$E22,4))))), "")</f>
        <v>n̂</v>
      </c>
      <c r="S22" s="3" t="str">
        <f xml:space="preserve"> IFERROR( _xlfn.CONCAT("l", "u", _xlfn.UNICHAR(HEX2DEC(RIGHT(【調】韻母標調!$O5,4))), "n"), "")</f>
        <v>lûn</v>
      </c>
      <c r="T22" s="3" t="str">
        <f xml:space="preserve"> IFERROR( _xlfn.CONCAT("n", "g", "o", _xlfn.UNICHAR(HEX2DEC(RIGHT(【調】韻母標調!$O5,4))), "o"), "")</f>
        <v>ngôo</v>
      </c>
    </row>
    <row r="23" spans="2:20" ht="30">
      <c r="I23" s="3">
        <v>7</v>
      </c>
      <c r="J23" s="68" t="str">
        <f>IFERROR( _xlfn.CONCAT(K$3, IF(【調】韻母標調!$E23="", "", _xlfn.UNICHAR(HEX2DEC(RIGHT(【調】韻母標調!$E23,4))))), "")</f>
        <v>ā</v>
      </c>
      <c r="K23" s="68" t="str">
        <f>IFERROR( _xlfn.CONCAT(L$3, IF(【調】韻母標調!$E23="", "", _xlfn.UNICHAR(HEX2DEC(RIGHT(【調】韻母標調!$E23,4))))), "")</f>
        <v>ī</v>
      </c>
      <c r="L23" s="68" t="str">
        <f>IFERROR( _xlfn.CONCAT(M$3, IF(【調】韻母標調!$E23="", "", _xlfn.UNICHAR(HEX2DEC(RIGHT(【調】韻母標調!$E23,4))))), "")</f>
        <v>ū</v>
      </c>
      <c r="M23" s="68" t="str">
        <f>IFERROR( _xlfn.CONCAT(N$3, IF(【調】韻母標調!$E23="", "", _xlfn.UNICHAR(HEX2DEC(RIGHT(【調】韻母標調!$E23,4))))), "")</f>
        <v>ē</v>
      </c>
      <c r="N23" s="68" t="str">
        <f>IFERROR( _xlfn.CONCAT(O$3, IF(【調】韻母標調!$E23="", "", _xlfn.UNICHAR(HEX2DEC(RIGHT(【調】韻母標調!$E23,4))))), "")</f>
        <v>ō</v>
      </c>
      <c r="O23" s="68" t="str">
        <f>IFERROR( _xlfn.CONCAT(P$3, IF(【調】韻母標調!$E23="", "", _xlfn.UNICHAR(HEX2DEC(RIGHT(【調】韻母標調!$E23,4))))), "")</f>
        <v>m̄</v>
      </c>
      <c r="P23" s="68" t="str">
        <f>IFERROR( _xlfn.CONCAT(Q$3, IF(【調】韻母標調!$E23="", "", _xlfn.UNICHAR(HEX2DEC(RIGHT(【調】韻母標調!$E23,4))))), "")</f>
        <v>n̄</v>
      </c>
      <c r="S23" s="3" t="str">
        <f xml:space="preserve"> IFERROR( _xlfn.CONCAT("l", "u", _xlfn.UNICHAR(HEX2DEC(RIGHT(【調】韻母標調!$O10,4))), "n"), "")</f>
        <v>lún</v>
      </c>
      <c r="T23" s="3" t="str">
        <f xml:space="preserve"> IFERROR( _xlfn.CONCAT("n", "g", "o", _xlfn.UNICHAR(HEX2DEC(RIGHT(【調】韻母標調!$O10,4))), "o"), "")</f>
        <v>ngóo</v>
      </c>
    </row>
    <row r="24" spans="2:20" ht="30">
      <c r="I24" s="3">
        <v>8</v>
      </c>
      <c r="J24" s="68" t="str">
        <f>IFERROR( _xlfn.CONCAT(K$3, IF(【調】韻母標調!$E24="", "", _xlfn.UNICHAR(HEX2DEC(RIGHT(【調】韻母標調!$E24,4))))), "")</f>
        <v>á</v>
      </c>
      <c r="K24" s="68" t="str">
        <f>IFERROR( _xlfn.CONCAT(L$3, IF(【調】韻母標調!$E24="", "", _xlfn.UNICHAR(HEX2DEC(RIGHT(【調】韻母標調!$E24,4))))), "")</f>
        <v>í</v>
      </c>
      <c r="L24" s="68" t="str">
        <f>IFERROR( _xlfn.CONCAT(M$3, IF(【調】韻母標調!$E24="", "", _xlfn.UNICHAR(HEX2DEC(RIGHT(【調】韻母標調!$E24,4))))), "")</f>
        <v>ú</v>
      </c>
      <c r="M24" s="68" t="str">
        <f>IFERROR( _xlfn.CONCAT(N$3, IF(【調】韻母標調!$E24="", "", _xlfn.UNICHAR(HEX2DEC(RIGHT(【調】韻母標調!$E24,4))))), "")</f>
        <v>é</v>
      </c>
      <c r="N24" s="68" t="str">
        <f>IFERROR( _xlfn.CONCAT(O$3, IF(【調】韻母標調!$E24="", "", _xlfn.UNICHAR(HEX2DEC(RIGHT(【調】韻母標調!$E24,4))))), "")</f>
        <v>ó</v>
      </c>
      <c r="O24" s="68" t="str">
        <f>IFERROR( _xlfn.CONCAT(P$3, IF(【調】韻母標調!$E24="", "", _xlfn.UNICHAR(HEX2DEC(RIGHT(【調】韻母標調!$E24,4))))), "")</f>
        <v>ḿ</v>
      </c>
      <c r="P24" s="68" t="str">
        <f>IFERROR( _xlfn.CONCAT(Q$3, IF(【調】韻母標調!$E24="", "", _xlfn.UNICHAR(HEX2DEC(RIGHT(【調】韻母標調!$E24,4))))), "")</f>
        <v>ń</v>
      </c>
    </row>
    <row r="29" spans="2:20">
      <c r="J29" s="54" t="s">
        <v>383</v>
      </c>
      <c r="K29" s="54" t="s">
        <v>448</v>
      </c>
      <c r="L29" s="54" t="s">
        <v>393</v>
      </c>
      <c r="M29" s="54" t="s">
        <v>421</v>
      </c>
      <c r="N29" s="54" t="s">
        <v>399</v>
      </c>
      <c r="O29" s="54" t="s">
        <v>433</v>
      </c>
      <c r="P29" s="54" t="s">
        <v>439</v>
      </c>
      <c r="S29" s="3" t="s">
        <v>399</v>
      </c>
      <c r="T29" s="3" t="s">
        <v>399</v>
      </c>
    </row>
    <row r="30" spans="2:20" ht="30">
      <c r="I30" s="3">
        <v>1</v>
      </c>
      <c r="J30" s="68" t="str">
        <f>IFERROR( _xlfn.CONCAT(K$3, IF(【調】韻母標調!$E28="", "", _xlfn.UNICHAR(HEX2DEC(RIGHT(【調】韻母標調!$E28,4))))), "")</f>
        <v>a</v>
      </c>
      <c r="K30" s="68" t="str">
        <f>IFERROR( _xlfn.CONCAT(L$3, IF(【調】韻母標調!$E28="", "", _xlfn.UNICHAR(HEX2DEC(RIGHT(【調】韻母標調!$E28,4))))), "")</f>
        <v>i</v>
      </c>
      <c r="L30" s="68" t="str">
        <f>IFERROR( _xlfn.CONCAT(M$3, IF(【調】韻母標調!$E28="", "", _xlfn.UNICHAR(HEX2DEC(RIGHT(【調】韻母標調!$E28,4))))), "")</f>
        <v>u</v>
      </c>
      <c r="M30" s="68" t="str">
        <f>IFERROR( _xlfn.CONCAT(N$3, IF(【調】韻母標調!$E28="", "", _xlfn.UNICHAR(HEX2DEC(RIGHT(【調】韻母標調!$E28,4))))), "")</f>
        <v>e</v>
      </c>
      <c r="N30" s="68" t="str">
        <f>IFERROR( _xlfn.CONCAT(O$3, IF(【調】韻母標調!$E28="", "", _xlfn.UNICHAR(HEX2DEC(RIGHT(【調】韻母標調!$E28,4))))), "")</f>
        <v>o</v>
      </c>
      <c r="O30" s="68" t="str">
        <f>IFERROR( _xlfn.CONCAT(P$3, IF(【調】韻母標調!$E28="", "", _xlfn.UNICHAR(HEX2DEC(RIGHT(【調】韻母標調!$E28,4))))), "")</f>
        <v>m</v>
      </c>
      <c r="P30" s="68" t="str">
        <f>IFERROR( _xlfn.CONCAT(Q$3, IF(【調】韻母標調!$E28="", "", _xlfn.UNICHAR(HEX2DEC(RIGHT(【調】韻母標調!$E28,4))))), "")</f>
        <v>n</v>
      </c>
      <c r="S30" s="88" t="str">
        <f>IFERROR( _xlfn.CONCAT("l", "o", IF(【調】韻母標調!$M4="", "", _xlfn.UNICHAR(HEX2DEC(RIGHT(【調】韻母標調!$M4,4))))), "")</f>
        <v>lo</v>
      </c>
      <c r="T30" s="88" t="str">
        <f>IFERROR( _xlfn.CONCAT("l", "o", IF(【調】韻母標調!$M4="", "", _xlfn.UNICHAR(HEX2DEC(RIGHT(【調】韻母標調!$M4,4)))), "r", IF(OR(I30=4, I30=8), "k", "")), "")</f>
        <v>lor</v>
      </c>
    </row>
    <row r="31" spans="2:20" ht="30">
      <c r="I31" s="3">
        <v>2</v>
      </c>
      <c r="J31" s="68" t="str">
        <f>IFERROR( _xlfn.CONCAT(K$3, IF(【調】韻母標調!$M3="", "", _xlfn.UNICHAR(HEX2DEC(RIGHT(【調】韻母標調!$M3,4))))), "")</f>
        <v/>
      </c>
      <c r="K31" s="68" t="str">
        <f>IFERROR( _xlfn.CONCAT(L$3, IF(【調】韻母標調!$M3="", "", _xlfn.UNICHAR(HEX2DEC(RIGHT(【調】韻母標調!$M3,4))))), "")</f>
        <v/>
      </c>
      <c r="L31" s="68" t="str">
        <f>IFERROR( _xlfn.CONCAT(M$3, IF(【調】韻母標調!$M3="", "", _xlfn.UNICHAR(HEX2DEC(RIGHT(【調】韻母標調!$M3,4))))), "")</f>
        <v/>
      </c>
      <c r="M31" s="68" t="str">
        <f>IFERROR( _xlfn.CONCAT(N$3, IF(【調】韻母標調!$M3="", "", _xlfn.UNICHAR(HEX2DEC(RIGHT(【調】韻母標調!$M3,4))))), "")</f>
        <v/>
      </c>
      <c r="N31" s="68" t="str">
        <f>IFERROR( _xlfn.CONCAT(O$3, IF(【調】韻母標調!$M3="", "", _xlfn.UNICHAR(HEX2DEC(RIGHT(【調】韻母標調!$M3,4))))), "")</f>
        <v/>
      </c>
      <c r="O31" s="68" t="str">
        <f>IFERROR( _xlfn.CONCAT(P$3, IF(【調】韻母標調!$M3="", "", _xlfn.UNICHAR(HEX2DEC(RIGHT(【調】韻母標調!$M3,4))))), "")</f>
        <v/>
      </c>
      <c r="P31" s="68" t="str">
        <f>IFERROR( _xlfn.CONCAT(Q$3, IF(【調】韻母標調!$M3="", "", _xlfn.UNICHAR(HEX2DEC(RIGHT(【調】韻母標調!$M3,4))))), "")</f>
        <v/>
      </c>
      <c r="S31" s="88" t="str">
        <f>IFERROR( _xlfn.CONCAT("l", "o", IF(【調】韻母標調!$M6="", "", _xlfn.UNICHAR(HEX2DEC(RIGHT(【調】韻母標調!$M6,4))))), "")</f>
        <v>ló</v>
      </c>
      <c r="T31" s="88" t="str">
        <f>IFERROR( _xlfn.CONCAT("l", "o", IF(【調】韻母標調!$M6="", "", _xlfn.UNICHAR(HEX2DEC(RIGHT(【調】韻母標調!$M6,4)))), "r", IF(OR(I31=4, I31=8), "k", "")), "")</f>
        <v>lór</v>
      </c>
    </row>
    <row r="32" spans="2:20" ht="30">
      <c r="I32" s="3">
        <v>3</v>
      </c>
      <c r="J32" s="68" t="str">
        <f>IFERROR( _xlfn.CONCAT(K$3, IF(【調】韻母標調!$M4="", "", _xlfn.UNICHAR(HEX2DEC(RIGHT(【調】韻母標調!$M4,4))))), "")</f>
        <v>a</v>
      </c>
      <c r="K32" s="68" t="str">
        <f>IFERROR( _xlfn.CONCAT(L$3, IF(【調】韻母標調!$M4="", "", _xlfn.UNICHAR(HEX2DEC(RIGHT(【調】韻母標調!$M4,4))))), "")</f>
        <v>i</v>
      </c>
      <c r="L32" s="68" t="str">
        <f>IFERROR( _xlfn.CONCAT(M$3, IF(【調】韻母標調!$M4="", "", _xlfn.UNICHAR(HEX2DEC(RIGHT(【調】韻母標調!$M4,4))))), "")</f>
        <v>u</v>
      </c>
      <c r="M32" s="68" t="str">
        <f>IFERROR( _xlfn.CONCAT(N$3, IF(【調】韻母標調!$M4="", "", _xlfn.UNICHAR(HEX2DEC(RIGHT(【調】韻母標調!$M4,4))))), "")</f>
        <v>e</v>
      </c>
      <c r="N32" s="68" t="str">
        <f>IFERROR( _xlfn.CONCAT(O$3, IF(【調】韻母標調!$M4="", "", _xlfn.UNICHAR(HEX2DEC(RIGHT(【調】韻母標調!$M4,4))))), "")</f>
        <v>o</v>
      </c>
      <c r="O32" s="68" t="str">
        <f>IFERROR( _xlfn.CONCAT(P$3, IF(【調】韻母標調!$M4="", "", _xlfn.UNICHAR(HEX2DEC(RIGHT(【調】韻母標調!$M4,4))))), "")</f>
        <v>m</v>
      </c>
      <c r="P32" s="68" t="str">
        <f>IFERROR( _xlfn.CONCAT(Q$3, IF(【調】韻母標調!$M4="", "", _xlfn.UNICHAR(HEX2DEC(RIGHT(【調】韻母標調!$M4,4))))), "")</f>
        <v>n</v>
      </c>
      <c r="S32" s="88" t="str">
        <f>IFERROR( _xlfn.CONCAT("l", "o", IF(【調】韻母標調!$M7="", "", _xlfn.UNICHAR(HEX2DEC(RIGHT(【調】韻母標調!$M7,4))))), "")</f>
        <v>lò</v>
      </c>
      <c r="T32" s="88" t="str">
        <f>IFERROR( _xlfn.CONCAT("l", "o", IF(【調】韻母標調!$M7="", "", _xlfn.UNICHAR(HEX2DEC(RIGHT(【調】韻母標調!$M7,4)))), "r", IF(OR(I32=4, I32=8), "k", "")), "")</f>
        <v>lòr</v>
      </c>
    </row>
    <row r="33" spans="9:20" ht="30">
      <c r="I33" s="3">
        <v>4</v>
      </c>
      <c r="J33" s="68" t="str">
        <f>IFERROR( _xlfn.CONCAT(K$3, IF(【調】韻母標調!$M6="", "", _xlfn.UNICHAR(HEX2DEC(RIGHT(【調】韻母標調!$M6,4))))), "")</f>
        <v>á</v>
      </c>
      <c r="K33" s="68" t="str">
        <f>IFERROR( _xlfn.CONCAT(L$3, IF(【調】韻母標調!$M6="", "", _xlfn.UNICHAR(HEX2DEC(RIGHT(【調】韻母標調!$M6,4))))), "")</f>
        <v>í</v>
      </c>
      <c r="L33" s="68" t="str">
        <f>IFERROR( _xlfn.CONCAT(M$3, IF(【調】韻母標調!$M6="", "", _xlfn.UNICHAR(HEX2DEC(RIGHT(【調】韻母標調!$M6,4))))), "")</f>
        <v>ú</v>
      </c>
      <c r="M33" s="68" t="str">
        <f>IFERROR( _xlfn.CONCAT(N$3, IF(【調】韻母標調!$M6="", "", _xlfn.UNICHAR(HEX2DEC(RIGHT(【調】韻母標調!$M6,4))))), "")</f>
        <v>é</v>
      </c>
      <c r="N33" s="68" t="str">
        <f>IFERROR( _xlfn.CONCAT(O$3, IF(【調】韻母標調!$M6="", "", _xlfn.UNICHAR(HEX2DEC(RIGHT(【調】韻母標調!$M6,4))))), "")</f>
        <v>ó</v>
      </c>
      <c r="O33" s="68" t="str">
        <f>IFERROR( _xlfn.CONCAT(P$3, IF(【調】韻母標調!$M6="", "", _xlfn.UNICHAR(HEX2DEC(RIGHT(【調】韻母標調!$M6,4))))), "")</f>
        <v>ḿ</v>
      </c>
      <c r="P33" s="68" t="str">
        <f>IFERROR( _xlfn.CONCAT(Q$3, IF(【調】韻母標調!$M6="", "", _xlfn.UNICHAR(HEX2DEC(RIGHT(【調】韻母標調!$M6,4))))), "")</f>
        <v>ń</v>
      </c>
      <c r="S33" s="88" t="str">
        <f>IFERROR( _xlfn.CONCAT("l", "o", IF(【調】韻母標調!$M8="", "", _xlfn.UNICHAR(HEX2DEC(RIGHT(【調】韻母標調!$M8,4)))), "k"), "")</f>
        <v>lók</v>
      </c>
      <c r="T33" s="88" t="str">
        <f>IFERROR( _xlfn.CONCAT("l", "o", IF(【調】韻母標調!$M8="", "", _xlfn.UNICHAR(HEX2DEC(RIGHT(【調】韻母標調!$M8,4)))), "r", IF(OR(I33=4, I33=8), "k", "")), "")</f>
        <v>lórk</v>
      </c>
    </row>
    <row r="34" spans="9:20" ht="30">
      <c r="I34" s="3">
        <v>5</v>
      </c>
      <c r="J34" s="68" t="str">
        <f>IFERROR( _xlfn.CONCAT(K$3, IF(【調】韻母標調!$M7="", "", _xlfn.UNICHAR(HEX2DEC(RIGHT(【調】韻母標調!$M7,4))))), "")</f>
        <v>à</v>
      </c>
      <c r="K34" s="68" t="str">
        <f>IFERROR( _xlfn.CONCAT(L$3, IF(【調】韻母標調!$M7="", "", _xlfn.UNICHAR(HEX2DEC(RIGHT(【調】韻母標調!$M7,4))))), "")</f>
        <v>ì</v>
      </c>
      <c r="L34" s="68" t="str">
        <f>IFERROR( _xlfn.CONCAT(M$3, IF(【調】韻母標調!$M7="", "", _xlfn.UNICHAR(HEX2DEC(RIGHT(【調】韻母標調!$M7,4))))), "")</f>
        <v>ù</v>
      </c>
      <c r="M34" s="68" t="str">
        <f>IFERROR( _xlfn.CONCAT(N$3, IF(【調】韻母標調!$M7="", "", _xlfn.UNICHAR(HEX2DEC(RIGHT(【調】韻母標調!$M7,4))))), "")</f>
        <v>è</v>
      </c>
      <c r="N34" s="68" t="str">
        <f>IFERROR( _xlfn.CONCAT(O$3, IF(【調】韻母標調!$M7="", "", _xlfn.UNICHAR(HEX2DEC(RIGHT(【調】韻母標調!$M7,4))))), "")</f>
        <v>ò</v>
      </c>
      <c r="O34" s="68" t="str">
        <f>IFERROR( _xlfn.CONCAT(P$3, IF(【調】韻母標調!$M7="", "", _xlfn.UNICHAR(HEX2DEC(RIGHT(【調】韻母標調!$M7,4))))), "")</f>
        <v>m̀</v>
      </c>
      <c r="P34" s="68" t="str">
        <f>IFERROR( _xlfn.CONCAT(Q$3, IF(【調】韻母標調!$M7="", "", _xlfn.UNICHAR(HEX2DEC(RIGHT(【調】韻母標調!$M7,4))))), "")</f>
        <v>ǹ</v>
      </c>
      <c r="S34" s="88" t="str">
        <f>IFERROR( _xlfn.CONCAT("l", "o", IF(【調】韻母標調!$M9="", "", _xlfn.UNICHAR(HEX2DEC(RIGHT(【調】韻母標調!$M9,4))))), "")</f>
        <v>lǒ</v>
      </c>
      <c r="T34" s="88" t="str">
        <f>IFERROR( _xlfn.CONCAT("l", "o", IF(【調】韻母標調!$M9="", "", _xlfn.UNICHAR(HEX2DEC(RIGHT(【調】韻母標調!$M9,4)))), "r", IF(OR(I34=4, I34=8), "k", "")), "")</f>
        <v>lǒr</v>
      </c>
    </row>
    <row r="35" spans="9:20" ht="30">
      <c r="I35" s="3">
        <v>6</v>
      </c>
      <c r="J35" s="68" t="str">
        <f>IFERROR( _xlfn.CONCAT(K$3, IF(【調】韻母標調!$M8="", "", _xlfn.UNICHAR(HEX2DEC(RIGHT(【調】韻母標調!$M8,4))))), "")</f>
        <v>á</v>
      </c>
      <c r="K35" s="68" t="str">
        <f>IFERROR( _xlfn.CONCAT(L$3, IF(【調】韻母標調!$M8="", "", _xlfn.UNICHAR(HEX2DEC(RIGHT(【調】韻母標調!$M8,4))))), "")</f>
        <v>í</v>
      </c>
      <c r="L35" s="68" t="str">
        <f>IFERROR( _xlfn.CONCAT(M$3, IF(【調】韻母標調!$M8="", "", _xlfn.UNICHAR(HEX2DEC(RIGHT(【調】韻母標調!$M8,4))))), "")</f>
        <v>ú</v>
      </c>
      <c r="M35" s="68" t="str">
        <f>IFERROR( _xlfn.CONCAT(N$3, IF(【調】韻母標調!$M8="", "", _xlfn.UNICHAR(HEX2DEC(RIGHT(【調】韻母標調!$M8,4))))), "")</f>
        <v>é</v>
      </c>
      <c r="N35" s="68" t="str">
        <f>IFERROR( _xlfn.CONCAT(O$3, IF(【調】韻母標調!$M8="", "", _xlfn.UNICHAR(HEX2DEC(RIGHT(【調】韻母標調!$M8,4))))), "")</f>
        <v>ó</v>
      </c>
      <c r="O35" s="68" t="str">
        <f>IFERROR( _xlfn.CONCAT(P$3, IF(【調】韻母標調!$M8="", "", _xlfn.UNICHAR(HEX2DEC(RIGHT(【調】韻母標調!$M8,4))))), "")</f>
        <v>ḿ</v>
      </c>
      <c r="P35" s="68" t="str">
        <f>IFERROR( _xlfn.CONCAT(Q$3, IF(【調】韻母標調!$M8="", "", _xlfn.UNICHAR(HEX2DEC(RIGHT(【調】韻母標調!$M8,4))))), "")</f>
        <v>ń</v>
      </c>
      <c r="S35" s="88" t="str">
        <f>IFERROR( _xlfn.CONCAT("l", "o", IF(【調】韻母標調!$M11="", "", _xlfn.UNICHAR(HEX2DEC(RIGHT(【調】韻母標調!$M11,4))))), "")</f>
        <v>ló</v>
      </c>
      <c r="T35" s="88" t="str">
        <f>IFERROR( _xlfn.CONCAT("l", "o", IF(【調】韻母標調!$M11="", "", _xlfn.UNICHAR(HEX2DEC(RIGHT(【調】韻母標調!$M11,4)))), "r", IF(OR(I35=4, I35=8), "k", "")), "")</f>
        <v>lór</v>
      </c>
    </row>
    <row r="36" spans="9:20" ht="30">
      <c r="I36" s="3">
        <v>7</v>
      </c>
      <c r="J36" s="68" t="str">
        <f>IFERROR( _xlfn.CONCAT(K$3, IF(【調】韻母標調!$M9="", "", _xlfn.UNICHAR(HEX2DEC(RIGHT(【調】韻母標調!$M9,4))))), "")</f>
        <v>ǎ</v>
      </c>
      <c r="K36" s="68" t="str">
        <f>IFERROR( _xlfn.CONCAT(L$3, IF(【調】韻母標調!$M9="", "", _xlfn.UNICHAR(HEX2DEC(RIGHT(【調】韻母標調!$M9,4))))), "")</f>
        <v>ǐ</v>
      </c>
      <c r="L36" s="68" t="str">
        <f>IFERROR( _xlfn.CONCAT(M$3, IF(【調】韻母標調!$M9="", "", _xlfn.UNICHAR(HEX2DEC(RIGHT(【調】韻母標調!$M9,4))))), "")</f>
        <v>ǔ</v>
      </c>
      <c r="M36" s="68" t="str">
        <f>IFERROR( _xlfn.CONCAT(N$3, IF(【調】韻母標調!$M9="", "", _xlfn.UNICHAR(HEX2DEC(RIGHT(【調】韻母標調!$M9,4))))), "")</f>
        <v>ě</v>
      </c>
      <c r="N36" s="68" t="str">
        <f>IFERROR( _xlfn.CONCAT(O$3, IF(【調】韻母標調!$M9="", "", _xlfn.UNICHAR(HEX2DEC(RIGHT(【調】韻母標調!$M9,4))))), "")</f>
        <v>ǒ</v>
      </c>
      <c r="O36" s="68" t="str">
        <f>IFERROR( _xlfn.CONCAT(P$3, IF(【調】韻母標調!$M9="", "", _xlfn.UNICHAR(HEX2DEC(RIGHT(【調】韻母標調!$M9,4))))), "")</f>
        <v>m̌</v>
      </c>
      <c r="P36" s="68" t="str">
        <f>IFERROR( _xlfn.CONCAT(Q$3, IF(【調】韻母標調!$M9="", "", _xlfn.UNICHAR(HEX2DEC(RIGHT(【調】韻母標調!$M9,4))))), "")</f>
        <v>ň</v>
      </c>
      <c r="S36" s="88" t="str">
        <f>IFERROR( _xlfn.CONCAT("l", "o", IF(【調】韻母標調!$M5="", "", _xlfn.UNICHAR(HEX2DEC(RIGHT(【調】韻母標調!$M5,4))))), "")</f>
        <v>lō</v>
      </c>
      <c r="T36" s="88" t="str">
        <f>IFERROR( _xlfn.CONCAT("l", "o", IF(【調】韻母標調!$M5="", "", _xlfn.UNICHAR(HEX2DEC(RIGHT(【調】韻母標調!$M5,4)))), "r", IF(OR(I36=4, I36=8), "k", "")), "")</f>
        <v>lōr</v>
      </c>
    </row>
    <row r="37" spans="9:20" ht="30">
      <c r="I37" s="3">
        <v>8</v>
      </c>
      <c r="J37" s="68" t="str">
        <f>IFERROR( _xlfn.CONCAT(K$3, IF(【調】韻母標調!$M11="", "", _xlfn.UNICHAR(HEX2DEC(RIGHT(【調】韻母標調!$M11,4))))), "")</f>
        <v>á</v>
      </c>
      <c r="K37" s="68" t="str">
        <f>IFERROR( _xlfn.CONCAT(L$3, IF(【調】韻母標調!$M11="", "", _xlfn.UNICHAR(HEX2DEC(RIGHT(【調】韻母標調!$M11,4))))), "")</f>
        <v>í</v>
      </c>
      <c r="L37" s="68" t="str">
        <f>IFERROR( _xlfn.CONCAT(M$3, IF(【調】韻母標調!$M11="", "", _xlfn.UNICHAR(HEX2DEC(RIGHT(【調】韻母標調!$M11,4))))), "")</f>
        <v>ú</v>
      </c>
      <c r="M37" s="68" t="str">
        <f>IFERROR( _xlfn.CONCAT(N$3, IF(【調】韻母標調!$M11="", "", _xlfn.UNICHAR(HEX2DEC(RIGHT(【調】韻母標調!$M11,4))))), "")</f>
        <v>é</v>
      </c>
      <c r="N37" s="68" t="str">
        <f>IFERROR( _xlfn.CONCAT(O$3, IF(【調】韻母標調!$M11="", "", _xlfn.UNICHAR(HEX2DEC(RIGHT(【調】韻母標調!$M11,4))))), "")</f>
        <v>ó</v>
      </c>
      <c r="O37" s="68" t="str">
        <f>IFERROR( _xlfn.CONCAT(P$3, IF(【調】韻母標調!$M11="", "", _xlfn.UNICHAR(HEX2DEC(RIGHT(【調】韻母標調!$M11,4))))), "")</f>
        <v>ḿ</v>
      </c>
      <c r="P37" s="68" t="str">
        <f>IFERROR( _xlfn.CONCAT(Q$3, IF(【調】韻母標調!$M11="", "", _xlfn.UNICHAR(HEX2DEC(RIGHT(【調】韻母標調!$M11,4))))), "")</f>
        <v>ń</v>
      </c>
      <c r="S37" s="88" t="str">
        <f>IFERROR( _xlfn.CONCAT("l", "o", IF(【調】韻母標調!$M10="", "", _xlfn.UNICHAR(HEX2DEC(RIGHT(【調】韻母標調!$M10,4)))), "k"), "")</f>
        <v>lo̍k</v>
      </c>
      <c r="T37" s="88" t="str">
        <f>IFERROR( _xlfn.CONCAT("l", "o", IF(【調】韻母標調!$M10="", "", _xlfn.UNICHAR(HEX2DEC(RIGHT(【調】韻母標調!$M10,4)))), "r", IF(OR(I37=4, I37=8), "k", "")), "")</f>
        <v>lo̍rk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13</vt:i4>
      </vt:variant>
    </vt:vector>
  </HeadingPairs>
  <TitlesOfParts>
    <vt:vector size="25" baseType="lpstr">
      <vt:lpstr>切語查音</vt:lpstr>
      <vt:lpstr>查字表</vt:lpstr>
      <vt:lpstr>【聲】聲母對照表</vt:lpstr>
      <vt:lpstr>【韻】韻母對照表</vt:lpstr>
      <vt:lpstr>廣韻41聲【閩南語聲韻學】</vt:lpstr>
      <vt:lpstr>切語上字表</vt:lpstr>
      <vt:lpstr>切語下字表</vt:lpstr>
      <vt:lpstr>聲調對照表</vt:lpstr>
      <vt:lpstr>【調】韻母標調</vt:lpstr>
      <vt:lpstr>宋人三十六字母表</vt:lpstr>
      <vt:lpstr>宋人三十六字母表 (2)</vt:lpstr>
      <vt:lpstr>符號工具</vt:lpstr>
      <vt:lpstr>切語下字表!Print_Area</vt:lpstr>
      <vt:lpstr>切語下字表!Print_Titles</vt:lpstr>
      <vt:lpstr>方音符號調符</vt:lpstr>
      <vt:lpstr>古漢語調值</vt:lpstr>
      <vt:lpstr>台羅調名</vt:lpstr>
      <vt:lpstr>台羅調值</vt:lpstr>
      <vt:lpstr>台羅調號</vt:lpstr>
      <vt:lpstr>台羅變調</vt:lpstr>
      <vt:lpstr>雅俗通聲調</vt:lpstr>
      <vt:lpstr>漢語四聲</vt:lpstr>
      <vt:lpstr>漢語變調</vt:lpstr>
      <vt:lpstr>閩拼八聲調</vt:lpstr>
      <vt:lpstr>廣韻聲調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2026-09-16T05:48:30Z</dcterms:created>
  <dcterms:modified xsi:type="dcterms:W3CDTF">2026-09-18T09:12:06Z</dcterms:modified>
  <cp:category/>
  <cp:contentStatus/>
</cp:coreProperties>
</file>