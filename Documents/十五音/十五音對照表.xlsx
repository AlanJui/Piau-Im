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十五音\"/>
    </mc:Choice>
  </mc:AlternateContent>
  <xr:revisionPtr revIDLastSave="0" documentId="13_ncr:1_{E3594B64-D92A-41CC-8C6A-FFC63A253571}" xr6:coauthVersionLast="47" xr6:coauthVersionMax="47" xr10:uidLastSave="{00000000-0000-0000-0000-000000000000}"/>
  <bookViews>
    <workbookView xWindow="-120" yWindow="-120" windowWidth="16440" windowHeight="28320" xr2:uid="{8104FEB9-A6FE-4E2C-8A90-042084583D1C}"/>
  </bookViews>
  <sheets>
    <sheet name="馬重奇韻母50字" sheetId="6" r:id="rId1"/>
    <sheet name="聲母表" sheetId="2" r:id="rId2"/>
    <sheet name="韻母表" sheetId="3" r:id="rId3"/>
    <sheet name="韻母表 (2)" sheetId="4" r:id="rId4"/>
    <sheet name="十五音韻母" sheetId="5" r:id="rId5"/>
  </sheets>
  <definedNames>
    <definedName name="_xlcn.WorksheetConnection_十五音_工作簿.xlsx漢字表1" hidden="1">漢字表</definedName>
    <definedName name="_xlcn.WorksheetConnection_十五音_工作簿.xlsx聲母表1" hidden="1">聲母表[]</definedName>
    <definedName name="_xlcn.WorksheetConnection_十五音_工作簿.xlsx韻母表1" hidden="1">韻母表[]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漢字表" name="漢字表" connection="WorksheetConnection_十五音_工作簿.xlsx!漢字表"/>
          <x15:modelTable id="聲母表" name="聲母表" connection="WorksheetConnection_十五音_工作簿.xlsx!聲母表"/>
          <x15:modelTable id="韻母表" name="韻母表" connection="WorksheetConnection_十五音_工作簿.xlsx!韻母表"/>
        </x15:modelTables>
        <x15:modelRelationships>
          <x15:modelRelationship fromTable="漢字表" fromColumn="韻" toTable="韻母表" toColumn="識別號"/>
          <x15:modelRelationship fromTable="漢字表" fromColumn="聲" toTable="聲母表" toColumn="識別號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S3" i="5"/>
  <c r="T3" i="5" s="1"/>
  <c r="U3" i="5" s="1"/>
  <c r="W3" i="5"/>
  <c r="X3" i="5" s="1"/>
  <c r="A4" i="5"/>
  <c r="S4" i="5"/>
  <c r="T4" i="5" s="1"/>
  <c r="U4" i="5" s="1"/>
  <c r="W4" i="5"/>
  <c r="X4" i="5" s="1"/>
  <c r="A5" i="5"/>
  <c r="S5" i="5"/>
  <c r="T5" i="5"/>
  <c r="U5" i="5" s="1"/>
  <c r="W5" i="5"/>
  <c r="Q5" i="5" s="1"/>
  <c r="A6" i="5"/>
  <c r="S6" i="5"/>
  <c r="W6" i="5"/>
  <c r="X6" i="5" s="1"/>
  <c r="Y6" i="5" s="1"/>
  <c r="A7" i="5"/>
  <c r="S7" i="5"/>
  <c r="T7" i="5" s="1"/>
  <c r="U7" i="5" s="1"/>
  <c r="W7" i="5"/>
  <c r="X7" i="5" s="1"/>
  <c r="A8" i="5"/>
  <c r="S8" i="5"/>
  <c r="W8" i="5"/>
  <c r="X8" i="5" s="1"/>
  <c r="A9" i="5"/>
  <c r="S9" i="5"/>
  <c r="T9" i="5" s="1"/>
  <c r="U9" i="5" s="1"/>
  <c r="W9" i="5"/>
  <c r="X9" i="5" s="1"/>
  <c r="Y9" i="5" s="1"/>
  <c r="A10" i="5"/>
  <c r="S10" i="5"/>
  <c r="T10" i="5" s="1"/>
  <c r="U10" i="5" s="1"/>
  <c r="W10" i="5"/>
  <c r="X10" i="5" s="1"/>
  <c r="Y10" i="5" s="1"/>
  <c r="A11" i="5"/>
  <c r="S11" i="5"/>
  <c r="T11" i="5" s="1"/>
  <c r="U11" i="5" s="1"/>
  <c r="W11" i="5"/>
  <c r="X11" i="5" s="1"/>
  <c r="A12" i="5"/>
  <c r="S12" i="5"/>
  <c r="T12" i="5" s="1"/>
  <c r="U12" i="5" s="1"/>
  <c r="W12" i="5"/>
  <c r="X12" i="5" s="1"/>
  <c r="A13" i="5"/>
  <c r="S13" i="5"/>
  <c r="T13" i="5" s="1"/>
  <c r="U13" i="5" s="1"/>
  <c r="W13" i="5"/>
  <c r="A14" i="5"/>
  <c r="S14" i="5"/>
  <c r="W14" i="5"/>
  <c r="X14" i="5" s="1"/>
  <c r="Y14" i="5" s="1"/>
  <c r="A15" i="5"/>
  <c r="S15" i="5"/>
  <c r="T15" i="5" s="1"/>
  <c r="U15" i="5" s="1"/>
  <c r="W15" i="5"/>
  <c r="X15" i="5" s="1"/>
  <c r="A16" i="5"/>
  <c r="S16" i="5"/>
  <c r="W16" i="5"/>
  <c r="X16" i="5" s="1"/>
  <c r="A17" i="5"/>
  <c r="S17" i="5"/>
  <c r="T17" i="5" s="1"/>
  <c r="U17" i="5" s="1"/>
  <c r="W17" i="5"/>
  <c r="X17" i="5" s="1"/>
  <c r="Y17" i="5" s="1"/>
  <c r="A18" i="5"/>
  <c r="S18" i="5"/>
  <c r="W18" i="5"/>
  <c r="X18" i="5" s="1"/>
  <c r="Y18" i="5" s="1"/>
  <c r="A19" i="5"/>
  <c r="S19" i="5"/>
  <c r="T19" i="5" s="1"/>
  <c r="U19" i="5" s="1"/>
  <c r="W19" i="5"/>
  <c r="X19" i="5" s="1"/>
  <c r="A20" i="5"/>
  <c r="S20" i="5"/>
  <c r="T20" i="5" s="1"/>
  <c r="U20" i="5" s="1"/>
  <c r="W20" i="5"/>
  <c r="X20" i="5" s="1"/>
  <c r="A21" i="5"/>
  <c r="S21" i="5"/>
  <c r="T21" i="5" s="1"/>
  <c r="U21" i="5" s="1"/>
  <c r="W21" i="5"/>
  <c r="Q21" i="5" s="1"/>
  <c r="A22" i="5"/>
  <c r="S22" i="5"/>
  <c r="W22" i="5"/>
  <c r="X22" i="5" s="1"/>
  <c r="Y22" i="5" s="1"/>
  <c r="A23" i="5"/>
  <c r="S23" i="5"/>
  <c r="T23" i="5" s="1"/>
  <c r="U23" i="5" s="1"/>
  <c r="W23" i="5"/>
  <c r="X23" i="5" s="1"/>
  <c r="A24" i="5"/>
  <c r="S24" i="5"/>
  <c r="W24" i="5"/>
  <c r="X24" i="5" s="1"/>
  <c r="A25" i="5"/>
  <c r="S25" i="5"/>
  <c r="T25" i="5" s="1"/>
  <c r="U25" i="5" s="1"/>
  <c r="W25" i="5"/>
  <c r="X25" i="5" s="1"/>
  <c r="Y25" i="5" s="1"/>
  <c r="A26" i="5"/>
  <c r="S26" i="5"/>
  <c r="T26" i="5" s="1"/>
  <c r="U26" i="5" s="1"/>
  <c r="W26" i="5"/>
  <c r="X26" i="5" s="1"/>
  <c r="A27" i="5"/>
  <c r="S27" i="5"/>
  <c r="W27" i="5"/>
  <c r="X27" i="5" s="1"/>
  <c r="A28" i="5"/>
  <c r="S28" i="5"/>
  <c r="T28" i="5" s="1"/>
  <c r="U28" i="5" s="1"/>
  <c r="W28" i="5"/>
  <c r="X28" i="5" s="1"/>
  <c r="A29" i="5"/>
  <c r="S29" i="5"/>
  <c r="T29" i="5" s="1"/>
  <c r="U29" i="5" s="1"/>
  <c r="W29" i="5"/>
  <c r="A30" i="5"/>
  <c r="S30" i="5"/>
  <c r="W30" i="5"/>
  <c r="X30" i="5" s="1"/>
  <c r="Y30" i="5" s="1"/>
  <c r="A31" i="5"/>
  <c r="S31" i="5"/>
  <c r="T31" i="5" s="1"/>
  <c r="U31" i="5" s="1"/>
  <c r="W31" i="5"/>
  <c r="X31" i="5" s="1"/>
  <c r="A32" i="5"/>
  <c r="S32" i="5"/>
  <c r="W32" i="5"/>
  <c r="X32" i="5" s="1"/>
  <c r="Y32" i="5" s="1"/>
  <c r="A33" i="5"/>
  <c r="S33" i="5"/>
  <c r="T33" i="5" s="1"/>
  <c r="U33" i="5" s="1"/>
  <c r="W33" i="5"/>
  <c r="X33" i="5" s="1"/>
  <c r="A34" i="5"/>
  <c r="S34" i="5"/>
  <c r="T34" i="5" s="1"/>
  <c r="U34" i="5" s="1"/>
  <c r="W34" i="5"/>
  <c r="X34" i="5" s="1"/>
  <c r="Y34" i="5" s="1"/>
  <c r="A35" i="5"/>
  <c r="S35" i="5"/>
  <c r="T35" i="5" s="1"/>
  <c r="U35" i="5" s="1"/>
  <c r="W35" i="5"/>
  <c r="X35" i="5" s="1"/>
  <c r="A36" i="5"/>
  <c r="S36" i="5"/>
  <c r="T36" i="5" s="1"/>
  <c r="U36" i="5" s="1"/>
  <c r="W36" i="5"/>
  <c r="X36" i="5" s="1"/>
  <c r="A37" i="5"/>
  <c r="S37" i="5"/>
  <c r="T37" i="5" s="1"/>
  <c r="U37" i="5" s="1"/>
  <c r="W37" i="5"/>
  <c r="A38" i="5"/>
  <c r="S38" i="5"/>
  <c r="W38" i="5"/>
  <c r="X38" i="5" s="1"/>
  <c r="Y38" i="5" s="1"/>
  <c r="A39" i="5"/>
  <c r="S39" i="5"/>
  <c r="T39" i="5" s="1"/>
  <c r="U39" i="5" s="1"/>
  <c r="W39" i="5"/>
  <c r="X39" i="5" s="1"/>
  <c r="A40" i="5"/>
  <c r="S40" i="5"/>
  <c r="W40" i="5"/>
  <c r="X40" i="5" s="1"/>
  <c r="Y40" i="5" s="1"/>
  <c r="A41" i="5"/>
  <c r="S41" i="5"/>
  <c r="T41" i="5" s="1"/>
  <c r="U41" i="5" s="1"/>
  <c r="W41" i="5"/>
  <c r="X41" i="5" s="1"/>
  <c r="A42" i="5"/>
  <c r="S42" i="5"/>
  <c r="T42" i="5" s="1"/>
  <c r="U42" i="5" s="1"/>
  <c r="W42" i="5"/>
  <c r="X42" i="5" s="1"/>
  <c r="A43" i="5"/>
  <c r="S43" i="5"/>
  <c r="T43" i="5" s="1"/>
  <c r="U43" i="5" s="1"/>
  <c r="W43" i="5"/>
  <c r="X43" i="5" s="1"/>
  <c r="A44" i="5"/>
  <c r="S44" i="5"/>
  <c r="T44" i="5" s="1"/>
  <c r="U44" i="5" s="1"/>
  <c r="W44" i="5"/>
  <c r="X44" i="5" s="1"/>
  <c r="A45" i="5"/>
  <c r="S45" i="5"/>
  <c r="T45" i="5" s="1"/>
  <c r="U45" i="5" s="1"/>
  <c r="W45" i="5"/>
  <c r="A46" i="5"/>
  <c r="S46" i="5"/>
  <c r="W46" i="5"/>
  <c r="X46" i="5" s="1"/>
  <c r="A47" i="5"/>
  <c r="S47" i="5"/>
  <c r="W47" i="5"/>
  <c r="X47" i="5"/>
  <c r="A48" i="5"/>
  <c r="S48" i="5"/>
  <c r="T48" i="5" s="1"/>
  <c r="U48" i="5" s="1"/>
  <c r="O48" i="5" s="1"/>
  <c r="W48" i="5"/>
  <c r="X48" i="5" s="1"/>
  <c r="A49" i="5"/>
  <c r="S49" i="5"/>
  <c r="T49" i="5" s="1"/>
  <c r="U49" i="5" s="1"/>
  <c r="O49" i="5" s="1"/>
  <c r="W49" i="5"/>
  <c r="X49" i="5" s="1"/>
  <c r="A50" i="5"/>
  <c r="S50" i="5"/>
  <c r="W50" i="5"/>
  <c r="X50" i="5" s="1"/>
  <c r="A51" i="5"/>
  <c r="S51" i="5"/>
  <c r="T51" i="5" s="1"/>
  <c r="U51" i="5" s="1"/>
  <c r="O51" i="5" s="1"/>
  <c r="W51" i="5"/>
  <c r="X51" i="5" s="1"/>
  <c r="A52" i="5"/>
  <c r="S52" i="5"/>
  <c r="T52" i="5" s="1"/>
  <c r="U52" i="5" s="1"/>
  <c r="W52" i="5"/>
  <c r="Q13" i="5" l="1"/>
  <c r="Y8" i="5"/>
  <c r="Q29" i="5"/>
  <c r="Q6" i="5"/>
  <c r="Y26" i="5"/>
  <c r="O26" i="5" s="1"/>
  <c r="Y16" i="5"/>
  <c r="Y41" i="5"/>
  <c r="O41" i="5" s="1"/>
  <c r="Q24" i="5"/>
  <c r="Q18" i="5"/>
  <c r="Q37" i="5"/>
  <c r="Q30" i="5"/>
  <c r="Q36" i="5"/>
  <c r="N36" i="5" s="1"/>
  <c r="Q27" i="5"/>
  <c r="Y20" i="5"/>
  <c r="O20" i="5" s="1"/>
  <c r="Y23" i="5"/>
  <c r="O23" i="5" s="1"/>
  <c r="Q48" i="5"/>
  <c r="N48" i="5" s="1"/>
  <c r="Q14" i="5"/>
  <c r="Q20" i="5"/>
  <c r="N20" i="5" s="1"/>
  <c r="Q38" i="5"/>
  <c r="Q32" i="5"/>
  <c r="Q44" i="5"/>
  <c r="N44" i="5" s="1"/>
  <c r="Q47" i="5"/>
  <c r="Q4" i="5"/>
  <c r="N4" i="5" s="1"/>
  <c r="Q19" i="5"/>
  <c r="N19" i="5" s="1"/>
  <c r="O25" i="5"/>
  <c r="Q46" i="5"/>
  <c r="Q43" i="5"/>
  <c r="N43" i="5" s="1"/>
  <c r="Q40" i="5"/>
  <c r="Q34" i="5"/>
  <c r="N34" i="5" s="1"/>
  <c r="Y12" i="5"/>
  <c r="O12" i="5" s="1"/>
  <c r="Y24" i="5"/>
  <c r="Y15" i="5"/>
  <c r="O15" i="5" s="1"/>
  <c r="Q42" i="5"/>
  <c r="N42" i="5" s="1"/>
  <c r="Q11" i="5"/>
  <c r="N11" i="5" s="1"/>
  <c r="Q51" i="5"/>
  <c r="N51" i="5" s="1"/>
  <c r="Q26" i="5"/>
  <c r="N26" i="5" s="1"/>
  <c r="Y7" i="5"/>
  <c r="O7" i="5" s="1"/>
  <c r="Y28" i="5"/>
  <c r="O28" i="5" s="1"/>
  <c r="Y31" i="5"/>
  <c r="O31" i="5" s="1"/>
  <c r="O10" i="5"/>
  <c r="Q50" i="5"/>
  <c r="Q16" i="5"/>
  <c r="Q45" i="5"/>
  <c r="Y42" i="5"/>
  <c r="O42" i="5" s="1"/>
  <c r="Y36" i="5"/>
  <c r="O36" i="5" s="1"/>
  <c r="Y33" i="5"/>
  <c r="O33" i="5" s="1"/>
  <c r="Y44" i="5"/>
  <c r="O44" i="5" s="1"/>
  <c r="Q8" i="5"/>
  <c r="O17" i="5"/>
  <c r="Q35" i="5"/>
  <c r="N35" i="5" s="1"/>
  <c r="Y4" i="5"/>
  <c r="O4" i="5" s="1"/>
  <c r="Q22" i="5"/>
  <c r="Q10" i="5"/>
  <c r="N10" i="5" s="1"/>
  <c r="O34" i="5"/>
  <c r="Q28" i="5"/>
  <c r="N28" i="5" s="1"/>
  <c r="Q52" i="5"/>
  <c r="Q49" i="5"/>
  <c r="N49" i="5" s="1"/>
  <c r="Y39" i="5"/>
  <c r="O39" i="5" s="1"/>
  <c r="T27" i="5"/>
  <c r="U27" i="5" s="1"/>
  <c r="T18" i="5"/>
  <c r="U18" i="5" s="1"/>
  <c r="O18" i="5" s="1"/>
  <c r="Q12" i="5"/>
  <c r="N12" i="5" s="1"/>
  <c r="O9" i="5"/>
  <c r="N3" i="5"/>
  <c r="X52" i="5"/>
  <c r="Y52" i="5" s="1"/>
  <c r="O52" i="5" s="1"/>
  <c r="T47" i="5"/>
  <c r="U47" i="5" s="1"/>
  <c r="O47" i="5" s="1"/>
  <c r="X45" i="5"/>
  <c r="Y45" i="5" s="1"/>
  <c r="O45" i="5" s="1"/>
  <c r="X37" i="5"/>
  <c r="Y37" i="5" s="1"/>
  <c r="O37" i="5" s="1"/>
  <c r="X29" i="5"/>
  <c r="Y29" i="5" s="1"/>
  <c r="O29" i="5" s="1"/>
  <c r="X21" i="5"/>
  <c r="Y21" i="5" s="1"/>
  <c r="O21" i="5" s="1"/>
  <c r="X13" i="5"/>
  <c r="Y13" i="5" s="1"/>
  <c r="O13" i="5" s="1"/>
  <c r="X5" i="5"/>
  <c r="Y5" i="5" s="1"/>
  <c r="O5" i="5" s="1"/>
  <c r="Q41" i="5"/>
  <c r="N41" i="5" s="1"/>
  <c r="Q9" i="5"/>
  <c r="N9" i="5" s="1"/>
  <c r="Q39" i="5"/>
  <c r="N39" i="5" s="1"/>
  <c r="Q7" i="5"/>
  <c r="N7" i="5" s="1"/>
  <c r="Y43" i="5"/>
  <c r="O43" i="5" s="1"/>
  <c r="Y35" i="5"/>
  <c r="O35" i="5" s="1"/>
  <c r="Y27" i="5"/>
  <c r="Y19" i="5"/>
  <c r="O19" i="5" s="1"/>
  <c r="Y11" i="5"/>
  <c r="O11" i="5" s="1"/>
  <c r="Y3" i="5"/>
  <c r="O3" i="5" s="1"/>
  <c r="Q31" i="5"/>
  <c r="N31" i="5" s="1"/>
  <c r="T50" i="5"/>
  <c r="U50" i="5" s="1"/>
  <c r="O50" i="5" s="1"/>
  <c r="T40" i="5"/>
  <c r="U40" i="5" s="1"/>
  <c r="O40" i="5" s="1"/>
  <c r="T32" i="5"/>
  <c r="U32" i="5" s="1"/>
  <c r="O32" i="5" s="1"/>
  <c r="T24" i="5"/>
  <c r="U24" i="5" s="1"/>
  <c r="T16" i="5"/>
  <c r="U16" i="5" s="1"/>
  <c r="T8" i="5"/>
  <c r="U8" i="5" s="1"/>
  <c r="O8" i="5" s="1"/>
  <c r="Q25" i="5"/>
  <c r="N25" i="5" s="1"/>
  <c r="T46" i="5"/>
  <c r="U46" i="5" s="1"/>
  <c r="O46" i="5" s="1"/>
  <c r="T38" i="5"/>
  <c r="U38" i="5" s="1"/>
  <c r="O38" i="5" s="1"/>
  <c r="T30" i="5"/>
  <c r="U30" i="5" s="1"/>
  <c r="O30" i="5" s="1"/>
  <c r="T22" i="5"/>
  <c r="U22" i="5" s="1"/>
  <c r="O22" i="5" s="1"/>
  <c r="T14" i="5"/>
  <c r="U14" i="5" s="1"/>
  <c r="O14" i="5" s="1"/>
  <c r="T6" i="5"/>
  <c r="U6" i="5" s="1"/>
  <c r="O6" i="5" s="1"/>
  <c r="Q33" i="5"/>
  <c r="N33" i="5" s="1"/>
  <c r="Q17" i="5"/>
  <c r="N17" i="5" s="1"/>
  <c r="Q23" i="5"/>
  <c r="N23" i="5" s="1"/>
  <c r="Q15" i="5"/>
  <c r="N15" i="5" s="1"/>
  <c r="O16" i="5" l="1"/>
  <c r="O27" i="5"/>
  <c r="N47" i="5"/>
  <c r="N22" i="5"/>
  <c r="N50" i="5"/>
  <c r="N40" i="5"/>
  <c r="N6" i="5"/>
  <c r="N37" i="5"/>
  <c r="N18" i="5"/>
  <c r="N27" i="5"/>
  <c r="N29" i="5"/>
  <c r="N45" i="5"/>
  <c r="O24" i="5"/>
  <c r="N52" i="5"/>
  <c r="N16" i="5"/>
  <c r="N14" i="5"/>
  <c r="N24" i="5"/>
  <c r="N5" i="5"/>
  <c r="N30" i="5"/>
  <c r="N13" i="5"/>
  <c r="N32" i="5"/>
  <c r="N21" i="5"/>
  <c r="N38" i="5"/>
  <c r="N46" i="5"/>
  <c r="N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3E1FFC-3262-4D63-A676-F511BD7B8F0B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6A407A2-0923-45C9-9791-1FD822F2BD63}" name="WorksheetConnection_十五音_工作簿.xlsx!漢字表" type="102" refreshedVersion="8" minRefreshableVersion="5">
    <extLst>
      <ext xmlns:x15="http://schemas.microsoft.com/office/spreadsheetml/2010/11/main" uri="{DE250136-89BD-433C-8126-D09CA5730AF9}">
        <x15:connection id="漢字表">
          <x15:rangePr sourceName="_xlcn.WorksheetConnection_十五音_工作簿.xlsx漢字表1"/>
        </x15:connection>
      </ext>
    </extLst>
  </connection>
  <connection id="3" xr16:uid="{A9CCBF50-515F-41A1-B0C0-F5EB606C7CAD}" name="WorksheetConnection_十五音_工作簿.xlsx!聲母表" type="102" refreshedVersion="8" minRefreshableVersion="5">
    <extLst>
      <ext xmlns:x15="http://schemas.microsoft.com/office/spreadsheetml/2010/11/main" uri="{DE250136-89BD-433C-8126-D09CA5730AF9}">
        <x15:connection id="聲母表">
          <x15:rangePr sourceName="_xlcn.WorksheetConnection_十五音_工作簿.xlsx聲母表1"/>
        </x15:connection>
      </ext>
    </extLst>
  </connection>
  <connection id="4" xr16:uid="{7B5E404B-06A4-44A7-89D4-C109F1B8D23B}" name="WorksheetConnection_十五音_工作簿.xlsx!韻母表" type="102" refreshedVersion="8" minRefreshableVersion="5">
    <extLst>
      <ext xmlns:x15="http://schemas.microsoft.com/office/spreadsheetml/2010/11/main" uri="{DE250136-89BD-433C-8126-D09CA5730AF9}">
        <x15:connection id="韻母表">
          <x15:rangePr sourceName="_xlcn.WorksheetConnection_十五音_工作簿.xlsx韻母表1"/>
        </x15:connection>
      </ext>
    </extLst>
  </connection>
  <connection id="5" xr16:uid="{7C26E037-59DD-4A7B-96BC-65BFA7383995}" keepAlive="1" name="查詢 - han_ji (2)" description="與活頁簿中 'han_ji (2)' 查詢的連接。" type="5" refreshedVersion="8" background="1" saveData="1">
    <dbPr connection="Provider=Microsoft.Mashup.OleDb.1;Data Source=$Workbook$;Location=&quot;han_ji (2)&quot;;Extended Properties=&quot;&quot;" command="SELECT * FROM [han_ji (2)]"/>
  </connection>
</connections>
</file>

<file path=xl/sharedStrings.xml><?xml version="1.0" encoding="utf-8"?>
<sst xmlns="http://schemas.openxmlformats.org/spreadsheetml/2006/main" count="2265" uniqueCount="887">
  <si>
    <t>舒促聲</t>
  </si>
  <si>
    <t>柳</t>
  </si>
  <si>
    <t>君</t>
  </si>
  <si>
    <t>舒聲</t>
  </si>
  <si>
    <t>l</t>
  </si>
  <si>
    <t>un</t>
  </si>
  <si>
    <t>邊</t>
  </si>
  <si>
    <t>p</t>
  </si>
  <si>
    <t>求</t>
  </si>
  <si>
    <t>k</t>
  </si>
  <si>
    <t>褌</t>
  </si>
  <si>
    <t>去</t>
  </si>
  <si>
    <t>kh</t>
  </si>
  <si>
    <t>地</t>
  </si>
  <si>
    <t>t</t>
  </si>
  <si>
    <t>頗</t>
  </si>
  <si>
    <t>ph</t>
  </si>
  <si>
    <t>他</t>
  </si>
  <si>
    <t>th</t>
  </si>
  <si>
    <t>曾</t>
  </si>
  <si>
    <t>z</t>
  </si>
  <si>
    <t>時</t>
  </si>
  <si>
    <t>s</t>
  </si>
  <si>
    <t>英</t>
  </si>
  <si>
    <t>q</t>
  </si>
  <si>
    <t>出</t>
  </si>
  <si>
    <t>c</t>
  </si>
  <si>
    <t>喜</t>
  </si>
  <si>
    <t>h</t>
  </si>
  <si>
    <t>門</t>
  </si>
  <si>
    <t>b</t>
  </si>
  <si>
    <t>促聲</t>
  </si>
  <si>
    <t>ut</t>
  </si>
  <si>
    <t>語</t>
  </si>
  <si>
    <t>g</t>
  </si>
  <si>
    <t>入</t>
  </si>
  <si>
    <t>j</t>
  </si>
  <si>
    <t>堅</t>
  </si>
  <si>
    <t>ian</t>
  </si>
  <si>
    <t>千</t>
  </si>
  <si>
    <t>iat</t>
  </si>
  <si>
    <t>丩</t>
  </si>
  <si>
    <t>金</t>
  </si>
  <si>
    <t>im</t>
  </si>
  <si>
    <t>ip</t>
  </si>
  <si>
    <t>規</t>
  </si>
  <si>
    <t>ui</t>
  </si>
  <si>
    <t>嘉</t>
  </si>
  <si>
    <t>ee</t>
  </si>
  <si>
    <t>茄</t>
  </si>
  <si>
    <t>迦</t>
  </si>
  <si>
    <t>干</t>
  </si>
  <si>
    <t>an</t>
  </si>
  <si>
    <t>閒</t>
  </si>
  <si>
    <t>at</t>
  </si>
  <si>
    <t>公</t>
  </si>
  <si>
    <t>ong</t>
  </si>
  <si>
    <t>光</t>
  </si>
  <si>
    <t>扛</t>
  </si>
  <si>
    <t>鋼</t>
  </si>
  <si>
    <t>ok</t>
  </si>
  <si>
    <t>乖</t>
  </si>
  <si>
    <t>uai</t>
  </si>
  <si>
    <t>經</t>
  </si>
  <si>
    <t>ing</t>
  </si>
  <si>
    <t>更</t>
  </si>
  <si>
    <t>驚</t>
  </si>
  <si>
    <t>ik</t>
  </si>
  <si>
    <t>觀</t>
  </si>
  <si>
    <t>uan</t>
  </si>
  <si>
    <t>官</t>
  </si>
  <si>
    <t>uat</t>
  </si>
  <si>
    <t>沽</t>
  </si>
  <si>
    <t>oo</t>
  </si>
  <si>
    <t>姑</t>
  </si>
  <si>
    <t>姆</t>
  </si>
  <si>
    <t>嬌</t>
  </si>
  <si>
    <t>iau</t>
  </si>
  <si>
    <t>嘄</t>
  </si>
  <si>
    <t>稽</t>
  </si>
  <si>
    <t>ei</t>
  </si>
  <si>
    <t>恭</t>
  </si>
  <si>
    <t>iong</t>
  </si>
  <si>
    <t>iok</t>
  </si>
  <si>
    <t>高</t>
  </si>
  <si>
    <t>o</t>
  </si>
  <si>
    <t>皆</t>
  </si>
  <si>
    <t>ai</t>
  </si>
  <si>
    <t>巾</t>
  </si>
  <si>
    <t>in</t>
  </si>
  <si>
    <t>it</t>
  </si>
  <si>
    <t>姜</t>
  </si>
  <si>
    <t>iang</t>
  </si>
  <si>
    <t>薑</t>
  </si>
  <si>
    <t>iak</t>
  </si>
  <si>
    <t>甘</t>
  </si>
  <si>
    <t>am</t>
  </si>
  <si>
    <t>監</t>
  </si>
  <si>
    <t>ap</t>
  </si>
  <si>
    <t>瓜</t>
  </si>
  <si>
    <t>ua</t>
  </si>
  <si>
    <t>江</t>
  </si>
  <si>
    <t>ang</t>
  </si>
  <si>
    <t>ak</t>
  </si>
  <si>
    <t>兼</t>
  </si>
  <si>
    <t>iam</t>
  </si>
  <si>
    <t>iap</t>
  </si>
  <si>
    <t>交</t>
  </si>
  <si>
    <t>au</t>
  </si>
  <si>
    <t>膠</t>
  </si>
  <si>
    <t>ia</t>
  </si>
  <si>
    <t>伽</t>
  </si>
  <si>
    <t>檜</t>
  </si>
  <si>
    <t>ue</t>
  </si>
  <si>
    <t>ann</t>
  </si>
  <si>
    <t>耐</t>
  </si>
  <si>
    <t>n</t>
  </si>
  <si>
    <t>毛</t>
  </si>
  <si>
    <t>m</t>
  </si>
  <si>
    <t>艍</t>
  </si>
  <si>
    <t>u</t>
  </si>
  <si>
    <t>a</t>
  </si>
  <si>
    <t>居</t>
  </si>
  <si>
    <t>i</t>
  </si>
  <si>
    <t>糜</t>
  </si>
  <si>
    <t>iu</t>
  </si>
  <si>
    <t>inn</t>
  </si>
  <si>
    <t>uann</t>
  </si>
  <si>
    <t>ainn</t>
  </si>
  <si>
    <t>雅</t>
  </si>
  <si>
    <t>ng</t>
  </si>
  <si>
    <t>梔</t>
  </si>
  <si>
    <t>iann</t>
  </si>
  <si>
    <t>e</t>
  </si>
  <si>
    <t>oonn</t>
  </si>
  <si>
    <t>iaunn</t>
  </si>
  <si>
    <t>aunn</t>
  </si>
  <si>
    <t>uenn</t>
  </si>
  <si>
    <t>箴</t>
  </si>
  <si>
    <t>om</t>
  </si>
  <si>
    <t>op</t>
  </si>
  <si>
    <t>爻</t>
  </si>
  <si>
    <t>onn</t>
  </si>
  <si>
    <t>ohnn</t>
  </si>
  <si>
    <t>牛</t>
  </si>
  <si>
    <t>iunn</t>
  </si>
  <si>
    <t>識別號</t>
  </si>
  <si>
    <t>kʰ</t>
  </si>
  <si>
    <t>d</t>
  </si>
  <si>
    <t>pʰ</t>
  </si>
  <si>
    <t>tʰ</t>
  </si>
  <si>
    <t>ʦ</t>
  </si>
  <si>
    <t>ts</t>
  </si>
  <si>
    <t>ʣ</t>
  </si>
  <si>
    <t>zz</t>
  </si>
  <si>
    <t>ɡ</t>
  </si>
  <si>
    <t>ʦʰ</t>
  </si>
  <si>
    <t>tsh</t>
  </si>
  <si>
    <t>ŋ</t>
  </si>
  <si>
    <t>國際音標</t>
  </si>
  <si>
    <t>白話字</t>
  </si>
  <si>
    <t>十五音</t>
  </si>
  <si>
    <t>備註</t>
  </si>
  <si>
    <t>ㄌ</t>
  </si>
  <si>
    <t>ㄅ</t>
  </si>
  <si>
    <t>ㄍ</t>
  </si>
  <si>
    <t>ㄎ</t>
  </si>
  <si>
    <t>ㄉ</t>
  </si>
  <si>
    <t>ㄆ</t>
  </si>
  <si>
    <t>ㄊ</t>
  </si>
  <si>
    <t>ch</t>
  </si>
  <si>
    <t>ㄗ</t>
  </si>
  <si>
    <t>ㆡ</t>
  </si>
  <si>
    <t>ㄙ</t>
  </si>
  <si>
    <t>bb</t>
  </si>
  <si>
    <t>ㆠ</t>
  </si>
  <si>
    <t>gg</t>
  </si>
  <si>
    <t>ㆣ</t>
  </si>
  <si>
    <t>chh</t>
  </si>
  <si>
    <t>ㄘ</t>
  </si>
  <si>
    <t>ㄏ</t>
  </si>
  <si>
    <t>bbn</t>
  </si>
  <si>
    <t>ㄇ</t>
  </si>
  <si>
    <t xml:space="preserve">b/m 本不分，此處分門/毛 </t>
  </si>
  <si>
    <t>ln</t>
  </si>
  <si>
    <t>ㄋ</t>
  </si>
  <si>
    <t xml:space="preserve">l/n 本不分，此處分柳/耐 </t>
  </si>
  <si>
    <t>ggn</t>
  </si>
  <si>
    <t>ㄫ</t>
  </si>
  <si>
    <t xml:space="preserve">g/ng 本不分，此處分語/雅 </t>
  </si>
  <si>
    <t>十五音序</t>
  </si>
  <si>
    <t>十五音識別碼</t>
  </si>
  <si>
    <t>ㄨㄣ</t>
  </si>
  <si>
    <t>君舒</t>
  </si>
  <si>
    <t>ut̚</t>
  </si>
  <si>
    <t>ㄨㆵ</t>
  </si>
  <si>
    <t>君促</t>
  </si>
  <si>
    <t>ㄧㄢ</t>
  </si>
  <si>
    <t>堅舒</t>
  </si>
  <si>
    <t>iat̚</t>
  </si>
  <si>
    <t>ㄧㄚㆵ</t>
  </si>
  <si>
    <t>堅促</t>
  </si>
  <si>
    <t>ㄧㆬ</t>
  </si>
  <si>
    <t>金舒</t>
  </si>
  <si>
    <t>ip̚</t>
  </si>
  <si>
    <t>一ㆴ</t>
  </si>
  <si>
    <t>金促</t>
  </si>
  <si>
    <t>ㄨㄧ</t>
  </si>
  <si>
    <t>規舒</t>
  </si>
  <si>
    <t>規促</t>
  </si>
  <si>
    <t>ɛ</t>
  </si>
  <si>
    <t>ㄝ</t>
  </si>
  <si>
    <t>嘉舒</t>
  </si>
  <si>
    <t>eeh</t>
  </si>
  <si>
    <t>ɛ?</t>
  </si>
  <si>
    <t>ㄝㆷ</t>
  </si>
  <si>
    <t>嘉促</t>
  </si>
  <si>
    <t>ㄢ</t>
  </si>
  <si>
    <t>干舒</t>
  </si>
  <si>
    <t>at̚</t>
  </si>
  <si>
    <t>ㄚㆵ</t>
  </si>
  <si>
    <t>干促</t>
  </si>
  <si>
    <t>ɔŋ</t>
  </si>
  <si>
    <t>ㆲ</t>
  </si>
  <si>
    <t>公舒</t>
  </si>
  <si>
    <t>ɔk̚</t>
  </si>
  <si>
    <t>ㆦㆻ</t>
  </si>
  <si>
    <t>公促</t>
  </si>
  <si>
    <t>oai</t>
  </si>
  <si>
    <t>ㄨㄞ</t>
  </si>
  <si>
    <t>乖舒</t>
  </si>
  <si>
    <t>uaih</t>
  </si>
  <si>
    <t>uai?</t>
  </si>
  <si>
    <t>oaih</t>
  </si>
  <si>
    <t>ㄨㄞㆷ</t>
  </si>
  <si>
    <t>乖促</t>
  </si>
  <si>
    <t>iŋ</t>
  </si>
  <si>
    <t>eng</t>
  </si>
  <si>
    <t>ㄧㄥ</t>
  </si>
  <si>
    <t>經舒</t>
  </si>
  <si>
    <t>ik̚</t>
  </si>
  <si>
    <t>ek</t>
  </si>
  <si>
    <t>ㄧㆻ</t>
  </si>
  <si>
    <t>經促</t>
  </si>
  <si>
    <t>oan</t>
  </si>
  <si>
    <t>ㄨㄢ</t>
  </si>
  <si>
    <t>觀舒</t>
  </si>
  <si>
    <t>uat̚</t>
  </si>
  <si>
    <t>oat</t>
  </si>
  <si>
    <t>ㄨㄚㆵ</t>
  </si>
  <si>
    <t>觀促</t>
  </si>
  <si>
    <t>ɔu</t>
  </si>
  <si>
    <t>o͘</t>
  </si>
  <si>
    <t>ㆦ</t>
  </si>
  <si>
    <t>沽舒</t>
  </si>
  <si>
    <t>沽促</t>
  </si>
  <si>
    <t>iao</t>
  </si>
  <si>
    <t>ㄧㄠ</t>
  </si>
  <si>
    <t>嬌舒</t>
  </si>
  <si>
    <t>iauh</t>
  </si>
  <si>
    <t>iau?</t>
  </si>
  <si>
    <t>iaoh</t>
  </si>
  <si>
    <t>ㄧㄠㆷ</t>
  </si>
  <si>
    <t>嬌促</t>
  </si>
  <si>
    <t>ㆤ</t>
  </si>
  <si>
    <t>稽舒</t>
  </si>
  <si>
    <t>稽促</t>
  </si>
  <si>
    <t>iɔŋ</t>
  </si>
  <si>
    <t>ㄧㆲ</t>
  </si>
  <si>
    <t>恭舒</t>
  </si>
  <si>
    <t>iɔk̚</t>
  </si>
  <si>
    <t>ㄧㆦㆻ</t>
  </si>
  <si>
    <t>恭促</t>
  </si>
  <si>
    <t>ə</t>
  </si>
  <si>
    <t>ㄜ</t>
  </si>
  <si>
    <t>高舒</t>
  </si>
  <si>
    <t>oh</t>
  </si>
  <si>
    <t>ə?</t>
  </si>
  <si>
    <t>ㄜㆷ</t>
  </si>
  <si>
    <t>高促</t>
  </si>
  <si>
    <t>ㄞ</t>
  </si>
  <si>
    <t>皆舒</t>
  </si>
  <si>
    <t>皆促</t>
  </si>
  <si>
    <t>ㄧㄣ</t>
  </si>
  <si>
    <t>巾舒</t>
  </si>
  <si>
    <t>it̚</t>
  </si>
  <si>
    <t>ㄧㆵ</t>
  </si>
  <si>
    <t>巾促</t>
  </si>
  <si>
    <t>iaŋ</t>
  </si>
  <si>
    <t>ㄧㄤ</t>
  </si>
  <si>
    <t>姜舒</t>
  </si>
  <si>
    <t>iak̚</t>
  </si>
  <si>
    <t>ㄧㄚㆻ</t>
  </si>
  <si>
    <t>姜促</t>
  </si>
  <si>
    <t>ㆰ</t>
  </si>
  <si>
    <t>甘舒</t>
  </si>
  <si>
    <t>ap̚</t>
  </si>
  <si>
    <t>ㄚㆴ</t>
  </si>
  <si>
    <t>甘促</t>
  </si>
  <si>
    <t>oa</t>
  </si>
  <si>
    <t>ㄨㄚ</t>
  </si>
  <si>
    <t>瓜舒</t>
  </si>
  <si>
    <t>uah</t>
  </si>
  <si>
    <t>ua?</t>
  </si>
  <si>
    <t>oah</t>
  </si>
  <si>
    <t>ㄨㄚㆷ</t>
  </si>
  <si>
    <t>瓜促</t>
  </si>
  <si>
    <t>aŋ</t>
  </si>
  <si>
    <t>ㄤ</t>
  </si>
  <si>
    <t>江舒</t>
  </si>
  <si>
    <t>ak̚</t>
  </si>
  <si>
    <t>ㄚㆻ</t>
  </si>
  <si>
    <t>江促</t>
  </si>
  <si>
    <t>ㄧㆰ</t>
  </si>
  <si>
    <t>兼舒</t>
  </si>
  <si>
    <t>iap̚</t>
  </si>
  <si>
    <t>ㄧㄚㆴ</t>
  </si>
  <si>
    <t>兼促</t>
  </si>
  <si>
    <t>ao</t>
  </si>
  <si>
    <t>ㄠ</t>
  </si>
  <si>
    <t>交舒</t>
  </si>
  <si>
    <t>auh</t>
  </si>
  <si>
    <t>au?</t>
  </si>
  <si>
    <t>aoh</t>
  </si>
  <si>
    <t>ㄠㆷ</t>
  </si>
  <si>
    <t>交促</t>
  </si>
  <si>
    <t>ㄧㄚ</t>
  </si>
  <si>
    <t>迦舒</t>
  </si>
  <si>
    <t>iah</t>
  </si>
  <si>
    <t>ia?</t>
  </si>
  <si>
    <t>ㄧㄚㆷ</t>
  </si>
  <si>
    <t>迦促</t>
  </si>
  <si>
    <t>oe</t>
  </si>
  <si>
    <t>ㄨㆤ</t>
  </si>
  <si>
    <t>檜舒</t>
  </si>
  <si>
    <t>ueh</t>
  </si>
  <si>
    <t>ue?</t>
  </si>
  <si>
    <t>oeh</t>
  </si>
  <si>
    <t>ㄨㆤㆷ</t>
  </si>
  <si>
    <t>檜促</t>
  </si>
  <si>
    <t>ã</t>
  </si>
  <si>
    <t>aⁿ</t>
  </si>
  <si>
    <t>na</t>
  </si>
  <si>
    <t>ㆩ</t>
  </si>
  <si>
    <t>監舒</t>
  </si>
  <si>
    <t>ahnn</t>
  </si>
  <si>
    <t>ã?</t>
  </si>
  <si>
    <t>aⁿh</t>
  </si>
  <si>
    <t>annh</t>
  </si>
  <si>
    <t>nah</t>
  </si>
  <si>
    <t>ㆩㆷ</t>
  </si>
  <si>
    <t>監促</t>
  </si>
  <si>
    <t>ㄨ</t>
  </si>
  <si>
    <t>艍舒</t>
  </si>
  <si>
    <t>uh</t>
  </si>
  <si>
    <t>u?</t>
  </si>
  <si>
    <t>ㄨㆷ</t>
  </si>
  <si>
    <t>艍促</t>
  </si>
  <si>
    <t>ㄚ</t>
  </si>
  <si>
    <t>膠舒</t>
  </si>
  <si>
    <t>ah</t>
  </si>
  <si>
    <t>a?</t>
  </si>
  <si>
    <t>ㄚㆷ</t>
  </si>
  <si>
    <t>膠促</t>
  </si>
  <si>
    <t>ㄧ</t>
  </si>
  <si>
    <t>居舒</t>
  </si>
  <si>
    <t>ih</t>
  </si>
  <si>
    <t>i?</t>
  </si>
  <si>
    <t>ㄧㆷ</t>
  </si>
  <si>
    <t>居促</t>
  </si>
  <si>
    <t>ㄧㄨ</t>
  </si>
  <si>
    <t>丩舒</t>
  </si>
  <si>
    <t>丩促</t>
  </si>
  <si>
    <t>enn</t>
  </si>
  <si>
    <t>ẽ</t>
  </si>
  <si>
    <t>eⁿ</t>
  </si>
  <si>
    <t>ne</t>
  </si>
  <si>
    <t>ㆥ</t>
  </si>
  <si>
    <t>更舒</t>
  </si>
  <si>
    <t>ehnn</t>
  </si>
  <si>
    <t>ẽ?</t>
  </si>
  <si>
    <t>eⁿh</t>
  </si>
  <si>
    <t>ennh</t>
  </si>
  <si>
    <t>neh</t>
  </si>
  <si>
    <t>ㆥㆷ</t>
  </si>
  <si>
    <t>更促</t>
  </si>
  <si>
    <t>uinn</t>
  </si>
  <si>
    <t>uĩ</t>
  </si>
  <si>
    <t>uiⁿ</t>
  </si>
  <si>
    <t>nui</t>
  </si>
  <si>
    <t>ㄨㆪ</t>
  </si>
  <si>
    <t>褌舒</t>
  </si>
  <si>
    <t>褌促</t>
  </si>
  <si>
    <t>io</t>
  </si>
  <si>
    <t>iə</t>
  </si>
  <si>
    <t>ㄧㄜ</t>
  </si>
  <si>
    <t>茄舒</t>
  </si>
  <si>
    <t>ioh</t>
  </si>
  <si>
    <t>iə?</t>
  </si>
  <si>
    <t>ㄧㄜㆷ</t>
  </si>
  <si>
    <t>茄促</t>
  </si>
  <si>
    <t>ĩ</t>
  </si>
  <si>
    <t>iⁿ</t>
  </si>
  <si>
    <t>ni</t>
  </si>
  <si>
    <t>ㆪ</t>
  </si>
  <si>
    <t>梔舒</t>
  </si>
  <si>
    <t>ihnn</t>
  </si>
  <si>
    <t>ĩ?</t>
  </si>
  <si>
    <t>iⁿh</t>
  </si>
  <si>
    <t>innh</t>
  </si>
  <si>
    <t>nih</t>
  </si>
  <si>
    <t>ㆪㆷ</t>
  </si>
  <si>
    <t>梔促</t>
  </si>
  <si>
    <t>ionn</t>
  </si>
  <si>
    <t>ĩɔ̃</t>
  </si>
  <si>
    <t>ioⁿ</t>
  </si>
  <si>
    <t>nioo</t>
  </si>
  <si>
    <t>ㄧㆧ</t>
  </si>
  <si>
    <t>薑舒</t>
  </si>
  <si>
    <t>薑促</t>
  </si>
  <si>
    <t>iã</t>
  </si>
  <si>
    <t>iaⁿ</t>
  </si>
  <si>
    <t>iannh</t>
  </si>
  <si>
    <t>nia</t>
  </si>
  <si>
    <t>ㄧㆩ</t>
  </si>
  <si>
    <t>驚舒</t>
  </si>
  <si>
    <t>驚促</t>
  </si>
  <si>
    <t>ũã</t>
  </si>
  <si>
    <t>oaⁿ</t>
  </si>
  <si>
    <t>nua</t>
  </si>
  <si>
    <t>ㄨㆩ</t>
  </si>
  <si>
    <t>官舒</t>
  </si>
  <si>
    <t>官促</t>
  </si>
  <si>
    <t>ŋ̍</t>
  </si>
  <si>
    <t>ㆭ</t>
  </si>
  <si>
    <t>鋼舒</t>
  </si>
  <si>
    <t>鋼促</t>
  </si>
  <si>
    <t>伽舒</t>
  </si>
  <si>
    <t>eh</t>
  </si>
  <si>
    <t>e?</t>
  </si>
  <si>
    <t>ㆤㆷ</t>
  </si>
  <si>
    <t>伽促</t>
  </si>
  <si>
    <t>ãĩ</t>
  </si>
  <si>
    <t>aiⁿ</t>
  </si>
  <si>
    <t>nai</t>
  </si>
  <si>
    <t>ㆮ</t>
  </si>
  <si>
    <t>閒舒</t>
  </si>
  <si>
    <t>閒促</t>
  </si>
  <si>
    <t>ɔ̃ũ</t>
  </si>
  <si>
    <t>oⁿ</t>
  </si>
  <si>
    <t>noo</t>
  </si>
  <si>
    <t>ㆧ</t>
  </si>
  <si>
    <t>姑舒</t>
  </si>
  <si>
    <t>姑促</t>
  </si>
  <si>
    <t>m̩</t>
  </si>
  <si>
    <t>ㆬ</t>
  </si>
  <si>
    <t>姆舒</t>
  </si>
  <si>
    <t>姆促</t>
  </si>
  <si>
    <t>uang</t>
  </si>
  <si>
    <t>uaŋ</t>
  </si>
  <si>
    <t>oang</t>
  </si>
  <si>
    <t>ㄨㄤ</t>
  </si>
  <si>
    <t>光舒</t>
  </si>
  <si>
    <t>uak</t>
  </si>
  <si>
    <t>uak̚</t>
  </si>
  <si>
    <t>oak</t>
  </si>
  <si>
    <t>ㄨㄚㆻ</t>
  </si>
  <si>
    <t>光促</t>
  </si>
  <si>
    <t>uainn</t>
  </si>
  <si>
    <t>uãĩ</t>
  </si>
  <si>
    <t>oaiⁿ</t>
  </si>
  <si>
    <t>nuai</t>
  </si>
  <si>
    <t>ㄨㆮ</t>
  </si>
  <si>
    <t>閂</t>
  </si>
  <si>
    <t>閂舒</t>
  </si>
  <si>
    <t>uaihnn</t>
  </si>
  <si>
    <t>uãĩ?</t>
  </si>
  <si>
    <t>oaiⁿh</t>
  </si>
  <si>
    <t>uainnh</t>
  </si>
  <si>
    <t>nuaih</t>
  </si>
  <si>
    <t>ㄨㆮㆷ</t>
  </si>
  <si>
    <t>閂促</t>
  </si>
  <si>
    <t>uẽ</t>
  </si>
  <si>
    <t>oeⁿ</t>
  </si>
  <si>
    <t>nue</t>
  </si>
  <si>
    <t>ㄨㆥ</t>
  </si>
  <si>
    <t>糜舒</t>
  </si>
  <si>
    <t>糜促</t>
  </si>
  <si>
    <t>ĩãũ</t>
  </si>
  <si>
    <t>iauⁿ</t>
  </si>
  <si>
    <t>niao</t>
  </si>
  <si>
    <t>ㄧㆯ</t>
  </si>
  <si>
    <t>嘄舒</t>
  </si>
  <si>
    <t>iauhnn</t>
  </si>
  <si>
    <t>ĩãũ?</t>
  </si>
  <si>
    <t>iauⁿh</t>
  </si>
  <si>
    <t>iaunnh</t>
  </si>
  <si>
    <t>niaoh</t>
  </si>
  <si>
    <t>ㄧㆯㆷ</t>
  </si>
  <si>
    <t>嘄促</t>
  </si>
  <si>
    <t>ɔm</t>
  </si>
  <si>
    <t>ㆱ</t>
  </si>
  <si>
    <t>箴舒</t>
  </si>
  <si>
    <t>ɔp̚</t>
  </si>
  <si>
    <t>ㆦㆴ</t>
  </si>
  <si>
    <t>箴促</t>
  </si>
  <si>
    <t>ãũ</t>
  </si>
  <si>
    <t>auⁿ</t>
  </si>
  <si>
    <t>nao</t>
  </si>
  <si>
    <t>ㆯ</t>
  </si>
  <si>
    <t>爻舒</t>
  </si>
  <si>
    <t>爻促</t>
  </si>
  <si>
    <t>õ</t>
  </si>
  <si>
    <t>扛舒</t>
  </si>
  <si>
    <t>õh</t>
  </si>
  <si>
    <t>oⁿh</t>
  </si>
  <si>
    <t>onnh</t>
  </si>
  <si>
    <t>nooh</t>
  </si>
  <si>
    <t>ㆧㆷ</t>
  </si>
  <si>
    <t>扛促</t>
  </si>
  <si>
    <t>iũ</t>
  </si>
  <si>
    <t>iuⁿ</t>
  </si>
  <si>
    <t>niu</t>
  </si>
  <si>
    <t>ㄧㆫ</t>
  </si>
  <si>
    <t>牛舒</t>
  </si>
  <si>
    <t>牛促</t>
  </si>
  <si>
    <t>台羅音標</t>
  </si>
  <si>
    <t>台羅音標</t>
    <phoneticPr fontId="1" type="noConversion"/>
  </si>
  <si>
    <t>閩拼方案</t>
  </si>
  <si>
    <t>閩拼方案</t>
    <phoneticPr fontId="1" type="noConversion"/>
  </si>
  <si>
    <t>方音符號</t>
  </si>
  <si>
    <t>方音符號</t>
    <phoneticPr fontId="1" type="noConversion"/>
  </si>
  <si>
    <t>台語音標</t>
  </si>
  <si>
    <t>台語音標</t>
    <phoneticPr fontId="1" type="noConversion"/>
  </si>
  <si>
    <t>iann</t>
    <phoneticPr fontId="1" type="noConversion"/>
  </si>
  <si>
    <t>ㆪㆷ</t>
    <phoneticPr fontId="1" type="noConversion"/>
  </si>
  <si>
    <t>ㄧㆩㆷ</t>
    <phoneticPr fontId="1" type="noConversion"/>
  </si>
  <si>
    <t/>
  </si>
  <si>
    <t>ĩũ</t>
  </si>
  <si>
    <t>ɔ̃ʔ</t>
    <phoneticPr fontId="18" type="noConversion"/>
  </si>
  <si>
    <t>onnh</t>
    <phoneticPr fontId="18" type="noConversion"/>
  </si>
  <si>
    <t>onn</t>
    <phoneticPr fontId="18" type="noConversion"/>
  </si>
  <si>
    <t>nooh</t>
    <phoneticPr fontId="18" type="noConversion"/>
  </si>
  <si>
    <t>noo</t>
    <phoneticPr fontId="18" type="noConversion"/>
  </si>
  <si>
    <t>ɔ̃ʔ</t>
  </si>
  <si>
    <t>ɔ̃</t>
  </si>
  <si>
    <t>ɔ̃(ʔ)</t>
  </si>
  <si>
    <t>õʔ</t>
  </si>
  <si>
    <t>õ(ʔ)</t>
  </si>
  <si>
    <t>ãu</t>
  </si>
  <si>
    <t>op</t>
    <phoneticPr fontId="18" type="noConversion"/>
  </si>
  <si>
    <t>om/p</t>
  </si>
  <si>
    <t>ɔm/p̚</t>
  </si>
  <si>
    <t>ɔp</t>
  </si>
  <si>
    <t>ɔm/p</t>
  </si>
  <si>
    <t>ĩãũʔ</t>
  </si>
  <si>
    <t>iaunnh</t>
    <phoneticPr fontId="18" type="noConversion"/>
  </si>
  <si>
    <t>iaunn</t>
    <phoneticPr fontId="18" type="noConversion"/>
  </si>
  <si>
    <t>niaoh</t>
    <phoneticPr fontId="18" type="noConversion"/>
  </si>
  <si>
    <t>niao</t>
    <phoneticPr fontId="18" type="noConversion"/>
  </si>
  <si>
    <t>iãuʔ</t>
  </si>
  <si>
    <t>iãu</t>
  </si>
  <si>
    <t>ĩãũ(ʔ)</t>
  </si>
  <si>
    <r>
      <t>ũẽ</t>
    </r>
    <r>
      <rPr>
        <sz val="16"/>
        <color theme="1"/>
        <rFont val="Segoe UI"/>
        <family val="2"/>
        <charset val="1"/>
      </rPr>
      <t>ʔ</t>
    </r>
    <phoneticPr fontId="18" type="noConversion"/>
  </si>
  <si>
    <t>uennh</t>
    <phoneticPr fontId="18" type="noConversion"/>
  </si>
  <si>
    <t>uenn</t>
    <phoneticPr fontId="18" type="noConversion"/>
  </si>
  <si>
    <t>nueh</t>
    <phoneticPr fontId="18" type="noConversion"/>
  </si>
  <si>
    <t>nue</t>
    <phoneticPr fontId="18" type="noConversion"/>
  </si>
  <si>
    <t>uẽʔ</t>
  </si>
  <si>
    <t>ũẽ(ʔ)</t>
  </si>
  <si>
    <t>ũẽĩʔ</t>
  </si>
  <si>
    <t>ũẽĩ</t>
  </si>
  <si>
    <t>ũẽĩ(ʔ)</t>
  </si>
  <si>
    <t>ũãĩʔ</t>
  </si>
  <si>
    <t>uainnh</t>
    <phoneticPr fontId="18" type="noConversion"/>
  </si>
  <si>
    <t>uainn</t>
    <phoneticPr fontId="18" type="noConversion"/>
  </si>
  <si>
    <t>nuaih</t>
    <phoneticPr fontId="18" type="noConversion"/>
  </si>
  <si>
    <t>nuai</t>
    <phoneticPr fontId="18" type="noConversion"/>
  </si>
  <si>
    <t>uãiʔ</t>
  </si>
  <si>
    <t>uãi</t>
  </si>
  <si>
    <t>ũãĩ(ʔ)</t>
  </si>
  <si>
    <t>ũãĩ</t>
  </si>
  <si>
    <t>uak</t>
    <phoneticPr fontId="18" type="noConversion"/>
  </si>
  <si>
    <t>uang</t>
    <phoneticPr fontId="18" type="noConversion"/>
  </si>
  <si>
    <t>uaŋ/k̚</t>
  </si>
  <si>
    <t>uaŋ/k</t>
  </si>
  <si>
    <t>õũ</t>
  </si>
  <si>
    <t>ãi</t>
  </si>
  <si>
    <t>eh</t>
    <phoneticPr fontId="18" type="noConversion"/>
  </si>
  <si>
    <t>e</t>
    <phoneticPr fontId="18" type="noConversion"/>
  </si>
  <si>
    <t>eʔ</t>
  </si>
  <si>
    <t>e(ʔ)</t>
  </si>
  <si>
    <t>uã</t>
  </si>
  <si>
    <t>ĩã</t>
  </si>
  <si>
    <t>iɔ̃</t>
  </si>
  <si>
    <t>ĩõ</t>
  </si>
  <si>
    <t>innh</t>
    <phoneticPr fontId="18" type="noConversion"/>
  </si>
  <si>
    <t>inn</t>
    <phoneticPr fontId="18" type="noConversion"/>
  </si>
  <si>
    <t>nih</t>
    <phoneticPr fontId="18" type="noConversion"/>
  </si>
  <si>
    <t>ni</t>
    <phoneticPr fontId="18" type="noConversion"/>
  </si>
  <si>
    <t>ĩʔ</t>
  </si>
  <si>
    <t>ĩ(ʔ)</t>
  </si>
  <si>
    <t>ioh</t>
    <phoneticPr fontId="18" type="noConversion"/>
  </si>
  <si>
    <t>io</t>
    <phoneticPr fontId="18" type="noConversion"/>
  </si>
  <si>
    <t>ɪoʔ</t>
  </si>
  <si>
    <t>ɪo</t>
  </si>
  <si>
    <t>ɪo(ʔ)</t>
  </si>
  <si>
    <t>ioʔ</t>
  </si>
  <si>
    <t>io(ʔ)</t>
  </si>
  <si>
    <t>ũĩ</t>
  </si>
  <si>
    <t>ɛ̃</t>
  </si>
  <si>
    <t>ih</t>
    <phoneticPr fontId="18" type="noConversion"/>
  </si>
  <si>
    <t>i</t>
    <phoneticPr fontId="18" type="noConversion"/>
  </si>
  <si>
    <t>iʔ</t>
  </si>
  <si>
    <t>i(ʔ)</t>
  </si>
  <si>
    <t>ah</t>
    <phoneticPr fontId="18" type="noConversion"/>
  </si>
  <si>
    <t>a</t>
    <phoneticPr fontId="18" type="noConversion"/>
  </si>
  <si>
    <t>aʔ</t>
  </si>
  <si>
    <t>a(ʔ)</t>
  </si>
  <si>
    <t>uh</t>
    <phoneticPr fontId="18" type="noConversion"/>
  </si>
  <si>
    <t>u</t>
    <phoneticPr fontId="18" type="noConversion"/>
  </si>
  <si>
    <t>uʔ</t>
  </si>
  <si>
    <t>u(ʔ)</t>
  </si>
  <si>
    <t>annh</t>
    <phoneticPr fontId="18" type="noConversion"/>
  </si>
  <si>
    <t>ann</t>
    <phoneticPr fontId="18" type="noConversion"/>
  </si>
  <si>
    <t>nah</t>
    <phoneticPr fontId="18" type="noConversion"/>
  </si>
  <si>
    <t>na</t>
    <phoneticPr fontId="18" type="noConversion"/>
  </si>
  <si>
    <t>ãʔ</t>
  </si>
  <si>
    <t>ã</t>
  </si>
  <si>
    <t>ã(ʔ)</t>
  </si>
  <si>
    <t>ueh</t>
    <phoneticPr fontId="18" type="noConversion"/>
  </si>
  <si>
    <t>ue</t>
    <phoneticPr fontId="18" type="noConversion"/>
  </si>
  <si>
    <t>ueʔ</t>
    <phoneticPr fontId="18" type="noConversion"/>
  </si>
  <si>
    <t>ue(ʔ)</t>
  </si>
  <si>
    <t>ueiʔ</t>
  </si>
  <si>
    <t>uei</t>
  </si>
  <si>
    <t>uei(ʔ)</t>
  </si>
  <si>
    <t>iah</t>
    <phoneticPr fontId="18" type="noConversion"/>
  </si>
  <si>
    <t>ia</t>
    <phoneticPr fontId="18" type="noConversion"/>
  </si>
  <si>
    <t>ɪaʔ</t>
    <phoneticPr fontId="18" type="noConversion"/>
  </si>
  <si>
    <t>ɪa</t>
  </si>
  <si>
    <t>ɪa(ʔ)</t>
  </si>
  <si>
    <t>iaʔ</t>
  </si>
  <si>
    <t>ia(ʔ)</t>
  </si>
  <si>
    <t>auh</t>
    <phoneticPr fontId="18" type="noConversion"/>
  </si>
  <si>
    <t>au</t>
    <phoneticPr fontId="18" type="noConversion"/>
  </si>
  <si>
    <t>aoh</t>
    <phoneticPr fontId="18" type="noConversion"/>
  </si>
  <si>
    <t>ao</t>
    <phoneticPr fontId="18" type="noConversion"/>
  </si>
  <si>
    <t>aʊʔ</t>
  </si>
  <si>
    <t>aʊ</t>
  </si>
  <si>
    <t>aʊ(ʔ)</t>
  </si>
  <si>
    <t>auʔ</t>
  </si>
  <si>
    <t>au(ʔ)</t>
  </si>
  <si>
    <t>iap</t>
    <phoneticPr fontId="18" type="noConversion"/>
  </si>
  <si>
    <t>iam</t>
    <phoneticPr fontId="18" type="noConversion"/>
  </si>
  <si>
    <t>iam/p̚</t>
  </si>
  <si>
    <t>iam/p</t>
  </si>
  <si>
    <t>ak</t>
    <phoneticPr fontId="18" type="noConversion"/>
  </si>
  <si>
    <t>ang</t>
    <phoneticPr fontId="18" type="noConversion"/>
  </si>
  <si>
    <t>aŋ/k̚</t>
  </si>
  <si>
    <t>aŋ/k</t>
  </si>
  <si>
    <t>uah</t>
    <phoneticPr fontId="18" type="noConversion"/>
  </si>
  <si>
    <t>ua</t>
    <phoneticPr fontId="18" type="noConversion"/>
  </si>
  <si>
    <t>uaʔ</t>
  </si>
  <si>
    <t>ua(ʔ)</t>
  </si>
  <si>
    <t>ap</t>
    <phoneticPr fontId="18" type="noConversion"/>
  </si>
  <si>
    <t>am</t>
    <phoneticPr fontId="18" type="noConversion"/>
  </si>
  <si>
    <t>am/p̚</t>
  </si>
  <si>
    <t>am/p</t>
  </si>
  <si>
    <t>iak</t>
    <phoneticPr fontId="18" type="noConversion"/>
  </si>
  <si>
    <t>iang</t>
    <phoneticPr fontId="18" type="noConversion"/>
  </si>
  <si>
    <t>ɪak̚</t>
  </si>
  <si>
    <t>ɪaŋ</t>
  </si>
  <si>
    <t>ɪaŋ/k̚</t>
  </si>
  <si>
    <t>iaŋ/k</t>
  </si>
  <si>
    <t>it</t>
    <phoneticPr fontId="18" type="noConversion"/>
  </si>
  <si>
    <t>in</t>
    <phoneticPr fontId="18" type="noConversion"/>
  </si>
  <si>
    <t>in/t̚</t>
  </si>
  <si>
    <t>in/t</t>
  </si>
  <si>
    <t>aɪ</t>
  </si>
  <si>
    <t>oh</t>
    <phoneticPr fontId="18" type="noConversion"/>
  </si>
  <si>
    <t>o</t>
    <phoneticPr fontId="18" type="noConversion"/>
  </si>
  <si>
    <t>oʔ</t>
  </si>
  <si>
    <t>o(ʔ)</t>
  </si>
  <si>
    <t>iok</t>
    <phoneticPr fontId="18" type="noConversion"/>
  </si>
  <si>
    <t>iong</t>
    <phoneticPr fontId="18" type="noConversion"/>
  </si>
  <si>
    <t>ɪɔk̚</t>
  </si>
  <si>
    <t>ɪɔŋ</t>
  </si>
  <si>
    <t>ɪɔŋ/k̚</t>
  </si>
  <si>
    <t>iɔk</t>
  </si>
  <si>
    <t>iɔŋ/k</t>
  </si>
  <si>
    <t>iauh</t>
    <phoneticPr fontId="18" type="noConversion"/>
  </si>
  <si>
    <t>iau</t>
    <phoneticPr fontId="18" type="noConversion"/>
  </si>
  <si>
    <t>iaoh</t>
    <phoneticPr fontId="18" type="noConversion"/>
  </si>
  <si>
    <t>iao</t>
    <phoneticPr fontId="18" type="noConversion"/>
  </si>
  <si>
    <t>ɪaʊʔ</t>
  </si>
  <si>
    <t>ɪaʊ</t>
  </si>
  <si>
    <t>ɪaʊ(ʔ)</t>
  </si>
  <si>
    <t>iauʔ</t>
  </si>
  <si>
    <t>iau(ʔ)</t>
  </si>
  <si>
    <t>ɔ</t>
  </si>
  <si>
    <t>uat</t>
    <phoneticPr fontId="18" type="noConversion"/>
  </si>
  <si>
    <t>uan</t>
    <phoneticPr fontId="18" type="noConversion"/>
  </si>
  <si>
    <t>uan/t̚</t>
  </si>
  <si>
    <t>uan/t</t>
  </si>
  <si>
    <t>ik</t>
    <phoneticPr fontId="18" type="noConversion"/>
  </si>
  <si>
    <t>ing</t>
    <phoneticPr fontId="18" type="noConversion"/>
  </si>
  <si>
    <t>ɪk̚</t>
  </si>
  <si>
    <t>ɪŋ</t>
  </si>
  <si>
    <t>ɪŋ/k̚</t>
  </si>
  <si>
    <t>ɛk</t>
  </si>
  <si>
    <t>ɛŋ</t>
  </si>
  <si>
    <t>ɛŋ/k</t>
  </si>
  <si>
    <t>uaih</t>
    <phoneticPr fontId="18" type="noConversion"/>
  </si>
  <si>
    <t>uai</t>
    <phoneticPr fontId="18" type="noConversion"/>
  </si>
  <si>
    <t>uaiʔ</t>
  </si>
  <si>
    <t>uai(ʔ)</t>
  </si>
  <si>
    <t>ok</t>
    <phoneticPr fontId="18" type="noConversion"/>
  </si>
  <si>
    <t>ong</t>
    <phoneticPr fontId="18" type="noConversion"/>
  </si>
  <si>
    <t>ɔŋ/k̚</t>
  </si>
  <si>
    <t>ɔk</t>
  </si>
  <si>
    <t>ɔŋ/k</t>
  </si>
  <si>
    <t>at</t>
    <phoneticPr fontId="18" type="noConversion"/>
  </si>
  <si>
    <t>an</t>
    <phoneticPr fontId="18" type="noConversion"/>
  </si>
  <si>
    <t>an/t̚</t>
  </si>
  <si>
    <t>an/t</t>
  </si>
  <si>
    <t>干</t>
    <phoneticPr fontId="18" type="noConversion"/>
  </si>
  <si>
    <t>eeh</t>
    <phoneticPr fontId="18" type="noConversion"/>
  </si>
  <si>
    <t>ee</t>
    <phoneticPr fontId="18" type="noConversion"/>
  </si>
  <si>
    <t>ɛʔ</t>
  </si>
  <si>
    <t>ɛ(ʔ)</t>
  </si>
  <si>
    <t>ip</t>
    <phoneticPr fontId="18" type="noConversion"/>
  </si>
  <si>
    <t>im/p̚</t>
  </si>
  <si>
    <t>im/p</t>
  </si>
  <si>
    <t>iat</t>
    <phoneticPr fontId="18" type="noConversion"/>
  </si>
  <si>
    <t>ian</t>
    <phoneticPr fontId="18" type="noConversion"/>
  </si>
  <si>
    <t>ɪat̚</t>
  </si>
  <si>
    <t>ɪan</t>
  </si>
  <si>
    <t>ɪan/t̚</t>
  </si>
  <si>
    <t>ian/t</t>
  </si>
  <si>
    <t>un/t</t>
  </si>
  <si>
    <t>促聲韻母</t>
    <phoneticPr fontId="18" type="noConversion"/>
  </si>
  <si>
    <t>舒聲韻母</t>
    <phoneticPr fontId="18" type="noConversion"/>
  </si>
  <si>
    <t>(</t>
    <phoneticPr fontId="18" type="noConversion"/>
  </si>
  <si>
    <t>/</t>
    <phoneticPr fontId="18" type="noConversion"/>
  </si>
  <si>
    <t>台羅拼音</t>
    <phoneticPr fontId="18" type="noConversion"/>
  </si>
  <si>
    <t>閩南拼音</t>
    <phoneticPr fontId="18" type="noConversion"/>
  </si>
  <si>
    <t>國際音標</t>
    <phoneticPr fontId="18" type="noConversion"/>
  </si>
  <si>
    <t>馬重奇擬音</t>
    <phoneticPr fontId="18" type="noConversion"/>
  </si>
  <si>
    <t>韻母</t>
  </si>
  <si>
    <t>onn(h)</t>
  </si>
  <si>
    <t>iaunn(h)</t>
  </si>
  <si>
    <t>uenn(h)</t>
  </si>
  <si>
    <t>uainn(h)</t>
  </si>
  <si>
    <t>uang/k</t>
  </si>
  <si>
    <t>台羅拼音</t>
  </si>
  <si>
    <t>noo(h)</t>
  </si>
  <si>
    <t>niao(h)</t>
  </si>
  <si>
    <t>nue(h)</t>
  </si>
  <si>
    <t>nuai(h)</t>
  </si>
  <si>
    <t>閩南拼音</t>
  </si>
  <si>
    <t>[ĩũ]</t>
  </si>
  <si>
    <t>[ɔ̃(ʔ)]</t>
  </si>
  <si>
    <t>[ãũ]</t>
  </si>
  <si>
    <t>[ɔm/p̚]</t>
  </si>
  <si>
    <t>[ĩãũ(ʔ)]</t>
  </si>
  <si>
    <t>[ũẽ(ʔ)]</t>
  </si>
  <si>
    <t>[ũãĩ(ʔ)]</t>
  </si>
  <si>
    <t>[uaŋ/k̚]</t>
  </si>
  <si>
    <t>[m̩]</t>
  </si>
  <si>
    <t>[ɔ̃]</t>
  </si>
  <si>
    <t>*ĩũ</t>
  </si>
  <si>
    <t>*õ(ʔ)</t>
  </si>
  <si>
    <t>*ãũ</t>
  </si>
  <si>
    <t>*ɔm/p</t>
  </si>
  <si>
    <t>*ĩãũ(ʔ)</t>
  </si>
  <si>
    <t>*ũẽĩ(ʔ)</t>
  </si>
  <si>
    <t>*ũãĩ(ʔ)</t>
  </si>
  <si>
    <t>*uaŋ/k</t>
  </si>
  <si>
    <t>*m</t>
  </si>
  <si>
    <t>*õũ</t>
  </si>
  <si>
    <t>馬重奇擬音</t>
  </si>
  <si>
    <t>e(h)</t>
  </si>
  <si>
    <t>inn(h)</t>
  </si>
  <si>
    <t>io(h)</t>
  </si>
  <si>
    <t>ni(h)</t>
  </si>
  <si>
    <t>[ãĩ]</t>
  </si>
  <si>
    <t>[e(ʔ)]</t>
  </si>
  <si>
    <t>[ŋ̍]</t>
  </si>
  <si>
    <t>[ũã]</t>
  </si>
  <si>
    <t>[ĩã]</t>
  </si>
  <si>
    <t>[ĩɔ̃]</t>
  </si>
  <si>
    <t>[ĩ(ʔ)]</t>
  </si>
  <si>
    <t>[ɪo(ʔ)]</t>
  </si>
  <si>
    <t>[ũĩ]</t>
  </si>
  <si>
    <t>[ẽ]</t>
  </si>
  <si>
    <t>*ãĩ</t>
  </si>
  <si>
    <t>*e(ʔ)</t>
  </si>
  <si>
    <t>*ŋ</t>
  </si>
  <si>
    <t>*ũã</t>
  </si>
  <si>
    <t>*ĩã</t>
  </si>
  <si>
    <t>*ĩõ</t>
  </si>
  <si>
    <t>*ĩ(ʔ)</t>
  </si>
  <si>
    <t>*io(ʔ)</t>
  </si>
  <si>
    <t>*ũĩ</t>
  </si>
  <si>
    <t>*ɛ̃</t>
  </si>
  <si>
    <t>i(h)</t>
  </si>
  <si>
    <t>a(h)</t>
  </si>
  <si>
    <t>u(h)</t>
  </si>
  <si>
    <t>ann(h)</t>
  </si>
  <si>
    <t>ue(h)</t>
  </si>
  <si>
    <t>ia(h)</t>
  </si>
  <si>
    <t>au(h)</t>
  </si>
  <si>
    <t>ang/k</t>
  </si>
  <si>
    <t>na(h)</t>
  </si>
  <si>
    <t>ao(h)</t>
  </si>
  <si>
    <t>[iu]</t>
  </si>
  <si>
    <t>[i(ʔ)]</t>
  </si>
  <si>
    <t>[a(ʔ)]</t>
  </si>
  <si>
    <t>[u(ʔ)]</t>
  </si>
  <si>
    <t>[ã(ʔ)]</t>
  </si>
  <si>
    <t>[ue(ʔ)]</t>
  </si>
  <si>
    <t>[ɪa(ʔ)]</t>
  </si>
  <si>
    <t>[aʊ(ʔ)]</t>
  </si>
  <si>
    <t>[iam/p̚]</t>
  </si>
  <si>
    <t>[aŋ/k̚]</t>
  </si>
  <si>
    <t>*iu</t>
  </si>
  <si>
    <t>*i(ʔ)</t>
  </si>
  <si>
    <t>*a(ʔ)</t>
  </si>
  <si>
    <t>*u(ʔ)</t>
  </si>
  <si>
    <t>*ã(ʔ)</t>
  </si>
  <si>
    <t>*uei(ʔ)</t>
  </si>
  <si>
    <t>*ia(ʔ)</t>
  </si>
  <si>
    <t>*au(ʔ)</t>
  </si>
  <si>
    <t>*iam/p</t>
  </si>
  <si>
    <t>*aŋ/k</t>
  </si>
  <si>
    <t>ua(h)</t>
  </si>
  <si>
    <t>iang/k</t>
  </si>
  <si>
    <t>o(h)</t>
  </si>
  <si>
    <t>iong/k</t>
  </si>
  <si>
    <t>iau(h)</t>
  </si>
  <si>
    <t>iao(h)</t>
  </si>
  <si>
    <t>[ua(ʔ)]</t>
  </si>
  <si>
    <t>[am/p̚]</t>
  </si>
  <si>
    <t>[ɪaŋ/k̚]</t>
  </si>
  <si>
    <t>[in/t̚]</t>
  </si>
  <si>
    <t>[aɪ]</t>
  </si>
  <si>
    <t>[o(ʔ)]</t>
  </si>
  <si>
    <t>[ɪɔŋ/k̚]</t>
  </si>
  <si>
    <t>[e]</t>
  </si>
  <si>
    <t>[ɪaʊ(ʔ)]</t>
  </si>
  <si>
    <t>[ɔ]</t>
  </si>
  <si>
    <t>*ua(ʔ)</t>
  </si>
  <si>
    <t>*am/p</t>
  </si>
  <si>
    <t>*iaŋ/k</t>
  </si>
  <si>
    <t>*in/t</t>
  </si>
  <si>
    <t>*ai</t>
  </si>
  <si>
    <t>*o(ʔ)</t>
  </si>
  <si>
    <t>*iɔŋ/k</t>
  </si>
  <si>
    <t>*ei</t>
  </si>
  <si>
    <t>*iau(ʔ)</t>
  </si>
  <si>
    <t>*ɔu</t>
  </si>
  <si>
    <t>ing/k</t>
  </si>
  <si>
    <t>uai(h)</t>
  </si>
  <si>
    <t>ong/k</t>
  </si>
  <si>
    <t>ee(h)</t>
  </si>
  <si>
    <t>[uan/t̚]</t>
  </si>
  <si>
    <t>[ɪŋ/k̚]</t>
  </si>
  <si>
    <t>[uai(ʔ)]</t>
  </si>
  <si>
    <t>[ɔŋ/k̚]</t>
  </si>
  <si>
    <t>[an/t̚]</t>
  </si>
  <si>
    <t>[ɛ(ʔ)]</t>
  </si>
  <si>
    <t>[ui]</t>
  </si>
  <si>
    <t>[im/p̚]</t>
  </si>
  <si>
    <t>[ɪan/t̚]</t>
  </si>
  <si>
    <t>[un/t̚]</t>
  </si>
  <si>
    <t>*uan/t</t>
  </si>
  <si>
    <t>*ɛŋ/k</t>
  </si>
  <si>
    <t>*uai(ʔ)</t>
  </si>
  <si>
    <t>*ɔŋ/k</t>
  </si>
  <si>
    <t>*an/t</t>
  </si>
  <si>
    <t>*ɛ(ʔ)</t>
  </si>
  <si>
    <t>*ui</t>
  </si>
  <si>
    <t>*im/p</t>
  </si>
  <si>
    <t>*ian/t</t>
  </si>
  <si>
    <t>*un/t</t>
  </si>
  <si>
    <t>韻母五十字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</si>
</sst>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General;;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b/>
      <sz val="18"/>
      <color rgb="FF000000"/>
      <name val="Noto Serif TC Black"/>
      <family val="1"/>
      <charset val="136"/>
    </font>
    <font>
      <sz val="18"/>
      <color rgb="FF000000"/>
      <name val="Noto Serif TC Black"/>
      <family val="1"/>
      <charset val="136"/>
    </font>
    <font>
      <sz val="18"/>
      <color theme="8" tint="0.39997558519241921"/>
      <name val="Noto Serif TC Black"/>
      <family val="1"/>
      <charset val="136"/>
    </font>
    <font>
      <sz val="18"/>
      <color rgb="FFFF0000"/>
      <name val="Noto Serif TC Black"/>
      <family val="1"/>
      <charset val="136"/>
    </font>
    <font>
      <sz val="18"/>
      <color rgb="FF000000"/>
      <name val="BopomofoRuby1909-v1"/>
      <family val="1"/>
      <charset val="136"/>
    </font>
    <font>
      <sz val="18"/>
      <color theme="8" tint="0.39997558519241921"/>
      <name val="Noto Serif TC Black"/>
      <family val="1"/>
      <charset val="128"/>
    </font>
    <font>
      <b/>
      <sz val="16"/>
      <color rgb="FFFFFFFF"/>
      <name val="Noto Sans TC Black"/>
      <family val="2"/>
      <charset val="136"/>
    </font>
    <font>
      <sz val="16"/>
      <color theme="1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16"/>
      <color theme="1"/>
      <name val="Arial"/>
      <family val="2"/>
    </font>
    <font>
      <sz val="12"/>
      <color rgb="FF202122"/>
      <name val="Arial"/>
      <family val="2"/>
    </font>
    <font>
      <b/>
      <sz val="18"/>
      <color rgb="FF202122"/>
      <name val="霞鶩文楷等寬 TC Medium"/>
      <family val="3"/>
      <charset val="136"/>
    </font>
    <font>
      <sz val="18"/>
      <color rgb="FF202122"/>
      <name val="Segoe UI"/>
      <family val="2"/>
    </font>
    <font>
      <sz val="18"/>
      <color rgb="FFFF0000"/>
      <name val="Segoe UI"/>
      <family val="2"/>
    </font>
    <font>
      <b/>
      <sz val="20"/>
      <color rgb="FF202122"/>
      <name val="Noto Serif TC Black"/>
      <family val="1"/>
      <charset val="136"/>
    </font>
    <font>
      <sz val="9"/>
      <name val="Noto Sans TC Medium"/>
      <family val="2"/>
      <charset val="136"/>
    </font>
    <font>
      <sz val="16"/>
      <color theme="1"/>
      <name val="Segoe UI"/>
      <family val="2"/>
      <charset val="1"/>
    </font>
    <font>
      <b/>
      <sz val="12"/>
      <color rgb="FF202122"/>
      <name val="Arial"/>
      <family val="2"/>
    </font>
    <font>
      <b/>
      <sz val="12"/>
      <color rgb="FFFF0000"/>
      <name val="Arial"/>
      <family val="2"/>
    </font>
    <font>
      <sz val="12"/>
      <color rgb="FF202122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0" fillId="0" borderId="0">
      <alignment vertical="center"/>
    </xf>
  </cellStyleXfs>
  <cellXfs count="53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 wrapText="1" indent="1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indent="1"/>
    </xf>
    <xf numFmtId="0" fontId="6" fillId="0" borderId="5" xfId="1" applyFont="1" applyBorder="1" applyAlignment="1">
      <alignment horizontal="left" vertical="center" wrapText="1" indent="1"/>
    </xf>
    <xf numFmtId="0" fontId="7" fillId="0" borderId="5" xfId="1" applyFont="1" applyBorder="1" applyAlignment="1">
      <alignment horizontal="left" vertical="center" indent="1"/>
    </xf>
    <xf numFmtId="0" fontId="5" fillId="0" borderId="5" xfId="1" applyFont="1" applyBorder="1" applyAlignment="1">
      <alignment horizontal="left" vertical="center" wrapText="1" indent="1"/>
    </xf>
    <xf numFmtId="0" fontId="5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 wrapText="1" indent="1"/>
    </xf>
    <xf numFmtId="0" fontId="5" fillId="0" borderId="8" xfId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177" fontId="10" fillId="0" borderId="13" xfId="1" applyNumberFormat="1" applyFont="1" applyBorder="1" applyAlignment="1">
      <alignment horizontal="right" vertical="center" indent="1"/>
    </xf>
    <xf numFmtId="177" fontId="10" fillId="0" borderId="14" xfId="1" applyNumberFormat="1" applyFont="1" applyBorder="1" applyAlignment="1">
      <alignment horizontal="left" vertical="center" inden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177" fontId="11" fillId="0" borderId="13" xfId="1" applyNumberFormat="1" applyFont="1" applyBorder="1" applyAlignment="1">
      <alignment horizontal="right" vertical="center" indent="1"/>
    </xf>
    <xf numFmtId="177" fontId="11" fillId="0" borderId="14" xfId="1" applyNumberFormat="1" applyFont="1" applyBorder="1" applyAlignment="1">
      <alignment horizontal="left" vertical="center" indent="1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177" fontId="10" fillId="0" borderId="16" xfId="1" applyNumberFormat="1" applyFont="1" applyBorder="1" applyAlignment="1">
      <alignment horizontal="right" vertical="center" indent="1"/>
    </xf>
    <xf numFmtId="177" fontId="10" fillId="0" borderId="17" xfId="1" applyNumberFormat="1" applyFont="1" applyBorder="1" applyAlignment="1">
      <alignment horizontal="left" vertical="center" indent="1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10" fillId="0" borderId="0" xfId="2">
      <alignment vertical="center"/>
    </xf>
    <xf numFmtId="0" fontId="11" fillId="0" borderId="0" xfId="2" applyFont="1">
      <alignment vertical="center"/>
    </xf>
    <xf numFmtId="0" fontId="13" fillId="0" borderId="0" xfId="2" applyFont="1" applyAlignment="1">
      <alignment vertical="center" wrapText="1"/>
    </xf>
    <xf numFmtId="0" fontId="14" fillId="0" borderId="0" xfId="2" applyFont="1" applyAlignment="1">
      <alignment vertical="center" wrapText="1"/>
    </xf>
    <xf numFmtId="0" fontId="15" fillId="4" borderId="19" xfId="2" applyFont="1" applyFill="1" applyBorder="1" applyAlignment="1">
      <alignment vertical="center" wrapText="1"/>
    </xf>
    <xf numFmtId="0" fontId="15" fillId="5" borderId="19" xfId="2" applyFont="1" applyFill="1" applyBorder="1" applyAlignment="1">
      <alignment vertical="center" wrapText="1"/>
    </xf>
    <xf numFmtId="0" fontId="16" fillId="5" borderId="19" xfId="2" applyFont="1" applyFill="1" applyBorder="1" applyAlignment="1">
      <alignment vertical="center" wrapText="1"/>
    </xf>
    <xf numFmtId="0" fontId="17" fillId="6" borderId="19" xfId="2" applyFont="1" applyFill="1" applyBorder="1" applyAlignment="1">
      <alignment horizontal="center" vertical="center" wrapText="1"/>
    </xf>
    <xf numFmtId="0" fontId="12" fillId="0" borderId="0" xfId="2" applyFont="1">
      <alignment vertical="center"/>
    </xf>
    <xf numFmtId="0" fontId="10" fillId="0" borderId="0" xfId="2" applyAlignment="1">
      <alignment horizontal="center" vertical="center"/>
    </xf>
    <xf numFmtId="0" fontId="20" fillId="0" borderId="0" xfId="2" applyFont="1" applyAlignment="1">
      <alignment horizontal="left" vertical="center" wrapText="1"/>
    </xf>
    <xf numFmtId="0" fontId="20" fillId="6" borderId="19" xfId="2" applyFont="1" applyFill="1" applyBorder="1" applyAlignment="1">
      <alignment horizontal="left" vertical="center" wrapText="1"/>
    </xf>
    <xf numFmtId="0" fontId="21" fillId="6" borderId="19" xfId="2" applyFont="1" applyFill="1" applyBorder="1" applyAlignment="1">
      <alignment horizontal="left" vertical="center" wrapText="1"/>
    </xf>
    <xf numFmtId="0" fontId="20" fillId="6" borderId="19" xfId="2" applyFont="1" applyFill="1" applyBorder="1" applyAlignment="1">
      <alignment horizontal="center" vertical="center" wrapText="1"/>
    </xf>
    <xf numFmtId="0" fontId="13" fillId="5" borderId="19" xfId="2" applyFont="1" applyFill="1" applyBorder="1" applyAlignment="1">
      <alignment vertical="center" wrapText="1"/>
    </xf>
    <xf numFmtId="0" fontId="22" fillId="5" borderId="19" xfId="2" applyFont="1" applyFill="1" applyBorder="1" applyAlignment="1">
      <alignment vertical="center" wrapText="1"/>
    </xf>
    <xf numFmtId="0" fontId="10" fillId="0" borderId="20" xfId="2" applyBorder="1">
      <alignment vertical="center"/>
    </xf>
    <xf numFmtId="0" fontId="10" fillId="5" borderId="20" xfId="2" applyFill="1" applyBorder="1" applyAlignment="1">
      <alignment horizontal="center" vertical="center"/>
    </xf>
  </cellXfs>
  <cellStyles count="3">
    <cellStyle name="一般" xfId="0" builtinId="0"/>
    <cellStyle name="一般 2" xfId="1" xr:uid="{CA5E04F8-A233-4024-A69D-8CA1CDB96504}"/>
    <cellStyle name="一般 3" xfId="2" xr:uid="{67BA385C-7495-441F-919D-494D74DEAF90}"/>
  </cellStyles>
  <dxfs count="44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98A86B-1564-46C7-9417-890049A218B6}" name="聲母表" displayName="聲母表" ref="A1:I19" totalsRowShown="0" headerRowDxfId="34" dataDxfId="32" headerRowBorderDxfId="33" tableBorderDxfId="31" totalsRowBorderDxfId="30" headerRowCellStyle="一般 2" dataCellStyle="一般 2">
  <autoFilter ref="A1:I19" xr:uid="{9C98A86B-1564-46C7-9417-890049A218B6}"/>
  <tableColumns count="9">
    <tableColumn id="1" xr3:uid="{E8014FD6-D4AF-4E87-8287-E7D5B1532C18}" name="識別號" dataDxfId="29" dataCellStyle="一般 2"/>
    <tableColumn id="2" xr3:uid="{5C91D2A5-E573-4630-A6F6-70B28FE62CE4}" name="台語音標" dataDxfId="28" dataCellStyle="一般 2"/>
    <tableColumn id="3" xr3:uid="{15D6843B-C35E-4A11-8FEA-C09AAECCB06C}" name="國際音標" dataDxfId="27" dataCellStyle="一般 2"/>
    <tableColumn id="4" xr3:uid="{5DDEF33E-1A4C-45F4-A252-C6F768E5390E}" name="白話字" dataDxfId="26" dataCellStyle="一般 2"/>
    <tableColumn id="5" xr3:uid="{E228F8BE-C9B1-4E83-BEFB-372BAACA818D}" name="台羅音標" dataDxfId="25" dataCellStyle="一般 2"/>
    <tableColumn id="6" xr3:uid="{803BE8ED-93E6-4A1F-8A97-BFBD18DEA1ED}" name="閩拼方案" dataDxfId="24" dataCellStyle="一般 2"/>
    <tableColumn id="7" xr3:uid="{691B959C-B9C9-4EE0-9015-378FAF1F809D}" name="方音符號" dataDxfId="23" dataCellStyle="一般 2"/>
    <tableColumn id="8" xr3:uid="{DA3D54FF-E5B0-4528-8747-C7101E8AD68B}" name="十五音" dataDxfId="22" dataCellStyle="一般 2"/>
    <tableColumn id="9" xr3:uid="{5CB9243F-F138-4482-8C8A-27DCBE043C7D}" name="備註" dataDxfId="21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56C480-9D5C-4E1F-8EAB-7E5D07F32479}" name="韻母表" displayName="韻母表" ref="A1:G101" totalsRowShown="0" headerRowDxfId="43" headerRowBorderDxfId="42" headerRowCellStyle="一般 2">
  <autoFilter ref="A1:G101" xr:uid="{6E56C480-9D5C-4E1F-8EAB-7E5D07F32479}"/>
  <tableColumns count="7">
    <tableColumn id="1" xr3:uid="{DBD4A66A-2787-48E3-AB1E-D73901A8D378}" name="識別號" dataDxfId="41" dataCellStyle="一般 2"/>
    <tableColumn id="5" xr3:uid="{05EB95AC-F044-4747-AC3F-F29E9A2BE8AF}" name="台羅音標" dataDxfId="40" dataCellStyle="一般 2"/>
    <tableColumn id="7" xr3:uid="{7A9D3F77-60A4-4BF1-B88B-187A5666875B}" name="方音符號" dataDxfId="39" dataCellStyle="一般 2"/>
    <tableColumn id="8" xr3:uid="{DE9A58DB-FCDA-49BA-867F-EF888AE6E043}" name="十五音" dataDxfId="38" dataCellStyle="一般 2"/>
    <tableColumn id="9" xr3:uid="{6FD469BD-4DF4-44F6-B598-F6F5D6849C4A}" name="十五音序" dataDxfId="37" dataCellStyle="一般 2"/>
    <tableColumn id="10" xr3:uid="{2FADC974-5491-4D7B-AB7E-450B65C9A452}" name="舒促聲" dataDxfId="36" dataCellStyle="一般 2"/>
    <tableColumn id="11" xr3:uid="{F8DB4F9B-744C-4D98-8787-01430381A6D5}" name="十五音識別碼" dataDxfId="35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B0CBF-AA85-4EA8-B91B-E7293FA6B893}" name="韻母表_2" displayName="韻母表_2" ref="A1:K101" totalsRowShown="0" headerRowDxfId="20" headerRowBorderDxfId="19" headerRowCellStyle="一般 2">
  <autoFilter ref="A1:K101" xr:uid="{6E56C480-9D5C-4E1F-8EAB-7E5D07F32479}"/>
  <tableColumns count="11">
    <tableColumn id="1" xr3:uid="{0376D938-3AF1-47A9-B299-C6CE7129BBA9}" name="識別號" dataDxfId="18" dataCellStyle="一般 2"/>
    <tableColumn id="2" xr3:uid="{AF6E674A-18B9-4BF3-BD24-D38400C217D5}" name="台語音標" dataDxfId="17" dataCellStyle="一般 2"/>
    <tableColumn id="3" xr3:uid="{5C7BB4FC-7CE0-475D-885E-A44E67428493}" name="國際音標" dataDxfId="16" dataCellStyle="一般 2"/>
    <tableColumn id="4" xr3:uid="{CDC8A2FA-902A-4930-B590-4333FCC7648F}" name="白話字" dataDxfId="15" dataCellStyle="一般 2"/>
    <tableColumn id="5" xr3:uid="{7393DF64-288E-4801-BBE0-C788BD2E5FCF}" name="台羅音標" dataDxfId="14" dataCellStyle="一般 2"/>
    <tableColumn id="6" xr3:uid="{0C623399-ACE1-429B-A2EE-B4E3940A1242}" name="閩拼方案" dataDxfId="13" dataCellStyle="一般 2"/>
    <tableColumn id="7" xr3:uid="{7C9F7F87-A499-4D96-8CEE-7A33620FE649}" name="方音符號" dataDxfId="12" dataCellStyle="一般 2"/>
    <tableColumn id="8" xr3:uid="{0648F51C-FADA-4960-B959-9DE4A3479964}" name="十五音" dataDxfId="11" dataCellStyle="一般 2"/>
    <tableColumn id="9" xr3:uid="{7DD59F33-CAED-4EFC-9741-56F3A1AA1F9D}" name="十五音序" dataDxfId="10" dataCellStyle="一般 2"/>
    <tableColumn id="10" xr3:uid="{2C7CABD4-BC69-4CDB-9562-DC5FCBC03529}" name="舒促聲" dataDxfId="9" dataCellStyle="一般 2"/>
    <tableColumn id="11" xr3:uid="{28D593FB-0527-4045-86D7-EE0C6310E920}" name="十五音識別碼" dataDxfId="8" dataCellStyle="一般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5%BD%99%E9%9B%86%E9%9B%85%E4%BF%97%E9%80%9A%E5%8D%81%E4%BA%94%E9%9F%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29D4-5AF6-4E03-A615-A22B9191A0A4}">
  <dimension ref="A1:K26"/>
  <sheetViews>
    <sheetView tabSelected="1" topLeftCell="A14" workbookViewId="0">
      <selection activeCell="A3" sqref="A3"/>
    </sheetView>
  </sheetViews>
  <sheetFormatPr defaultRowHeight="25.5"/>
  <cols>
    <col min="1" max="16384" width="9" style="35"/>
  </cols>
  <sheetData>
    <row r="1" spans="1:11" ht="26.25" thickBot="1">
      <c r="A1" s="52" t="s">
        <v>886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6.25" thickBot="1">
      <c r="A2" s="48" t="s">
        <v>749</v>
      </c>
      <c r="B2" s="48" t="s">
        <v>2</v>
      </c>
      <c r="C2" s="48" t="s">
        <v>37</v>
      </c>
      <c r="D2" s="48" t="s">
        <v>42</v>
      </c>
      <c r="E2" s="48" t="s">
        <v>45</v>
      </c>
      <c r="F2" s="48" t="s">
        <v>47</v>
      </c>
      <c r="G2" s="48" t="s">
        <v>39</v>
      </c>
      <c r="H2" s="48" t="s">
        <v>55</v>
      </c>
      <c r="I2" s="48" t="s">
        <v>61</v>
      </c>
      <c r="J2" s="48" t="s">
        <v>63</v>
      </c>
      <c r="K2" s="48" t="s">
        <v>68</v>
      </c>
    </row>
    <row r="3" spans="1:11" ht="32.25" thickBot="1">
      <c r="A3" s="48" t="s">
        <v>781</v>
      </c>
      <c r="B3" s="50" t="s">
        <v>885</v>
      </c>
      <c r="C3" s="50" t="s">
        <v>884</v>
      </c>
      <c r="D3" s="50" t="s">
        <v>883</v>
      </c>
      <c r="E3" s="50" t="s">
        <v>882</v>
      </c>
      <c r="F3" s="50" t="s">
        <v>881</v>
      </c>
      <c r="G3" s="50" t="s">
        <v>880</v>
      </c>
      <c r="H3" s="50" t="s">
        <v>879</v>
      </c>
      <c r="I3" s="50" t="s">
        <v>878</v>
      </c>
      <c r="J3" s="50" t="s">
        <v>877</v>
      </c>
      <c r="K3" s="50" t="s">
        <v>876</v>
      </c>
    </row>
    <row r="4" spans="1:11" ht="26.25" thickBot="1">
      <c r="A4" s="48" t="s">
        <v>159</v>
      </c>
      <c r="B4" s="49" t="s">
        <v>875</v>
      </c>
      <c r="C4" s="49" t="s">
        <v>874</v>
      </c>
      <c r="D4" s="49" t="s">
        <v>873</v>
      </c>
      <c r="E4" s="49" t="s">
        <v>872</v>
      </c>
      <c r="F4" s="49" t="s">
        <v>871</v>
      </c>
      <c r="G4" s="49" t="s">
        <v>870</v>
      </c>
      <c r="H4" s="49" t="s">
        <v>869</v>
      </c>
      <c r="I4" s="49" t="s">
        <v>868</v>
      </c>
      <c r="J4" s="49" t="s">
        <v>867</v>
      </c>
      <c r="K4" s="49" t="s">
        <v>866</v>
      </c>
    </row>
    <row r="5" spans="1:11" ht="26.25" thickBot="1">
      <c r="A5" s="48" t="s">
        <v>760</v>
      </c>
      <c r="B5" s="49" t="s">
        <v>740</v>
      </c>
      <c r="C5" s="49" t="s">
        <v>739</v>
      </c>
      <c r="D5" s="49" t="s">
        <v>733</v>
      </c>
      <c r="E5" s="49" t="s">
        <v>46</v>
      </c>
      <c r="F5" s="49" t="s">
        <v>782</v>
      </c>
      <c r="G5" s="49" t="s">
        <v>725</v>
      </c>
      <c r="H5" s="49" t="s">
        <v>864</v>
      </c>
      <c r="I5" s="49" t="s">
        <v>863</v>
      </c>
      <c r="J5" s="49" t="s">
        <v>862</v>
      </c>
      <c r="K5" s="49" t="s">
        <v>704</v>
      </c>
    </row>
    <row r="6" spans="1:11" ht="26.25" thickBot="1">
      <c r="A6" s="48" t="s">
        <v>755</v>
      </c>
      <c r="B6" s="49" t="s">
        <v>740</v>
      </c>
      <c r="C6" s="49" t="s">
        <v>739</v>
      </c>
      <c r="D6" s="49" t="s">
        <v>733</v>
      </c>
      <c r="E6" s="49" t="s">
        <v>46</v>
      </c>
      <c r="F6" s="49" t="s">
        <v>865</v>
      </c>
      <c r="G6" s="49" t="s">
        <v>725</v>
      </c>
      <c r="H6" s="49" t="s">
        <v>864</v>
      </c>
      <c r="I6" s="49" t="s">
        <v>863</v>
      </c>
      <c r="J6" s="49" t="s">
        <v>862</v>
      </c>
      <c r="K6" s="49" t="s">
        <v>704</v>
      </c>
    </row>
    <row r="7" spans="1:11" ht="26.25" thickBot="1">
      <c r="A7" s="48" t="s">
        <v>749</v>
      </c>
      <c r="B7" s="48" t="s">
        <v>72</v>
      </c>
      <c r="C7" s="48" t="s">
        <v>76</v>
      </c>
      <c r="D7" s="48" t="s">
        <v>79</v>
      </c>
      <c r="E7" s="48" t="s">
        <v>81</v>
      </c>
      <c r="F7" s="48" t="s">
        <v>84</v>
      </c>
      <c r="G7" s="48" t="s">
        <v>86</v>
      </c>
      <c r="H7" s="48" t="s">
        <v>88</v>
      </c>
      <c r="I7" s="48" t="s">
        <v>91</v>
      </c>
      <c r="J7" s="48" t="s">
        <v>95</v>
      </c>
      <c r="K7" s="48" t="s">
        <v>99</v>
      </c>
    </row>
    <row r="8" spans="1:11" ht="32.25" thickBot="1">
      <c r="A8" s="48" t="s">
        <v>781</v>
      </c>
      <c r="B8" s="50" t="s">
        <v>861</v>
      </c>
      <c r="C8" s="50" t="s">
        <v>860</v>
      </c>
      <c r="D8" s="50" t="s">
        <v>859</v>
      </c>
      <c r="E8" s="50" t="s">
        <v>858</v>
      </c>
      <c r="F8" s="50" t="s">
        <v>857</v>
      </c>
      <c r="G8" s="50" t="s">
        <v>856</v>
      </c>
      <c r="H8" s="50" t="s">
        <v>855</v>
      </c>
      <c r="I8" s="50" t="s">
        <v>854</v>
      </c>
      <c r="J8" s="50" t="s">
        <v>853</v>
      </c>
      <c r="K8" s="50" t="s">
        <v>852</v>
      </c>
    </row>
    <row r="9" spans="1:11" ht="26.25" thickBot="1">
      <c r="A9" s="48" t="s">
        <v>159</v>
      </c>
      <c r="B9" s="49" t="s">
        <v>851</v>
      </c>
      <c r="C9" s="49" t="s">
        <v>850</v>
      </c>
      <c r="D9" s="49" t="s">
        <v>849</v>
      </c>
      <c r="E9" s="49" t="s">
        <v>848</v>
      </c>
      <c r="F9" s="49" t="s">
        <v>847</v>
      </c>
      <c r="G9" s="49" t="s">
        <v>846</v>
      </c>
      <c r="H9" s="49" t="s">
        <v>845</v>
      </c>
      <c r="I9" s="49" t="s">
        <v>844</v>
      </c>
      <c r="J9" s="49" t="s">
        <v>843</v>
      </c>
      <c r="K9" s="49" t="s">
        <v>842</v>
      </c>
    </row>
    <row r="10" spans="1:11" ht="26.25" thickBot="1">
      <c r="A10" s="48" t="s">
        <v>760</v>
      </c>
      <c r="B10" s="49" t="s">
        <v>73</v>
      </c>
      <c r="C10" s="49" t="s">
        <v>841</v>
      </c>
      <c r="D10" s="49" t="s">
        <v>133</v>
      </c>
      <c r="E10" s="49" t="s">
        <v>839</v>
      </c>
      <c r="F10" s="49" t="s">
        <v>838</v>
      </c>
      <c r="G10" s="49" t="s">
        <v>87</v>
      </c>
      <c r="H10" s="49" t="s">
        <v>678</v>
      </c>
      <c r="I10" s="49" t="s">
        <v>837</v>
      </c>
      <c r="J10" s="49" t="s">
        <v>668</v>
      </c>
      <c r="K10" s="49" t="s">
        <v>836</v>
      </c>
    </row>
    <row r="11" spans="1:11" ht="26.25" thickBot="1">
      <c r="A11" s="48" t="s">
        <v>755</v>
      </c>
      <c r="B11" s="49" t="s">
        <v>73</v>
      </c>
      <c r="C11" s="49" t="s">
        <v>840</v>
      </c>
      <c r="D11" s="49" t="s">
        <v>133</v>
      </c>
      <c r="E11" s="49" t="s">
        <v>839</v>
      </c>
      <c r="F11" s="49" t="s">
        <v>838</v>
      </c>
      <c r="G11" s="49" t="s">
        <v>87</v>
      </c>
      <c r="H11" s="49" t="s">
        <v>678</v>
      </c>
      <c r="I11" s="49" t="s">
        <v>837</v>
      </c>
      <c r="J11" s="49" t="s">
        <v>668</v>
      </c>
      <c r="K11" s="49" t="s">
        <v>836</v>
      </c>
    </row>
    <row r="12" spans="1:11" ht="26.25" thickBot="1">
      <c r="A12" s="48" t="s">
        <v>749</v>
      </c>
      <c r="B12" s="48" t="s">
        <v>101</v>
      </c>
      <c r="C12" s="48" t="s">
        <v>104</v>
      </c>
      <c r="D12" s="48" t="s">
        <v>107</v>
      </c>
      <c r="E12" s="48" t="s">
        <v>50</v>
      </c>
      <c r="F12" s="48" t="s">
        <v>112</v>
      </c>
      <c r="G12" s="48" t="s">
        <v>97</v>
      </c>
      <c r="H12" s="48" t="s">
        <v>119</v>
      </c>
      <c r="I12" s="48" t="s">
        <v>109</v>
      </c>
      <c r="J12" s="48" t="s">
        <v>122</v>
      </c>
      <c r="K12" s="48" t="s">
        <v>41</v>
      </c>
    </row>
    <row r="13" spans="1:11" ht="32.25" thickBot="1">
      <c r="A13" s="48" t="s">
        <v>781</v>
      </c>
      <c r="B13" s="50" t="s">
        <v>835</v>
      </c>
      <c r="C13" s="50" t="s">
        <v>834</v>
      </c>
      <c r="D13" s="50" t="s">
        <v>833</v>
      </c>
      <c r="E13" s="50" t="s">
        <v>832</v>
      </c>
      <c r="F13" s="50" t="s">
        <v>831</v>
      </c>
      <c r="G13" s="50" t="s">
        <v>830</v>
      </c>
      <c r="H13" s="50" t="s">
        <v>829</v>
      </c>
      <c r="I13" s="50" t="s">
        <v>828</v>
      </c>
      <c r="J13" s="50" t="s">
        <v>827</v>
      </c>
      <c r="K13" s="50" t="s">
        <v>826</v>
      </c>
    </row>
    <row r="14" spans="1:11" ht="26.25" thickBot="1">
      <c r="A14" s="48" t="s">
        <v>159</v>
      </c>
      <c r="B14" s="49" t="s">
        <v>825</v>
      </c>
      <c r="C14" s="49" t="s">
        <v>824</v>
      </c>
      <c r="D14" s="49" t="s">
        <v>823</v>
      </c>
      <c r="E14" s="49" t="s">
        <v>822</v>
      </c>
      <c r="F14" s="49" t="s">
        <v>821</v>
      </c>
      <c r="G14" s="49" t="s">
        <v>820</v>
      </c>
      <c r="H14" s="49" t="s">
        <v>819</v>
      </c>
      <c r="I14" s="49" t="s">
        <v>818</v>
      </c>
      <c r="J14" s="49" t="s">
        <v>817</v>
      </c>
      <c r="K14" s="49" t="s">
        <v>816</v>
      </c>
    </row>
    <row r="15" spans="1:11" ht="26.25" thickBot="1">
      <c r="A15" s="48" t="s">
        <v>760</v>
      </c>
      <c r="B15" s="49" t="s">
        <v>813</v>
      </c>
      <c r="C15" s="49" t="s">
        <v>656</v>
      </c>
      <c r="D15" s="49" t="s">
        <v>815</v>
      </c>
      <c r="E15" s="49" t="s">
        <v>811</v>
      </c>
      <c r="F15" s="49" t="s">
        <v>810</v>
      </c>
      <c r="G15" s="49" t="s">
        <v>814</v>
      </c>
      <c r="H15" s="49" t="s">
        <v>808</v>
      </c>
      <c r="I15" s="49" t="s">
        <v>807</v>
      </c>
      <c r="J15" s="49" t="s">
        <v>806</v>
      </c>
      <c r="K15" s="49" t="s">
        <v>125</v>
      </c>
    </row>
    <row r="16" spans="1:11" ht="26.25" thickBot="1">
      <c r="A16" s="48" t="s">
        <v>755</v>
      </c>
      <c r="B16" s="49" t="s">
        <v>813</v>
      </c>
      <c r="C16" s="49" t="s">
        <v>656</v>
      </c>
      <c r="D16" s="49" t="s">
        <v>812</v>
      </c>
      <c r="E16" s="49" t="s">
        <v>811</v>
      </c>
      <c r="F16" s="49" t="s">
        <v>810</v>
      </c>
      <c r="G16" s="49" t="s">
        <v>809</v>
      </c>
      <c r="H16" s="49" t="s">
        <v>808</v>
      </c>
      <c r="I16" s="49" t="s">
        <v>807</v>
      </c>
      <c r="J16" s="49" t="s">
        <v>806</v>
      </c>
      <c r="K16" s="49" t="s">
        <v>125</v>
      </c>
    </row>
    <row r="17" spans="1:11" ht="26.25" thickBot="1">
      <c r="A17" s="48" t="s">
        <v>749</v>
      </c>
      <c r="B17" s="48" t="s">
        <v>65</v>
      </c>
      <c r="C17" s="48" t="s">
        <v>10</v>
      </c>
      <c r="D17" s="48" t="s">
        <v>49</v>
      </c>
      <c r="E17" s="48" t="s">
        <v>131</v>
      </c>
      <c r="F17" s="48" t="s">
        <v>93</v>
      </c>
      <c r="G17" s="48" t="s">
        <v>66</v>
      </c>
      <c r="H17" s="48" t="s">
        <v>70</v>
      </c>
      <c r="I17" s="48" t="s">
        <v>59</v>
      </c>
      <c r="J17" s="48" t="s">
        <v>111</v>
      </c>
      <c r="K17" s="48" t="s">
        <v>53</v>
      </c>
    </row>
    <row r="18" spans="1:11" ht="32.25" thickBot="1">
      <c r="A18" s="48" t="s">
        <v>781</v>
      </c>
      <c r="B18" s="50" t="s">
        <v>805</v>
      </c>
      <c r="C18" s="50" t="s">
        <v>804</v>
      </c>
      <c r="D18" s="50" t="s">
        <v>803</v>
      </c>
      <c r="E18" s="50" t="s">
        <v>802</v>
      </c>
      <c r="F18" s="50" t="s">
        <v>801</v>
      </c>
      <c r="G18" s="50" t="s">
        <v>800</v>
      </c>
      <c r="H18" s="50" t="s">
        <v>799</v>
      </c>
      <c r="I18" s="50" t="s">
        <v>798</v>
      </c>
      <c r="J18" s="50" t="s">
        <v>797</v>
      </c>
      <c r="K18" s="50" t="s">
        <v>796</v>
      </c>
    </row>
    <row r="19" spans="1:11" ht="26.25" thickBot="1">
      <c r="A19" s="48" t="s">
        <v>159</v>
      </c>
      <c r="B19" s="49" t="s">
        <v>795</v>
      </c>
      <c r="C19" s="49" t="s">
        <v>794</v>
      </c>
      <c r="D19" s="49" t="s">
        <v>793</v>
      </c>
      <c r="E19" s="49" t="s">
        <v>792</v>
      </c>
      <c r="F19" s="49" t="s">
        <v>791</v>
      </c>
      <c r="G19" s="49" t="s">
        <v>790</v>
      </c>
      <c r="H19" s="49" t="s">
        <v>789</v>
      </c>
      <c r="I19" s="49" t="s">
        <v>788</v>
      </c>
      <c r="J19" s="49" t="s">
        <v>787</v>
      </c>
      <c r="K19" s="49" t="s">
        <v>786</v>
      </c>
    </row>
    <row r="20" spans="1:11" ht="26.25" thickBot="1">
      <c r="A20" s="48" t="s">
        <v>760</v>
      </c>
      <c r="B20" s="49" t="s">
        <v>376</v>
      </c>
      <c r="C20" s="49" t="s">
        <v>389</v>
      </c>
      <c r="D20" s="49" t="s">
        <v>784</v>
      </c>
      <c r="E20" s="49" t="s">
        <v>785</v>
      </c>
      <c r="F20" s="49" t="s">
        <v>416</v>
      </c>
      <c r="G20" s="49" t="s">
        <v>423</v>
      </c>
      <c r="H20" s="49" t="s">
        <v>429</v>
      </c>
      <c r="I20" s="49" t="s">
        <v>130</v>
      </c>
      <c r="J20" s="49" t="s">
        <v>782</v>
      </c>
      <c r="K20" s="49" t="s">
        <v>444</v>
      </c>
    </row>
    <row r="21" spans="1:11" ht="26.25" thickBot="1">
      <c r="A21" s="48" t="s">
        <v>755</v>
      </c>
      <c r="B21" s="49" t="s">
        <v>373</v>
      </c>
      <c r="C21" s="49" t="s">
        <v>386</v>
      </c>
      <c r="D21" s="49" t="s">
        <v>784</v>
      </c>
      <c r="E21" s="49" t="s">
        <v>783</v>
      </c>
      <c r="F21" s="49" t="s">
        <v>413</v>
      </c>
      <c r="G21" s="49" t="s">
        <v>132</v>
      </c>
      <c r="H21" s="49" t="s">
        <v>127</v>
      </c>
      <c r="I21" s="49" t="s">
        <v>130</v>
      </c>
      <c r="J21" s="49" t="s">
        <v>782</v>
      </c>
      <c r="K21" s="49" t="s">
        <v>128</v>
      </c>
    </row>
    <row r="22" spans="1:11" ht="26.25" thickBot="1">
      <c r="A22" s="48" t="s">
        <v>749</v>
      </c>
      <c r="B22" s="48" t="s">
        <v>74</v>
      </c>
      <c r="C22" s="48" t="s">
        <v>75</v>
      </c>
      <c r="D22" s="48" t="s">
        <v>57</v>
      </c>
      <c r="E22" s="48" t="s">
        <v>473</v>
      </c>
      <c r="F22" s="48" t="s">
        <v>124</v>
      </c>
      <c r="G22" s="48" t="s">
        <v>78</v>
      </c>
      <c r="H22" s="48" t="s">
        <v>138</v>
      </c>
      <c r="I22" s="48" t="s">
        <v>141</v>
      </c>
      <c r="J22" s="48" t="s">
        <v>58</v>
      </c>
      <c r="K22" s="48" t="s">
        <v>144</v>
      </c>
    </row>
    <row r="23" spans="1:11" ht="32.25" thickBot="1">
      <c r="A23" s="48" t="s">
        <v>781</v>
      </c>
      <c r="B23" s="50" t="s">
        <v>780</v>
      </c>
      <c r="C23" s="50" t="s">
        <v>779</v>
      </c>
      <c r="D23" s="50" t="s">
        <v>778</v>
      </c>
      <c r="E23" s="50" t="s">
        <v>777</v>
      </c>
      <c r="F23" s="50" t="s">
        <v>776</v>
      </c>
      <c r="G23" s="50" t="s">
        <v>775</v>
      </c>
      <c r="H23" s="50" t="s">
        <v>774</v>
      </c>
      <c r="I23" s="50" t="s">
        <v>773</v>
      </c>
      <c r="J23" s="50" t="s">
        <v>772</v>
      </c>
      <c r="K23" s="50" t="s">
        <v>771</v>
      </c>
    </row>
    <row r="24" spans="1:11" ht="26.25" thickBot="1">
      <c r="A24" s="48" t="s">
        <v>159</v>
      </c>
      <c r="B24" s="49" t="s">
        <v>770</v>
      </c>
      <c r="C24" s="49" t="s">
        <v>769</v>
      </c>
      <c r="D24" s="49" t="s">
        <v>768</v>
      </c>
      <c r="E24" s="49" t="s">
        <v>767</v>
      </c>
      <c r="F24" s="49" t="s">
        <v>766</v>
      </c>
      <c r="G24" s="49" t="s">
        <v>765</v>
      </c>
      <c r="H24" s="49" t="s">
        <v>764</v>
      </c>
      <c r="I24" s="49" t="s">
        <v>763</v>
      </c>
      <c r="J24" s="49" t="s">
        <v>762</v>
      </c>
      <c r="K24" s="49" t="s">
        <v>761</v>
      </c>
    </row>
    <row r="25" spans="1:11" ht="26.25" thickBot="1">
      <c r="A25" s="48" t="s">
        <v>760</v>
      </c>
      <c r="B25" s="49" t="s">
        <v>450</v>
      </c>
      <c r="C25" s="49" t="s">
        <v>118</v>
      </c>
      <c r="D25" s="49" t="s">
        <v>754</v>
      </c>
      <c r="E25" s="49" t="s">
        <v>759</v>
      </c>
      <c r="F25" s="49" t="s">
        <v>758</v>
      </c>
      <c r="G25" s="49" t="s">
        <v>757</v>
      </c>
      <c r="H25" s="49" t="s">
        <v>551</v>
      </c>
      <c r="I25" s="49" t="s">
        <v>508</v>
      </c>
      <c r="J25" s="49" t="s">
        <v>756</v>
      </c>
      <c r="K25" s="49" t="s">
        <v>522</v>
      </c>
    </row>
    <row r="26" spans="1:11" ht="26.25" thickBot="1">
      <c r="A26" s="48" t="s">
        <v>755</v>
      </c>
      <c r="B26" s="49" t="s">
        <v>142</v>
      </c>
      <c r="C26" s="49" t="s">
        <v>118</v>
      </c>
      <c r="D26" s="49" t="s">
        <v>754</v>
      </c>
      <c r="E26" s="49" t="s">
        <v>753</v>
      </c>
      <c r="F26" s="49" t="s">
        <v>752</v>
      </c>
      <c r="G26" s="49" t="s">
        <v>751</v>
      </c>
      <c r="H26" s="49" t="s">
        <v>551</v>
      </c>
      <c r="I26" s="49" t="s">
        <v>136</v>
      </c>
      <c r="J26" s="49" t="s">
        <v>750</v>
      </c>
      <c r="K26" s="49" t="s">
        <v>145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AECD-2DEE-44E6-B773-26526102011B}">
  <dimension ref="A1:I19"/>
  <sheetViews>
    <sheetView workbookViewId="0">
      <selection activeCell="D26" sqref="D26"/>
    </sheetView>
  </sheetViews>
  <sheetFormatPr defaultRowHeight="16.5"/>
  <cols>
    <col min="1" max="8" width="15.5" customWidth="1"/>
    <col min="9" max="9" width="42.625" style="16" customWidth="1"/>
  </cols>
  <sheetData>
    <row r="1" spans="1:9" ht="30">
      <c r="A1" s="1" t="s">
        <v>146</v>
      </c>
      <c r="B1" s="2" t="s">
        <v>532</v>
      </c>
      <c r="C1" s="2" t="s">
        <v>159</v>
      </c>
      <c r="D1" s="2" t="s">
        <v>160</v>
      </c>
      <c r="E1" s="3" t="s">
        <v>526</v>
      </c>
      <c r="F1" s="3" t="s">
        <v>528</v>
      </c>
      <c r="G1" s="2" t="s">
        <v>530</v>
      </c>
      <c r="H1" s="2" t="s">
        <v>161</v>
      </c>
      <c r="I1" s="4" t="s">
        <v>162</v>
      </c>
    </row>
    <row r="2" spans="1:9" ht="30">
      <c r="A2" s="5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163</v>
      </c>
      <c r="H2" s="7" t="s">
        <v>1</v>
      </c>
      <c r="I2" s="32"/>
    </row>
    <row r="3" spans="1:9" ht="30">
      <c r="A3" s="5">
        <v>2</v>
      </c>
      <c r="B3" s="6" t="s">
        <v>7</v>
      </c>
      <c r="C3" s="8" t="s">
        <v>7</v>
      </c>
      <c r="D3" s="6" t="s">
        <v>7</v>
      </c>
      <c r="E3" s="6" t="s">
        <v>7</v>
      </c>
      <c r="F3" s="6" t="s">
        <v>30</v>
      </c>
      <c r="G3" s="6" t="s">
        <v>164</v>
      </c>
      <c r="H3" s="7" t="s">
        <v>6</v>
      </c>
      <c r="I3" s="32"/>
    </row>
    <row r="4" spans="1:9" ht="30">
      <c r="A4" s="5">
        <v>3</v>
      </c>
      <c r="B4" s="6" t="s">
        <v>9</v>
      </c>
      <c r="C4" s="8" t="s">
        <v>9</v>
      </c>
      <c r="D4" s="6" t="s">
        <v>9</v>
      </c>
      <c r="E4" s="6" t="s">
        <v>9</v>
      </c>
      <c r="F4" s="6" t="s">
        <v>34</v>
      </c>
      <c r="G4" s="6" t="s">
        <v>165</v>
      </c>
      <c r="H4" s="7" t="s">
        <v>8</v>
      </c>
      <c r="I4" s="32"/>
    </row>
    <row r="5" spans="1:9" ht="30">
      <c r="A5" s="5">
        <v>4</v>
      </c>
      <c r="B5" s="6" t="s">
        <v>12</v>
      </c>
      <c r="C5" s="8" t="s">
        <v>147</v>
      </c>
      <c r="D5" s="6" t="s">
        <v>12</v>
      </c>
      <c r="E5" s="6" t="s">
        <v>12</v>
      </c>
      <c r="F5" s="6" t="s">
        <v>9</v>
      </c>
      <c r="G5" s="6" t="s">
        <v>166</v>
      </c>
      <c r="H5" s="7" t="s">
        <v>11</v>
      </c>
      <c r="I5" s="32"/>
    </row>
    <row r="6" spans="1:9" ht="30">
      <c r="A6" s="5">
        <v>5</v>
      </c>
      <c r="B6" s="6" t="s">
        <v>14</v>
      </c>
      <c r="C6" s="6" t="s">
        <v>14</v>
      </c>
      <c r="D6" s="6" t="s">
        <v>14</v>
      </c>
      <c r="E6" s="6" t="s">
        <v>14</v>
      </c>
      <c r="F6" s="6" t="s">
        <v>148</v>
      </c>
      <c r="G6" s="6" t="s">
        <v>167</v>
      </c>
      <c r="H6" s="7" t="s">
        <v>13</v>
      </c>
      <c r="I6" s="32"/>
    </row>
    <row r="7" spans="1:9" ht="30">
      <c r="A7" s="5">
        <v>6</v>
      </c>
      <c r="B7" s="6" t="s">
        <v>16</v>
      </c>
      <c r="C7" s="6" t="s">
        <v>149</v>
      </c>
      <c r="D7" s="6" t="s">
        <v>16</v>
      </c>
      <c r="E7" s="6" t="s">
        <v>16</v>
      </c>
      <c r="F7" s="6" t="s">
        <v>7</v>
      </c>
      <c r="G7" s="6" t="s">
        <v>168</v>
      </c>
      <c r="H7" s="7" t="s">
        <v>15</v>
      </c>
      <c r="I7" s="32"/>
    </row>
    <row r="8" spans="1:9" ht="30">
      <c r="A8" s="5">
        <v>7</v>
      </c>
      <c r="B8" s="6" t="s">
        <v>18</v>
      </c>
      <c r="C8" s="6" t="s">
        <v>150</v>
      </c>
      <c r="D8" s="6" t="s">
        <v>18</v>
      </c>
      <c r="E8" s="6" t="s">
        <v>18</v>
      </c>
      <c r="F8" s="6" t="s">
        <v>14</v>
      </c>
      <c r="G8" s="6" t="s">
        <v>169</v>
      </c>
      <c r="H8" s="7" t="s">
        <v>17</v>
      </c>
      <c r="I8" s="32"/>
    </row>
    <row r="9" spans="1:9" ht="30">
      <c r="A9" s="5">
        <v>8</v>
      </c>
      <c r="B9" s="9" t="s">
        <v>20</v>
      </c>
      <c r="C9" s="6" t="s">
        <v>151</v>
      </c>
      <c r="D9" s="6" t="s">
        <v>170</v>
      </c>
      <c r="E9" s="6" t="s">
        <v>152</v>
      </c>
      <c r="F9" s="6" t="s">
        <v>20</v>
      </c>
      <c r="G9" s="6" t="s">
        <v>171</v>
      </c>
      <c r="H9" s="7" t="s">
        <v>19</v>
      </c>
      <c r="I9" s="32"/>
    </row>
    <row r="10" spans="1:9" ht="30">
      <c r="A10" s="5">
        <v>9</v>
      </c>
      <c r="B10" s="9" t="s">
        <v>36</v>
      </c>
      <c r="C10" s="6" t="s">
        <v>153</v>
      </c>
      <c r="D10" s="6" t="s">
        <v>36</v>
      </c>
      <c r="E10" s="6" t="s">
        <v>36</v>
      </c>
      <c r="F10" s="6" t="s">
        <v>154</v>
      </c>
      <c r="G10" s="6" t="s">
        <v>172</v>
      </c>
      <c r="H10" s="7" t="s">
        <v>35</v>
      </c>
      <c r="I10" s="32"/>
    </row>
    <row r="11" spans="1:9" ht="30">
      <c r="A11" s="5">
        <v>10</v>
      </c>
      <c r="B11" s="9" t="s">
        <v>22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173</v>
      </c>
      <c r="H11" s="7" t="s">
        <v>21</v>
      </c>
      <c r="I11" s="32"/>
    </row>
    <row r="12" spans="1:9" ht="30">
      <c r="A12" s="5">
        <v>11</v>
      </c>
      <c r="B12" s="10" t="s">
        <v>24</v>
      </c>
      <c r="C12" s="8"/>
      <c r="D12" s="8"/>
      <c r="E12" s="8"/>
      <c r="F12" s="8"/>
      <c r="G12" s="8"/>
      <c r="H12" s="7" t="s">
        <v>23</v>
      </c>
      <c r="I12" s="32"/>
    </row>
    <row r="13" spans="1:9" ht="30">
      <c r="A13" s="5">
        <v>12</v>
      </c>
      <c r="B13" s="6" t="s">
        <v>30</v>
      </c>
      <c r="C13" s="6" t="s">
        <v>30</v>
      </c>
      <c r="D13" s="6" t="s">
        <v>30</v>
      </c>
      <c r="E13" s="6" t="s">
        <v>30</v>
      </c>
      <c r="F13" s="6" t="s">
        <v>174</v>
      </c>
      <c r="G13" s="6" t="s">
        <v>175</v>
      </c>
      <c r="H13" s="7" t="s">
        <v>29</v>
      </c>
      <c r="I13" s="32"/>
    </row>
    <row r="14" spans="1:9" ht="30">
      <c r="A14" s="5">
        <v>13</v>
      </c>
      <c r="B14" s="6" t="s">
        <v>34</v>
      </c>
      <c r="C14" s="6" t="s">
        <v>155</v>
      </c>
      <c r="D14" s="6" t="s">
        <v>34</v>
      </c>
      <c r="E14" s="6" t="s">
        <v>34</v>
      </c>
      <c r="F14" s="6" t="s">
        <v>176</v>
      </c>
      <c r="G14" s="6" t="s">
        <v>177</v>
      </c>
      <c r="H14" s="7" t="s">
        <v>33</v>
      </c>
      <c r="I14" s="32"/>
    </row>
    <row r="15" spans="1:9" ht="30">
      <c r="A15" s="5">
        <v>14</v>
      </c>
      <c r="B15" s="9" t="s">
        <v>26</v>
      </c>
      <c r="C15" s="6" t="s">
        <v>156</v>
      </c>
      <c r="D15" s="6" t="s">
        <v>178</v>
      </c>
      <c r="E15" s="6" t="s">
        <v>157</v>
      </c>
      <c r="F15" s="6" t="s">
        <v>26</v>
      </c>
      <c r="G15" s="6" t="s">
        <v>179</v>
      </c>
      <c r="H15" s="7" t="s">
        <v>25</v>
      </c>
      <c r="I15" s="32"/>
    </row>
    <row r="16" spans="1:9" ht="30">
      <c r="A16" s="5">
        <v>15</v>
      </c>
      <c r="B16" s="6" t="s">
        <v>28</v>
      </c>
      <c r="C16" s="8" t="s">
        <v>28</v>
      </c>
      <c r="D16" s="6" t="s">
        <v>28</v>
      </c>
      <c r="E16" s="6" t="s">
        <v>28</v>
      </c>
      <c r="F16" s="6" t="s">
        <v>28</v>
      </c>
      <c r="G16" s="6" t="s">
        <v>180</v>
      </c>
      <c r="H16" s="7" t="s">
        <v>27</v>
      </c>
      <c r="I16" s="32"/>
    </row>
    <row r="17" spans="1:9" ht="30">
      <c r="A17" s="5">
        <v>16</v>
      </c>
      <c r="B17" s="11" t="s">
        <v>118</v>
      </c>
      <c r="C17" s="11" t="s">
        <v>118</v>
      </c>
      <c r="D17" s="11" t="s">
        <v>118</v>
      </c>
      <c r="E17" s="11" t="s">
        <v>118</v>
      </c>
      <c r="F17" s="11" t="s">
        <v>181</v>
      </c>
      <c r="G17" s="11" t="s">
        <v>182</v>
      </c>
      <c r="H17" s="12" t="s">
        <v>117</v>
      </c>
      <c r="I17" s="32" t="s">
        <v>183</v>
      </c>
    </row>
    <row r="18" spans="1:9" ht="30">
      <c r="A18" s="5">
        <v>17</v>
      </c>
      <c r="B18" s="11" t="s">
        <v>116</v>
      </c>
      <c r="C18" s="11" t="s">
        <v>116</v>
      </c>
      <c r="D18" s="11" t="s">
        <v>116</v>
      </c>
      <c r="E18" s="11" t="s">
        <v>116</v>
      </c>
      <c r="F18" s="11" t="s">
        <v>184</v>
      </c>
      <c r="G18" s="11" t="s">
        <v>185</v>
      </c>
      <c r="H18" s="12" t="s">
        <v>115</v>
      </c>
      <c r="I18" s="33" t="s">
        <v>186</v>
      </c>
    </row>
    <row r="19" spans="1:9" ht="30">
      <c r="A19" s="13">
        <v>18</v>
      </c>
      <c r="B19" s="14" t="s">
        <v>130</v>
      </c>
      <c r="C19" s="14" t="s">
        <v>158</v>
      </c>
      <c r="D19" s="14" t="s">
        <v>130</v>
      </c>
      <c r="E19" s="14" t="s">
        <v>130</v>
      </c>
      <c r="F19" s="14" t="s">
        <v>187</v>
      </c>
      <c r="G19" s="14" t="s">
        <v>188</v>
      </c>
      <c r="H19" s="15" t="s">
        <v>129</v>
      </c>
      <c r="I19" s="34" t="s">
        <v>189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267B-D248-452E-AB14-2632C635271B}">
  <dimension ref="A1:G101"/>
  <sheetViews>
    <sheetView workbookViewId="0">
      <selection activeCell="B45" sqref="B2:B101"/>
    </sheetView>
  </sheetViews>
  <sheetFormatPr defaultRowHeight="16.5"/>
  <cols>
    <col min="1" max="1" width="13.125" customWidth="1"/>
    <col min="2" max="3" width="13.25" customWidth="1"/>
    <col min="4" max="4" width="13.125" customWidth="1"/>
    <col min="5" max="5" width="13.25" customWidth="1"/>
    <col min="6" max="6" width="13.125" customWidth="1"/>
    <col min="7" max="7" width="19.875" customWidth="1"/>
  </cols>
  <sheetData>
    <row r="1" spans="1:7" ht="25.5">
      <c r="A1" s="17" t="s">
        <v>146</v>
      </c>
      <c r="B1" s="18" t="s">
        <v>527</v>
      </c>
      <c r="C1" s="18" t="s">
        <v>531</v>
      </c>
      <c r="D1" s="18" t="s">
        <v>161</v>
      </c>
      <c r="E1" s="19" t="s">
        <v>190</v>
      </c>
      <c r="F1" s="18" t="s">
        <v>0</v>
      </c>
      <c r="G1" s="19" t="s">
        <v>191</v>
      </c>
    </row>
    <row r="2" spans="1:7" ht="25.5">
      <c r="A2" s="20">
        <v>1</v>
      </c>
      <c r="B2" s="21" t="s">
        <v>5</v>
      </c>
      <c r="C2" s="21" t="s">
        <v>192</v>
      </c>
      <c r="D2" s="22" t="s">
        <v>2</v>
      </c>
      <c r="E2" s="23">
        <v>1</v>
      </c>
      <c r="F2" s="22" t="s">
        <v>3</v>
      </c>
      <c r="G2" s="23" t="s">
        <v>193</v>
      </c>
    </row>
    <row r="3" spans="1:7" ht="25.5">
      <c r="A3" s="20">
        <v>2</v>
      </c>
      <c r="B3" s="21" t="s">
        <v>32</v>
      </c>
      <c r="C3" s="21" t="s">
        <v>195</v>
      </c>
      <c r="D3" s="22" t="s">
        <v>2</v>
      </c>
      <c r="E3" s="23">
        <v>1</v>
      </c>
      <c r="F3" s="22" t="s">
        <v>31</v>
      </c>
      <c r="G3" s="23" t="s">
        <v>196</v>
      </c>
    </row>
    <row r="4" spans="1:7" ht="25.5">
      <c r="A4" s="20">
        <v>3</v>
      </c>
      <c r="B4" s="21" t="s">
        <v>38</v>
      </c>
      <c r="C4" s="21" t="s">
        <v>197</v>
      </c>
      <c r="D4" s="22" t="s">
        <v>37</v>
      </c>
      <c r="E4" s="23">
        <v>2</v>
      </c>
      <c r="F4" s="22" t="s">
        <v>3</v>
      </c>
      <c r="G4" s="23" t="s">
        <v>198</v>
      </c>
    </row>
    <row r="5" spans="1:7" ht="25.5">
      <c r="A5" s="20">
        <v>4</v>
      </c>
      <c r="B5" s="21" t="s">
        <v>40</v>
      </c>
      <c r="C5" s="21" t="s">
        <v>200</v>
      </c>
      <c r="D5" s="22" t="s">
        <v>37</v>
      </c>
      <c r="E5" s="23">
        <v>2</v>
      </c>
      <c r="F5" s="22" t="s">
        <v>31</v>
      </c>
      <c r="G5" s="23" t="s">
        <v>201</v>
      </c>
    </row>
    <row r="6" spans="1:7" ht="25.5">
      <c r="A6" s="20">
        <v>5</v>
      </c>
      <c r="B6" s="21" t="s">
        <v>43</v>
      </c>
      <c r="C6" s="21" t="s">
        <v>202</v>
      </c>
      <c r="D6" s="22" t="s">
        <v>42</v>
      </c>
      <c r="E6" s="23">
        <v>3</v>
      </c>
      <c r="F6" s="22" t="s">
        <v>3</v>
      </c>
      <c r="G6" s="23" t="s">
        <v>203</v>
      </c>
    </row>
    <row r="7" spans="1:7" ht="25.5">
      <c r="A7" s="20">
        <v>6</v>
      </c>
      <c r="B7" s="21" t="s">
        <v>44</v>
      </c>
      <c r="C7" s="21" t="s">
        <v>205</v>
      </c>
      <c r="D7" s="22" t="s">
        <v>42</v>
      </c>
      <c r="E7" s="23">
        <v>3</v>
      </c>
      <c r="F7" s="22" t="s">
        <v>31</v>
      </c>
      <c r="G7" s="23" t="s">
        <v>206</v>
      </c>
    </row>
    <row r="8" spans="1:7" ht="25.5">
      <c r="A8" s="20">
        <v>7</v>
      </c>
      <c r="B8" s="21" t="s">
        <v>46</v>
      </c>
      <c r="C8" s="21" t="s">
        <v>207</v>
      </c>
      <c r="D8" s="22" t="s">
        <v>45</v>
      </c>
      <c r="E8" s="23">
        <v>4</v>
      </c>
      <c r="F8" s="22" t="s">
        <v>3</v>
      </c>
      <c r="G8" s="23" t="s">
        <v>208</v>
      </c>
    </row>
    <row r="9" spans="1:7" ht="25.5">
      <c r="A9" s="20">
        <v>8</v>
      </c>
      <c r="B9" s="21">
        <v>0</v>
      </c>
      <c r="C9" s="21">
        <v>0</v>
      </c>
      <c r="D9" s="22" t="s">
        <v>45</v>
      </c>
      <c r="E9" s="23">
        <v>4</v>
      </c>
      <c r="F9" s="22" t="s">
        <v>31</v>
      </c>
      <c r="G9" s="23" t="s">
        <v>209</v>
      </c>
    </row>
    <row r="10" spans="1:7" ht="25.5">
      <c r="A10" s="24">
        <v>9</v>
      </c>
      <c r="B10" s="25" t="s">
        <v>48</v>
      </c>
      <c r="C10" s="25" t="s">
        <v>211</v>
      </c>
      <c r="D10" s="26" t="s">
        <v>47</v>
      </c>
      <c r="E10" s="27">
        <v>5</v>
      </c>
      <c r="F10" s="26" t="s">
        <v>3</v>
      </c>
      <c r="G10" s="27" t="s">
        <v>212</v>
      </c>
    </row>
    <row r="11" spans="1:7" ht="25.5">
      <c r="A11" s="20">
        <v>10</v>
      </c>
      <c r="B11" s="21" t="s">
        <v>213</v>
      </c>
      <c r="C11" s="21" t="s">
        <v>215</v>
      </c>
      <c r="D11" s="22" t="s">
        <v>47</v>
      </c>
      <c r="E11" s="23">
        <v>5</v>
      </c>
      <c r="F11" s="22" t="s">
        <v>31</v>
      </c>
      <c r="G11" s="23" t="s">
        <v>216</v>
      </c>
    </row>
    <row r="12" spans="1:7" ht="25.5">
      <c r="A12" s="20">
        <v>11</v>
      </c>
      <c r="B12" s="21" t="s">
        <v>52</v>
      </c>
      <c r="C12" s="21" t="s">
        <v>217</v>
      </c>
      <c r="D12" s="22" t="s">
        <v>51</v>
      </c>
      <c r="E12" s="23">
        <v>6</v>
      </c>
      <c r="F12" s="22" t="s">
        <v>3</v>
      </c>
      <c r="G12" s="23" t="s">
        <v>218</v>
      </c>
    </row>
    <row r="13" spans="1:7" ht="25.5">
      <c r="A13" s="20">
        <v>12</v>
      </c>
      <c r="B13" s="21" t="s">
        <v>54</v>
      </c>
      <c r="C13" s="21" t="s">
        <v>220</v>
      </c>
      <c r="D13" s="22" t="s">
        <v>51</v>
      </c>
      <c r="E13" s="23">
        <v>6</v>
      </c>
      <c r="F13" s="22" t="s">
        <v>31</v>
      </c>
      <c r="G13" s="23" t="s">
        <v>221</v>
      </c>
    </row>
    <row r="14" spans="1:7" ht="25.5">
      <c r="A14" s="20">
        <v>13</v>
      </c>
      <c r="B14" s="21" t="s">
        <v>56</v>
      </c>
      <c r="C14" s="21" t="s">
        <v>223</v>
      </c>
      <c r="D14" s="22" t="s">
        <v>55</v>
      </c>
      <c r="E14" s="23">
        <v>7</v>
      </c>
      <c r="F14" s="22" t="s">
        <v>3</v>
      </c>
      <c r="G14" s="23" t="s">
        <v>224</v>
      </c>
    </row>
    <row r="15" spans="1:7" ht="25.5">
      <c r="A15" s="20">
        <v>14</v>
      </c>
      <c r="B15" s="21" t="s">
        <v>60</v>
      </c>
      <c r="C15" s="21" t="s">
        <v>226</v>
      </c>
      <c r="D15" s="22" t="s">
        <v>55</v>
      </c>
      <c r="E15" s="23">
        <v>7</v>
      </c>
      <c r="F15" s="22" t="s">
        <v>31</v>
      </c>
      <c r="G15" s="23" t="s">
        <v>227</v>
      </c>
    </row>
    <row r="16" spans="1:7" ht="25.5">
      <c r="A16" s="20">
        <v>15</v>
      </c>
      <c r="B16" s="21" t="s">
        <v>62</v>
      </c>
      <c r="C16" s="21" t="s">
        <v>229</v>
      </c>
      <c r="D16" s="22" t="s">
        <v>61</v>
      </c>
      <c r="E16" s="23">
        <v>8</v>
      </c>
      <c r="F16" s="22" t="s">
        <v>3</v>
      </c>
      <c r="G16" s="23" t="s">
        <v>230</v>
      </c>
    </row>
    <row r="17" spans="1:7" ht="25.5">
      <c r="A17" s="20">
        <v>16</v>
      </c>
      <c r="B17" s="21" t="s">
        <v>231</v>
      </c>
      <c r="C17" s="21" t="s">
        <v>234</v>
      </c>
      <c r="D17" s="22" t="s">
        <v>61</v>
      </c>
      <c r="E17" s="23">
        <v>8</v>
      </c>
      <c r="F17" s="22" t="s">
        <v>31</v>
      </c>
      <c r="G17" s="23" t="s">
        <v>235</v>
      </c>
    </row>
    <row r="18" spans="1:7" ht="25.5">
      <c r="A18" s="20">
        <v>17</v>
      </c>
      <c r="B18" s="21" t="s">
        <v>64</v>
      </c>
      <c r="C18" s="21" t="s">
        <v>238</v>
      </c>
      <c r="D18" s="22" t="s">
        <v>63</v>
      </c>
      <c r="E18" s="23">
        <v>9</v>
      </c>
      <c r="F18" s="22" t="s">
        <v>3</v>
      </c>
      <c r="G18" s="23" t="s">
        <v>239</v>
      </c>
    </row>
    <row r="19" spans="1:7" ht="25.5">
      <c r="A19" s="20">
        <v>18</v>
      </c>
      <c r="B19" s="21" t="s">
        <v>67</v>
      </c>
      <c r="C19" s="21" t="s">
        <v>242</v>
      </c>
      <c r="D19" s="22" t="s">
        <v>63</v>
      </c>
      <c r="E19" s="23">
        <v>9</v>
      </c>
      <c r="F19" s="22" t="s">
        <v>31</v>
      </c>
      <c r="G19" s="23" t="s">
        <v>243</v>
      </c>
    </row>
    <row r="20" spans="1:7" ht="25.5">
      <c r="A20" s="20">
        <v>19</v>
      </c>
      <c r="B20" s="21" t="s">
        <v>69</v>
      </c>
      <c r="C20" s="21" t="s">
        <v>245</v>
      </c>
      <c r="D20" s="22" t="s">
        <v>68</v>
      </c>
      <c r="E20" s="23">
        <v>10</v>
      </c>
      <c r="F20" s="22" t="s">
        <v>3</v>
      </c>
      <c r="G20" s="23" t="s">
        <v>246</v>
      </c>
    </row>
    <row r="21" spans="1:7" ht="25.5">
      <c r="A21" s="20">
        <v>20</v>
      </c>
      <c r="B21" s="21" t="s">
        <v>71</v>
      </c>
      <c r="C21" s="21" t="s">
        <v>249</v>
      </c>
      <c r="D21" s="22" t="s">
        <v>68</v>
      </c>
      <c r="E21" s="23">
        <v>10</v>
      </c>
      <c r="F21" s="22" t="s">
        <v>31</v>
      </c>
      <c r="G21" s="23" t="s">
        <v>250</v>
      </c>
    </row>
    <row r="22" spans="1:7" ht="25.5">
      <c r="A22" s="20">
        <v>21</v>
      </c>
      <c r="B22" s="21" t="s">
        <v>73</v>
      </c>
      <c r="C22" s="21" t="s">
        <v>253</v>
      </c>
      <c r="D22" s="22" t="s">
        <v>72</v>
      </c>
      <c r="E22" s="23">
        <v>11</v>
      </c>
      <c r="F22" s="22" t="s">
        <v>3</v>
      </c>
      <c r="G22" s="23" t="s">
        <v>254</v>
      </c>
    </row>
    <row r="23" spans="1:7" ht="25.5">
      <c r="A23" s="20">
        <v>22</v>
      </c>
      <c r="B23" s="21">
        <v>0</v>
      </c>
      <c r="C23" s="21">
        <v>0</v>
      </c>
      <c r="D23" s="22" t="s">
        <v>72</v>
      </c>
      <c r="E23" s="23">
        <v>11</v>
      </c>
      <c r="F23" s="22" t="s">
        <v>31</v>
      </c>
      <c r="G23" s="23" t="s">
        <v>255</v>
      </c>
    </row>
    <row r="24" spans="1:7" ht="25.5">
      <c r="A24" s="20">
        <v>23</v>
      </c>
      <c r="B24" s="21" t="s">
        <v>77</v>
      </c>
      <c r="C24" s="21" t="s">
        <v>257</v>
      </c>
      <c r="D24" s="22" t="s">
        <v>76</v>
      </c>
      <c r="E24" s="23">
        <v>12</v>
      </c>
      <c r="F24" s="22" t="s">
        <v>3</v>
      </c>
      <c r="G24" s="23" t="s">
        <v>258</v>
      </c>
    </row>
    <row r="25" spans="1:7" ht="25.5">
      <c r="A25" s="20">
        <v>24</v>
      </c>
      <c r="B25" s="21" t="s">
        <v>259</v>
      </c>
      <c r="C25" s="21" t="s">
        <v>262</v>
      </c>
      <c r="D25" s="22" t="s">
        <v>76</v>
      </c>
      <c r="E25" s="23">
        <v>12</v>
      </c>
      <c r="F25" s="22" t="s">
        <v>31</v>
      </c>
      <c r="G25" s="23" t="s">
        <v>263</v>
      </c>
    </row>
    <row r="26" spans="1:7" ht="25.5">
      <c r="A26" s="20">
        <v>25</v>
      </c>
      <c r="B26" s="21" t="s">
        <v>133</v>
      </c>
      <c r="C26" s="21" t="s">
        <v>264</v>
      </c>
      <c r="D26" s="22" t="s">
        <v>79</v>
      </c>
      <c r="E26" s="23">
        <v>13</v>
      </c>
      <c r="F26" s="22" t="s">
        <v>3</v>
      </c>
      <c r="G26" s="23" t="s">
        <v>265</v>
      </c>
    </row>
    <row r="27" spans="1:7" ht="25.5">
      <c r="A27" s="20">
        <v>26</v>
      </c>
      <c r="B27" s="21">
        <v>0</v>
      </c>
      <c r="C27" s="21">
        <v>0</v>
      </c>
      <c r="D27" s="22" t="s">
        <v>79</v>
      </c>
      <c r="E27" s="23">
        <v>13</v>
      </c>
      <c r="F27" s="22" t="s">
        <v>31</v>
      </c>
      <c r="G27" s="23" t="s">
        <v>266</v>
      </c>
    </row>
    <row r="28" spans="1:7" ht="25.5">
      <c r="A28" s="20">
        <v>27</v>
      </c>
      <c r="B28" s="21" t="s">
        <v>82</v>
      </c>
      <c r="C28" s="21" t="s">
        <v>268</v>
      </c>
      <c r="D28" s="22" t="s">
        <v>81</v>
      </c>
      <c r="E28" s="23">
        <v>14</v>
      </c>
      <c r="F28" s="22" t="s">
        <v>3</v>
      </c>
      <c r="G28" s="23" t="s">
        <v>269</v>
      </c>
    </row>
    <row r="29" spans="1:7" ht="25.5">
      <c r="A29" s="20">
        <v>28</v>
      </c>
      <c r="B29" s="21" t="s">
        <v>83</v>
      </c>
      <c r="C29" s="21" t="s">
        <v>271</v>
      </c>
      <c r="D29" s="22" t="s">
        <v>81</v>
      </c>
      <c r="E29" s="23">
        <v>14</v>
      </c>
      <c r="F29" s="22" t="s">
        <v>31</v>
      </c>
      <c r="G29" s="23" t="s">
        <v>272</v>
      </c>
    </row>
    <row r="30" spans="1:7" ht="25.5">
      <c r="A30" s="20">
        <v>29</v>
      </c>
      <c r="B30" s="21" t="s">
        <v>85</v>
      </c>
      <c r="C30" s="21" t="s">
        <v>274</v>
      </c>
      <c r="D30" s="22" t="s">
        <v>84</v>
      </c>
      <c r="E30" s="23">
        <v>15</v>
      </c>
      <c r="F30" s="22" t="s">
        <v>3</v>
      </c>
      <c r="G30" s="23" t="s">
        <v>275</v>
      </c>
    </row>
    <row r="31" spans="1:7" ht="25.5">
      <c r="A31" s="20">
        <v>30</v>
      </c>
      <c r="B31" s="21" t="s">
        <v>276</v>
      </c>
      <c r="C31" s="21" t="s">
        <v>278</v>
      </c>
      <c r="D31" s="22" t="s">
        <v>84</v>
      </c>
      <c r="E31" s="23">
        <v>15</v>
      </c>
      <c r="F31" s="22" t="s">
        <v>31</v>
      </c>
      <c r="G31" s="23" t="s">
        <v>279</v>
      </c>
    </row>
    <row r="32" spans="1:7" ht="25.5">
      <c r="A32" s="20">
        <v>31</v>
      </c>
      <c r="B32" s="21" t="s">
        <v>87</v>
      </c>
      <c r="C32" s="21" t="s">
        <v>280</v>
      </c>
      <c r="D32" s="22" t="s">
        <v>86</v>
      </c>
      <c r="E32" s="23">
        <v>16</v>
      </c>
      <c r="F32" s="22" t="s">
        <v>3</v>
      </c>
      <c r="G32" s="23" t="s">
        <v>281</v>
      </c>
    </row>
    <row r="33" spans="1:7" ht="25.5">
      <c r="A33" s="20">
        <v>32</v>
      </c>
      <c r="B33" s="21">
        <v>0</v>
      </c>
      <c r="C33" s="21">
        <v>0</v>
      </c>
      <c r="D33" s="22" t="s">
        <v>86</v>
      </c>
      <c r="E33" s="23">
        <v>16</v>
      </c>
      <c r="F33" s="22" t="s">
        <v>31</v>
      </c>
      <c r="G33" s="23" t="s">
        <v>282</v>
      </c>
    </row>
    <row r="34" spans="1:7" ht="25.5">
      <c r="A34" s="20">
        <v>33</v>
      </c>
      <c r="B34" s="21" t="s">
        <v>89</v>
      </c>
      <c r="C34" s="21" t="s">
        <v>283</v>
      </c>
      <c r="D34" s="22" t="s">
        <v>88</v>
      </c>
      <c r="E34" s="23">
        <v>17</v>
      </c>
      <c r="F34" s="22" t="s">
        <v>3</v>
      </c>
      <c r="G34" s="23" t="s">
        <v>284</v>
      </c>
    </row>
    <row r="35" spans="1:7" ht="25.5">
      <c r="A35" s="20">
        <v>34</v>
      </c>
      <c r="B35" s="21" t="s">
        <v>90</v>
      </c>
      <c r="C35" s="21" t="s">
        <v>286</v>
      </c>
      <c r="D35" s="22" t="s">
        <v>88</v>
      </c>
      <c r="E35" s="23">
        <v>17</v>
      </c>
      <c r="F35" s="22" t="s">
        <v>31</v>
      </c>
      <c r="G35" s="23" t="s">
        <v>287</v>
      </c>
    </row>
    <row r="36" spans="1:7" ht="25.5">
      <c r="A36" s="20">
        <v>35</v>
      </c>
      <c r="B36" s="21" t="s">
        <v>92</v>
      </c>
      <c r="C36" s="21" t="s">
        <v>289</v>
      </c>
      <c r="D36" s="22" t="s">
        <v>91</v>
      </c>
      <c r="E36" s="23">
        <v>18</v>
      </c>
      <c r="F36" s="22" t="s">
        <v>3</v>
      </c>
      <c r="G36" s="23" t="s">
        <v>290</v>
      </c>
    </row>
    <row r="37" spans="1:7" ht="25.5">
      <c r="A37" s="20">
        <v>36</v>
      </c>
      <c r="B37" s="21" t="s">
        <v>94</v>
      </c>
      <c r="C37" s="21" t="s">
        <v>292</v>
      </c>
      <c r="D37" s="22" t="s">
        <v>91</v>
      </c>
      <c r="E37" s="23">
        <v>18</v>
      </c>
      <c r="F37" s="22" t="s">
        <v>31</v>
      </c>
      <c r="G37" s="23" t="s">
        <v>293</v>
      </c>
    </row>
    <row r="38" spans="1:7" ht="25.5">
      <c r="A38" s="20">
        <v>37</v>
      </c>
      <c r="B38" s="21" t="s">
        <v>96</v>
      </c>
      <c r="C38" s="21" t="s">
        <v>294</v>
      </c>
      <c r="D38" s="22" t="s">
        <v>95</v>
      </c>
      <c r="E38" s="23">
        <v>19</v>
      </c>
      <c r="F38" s="22" t="s">
        <v>3</v>
      </c>
      <c r="G38" s="23" t="s">
        <v>295</v>
      </c>
    </row>
    <row r="39" spans="1:7" ht="25.5">
      <c r="A39" s="20">
        <v>38</v>
      </c>
      <c r="B39" s="21" t="s">
        <v>98</v>
      </c>
      <c r="C39" s="21" t="s">
        <v>297</v>
      </c>
      <c r="D39" s="22" t="s">
        <v>95</v>
      </c>
      <c r="E39" s="23">
        <v>19</v>
      </c>
      <c r="F39" s="22" t="s">
        <v>31</v>
      </c>
      <c r="G39" s="23" t="s">
        <v>298</v>
      </c>
    </row>
    <row r="40" spans="1:7" ht="25.5">
      <c r="A40" s="20">
        <v>39</v>
      </c>
      <c r="B40" s="21" t="s">
        <v>100</v>
      </c>
      <c r="C40" s="21" t="s">
        <v>300</v>
      </c>
      <c r="D40" s="22" t="s">
        <v>99</v>
      </c>
      <c r="E40" s="23">
        <v>20</v>
      </c>
      <c r="F40" s="22" t="s">
        <v>3</v>
      </c>
      <c r="G40" s="23" t="s">
        <v>301</v>
      </c>
    </row>
    <row r="41" spans="1:7" ht="25.5">
      <c r="A41" s="20">
        <v>40</v>
      </c>
      <c r="B41" s="21" t="s">
        <v>302</v>
      </c>
      <c r="C41" s="21" t="s">
        <v>305</v>
      </c>
      <c r="D41" s="22" t="s">
        <v>99</v>
      </c>
      <c r="E41" s="23">
        <v>20</v>
      </c>
      <c r="F41" s="22" t="s">
        <v>31</v>
      </c>
      <c r="G41" s="23" t="s">
        <v>306</v>
      </c>
    </row>
    <row r="42" spans="1:7" ht="25.5">
      <c r="A42" s="20">
        <v>41</v>
      </c>
      <c r="B42" s="21" t="s">
        <v>102</v>
      </c>
      <c r="C42" s="21" t="s">
        <v>308</v>
      </c>
      <c r="D42" s="22" t="s">
        <v>101</v>
      </c>
      <c r="E42" s="23">
        <v>21</v>
      </c>
      <c r="F42" s="22" t="s">
        <v>3</v>
      </c>
      <c r="G42" s="23" t="s">
        <v>309</v>
      </c>
    </row>
    <row r="43" spans="1:7" ht="25.5">
      <c r="A43" s="20">
        <v>42</v>
      </c>
      <c r="B43" s="21" t="s">
        <v>103</v>
      </c>
      <c r="C43" s="21" t="s">
        <v>311</v>
      </c>
      <c r="D43" s="22" t="s">
        <v>101</v>
      </c>
      <c r="E43" s="23">
        <v>21</v>
      </c>
      <c r="F43" s="22" t="s">
        <v>31</v>
      </c>
      <c r="G43" s="23" t="s">
        <v>312</v>
      </c>
    </row>
    <row r="44" spans="1:7" ht="25.5">
      <c r="A44" s="20">
        <v>43</v>
      </c>
      <c r="B44" s="21" t="s">
        <v>105</v>
      </c>
      <c r="C44" s="21" t="s">
        <v>313</v>
      </c>
      <c r="D44" s="22" t="s">
        <v>104</v>
      </c>
      <c r="E44" s="23">
        <v>22</v>
      </c>
      <c r="F44" s="22" t="s">
        <v>3</v>
      </c>
      <c r="G44" s="23" t="s">
        <v>314</v>
      </c>
    </row>
    <row r="45" spans="1:7" ht="25.5">
      <c r="A45" s="20">
        <v>44</v>
      </c>
      <c r="B45" s="21" t="s">
        <v>106</v>
      </c>
      <c r="C45" s="21" t="s">
        <v>316</v>
      </c>
      <c r="D45" s="22" t="s">
        <v>104</v>
      </c>
      <c r="E45" s="23">
        <v>22</v>
      </c>
      <c r="F45" s="22" t="s">
        <v>31</v>
      </c>
      <c r="G45" s="23" t="s">
        <v>317</v>
      </c>
    </row>
    <row r="46" spans="1:7" ht="25.5">
      <c r="A46" s="20">
        <v>45</v>
      </c>
      <c r="B46" s="21" t="s">
        <v>108</v>
      </c>
      <c r="C46" s="21" t="s">
        <v>319</v>
      </c>
      <c r="D46" s="22" t="s">
        <v>107</v>
      </c>
      <c r="E46" s="23">
        <v>23</v>
      </c>
      <c r="F46" s="22" t="s">
        <v>3</v>
      </c>
      <c r="G46" s="23" t="s">
        <v>320</v>
      </c>
    </row>
    <row r="47" spans="1:7" ht="25.5">
      <c r="A47" s="20">
        <v>46</v>
      </c>
      <c r="B47" s="21" t="s">
        <v>321</v>
      </c>
      <c r="C47" s="21" t="s">
        <v>324</v>
      </c>
      <c r="D47" s="22" t="s">
        <v>107</v>
      </c>
      <c r="E47" s="23">
        <v>23</v>
      </c>
      <c r="F47" s="22" t="s">
        <v>31</v>
      </c>
      <c r="G47" s="23" t="s">
        <v>325</v>
      </c>
    </row>
    <row r="48" spans="1:7" ht="25.5">
      <c r="A48" s="20">
        <v>47</v>
      </c>
      <c r="B48" s="21" t="s">
        <v>110</v>
      </c>
      <c r="C48" s="21" t="s">
        <v>326</v>
      </c>
      <c r="D48" s="22" t="s">
        <v>50</v>
      </c>
      <c r="E48" s="23">
        <v>24</v>
      </c>
      <c r="F48" s="22" t="s">
        <v>3</v>
      </c>
      <c r="G48" s="23" t="s">
        <v>327</v>
      </c>
    </row>
    <row r="49" spans="1:7" ht="25.5">
      <c r="A49" s="20">
        <v>48</v>
      </c>
      <c r="B49" s="21" t="s">
        <v>328</v>
      </c>
      <c r="C49" s="21" t="s">
        <v>330</v>
      </c>
      <c r="D49" s="22" t="s">
        <v>50</v>
      </c>
      <c r="E49" s="23">
        <v>24</v>
      </c>
      <c r="F49" s="22" t="s">
        <v>31</v>
      </c>
      <c r="G49" s="23" t="s">
        <v>331</v>
      </c>
    </row>
    <row r="50" spans="1:7" ht="25.5">
      <c r="A50" s="20">
        <v>49</v>
      </c>
      <c r="B50" s="21" t="s">
        <v>113</v>
      </c>
      <c r="C50" s="21" t="s">
        <v>333</v>
      </c>
      <c r="D50" s="22" t="s">
        <v>112</v>
      </c>
      <c r="E50" s="23">
        <v>25</v>
      </c>
      <c r="F50" s="22" t="s">
        <v>3</v>
      </c>
      <c r="G50" s="23" t="s">
        <v>334</v>
      </c>
    </row>
    <row r="51" spans="1:7" ht="25.5">
      <c r="A51" s="20">
        <v>50</v>
      </c>
      <c r="B51" s="21" t="s">
        <v>335</v>
      </c>
      <c r="C51" s="21" t="s">
        <v>338</v>
      </c>
      <c r="D51" s="22" t="s">
        <v>112</v>
      </c>
      <c r="E51" s="23">
        <v>25</v>
      </c>
      <c r="F51" s="22" t="s">
        <v>31</v>
      </c>
      <c r="G51" s="23" t="s">
        <v>339</v>
      </c>
    </row>
    <row r="52" spans="1:7" ht="25.5">
      <c r="A52" s="20">
        <v>51</v>
      </c>
      <c r="B52" s="21" t="s">
        <v>114</v>
      </c>
      <c r="C52" s="21" t="s">
        <v>343</v>
      </c>
      <c r="D52" s="22" t="s">
        <v>97</v>
      </c>
      <c r="E52" s="23">
        <v>26</v>
      </c>
      <c r="F52" s="22" t="s">
        <v>3</v>
      </c>
      <c r="G52" s="23" t="s">
        <v>344</v>
      </c>
    </row>
    <row r="53" spans="1:7" ht="25.5">
      <c r="A53" s="20">
        <v>52</v>
      </c>
      <c r="B53" s="21" t="s">
        <v>348</v>
      </c>
      <c r="C53" s="21" t="s">
        <v>350</v>
      </c>
      <c r="D53" s="22" t="s">
        <v>97</v>
      </c>
      <c r="E53" s="23">
        <v>26</v>
      </c>
      <c r="F53" s="22" t="s">
        <v>31</v>
      </c>
      <c r="G53" s="23" t="s">
        <v>351</v>
      </c>
    </row>
    <row r="54" spans="1:7" ht="25.5">
      <c r="A54" s="20">
        <v>53</v>
      </c>
      <c r="B54" s="21" t="s">
        <v>120</v>
      </c>
      <c r="C54" s="21" t="s">
        <v>352</v>
      </c>
      <c r="D54" s="22" t="s">
        <v>119</v>
      </c>
      <c r="E54" s="23">
        <v>27</v>
      </c>
      <c r="F54" s="22" t="s">
        <v>3</v>
      </c>
      <c r="G54" s="23" t="s">
        <v>353</v>
      </c>
    </row>
    <row r="55" spans="1:7" ht="25.5">
      <c r="A55" s="20">
        <v>54</v>
      </c>
      <c r="B55" s="21" t="s">
        <v>354</v>
      </c>
      <c r="C55" s="21" t="s">
        <v>356</v>
      </c>
      <c r="D55" s="22" t="s">
        <v>119</v>
      </c>
      <c r="E55" s="23">
        <v>27</v>
      </c>
      <c r="F55" s="22" t="s">
        <v>31</v>
      </c>
      <c r="G55" s="23" t="s">
        <v>357</v>
      </c>
    </row>
    <row r="56" spans="1:7" ht="25.5">
      <c r="A56" s="20">
        <v>55</v>
      </c>
      <c r="B56" s="21" t="s">
        <v>121</v>
      </c>
      <c r="C56" s="21" t="s">
        <v>358</v>
      </c>
      <c r="D56" s="22" t="s">
        <v>109</v>
      </c>
      <c r="E56" s="23">
        <v>28</v>
      </c>
      <c r="F56" s="22" t="s">
        <v>3</v>
      </c>
      <c r="G56" s="23" t="s">
        <v>359</v>
      </c>
    </row>
    <row r="57" spans="1:7" ht="25.5">
      <c r="A57" s="20">
        <v>56</v>
      </c>
      <c r="B57" s="21" t="s">
        <v>360</v>
      </c>
      <c r="C57" s="21" t="s">
        <v>362</v>
      </c>
      <c r="D57" s="22" t="s">
        <v>109</v>
      </c>
      <c r="E57" s="23">
        <v>28</v>
      </c>
      <c r="F57" s="22" t="s">
        <v>31</v>
      </c>
      <c r="G57" s="23" t="s">
        <v>363</v>
      </c>
    </row>
    <row r="58" spans="1:7" ht="25.5">
      <c r="A58" s="20">
        <v>57</v>
      </c>
      <c r="B58" s="21" t="s">
        <v>123</v>
      </c>
      <c r="C58" s="21" t="s">
        <v>364</v>
      </c>
      <c r="D58" s="22" t="s">
        <v>122</v>
      </c>
      <c r="E58" s="23">
        <v>29</v>
      </c>
      <c r="F58" s="22" t="s">
        <v>3</v>
      </c>
      <c r="G58" s="23" t="s">
        <v>365</v>
      </c>
    </row>
    <row r="59" spans="1:7" ht="25.5">
      <c r="A59" s="20">
        <v>58</v>
      </c>
      <c r="B59" s="21" t="s">
        <v>366</v>
      </c>
      <c r="C59" s="21" t="s">
        <v>368</v>
      </c>
      <c r="D59" s="22" t="s">
        <v>122</v>
      </c>
      <c r="E59" s="23">
        <v>29</v>
      </c>
      <c r="F59" s="22" t="s">
        <v>31</v>
      </c>
      <c r="G59" s="23" t="s">
        <v>369</v>
      </c>
    </row>
    <row r="60" spans="1:7" ht="25.5">
      <c r="A60" s="20">
        <v>59</v>
      </c>
      <c r="B60" s="21" t="s">
        <v>125</v>
      </c>
      <c r="C60" s="21" t="s">
        <v>370</v>
      </c>
      <c r="D60" s="22" t="s">
        <v>41</v>
      </c>
      <c r="E60" s="23">
        <v>30</v>
      </c>
      <c r="F60" s="22" t="s">
        <v>3</v>
      </c>
      <c r="G60" s="23" t="s">
        <v>371</v>
      </c>
    </row>
    <row r="61" spans="1:7" ht="25.5">
      <c r="A61" s="20">
        <v>60</v>
      </c>
      <c r="B61" s="21">
        <v>0</v>
      </c>
      <c r="C61" s="21">
        <v>0</v>
      </c>
      <c r="D61" s="22" t="s">
        <v>41</v>
      </c>
      <c r="E61" s="23">
        <v>30</v>
      </c>
      <c r="F61" s="22" t="s">
        <v>31</v>
      </c>
      <c r="G61" s="23" t="s">
        <v>372</v>
      </c>
    </row>
    <row r="62" spans="1:7" ht="25.5">
      <c r="A62" s="20">
        <v>61</v>
      </c>
      <c r="B62" s="21" t="s">
        <v>373</v>
      </c>
      <c r="C62" s="21" t="s">
        <v>377</v>
      </c>
      <c r="D62" s="22" t="s">
        <v>65</v>
      </c>
      <c r="E62" s="23">
        <v>31</v>
      </c>
      <c r="F62" s="22" t="s">
        <v>3</v>
      </c>
      <c r="G62" s="23" t="s">
        <v>378</v>
      </c>
    </row>
    <row r="63" spans="1:7" ht="25.5">
      <c r="A63" s="20">
        <v>62</v>
      </c>
      <c r="B63" s="21" t="s">
        <v>382</v>
      </c>
      <c r="C63" s="21" t="s">
        <v>384</v>
      </c>
      <c r="D63" s="22" t="s">
        <v>65</v>
      </c>
      <c r="E63" s="23">
        <v>31</v>
      </c>
      <c r="F63" s="22" t="s">
        <v>31</v>
      </c>
      <c r="G63" s="23" t="s">
        <v>385</v>
      </c>
    </row>
    <row r="64" spans="1:7" ht="25.5">
      <c r="A64" s="20">
        <v>63</v>
      </c>
      <c r="B64" s="21" t="s">
        <v>386</v>
      </c>
      <c r="C64" s="21" t="s">
        <v>390</v>
      </c>
      <c r="D64" s="22" t="s">
        <v>10</v>
      </c>
      <c r="E64" s="23">
        <v>32</v>
      </c>
      <c r="F64" s="22" t="s">
        <v>3</v>
      </c>
      <c r="G64" s="23" t="s">
        <v>391</v>
      </c>
    </row>
    <row r="65" spans="1:7" ht="25.5">
      <c r="A65" s="20">
        <v>64</v>
      </c>
      <c r="B65" s="21">
        <v>0</v>
      </c>
      <c r="C65" s="21">
        <v>0</v>
      </c>
      <c r="D65" s="22" t="s">
        <v>10</v>
      </c>
      <c r="E65" s="23">
        <v>32</v>
      </c>
      <c r="F65" s="22" t="s">
        <v>31</v>
      </c>
      <c r="G65" s="23" t="s">
        <v>392</v>
      </c>
    </row>
    <row r="66" spans="1:7" ht="25.5">
      <c r="A66" s="20">
        <v>65</v>
      </c>
      <c r="B66" s="21" t="s">
        <v>393</v>
      </c>
      <c r="C66" s="21" t="s">
        <v>395</v>
      </c>
      <c r="D66" s="22" t="s">
        <v>49</v>
      </c>
      <c r="E66" s="23">
        <v>33</v>
      </c>
      <c r="F66" s="22" t="s">
        <v>3</v>
      </c>
      <c r="G66" s="23" t="s">
        <v>396</v>
      </c>
    </row>
    <row r="67" spans="1:7" ht="25.5">
      <c r="A67" s="20">
        <v>66</v>
      </c>
      <c r="B67" s="21" t="s">
        <v>397</v>
      </c>
      <c r="C67" s="21" t="s">
        <v>399</v>
      </c>
      <c r="D67" s="22" t="s">
        <v>49</v>
      </c>
      <c r="E67" s="23">
        <v>33</v>
      </c>
      <c r="F67" s="22" t="s">
        <v>31</v>
      </c>
      <c r="G67" s="23" t="s">
        <v>400</v>
      </c>
    </row>
    <row r="68" spans="1:7" ht="25.5">
      <c r="A68" s="20">
        <v>67</v>
      </c>
      <c r="B68" s="21" t="s">
        <v>126</v>
      </c>
      <c r="C68" s="21" t="s">
        <v>404</v>
      </c>
      <c r="D68" s="22" t="s">
        <v>131</v>
      </c>
      <c r="E68" s="23">
        <v>34</v>
      </c>
      <c r="F68" s="22" t="s">
        <v>3</v>
      </c>
      <c r="G68" s="23" t="s">
        <v>405</v>
      </c>
    </row>
    <row r="69" spans="1:7" ht="25.5">
      <c r="A69" s="20">
        <v>68</v>
      </c>
      <c r="B69" s="21" t="s">
        <v>409</v>
      </c>
      <c r="C69" s="21" t="s">
        <v>535</v>
      </c>
      <c r="D69" s="22" t="s">
        <v>131</v>
      </c>
      <c r="E69" s="23">
        <v>34</v>
      </c>
      <c r="F69" s="22" t="s">
        <v>31</v>
      </c>
      <c r="G69" s="23" t="s">
        <v>412</v>
      </c>
    </row>
    <row r="70" spans="1:7" ht="25.5">
      <c r="A70" s="20">
        <v>69</v>
      </c>
      <c r="B70" s="21" t="s">
        <v>413</v>
      </c>
      <c r="C70" s="21" t="s">
        <v>417</v>
      </c>
      <c r="D70" s="22" t="s">
        <v>93</v>
      </c>
      <c r="E70" s="23">
        <v>35</v>
      </c>
      <c r="F70" s="22" t="s">
        <v>3</v>
      </c>
      <c r="G70" s="23" t="s">
        <v>418</v>
      </c>
    </row>
    <row r="71" spans="1:7" ht="25.5">
      <c r="A71" s="20">
        <v>70</v>
      </c>
      <c r="B71" s="21">
        <v>0</v>
      </c>
      <c r="C71" s="21">
        <v>0</v>
      </c>
      <c r="D71" s="22" t="s">
        <v>93</v>
      </c>
      <c r="E71" s="23">
        <v>35</v>
      </c>
      <c r="F71" s="22" t="s">
        <v>31</v>
      </c>
      <c r="G71" s="23" t="s">
        <v>419</v>
      </c>
    </row>
    <row r="72" spans="1:7" ht="25.5">
      <c r="A72" s="20">
        <v>71</v>
      </c>
      <c r="B72" s="21" t="s">
        <v>534</v>
      </c>
      <c r="C72" s="21" t="s">
        <v>424</v>
      </c>
      <c r="D72" s="22" t="s">
        <v>66</v>
      </c>
      <c r="E72" s="23">
        <v>36</v>
      </c>
      <c r="F72" s="22" t="s">
        <v>3</v>
      </c>
      <c r="G72" s="23" t="s">
        <v>425</v>
      </c>
    </row>
    <row r="73" spans="1:7" ht="25.5">
      <c r="A73" s="20">
        <v>72</v>
      </c>
      <c r="B73" s="21" t="s">
        <v>422</v>
      </c>
      <c r="C73" s="21" t="s">
        <v>536</v>
      </c>
      <c r="D73" s="22" t="s">
        <v>66</v>
      </c>
      <c r="E73" s="23">
        <v>36</v>
      </c>
      <c r="F73" s="22" t="s">
        <v>31</v>
      </c>
      <c r="G73" s="23" t="s">
        <v>426</v>
      </c>
    </row>
    <row r="74" spans="1:7" ht="25.5">
      <c r="A74" s="20">
        <v>73</v>
      </c>
      <c r="B74" s="21" t="s">
        <v>127</v>
      </c>
      <c r="C74" s="21" t="s">
        <v>430</v>
      </c>
      <c r="D74" s="22" t="s">
        <v>70</v>
      </c>
      <c r="E74" s="23">
        <v>37</v>
      </c>
      <c r="F74" s="22" t="s">
        <v>3</v>
      </c>
      <c r="G74" s="23" t="s">
        <v>431</v>
      </c>
    </row>
    <row r="75" spans="1:7" ht="25.5">
      <c r="A75" s="20">
        <v>74</v>
      </c>
      <c r="B75" s="21">
        <v>0</v>
      </c>
      <c r="C75" s="21">
        <v>0</v>
      </c>
      <c r="D75" s="22" t="s">
        <v>70</v>
      </c>
      <c r="E75" s="23">
        <v>37</v>
      </c>
      <c r="F75" s="22" t="s">
        <v>31</v>
      </c>
      <c r="G75" s="23" t="s">
        <v>432</v>
      </c>
    </row>
    <row r="76" spans="1:7" ht="25.5">
      <c r="A76" s="20">
        <v>75</v>
      </c>
      <c r="B76" s="21" t="s">
        <v>130</v>
      </c>
      <c r="C76" s="21" t="s">
        <v>434</v>
      </c>
      <c r="D76" s="22" t="s">
        <v>59</v>
      </c>
      <c r="E76" s="23">
        <v>38</v>
      </c>
      <c r="F76" s="22" t="s">
        <v>3</v>
      </c>
      <c r="G76" s="23" t="s">
        <v>435</v>
      </c>
    </row>
    <row r="77" spans="1:7" ht="25.5">
      <c r="A77" s="20">
        <v>76</v>
      </c>
      <c r="B77" s="21">
        <v>0</v>
      </c>
      <c r="C77" s="21">
        <v>0</v>
      </c>
      <c r="D77" s="22" t="s">
        <v>59</v>
      </c>
      <c r="E77" s="23">
        <v>38</v>
      </c>
      <c r="F77" s="22" t="s">
        <v>31</v>
      </c>
      <c r="G77" s="23" t="s">
        <v>436</v>
      </c>
    </row>
    <row r="78" spans="1:7" ht="25.5">
      <c r="A78" s="20">
        <v>77</v>
      </c>
      <c r="B78" s="21" t="s">
        <v>133</v>
      </c>
      <c r="C78" s="21" t="s">
        <v>264</v>
      </c>
      <c r="D78" s="22" t="s">
        <v>111</v>
      </c>
      <c r="E78" s="23">
        <v>39</v>
      </c>
      <c r="F78" s="22" t="s">
        <v>3</v>
      </c>
      <c r="G78" s="23" t="s">
        <v>437</v>
      </c>
    </row>
    <row r="79" spans="1:7" ht="25.5">
      <c r="A79" s="20">
        <v>78</v>
      </c>
      <c r="B79" s="21" t="s">
        <v>438</v>
      </c>
      <c r="C79" s="21" t="s">
        <v>440</v>
      </c>
      <c r="D79" s="22" t="s">
        <v>111</v>
      </c>
      <c r="E79" s="23">
        <v>39</v>
      </c>
      <c r="F79" s="22" t="s">
        <v>31</v>
      </c>
      <c r="G79" s="23" t="s">
        <v>441</v>
      </c>
    </row>
    <row r="80" spans="1:7" ht="25.5">
      <c r="A80" s="20">
        <v>79</v>
      </c>
      <c r="B80" s="21" t="s">
        <v>128</v>
      </c>
      <c r="C80" s="21" t="s">
        <v>445</v>
      </c>
      <c r="D80" s="22" t="s">
        <v>53</v>
      </c>
      <c r="E80" s="23">
        <v>40</v>
      </c>
      <c r="F80" s="22" t="s">
        <v>3</v>
      </c>
      <c r="G80" s="23" t="s">
        <v>446</v>
      </c>
    </row>
    <row r="81" spans="1:7" ht="25.5">
      <c r="A81" s="20">
        <v>80</v>
      </c>
      <c r="B81" s="21">
        <v>0</v>
      </c>
      <c r="C81" s="21">
        <v>0</v>
      </c>
      <c r="D81" s="22" t="s">
        <v>53</v>
      </c>
      <c r="E81" s="23">
        <v>40</v>
      </c>
      <c r="F81" s="22" t="s">
        <v>31</v>
      </c>
      <c r="G81" s="23" t="s">
        <v>447</v>
      </c>
    </row>
    <row r="82" spans="1:7" ht="25.5">
      <c r="A82" s="20">
        <v>81</v>
      </c>
      <c r="B82" s="21" t="s">
        <v>142</v>
      </c>
      <c r="C82" s="21" t="s">
        <v>451</v>
      </c>
      <c r="D82" s="22" t="s">
        <v>74</v>
      </c>
      <c r="E82" s="23">
        <v>41</v>
      </c>
      <c r="F82" s="22" t="s">
        <v>3</v>
      </c>
      <c r="G82" s="23" t="s">
        <v>452</v>
      </c>
    </row>
    <row r="83" spans="1:7" ht="25.5">
      <c r="A83" s="20">
        <v>82</v>
      </c>
      <c r="B83" s="21">
        <v>0</v>
      </c>
      <c r="C83" s="21">
        <v>0</v>
      </c>
      <c r="D83" s="22" t="s">
        <v>74</v>
      </c>
      <c r="E83" s="23">
        <v>41</v>
      </c>
      <c r="F83" s="22" t="s">
        <v>31</v>
      </c>
      <c r="G83" s="23" t="s">
        <v>453</v>
      </c>
    </row>
    <row r="84" spans="1:7" ht="25.5">
      <c r="A84" s="20">
        <v>83</v>
      </c>
      <c r="B84" s="21" t="s">
        <v>118</v>
      </c>
      <c r="C84" s="21" t="s">
        <v>455</v>
      </c>
      <c r="D84" s="22" t="s">
        <v>75</v>
      </c>
      <c r="E84" s="23">
        <v>42</v>
      </c>
      <c r="F84" s="22" t="s">
        <v>3</v>
      </c>
      <c r="G84" s="23" t="s">
        <v>456</v>
      </c>
    </row>
    <row r="85" spans="1:7" ht="25.5">
      <c r="A85" s="20">
        <v>84</v>
      </c>
      <c r="B85" s="21">
        <v>0</v>
      </c>
      <c r="C85" s="21">
        <v>0</v>
      </c>
      <c r="D85" s="22" t="s">
        <v>75</v>
      </c>
      <c r="E85" s="23">
        <v>42</v>
      </c>
      <c r="F85" s="22" t="s">
        <v>31</v>
      </c>
      <c r="G85" s="23" t="s">
        <v>457</v>
      </c>
    </row>
    <row r="86" spans="1:7" ht="25.5">
      <c r="A86" s="20">
        <v>85</v>
      </c>
      <c r="B86" s="21" t="s">
        <v>458</v>
      </c>
      <c r="C86" s="21" t="s">
        <v>461</v>
      </c>
      <c r="D86" s="22" t="s">
        <v>57</v>
      </c>
      <c r="E86" s="23">
        <v>43</v>
      </c>
      <c r="F86" s="22" t="s">
        <v>3</v>
      </c>
      <c r="G86" s="23" t="s">
        <v>462</v>
      </c>
    </row>
    <row r="87" spans="1:7" ht="25.5">
      <c r="A87" s="20">
        <v>86</v>
      </c>
      <c r="B87" s="21" t="s">
        <v>463</v>
      </c>
      <c r="C87" s="21" t="s">
        <v>466</v>
      </c>
      <c r="D87" s="22" t="s">
        <v>57</v>
      </c>
      <c r="E87" s="23">
        <v>43</v>
      </c>
      <c r="F87" s="22" t="s">
        <v>31</v>
      </c>
      <c r="G87" s="23" t="s">
        <v>467</v>
      </c>
    </row>
    <row r="88" spans="1:7" ht="25.5">
      <c r="A88" s="20">
        <v>87</v>
      </c>
      <c r="B88" s="21" t="s">
        <v>468</v>
      </c>
      <c r="C88" s="21" t="s">
        <v>472</v>
      </c>
      <c r="D88" s="22" t="s">
        <v>473</v>
      </c>
      <c r="E88" s="23">
        <v>44</v>
      </c>
      <c r="F88" s="22" t="s">
        <v>3</v>
      </c>
      <c r="G88" s="23" t="s">
        <v>474</v>
      </c>
    </row>
    <row r="89" spans="1:7" ht="25.5">
      <c r="A89" s="20">
        <v>88</v>
      </c>
      <c r="B89" s="21" t="s">
        <v>478</v>
      </c>
      <c r="C89" s="21" t="s">
        <v>480</v>
      </c>
      <c r="D89" s="22" t="s">
        <v>473</v>
      </c>
      <c r="E89" s="23">
        <v>44</v>
      </c>
      <c r="F89" s="22" t="s">
        <v>31</v>
      </c>
      <c r="G89" s="23" t="s">
        <v>481</v>
      </c>
    </row>
    <row r="90" spans="1:7" ht="25.5">
      <c r="A90" s="20">
        <v>89</v>
      </c>
      <c r="B90" s="21" t="s">
        <v>137</v>
      </c>
      <c r="C90" s="21" t="s">
        <v>485</v>
      </c>
      <c r="D90" s="22" t="s">
        <v>124</v>
      </c>
      <c r="E90" s="23">
        <v>45</v>
      </c>
      <c r="F90" s="22" t="s">
        <v>3</v>
      </c>
      <c r="G90" s="23" t="s">
        <v>486</v>
      </c>
    </row>
    <row r="91" spans="1:7" ht="25.5">
      <c r="A91" s="20">
        <v>90</v>
      </c>
      <c r="B91" s="21">
        <v>0</v>
      </c>
      <c r="C91" s="21">
        <v>0</v>
      </c>
      <c r="D91" s="22" t="s">
        <v>124</v>
      </c>
      <c r="E91" s="23">
        <v>45</v>
      </c>
      <c r="F91" s="22" t="s">
        <v>31</v>
      </c>
      <c r="G91" s="23" t="s">
        <v>487</v>
      </c>
    </row>
    <row r="92" spans="1:7" ht="25.5">
      <c r="A92" s="20">
        <v>91</v>
      </c>
      <c r="B92" s="21" t="s">
        <v>135</v>
      </c>
      <c r="C92" s="21" t="s">
        <v>491</v>
      </c>
      <c r="D92" s="22" t="s">
        <v>78</v>
      </c>
      <c r="E92" s="23">
        <v>46</v>
      </c>
      <c r="F92" s="22" t="s">
        <v>3</v>
      </c>
      <c r="G92" s="23" t="s">
        <v>492</v>
      </c>
    </row>
    <row r="93" spans="1:7" ht="25.5">
      <c r="A93" s="20">
        <v>92</v>
      </c>
      <c r="B93" s="21" t="s">
        <v>496</v>
      </c>
      <c r="C93" s="21" t="s">
        <v>498</v>
      </c>
      <c r="D93" s="22" t="s">
        <v>78</v>
      </c>
      <c r="E93" s="23">
        <v>46</v>
      </c>
      <c r="F93" s="22" t="s">
        <v>31</v>
      </c>
      <c r="G93" s="23" t="s">
        <v>499</v>
      </c>
    </row>
    <row r="94" spans="1:7" ht="25.5">
      <c r="A94" s="20">
        <v>93</v>
      </c>
      <c r="B94" s="21" t="s">
        <v>139</v>
      </c>
      <c r="C94" s="21" t="s">
        <v>501</v>
      </c>
      <c r="D94" s="22" t="s">
        <v>138</v>
      </c>
      <c r="E94" s="23">
        <v>47</v>
      </c>
      <c r="F94" s="22" t="s">
        <v>3</v>
      </c>
      <c r="G94" s="23" t="s">
        <v>502</v>
      </c>
    </row>
    <row r="95" spans="1:7" ht="25.5">
      <c r="A95" s="20">
        <v>94</v>
      </c>
      <c r="B95" s="21" t="s">
        <v>140</v>
      </c>
      <c r="C95" s="21" t="s">
        <v>504</v>
      </c>
      <c r="D95" s="22" t="s">
        <v>138</v>
      </c>
      <c r="E95" s="23">
        <v>47</v>
      </c>
      <c r="F95" s="22" t="s">
        <v>31</v>
      </c>
      <c r="G95" s="23" t="s">
        <v>505</v>
      </c>
    </row>
    <row r="96" spans="1:7" ht="25.5">
      <c r="A96" s="20">
        <v>95</v>
      </c>
      <c r="B96" s="21" t="s">
        <v>136</v>
      </c>
      <c r="C96" s="21" t="s">
        <v>509</v>
      </c>
      <c r="D96" s="22" t="s">
        <v>141</v>
      </c>
      <c r="E96" s="23">
        <v>48</v>
      </c>
      <c r="F96" s="22" t="s">
        <v>3</v>
      </c>
      <c r="G96" s="23" t="s">
        <v>510</v>
      </c>
    </row>
    <row r="97" spans="1:7" ht="25.5">
      <c r="A97" s="20">
        <v>96</v>
      </c>
      <c r="B97" s="21">
        <v>0</v>
      </c>
      <c r="C97" s="21">
        <v>0</v>
      </c>
      <c r="D97" s="22" t="s">
        <v>141</v>
      </c>
      <c r="E97" s="23">
        <v>48</v>
      </c>
      <c r="F97" s="22" t="s">
        <v>31</v>
      </c>
      <c r="G97" s="23" t="s">
        <v>511</v>
      </c>
    </row>
    <row r="98" spans="1:7" ht="25.5">
      <c r="A98" s="20">
        <v>97</v>
      </c>
      <c r="B98" s="21" t="s">
        <v>142</v>
      </c>
      <c r="C98" s="21" t="s">
        <v>451</v>
      </c>
      <c r="D98" s="22" t="s">
        <v>58</v>
      </c>
      <c r="E98" s="23">
        <v>49</v>
      </c>
      <c r="F98" s="22" t="s">
        <v>3</v>
      </c>
      <c r="G98" s="23" t="s">
        <v>513</v>
      </c>
    </row>
    <row r="99" spans="1:7" ht="25.5">
      <c r="A99" s="20">
        <v>98</v>
      </c>
      <c r="B99" s="21" t="s">
        <v>516</v>
      </c>
      <c r="C99" s="21" t="s">
        <v>518</v>
      </c>
      <c r="D99" s="22" t="s">
        <v>58</v>
      </c>
      <c r="E99" s="23">
        <v>49</v>
      </c>
      <c r="F99" s="22" t="s">
        <v>31</v>
      </c>
      <c r="G99" s="23" t="s">
        <v>519</v>
      </c>
    </row>
    <row r="100" spans="1:7" ht="25.5">
      <c r="A100" s="20">
        <v>99</v>
      </c>
      <c r="B100" s="21" t="s">
        <v>145</v>
      </c>
      <c r="C100" s="21" t="s">
        <v>523</v>
      </c>
      <c r="D100" s="22" t="s">
        <v>144</v>
      </c>
      <c r="E100" s="23">
        <v>50</v>
      </c>
      <c r="F100" s="22" t="s">
        <v>3</v>
      </c>
      <c r="G100" s="23" t="s">
        <v>524</v>
      </c>
    </row>
    <row r="101" spans="1:7" ht="25.5">
      <c r="A101" s="28">
        <v>100</v>
      </c>
      <c r="B101" s="29">
        <v>0</v>
      </c>
      <c r="C101" s="29">
        <v>0</v>
      </c>
      <c r="D101" s="30" t="s">
        <v>144</v>
      </c>
      <c r="E101" s="31">
        <v>50</v>
      </c>
      <c r="F101" s="30" t="s">
        <v>31</v>
      </c>
      <c r="G101" s="31" t="s">
        <v>525</v>
      </c>
    </row>
  </sheetData>
  <phoneticPr fontId="1" type="noConversion"/>
  <conditionalFormatting sqref="A2:G101">
    <cfRule type="expression" dxfId="7" priority="1">
      <formula>$F2="舒聲"</formula>
    </cfRule>
    <cfRule type="expression" dxfId="6" priority="2">
      <formula>$F2="入聲"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E36A-12AA-43CA-BCCD-4D35A1AE6433}">
  <dimension ref="A1:K101"/>
  <sheetViews>
    <sheetView workbookViewId="0">
      <selection activeCell="B1" sqref="B1:B1048576"/>
    </sheetView>
  </sheetViews>
  <sheetFormatPr defaultRowHeight="16.5"/>
  <cols>
    <col min="1" max="1" width="13.125" customWidth="1"/>
    <col min="2" max="3" width="13.25" customWidth="1"/>
    <col min="4" max="4" width="13.125" customWidth="1"/>
    <col min="5" max="7" width="13.25" customWidth="1"/>
    <col min="8" max="8" width="13.125" customWidth="1"/>
    <col min="9" max="9" width="13.25" customWidth="1"/>
    <col min="10" max="10" width="13.125" customWidth="1"/>
    <col min="11" max="11" width="19.875" customWidth="1"/>
  </cols>
  <sheetData>
    <row r="1" spans="1:11" ht="25.5">
      <c r="A1" s="17" t="s">
        <v>146</v>
      </c>
      <c r="B1" s="18" t="s">
        <v>533</v>
      </c>
      <c r="C1" s="18" t="s">
        <v>159</v>
      </c>
      <c r="D1" s="18" t="s">
        <v>160</v>
      </c>
      <c r="E1" s="18" t="s">
        <v>527</v>
      </c>
      <c r="F1" s="18" t="s">
        <v>529</v>
      </c>
      <c r="G1" s="18" t="s">
        <v>531</v>
      </c>
      <c r="H1" s="18" t="s">
        <v>161</v>
      </c>
      <c r="I1" s="19" t="s">
        <v>190</v>
      </c>
      <c r="J1" s="18" t="s">
        <v>0</v>
      </c>
      <c r="K1" s="19" t="s">
        <v>191</v>
      </c>
    </row>
    <row r="2" spans="1:11" ht="25.5">
      <c r="A2" s="20">
        <v>1</v>
      </c>
      <c r="B2" s="21" t="s">
        <v>5</v>
      </c>
      <c r="C2" s="21" t="s">
        <v>5</v>
      </c>
      <c r="D2" s="21" t="s">
        <v>5</v>
      </c>
      <c r="E2" s="21" t="s">
        <v>5</v>
      </c>
      <c r="F2" s="21" t="s">
        <v>5</v>
      </c>
      <c r="G2" s="21" t="s">
        <v>192</v>
      </c>
      <c r="H2" s="22" t="s">
        <v>2</v>
      </c>
      <c r="I2" s="23">
        <v>1</v>
      </c>
      <c r="J2" s="22" t="s">
        <v>3</v>
      </c>
      <c r="K2" s="23" t="s">
        <v>193</v>
      </c>
    </row>
    <row r="3" spans="1:11" ht="25.5">
      <c r="A3" s="20">
        <v>2</v>
      </c>
      <c r="B3" s="21" t="s">
        <v>32</v>
      </c>
      <c r="C3" s="21" t="s">
        <v>194</v>
      </c>
      <c r="D3" s="21" t="s">
        <v>32</v>
      </c>
      <c r="E3" s="21" t="s">
        <v>32</v>
      </c>
      <c r="F3" s="21" t="s">
        <v>32</v>
      </c>
      <c r="G3" s="21" t="s">
        <v>195</v>
      </c>
      <c r="H3" s="22" t="s">
        <v>2</v>
      </c>
      <c r="I3" s="23">
        <v>1</v>
      </c>
      <c r="J3" s="22" t="s">
        <v>31</v>
      </c>
      <c r="K3" s="23" t="s">
        <v>196</v>
      </c>
    </row>
    <row r="4" spans="1:11" ht="25.5">
      <c r="A4" s="20">
        <v>3</v>
      </c>
      <c r="B4" s="21" t="s">
        <v>38</v>
      </c>
      <c r="C4" s="21" t="s">
        <v>38</v>
      </c>
      <c r="D4" s="21" t="s">
        <v>38</v>
      </c>
      <c r="E4" s="21" t="s">
        <v>38</v>
      </c>
      <c r="F4" s="21" t="s">
        <v>38</v>
      </c>
      <c r="G4" s="21" t="s">
        <v>197</v>
      </c>
      <c r="H4" s="22" t="s">
        <v>37</v>
      </c>
      <c r="I4" s="23">
        <v>2</v>
      </c>
      <c r="J4" s="22" t="s">
        <v>3</v>
      </c>
      <c r="K4" s="23" t="s">
        <v>198</v>
      </c>
    </row>
    <row r="5" spans="1:11" ht="25.5">
      <c r="A5" s="20">
        <v>4</v>
      </c>
      <c r="B5" s="21" t="s">
        <v>40</v>
      </c>
      <c r="C5" s="21" t="s">
        <v>199</v>
      </c>
      <c r="D5" s="21" t="s">
        <v>40</v>
      </c>
      <c r="E5" s="21" t="s">
        <v>40</v>
      </c>
      <c r="F5" s="21" t="s">
        <v>40</v>
      </c>
      <c r="G5" s="21" t="s">
        <v>200</v>
      </c>
      <c r="H5" s="22" t="s">
        <v>37</v>
      </c>
      <c r="I5" s="23">
        <v>2</v>
      </c>
      <c r="J5" s="22" t="s">
        <v>31</v>
      </c>
      <c r="K5" s="23" t="s">
        <v>201</v>
      </c>
    </row>
    <row r="6" spans="1:11" ht="25.5">
      <c r="A6" s="20">
        <v>5</v>
      </c>
      <c r="B6" s="21" t="s">
        <v>43</v>
      </c>
      <c r="C6" s="21" t="s">
        <v>43</v>
      </c>
      <c r="D6" s="21" t="s">
        <v>43</v>
      </c>
      <c r="E6" s="21" t="s">
        <v>43</v>
      </c>
      <c r="F6" s="21" t="s">
        <v>43</v>
      </c>
      <c r="G6" s="21" t="s">
        <v>202</v>
      </c>
      <c r="H6" s="22" t="s">
        <v>42</v>
      </c>
      <c r="I6" s="23">
        <v>3</v>
      </c>
      <c r="J6" s="22" t="s">
        <v>3</v>
      </c>
      <c r="K6" s="23" t="s">
        <v>203</v>
      </c>
    </row>
    <row r="7" spans="1:11" ht="25.5">
      <c r="A7" s="20">
        <v>6</v>
      </c>
      <c r="B7" s="21" t="s">
        <v>44</v>
      </c>
      <c r="C7" s="21" t="s">
        <v>204</v>
      </c>
      <c r="D7" s="21" t="s">
        <v>44</v>
      </c>
      <c r="E7" s="21" t="s">
        <v>44</v>
      </c>
      <c r="F7" s="21" t="s">
        <v>44</v>
      </c>
      <c r="G7" s="21" t="s">
        <v>205</v>
      </c>
      <c r="H7" s="22" t="s">
        <v>42</v>
      </c>
      <c r="I7" s="23">
        <v>3</v>
      </c>
      <c r="J7" s="22" t="s">
        <v>31</v>
      </c>
      <c r="K7" s="23" t="s">
        <v>206</v>
      </c>
    </row>
    <row r="8" spans="1:11" ht="25.5">
      <c r="A8" s="20">
        <v>7</v>
      </c>
      <c r="B8" s="21" t="s">
        <v>46</v>
      </c>
      <c r="C8" s="21" t="s">
        <v>46</v>
      </c>
      <c r="D8" s="21" t="s">
        <v>46</v>
      </c>
      <c r="E8" s="21" t="s">
        <v>46</v>
      </c>
      <c r="F8" s="21" t="s">
        <v>46</v>
      </c>
      <c r="G8" s="21" t="s">
        <v>207</v>
      </c>
      <c r="H8" s="22" t="s">
        <v>45</v>
      </c>
      <c r="I8" s="23">
        <v>4</v>
      </c>
      <c r="J8" s="22" t="s">
        <v>3</v>
      </c>
      <c r="K8" s="23" t="s">
        <v>208</v>
      </c>
    </row>
    <row r="9" spans="1:11" ht="25.5">
      <c r="A9" s="20">
        <v>8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2" t="s">
        <v>45</v>
      </c>
      <c r="I9" s="23">
        <v>4</v>
      </c>
      <c r="J9" s="22" t="s">
        <v>31</v>
      </c>
      <c r="K9" s="23" t="s">
        <v>209</v>
      </c>
    </row>
    <row r="10" spans="1:11" ht="25.5">
      <c r="A10" s="24">
        <v>9</v>
      </c>
      <c r="B10" s="25" t="s">
        <v>48</v>
      </c>
      <c r="C10" s="25" t="s">
        <v>210</v>
      </c>
      <c r="D10" s="25" t="s">
        <v>133</v>
      </c>
      <c r="E10" s="25" t="s">
        <v>48</v>
      </c>
      <c r="F10" s="25" t="s">
        <v>133</v>
      </c>
      <c r="G10" s="25" t="s">
        <v>211</v>
      </c>
      <c r="H10" s="26" t="s">
        <v>47</v>
      </c>
      <c r="I10" s="27">
        <v>5</v>
      </c>
      <c r="J10" s="26" t="s">
        <v>3</v>
      </c>
      <c r="K10" s="27" t="s">
        <v>212</v>
      </c>
    </row>
    <row r="11" spans="1:11" ht="25.5">
      <c r="A11" s="20">
        <v>10</v>
      </c>
      <c r="B11" s="21" t="s">
        <v>213</v>
      </c>
      <c r="C11" s="21" t="s">
        <v>214</v>
      </c>
      <c r="D11" s="21" t="s">
        <v>213</v>
      </c>
      <c r="E11" s="21" t="s">
        <v>213</v>
      </c>
      <c r="F11" s="21">
        <v>0</v>
      </c>
      <c r="G11" s="21" t="s">
        <v>215</v>
      </c>
      <c r="H11" s="22" t="s">
        <v>47</v>
      </c>
      <c r="I11" s="23">
        <v>5</v>
      </c>
      <c r="J11" s="22" t="s">
        <v>31</v>
      </c>
      <c r="K11" s="23" t="s">
        <v>216</v>
      </c>
    </row>
    <row r="12" spans="1:11" ht="25.5">
      <c r="A12" s="20">
        <v>11</v>
      </c>
      <c r="B12" s="21" t="s">
        <v>52</v>
      </c>
      <c r="C12" s="21" t="s">
        <v>52</v>
      </c>
      <c r="D12" s="21" t="s">
        <v>52</v>
      </c>
      <c r="E12" s="21" t="s">
        <v>52</v>
      </c>
      <c r="F12" s="21" t="s">
        <v>52</v>
      </c>
      <c r="G12" s="21" t="s">
        <v>217</v>
      </c>
      <c r="H12" s="22" t="s">
        <v>51</v>
      </c>
      <c r="I12" s="23">
        <v>6</v>
      </c>
      <c r="J12" s="22" t="s">
        <v>3</v>
      </c>
      <c r="K12" s="23" t="s">
        <v>218</v>
      </c>
    </row>
    <row r="13" spans="1:11" ht="25.5">
      <c r="A13" s="20">
        <v>12</v>
      </c>
      <c r="B13" s="21" t="s">
        <v>54</v>
      </c>
      <c r="C13" s="21" t="s">
        <v>219</v>
      </c>
      <c r="D13" s="21" t="s">
        <v>54</v>
      </c>
      <c r="E13" s="21" t="s">
        <v>54</v>
      </c>
      <c r="F13" s="21" t="s">
        <v>54</v>
      </c>
      <c r="G13" s="21" t="s">
        <v>220</v>
      </c>
      <c r="H13" s="22" t="s">
        <v>51</v>
      </c>
      <c r="I13" s="23">
        <v>6</v>
      </c>
      <c r="J13" s="22" t="s">
        <v>31</v>
      </c>
      <c r="K13" s="23" t="s">
        <v>221</v>
      </c>
    </row>
    <row r="14" spans="1:11" ht="25.5">
      <c r="A14" s="20">
        <v>13</v>
      </c>
      <c r="B14" s="21" t="s">
        <v>56</v>
      </c>
      <c r="C14" s="21" t="s">
        <v>222</v>
      </c>
      <c r="D14" s="21" t="s">
        <v>56</v>
      </c>
      <c r="E14" s="21" t="s">
        <v>56</v>
      </c>
      <c r="F14" s="21" t="s">
        <v>56</v>
      </c>
      <c r="G14" s="21" t="s">
        <v>223</v>
      </c>
      <c r="H14" s="22" t="s">
        <v>55</v>
      </c>
      <c r="I14" s="23">
        <v>7</v>
      </c>
      <c r="J14" s="22" t="s">
        <v>3</v>
      </c>
      <c r="K14" s="23" t="s">
        <v>224</v>
      </c>
    </row>
    <row r="15" spans="1:11" ht="25.5">
      <c r="A15" s="20">
        <v>14</v>
      </c>
      <c r="B15" s="21" t="s">
        <v>60</v>
      </c>
      <c r="C15" s="21" t="s">
        <v>225</v>
      </c>
      <c r="D15" s="21" t="s">
        <v>60</v>
      </c>
      <c r="E15" s="21" t="s">
        <v>60</v>
      </c>
      <c r="F15" s="21" t="s">
        <v>60</v>
      </c>
      <c r="G15" s="21" t="s">
        <v>226</v>
      </c>
      <c r="H15" s="22" t="s">
        <v>55</v>
      </c>
      <c r="I15" s="23">
        <v>7</v>
      </c>
      <c r="J15" s="22" t="s">
        <v>31</v>
      </c>
      <c r="K15" s="23" t="s">
        <v>227</v>
      </c>
    </row>
    <row r="16" spans="1:11" ht="25.5">
      <c r="A16" s="20">
        <v>15</v>
      </c>
      <c r="B16" s="21" t="s">
        <v>62</v>
      </c>
      <c r="C16" s="21" t="s">
        <v>62</v>
      </c>
      <c r="D16" s="21" t="s">
        <v>228</v>
      </c>
      <c r="E16" s="21" t="s">
        <v>62</v>
      </c>
      <c r="F16" s="21" t="s">
        <v>62</v>
      </c>
      <c r="G16" s="21" t="s">
        <v>229</v>
      </c>
      <c r="H16" s="22" t="s">
        <v>61</v>
      </c>
      <c r="I16" s="23">
        <v>8</v>
      </c>
      <c r="J16" s="22" t="s">
        <v>3</v>
      </c>
      <c r="K16" s="23" t="s">
        <v>230</v>
      </c>
    </row>
    <row r="17" spans="1:11" ht="25.5">
      <c r="A17" s="20">
        <v>16</v>
      </c>
      <c r="B17" s="21" t="s">
        <v>231</v>
      </c>
      <c r="C17" s="21" t="s">
        <v>232</v>
      </c>
      <c r="D17" s="21" t="s">
        <v>233</v>
      </c>
      <c r="E17" s="21" t="s">
        <v>231</v>
      </c>
      <c r="F17" s="21" t="s">
        <v>231</v>
      </c>
      <c r="G17" s="21" t="s">
        <v>234</v>
      </c>
      <c r="H17" s="22" t="s">
        <v>61</v>
      </c>
      <c r="I17" s="23">
        <v>8</v>
      </c>
      <c r="J17" s="22" t="s">
        <v>31</v>
      </c>
      <c r="K17" s="23" t="s">
        <v>235</v>
      </c>
    </row>
    <row r="18" spans="1:11" ht="25.5">
      <c r="A18" s="20">
        <v>17</v>
      </c>
      <c r="B18" s="21" t="s">
        <v>64</v>
      </c>
      <c r="C18" s="21" t="s">
        <v>236</v>
      </c>
      <c r="D18" s="21" t="s">
        <v>237</v>
      </c>
      <c r="E18" s="21" t="s">
        <v>64</v>
      </c>
      <c r="F18" s="21" t="s">
        <v>64</v>
      </c>
      <c r="G18" s="21" t="s">
        <v>238</v>
      </c>
      <c r="H18" s="22" t="s">
        <v>63</v>
      </c>
      <c r="I18" s="23">
        <v>9</v>
      </c>
      <c r="J18" s="22" t="s">
        <v>3</v>
      </c>
      <c r="K18" s="23" t="s">
        <v>239</v>
      </c>
    </row>
    <row r="19" spans="1:11" ht="25.5">
      <c r="A19" s="20">
        <v>18</v>
      </c>
      <c r="B19" s="21" t="s">
        <v>67</v>
      </c>
      <c r="C19" s="21" t="s">
        <v>240</v>
      </c>
      <c r="D19" s="21" t="s">
        <v>241</v>
      </c>
      <c r="E19" s="21" t="s">
        <v>67</v>
      </c>
      <c r="F19" s="21" t="s">
        <v>67</v>
      </c>
      <c r="G19" s="21" t="s">
        <v>242</v>
      </c>
      <c r="H19" s="22" t="s">
        <v>63</v>
      </c>
      <c r="I19" s="23">
        <v>9</v>
      </c>
      <c r="J19" s="22" t="s">
        <v>31</v>
      </c>
      <c r="K19" s="23" t="s">
        <v>243</v>
      </c>
    </row>
    <row r="20" spans="1:11" ht="25.5">
      <c r="A20" s="20">
        <v>19</v>
      </c>
      <c r="B20" s="21" t="s">
        <v>69</v>
      </c>
      <c r="C20" s="21" t="s">
        <v>69</v>
      </c>
      <c r="D20" s="21" t="s">
        <v>244</v>
      </c>
      <c r="E20" s="21" t="s">
        <v>69</v>
      </c>
      <c r="F20" s="21" t="s">
        <v>69</v>
      </c>
      <c r="G20" s="21" t="s">
        <v>245</v>
      </c>
      <c r="H20" s="22" t="s">
        <v>68</v>
      </c>
      <c r="I20" s="23">
        <v>10</v>
      </c>
      <c r="J20" s="22" t="s">
        <v>3</v>
      </c>
      <c r="K20" s="23" t="s">
        <v>246</v>
      </c>
    </row>
    <row r="21" spans="1:11" ht="25.5">
      <c r="A21" s="20">
        <v>20</v>
      </c>
      <c r="B21" s="21" t="s">
        <v>71</v>
      </c>
      <c r="C21" s="21" t="s">
        <v>247</v>
      </c>
      <c r="D21" s="21" t="s">
        <v>248</v>
      </c>
      <c r="E21" s="21" t="s">
        <v>71</v>
      </c>
      <c r="F21" s="21" t="s">
        <v>71</v>
      </c>
      <c r="G21" s="21" t="s">
        <v>249</v>
      </c>
      <c r="H21" s="22" t="s">
        <v>68</v>
      </c>
      <c r="I21" s="23">
        <v>10</v>
      </c>
      <c r="J21" s="22" t="s">
        <v>31</v>
      </c>
      <c r="K21" s="23" t="s">
        <v>250</v>
      </c>
    </row>
    <row r="22" spans="1:11" ht="25.5">
      <c r="A22" s="20">
        <v>21</v>
      </c>
      <c r="B22" s="21" t="s">
        <v>73</v>
      </c>
      <c r="C22" s="21" t="s">
        <v>251</v>
      </c>
      <c r="D22" s="21" t="s">
        <v>252</v>
      </c>
      <c r="E22" s="21" t="s">
        <v>73</v>
      </c>
      <c r="F22" s="21" t="s">
        <v>73</v>
      </c>
      <c r="G22" s="21" t="s">
        <v>253</v>
      </c>
      <c r="H22" s="22" t="s">
        <v>72</v>
      </c>
      <c r="I22" s="23">
        <v>11</v>
      </c>
      <c r="J22" s="22" t="s">
        <v>3</v>
      </c>
      <c r="K22" s="23" t="s">
        <v>254</v>
      </c>
    </row>
    <row r="23" spans="1:11" ht="25.5">
      <c r="A23" s="20">
        <v>22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2" t="s">
        <v>72</v>
      </c>
      <c r="I23" s="23">
        <v>11</v>
      </c>
      <c r="J23" s="22" t="s">
        <v>31</v>
      </c>
      <c r="K23" s="23" t="s">
        <v>255</v>
      </c>
    </row>
    <row r="24" spans="1:11" ht="25.5">
      <c r="A24" s="20">
        <v>23</v>
      </c>
      <c r="B24" s="21" t="s">
        <v>77</v>
      </c>
      <c r="C24" s="21" t="s">
        <v>77</v>
      </c>
      <c r="D24" s="21" t="s">
        <v>77</v>
      </c>
      <c r="E24" s="21" t="s">
        <v>77</v>
      </c>
      <c r="F24" s="21" t="s">
        <v>256</v>
      </c>
      <c r="G24" s="21" t="s">
        <v>257</v>
      </c>
      <c r="H24" s="22" t="s">
        <v>76</v>
      </c>
      <c r="I24" s="23">
        <v>12</v>
      </c>
      <c r="J24" s="22" t="s">
        <v>3</v>
      </c>
      <c r="K24" s="23" t="s">
        <v>258</v>
      </c>
    </row>
    <row r="25" spans="1:11" ht="25.5">
      <c r="A25" s="20">
        <v>24</v>
      </c>
      <c r="B25" s="21" t="s">
        <v>259</v>
      </c>
      <c r="C25" s="21" t="s">
        <v>260</v>
      </c>
      <c r="D25" s="21" t="s">
        <v>259</v>
      </c>
      <c r="E25" s="21" t="s">
        <v>259</v>
      </c>
      <c r="F25" s="21" t="s">
        <v>261</v>
      </c>
      <c r="G25" s="21" t="s">
        <v>262</v>
      </c>
      <c r="H25" s="22" t="s">
        <v>76</v>
      </c>
      <c r="I25" s="23">
        <v>12</v>
      </c>
      <c r="J25" s="22" t="s">
        <v>31</v>
      </c>
      <c r="K25" s="23" t="s">
        <v>263</v>
      </c>
    </row>
    <row r="26" spans="1:11" ht="25.5">
      <c r="A26" s="20">
        <v>25</v>
      </c>
      <c r="B26" s="21" t="s">
        <v>80</v>
      </c>
      <c r="C26" s="21" t="s">
        <v>80</v>
      </c>
      <c r="D26" s="21" t="s">
        <v>133</v>
      </c>
      <c r="E26" s="21" t="s">
        <v>133</v>
      </c>
      <c r="F26" s="21" t="s">
        <v>133</v>
      </c>
      <c r="G26" s="21" t="s">
        <v>264</v>
      </c>
      <c r="H26" s="22" t="s">
        <v>79</v>
      </c>
      <c r="I26" s="23">
        <v>13</v>
      </c>
      <c r="J26" s="22" t="s">
        <v>3</v>
      </c>
      <c r="K26" s="23" t="s">
        <v>265</v>
      </c>
    </row>
    <row r="27" spans="1:11" ht="25.5">
      <c r="A27" s="20">
        <v>26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2" t="s">
        <v>79</v>
      </c>
      <c r="I27" s="23">
        <v>13</v>
      </c>
      <c r="J27" s="22" t="s">
        <v>31</v>
      </c>
      <c r="K27" s="23" t="s">
        <v>266</v>
      </c>
    </row>
    <row r="28" spans="1:11" ht="25.5">
      <c r="A28" s="20">
        <v>27</v>
      </c>
      <c r="B28" s="21" t="s">
        <v>82</v>
      </c>
      <c r="C28" s="21" t="s">
        <v>267</v>
      </c>
      <c r="D28" s="21" t="s">
        <v>82</v>
      </c>
      <c r="E28" s="21" t="s">
        <v>82</v>
      </c>
      <c r="F28" s="21" t="s">
        <v>82</v>
      </c>
      <c r="G28" s="21" t="s">
        <v>268</v>
      </c>
      <c r="H28" s="22" t="s">
        <v>81</v>
      </c>
      <c r="I28" s="23">
        <v>14</v>
      </c>
      <c r="J28" s="22" t="s">
        <v>3</v>
      </c>
      <c r="K28" s="23" t="s">
        <v>269</v>
      </c>
    </row>
    <row r="29" spans="1:11" ht="25.5">
      <c r="A29" s="20">
        <v>28</v>
      </c>
      <c r="B29" s="21" t="s">
        <v>83</v>
      </c>
      <c r="C29" s="21" t="s">
        <v>270</v>
      </c>
      <c r="D29" s="21" t="s">
        <v>83</v>
      </c>
      <c r="E29" s="21" t="s">
        <v>83</v>
      </c>
      <c r="F29" s="21" t="s">
        <v>83</v>
      </c>
      <c r="G29" s="21" t="s">
        <v>271</v>
      </c>
      <c r="H29" s="22" t="s">
        <v>81</v>
      </c>
      <c r="I29" s="23">
        <v>14</v>
      </c>
      <c r="J29" s="22" t="s">
        <v>31</v>
      </c>
      <c r="K29" s="23" t="s">
        <v>272</v>
      </c>
    </row>
    <row r="30" spans="1:11" ht="25.5">
      <c r="A30" s="20">
        <v>29</v>
      </c>
      <c r="B30" s="21" t="s">
        <v>85</v>
      </c>
      <c r="C30" s="21" t="s">
        <v>273</v>
      </c>
      <c r="D30" s="21" t="s">
        <v>85</v>
      </c>
      <c r="E30" s="21" t="s">
        <v>85</v>
      </c>
      <c r="F30" s="21" t="s">
        <v>85</v>
      </c>
      <c r="G30" s="21" t="s">
        <v>274</v>
      </c>
      <c r="H30" s="22" t="s">
        <v>84</v>
      </c>
      <c r="I30" s="23">
        <v>15</v>
      </c>
      <c r="J30" s="22" t="s">
        <v>3</v>
      </c>
      <c r="K30" s="23" t="s">
        <v>275</v>
      </c>
    </row>
    <row r="31" spans="1:11" ht="25.5">
      <c r="A31" s="20">
        <v>30</v>
      </c>
      <c r="B31" s="21" t="s">
        <v>276</v>
      </c>
      <c r="C31" s="21" t="s">
        <v>277</v>
      </c>
      <c r="D31" s="21" t="s">
        <v>276</v>
      </c>
      <c r="E31" s="21" t="s">
        <v>276</v>
      </c>
      <c r="F31" s="21" t="s">
        <v>276</v>
      </c>
      <c r="G31" s="21" t="s">
        <v>278</v>
      </c>
      <c r="H31" s="22" t="s">
        <v>84</v>
      </c>
      <c r="I31" s="23">
        <v>15</v>
      </c>
      <c r="J31" s="22" t="s">
        <v>31</v>
      </c>
      <c r="K31" s="23" t="s">
        <v>279</v>
      </c>
    </row>
    <row r="32" spans="1:11" ht="25.5">
      <c r="A32" s="20">
        <v>31</v>
      </c>
      <c r="B32" s="21" t="s">
        <v>87</v>
      </c>
      <c r="C32" s="21" t="s">
        <v>87</v>
      </c>
      <c r="D32" s="21" t="s">
        <v>87</v>
      </c>
      <c r="E32" s="21" t="s">
        <v>87</v>
      </c>
      <c r="F32" s="21" t="s">
        <v>87</v>
      </c>
      <c r="G32" s="21" t="s">
        <v>280</v>
      </c>
      <c r="H32" s="22" t="s">
        <v>86</v>
      </c>
      <c r="I32" s="23">
        <v>16</v>
      </c>
      <c r="J32" s="22" t="s">
        <v>3</v>
      </c>
      <c r="K32" s="23" t="s">
        <v>281</v>
      </c>
    </row>
    <row r="33" spans="1:11" ht="25.5">
      <c r="A33" s="20">
        <v>32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2" t="s">
        <v>86</v>
      </c>
      <c r="I33" s="23">
        <v>16</v>
      </c>
      <c r="J33" s="22" t="s">
        <v>31</v>
      </c>
      <c r="K33" s="23" t="s">
        <v>282</v>
      </c>
    </row>
    <row r="34" spans="1:11" ht="25.5">
      <c r="A34" s="20">
        <v>33</v>
      </c>
      <c r="B34" s="21" t="s">
        <v>89</v>
      </c>
      <c r="C34" s="21" t="s">
        <v>89</v>
      </c>
      <c r="D34" s="21" t="s">
        <v>89</v>
      </c>
      <c r="E34" s="21" t="s">
        <v>89</v>
      </c>
      <c r="F34" s="21" t="s">
        <v>89</v>
      </c>
      <c r="G34" s="21" t="s">
        <v>283</v>
      </c>
      <c r="H34" s="22" t="s">
        <v>88</v>
      </c>
      <c r="I34" s="23">
        <v>17</v>
      </c>
      <c r="J34" s="22" t="s">
        <v>3</v>
      </c>
      <c r="K34" s="23" t="s">
        <v>284</v>
      </c>
    </row>
    <row r="35" spans="1:11" ht="25.5">
      <c r="A35" s="20">
        <v>34</v>
      </c>
      <c r="B35" s="21" t="s">
        <v>90</v>
      </c>
      <c r="C35" s="21" t="s">
        <v>285</v>
      </c>
      <c r="D35" s="21" t="s">
        <v>90</v>
      </c>
      <c r="E35" s="21" t="s">
        <v>90</v>
      </c>
      <c r="F35" s="21" t="s">
        <v>90</v>
      </c>
      <c r="G35" s="21" t="s">
        <v>286</v>
      </c>
      <c r="H35" s="22" t="s">
        <v>88</v>
      </c>
      <c r="I35" s="23">
        <v>17</v>
      </c>
      <c r="J35" s="22" t="s">
        <v>31</v>
      </c>
      <c r="K35" s="23" t="s">
        <v>287</v>
      </c>
    </row>
    <row r="36" spans="1:11" ht="25.5">
      <c r="A36" s="20">
        <v>35</v>
      </c>
      <c r="B36" s="21" t="s">
        <v>92</v>
      </c>
      <c r="C36" s="21" t="s">
        <v>288</v>
      </c>
      <c r="D36" s="21" t="s">
        <v>92</v>
      </c>
      <c r="E36" s="21" t="s">
        <v>92</v>
      </c>
      <c r="F36" s="21" t="s">
        <v>92</v>
      </c>
      <c r="G36" s="21" t="s">
        <v>289</v>
      </c>
      <c r="H36" s="22" t="s">
        <v>91</v>
      </c>
      <c r="I36" s="23">
        <v>18</v>
      </c>
      <c r="J36" s="22" t="s">
        <v>3</v>
      </c>
      <c r="K36" s="23" t="s">
        <v>290</v>
      </c>
    </row>
    <row r="37" spans="1:11" ht="25.5">
      <c r="A37" s="20">
        <v>36</v>
      </c>
      <c r="B37" s="21" t="s">
        <v>94</v>
      </c>
      <c r="C37" s="21" t="s">
        <v>291</v>
      </c>
      <c r="D37" s="21" t="s">
        <v>94</v>
      </c>
      <c r="E37" s="21" t="s">
        <v>94</v>
      </c>
      <c r="F37" s="21" t="s">
        <v>94</v>
      </c>
      <c r="G37" s="21" t="s">
        <v>292</v>
      </c>
      <c r="H37" s="22" t="s">
        <v>91</v>
      </c>
      <c r="I37" s="23">
        <v>18</v>
      </c>
      <c r="J37" s="22" t="s">
        <v>31</v>
      </c>
      <c r="K37" s="23" t="s">
        <v>293</v>
      </c>
    </row>
    <row r="38" spans="1:11" ht="25.5">
      <c r="A38" s="20">
        <v>37</v>
      </c>
      <c r="B38" s="21" t="s">
        <v>96</v>
      </c>
      <c r="C38" s="21" t="s">
        <v>96</v>
      </c>
      <c r="D38" s="21" t="s">
        <v>96</v>
      </c>
      <c r="E38" s="21" t="s">
        <v>96</v>
      </c>
      <c r="F38" s="21" t="s">
        <v>96</v>
      </c>
      <c r="G38" s="21" t="s">
        <v>294</v>
      </c>
      <c r="H38" s="22" t="s">
        <v>95</v>
      </c>
      <c r="I38" s="23">
        <v>19</v>
      </c>
      <c r="J38" s="22" t="s">
        <v>3</v>
      </c>
      <c r="K38" s="23" t="s">
        <v>295</v>
      </c>
    </row>
    <row r="39" spans="1:11" ht="25.5">
      <c r="A39" s="20">
        <v>38</v>
      </c>
      <c r="B39" s="21" t="s">
        <v>98</v>
      </c>
      <c r="C39" s="21" t="s">
        <v>296</v>
      </c>
      <c r="D39" s="21" t="s">
        <v>98</v>
      </c>
      <c r="E39" s="21" t="s">
        <v>98</v>
      </c>
      <c r="F39" s="21" t="s">
        <v>98</v>
      </c>
      <c r="G39" s="21" t="s">
        <v>297</v>
      </c>
      <c r="H39" s="22" t="s">
        <v>95</v>
      </c>
      <c r="I39" s="23">
        <v>19</v>
      </c>
      <c r="J39" s="22" t="s">
        <v>31</v>
      </c>
      <c r="K39" s="23" t="s">
        <v>298</v>
      </c>
    </row>
    <row r="40" spans="1:11" ht="25.5">
      <c r="A40" s="20">
        <v>39</v>
      </c>
      <c r="B40" s="21" t="s">
        <v>100</v>
      </c>
      <c r="C40" s="21" t="s">
        <v>100</v>
      </c>
      <c r="D40" s="21" t="s">
        <v>299</v>
      </c>
      <c r="E40" s="21" t="s">
        <v>100</v>
      </c>
      <c r="F40" s="21" t="s">
        <v>100</v>
      </c>
      <c r="G40" s="21" t="s">
        <v>300</v>
      </c>
      <c r="H40" s="22" t="s">
        <v>99</v>
      </c>
      <c r="I40" s="23">
        <v>20</v>
      </c>
      <c r="J40" s="22" t="s">
        <v>3</v>
      </c>
      <c r="K40" s="23" t="s">
        <v>301</v>
      </c>
    </row>
    <row r="41" spans="1:11" ht="25.5">
      <c r="A41" s="20">
        <v>40</v>
      </c>
      <c r="B41" s="21" t="s">
        <v>302</v>
      </c>
      <c r="C41" s="21" t="s">
        <v>303</v>
      </c>
      <c r="D41" s="21" t="s">
        <v>304</v>
      </c>
      <c r="E41" s="21" t="s">
        <v>302</v>
      </c>
      <c r="F41" s="21" t="s">
        <v>302</v>
      </c>
      <c r="G41" s="21" t="s">
        <v>305</v>
      </c>
      <c r="H41" s="22" t="s">
        <v>99</v>
      </c>
      <c r="I41" s="23">
        <v>20</v>
      </c>
      <c r="J41" s="22" t="s">
        <v>31</v>
      </c>
      <c r="K41" s="23" t="s">
        <v>306</v>
      </c>
    </row>
    <row r="42" spans="1:11" ht="25.5">
      <c r="A42" s="20">
        <v>41</v>
      </c>
      <c r="B42" s="21" t="s">
        <v>102</v>
      </c>
      <c r="C42" s="21" t="s">
        <v>307</v>
      </c>
      <c r="D42" s="21" t="s">
        <v>102</v>
      </c>
      <c r="E42" s="21" t="s">
        <v>102</v>
      </c>
      <c r="F42" s="21" t="s">
        <v>102</v>
      </c>
      <c r="G42" s="21" t="s">
        <v>308</v>
      </c>
      <c r="H42" s="22" t="s">
        <v>101</v>
      </c>
      <c r="I42" s="23">
        <v>21</v>
      </c>
      <c r="J42" s="22" t="s">
        <v>3</v>
      </c>
      <c r="K42" s="23" t="s">
        <v>309</v>
      </c>
    </row>
    <row r="43" spans="1:11" ht="25.5">
      <c r="A43" s="20">
        <v>42</v>
      </c>
      <c r="B43" s="21" t="s">
        <v>103</v>
      </c>
      <c r="C43" s="21" t="s">
        <v>310</v>
      </c>
      <c r="D43" s="21" t="s">
        <v>103</v>
      </c>
      <c r="E43" s="21" t="s">
        <v>103</v>
      </c>
      <c r="F43" s="21" t="s">
        <v>103</v>
      </c>
      <c r="G43" s="21" t="s">
        <v>311</v>
      </c>
      <c r="H43" s="22" t="s">
        <v>101</v>
      </c>
      <c r="I43" s="23">
        <v>21</v>
      </c>
      <c r="J43" s="22" t="s">
        <v>31</v>
      </c>
      <c r="K43" s="23" t="s">
        <v>312</v>
      </c>
    </row>
    <row r="44" spans="1:11" ht="25.5">
      <c r="A44" s="20">
        <v>43</v>
      </c>
      <c r="B44" s="21" t="s">
        <v>105</v>
      </c>
      <c r="C44" s="21" t="s">
        <v>105</v>
      </c>
      <c r="D44" s="21" t="s">
        <v>105</v>
      </c>
      <c r="E44" s="21" t="s">
        <v>105</v>
      </c>
      <c r="F44" s="21" t="s">
        <v>105</v>
      </c>
      <c r="G44" s="21" t="s">
        <v>313</v>
      </c>
      <c r="H44" s="22" t="s">
        <v>104</v>
      </c>
      <c r="I44" s="23">
        <v>22</v>
      </c>
      <c r="J44" s="22" t="s">
        <v>3</v>
      </c>
      <c r="K44" s="23" t="s">
        <v>314</v>
      </c>
    </row>
    <row r="45" spans="1:11" ht="25.5">
      <c r="A45" s="20">
        <v>44</v>
      </c>
      <c r="B45" s="21" t="s">
        <v>106</v>
      </c>
      <c r="C45" s="21" t="s">
        <v>315</v>
      </c>
      <c r="D45" s="21" t="s">
        <v>106</v>
      </c>
      <c r="E45" s="21" t="s">
        <v>106</v>
      </c>
      <c r="F45" s="21" t="s">
        <v>106</v>
      </c>
      <c r="G45" s="21" t="s">
        <v>316</v>
      </c>
      <c r="H45" s="22" t="s">
        <v>104</v>
      </c>
      <c r="I45" s="23">
        <v>22</v>
      </c>
      <c r="J45" s="22" t="s">
        <v>31</v>
      </c>
      <c r="K45" s="23" t="s">
        <v>317</v>
      </c>
    </row>
    <row r="46" spans="1:11" ht="25.5">
      <c r="A46" s="20">
        <v>45</v>
      </c>
      <c r="B46" s="21" t="s">
        <v>108</v>
      </c>
      <c r="C46" s="21" t="s">
        <v>108</v>
      </c>
      <c r="D46" s="21" t="s">
        <v>108</v>
      </c>
      <c r="E46" s="21" t="s">
        <v>108</v>
      </c>
      <c r="F46" s="21" t="s">
        <v>318</v>
      </c>
      <c r="G46" s="21" t="s">
        <v>319</v>
      </c>
      <c r="H46" s="22" t="s">
        <v>107</v>
      </c>
      <c r="I46" s="23">
        <v>23</v>
      </c>
      <c r="J46" s="22" t="s">
        <v>3</v>
      </c>
      <c r="K46" s="23" t="s">
        <v>320</v>
      </c>
    </row>
    <row r="47" spans="1:11" ht="25.5">
      <c r="A47" s="20">
        <v>46</v>
      </c>
      <c r="B47" s="21" t="s">
        <v>321</v>
      </c>
      <c r="C47" s="21" t="s">
        <v>322</v>
      </c>
      <c r="D47" s="21" t="s">
        <v>321</v>
      </c>
      <c r="E47" s="21" t="s">
        <v>321</v>
      </c>
      <c r="F47" s="21" t="s">
        <v>323</v>
      </c>
      <c r="G47" s="21" t="s">
        <v>324</v>
      </c>
      <c r="H47" s="22" t="s">
        <v>107</v>
      </c>
      <c r="I47" s="23">
        <v>23</v>
      </c>
      <c r="J47" s="22" t="s">
        <v>31</v>
      </c>
      <c r="K47" s="23" t="s">
        <v>325</v>
      </c>
    </row>
    <row r="48" spans="1:11" ht="25.5">
      <c r="A48" s="20">
        <v>47</v>
      </c>
      <c r="B48" s="21" t="s">
        <v>110</v>
      </c>
      <c r="C48" s="21" t="s">
        <v>110</v>
      </c>
      <c r="D48" s="21" t="s">
        <v>110</v>
      </c>
      <c r="E48" s="21" t="s">
        <v>110</v>
      </c>
      <c r="F48" s="21" t="s">
        <v>110</v>
      </c>
      <c r="G48" s="21" t="s">
        <v>326</v>
      </c>
      <c r="H48" s="22" t="s">
        <v>50</v>
      </c>
      <c r="I48" s="23">
        <v>24</v>
      </c>
      <c r="J48" s="22" t="s">
        <v>3</v>
      </c>
      <c r="K48" s="23" t="s">
        <v>327</v>
      </c>
    </row>
    <row r="49" spans="1:11" ht="25.5">
      <c r="A49" s="20">
        <v>48</v>
      </c>
      <c r="B49" s="21" t="s">
        <v>328</v>
      </c>
      <c r="C49" s="21" t="s">
        <v>329</v>
      </c>
      <c r="D49" s="21" t="s">
        <v>328</v>
      </c>
      <c r="E49" s="21" t="s">
        <v>328</v>
      </c>
      <c r="F49" s="21" t="s">
        <v>328</v>
      </c>
      <c r="G49" s="21" t="s">
        <v>330</v>
      </c>
      <c r="H49" s="22" t="s">
        <v>50</v>
      </c>
      <c r="I49" s="23">
        <v>24</v>
      </c>
      <c r="J49" s="22" t="s">
        <v>31</v>
      </c>
      <c r="K49" s="23" t="s">
        <v>331</v>
      </c>
    </row>
    <row r="50" spans="1:11" ht="25.5">
      <c r="A50" s="20">
        <v>49</v>
      </c>
      <c r="B50" s="21" t="s">
        <v>113</v>
      </c>
      <c r="C50" s="21" t="s">
        <v>113</v>
      </c>
      <c r="D50" s="21" t="s">
        <v>332</v>
      </c>
      <c r="E50" s="21" t="s">
        <v>113</v>
      </c>
      <c r="F50" s="21" t="s">
        <v>113</v>
      </c>
      <c r="G50" s="21" t="s">
        <v>333</v>
      </c>
      <c r="H50" s="22" t="s">
        <v>112</v>
      </c>
      <c r="I50" s="23">
        <v>25</v>
      </c>
      <c r="J50" s="22" t="s">
        <v>3</v>
      </c>
      <c r="K50" s="23" t="s">
        <v>334</v>
      </c>
    </row>
    <row r="51" spans="1:11" ht="25.5">
      <c r="A51" s="20">
        <v>50</v>
      </c>
      <c r="B51" s="21" t="s">
        <v>335</v>
      </c>
      <c r="C51" s="21" t="s">
        <v>336</v>
      </c>
      <c r="D51" s="21" t="s">
        <v>337</v>
      </c>
      <c r="E51" s="21" t="s">
        <v>335</v>
      </c>
      <c r="F51" s="21" t="s">
        <v>335</v>
      </c>
      <c r="G51" s="21" t="s">
        <v>338</v>
      </c>
      <c r="H51" s="22" t="s">
        <v>112</v>
      </c>
      <c r="I51" s="23">
        <v>25</v>
      </c>
      <c r="J51" s="22" t="s">
        <v>31</v>
      </c>
      <c r="K51" s="23" t="s">
        <v>339</v>
      </c>
    </row>
    <row r="52" spans="1:11" ht="25.5">
      <c r="A52" s="20">
        <v>51</v>
      </c>
      <c r="B52" s="21" t="s">
        <v>114</v>
      </c>
      <c r="C52" s="21" t="s">
        <v>340</v>
      </c>
      <c r="D52" s="21" t="s">
        <v>341</v>
      </c>
      <c r="E52" s="21" t="s">
        <v>114</v>
      </c>
      <c r="F52" s="21" t="s">
        <v>342</v>
      </c>
      <c r="G52" s="21" t="s">
        <v>343</v>
      </c>
      <c r="H52" s="22" t="s">
        <v>97</v>
      </c>
      <c r="I52" s="23">
        <v>26</v>
      </c>
      <c r="J52" s="22" t="s">
        <v>3</v>
      </c>
      <c r="K52" s="23" t="s">
        <v>344</v>
      </c>
    </row>
    <row r="53" spans="1:11" ht="25.5">
      <c r="A53" s="20">
        <v>52</v>
      </c>
      <c r="B53" s="21" t="s">
        <v>345</v>
      </c>
      <c r="C53" s="21" t="s">
        <v>346</v>
      </c>
      <c r="D53" s="21" t="s">
        <v>347</v>
      </c>
      <c r="E53" s="21" t="s">
        <v>348</v>
      </c>
      <c r="F53" s="21" t="s">
        <v>349</v>
      </c>
      <c r="G53" s="21" t="s">
        <v>350</v>
      </c>
      <c r="H53" s="22" t="s">
        <v>97</v>
      </c>
      <c r="I53" s="23">
        <v>26</v>
      </c>
      <c r="J53" s="22" t="s">
        <v>31</v>
      </c>
      <c r="K53" s="23" t="s">
        <v>351</v>
      </c>
    </row>
    <row r="54" spans="1:11" ht="25.5">
      <c r="A54" s="20">
        <v>53</v>
      </c>
      <c r="B54" s="21" t="s">
        <v>120</v>
      </c>
      <c r="C54" s="21" t="s">
        <v>120</v>
      </c>
      <c r="D54" s="21" t="s">
        <v>120</v>
      </c>
      <c r="E54" s="21" t="s">
        <v>120</v>
      </c>
      <c r="F54" s="21" t="s">
        <v>120</v>
      </c>
      <c r="G54" s="21" t="s">
        <v>352</v>
      </c>
      <c r="H54" s="22" t="s">
        <v>119</v>
      </c>
      <c r="I54" s="23">
        <v>27</v>
      </c>
      <c r="J54" s="22" t="s">
        <v>3</v>
      </c>
      <c r="K54" s="23" t="s">
        <v>353</v>
      </c>
    </row>
    <row r="55" spans="1:11" ht="25.5">
      <c r="A55" s="20">
        <v>54</v>
      </c>
      <c r="B55" s="21" t="s">
        <v>354</v>
      </c>
      <c r="C55" s="21" t="s">
        <v>355</v>
      </c>
      <c r="D55" s="21" t="s">
        <v>354</v>
      </c>
      <c r="E55" s="21" t="s">
        <v>354</v>
      </c>
      <c r="F55" s="21" t="s">
        <v>354</v>
      </c>
      <c r="G55" s="21" t="s">
        <v>356</v>
      </c>
      <c r="H55" s="22" t="s">
        <v>119</v>
      </c>
      <c r="I55" s="23">
        <v>27</v>
      </c>
      <c r="J55" s="22" t="s">
        <v>31</v>
      </c>
      <c r="K55" s="23" t="s">
        <v>357</v>
      </c>
    </row>
    <row r="56" spans="1:11" ht="25.5">
      <c r="A56" s="20">
        <v>55</v>
      </c>
      <c r="B56" s="21" t="s">
        <v>121</v>
      </c>
      <c r="C56" s="21" t="s">
        <v>121</v>
      </c>
      <c r="D56" s="21" t="s">
        <v>121</v>
      </c>
      <c r="E56" s="21" t="s">
        <v>121</v>
      </c>
      <c r="F56" s="21" t="s">
        <v>121</v>
      </c>
      <c r="G56" s="21" t="s">
        <v>358</v>
      </c>
      <c r="H56" s="22" t="s">
        <v>109</v>
      </c>
      <c r="I56" s="23">
        <v>28</v>
      </c>
      <c r="J56" s="22" t="s">
        <v>3</v>
      </c>
      <c r="K56" s="23" t="s">
        <v>359</v>
      </c>
    </row>
    <row r="57" spans="1:11" ht="25.5">
      <c r="A57" s="20">
        <v>56</v>
      </c>
      <c r="B57" s="21" t="s">
        <v>360</v>
      </c>
      <c r="C57" s="21" t="s">
        <v>361</v>
      </c>
      <c r="D57" s="21" t="s">
        <v>360</v>
      </c>
      <c r="E57" s="21" t="s">
        <v>360</v>
      </c>
      <c r="F57" s="21" t="s">
        <v>360</v>
      </c>
      <c r="G57" s="21" t="s">
        <v>362</v>
      </c>
      <c r="H57" s="22" t="s">
        <v>109</v>
      </c>
      <c r="I57" s="23">
        <v>28</v>
      </c>
      <c r="J57" s="22" t="s">
        <v>31</v>
      </c>
      <c r="K57" s="23" t="s">
        <v>363</v>
      </c>
    </row>
    <row r="58" spans="1:11" ht="25.5">
      <c r="A58" s="20">
        <v>57</v>
      </c>
      <c r="B58" s="21" t="s">
        <v>123</v>
      </c>
      <c r="C58" s="21" t="s">
        <v>123</v>
      </c>
      <c r="D58" s="21" t="s">
        <v>123</v>
      </c>
      <c r="E58" s="21" t="s">
        <v>123</v>
      </c>
      <c r="F58" s="21" t="s">
        <v>123</v>
      </c>
      <c r="G58" s="21" t="s">
        <v>364</v>
      </c>
      <c r="H58" s="22" t="s">
        <v>122</v>
      </c>
      <c r="I58" s="23">
        <v>29</v>
      </c>
      <c r="J58" s="22" t="s">
        <v>3</v>
      </c>
      <c r="K58" s="23" t="s">
        <v>365</v>
      </c>
    </row>
    <row r="59" spans="1:11" ht="25.5">
      <c r="A59" s="20">
        <v>58</v>
      </c>
      <c r="B59" s="21" t="s">
        <v>366</v>
      </c>
      <c r="C59" s="21" t="s">
        <v>367</v>
      </c>
      <c r="D59" s="21" t="s">
        <v>366</v>
      </c>
      <c r="E59" s="21" t="s">
        <v>366</v>
      </c>
      <c r="F59" s="21" t="s">
        <v>366</v>
      </c>
      <c r="G59" s="21" t="s">
        <v>368</v>
      </c>
      <c r="H59" s="22" t="s">
        <v>122</v>
      </c>
      <c r="I59" s="23">
        <v>29</v>
      </c>
      <c r="J59" s="22" t="s">
        <v>31</v>
      </c>
      <c r="K59" s="23" t="s">
        <v>369</v>
      </c>
    </row>
    <row r="60" spans="1:11" ht="25.5">
      <c r="A60" s="20">
        <v>59</v>
      </c>
      <c r="B60" s="21" t="s">
        <v>125</v>
      </c>
      <c r="C60" s="21" t="s">
        <v>125</v>
      </c>
      <c r="D60" s="21" t="s">
        <v>125</v>
      </c>
      <c r="E60" s="21" t="s">
        <v>125</v>
      </c>
      <c r="F60" s="21" t="s">
        <v>125</v>
      </c>
      <c r="G60" s="21" t="s">
        <v>370</v>
      </c>
      <c r="H60" s="22" t="s">
        <v>41</v>
      </c>
      <c r="I60" s="23">
        <v>30</v>
      </c>
      <c r="J60" s="22" t="s">
        <v>3</v>
      </c>
      <c r="K60" s="23" t="s">
        <v>371</v>
      </c>
    </row>
    <row r="61" spans="1:11" ht="25.5">
      <c r="A61" s="20">
        <v>60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2" t="s">
        <v>41</v>
      </c>
      <c r="I61" s="23">
        <v>30</v>
      </c>
      <c r="J61" s="22" t="s">
        <v>31</v>
      </c>
      <c r="K61" s="23" t="s">
        <v>372</v>
      </c>
    </row>
    <row r="62" spans="1:11" ht="25.5">
      <c r="A62" s="20">
        <v>61</v>
      </c>
      <c r="B62" s="21" t="s">
        <v>373</v>
      </c>
      <c r="C62" s="21" t="s">
        <v>374</v>
      </c>
      <c r="D62" s="21" t="s">
        <v>375</v>
      </c>
      <c r="E62" s="21" t="s">
        <v>373</v>
      </c>
      <c r="F62" s="21" t="s">
        <v>376</v>
      </c>
      <c r="G62" s="21" t="s">
        <v>377</v>
      </c>
      <c r="H62" s="22" t="s">
        <v>65</v>
      </c>
      <c r="I62" s="23">
        <v>31</v>
      </c>
      <c r="J62" s="22" t="s">
        <v>3</v>
      </c>
      <c r="K62" s="23" t="s">
        <v>378</v>
      </c>
    </row>
    <row r="63" spans="1:11" ht="25.5">
      <c r="A63" s="20">
        <v>62</v>
      </c>
      <c r="B63" s="21" t="s">
        <v>379</v>
      </c>
      <c r="C63" s="21" t="s">
        <v>380</v>
      </c>
      <c r="D63" s="21" t="s">
        <v>381</v>
      </c>
      <c r="E63" s="21" t="s">
        <v>382</v>
      </c>
      <c r="F63" s="21" t="s">
        <v>383</v>
      </c>
      <c r="G63" s="21" t="s">
        <v>384</v>
      </c>
      <c r="H63" s="22" t="s">
        <v>65</v>
      </c>
      <c r="I63" s="23">
        <v>31</v>
      </c>
      <c r="J63" s="22" t="s">
        <v>31</v>
      </c>
      <c r="K63" s="23" t="s">
        <v>385</v>
      </c>
    </row>
    <row r="64" spans="1:11" ht="25.5">
      <c r="A64" s="20">
        <v>63</v>
      </c>
      <c r="B64" s="21" t="s">
        <v>386</v>
      </c>
      <c r="C64" s="21" t="s">
        <v>387</v>
      </c>
      <c r="D64" s="21" t="s">
        <v>388</v>
      </c>
      <c r="E64" s="21" t="s">
        <v>386</v>
      </c>
      <c r="F64" s="21" t="s">
        <v>389</v>
      </c>
      <c r="G64" s="21" t="s">
        <v>390</v>
      </c>
      <c r="H64" s="22" t="s">
        <v>10</v>
      </c>
      <c r="I64" s="23">
        <v>32</v>
      </c>
      <c r="J64" s="22" t="s">
        <v>3</v>
      </c>
      <c r="K64" s="23" t="s">
        <v>391</v>
      </c>
    </row>
    <row r="65" spans="1:11" ht="25.5">
      <c r="A65" s="20">
        <v>64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2" t="s">
        <v>10</v>
      </c>
      <c r="I65" s="23">
        <v>32</v>
      </c>
      <c r="J65" s="22" t="s">
        <v>31</v>
      </c>
      <c r="K65" s="23" t="s">
        <v>392</v>
      </c>
    </row>
    <row r="66" spans="1:11" ht="25.5">
      <c r="A66" s="20">
        <v>65</v>
      </c>
      <c r="B66" s="21" t="s">
        <v>393</v>
      </c>
      <c r="C66" s="21" t="s">
        <v>394</v>
      </c>
      <c r="D66" s="21" t="s">
        <v>393</v>
      </c>
      <c r="E66" s="21" t="s">
        <v>393</v>
      </c>
      <c r="F66" s="21" t="s">
        <v>393</v>
      </c>
      <c r="G66" s="21" t="s">
        <v>395</v>
      </c>
      <c r="H66" s="22" t="s">
        <v>49</v>
      </c>
      <c r="I66" s="23">
        <v>33</v>
      </c>
      <c r="J66" s="22" t="s">
        <v>3</v>
      </c>
      <c r="K66" s="23" t="s">
        <v>396</v>
      </c>
    </row>
    <row r="67" spans="1:11" ht="25.5">
      <c r="A67" s="20">
        <v>66</v>
      </c>
      <c r="B67" s="21" t="s">
        <v>397</v>
      </c>
      <c r="C67" s="21" t="s">
        <v>398</v>
      </c>
      <c r="D67" s="21" t="s">
        <v>397</v>
      </c>
      <c r="E67" s="21" t="s">
        <v>397</v>
      </c>
      <c r="F67" s="21" t="s">
        <v>397</v>
      </c>
      <c r="G67" s="21" t="s">
        <v>399</v>
      </c>
      <c r="H67" s="22" t="s">
        <v>49</v>
      </c>
      <c r="I67" s="23">
        <v>33</v>
      </c>
      <c r="J67" s="22" t="s">
        <v>31</v>
      </c>
      <c r="K67" s="23" t="s">
        <v>400</v>
      </c>
    </row>
    <row r="68" spans="1:11" ht="25.5">
      <c r="A68" s="20">
        <v>67</v>
      </c>
      <c r="B68" s="21" t="s">
        <v>126</v>
      </c>
      <c r="C68" s="21" t="s">
        <v>401</v>
      </c>
      <c r="D68" s="21" t="s">
        <v>402</v>
      </c>
      <c r="E68" s="21" t="s">
        <v>126</v>
      </c>
      <c r="F68" s="21" t="s">
        <v>403</v>
      </c>
      <c r="G68" s="21" t="s">
        <v>404</v>
      </c>
      <c r="H68" s="22" t="s">
        <v>131</v>
      </c>
      <c r="I68" s="23">
        <v>34</v>
      </c>
      <c r="J68" s="22" t="s">
        <v>3</v>
      </c>
      <c r="K68" s="23" t="s">
        <v>405</v>
      </c>
    </row>
    <row r="69" spans="1:11" ht="25.5">
      <c r="A69" s="20">
        <v>68</v>
      </c>
      <c r="B69" s="21" t="s">
        <v>406</v>
      </c>
      <c r="C69" s="21" t="s">
        <v>407</v>
      </c>
      <c r="D69" s="21" t="s">
        <v>408</v>
      </c>
      <c r="E69" s="21" t="s">
        <v>409</v>
      </c>
      <c r="F69" s="21" t="s">
        <v>410</v>
      </c>
      <c r="G69" s="21" t="s">
        <v>411</v>
      </c>
      <c r="H69" s="22" t="s">
        <v>131</v>
      </c>
      <c r="I69" s="23">
        <v>34</v>
      </c>
      <c r="J69" s="22" t="s">
        <v>31</v>
      </c>
      <c r="K69" s="23" t="s">
        <v>412</v>
      </c>
    </row>
    <row r="70" spans="1:11" ht="25.5">
      <c r="A70" s="20">
        <v>69</v>
      </c>
      <c r="B70" s="21" t="s">
        <v>413</v>
      </c>
      <c r="C70" s="21" t="s">
        <v>414</v>
      </c>
      <c r="D70" s="21" t="s">
        <v>415</v>
      </c>
      <c r="E70" s="21" t="s">
        <v>413</v>
      </c>
      <c r="F70" s="21" t="s">
        <v>416</v>
      </c>
      <c r="G70" s="21" t="s">
        <v>417</v>
      </c>
      <c r="H70" s="22" t="s">
        <v>93</v>
      </c>
      <c r="I70" s="23">
        <v>35</v>
      </c>
      <c r="J70" s="22" t="s">
        <v>3</v>
      </c>
      <c r="K70" s="23" t="s">
        <v>418</v>
      </c>
    </row>
    <row r="71" spans="1:11" ht="25.5">
      <c r="A71" s="20">
        <v>70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2" t="s">
        <v>93</v>
      </c>
      <c r="I71" s="23">
        <v>35</v>
      </c>
      <c r="J71" s="22" t="s">
        <v>31</v>
      </c>
      <c r="K71" s="23" t="s">
        <v>419</v>
      </c>
    </row>
    <row r="72" spans="1:11" ht="25.5">
      <c r="A72" s="20">
        <v>71</v>
      </c>
      <c r="B72" s="21" t="s">
        <v>132</v>
      </c>
      <c r="C72" s="21" t="s">
        <v>420</v>
      </c>
      <c r="D72" s="21" t="s">
        <v>421</v>
      </c>
      <c r="E72" s="21" t="s">
        <v>422</v>
      </c>
      <c r="F72" s="21" t="s">
        <v>423</v>
      </c>
      <c r="G72" s="21" t="s">
        <v>424</v>
      </c>
      <c r="H72" s="22" t="s">
        <v>66</v>
      </c>
      <c r="I72" s="23">
        <v>36</v>
      </c>
      <c r="J72" s="22" t="s">
        <v>3</v>
      </c>
      <c r="K72" s="23" t="s">
        <v>425</v>
      </c>
    </row>
    <row r="73" spans="1:11" ht="25.5">
      <c r="A73" s="20">
        <v>72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66</v>
      </c>
      <c r="I73" s="23">
        <v>36</v>
      </c>
      <c r="J73" s="22" t="s">
        <v>31</v>
      </c>
      <c r="K73" s="23" t="s">
        <v>426</v>
      </c>
    </row>
    <row r="74" spans="1:11" ht="25.5">
      <c r="A74" s="20">
        <v>73</v>
      </c>
      <c r="B74" s="21" t="s">
        <v>127</v>
      </c>
      <c r="C74" s="21" t="s">
        <v>427</v>
      </c>
      <c r="D74" s="21" t="s">
        <v>428</v>
      </c>
      <c r="E74" s="21" t="s">
        <v>127</v>
      </c>
      <c r="F74" s="21" t="s">
        <v>429</v>
      </c>
      <c r="G74" s="21" t="s">
        <v>430</v>
      </c>
      <c r="H74" s="22" t="s">
        <v>70</v>
      </c>
      <c r="I74" s="23">
        <v>37</v>
      </c>
      <c r="J74" s="22" t="s">
        <v>3</v>
      </c>
      <c r="K74" s="23" t="s">
        <v>431</v>
      </c>
    </row>
    <row r="75" spans="1:11" ht="25.5">
      <c r="A75" s="20">
        <v>74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2" t="s">
        <v>70</v>
      </c>
      <c r="I75" s="23">
        <v>37</v>
      </c>
      <c r="J75" s="22" t="s">
        <v>31</v>
      </c>
      <c r="K75" s="23" t="s">
        <v>432</v>
      </c>
    </row>
    <row r="76" spans="1:11" ht="25.5">
      <c r="A76" s="20">
        <v>75</v>
      </c>
      <c r="B76" s="21" t="s">
        <v>130</v>
      </c>
      <c r="C76" s="21" t="s">
        <v>433</v>
      </c>
      <c r="D76" s="21" t="s">
        <v>130</v>
      </c>
      <c r="E76" s="21" t="s">
        <v>130</v>
      </c>
      <c r="F76" s="21" t="s">
        <v>130</v>
      </c>
      <c r="G76" s="21" t="s">
        <v>434</v>
      </c>
      <c r="H76" s="22" t="s">
        <v>59</v>
      </c>
      <c r="I76" s="23">
        <v>38</v>
      </c>
      <c r="J76" s="22" t="s">
        <v>3</v>
      </c>
      <c r="K76" s="23" t="s">
        <v>435</v>
      </c>
    </row>
    <row r="77" spans="1:11" ht="25.5">
      <c r="A77" s="20">
        <v>76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2" t="s">
        <v>59</v>
      </c>
      <c r="I77" s="23">
        <v>38</v>
      </c>
      <c r="J77" s="22" t="s">
        <v>31</v>
      </c>
      <c r="K77" s="23" t="s">
        <v>436</v>
      </c>
    </row>
    <row r="78" spans="1:11" ht="25.5">
      <c r="A78" s="20">
        <v>77</v>
      </c>
      <c r="B78" s="21" t="s">
        <v>133</v>
      </c>
      <c r="C78" s="21" t="s">
        <v>133</v>
      </c>
      <c r="D78" s="21" t="s">
        <v>133</v>
      </c>
      <c r="E78" s="21" t="s">
        <v>133</v>
      </c>
      <c r="F78" s="21" t="s">
        <v>133</v>
      </c>
      <c r="G78" s="21" t="s">
        <v>264</v>
      </c>
      <c r="H78" s="22" t="s">
        <v>111</v>
      </c>
      <c r="I78" s="23">
        <v>39</v>
      </c>
      <c r="J78" s="22" t="s">
        <v>3</v>
      </c>
      <c r="K78" s="23" t="s">
        <v>437</v>
      </c>
    </row>
    <row r="79" spans="1:11" ht="25.5">
      <c r="A79" s="20">
        <v>78</v>
      </c>
      <c r="B79" s="21" t="s">
        <v>438</v>
      </c>
      <c r="C79" s="21" t="s">
        <v>439</v>
      </c>
      <c r="D79" s="21" t="s">
        <v>438</v>
      </c>
      <c r="E79" s="21" t="s">
        <v>438</v>
      </c>
      <c r="F79" s="21" t="s">
        <v>438</v>
      </c>
      <c r="G79" s="21" t="s">
        <v>440</v>
      </c>
      <c r="H79" s="22" t="s">
        <v>111</v>
      </c>
      <c r="I79" s="23">
        <v>39</v>
      </c>
      <c r="J79" s="22" t="s">
        <v>31</v>
      </c>
      <c r="K79" s="23" t="s">
        <v>441</v>
      </c>
    </row>
    <row r="80" spans="1:11" ht="25.5">
      <c r="A80" s="20">
        <v>79</v>
      </c>
      <c r="B80" s="21" t="s">
        <v>128</v>
      </c>
      <c r="C80" s="21" t="s">
        <v>442</v>
      </c>
      <c r="D80" s="21" t="s">
        <v>443</v>
      </c>
      <c r="E80" s="21" t="s">
        <v>128</v>
      </c>
      <c r="F80" s="21" t="s">
        <v>444</v>
      </c>
      <c r="G80" s="21" t="s">
        <v>445</v>
      </c>
      <c r="H80" s="22" t="s">
        <v>53</v>
      </c>
      <c r="I80" s="23">
        <v>40</v>
      </c>
      <c r="J80" s="22" t="s">
        <v>3</v>
      </c>
      <c r="K80" s="23" t="s">
        <v>446</v>
      </c>
    </row>
    <row r="81" spans="1:11" ht="25.5">
      <c r="A81" s="20">
        <v>80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2" t="s">
        <v>53</v>
      </c>
      <c r="I81" s="23">
        <v>40</v>
      </c>
      <c r="J81" s="22" t="s">
        <v>31</v>
      </c>
      <c r="K81" s="23" t="s">
        <v>447</v>
      </c>
    </row>
    <row r="82" spans="1:11" ht="25.5">
      <c r="A82" s="20">
        <v>81</v>
      </c>
      <c r="B82" s="21" t="s">
        <v>134</v>
      </c>
      <c r="C82" s="21" t="s">
        <v>448</v>
      </c>
      <c r="D82" s="21" t="s">
        <v>449</v>
      </c>
      <c r="E82" s="21" t="s">
        <v>142</v>
      </c>
      <c r="F82" s="21" t="s">
        <v>450</v>
      </c>
      <c r="G82" s="21" t="s">
        <v>451</v>
      </c>
      <c r="H82" s="22" t="s">
        <v>74</v>
      </c>
      <c r="I82" s="23">
        <v>41</v>
      </c>
      <c r="J82" s="22" t="s">
        <v>3</v>
      </c>
      <c r="K82" s="23" t="s">
        <v>452</v>
      </c>
    </row>
    <row r="83" spans="1:11" ht="25.5">
      <c r="A83" s="20">
        <v>82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2" t="s">
        <v>74</v>
      </c>
      <c r="I83" s="23">
        <v>41</v>
      </c>
      <c r="J83" s="22" t="s">
        <v>31</v>
      </c>
      <c r="K83" s="23" t="s">
        <v>453</v>
      </c>
    </row>
    <row r="84" spans="1:11" ht="25.5">
      <c r="A84" s="20">
        <v>83</v>
      </c>
      <c r="B84" s="21" t="s">
        <v>118</v>
      </c>
      <c r="C84" s="21" t="s">
        <v>454</v>
      </c>
      <c r="D84" s="21" t="s">
        <v>118</v>
      </c>
      <c r="E84" s="21" t="s">
        <v>118</v>
      </c>
      <c r="F84" s="21" t="s">
        <v>118</v>
      </c>
      <c r="G84" s="21" t="s">
        <v>455</v>
      </c>
      <c r="H84" s="22" t="s">
        <v>75</v>
      </c>
      <c r="I84" s="23">
        <v>42</v>
      </c>
      <c r="J84" s="22" t="s">
        <v>3</v>
      </c>
      <c r="K84" s="23" t="s">
        <v>456</v>
      </c>
    </row>
    <row r="85" spans="1:11" ht="25.5">
      <c r="A85" s="20">
        <v>84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2" t="s">
        <v>75</v>
      </c>
      <c r="I85" s="23">
        <v>42</v>
      </c>
      <c r="J85" s="22" t="s">
        <v>31</v>
      </c>
      <c r="K85" s="23" t="s">
        <v>457</v>
      </c>
    </row>
    <row r="86" spans="1:11" ht="25.5">
      <c r="A86" s="20">
        <v>85</v>
      </c>
      <c r="B86" s="21" t="s">
        <v>458</v>
      </c>
      <c r="C86" s="21" t="s">
        <v>459</v>
      </c>
      <c r="D86" s="21" t="s">
        <v>460</v>
      </c>
      <c r="E86" s="21" t="s">
        <v>458</v>
      </c>
      <c r="F86" s="21" t="s">
        <v>458</v>
      </c>
      <c r="G86" s="21" t="s">
        <v>461</v>
      </c>
      <c r="H86" s="22" t="s">
        <v>57</v>
      </c>
      <c r="I86" s="23">
        <v>43</v>
      </c>
      <c r="J86" s="22" t="s">
        <v>3</v>
      </c>
      <c r="K86" s="23" t="s">
        <v>462</v>
      </c>
    </row>
    <row r="87" spans="1:11" ht="25.5">
      <c r="A87" s="20">
        <v>86</v>
      </c>
      <c r="B87" s="21" t="s">
        <v>463</v>
      </c>
      <c r="C87" s="21" t="s">
        <v>464</v>
      </c>
      <c r="D87" s="21" t="s">
        <v>465</v>
      </c>
      <c r="E87" s="21" t="s">
        <v>463</v>
      </c>
      <c r="F87" s="21" t="s">
        <v>463</v>
      </c>
      <c r="G87" s="21" t="s">
        <v>466</v>
      </c>
      <c r="H87" s="22" t="s">
        <v>57</v>
      </c>
      <c r="I87" s="23">
        <v>43</v>
      </c>
      <c r="J87" s="22" t="s">
        <v>31</v>
      </c>
      <c r="K87" s="23" t="s">
        <v>467</v>
      </c>
    </row>
    <row r="88" spans="1:11" ht="25.5">
      <c r="A88" s="20">
        <v>87</v>
      </c>
      <c r="B88" s="21" t="s">
        <v>468</v>
      </c>
      <c r="C88" s="21" t="s">
        <v>469</v>
      </c>
      <c r="D88" s="21" t="s">
        <v>470</v>
      </c>
      <c r="E88" s="21" t="s">
        <v>468</v>
      </c>
      <c r="F88" s="21" t="s">
        <v>471</v>
      </c>
      <c r="G88" s="21" t="s">
        <v>472</v>
      </c>
      <c r="H88" s="22" t="s">
        <v>473</v>
      </c>
      <c r="I88" s="23">
        <v>44</v>
      </c>
      <c r="J88" s="22" t="s">
        <v>3</v>
      </c>
      <c r="K88" s="23" t="s">
        <v>474</v>
      </c>
    </row>
    <row r="89" spans="1:11" ht="25.5">
      <c r="A89" s="20">
        <v>88</v>
      </c>
      <c r="B89" s="21" t="s">
        <v>475</v>
      </c>
      <c r="C89" s="21" t="s">
        <v>476</v>
      </c>
      <c r="D89" s="21" t="s">
        <v>477</v>
      </c>
      <c r="E89" s="21" t="s">
        <v>478</v>
      </c>
      <c r="F89" s="21" t="s">
        <v>479</v>
      </c>
      <c r="G89" s="21" t="s">
        <v>480</v>
      </c>
      <c r="H89" s="22" t="s">
        <v>473</v>
      </c>
      <c r="I89" s="23">
        <v>44</v>
      </c>
      <c r="J89" s="22" t="s">
        <v>31</v>
      </c>
      <c r="K89" s="23" t="s">
        <v>481</v>
      </c>
    </row>
    <row r="90" spans="1:11" ht="25.5">
      <c r="A90" s="20">
        <v>89</v>
      </c>
      <c r="B90" s="21" t="s">
        <v>137</v>
      </c>
      <c r="C90" s="21" t="s">
        <v>482</v>
      </c>
      <c r="D90" s="21" t="s">
        <v>483</v>
      </c>
      <c r="E90" s="21" t="s">
        <v>137</v>
      </c>
      <c r="F90" s="21" t="s">
        <v>484</v>
      </c>
      <c r="G90" s="21" t="s">
        <v>485</v>
      </c>
      <c r="H90" s="22" t="s">
        <v>124</v>
      </c>
      <c r="I90" s="23">
        <v>45</v>
      </c>
      <c r="J90" s="22" t="s">
        <v>3</v>
      </c>
      <c r="K90" s="23" t="s">
        <v>486</v>
      </c>
    </row>
    <row r="91" spans="1:11" ht="25.5">
      <c r="A91" s="20">
        <v>90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2" t="s">
        <v>124</v>
      </c>
      <c r="I91" s="23">
        <v>45</v>
      </c>
      <c r="J91" s="22" t="s">
        <v>31</v>
      </c>
      <c r="K91" s="23" t="s">
        <v>487</v>
      </c>
    </row>
    <row r="92" spans="1:11" ht="25.5">
      <c r="A92" s="20">
        <v>91</v>
      </c>
      <c r="B92" s="21" t="s">
        <v>135</v>
      </c>
      <c r="C92" s="21" t="s">
        <v>488</v>
      </c>
      <c r="D92" s="21" t="s">
        <v>489</v>
      </c>
      <c r="E92" s="21" t="s">
        <v>135</v>
      </c>
      <c r="F92" s="21" t="s">
        <v>490</v>
      </c>
      <c r="G92" s="21" t="s">
        <v>491</v>
      </c>
      <c r="H92" s="22" t="s">
        <v>78</v>
      </c>
      <c r="I92" s="23">
        <v>46</v>
      </c>
      <c r="J92" s="22" t="s">
        <v>3</v>
      </c>
      <c r="K92" s="23" t="s">
        <v>492</v>
      </c>
    </row>
    <row r="93" spans="1:11" ht="25.5">
      <c r="A93" s="20">
        <v>92</v>
      </c>
      <c r="B93" s="21" t="s">
        <v>493</v>
      </c>
      <c r="C93" s="21" t="s">
        <v>494</v>
      </c>
      <c r="D93" s="21" t="s">
        <v>495</v>
      </c>
      <c r="E93" s="21" t="s">
        <v>496</v>
      </c>
      <c r="F93" s="21" t="s">
        <v>497</v>
      </c>
      <c r="G93" s="21" t="s">
        <v>498</v>
      </c>
      <c r="H93" s="22" t="s">
        <v>78</v>
      </c>
      <c r="I93" s="23">
        <v>46</v>
      </c>
      <c r="J93" s="22" t="s">
        <v>31</v>
      </c>
      <c r="K93" s="23" t="s">
        <v>499</v>
      </c>
    </row>
    <row r="94" spans="1:11" ht="25.5">
      <c r="A94" s="20">
        <v>93</v>
      </c>
      <c r="B94" s="21" t="s">
        <v>139</v>
      </c>
      <c r="C94" s="21" t="s">
        <v>500</v>
      </c>
      <c r="D94" s="21" t="s">
        <v>139</v>
      </c>
      <c r="E94" s="21" t="s">
        <v>139</v>
      </c>
      <c r="F94" s="21" t="s">
        <v>139</v>
      </c>
      <c r="G94" s="21" t="s">
        <v>501</v>
      </c>
      <c r="H94" s="22" t="s">
        <v>138</v>
      </c>
      <c r="I94" s="23">
        <v>47</v>
      </c>
      <c r="J94" s="22" t="s">
        <v>3</v>
      </c>
      <c r="K94" s="23" t="s">
        <v>502</v>
      </c>
    </row>
    <row r="95" spans="1:11" ht="25.5">
      <c r="A95" s="20">
        <v>94</v>
      </c>
      <c r="B95" s="21" t="s">
        <v>140</v>
      </c>
      <c r="C95" s="21" t="s">
        <v>503</v>
      </c>
      <c r="D95" s="21" t="s">
        <v>140</v>
      </c>
      <c r="E95" s="21" t="s">
        <v>140</v>
      </c>
      <c r="F95" s="21" t="s">
        <v>140</v>
      </c>
      <c r="G95" s="21" t="s">
        <v>504</v>
      </c>
      <c r="H95" s="22" t="s">
        <v>138</v>
      </c>
      <c r="I95" s="23">
        <v>47</v>
      </c>
      <c r="J95" s="22" t="s">
        <v>31</v>
      </c>
      <c r="K95" s="23" t="s">
        <v>505</v>
      </c>
    </row>
    <row r="96" spans="1:11" ht="25.5">
      <c r="A96" s="20">
        <v>95</v>
      </c>
      <c r="B96" s="21" t="s">
        <v>136</v>
      </c>
      <c r="C96" s="21" t="s">
        <v>506</v>
      </c>
      <c r="D96" s="21" t="s">
        <v>507</v>
      </c>
      <c r="E96" s="21" t="s">
        <v>136</v>
      </c>
      <c r="F96" s="21" t="s">
        <v>508</v>
      </c>
      <c r="G96" s="21" t="s">
        <v>509</v>
      </c>
      <c r="H96" s="22" t="s">
        <v>141</v>
      </c>
      <c r="I96" s="23">
        <v>48</v>
      </c>
      <c r="J96" s="22" t="s">
        <v>3</v>
      </c>
      <c r="K96" s="23" t="s">
        <v>510</v>
      </c>
    </row>
    <row r="97" spans="1:11" ht="25.5">
      <c r="A97" s="20">
        <v>96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2" t="s">
        <v>141</v>
      </c>
      <c r="I97" s="23">
        <v>48</v>
      </c>
      <c r="J97" s="22" t="s">
        <v>31</v>
      </c>
      <c r="K97" s="23" t="s">
        <v>511</v>
      </c>
    </row>
    <row r="98" spans="1:11" ht="25.5">
      <c r="A98" s="20">
        <v>97</v>
      </c>
      <c r="B98" s="21" t="s">
        <v>142</v>
      </c>
      <c r="C98" s="21" t="s">
        <v>512</v>
      </c>
      <c r="D98" s="21" t="s">
        <v>449</v>
      </c>
      <c r="E98" s="21" t="s">
        <v>142</v>
      </c>
      <c r="F98" s="21" t="s">
        <v>450</v>
      </c>
      <c r="G98" s="21" t="s">
        <v>451</v>
      </c>
      <c r="H98" s="22" t="s">
        <v>58</v>
      </c>
      <c r="I98" s="23">
        <v>49</v>
      </c>
      <c r="J98" s="22" t="s">
        <v>3</v>
      </c>
      <c r="K98" s="23" t="s">
        <v>513</v>
      </c>
    </row>
    <row r="99" spans="1:11" ht="25.5">
      <c r="A99" s="20">
        <v>98</v>
      </c>
      <c r="B99" s="21" t="s">
        <v>143</v>
      </c>
      <c r="C99" s="21" t="s">
        <v>514</v>
      </c>
      <c r="D99" s="21" t="s">
        <v>515</v>
      </c>
      <c r="E99" s="21" t="s">
        <v>516</v>
      </c>
      <c r="F99" s="21" t="s">
        <v>517</v>
      </c>
      <c r="G99" s="21" t="s">
        <v>518</v>
      </c>
      <c r="H99" s="22" t="s">
        <v>58</v>
      </c>
      <c r="I99" s="23">
        <v>49</v>
      </c>
      <c r="J99" s="22" t="s">
        <v>31</v>
      </c>
      <c r="K99" s="23" t="s">
        <v>519</v>
      </c>
    </row>
    <row r="100" spans="1:11" ht="25.5">
      <c r="A100" s="20">
        <v>99</v>
      </c>
      <c r="B100" s="21" t="s">
        <v>145</v>
      </c>
      <c r="C100" s="21" t="s">
        <v>520</v>
      </c>
      <c r="D100" s="21" t="s">
        <v>521</v>
      </c>
      <c r="E100" s="21" t="s">
        <v>145</v>
      </c>
      <c r="F100" s="21" t="s">
        <v>522</v>
      </c>
      <c r="G100" s="21" t="s">
        <v>523</v>
      </c>
      <c r="H100" s="22" t="s">
        <v>144</v>
      </c>
      <c r="I100" s="23">
        <v>50</v>
      </c>
      <c r="J100" s="22" t="s">
        <v>3</v>
      </c>
      <c r="K100" s="23" t="s">
        <v>524</v>
      </c>
    </row>
    <row r="101" spans="1:11" ht="25.5">
      <c r="A101" s="28">
        <v>100</v>
      </c>
      <c r="B101" s="29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30" t="s">
        <v>144</v>
      </c>
      <c r="I101" s="31">
        <v>50</v>
      </c>
      <c r="J101" s="30" t="s">
        <v>31</v>
      </c>
      <c r="K101" s="31" t="s">
        <v>525</v>
      </c>
    </row>
  </sheetData>
  <phoneticPr fontId="1" type="noConversion"/>
  <conditionalFormatting sqref="A2:A101">
    <cfRule type="expression" dxfId="5" priority="3">
      <formula>$J2="舒聲"</formula>
    </cfRule>
    <cfRule type="expression" dxfId="4" priority="4">
      <formula>$J2="入聲"</formula>
    </cfRule>
  </conditionalFormatting>
  <conditionalFormatting sqref="B2:K101">
    <cfRule type="expression" dxfId="3" priority="5">
      <formula>$J2="舒聲"</formula>
    </cfRule>
    <cfRule type="expression" dxfId="2" priority="6">
      <formula>$J2="入聲"</formula>
    </cfRule>
  </conditionalFormatting>
  <conditionalFormatting sqref="I2:I101">
    <cfRule type="expression" dxfId="1" priority="1">
      <formula>$J2="舒聲"</formula>
    </cfRule>
    <cfRule type="expression" dxfId="0" priority="2">
      <formula>$J2="入聲"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BD10-FC5C-4694-9260-3BC11096AADB}">
  <dimension ref="A1:Y52"/>
  <sheetViews>
    <sheetView workbookViewId="0">
      <selection activeCell="H27" sqref="H27"/>
    </sheetView>
  </sheetViews>
  <sheetFormatPr defaultRowHeight="25.5" outlineLevelCol="1"/>
  <cols>
    <col min="1" max="1" width="7" style="35" customWidth="1"/>
    <col min="2" max="2" width="9" style="35"/>
    <col min="3" max="3" width="0" style="36" hidden="1" customWidth="1" outlineLevel="1"/>
    <col min="4" max="4" width="9" style="35" collapsed="1"/>
    <col min="5" max="5" width="9" style="35"/>
    <col min="6" max="6" width="0" style="36" hidden="1" customWidth="1" outlineLevel="1"/>
    <col min="7" max="7" width="9" style="35" collapsed="1"/>
    <col min="8" max="16384" width="9" style="35"/>
  </cols>
  <sheetData>
    <row r="1" spans="1:25" ht="26.25" thickBot="1"/>
    <row r="2" spans="1:25" ht="32.25" thickBot="1">
      <c r="B2" s="48" t="s">
        <v>749</v>
      </c>
      <c r="C2" s="47"/>
      <c r="D2" s="46" t="s">
        <v>748</v>
      </c>
      <c r="E2" s="46"/>
      <c r="F2" s="47"/>
      <c r="G2" s="46" t="s">
        <v>747</v>
      </c>
      <c r="H2" s="46"/>
      <c r="I2" s="46" t="s">
        <v>746</v>
      </c>
      <c r="J2" s="46"/>
      <c r="K2" s="46" t="s">
        <v>745</v>
      </c>
      <c r="L2" s="46"/>
      <c r="M2" s="45"/>
      <c r="N2" s="45"/>
      <c r="O2" s="45"/>
      <c r="P2" s="45"/>
      <c r="Q2" s="45"/>
      <c r="R2" s="45"/>
      <c r="S2" s="44" t="s">
        <v>744</v>
      </c>
      <c r="T2" s="44" t="s">
        <v>742</v>
      </c>
      <c r="U2" s="44" t="s">
        <v>741</v>
      </c>
      <c r="V2" s="44"/>
      <c r="W2" s="44" t="s">
        <v>743</v>
      </c>
      <c r="X2" s="35" t="s">
        <v>742</v>
      </c>
      <c r="Y2" s="35" t="s">
        <v>741</v>
      </c>
    </row>
    <row r="3" spans="1:25" ht="33.75" thickBot="1">
      <c r="A3" s="35">
        <f xml:space="preserve"> ROW() - 2</f>
        <v>1</v>
      </c>
      <c r="B3" s="42" t="s">
        <v>2</v>
      </c>
      <c r="C3" s="41" t="s">
        <v>740</v>
      </c>
      <c r="D3" s="40" t="s">
        <v>5</v>
      </c>
      <c r="E3" s="40" t="s">
        <v>32</v>
      </c>
      <c r="F3" s="41" t="s">
        <v>5</v>
      </c>
      <c r="G3" s="40" t="s">
        <v>5</v>
      </c>
      <c r="H3" s="40" t="s">
        <v>32</v>
      </c>
      <c r="I3" s="40" t="s">
        <v>5</v>
      </c>
      <c r="J3" s="40" t="s">
        <v>32</v>
      </c>
      <c r="K3" s="40" t="s">
        <v>5</v>
      </c>
      <c r="L3" s="40" t="s">
        <v>32</v>
      </c>
      <c r="M3" s="37"/>
      <c r="N3" s="38" t="str">
        <f xml:space="preserve"> Q3 &amp; T3 &amp; X3</f>
        <v/>
      </c>
      <c r="O3" s="38" t="str">
        <f xml:space="preserve"> U3 &amp; Y3</f>
        <v/>
      </c>
      <c r="P3" s="38"/>
      <c r="Q3" s="37"/>
      <c r="R3" s="37"/>
      <c r="S3" s="35" t="str">
        <f xml:space="preserve"> IFERROR( SEARCH($S$2, $I3), "")</f>
        <v/>
      </c>
      <c r="T3" s="35" t="str">
        <f xml:space="preserve"> IFERROR(LEFT($F3, S3-1), "")</f>
        <v/>
      </c>
      <c r="U3" s="35" t="str">
        <f>IFERROR( _xlfn.CONCAT(LEFT(T3,LEN(T3)-1), RIGHT(C3,1)), "")</f>
        <v/>
      </c>
      <c r="W3" s="35" t="str">
        <f xml:space="preserve"> IFERROR( SEARCH($W$2, $F3), "")</f>
        <v/>
      </c>
      <c r="X3" s="35" t="str">
        <f xml:space="preserve"> IF(AND(LEN(W3)&gt;0,W3&gt;0), LEFT(F3, LEN(F3)-3), "")</f>
        <v/>
      </c>
      <c r="Y3" s="35" t="str">
        <f>IF(AND(LEN(W3)&gt;0,LEN(X3)&gt;0),_xlfn.CONCAT(X3,MID(C3,W3+1,1)), "")</f>
        <v/>
      </c>
    </row>
    <row r="4" spans="1:25" ht="33.75" thickBot="1">
      <c r="A4" s="35">
        <f xml:space="preserve"> ROW() - 2</f>
        <v>2</v>
      </c>
      <c r="B4" s="42" t="s">
        <v>37</v>
      </c>
      <c r="C4" s="41" t="s">
        <v>739</v>
      </c>
      <c r="D4" s="40" t="s">
        <v>38</v>
      </c>
      <c r="E4" s="40" t="s">
        <v>40</v>
      </c>
      <c r="F4" s="41" t="s">
        <v>738</v>
      </c>
      <c r="G4" s="40" t="s">
        <v>737</v>
      </c>
      <c r="H4" s="40" t="s">
        <v>736</v>
      </c>
      <c r="I4" s="40" t="s">
        <v>735</v>
      </c>
      <c r="J4" s="40" t="s">
        <v>734</v>
      </c>
      <c r="K4" s="40" t="s">
        <v>735</v>
      </c>
      <c r="L4" s="40" t="s">
        <v>734</v>
      </c>
      <c r="M4" s="37"/>
      <c r="N4" s="38" t="str">
        <f xml:space="preserve"> Q4 &amp; T4 &amp; X4</f>
        <v>ian</v>
      </c>
      <c r="O4" s="38" t="str">
        <f xml:space="preserve"> U4 &amp; Y4</f>
        <v>iat̚</v>
      </c>
      <c r="P4" s="38"/>
      <c r="Q4" s="38" t="str">
        <f xml:space="preserve"> IF( AND(S4="", W4=""), F4, "")</f>
        <v/>
      </c>
      <c r="R4" s="37"/>
      <c r="S4" s="35">
        <f xml:space="preserve"> IFERROR( SEARCH($S$2, $F4), "")</f>
        <v>4</v>
      </c>
      <c r="T4" s="35" t="str">
        <f xml:space="preserve"> IFERROR(LEFT($I4, S4-1), "")</f>
        <v>ian</v>
      </c>
      <c r="U4" s="35" t="str">
        <f>IFERROR( _xlfn.CONCAT(LEFT(T4,LEN(T4)-1), RIGHT(C4,1), _xlfn.UNICHAR(794)), "")</f>
        <v>iat̚</v>
      </c>
      <c r="W4" s="35" t="str">
        <f xml:space="preserve"> IFERROR( SEARCH($W$2, $F4), "")</f>
        <v/>
      </c>
      <c r="X4" s="35" t="str">
        <f xml:space="preserve"> IF(AND(LEN(W4)&gt;0,W4&gt;0), LEFT(F4, LEN(F4)-3), "")</f>
        <v/>
      </c>
      <c r="Y4" s="35" t="str">
        <f>IF(AND(LEN(W4)&gt;0,LEN(X4)&gt;0),_xlfn.CONCAT(X4,MID(C4,W4+1,1)), "")</f>
        <v/>
      </c>
    </row>
    <row r="5" spans="1:25" ht="33.75" thickBot="1">
      <c r="A5" s="35">
        <f xml:space="preserve"> ROW() - 2</f>
        <v>3</v>
      </c>
      <c r="B5" s="42" t="s">
        <v>42</v>
      </c>
      <c r="C5" s="41" t="s">
        <v>733</v>
      </c>
      <c r="D5" s="40" t="s">
        <v>43</v>
      </c>
      <c r="E5" s="40" t="s">
        <v>44</v>
      </c>
      <c r="F5" s="41" t="s">
        <v>732</v>
      </c>
      <c r="G5" s="40" t="s">
        <v>43</v>
      </c>
      <c r="H5" s="40" t="s">
        <v>204</v>
      </c>
      <c r="I5" s="40" t="s">
        <v>43</v>
      </c>
      <c r="J5" s="40" t="s">
        <v>731</v>
      </c>
      <c r="K5" s="40" t="s">
        <v>43</v>
      </c>
      <c r="L5" s="40" t="s">
        <v>731</v>
      </c>
      <c r="M5" s="37"/>
      <c r="N5" s="38" t="str">
        <f xml:space="preserve"> Q5 &amp; T5 &amp; X5</f>
        <v>im</v>
      </c>
      <c r="O5" s="38" t="str">
        <f xml:space="preserve"> U5 &amp; Y5</f>
        <v>ip̚</v>
      </c>
      <c r="P5" s="38"/>
      <c r="Q5" s="38" t="str">
        <f xml:space="preserve"> IF( AND(S5="", W5=""), F5, "")</f>
        <v/>
      </c>
      <c r="R5" s="37"/>
      <c r="S5" s="35">
        <f xml:space="preserve"> IFERROR( SEARCH($S$2, $F5), "")</f>
        <v>3</v>
      </c>
      <c r="T5" s="35" t="str">
        <f xml:space="preserve"> IFERROR(LEFT($I5, S5-1), "")</f>
        <v>im</v>
      </c>
      <c r="U5" s="35" t="str">
        <f>IFERROR( _xlfn.CONCAT(LEFT(T5,LEN(T5)-1), RIGHT(C5,1), _xlfn.UNICHAR(794)), "")</f>
        <v>ip̚</v>
      </c>
      <c r="W5" s="35" t="str">
        <f xml:space="preserve"> IFERROR( SEARCH($W$2, $F5), "")</f>
        <v/>
      </c>
      <c r="X5" s="35" t="str">
        <f xml:space="preserve"> IF(AND(LEN(W5)&gt;0,W5&gt;0), LEFT(F5, LEN(F5)-3), "")</f>
        <v/>
      </c>
      <c r="Y5" s="35" t="str">
        <f>IF(AND(LEN(W5)&gt;0,LEN(X5)&gt;0),_xlfn.CONCAT(X5,MID(C5,W5+1,1)), "")</f>
        <v/>
      </c>
    </row>
    <row r="6" spans="1:25" ht="33.75" thickBot="1">
      <c r="A6" s="35">
        <f xml:space="preserve"> ROW() - 2</f>
        <v>4</v>
      </c>
      <c r="B6" s="42" t="s">
        <v>45</v>
      </c>
      <c r="C6" s="41" t="s">
        <v>46</v>
      </c>
      <c r="D6" s="40" t="s">
        <v>46</v>
      </c>
      <c r="E6" s="39" t="s">
        <v>537</v>
      </c>
      <c r="F6" s="41" t="s">
        <v>46</v>
      </c>
      <c r="G6" s="40" t="s">
        <v>46</v>
      </c>
      <c r="H6" s="39" t="s">
        <v>537</v>
      </c>
      <c r="I6" s="40" t="s">
        <v>46</v>
      </c>
      <c r="J6" s="39" t="s">
        <v>537</v>
      </c>
      <c r="K6" s="40" t="s">
        <v>46</v>
      </c>
      <c r="L6" s="39" t="s">
        <v>537</v>
      </c>
      <c r="M6" s="37"/>
      <c r="N6" s="38" t="str">
        <f xml:space="preserve"> Q6 &amp; T6 &amp; X6</f>
        <v>ui</v>
      </c>
      <c r="O6" s="38" t="str">
        <f xml:space="preserve"> U6 &amp; Y6</f>
        <v/>
      </c>
      <c r="P6" s="38"/>
      <c r="Q6" s="38" t="str">
        <f xml:space="preserve"> IF( AND(S6="", W6=""), F6, "")</f>
        <v>ui</v>
      </c>
      <c r="R6" s="38"/>
      <c r="S6" s="35" t="str">
        <f xml:space="preserve"> IFERROR( SEARCH($S$2, $F6), "")</f>
        <v/>
      </c>
      <c r="T6" s="35" t="str">
        <f xml:space="preserve"> IFERROR(LEFT($I6, S6-1), "")</f>
        <v/>
      </c>
      <c r="U6" s="35" t="str">
        <f>IFERROR( _xlfn.CONCAT(LEFT(T6,LEN(T6)-1), RIGHT(C6,1), _xlfn.UNICHAR(794)), "")</f>
        <v/>
      </c>
      <c r="W6" s="35" t="str">
        <f xml:space="preserve"> IFERROR( SEARCH($W$2, $F6), "")</f>
        <v/>
      </c>
      <c r="X6" s="35" t="str">
        <f xml:space="preserve"> IF(AND(LEN(W6)&gt;0,W6&gt;0), LEFT(F6, LEN(F6)-3), "")</f>
        <v/>
      </c>
      <c r="Y6" s="35" t="str">
        <f>IF(AND(LEN(W6)&gt;0,LEN(X6)&gt;0),_xlfn.CONCAT(X6,MID(C6,W6+1,1)), "")</f>
        <v/>
      </c>
    </row>
    <row r="7" spans="1:25" ht="33.75" thickBot="1">
      <c r="A7" s="35">
        <f xml:space="preserve"> ROW() - 2</f>
        <v>5</v>
      </c>
      <c r="B7" s="42" t="s">
        <v>47</v>
      </c>
      <c r="C7" s="41" t="s">
        <v>730</v>
      </c>
      <c r="D7" s="40" t="s">
        <v>210</v>
      </c>
      <c r="E7" s="40" t="s">
        <v>729</v>
      </c>
      <c r="F7" s="41" t="s">
        <v>730</v>
      </c>
      <c r="G7" s="40" t="s">
        <v>210</v>
      </c>
      <c r="H7" s="40" t="s">
        <v>729</v>
      </c>
      <c r="I7" s="40" t="s">
        <v>589</v>
      </c>
      <c r="J7" s="40" t="s">
        <v>588</v>
      </c>
      <c r="K7" s="40" t="s">
        <v>728</v>
      </c>
      <c r="L7" s="40" t="s">
        <v>727</v>
      </c>
      <c r="M7" s="37"/>
      <c r="N7" s="38" t="str">
        <f xml:space="preserve"> Q7 &amp; T7 &amp; X7</f>
        <v>ɛ</v>
      </c>
      <c r="O7" s="38" t="str">
        <f xml:space="preserve"> U7 &amp; Y7</f>
        <v>ɛʔ</v>
      </c>
      <c r="P7" s="38"/>
      <c r="Q7" s="38" t="str">
        <f xml:space="preserve"> IF( AND(S7="", W7=""), F7, "")</f>
        <v/>
      </c>
      <c r="R7" s="37"/>
      <c r="S7" s="35" t="str">
        <f xml:space="preserve"> IFERROR( SEARCH($S$2, $F7), "")</f>
        <v/>
      </c>
      <c r="T7" s="35" t="str">
        <f xml:space="preserve"> IFERROR(LEFT($I7, S7-1), "")</f>
        <v/>
      </c>
      <c r="U7" s="35" t="str">
        <f>IFERROR( _xlfn.CONCAT(LEFT(T7,LEN(T7)-1), RIGHT(C7,1), _xlfn.UNICHAR(794)), "")</f>
        <v/>
      </c>
      <c r="W7" s="35">
        <f xml:space="preserve"> IFERROR( SEARCH($W$2, $F7), "")</f>
        <v>2</v>
      </c>
      <c r="X7" s="35" t="str">
        <f xml:space="preserve"> IF(AND(LEN(W7)&gt;0,W7&gt;0), LEFT(F7, LEN(F7)-3), "")</f>
        <v>ɛ</v>
      </c>
      <c r="Y7" s="35" t="str">
        <f>IF(AND(LEN(W7)&gt;0,LEN(X7)&gt;0),_xlfn.CONCAT(X7,MID(C7,W7+1,1)), "")</f>
        <v>ɛʔ</v>
      </c>
    </row>
    <row r="8" spans="1:25" ht="33.75" thickBot="1">
      <c r="A8" s="35">
        <f xml:space="preserve"> ROW() - 2</f>
        <v>6</v>
      </c>
      <c r="B8" s="42" t="s">
        <v>726</v>
      </c>
      <c r="C8" s="41" t="s">
        <v>725</v>
      </c>
      <c r="D8" s="40" t="s">
        <v>52</v>
      </c>
      <c r="E8" s="40" t="s">
        <v>54</v>
      </c>
      <c r="F8" s="41" t="s">
        <v>724</v>
      </c>
      <c r="G8" s="40" t="s">
        <v>52</v>
      </c>
      <c r="H8" s="40" t="s">
        <v>219</v>
      </c>
      <c r="I8" s="40" t="s">
        <v>723</v>
      </c>
      <c r="J8" s="40" t="s">
        <v>722</v>
      </c>
      <c r="K8" s="40" t="s">
        <v>723</v>
      </c>
      <c r="L8" s="40" t="s">
        <v>722</v>
      </c>
      <c r="M8" s="37"/>
      <c r="N8" s="38" t="str">
        <f xml:space="preserve"> Q8 &amp; T8 &amp; X8</f>
        <v>an</v>
      </c>
      <c r="O8" s="38" t="str">
        <f xml:space="preserve"> U8 &amp; Y8</f>
        <v>at̚</v>
      </c>
      <c r="P8" s="38"/>
      <c r="Q8" s="38" t="str">
        <f xml:space="preserve"> IF( AND(S8="", W8=""), F8, "")</f>
        <v/>
      </c>
      <c r="R8" s="37"/>
      <c r="S8" s="35">
        <f xml:space="preserve"> IFERROR( SEARCH($S$2, $F8), "")</f>
        <v>3</v>
      </c>
      <c r="T8" s="35" t="str">
        <f xml:space="preserve"> IFERROR(LEFT($I8, S8-1), "")</f>
        <v>an</v>
      </c>
      <c r="U8" s="35" t="str">
        <f>IFERROR( _xlfn.CONCAT(LEFT(T8,LEN(T8)-1), RIGHT(C8,1), _xlfn.UNICHAR(794)), "")</f>
        <v>at̚</v>
      </c>
      <c r="W8" s="35" t="str">
        <f xml:space="preserve"> IFERROR( SEARCH($W$2, $F8), "")</f>
        <v/>
      </c>
      <c r="X8" s="35" t="str">
        <f xml:space="preserve"> IF(AND(LEN(W8)&gt;0,W8&gt;0), LEFT(F8, LEN(F8)-3), "")</f>
        <v/>
      </c>
      <c r="Y8" s="35" t="str">
        <f>IF(AND(LEN(W8)&gt;0,LEN(X8)&gt;0),_xlfn.CONCAT(X8,MID(C8,W8+1,1)), "")</f>
        <v/>
      </c>
    </row>
    <row r="9" spans="1:25" ht="33.75" thickBot="1">
      <c r="A9" s="35">
        <f xml:space="preserve"> ROW() - 2</f>
        <v>7</v>
      </c>
      <c r="B9" s="42" t="s">
        <v>55</v>
      </c>
      <c r="C9" s="41" t="s">
        <v>721</v>
      </c>
      <c r="D9" s="40" t="s">
        <v>222</v>
      </c>
      <c r="E9" s="40" t="s">
        <v>720</v>
      </c>
      <c r="F9" s="41" t="s">
        <v>719</v>
      </c>
      <c r="G9" s="40" t="s">
        <v>222</v>
      </c>
      <c r="H9" s="40" t="s">
        <v>225</v>
      </c>
      <c r="I9" s="40" t="s">
        <v>718</v>
      </c>
      <c r="J9" s="40" t="s">
        <v>717</v>
      </c>
      <c r="K9" s="40" t="s">
        <v>718</v>
      </c>
      <c r="L9" s="40" t="s">
        <v>717</v>
      </c>
      <c r="M9" s="37"/>
      <c r="N9" s="38" t="str">
        <f xml:space="preserve"> Q9 &amp; T9 &amp; X9</f>
        <v>on</v>
      </c>
      <c r="O9" s="38" t="str">
        <f xml:space="preserve"> U9 &amp; Y9</f>
        <v>ok̚</v>
      </c>
      <c r="P9" s="38"/>
      <c r="Q9" s="38" t="str">
        <f xml:space="preserve"> IF( AND(S9="", W9=""), F9, "")</f>
        <v/>
      </c>
      <c r="R9" s="37"/>
      <c r="S9" s="35">
        <f xml:space="preserve"> IFERROR( SEARCH($S$2, $F9), "")</f>
        <v>3</v>
      </c>
      <c r="T9" s="35" t="str">
        <f xml:space="preserve"> IFERROR(LEFT($I9, S9-1), "")</f>
        <v>on</v>
      </c>
      <c r="U9" s="35" t="str">
        <f>IFERROR( _xlfn.CONCAT(LEFT(T9,LEN(T9)-1), RIGHT(C9,1), _xlfn.UNICHAR(794)), "")</f>
        <v>ok̚</v>
      </c>
      <c r="W9" s="35" t="str">
        <f xml:space="preserve"> IFERROR( SEARCH($W$2, $F9), "")</f>
        <v/>
      </c>
      <c r="X9" s="35" t="str">
        <f xml:space="preserve"> IF(AND(LEN(W9)&gt;0,W9&gt;0), LEFT(F9, LEN(F9)-3), "")</f>
        <v/>
      </c>
      <c r="Y9" s="35" t="str">
        <f>IF(AND(LEN(W9)&gt;0,LEN(X9)&gt;0),_xlfn.CONCAT(X9,MID(C9,W9+1,1)), "")</f>
        <v/>
      </c>
    </row>
    <row r="10" spans="1:25" ht="33.75" thickBot="1">
      <c r="A10" s="35">
        <f xml:space="preserve"> ROW() - 2</f>
        <v>8</v>
      </c>
      <c r="B10" s="42" t="s">
        <v>61</v>
      </c>
      <c r="C10" s="41" t="s">
        <v>716</v>
      </c>
      <c r="D10" s="40" t="s">
        <v>62</v>
      </c>
      <c r="E10" s="40" t="s">
        <v>715</v>
      </c>
      <c r="F10" s="41" t="s">
        <v>716</v>
      </c>
      <c r="G10" s="40" t="s">
        <v>62</v>
      </c>
      <c r="H10" s="40" t="s">
        <v>715</v>
      </c>
      <c r="I10" s="40" t="s">
        <v>714</v>
      </c>
      <c r="J10" s="40" t="s">
        <v>713</v>
      </c>
      <c r="K10" s="40" t="s">
        <v>714</v>
      </c>
      <c r="L10" s="40" t="s">
        <v>713</v>
      </c>
      <c r="M10" s="37"/>
      <c r="N10" s="38" t="str">
        <f xml:space="preserve"> Q10 &amp; T10 &amp; X10</f>
        <v>uai</v>
      </c>
      <c r="O10" s="38" t="str">
        <f xml:space="preserve"> U10 &amp; Y10</f>
        <v>uaiʔ</v>
      </c>
      <c r="P10" s="38"/>
      <c r="Q10" s="38" t="str">
        <f xml:space="preserve"> IF( AND(S10="", W10=""), F10, "")</f>
        <v/>
      </c>
      <c r="R10" s="37"/>
      <c r="S10" s="35" t="str">
        <f xml:space="preserve"> IFERROR( SEARCH($S$2, $F10), "")</f>
        <v/>
      </c>
      <c r="T10" s="35" t="str">
        <f xml:space="preserve"> IFERROR(LEFT($I10, S10-1), "")</f>
        <v/>
      </c>
      <c r="U10" s="35" t="str">
        <f>IFERROR( _xlfn.CONCAT(LEFT(T10,LEN(T10)-1), RIGHT(C10,1), _xlfn.UNICHAR(794)), "")</f>
        <v/>
      </c>
      <c r="W10" s="35">
        <f xml:space="preserve"> IFERROR( SEARCH($W$2, $F10), "")</f>
        <v>4</v>
      </c>
      <c r="X10" s="35" t="str">
        <f xml:space="preserve"> IF(AND(LEN(W10)&gt;0,W10&gt;0), LEFT(F10, LEN(F10)-3), "")</f>
        <v>uai</v>
      </c>
      <c r="Y10" s="35" t="str">
        <f>IF(AND(LEN(W10)&gt;0,LEN(X10)&gt;0),_xlfn.CONCAT(X10,MID(C10,W10+1,1)), "")</f>
        <v>uaiʔ</v>
      </c>
    </row>
    <row r="11" spans="1:25" ht="33.75" thickBot="1">
      <c r="A11" s="35">
        <f xml:space="preserve"> ROW() - 2</f>
        <v>9</v>
      </c>
      <c r="B11" s="42" t="s">
        <v>63</v>
      </c>
      <c r="C11" s="41" t="s">
        <v>712</v>
      </c>
      <c r="D11" s="40" t="s">
        <v>711</v>
      </c>
      <c r="E11" s="40" t="s">
        <v>710</v>
      </c>
      <c r="F11" s="41" t="s">
        <v>709</v>
      </c>
      <c r="G11" s="40" t="s">
        <v>708</v>
      </c>
      <c r="H11" s="40" t="s">
        <v>707</v>
      </c>
      <c r="I11" s="40" t="s">
        <v>706</v>
      </c>
      <c r="J11" s="40" t="s">
        <v>705</v>
      </c>
      <c r="K11" s="40" t="s">
        <v>706</v>
      </c>
      <c r="L11" s="40" t="s">
        <v>705</v>
      </c>
      <c r="M11" s="37"/>
      <c r="N11" s="38" t="str">
        <f xml:space="preserve"> Q11 &amp; T11 &amp; X11</f>
        <v>in</v>
      </c>
      <c r="O11" s="38" t="str">
        <f xml:space="preserve"> U11 &amp; Y11</f>
        <v>ik̚</v>
      </c>
      <c r="P11" s="38"/>
      <c r="Q11" s="38" t="str">
        <f xml:space="preserve"> IF( AND(S11="", W11=""), F11, "")</f>
        <v/>
      </c>
      <c r="R11" s="37"/>
      <c r="S11" s="35">
        <f xml:space="preserve"> IFERROR( SEARCH($S$2, $F11), "")</f>
        <v>3</v>
      </c>
      <c r="T11" s="35" t="str">
        <f xml:space="preserve"> IFERROR(LEFT($I11, S11-1), "")</f>
        <v>in</v>
      </c>
      <c r="U11" s="35" t="str">
        <f>IFERROR( _xlfn.CONCAT(LEFT(T11,LEN(T11)-1), RIGHT(C11,1), _xlfn.UNICHAR(794)), "")</f>
        <v>ik̚</v>
      </c>
      <c r="W11" s="35" t="str">
        <f xml:space="preserve"> IFERROR( SEARCH($W$2, $F11), "")</f>
        <v/>
      </c>
      <c r="X11" s="35" t="str">
        <f xml:space="preserve"> IF(AND(LEN(W11)&gt;0,W11&gt;0), LEFT(F11, LEN(F11)-3), "")</f>
        <v/>
      </c>
      <c r="Y11" s="35" t="str">
        <f>IF(AND(LEN(W11)&gt;0,LEN(X11)&gt;0),_xlfn.CONCAT(X11,MID(C11,W11+1,1)), "")</f>
        <v/>
      </c>
    </row>
    <row r="12" spans="1:25" ht="33.75" thickBot="1">
      <c r="A12" s="35">
        <f xml:space="preserve"> ROW() - 2</f>
        <v>10</v>
      </c>
      <c r="B12" s="42" t="s">
        <v>68</v>
      </c>
      <c r="C12" s="41" t="s">
        <v>704</v>
      </c>
      <c r="D12" s="40" t="s">
        <v>69</v>
      </c>
      <c r="E12" s="40" t="s">
        <v>71</v>
      </c>
      <c r="F12" s="41" t="s">
        <v>703</v>
      </c>
      <c r="G12" s="40" t="s">
        <v>69</v>
      </c>
      <c r="H12" s="40" t="s">
        <v>247</v>
      </c>
      <c r="I12" s="40" t="s">
        <v>702</v>
      </c>
      <c r="J12" s="40" t="s">
        <v>701</v>
      </c>
      <c r="K12" s="40" t="s">
        <v>702</v>
      </c>
      <c r="L12" s="40" t="s">
        <v>701</v>
      </c>
      <c r="M12" s="37"/>
      <c r="N12" s="38" t="str">
        <f xml:space="preserve"> Q12 &amp; T12 &amp; X12</f>
        <v>uan</v>
      </c>
      <c r="O12" s="38" t="str">
        <f xml:space="preserve"> U12 &amp; Y12</f>
        <v>uat̚</v>
      </c>
      <c r="P12" s="38"/>
      <c r="Q12" s="38" t="str">
        <f xml:space="preserve"> IF( AND(S12="", W12=""), F12, "")</f>
        <v/>
      </c>
      <c r="R12" s="37"/>
      <c r="S12" s="35">
        <f xml:space="preserve"> IFERROR( SEARCH($S$2, $F12), "")</f>
        <v>4</v>
      </c>
      <c r="T12" s="35" t="str">
        <f xml:space="preserve"> IFERROR(LEFT($I12, S12-1), "")</f>
        <v>uan</v>
      </c>
      <c r="U12" s="35" t="str">
        <f>IFERROR( _xlfn.CONCAT(LEFT(T12,LEN(T12)-1), RIGHT(C12,1), _xlfn.UNICHAR(794)), "")</f>
        <v>uat̚</v>
      </c>
      <c r="W12" s="35" t="str">
        <f xml:space="preserve"> IFERROR( SEARCH($W$2, $F12), "")</f>
        <v/>
      </c>
      <c r="X12" s="35" t="str">
        <f xml:space="preserve"> IF(AND(LEN(W12)&gt;0,W12&gt;0), LEFT(F12, LEN(F12)-3), "")</f>
        <v/>
      </c>
      <c r="Y12" s="35" t="str">
        <f>IF(AND(LEN(W12)&gt;0,LEN(X12)&gt;0),_xlfn.CONCAT(X12,MID(C12,W12+1,1)), "")</f>
        <v/>
      </c>
    </row>
    <row r="13" spans="1:25" ht="33.75" thickBot="1">
      <c r="A13" s="35">
        <f xml:space="preserve"> ROW() - 2</f>
        <v>11</v>
      </c>
      <c r="B13" s="42" t="s">
        <v>72</v>
      </c>
      <c r="C13" s="41" t="s">
        <v>251</v>
      </c>
      <c r="D13" s="40" t="s">
        <v>251</v>
      </c>
      <c r="E13" s="39" t="s">
        <v>537</v>
      </c>
      <c r="F13" s="41" t="s">
        <v>700</v>
      </c>
      <c r="G13" s="40" t="s">
        <v>700</v>
      </c>
      <c r="H13" s="39" t="s">
        <v>537</v>
      </c>
      <c r="I13" s="40" t="s">
        <v>73</v>
      </c>
      <c r="J13" s="39" t="s">
        <v>537</v>
      </c>
      <c r="K13" s="40" t="s">
        <v>73</v>
      </c>
      <c r="L13" s="39" t="s">
        <v>537</v>
      </c>
      <c r="M13" s="37"/>
      <c r="N13" s="38" t="str">
        <f xml:space="preserve"> Q13 &amp; T13 &amp; X13</f>
        <v>ɔ</v>
      </c>
      <c r="O13" s="38" t="str">
        <f xml:space="preserve"> U13 &amp; Y13</f>
        <v/>
      </c>
      <c r="P13" s="38"/>
      <c r="Q13" s="38" t="str">
        <f xml:space="preserve"> IF( AND(S13="", W13=""), F13, "")</f>
        <v>ɔ</v>
      </c>
      <c r="R13" s="37"/>
      <c r="S13" s="35" t="str">
        <f xml:space="preserve"> IFERROR( SEARCH($S$2, $F13), "")</f>
        <v/>
      </c>
      <c r="T13" s="35" t="str">
        <f xml:space="preserve"> IFERROR(LEFT($I13, S13-1), "")</f>
        <v/>
      </c>
      <c r="U13" s="35" t="str">
        <f>IFERROR( _xlfn.CONCAT(LEFT(T13,LEN(T13)-1), RIGHT(C13,1), _xlfn.UNICHAR(794)), "")</f>
        <v/>
      </c>
      <c r="W13" s="35" t="str">
        <f xml:space="preserve"> IFERROR( SEARCH($W$2, $F13), "")</f>
        <v/>
      </c>
      <c r="X13" s="35" t="str">
        <f xml:space="preserve"> IF(AND(LEN(W13)&gt;0,W13&gt;0), LEFT(F13, LEN(F13)-3), "")</f>
        <v/>
      </c>
      <c r="Y13" s="35" t="str">
        <f>IF(AND(LEN(W13)&gt;0,LEN(X13)&gt;0),_xlfn.CONCAT(X13,MID(C13,W13+1,1)), "")</f>
        <v/>
      </c>
    </row>
    <row r="14" spans="1:25" ht="33.75" thickBot="1">
      <c r="A14" s="35">
        <f xml:space="preserve"> ROW() - 2</f>
        <v>12</v>
      </c>
      <c r="B14" s="42" t="s">
        <v>76</v>
      </c>
      <c r="C14" s="41" t="s">
        <v>699</v>
      </c>
      <c r="D14" s="40" t="s">
        <v>77</v>
      </c>
      <c r="E14" s="40" t="s">
        <v>698</v>
      </c>
      <c r="F14" s="41" t="s">
        <v>697</v>
      </c>
      <c r="G14" s="40" t="s">
        <v>696</v>
      </c>
      <c r="H14" s="40" t="s">
        <v>695</v>
      </c>
      <c r="I14" s="40" t="s">
        <v>694</v>
      </c>
      <c r="J14" s="40" t="s">
        <v>693</v>
      </c>
      <c r="K14" s="40" t="s">
        <v>692</v>
      </c>
      <c r="L14" s="40" t="s">
        <v>691</v>
      </c>
      <c r="M14" s="37"/>
      <c r="N14" s="38" t="str">
        <f xml:space="preserve"> Q14 &amp; T14 &amp; X14</f>
        <v>ɪaʊ</v>
      </c>
      <c r="O14" s="38" t="str">
        <f xml:space="preserve"> U14 &amp; Y14</f>
        <v>ɪaʊʔ</v>
      </c>
      <c r="P14" s="38"/>
      <c r="Q14" s="38" t="str">
        <f xml:space="preserve"> IF( AND(S14="", W14=""), F14, "")</f>
        <v/>
      </c>
      <c r="R14" s="37"/>
      <c r="S14" s="35" t="str">
        <f xml:space="preserve"> IFERROR( SEARCH($S$2, $F14), "")</f>
        <v/>
      </c>
      <c r="T14" s="35" t="str">
        <f xml:space="preserve"> IFERROR(LEFT($I14, S14-1), "")</f>
        <v/>
      </c>
      <c r="U14" s="35" t="str">
        <f>IFERROR( _xlfn.CONCAT(LEFT(T14,LEN(T14)-1), RIGHT(C14,1), _xlfn.UNICHAR(794)), "")</f>
        <v/>
      </c>
      <c r="W14" s="35">
        <f xml:space="preserve"> IFERROR( SEARCH($W$2, $F14), "")</f>
        <v>4</v>
      </c>
      <c r="X14" s="35" t="str">
        <f xml:space="preserve"> IF(AND(LEN(W14)&gt;0,W14&gt;0), LEFT(F14, LEN(F14)-3), "")</f>
        <v>ɪaʊ</v>
      </c>
      <c r="Y14" s="35" t="str">
        <f>IF(AND(LEN(W14)&gt;0,LEN(X14)&gt;0),_xlfn.CONCAT(X14,MID(C14,W14+1,1)), "")</f>
        <v>ɪaʊʔ</v>
      </c>
    </row>
    <row r="15" spans="1:25" ht="33.75" thickBot="1">
      <c r="A15" s="35">
        <f xml:space="preserve"> ROW() - 2</f>
        <v>13</v>
      </c>
      <c r="B15" s="42" t="s">
        <v>79</v>
      </c>
      <c r="C15" s="41" t="s">
        <v>80</v>
      </c>
      <c r="D15" s="40" t="s">
        <v>80</v>
      </c>
      <c r="E15" s="39" t="s">
        <v>537</v>
      </c>
      <c r="F15" s="41" t="s">
        <v>133</v>
      </c>
      <c r="G15" s="40" t="s">
        <v>133</v>
      </c>
      <c r="H15" s="39" t="s">
        <v>537</v>
      </c>
      <c r="I15" s="40" t="s">
        <v>133</v>
      </c>
      <c r="J15" s="39"/>
      <c r="K15" s="40" t="s">
        <v>133</v>
      </c>
      <c r="L15" s="39"/>
      <c r="M15" s="37"/>
      <c r="N15" s="38" t="str">
        <f xml:space="preserve"> Q15 &amp; T15 &amp; X15</f>
        <v>e</v>
      </c>
      <c r="O15" s="38" t="str">
        <f xml:space="preserve"> U15 &amp; Y15</f>
        <v/>
      </c>
      <c r="P15" s="38"/>
      <c r="Q15" s="38" t="str">
        <f xml:space="preserve"> IF( AND(S15="", W15=""), F15, "")</f>
        <v>e</v>
      </c>
      <c r="R15" s="37"/>
      <c r="S15" s="35" t="str">
        <f xml:space="preserve"> IFERROR( SEARCH($S$2, $F15), "")</f>
        <v/>
      </c>
      <c r="T15" s="35" t="str">
        <f xml:space="preserve"> IFERROR(LEFT($I15, S15-1), "")</f>
        <v/>
      </c>
      <c r="U15" s="35" t="str">
        <f>IFERROR( _xlfn.CONCAT(LEFT(T15,LEN(T15)-1), RIGHT(C15,1), _xlfn.UNICHAR(794)), "")</f>
        <v/>
      </c>
      <c r="W15" s="35" t="str">
        <f xml:space="preserve"> IFERROR( SEARCH($W$2, $F15), "")</f>
        <v/>
      </c>
      <c r="X15" s="35" t="str">
        <f xml:space="preserve"> IF(AND(LEN(W15)&gt;0,W15&gt;0), LEFT(F15, LEN(F15)-3), "")</f>
        <v/>
      </c>
      <c r="Y15" s="35" t="str">
        <f>IF(AND(LEN(W15)&gt;0,LEN(X15)&gt;0),_xlfn.CONCAT(X15,MID(C15,W15+1,1)), "")</f>
        <v/>
      </c>
    </row>
    <row r="16" spans="1:25" ht="33.75" thickBot="1">
      <c r="A16" s="35">
        <f xml:space="preserve"> ROW() - 2</f>
        <v>14</v>
      </c>
      <c r="B16" s="42" t="s">
        <v>81</v>
      </c>
      <c r="C16" s="41" t="s">
        <v>690</v>
      </c>
      <c r="D16" s="40" t="s">
        <v>267</v>
      </c>
      <c r="E16" s="40" t="s">
        <v>689</v>
      </c>
      <c r="F16" s="41" t="s">
        <v>688</v>
      </c>
      <c r="G16" s="40" t="s">
        <v>687</v>
      </c>
      <c r="H16" s="40" t="s">
        <v>686</v>
      </c>
      <c r="I16" s="40" t="s">
        <v>685</v>
      </c>
      <c r="J16" s="40" t="s">
        <v>684</v>
      </c>
      <c r="K16" s="40" t="s">
        <v>685</v>
      </c>
      <c r="L16" s="40" t="s">
        <v>684</v>
      </c>
      <c r="M16" s="37"/>
      <c r="N16" s="38" t="str">
        <f xml:space="preserve"> Q16 &amp; T16 &amp; X16</f>
        <v>ion</v>
      </c>
      <c r="O16" s="38" t="str">
        <f xml:space="preserve"> U16 &amp; Y16</f>
        <v>iok̚</v>
      </c>
      <c r="P16" s="38"/>
      <c r="Q16" s="38" t="str">
        <f xml:space="preserve"> IF( AND(S16="", W16=""), F16, "")</f>
        <v/>
      </c>
      <c r="R16" s="37"/>
      <c r="S16" s="35">
        <f xml:space="preserve"> IFERROR( SEARCH($S$2, $F16), "")</f>
        <v>4</v>
      </c>
      <c r="T16" s="35" t="str">
        <f xml:space="preserve"> IFERROR(LEFT($I16, S16-1), "")</f>
        <v>ion</v>
      </c>
      <c r="U16" s="35" t="str">
        <f>IFERROR( _xlfn.CONCAT(LEFT(T16,LEN(T16)-1), RIGHT(C16,1), _xlfn.UNICHAR(794)), "")</f>
        <v>iok̚</v>
      </c>
      <c r="W16" s="35" t="str">
        <f xml:space="preserve"> IFERROR( SEARCH($W$2, $F16), "")</f>
        <v/>
      </c>
      <c r="X16" s="35" t="str">
        <f xml:space="preserve"> IF(AND(LEN(W16)&gt;0,W16&gt;0), LEFT(F16, LEN(F16)-3), "")</f>
        <v/>
      </c>
      <c r="Y16" s="35" t="str">
        <f>IF(AND(LEN(W16)&gt;0,LEN(X16)&gt;0),_xlfn.CONCAT(X16,MID(C16,W16+1,1)), "")</f>
        <v/>
      </c>
    </row>
    <row r="17" spans="1:25" ht="33.75" thickBot="1">
      <c r="A17" s="35">
        <f xml:space="preserve"> ROW() - 2</f>
        <v>15</v>
      </c>
      <c r="B17" s="42" t="s">
        <v>84</v>
      </c>
      <c r="C17" s="41" t="s">
        <v>683</v>
      </c>
      <c r="D17" s="40" t="s">
        <v>85</v>
      </c>
      <c r="E17" s="40" t="s">
        <v>682</v>
      </c>
      <c r="F17" s="41" t="s">
        <v>683</v>
      </c>
      <c r="G17" s="40" t="s">
        <v>85</v>
      </c>
      <c r="H17" s="40" t="s">
        <v>682</v>
      </c>
      <c r="I17" s="40" t="s">
        <v>681</v>
      </c>
      <c r="J17" s="40" t="s">
        <v>680</v>
      </c>
      <c r="K17" s="40" t="s">
        <v>681</v>
      </c>
      <c r="L17" s="40" t="s">
        <v>680</v>
      </c>
      <c r="M17" s="37"/>
      <c r="N17" s="38" t="str">
        <f xml:space="preserve"> Q17 &amp; T17 &amp; X17</f>
        <v>o</v>
      </c>
      <c r="O17" s="38" t="str">
        <f xml:space="preserve"> U17 &amp; Y17</f>
        <v>oʔ</v>
      </c>
      <c r="P17" s="38"/>
      <c r="Q17" s="38" t="str">
        <f xml:space="preserve"> IF( AND(S17="", W17=""), F17, "")</f>
        <v/>
      </c>
      <c r="R17" s="37"/>
      <c r="S17" s="35" t="str">
        <f xml:space="preserve"> IFERROR( SEARCH($S$2, $F17), "")</f>
        <v/>
      </c>
      <c r="T17" s="35" t="str">
        <f xml:space="preserve"> IFERROR(LEFT($I17, S17-1), "")</f>
        <v/>
      </c>
      <c r="U17" s="35" t="str">
        <f>IFERROR( _xlfn.CONCAT(LEFT(T17,LEN(T17)-1), RIGHT(C17,1), _xlfn.UNICHAR(794)), "")</f>
        <v/>
      </c>
      <c r="W17" s="35">
        <f xml:space="preserve"> IFERROR( SEARCH($W$2, $F17), "")</f>
        <v>2</v>
      </c>
      <c r="X17" s="35" t="str">
        <f xml:space="preserve"> IF(AND(LEN(W17)&gt;0,W17&gt;0), LEFT(F17, LEN(F17)-3), "")</f>
        <v>o</v>
      </c>
      <c r="Y17" s="35" t="str">
        <f>IF(AND(LEN(W17)&gt;0,LEN(X17)&gt;0),_xlfn.CONCAT(X17,MID(C17,W17+1,1)), "")</f>
        <v>oʔ</v>
      </c>
    </row>
    <row r="18" spans="1:25" ht="33.75" thickBot="1">
      <c r="A18" s="35">
        <f xml:space="preserve"> ROW() - 2</f>
        <v>16</v>
      </c>
      <c r="B18" s="42" t="s">
        <v>86</v>
      </c>
      <c r="C18" s="41" t="s">
        <v>87</v>
      </c>
      <c r="D18" s="40" t="s">
        <v>87</v>
      </c>
      <c r="E18" s="39" t="s">
        <v>537</v>
      </c>
      <c r="F18" s="41" t="s">
        <v>679</v>
      </c>
      <c r="G18" s="40" t="s">
        <v>679</v>
      </c>
      <c r="H18" s="39" t="s">
        <v>537</v>
      </c>
      <c r="I18" s="40" t="s">
        <v>87</v>
      </c>
      <c r="J18" s="39" t="s">
        <v>537</v>
      </c>
      <c r="K18" s="40" t="s">
        <v>87</v>
      </c>
      <c r="L18" s="39" t="s">
        <v>537</v>
      </c>
      <c r="M18" s="37"/>
      <c r="N18" s="38" t="str">
        <f xml:space="preserve"> Q18 &amp; T18 &amp; X18</f>
        <v>aɪ</v>
      </c>
      <c r="O18" s="38" t="str">
        <f xml:space="preserve"> U18 &amp; Y18</f>
        <v/>
      </c>
      <c r="P18" s="38"/>
      <c r="Q18" s="38" t="str">
        <f xml:space="preserve"> IF( AND(S18="", W18=""), F18, "")</f>
        <v>aɪ</v>
      </c>
      <c r="R18" s="37"/>
      <c r="S18" s="35" t="str">
        <f xml:space="preserve"> IFERROR( SEARCH($S$2, $F18), "")</f>
        <v/>
      </c>
      <c r="T18" s="35" t="str">
        <f xml:space="preserve"> IFERROR(LEFT($I18, S18-1), "")</f>
        <v/>
      </c>
      <c r="U18" s="35" t="str">
        <f>IFERROR( _xlfn.CONCAT(LEFT(T18,LEN(T18)-1), RIGHT(C18,1), _xlfn.UNICHAR(794)), "")</f>
        <v/>
      </c>
      <c r="W18" s="35" t="str">
        <f xml:space="preserve"> IFERROR( SEARCH($W$2, $F18), "")</f>
        <v/>
      </c>
      <c r="X18" s="35" t="str">
        <f xml:space="preserve"> IF(AND(LEN(W18)&gt;0,W18&gt;0), LEFT(F18, LEN(F18)-3), "")</f>
        <v/>
      </c>
      <c r="Y18" s="35" t="str">
        <f>IF(AND(LEN(W18)&gt;0,LEN(X18)&gt;0),_xlfn.CONCAT(X18,MID(C18,W18+1,1)), "")</f>
        <v/>
      </c>
    </row>
    <row r="19" spans="1:25" ht="33.75" thickBot="1">
      <c r="A19" s="35">
        <f xml:space="preserve"> ROW() - 2</f>
        <v>17</v>
      </c>
      <c r="B19" s="42" t="s">
        <v>88</v>
      </c>
      <c r="C19" s="41" t="s">
        <v>678</v>
      </c>
      <c r="D19" s="40" t="s">
        <v>89</v>
      </c>
      <c r="E19" s="40" t="s">
        <v>90</v>
      </c>
      <c r="F19" s="41" t="s">
        <v>677</v>
      </c>
      <c r="G19" s="40" t="s">
        <v>89</v>
      </c>
      <c r="H19" s="40" t="s">
        <v>285</v>
      </c>
      <c r="I19" s="40" t="s">
        <v>676</v>
      </c>
      <c r="J19" s="40" t="s">
        <v>675</v>
      </c>
      <c r="K19" s="40" t="s">
        <v>676</v>
      </c>
      <c r="L19" s="40" t="s">
        <v>675</v>
      </c>
      <c r="M19" s="37"/>
      <c r="N19" s="38" t="str">
        <f xml:space="preserve"> Q19 &amp; T19 &amp; X19</f>
        <v>in</v>
      </c>
      <c r="O19" s="38" t="str">
        <f xml:space="preserve"> U19 &amp; Y19</f>
        <v>it̚</v>
      </c>
      <c r="P19" s="38"/>
      <c r="Q19" s="38" t="str">
        <f xml:space="preserve"> IF( AND(S19="", W19=""), F19, "")</f>
        <v/>
      </c>
      <c r="R19" s="37"/>
      <c r="S19" s="35">
        <f xml:space="preserve"> IFERROR( SEARCH($S$2, $F19), "")</f>
        <v>3</v>
      </c>
      <c r="T19" s="35" t="str">
        <f xml:space="preserve"> IFERROR(LEFT($I19, S19-1), "")</f>
        <v>in</v>
      </c>
      <c r="U19" s="35" t="str">
        <f>IFERROR( _xlfn.CONCAT(LEFT(T19,LEN(T19)-1), RIGHT(C19,1), _xlfn.UNICHAR(794)), "")</f>
        <v>it̚</v>
      </c>
      <c r="W19" s="35" t="str">
        <f xml:space="preserve"> IFERROR( SEARCH($W$2, $F19), "")</f>
        <v/>
      </c>
      <c r="X19" s="35" t="str">
        <f xml:space="preserve"> IF(AND(LEN(W19)&gt;0,W19&gt;0), LEFT(F19, LEN(F19)-3), "")</f>
        <v/>
      </c>
      <c r="Y19" s="35" t="str">
        <f>IF(AND(LEN(W19)&gt;0,LEN(X19)&gt;0),_xlfn.CONCAT(X19,MID(C19,W19+1,1)), "")</f>
        <v/>
      </c>
    </row>
    <row r="20" spans="1:25" ht="33.75" thickBot="1">
      <c r="A20" s="35">
        <f xml:space="preserve"> ROW() - 2</f>
        <v>18</v>
      </c>
      <c r="B20" s="42" t="s">
        <v>91</v>
      </c>
      <c r="C20" s="41" t="s">
        <v>674</v>
      </c>
      <c r="D20" s="40" t="s">
        <v>288</v>
      </c>
      <c r="E20" s="40" t="s">
        <v>94</v>
      </c>
      <c r="F20" s="41" t="s">
        <v>673</v>
      </c>
      <c r="G20" s="40" t="s">
        <v>672</v>
      </c>
      <c r="H20" s="40" t="s">
        <v>671</v>
      </c>
      <c r="I20" s="40" t="s">
        <v>670</v>
      </c>
      <c r="J20" s="40" t="s">
        <v>669</v>
      </c>
      <c r="K20" s="40" t="s">
        <v>670</v>
      </c>
      <c r="L20" s="40" t="s">
        <v>669</v>
      </c>
      <c r="M20" s="37"/>
      <c r="N20" s="38" t="str">
        <f xml:space="preserve"> Q20 &amp; T20 &amp; X20</f>
        <v>ian</v>
      </c>
      <c r="O20" s="38" t="str">
        <f xml:space="preserve"> U20 &amp; Y20</f>
        <v>iak̚</v>
      </c>
      <c r="P20" s="38"/>
      <c r="Q20" s="38" t="str">
        <f xml:space="preserve"> IF( AND(S20="", W20=""), F20, "")</f>
        <v/>
      </c>
      <c r="R20" s="37"/>
      <c r="S20" s="35">
        <f xml:space="preserve"> IFERROR( SEARCH($S$2, $F20), "")</f>
        <v>4</v>
      </c>
      <c r="T20" s="35" t="str">
        <f xml:space="preserve"> IFERROR(LEFT($I20, S20-1), "")</f>
        <v>ian</v>
      </c>
      <c r="U20" s="35" t="str">
        <f>IFERROR( _xlfn.CONCAT(LEFT(T20,LEN(T20)-1), RIGHT(C20,1), _xlfn.UNICHAR(794)), "")</f>
        <v>iak̚</v>
      </c>
      <c r="W20" s="35" t="str">
        <f xml:space="preserve"> IFERROR( SEARCH($W$2, $F20), "")</f>
        <v/>
      </c>
      <c r="X20" s="35" t="str">
        <f xml:space="preserve"> IF(AND(LEN(W20)&gt;0,W20&gt;0), LEFT(F20, LEN(F20)-3), "")</f>
        <v/>
      </c>
      <c r="Y20" s="35" t="str">
        <f>IF(AND(LEN(W20)&gt;0,LEN(X20)&gt;0),_xlfn.CONCAT(X20,MID(C20,W20+1,1)), "")</f>
        <v/>
      </c>
    </row>
    <row r="21" spans="1:25" ht="33.75" thickBot="1">
      <c r="A21" s="35">
        <f xml:space="preserve"> ROW() - 2</f>
        <v>19</v>
      </c>
      <c r="B21" s="42" t="s">
        <v>95</v>
      </c>
      <c r="C21" s="41" t="s">
        <v>668</v>
      </c>
      <c r="D21" s="40" t="s">
        <v>96</v>
      </c>
      <c r="E21" s="40" t="s">
        <v>98</v>
      </c>
      <c r="F21" s="41" t="s">
        <v>667</v>
      </c>
      <c r="G21" s="40" t="s">
        <v>96</v>
      </c>
      <c r="H21" s="40" t="s">
        <v>296</v>
      </c>
      <c r="I21" s="40" t="s">
        <v>666</v>
      </c>
      <c r="J21" s="40" t="s">
        <v>665</v>
      </c>
      <c r="K21" s="40" t="s">
        <v>666</v>
      </c>
      <c r="L21" s="40" t="s">
        <v>665</v>
      </c>
      <c r="M21" s="37"/>
      <c r="N21" s="38" t="str">
        <f xml:space="preserve"> Q21 &amp; T21 &amp; X21</f>
        <v>am</v>
      </c>
      <c r="O21" s="38" t="str">
        <f xml:space="preserve"> U21 &amp; Y21</f>
        <v>ap̚</v>
      </c>
      <c r="P21" s="38"/>
      <c r="Q21" s="38" t="str">
        <f xml:space="preserve"> IF( AND(S21="", W21=""), F21, "")</f>
        <v/>
      </c>
      <c r="R21" s="37"/>
      <c r="S21" s="35">
        <f xml:space="preserve"> IFERROR( SEARCH($S$2, $F21), "")</f>
        <v>3</v>
      </c>
      <c r="T21" s="35" t="str">
        <f xml:space="preserve"> IFERROR(LEFT($I21, S21-1), "")</f>
        <v>am</v>
      </c>
      <c r="U21" s="35" t="str">
        <f>IFERROR( _xlfn.CONCAT(LEFT(T21,LEN(T21)-1), RIGHT(C21,1), _xlfn.UNICHAR(794)), "")</f>
        <v>ap̚</v>
      </c>
      <c r="W21" s="35" t="str">
        <f xml:space="preserve"> IFERROR( SEARCH($W$2, $F21), "")</f>
        <v/>
      </c>
      <c r="X21" s="35" t="str">
        <f xml:space="preserve"> IF(AND(LEN(W21)&gt;0,W21&gt;0), LEFT(F21, LEN(F21)-3), "")</f>
        <v/>
      </c>
      <c r="Y21" s="35" t="str">
        <f>IF(AND(LEN(W21)&gt;0,LEN(X21)&gt;0),_xlfn.CONCAT(X21,MID(C21,W21+1,1)), "")</f>
        <v/>
      </c>
    </row>
    <row r="22" spans="1:25" ht="33.75" thickBot="1">
      <c r="A22" s="35">
        <f xml:space="preserve"> ROW() - 2</f>
        <v>20</v>
      </c>
      <c r="B22" s="42" t="s">
        <v>99</v>
      </c>
      <c r="C22" s="41" t="s">
        <v>664</v>
      </c>
      <c r="D22" s="40" t="s">
        <v>100</v>
      </c>
      <c r="E22" s="40" t="s">
        <v>663</v>
      </c>
      <c r="F22" s="41" t="s">
        <v>664</v>
      </c>
      <c r="G22" s="40" t="s">
        <v>100</v>
      </c>
      <c r="H22" s="40" t="s">
        <v>663</v>
      </c>
      <c r="I22" s="40" t="s">
        <v>662</v>
      </c>
      <c r="J22" s="40" t="s">
        <v>661</v>
      </c>
      <c r="K22" s="40" t="s">
        <v>662</v>
      </c>
      <c r="L22" s="40" t="s">
        <v>661</v>
      </c>
      <c r="M22" s="37"/>
      <c r="N22" s="38" t="str">
        <f xml:space="preserve"> Q22 &amp; T22 &amp; X22</f>
        <v>ua</v>
      </c>
      <c r="O22" s="38" t="str">
        <f xml:space="preserve"> U22 &amp; Y22</f>
        <v>uaʔ</v>
      </c>
      <c r="P22" s="38"/>
      <c r="Q22" s="38" t="str">
        <f xml:space="preserve"> IF( AND(S22="", W22=""), F22, "")</f>
        <v/>
      </c>
      <c r="R22" s="37"/>
      <c r="S22" s="35" t="str">
        <f xml:space="preserve"> IFERROR( SEARCH($S$2, $F22), "")</f>
        <v/>
      </c>
      <c r="T22" s="35" t="str">
        <f xml:space="preserve"> IFERROR(LEFT($I22, S22-1), "")</f>
        <v/>
      </c>
      <c r="U22" s="35" t="str">
        <f>IFERROR( _xlfn.CONCAT(LEFT(T22,LEN(T22)-1), RIGHT(C22,1), _xlfn.UNICHAR(794)), "")</f>
        <v/>
      </c>
      <c r="W22" s="35">
        <f xml:space="preserve"> IFERROR( SEARCH($W$2, $F22), "")</f>
        <v>3</v>
      </c>
      <c r="X22" s="35" t="str">
        <f xml:space="preserve"> IF(AND(LEN(W22)&gt;0,W22&gt;0), LEFT(F22, LEN(F22)-3), "")</f>
        <v>ua</v>
      </c>
      <c r="Y22" s="35" t="str">
        <f>IF(AND(LEN(W22)&gt;0,LEN(X22)&gt;0),_xlfn.CONCAT(X22,MID(C22,W22+1,1)), "")</f>
        <v>uaʔ</v>
      </c>
    </row>
    <row r="23" spans="1:25" ht="33.75" thickBot="1">
      <c r="A23" s="35">
        <f xml:space="preserve"> ROW() - 2</f>
        <v>21</v>
      </c>
      <c r="B23" s="42" t="s">
        <v>101</v>
      </c>
      <c r="C23" s="41" t="s">
        <v>660</v>
      </c>
      <c r="D23" s="40" t="s">
        <v>307</v>
      </c>
      <c r="E23" s="40" t="s">
        <v>103</v>
      </c>
      <c r="F23" s="41" t="s">
        <v>659</v>
      </c>
      <c r="G23" s="40" t="s">
        <v>307</v>
      </c>
      <c r="H23" s="40" t="s">
        <v>310</v>
      </c>
      <c r="I23" s="40" t="s">
        <v>658</v>
      </c>
      <c r="J23" s="40" t="s">
        <v>657</v>
      </c>
      <c r="K23" s="40" t="s">
        <v>658</v>
      </c>
      <c r="L23" s="40" t="s">
        <v>657</v>
      </c>
      <c r="M23" s="37"/>
      <c r="N23" s="38" t="str">
        <f xml:space="preserve"> Q23 &amp; T23 &amp; X23</f>
        <v>an</v>
      </c>
      <c r="O23" s="38" t="str">
        <f xml:space="preserve"> U23 &amp; Y23</f>
        <v>ak̚</v>
      </c>
      <c r="P23" s="38"/>
      <c r="Q23" s="38" t="str">
        <f xml:space="preserve"> IF( AND(S23="", W23=""), F23, "")</f>
        <v/>
      </c>
      <c r="R23" s="37"/>
      <c r="S23" s="35">
        <f xml:space="preserve"> IFERROR( SEARCH($S$2, $F23), "")</f>
        <v>3</v>
      </c>
      <c r="T23" s="35" t="str">
        <f xml:space="preserve"> IFERROR(LEFT($I23, S23-1), "")</f>
        <v>an</v>
      </c>
      <c r="U23" s="35" t="str">
        <f>IFERROR( _xlfn.CONCAT(LEFT(T23,LEN(T23)-1), RIGHT(C23,1), _xlfn.UNICHAR(794)), "")</f>
        <v>ak̚</v>
      </c>
      <c r="W23" s="35" t="str">
        <f xml:space="preserve"> IFERROR( SEARCH($W$2, $F23), "")</f>
        <v/>
      </c>
      <c r="X23" s="35" t="str">
        <f xml:space="preserve"> IF(AND(LEN(W23)&gt;0,W23&gt;0), LEFT(F23, LEN(F23)-3), "")</f>
        <v/>
      </c>
      <c r="Y23" s="35" t="str">
        <f>IF(AND(LEN(W23)&gt;0,LEN(X23)&gt;0),_xlfn.CONCAT(X23,MID(C23,W23+1,1)), "")</f>
        <v/>
      </c>
    </row>
    <row r="24" spans="1:25" ht="33.75" thickBot="1">
      <c r="A24" s="35">
        <f xml:space="preserve"> ROW() - 2</f>
        <v>22</v>
      </c>
      <c r="B24" s="42" t="s">
        <v>104</v>
      </c>
      <c r="C24" s="41" t="s">
        <v>656</v>
      </c>
      <c r="D24" s="40" t="s">
        <v>105</v>
      </c>
      <c r="E24" s="40" t="s">
        <v>106</v>
      </c>
      <c r="F24" s="41" t="s">
        <v>655</v>
      </c>
      <c r="G24" s="40" t="s">
        <v>105</v>
      </c>
      <c r="H24" s="40" t="s">
        <v>315</v>
      </c>
      <c r="I24" s="40" t="s">
        <v>654</v>
      </c>
      <c r="J24" s="40" t="s">
        <v>653</v>
      </c>
      <c r="K24" s="40" t="s">
        <v>654</v>
      </c>
      <c r="L24" s="40" t="s">
        <v>653</v>
      </c>
      <c r="M24" s="37"/>
      <c r="N24" s="38" t="str">
        <f xml:space="preserve"> Q24 &amp; T24 &amp; X24</f>
        <v>iam</v>
      </c>
      <c r="O24" s="38" t="str">
        <f xml:space="preserve"> U24 &amp; Y24</f>
        <v>iap̚</v>
      </c>
      <c r="P24" s="38"/>
      <c r="Q24" s="38" t="str">
        <f xml:space="preserve"> IF( AND(S24="", W24=""), F24, "")</f>
        <v/>
      </c>
      <c r="R24" s="37"/>
      <c r="S24" s="35">
        <f xml:space="preserve"> IFERROR( SEARCH($S$2, $F24), "")</f>
        <v>4</v>
      </c>
      <c r="T24" s="35" t="str">
        <f xml:space="preserve"> IFERROR(LEFT($I24, S24-1), "")</f>
        <v>iam</v>
      </c>
      <c r="U24" s="35" t="str">
        <f>IFERROR( _xlfn.CONCAT(LEFT(T24,LEN(T24)-1), RIGHT(C24,1), _xlfn.UNICHAR(794)), "")</f>
        <v>iap̚</v>
      </c>
      <c r="W24" s="35" t="str">
        <f xml:space="preserve"> IFERROR( SEARCH($W$2, $F24), "")</f>
        <v/>
      </c>
      <c r="X24" s="35" t="str">
        <f xml:space="preserve"> IF(AND(LEN(W24)&gt;0,W24&gt;0), LEFT(F24, LEN(F24)-3), "")</f>
        <v/>
      </c>
      <c r="Y24" s="35" t="str">
        <f>IF(AND(LEN(W24)&gt;0,LEN(X24)&gt;0),_xlfn.CONCAT(X24,MID(C24,W24+1,1)), "")</f>
        <v/>
      </c>
    </row>
    <row r="25" spans="1:25" ht="33.75" thickBot="1">
      <c r="A25" s="35">
        <f xml:space="preserve"> ROW() - 2</f>
        <v>23</v>
      </c>
      <c r="B25" s="42" t="s">
        <v>107</v>
      </c>
      <c r="C25" s="41" t="s">
        <v>652</v>
      </c>
      <c r="D25" s="40" t="s">
        <v>108</v>
      </c>
      <c r="E25" s="40" t="s">
        <v>651</v>
      </c>
      <c r="F25" s="41" t="s">
        <v>650</v>
      </c>
      <c r="G25" s="40" t="s">
        <v>649</v>
      </c>
      <c r="H25" s="40" t="s">
        <v>648</v>
      </c>
      <c r="I25" s="40" t="s">
        <v>647</v>
      </c>
      <c r="J25" s="40" t="s">
        <v>646</v>
      </c>
      <c r="K25" s="40" t="s">
        <v>645</v>
      </c>
      <c r="L25" s="40" t="s">
        <v>644</v>
      </c>
      <c r="M25" s="37"/>
      <c r="N25" s="38" t="str">
        <f xml:space="preserve"> Q25 &amp; T25 &amp; X25</f>
        <v>aʊ</v>
      </c>
      <c r="O25" s="38" t="str">
        <f xml:space="preserve"> U25 &amp; Y25</f>
        <v>aʊʔ</v>
      </c>
      <c r="P25" s="38"/>
      <c r="Q25" s="38" t="str">
        <f xml:space="preserve"> IF( AND(S25="", W25=""), F25, "")</f>
        <v/>
      </c>
      <c r="R25" s="37"/>
      <c r="S25" s="35" t="str">
        <f xml:space="preserve"> IFERROR( SEARCH($S$2, $F25), "")</f>
        <v/>
      </c>
      <c r="T25" s="35" t="str">
        <f xml:space="preserve"> IFERROR(LEFT($I25, S25-1), "")</f>
        <v/>
      </c>
      <c r="U25" s="35" t="str">
        <f>IFERROR( _xlfn.CONCAT(LEFT(T25,LEN(T25)-1), RIGHT(C25,1), _xlfn.UNICHAR(794)), "")</f>
        <v/>
      </c>
      <c r="W25" s="35">
        <f xml:space="preserve"> IFERROR( SEARCH($W$2, $F25), "")</f>
        <v>3</v>
      </c>
      <c r="X25" s="35" t="str">
        <f xml:space="preserve"> IF(AND(LEN(W25)&gt;0,W25&gt;0), LEFT(F25, LEN(F25)-3), "")</f>
        <v>aʊ</v>
      </c>
      <c r="Y25" s="35" t="str">
        <f>IF(AND(LEN(W25)&gt;0,LEN(X25)&gt;0),_xlfn.CONCAT(X25,MID(C25,W25+1,1)), "")</f>
        <v>aʊʔ</v>
      </c>
    </row>
    <row r="26" spans="1:25" ht="33.75" thickBot="1">
      <c r="A26" s="35">
        <f xml:space="preserve"> ROW() - 2</f>
        <v>24</v>
      </c>
      <c r="B26" s="42" t="s">
        <v>50</v>
      </c>
      <c r="C26" s="41" t="s">
        <v>643</v>
      </c>
      <c r="D26" s="40" t="s">
        <v>110</v>
      </c>
      <c r="E26" s="40" t="s">
        <v>642</v>
      </c>
      <c r="F26" s="41" t="s">
        <v>641</v>
      </c>
      <c r="G26" s="40" t="s">
        <v>640</v>
      </c>
      <c r="H26" s="40" t="s">
        <v>639</v>
      </c>
      <c r="I26" s="40" t="s">
        <v>638</v>
      </c>
      <c r="J26" s="40" t="s">
        <v>637</v>
      </c>
      <c r="K26" s="40" t="s">
        <v>638</v>
      </c>
      <c r="L26" s="40" t="s">
        <v>637</v>
      </c>
      <c r="M26" s="37"/>
      <c r="N26" s="38" t="str">
        <f xml:space="preserve"> Q26 &amp; T26 &amp; X26</f>
        <v>ɪa</v>
      </c>
      <c r="O26" s="38" t="str">
        <f xml:space="preserve"> U26 &amp; Y26</f>
        <v>ɪaʔ</v>
      </c>
      <c r="P26" s="38"/>
      <c r="Q26" s="38" t="str">
        <f xml:space="preserve"> IF( AND(S26="", W26=""), F26, "")</f>
        <v/>
      </c>
      <c r="R26" s="37"/>
      <c r="S26" s="35" t="str">
        <f xml:space="preserve"> IFERROR( SEARCH($S$2, $F26), "")</f>
        <v/>
      </c>
      <c r="T26" s="35" t="str">
        <f xml:space="preserve"> IFERROR(LEFT($I26, S26-1), "")</f>
        <v/>
      </c>
      <c r="U26" s="35" t="str">
        <f>IFERROR( _xlfn.CONCAT(LEFT(T26,LEN(T26)-1), RIGHT(C26,1), _xlfn.UNICHAR(794)), "")</f>
        <v/>
      </c>
      <c r="W26" s="35">
        <f xml:space="preserve"> IFERROR( SEARCH($W$2, $F26), "")</f>
        <v>3</v>
      </c>
      <c r="X26" s="35" t="str">
        <f xml:space="preserve"> IF(AND(LEN(W26)&gt;0,W26&gt;0), LEFT(F26, LEN(F26)-3), "")</f>
        <v>ɪa</v>
      </c>
      <c r="Y26" s="35" t="str">
        <f>IF(AND(LEN(W26)&gt;0,LEN(X26)&gt;0),_xlfn.CONCAT(X26,MID(C26,W26+1,1)), "")</f>
        <v>ɪaʔ</v>
      </c>
    </row>
    <row r="27" spans="1:25" ht="33.75" thickBot="1">
      <c r="A27" s="35">
        <f xml:space="preserve"> ROW() - 2</f>
        <v>25</v>
      </c>
      <c r="B27" s="42" t="s">
        <v>112</v>
      </c>
      <c r="C27" s="41" t="s">
        <v>636</v>
      </c>
      <c r="D27" s="40" t="s">
        <v>635</v>
      </c>
      <c r="E27" s="40" t="s">
        <v>634</v>
      </c>
      <c r="F27" s="41" t="s">
        <v>633</v>
      </c>
      <c r="G27" s="40" t="s">
        <v>113</v>
      </c>
      <c r="H27" s="40" t="s">
        <v>632</v>
      </c>
      <c r="I27" s="40" t="s">
        <v>631</v>
      </c>
      <c r="J27" s="40" t="s">
        <v>630</v>
      </c>
      <c r="K27" s="40" t="s">
        <v>631</v>
      </c>
      <c r="L27" s="40" t="s">
        <v>630</v>
      </c>
      <c r="M27" s="37"/>
      <c r="N27" s="38" t="str">
        <f xml:space="preserve"> Q27 &amp; T27 &amp; X27</f>
        <v>ue</v>
      </c>
      <c r="O27" s="38" t="str">
        <f xml:space="preserve"> U27 &amp; Y27</f>
        <v>ue(</v>
      </c>
      <c r="P27" s="38"/>
      <c r="Q27" s="38" t="str">
        <f xml:space="preserve"> IF( AND(S27="", W27=""), F27, "")</f>
        <v/>
      </c>
      <c r="R27" s="37"/>
      <c r="S27" s="35" t="str">
        <f xml:space="preserve"> IFERROR( SEARCH($S$2, $F27), "")</f>
        <v/>
      </c>
      <c r="T27" s="35" t="str">
        <f xml:space="preserve"> IFERROR(LEFT($I27, S27-1), "")</f>
        <v/>
      </c>
      <c r="U27" s="35" t="str">
        <f>IFERROR( _xlfn.CONCAT(LEFT(T27,LEN(T27)-1), RIGHT(C27,1), _xlfn.UNICHAR(794)), "")</f>
        <v/>
      </c>
      <c r="W27" s="35">
        <f xml:space="preserve"> IFERROR( SEARCH($W$2, $F27), "")</f>
        <v>3</v>
      </c>
      <c r="X27" s="35" t="str">
        <f xml:space="preserve"> IF(AND(LEN(W27)&gt;0,W27&gt;0), LEFT(F27, LEN(F27)-3), "")</f>
        <v>ue</v>
      </c>
      <c r="Y27" s="35" t="str">
        <f>IF(AND(LEN(W27)&gt;0,LEN(X27)&gt;0),_xlfn.CONCAT(X27,MID(C27,W27+1,1)), "")</f>
        <v>ue(</v>
      </c>
    </row>
    <row r="28" spans="1:25" ht="33.75" thickBot="1">
      <c r="A28" s="35">
        <f xml:space="preserve"> ROW() - 2</f>
        <v>26</v>
      </c>
      <c r="B28" s="42" t="s">
        <v>97</v>
      </c>
      <c r="C28" s="41" t="s">
        <v>629</v>
      </c>
      <c r="D28" s="40" t="s">
        <v>628</v>
      </c>
      <c r="E28" s="40" t="s">
        <v>627</v>
      </c>
      <c r="F28" s="41" t="s">
        <v>629</v>
      </c>
      <c r="G28" s="40" t="s">
        <v>628</v>
      </c>
      <c r="H28" s="40" t="s">
        <v>627</v>
      </c>
      <c r="I28" s="40" t="s">
        <v>626</v>
      </c>
      <c r="J28" s="40" t="s">
        <v>625</v>
      </c>
      <c r="K28" s="40" t="s">
        <v>624</v>
      </c>
      <c r="L28" s="40" t="s">
        <v>623</v>
      </c>
      <c r="M28" s="37"/>
      <c r="N28" s="38" t="str">
        <f xml:space="preserve"> Q28 &amp; T28 &amp; X28</f>
        <v>ã</v>
      </c>
      <c r="O28" s="38" t="str">
        <f xml:space="preserve"> U28 &amp; Y28</f>
        <v>ãʔ</v>
      </c>
      <c r="P28" s="38"/>
      <c r="Q28" s="38" t="str">
        <f xml:space="preserve"> IF( AND(S28="", W28=""), F28, "")</f>
        <v/>
      </c>
      <c r="R28" s="37"/>
      <c r="S28" s="35" t="str">
        <f xml:space="preserve"> IFERROR( SEARCH($S$2, $F28), "")</f>
        <v/>
      </c>
      <c r="T28" s="35" t="str">
        <f xml:space="preserve"> IFERROR(LEFT($I28, S28-1), "")</f>
        <v/>
      </c>
      <c r="U28" s="35" t="str">
        <f>IFERROR( _xlfn.CONCAT(LEFT(T28,LEN(T28)-1), RIGHT(C28,1), _xlfn.UNICHAR(794)), "")</f>
        <v/>
      </c>
      <c r="W28" s="35">
        <f xml:space="preserve"> IFERROR( SEARCH($W$2, $F28), "")</f>
        <v>2</v>
      </c>
      <c r="X28" s="35" t="str">
        <f xml:space="preserve"> IF(AND(LEN(W28)&gt;0,W28&gt;0), LEFT(F28, LEN(F28)-3), "")</f>
        <v>ã</v>
      </c>
      <c r="Y28" s="35" t="str">
        <f>IF(AND(LEN(W28)&gt;0,LEN(X28)&gt;0),_xlfn.CONCAT(X28,MID(C28,W28+1,1)), "")</f>
        <v>ãʔ</v>
      </c>
    </row>
    <row r="29" spans="1:25" ht="33.75" thickBot="1">
      <c r="A29" s="35">
        <f xml:space="preserve"> ROW() - 2</f>
        <v>27</v>
      </c>
      <c r="B29" s="42" t="s">
        <v>119</v>
      </c>
      <c r="C29" s="41" t="s">
        <v>622</v>
      </c>
      <c r="D29" s="40" t="s">
        <v>120</v>
      </c>
      <c r="E29" s="40" t="s">
        <v>621</v>
      </c>
      <c r="F29" s="41" t="s">
        <v>622</v>
      </c>
      <c r="G29" s="40" t="s">
        <v>120</v>
      </c>
      <c r="H29" s="40" t="s">
        <v>621</v>
      </c>
      <c r="I29" s="40" t="s">
        <v>620</v>
      </c>
      <c r="J29" s="40" t="s">
        <v>619</v>
      </c>
      <c r="K29" s="40" t="s">
        <v>620</v>
      </c>
      <c r="L29" s="40" t="s">
        <v>619</v>
      </c>
      <c r="M29" s="37"/>
      <c r="N29" s="38" t="str">
        <f xml:space="preserve"> Q29 &amp; T29 &amp; X29</f>
        <v>u</v>
      </c>
      <c r="O29" s="38" t="str">
        <f xml:space="preserve"> U29 &amp; Y29</f>
        <v>uʔ</v>
      </c>
      <c r="P29" s="38"/>
      <c r="Q29" s="38" t="str">
        <f xml:space="preserve"> IF( AND(S29="", W29=""), F29, "")</f>
        <v/>
      </c>
      <c r="R29" s="37"/>
      <c r="S29" s="35" t="str">
        <f xml:space="preserve"> IFERROR( SEARCH($S$2, $F29), "")</f>
        <v/>
      </c>
      <c r="T29" s="35" t="str">
        <f xml:space="preserve"> IFERROR(LEFT($I29, S29-1), "")</f>
        <v/>
      </c>
      <c r="U29" s="35" t="str">
        <f>IFERROR( _xlfn.CONCAT(LEFT(T29,LEN(T29)-1), RIGHT(C29,1), _xlfn.UNICHAR(794)), "")</f>
        <v/>
      </c>
      <c r="W29" s="35">
        <f xml:space="preserve"> IFERROR( SEARCH($W$2, $F29), "")</f>
        <v>2</v>
      </c>
      <c r="X29" s="35" t="str">
        <f xml:space="preserve"> IF(AND(LEN(W29)&gt;0,W29&gt;0), LEFT(F29, LEN(F29)-3), "")</f>
        <v>u</v>
      </c>
      <c r="Y29" s="35" t="str">
        <f>IF(AND(LEN(W29)&gt;0,LEN(X29)&gt;0),_xlfn.CONCAT(X29,MID(C29,W29+1,1)), "")</f>
        <v>uʔ</v>
      </c>
    </row>
    <row r="30" spans="1:25" ht="33.75" thickBot="1">
      <c r="A30" s="35">
        <f xml:space="preserve"> ROW() - 2</f>
        <v>28</v>
      </c>
      <c r="B30" s="42" t="s">
        <v>109</v>
      </c>
      <c r="C30" s="41" t="s">
        <v>618</v>
      </c>
      <c r="D30" s="40" t="s">
        <v>121</v>
      </c>
      <c r="E30" s="40" t="s">
        <v>617</v>
      </c>
      <c r="F30" s="41" t="s">
        <v>618</v>
      </c>
      <c r="G30" s="40" t="s">
        <v>121</v>
      </c>
      <c r="H30" s="40" t="s">
        <v>617</v>
      </c>
      <c r="I30" s="40" t="s">
        <v>616</v>
      </c>
      <c r="J30" s="40" t="s">
        <v>615</v>
      </c>
      <c r="K30" s="40" t="s">
        <v>616</v>
      </c>
      <c r="L30" s="40" t="s">
        <v>615</v>
      </c>
      <c r="M30" s="37"/>
      <c r="N30" s="38" t="str">
        <f xml:space="preserve"> Q30 &amp; T30 &amp; X30</f>
        <v>a</v>
      </c>
      <c r="O30" s="38" t="str">
        <f xml:space="preserve"> U30 &amp; Y30</f>
        <v>aʔ</v>
      </c>
      <c r="P30" s="38"/>
      <c r="Q30" s="38" t="str">
        <f xml:space="preserve"> IF( AND(S30="", W30=""), F30, "")</f>
        <v/>
      </c>
      <c r="R30" s="37"/>
      <c r="S30" s="35" t="str">
        <f xml:space="preserve"> IFERROR( SEARCH($S$2, $F30), "")</f>
        <v/>
      </c>
      <c r="T30" s="35" t="str">
        <f xml:space="preserve"> IFERROR(LEFT($I30, S30-1), "")</f>
        <v/>
      </c>
      <c r="U30" s="35" t="str">
        <f>IFERROR( _xlfn.CONCAT(LEFT(T30,LEN(T30)-1), RIGHT(C30,1), _xlfn.UNICHAR(794)), "")</f>
        <v/>
      </c>
      <c r="W30" s="35">
        <f xml:space="preserve"> IFERROR( SEARCH($W$2, $F30), "")</f>
        <v>2</v>
      </c>
      <c r="X30" s="35" t="str">
        <f xml:space="preserve"> IF(AND(LEN(W30)&gt;0,W30&gt;0), LEFT(F30, LEN(F30)-3), "")</f>
        <v>a</v>
      </c>
      <c r="Y30" s="35" t="str">
        <f>IF(AND(LEN(W30)&gt;0,LEN(X30)&gt;0),_xlfn.CONCAT(X30,MID(C30,W30+1,1)), "")</f>
        <v>aʔ</v>
      </c>
    </row>
    <row r="31" spans="1:25" ht="33.75" thickBot="1">
      <c r="A31" s="35">
        <f xml:space="preserve"> ROW() - 2</f>
        <v>29</v>
      </c>
      <c r="B31" s="42" t="s">
        <v>122</v>
      </c>
      <c r="C31" s="41" t="s">
        <v>614</v>
      </c>
      <c r="D31" s="40" t="s">
        <v>123</v>
      </c>
      <c r="E31" s="40" t="s">
        <v>613</v>
      </c>
      <c r="F31" s="41" t="s">
        <v>614</v>
      </c>
      <c r="G31" s="40" t="s">
        <v>123</v>
      </c>
      <c r="H31" s="40" t="s">
        <v>613</v>
      </c>
      <c r="I31" s="40" t="s">
        <v>612</v>
      </c>
      <c r="J31" s="40" t="s">
        <v>611</v>
      </c>
      <c r="K31" s="40" t="s">
        <v>612</v>
      </c>
      <c r="L31" s="40" t="s">
        <v>611</v>
      </c>
      <c r="M31" s="37"/>
      <c r="N31" s="38" t="str">
        <f xml:space="preserve"> Q31 &amp; T31 &amp; X31</f>
        <v>i</v>
      </c>
      <c r="O31" s="38" t="str">
        <f xml:space="preserve"> U31 &amp; Y31</f>
        <v>iʔ</v>
      </c>
      <c r="P31" s="38"/>
      <c r="Q31" s="38" t="str">
        <f xml:space="preserve"> IF( AND(S31="", W31=""), F31, "")</f>
        <v/>
      </c>
      <c r="R31" s="37"/>
      <c r="S31" s="35" t="str">
        <f xml:space="preserve"> IFERROR( SEARCH($S$2, $F31), "")</f>
        <v/>
      </c>
      <c r="T31" s="35" t="str">
        <f xml:space="preserve"> IFERROR(LEFT($I31, S31-1), "")</f>
        <v/>
      </c>
      <c r="U31" s="35" t="str">
        <f>IFERROR( _xlfn.CONCAT(LEFT(T31,LEN(T31)-1), RIGHT(C31,1), _xlfn.UNICHAR(794)), "")</f>
        <v/>
      </c>
      <c r="W31" s="35">
        <f xml:space="preserve"> IFERROR( SEARCH($W$2, $F31), "")</f>
        <v>2</v>
      </c>
      <c r="X31" s="35" t="str">
        <f xml:space="preserve"> IF(AND(LEN(W31)&gt;0,W31&gt;0), LEFT(F31, LEN(F31)-3), "")</f>
        <v>i</v>
      </c>
      <c r="Y31" s="35" t="str">
        <f>IF(AND(LEN(W31)&gt;0,LEN(X31)&gt;0),_xlfn.CONCAT(X31,MID(C31,W31+1,1)), "")</f>
        <v>iʔ</v>
      </c>
    </row>
    <row r="32" spans="1:25" ht="33.75" thickBot="1">
      <c r="A32" s="35">
        <f xml:space="preserve"> ROW() - 2</f>
        <v>30</v>
      </c>
      <c r="B32" s="42" t="s">
        <v>41</v>
      </c>
      <c r="C32" s="41" t="s">
        <v>125</v>
      </c>
      <c r="D32" s="40" t="s">
        <v>125</v>
      </c>
      <c r="E32" s="39" t="s">
        <v>537</v>
      </c>
      <c r="F32" s="41" t="s">
        <v>125</v>
      </c>
      <c r="G32" s="40" t="s">
        <v>125</v>
      </c>
      <c r="H32" s="39" t="s">
        <v>537</v>
      </c>
      <c r="I32" s="40" t="s">
        <v>125</v>
      </c>
      <c r="J32" s="39" t="s">
        <v>537</v>
      </c>
      <c r="K32" s="40" t="s">
        <v>125</v>
      </c>
      <c r="L32" s="39" t="s">
        <v>537</v>
      </c>
      <c r="M32" s="37"/>
      <c r="N32" s="38" t="str">
        <f xml:space="preserve"> Q32 &amp; T32 &amp; X32</f>
        <v>iu</v>
      </c>
      <c r="O32" s="38" t="str">
        <f xml:space="preserve"> U32 &amp; Y32</f>
        <v/>
      </c>
      <c r="P32" s="38"/>
      <c r="Q32" s="38" t="str">
        <f xml:space="preserve"> IF( AND(S32="", W32=""), F32, "")</f>
        <v>iu</v>
      </c>
      <c r="R32" s="37"/>
      <c r="S32" s="35" t="str">
        <f xml:space="preserve"> IFERROR( SEARCH($S$2, $F32), "")</f>
        <v/>
      </c>
      <c r="T32" s="35" t="str">
        <f xml:space="preserve"> IFERROR(LEFT($I32, S32-1), "")</f>
        <v/>
      </c>
      <c r="U32" s="35" t="str">
        <f>IFERROR( _xlfn.CONCAT(LEFT(T32,LEN(T32)-1), RIGHT(C32,1), _xlfn.UNICHAR(794)), "")</f>
        <v/>
      </c>
      <c r="W32" s="35" t="str">
        <f xml:space="preserve"> IFERROR( SEARCH($W$2, $F32), "")</f>
        <v/>
      </c>
      <c r="X32" s="35" t="str">
        <f xml:space="preserve"> IF(AND(LEN(W32)&gt;0,W32&gt;0), LEFT(F32, LEN(F32)-3), "")</f>
        <v/>
      </c>
      <c r="Y32" s="35" t="str">
        <f>IF(AND(LEN(W32)&gt;0,LEN(X32)&gt;0),_xlfn.CONCAT(X32,MID(C32,W32+1,1)), "")</f>
        <v/>
      </c>
    </row>
    <row r="33" spans="1:25" ht="33.75" thickBot="1">
      <c r="A33" s="35">
        <f xml:space="preserve"> ROW() - 2</f>
        <v>31</v>
      </c>
      <c r="B33" s="42" t="s">
        <v>65</v>
      </c>
      <c r="C33" s="41" t="s">
        <v>610</v>
      </c>
      <c r="D33" s="40" t="s">
        <v>610</v>
      </c>
      <c r="E33" s="39" t="s">
        <v>537</v>
      </c>
      <c r="F33" s="41" t="s">
        <v>374</v>
      </c>
      <c r="G33" s="40" t="s">
        <v>374</v>
      </c>
      <c r="H33" s="39" t="s">
        <v>537</v>
      </c>
      <c r="I33" s="40" t="s">
        <v>376</v>
      </c>
      <c r="J33" s="39" t="s">
        <v>537</v>
      </c>
      <c r="K33" s="40" t="s">
        <v>373</v>
      </c>
      <c r="L33" s="39" t="s">
        <v>537</v>
      </c>
      <c r="M33" s="37"/>
      <c r="N33" s="38" t="str">
        <f xml:space="preserve"> Q33 &amp; T33 &amp; X33</f>
        <v>ẽ</v>
      </c>
      <c r="O33" s="38" t="str">
        <f xml:space="preserve"> U33 &amp; Y33</f>
        <v/>
      </c>
      <c r="P33" s="38"/>
      <c r="Q33" s="38" t="str">
        <f xml:space="preserve"> IF( AND(S33="", W33=""), F33, "")</f>
        <v>ẽ</v>
      </c>
      <c r="R33" s="37"/>
      <c r="S33" s="35" t="str">
        <f xml:space="preserve"> IFERROR( SEARCH($S$2, $F33), "")</f>
        <v/>
      </c>
      <c r="T33" s="35" t="str">
        <f xml:space="preserve"> IFERROR(LEFT($I33, S33-1), "")</f>
        <v/>
      </c>
      <c r="U33" s="35" t="str">
        <f>IFERROR( _xlfn.CONCAT(LEFT(T33,LEN(T33)-1), RIGHT(C33,1), _xlfn.UNICHAR(794)), "")</f>
        <v/>
      </c>
      <c r="W33" s="35" t="str">
        <f xml:space="preserve"> IFERROR( SEARCH($W$2, $F33), "")</f>
        <v/>
      </c>
      <c r="X33" s="35" t="str">
        <f xml:space="preserve"> IF(AND(LEN(W33)&gt;0,W33&gt;0), LEFT(F33, LEN(F33)-3), "")</f>
        <v/>
      </c>
      <c r="Y33" s="35" t="str">
        <f>IF(AND(LEN(W33)&gt;0,LEN(X33)&gt;0),_xlfn.CONCAT(X33,MID(C33,W33+1,1)), "")</f>
        <v/>
      </c>
    </row>
    <row r="34" spans="1:25" ht="33.75" thickBot="1">
      <c r="A34" s="35">
        <f xml:space="preserve"> ROW() - 2</f>
        <v>32</v>
      </c>
      <c r="B34" s="42" t="s">
        <v>10</v>
      </c>
      <c r="C34" s="41" t="s">
        <v>609</v>
      </c>
      <c r="D34" s="40" t="s">
        <v>609</v>
      </c>
      <c r="E34" s="39" t="s">
        <v>537</v>
      </c>
      <c r="F34" s="41" t="s">
        <v>609</v>
      </c>
      <c r="G34" s="40" t="s">
        <v>387</v>
      </c>
      <c r="H34" s="39" t="s">
        <v>537</v>
      </c>
      <c r="I34" s="40" t="s">
        <v>389</v>
      </c>
      <c r="J34" s="39" t="s">
        <v>537</v>
      </c>
      <c r="K34" s="40" t="s">
        <v>386</v>
      </c>
      <c r="L34" s="39" t="s">
        <v>537</v>
      </c>
      <c r="M34" s="37"/>
      <c r="N34" s="38" t="str">
        <f xml:space="preserve"> Q34 &amp; T34 &amp; X34</f>
        <v>ũĩ</v>
      </c>
      <c r="O34" s="38" t="str">
        <f xml:space="preserve"> U34 &amp; Y34</f>
        <v/>
      </c>
      <c r="P34" s="38"/>
      <c r="Q34" s="38" t="str">
        <f xml:space="preserve"> IF( AND(S34="", W34=""), F34, "")</f>
        <v>ũĩ</v>
      </c>
      <c r="R34" s="37"/>
      <c r="S34" s="35" t="str">
        <f xml:space="preserve"> IFERROR( SEARCH($S$2, $F34), "")</f>
        <v/>
      </c>
      <c r="T34" s="35" t="str">
        <f xml:space="preserve"> IFERROR(LEFT($I34, S34-1), "")</f>
        <v/>
      </c>
      <c r="U34" s="35" t="str">
        <f>IFERROR( _xlfn.CONCAT(LEFT(T34,LEN(T34)-1), RIGHT(C34,1), _xlfn.UNICHAR(794)), "")</f>
        <v/>
      </c>
      <c r="W34" s="35" t="str">
        <f xml:space="preserve"> IFERROR( SEARCH($W$2, $F34), "")</f>
        <v/>
      </c>
      <c r="X34" s="35" t="str">
        <f xml:space="preserve"> IF(AND(LEN(W34)&gt;0,W34&gt;0), LEFT(F34, LEN(F34)-3), "")</f>
        <v/>
      </c>
      <c r="Y34" s="35" t="str">
        <f>IF(AND(LEN(W34)&gt;0,LEN(X34)&gt;0),_xlfn.CONCAT(X34,MID(C34,W34+1,1)), "")</f>
        <v/>
      </c>
    </row>
    <row r="35" spans="1:25" ht="33.75" thickBot="1">
      <c r="A35" s="35">
        <f xml:space="preserve"> ROW() - 2</f>
        <v>33</v>
      </c>
      <c r="B35" s="42" t="s">
        <v>49</v>
      </c>
      <c r="C35" s="41" t="s">
        <v>608</v>
      </c>
      <c r="D35" s="40" t="s">
        <v>393</v>
      </c>
      <c r="E35" s="40" t="s">
        <v>607</v>
      </c>
      <c r="F35" s="41" t="s">
        <v>606</v>
      </c>
      <c r="G35" s="40" t="s">
        <v>605</v>
      </c>
      <c r="H35" s="40" t="s">
        <v>604</v>
      </c>
      <c r="I35" s="40" t="s">
        <v>603</v>
      </c>
      <c r="J35" s="40" t="s">
        <v>602</v>
      </c>
      <c r="K35" s="40" t="s">
        <v>603</v>
      </c>
      <c r="L35" s="40" t="s">
        <v>602</v>
      </c>
      <c r="M35" s="37"/>
      <c r="N35" s="38" t="str">
        <f xml:space="preserve"> Q35 &amp; T35 &amp; X35</f>
        <v>ɪo</v>
      </c>
      <c r="O35" s="38" t="str">
        <f xml:space="preserve"> U35 &amp; Y35</f>
        <v>ɪoʔ</v>
      </c>
      <c r="P35" s="38"/>
      <c r="Q35" s="38" t="str">
        <f xml:space="preserve"> IF( AND(S35="", W35=""), F35, "")</f>
        <v/>
      </c>
      <c r="R35" s="37"/>
      <c r="S35" s="35" t="str">
        <f xml:space="preserve"> IFERROR( SEARCH($S$2, $F35), "")</f>
        <v/>
      </c>
      <c r="T35" s="35" t="str">
        <f xml:space="preserve"> IFERROR(LEFT($I35, S35-1), "")</f>
        <v/>
      </c>
      <c r="U35" s="35" t="str">
        <f>IFERROR( _xlfn.CONCAT(LEFT(T35,LEN(T35)-1), RIGHT(C35,1), _xlfn.UNICHAR(794)), "")</f>
        <v/>
      </c>
      <c r="W35" s="35">
        <f xml:space="preserve"> IFERROR( SEARCH($W$2, $F35), "")</f>
        <v>3</v>
      </c>
      <c r="X35" s="35" t="str">
        <f xml:space="preserve"> IF(AND(LEN(W35)&gt;0,W35&gt;0), LEFT(F35, LEN(F35)-3), "")</f>
        <v>ɪo</v>
      </c>
      <c r="Y35" s="35" t="str">
        <f>IF(AND(LEN(W35)&gt;0,LEN(X35)&gt;0),_xlfn.CONCAT(X35,MID(C35,W35+1,1)), "")</f>
        <v>ɪoʔ</v>
      </c>
    </row>
    <row r="36" spans="1:25" ht="33.75" thickBot="1">
      <c r="A36" s="35">
        <f xml:space="preserve"> ROW() - 2</f>
        <v>34</v>
      </c>
      <c r="B36" s="42" t="s">
        <v>131</v>
      </c>
      <c r="C36" s="41" t="s">
        <v>601</v>
      </c>
      <c r="D36" s="40" t="s">
        <v>401</v>
      </c>
      <c r="E36" s="40" t="s">
        <v>600</v>
      </c>
      <c r="F36" s="41" t="s">
        <v>601</v>
      </c>
      <c r="G36" s="40" t="s">
        <v>401</v>
      </c>
      <c r="H36" s="40" t="s">
        <v>600</v>
      </c>
      <c r="I36" s="40" t="s">
        <v>599</v>
      </c>
      <c r="J36" s="40" t="s">
        <v>598</v>
      </c>
      <c r="K36" s="40" t="s">
        <v>597</v>
      </c>
      <c r="L36" s="40" t="s">
        <v>596</v>
      </c>
      <c r="M36" s="37"/>
      <c r="N36" s="38" t="str">
        <f xml:space="preserve"> Q36 &amp; T36 &amp; X36</f>
        <v>ĩ</v>
      </c>
      <c r="O36" s="38" t="str">
        <f xml:space="preserve"> U36 &amp; Y36</f>
        <v>ĩʔ</v>
      </c>
      <c r="P36" s="38"/>
      <c r="Q36" s="38" t="str">
        <f xml:space="preserve"> IF( AND(S36="", W36=""), F36, "")</f>
        <v/>
      </c>
      <c r="R36" s="37"/>
      <c r="S36" s="35" t="str">
        <f xml:space="preserve"> IFERROR( SEARCH($S$2, $F36), "")</f>
        <v/>
      </c>
      <c r="T36" s="35" t="str">
        <f xml:space="preserve"> IFERROR(LEFT($I36, S36-1), "")</f>
        <v/>
      </c>
      <c r="U36" s="35" t="str">
        <f>IFERROR( _xlfn.CONCAT(LEFT(T36,LEN(T36)-1), RIGHT(C36,1), _xlfn.UNICHAR(794)), "")</f>
        <v/>
      </c>
      <c r="W36" s="35">
        <f xml:space="preserve"> IFERROR( SEARCH($W$2, $F36), "")</f>
        <v>2</v>
      </c>
      <c r="X36" s="35" t="str">
        <f xml:space="preserve"> IF(AND(LEN(W36)&gt;0,W36&gt;0), LEFT(F36, LEN(F36)-3), "")</f>
        <v>ĩ</v>
      </c>
      <c r="Y36" s="35" t="str">
        <f>IF(AND(LEN(W36)&gt;0,LEN(X36)&gt;0),_xlfn.CONCAT(X36,MID(C36,W36+1,1)), "")</f>
        <v>ĩʔ</v>
      </c>
    </row>
    <row r="37" spans="1:25" ht="33.75" thickBot="1">
      <c r="A37" s="35">
        <f xml:space="preserve"> ROW() - 2</f>
        <v>35</v>
      </c>
      <c r="B37" s="42" t="s">
        <v>93</v>
      </c>
      <c r="C37" s="41" t="s">
        <v>595</v>
      </c>
      <c r="D37" s="40" t="s">
        <v>595</v>
      </c>
      <c r="E37" s="39" t="s">
        <v>537</v>
      </c>
      <c r="F37" s="41" t="s">
        <v>414</v>
      </c>
      <c r="G37" s="40" t="s">
        <v>594</v>
      </c>
      <c r="H37" s="39" t="s">
        <v>537</v>
      </c>
      <c r="I37" s="40" t="s">
        <v>416</v>
      </c>
      <c r="J37" s="39" t="s">
        <v>537</v>
      </c>
      <c r="K37" s="40" t="s">
        <v>413</v>
      </c>
      <c r="L37" s="39" t="s">
        <v>537</v>
      </c>
      <c r="M37" s="37"/>
      <c r="N37" s="38" t="str">
        <f xml:space="preserve"> Q37 &amp; T37 &amp; X37</f>
        <v>ĩɔ̃</v>
      </c>
      <c r="O37" s="38" t="str">
        <f xml:space="preserve"> U37 &amp; Y37</f>
        <v/>
      </c>
      <c r="P37" s="38"/>
      <c r="Q37" s="38" t="str">
        <f xml:space="preserve"> IF( AND(S37="", W37=""), F37, "")</f>
        <v>ĩɔ̃</v>
      </c>
      <c r="R37" s="37"/>
      <c r="S37" s="35" t="str">
        <f xml:space="preserve"> IFERROR( SEARCH($S$2, $F37), "")</f>
        <v/>
      </c>
      <c r="T37" s="35" t="str">
        <f xml:space="preserve"> IFERROR(LEFT($I37, S37-1), "")</f>
        <v/>
      </c>
      <c r="U37" s="35" t="str">
        <f>IFERROR( _xlfn.CONCAT(LEFT(T37,LEN(T37)-1), RIGHT(C37,1), _xlfn.UNICHAR(794)), "")</f>
        <v/>
      </c>
      <c r="W37" s="35" t="str">
        <f xml:space="preserve"> IFERROR( SEARCH($W$2, $F37), "")</f>
        <v/>
      </c>
      <c r="X37" s="35" t="str">
        <f xml:space="preserve"> IF(AND(LEN(W37)&gt;0,W37&gt;0), LEFT(F37, LEN(F37)-3), "")</f>
        <v/>
      </c>
      <c r="Y37" s="35" t="str">
        <f>IF(AND(LEN(W37)&gt;0,LEN(X37)&gt;0),_xlfn.CONCAT(X37,MID(C37,W37+1,1)), "")</f>
        <v/>
      </c>
    </row>
    <row r="38" spans="1:25" ht="33.75" thickBot="1">
      <c r="A38" s="35">
        <f xml:space="preserve"> ROW() - 2</f>
        <v>36</v>
      </c>
      <c r="B38" s="42" t="s">
        <v>66</v>
      </c>
      <c r="C38" s="41" t="s">
        <v>593</v>
      </c>
      <c r="D38" s="40" t="s">
        <v>593</v>
      </c>
      <c r="E38" s="39" t="s">
        <v>537</v>
      </c>
      <c r="F38" s="41" t="s">
        <v>593</v>
      </c>
      <c r="G38" s="40" t="s">
        <v>420</v>
      </c>
      <c r="H38" s="39" t="s">
        <v>537</v>
      </c>
      <c r="I38" s="40" t="s">
        <v>423</v>
      </c>
      <c r="J38" s="39" t="s">
        <v>537</v>
      </c>
      <c r="K38" s="40" t="s">
        <v>132</v>
      </c>
      <c r="L38" s="39" t="s">
        <v>537</v>
      </c>
      <c r="M38" s="37"/>
      <c r="N38" s="38" t="str">
        <f xml:space="preserve"> Q38 &amp; T38 &amp; X38</f>
        <v>ĩã</v>
      </c>
      <c r="O38" s="38" t="str">
        <f xml:space="preserve"> U38 &amp; Y38</f>
        <v/>
      </c>
      <c r="P38" s="38"/>
      <c r="Q38" s="38" t="str">
        <f xml:space="preserve"> IF( AND(S38="", W38=""), F38, "")</f>
        <v>ĩã</v>
      </c>
      <c r="R38" s="37"/>
      <c r="S38" s="35" t="str">
        <f xml:space="preserve"> IFERROR( SEARCH($S$2, $F38), "")</f>
        <v/>
      </c>
      <c r="T38" s="35" t="str">
        <f xml:space="preserve"> IFERROR(LEFT($I38, S38-1), "")</f>
        <v/>
      </c>
      <c r="U38" s="35" t="str">
        <f>IFERROR( _xlfn.CONCAT(LEFT(T38,LEN(T38)-1), RIGHT(C38,1), _xlfn.UNICHAR(794)), "")</f>
        <v/>
      </c>
      <c r="W38" s="35" t="str">
        <f xml:space="preserve"> IFERROR( SEARCH($W$2, $F38), "")</f>
        <v/>
      </c>
      <c r="X38" s="35" t="str">
        <f xml:space="preserve"> IF(AND(LEN(W38)&gt;0,W38&gt;0), LEFT(F38, LEN(F38)-3), "")</f>
        <v/>
      </c>
      <c r="Y38" s="35" t="str">
        <f>IF(AND(LEN(W38)&gt;0,LEN(X38)&gt;0),_xlfn.CONCAT(X38,MID(C38,W38+1,1)), "")</f>
        <v/>
      </c>
    </row>
    <row r="39" spans="1:25" ht="33.75" thickBot="1">
      <c r="A39" s="35">
        <f xml:space="preserve"> ROW() - 2</f>
        <v>37</v>
      </c>
      <c r="B39" s="42" t="s">
        <v>70</v>
      </c>
      <c r="C39" s="41" t="s">
        <v>427</v>
      </c>
      <c r="D39" s="40" t="s">
        <v>427</v>
      </c>
      <c r="E39" s="39" t="s">
        <v>537</v>
      </c>
      <c r="F39" s="41" t="s">
        <v>427</v>
      </c>
      <c r="G39" s="40" t="s">
        <v>592</v>
      </c>
      <c r="H39" s="39" t="s">
        <v>537</v>
      </c>
      <c r="I39" s="40" t="s">
        <v>429</v>
      </c>
      <c r="J39" s="39" t="s">
        <v>537</v>
      </c>
      <c r="K39" s="40" t="s">
        <v>127</v>
      </c>
      <c r="L39" s="39" t="s">
        <v>537</v>
      </c>
      <c r="M39" s="37"/>
      <c r="N39" s="38" t="str">
        <f xml:space="preserve"> Q39 &amp; T39 &amp; X39</f>
        <v>ũã</v>
      </c>
      <c r="O39" s="38" t="str">
        <f xml:space="preserve"> U39 &amp; Y39</f>
        <v/>
      </c>
      <c r="P39" s="38"/>
      <c r="Q39" s="38" t="str">
        <f xml:space="preserve"> IF( AND(S39="", W39=""), F39, "")</f>
        <v>ũã</v>
      </c>
      <c r="R39" s="37"/>
      <c r="S39" s="35" t="str">
        <f xml:space="preserve"> IFERROR( SEARCH($S$2, $F39), "")</f>
        <v/>
      </c>
      <c r="T39" s="35" t="str">
        <f xml:space="preserve"> IFERROR(LEFT($I39, S39-1), "")</f>
        <v/>
      </c>
      <c r="U39" s="35" t="str">
        <f>IFERROR( _xlfn.CONCAT(LEFT(T39,LEN(T39)-1), RIGHT(C39,1), _xlfn.UNICHAR(794)), "")</f>
        <v/>
      </c>
      <c r="W39" s="35" t="str">
        <f xml:space="preserve"> IFERROR( SEARCH($W$2, $F39), "")</f>
        <v/>
      </c>
      <c r="X39" s="35" t="str">
        <f xml:space="preserve"> IF(AND(LEN(W39)&gt;0,W39&gt;0), LEFT(F39, LEN(F39)-3), "")</f>
        <v/>
      </c>
      <c r="Y39" s="35" t="str">
        <f>IF(AND(LEN(W39)&gt;0,LEN(X39)&gt;0),_xlfn.CONCAT(X39,MID(C39,W39+1,1)), "")</f>
        <v/>
      </c>
    </row>
    <row r="40" spans="1:25" ht="33.75" thickBot="1">
      <c r="A40" s="35">
        <f xml:space="preserve"> ROW() - 2</f>
        <v>38</v>
      </c>
      <c r="B40" s="42" t="s">
        <v>59</v>
      </c>
      <c r="C40" s="41" t="s">
        <v>158</v>
      </c>
      <c r="D40" s="40" t="s">
        <v>158</v>
      </c>
      <c r="E40" s="39" t="s">
        <v>537</v>
      </c>
      <c r="F40" s="41" t="s">
        <v>433</v>
      </c>
      <c r="G40" s="40" t="s">
        <v>433</v>
      </c>
      <c r="H40" s="39" t="s">
        <v>537</v>
      </c>
      <c r="I40" s="40" t="s">
        <v>130</v>
      </c>
      <c r="J40" s="39" t="s">
        <v>537</v>
      </c>
      <c r="K40" s="40" t="s">
        <v>130</v>
      </c>
      <c r="L40" s="39" t="s">
        <v>537</v>
      </c>
      <c r="M40" s="37"/>
      <c r="N40" s="38" t="str">
        <f xml:space="preserve"> Q40 &amp; T40 &amp; X40</f>
        <v>ŋ̍</v>
      </c>
      <c r="O40" s="38" t="str">
        <f xml:space="preserve"> U40 &amp; Y40</f>
        <v/>
      </c>
      <c r="P40" s="38"/>
      <c r="Q40" s="38" t="str">
        <f xml:space="preserve"> IF( AND(S40="", W40=""), F40, "")</f>
        <v>ŋ̍</v>
      </c>
      <c r="R40" s="37"/>
      <c r="S40" s="35" t="str">
        <f xml:space="preserve"> IFERROR( SEARCH($S$2, $F40), "")</f>
        <v/>
      </c>
      <c r="T40" s="35" t="str">
        <f xml:space="preserve"> IFERROR(LEFT($I40, S40-1), "")</f>
        <v/>
      </c>
      <c r="U40" s="35" t="str">
        <f>IFERROR( _xlfn.CONCAT(LEFT(T40,LEN(T40)-1), RIGHT(C40,1), _xlfn.UNICHAR(794)), "")</f>
        <v/>
      </c>
      <c r="W40" s="35" t="str">
        <f xml:space="preserve"> IFERROR( SEARCH($W$2, $F40), "")</f>
        <v/>
      </c>
      <c r="X40" s="35" t="str">
        <f xml:space="preserve"> IF(AND(LEN(W40)&gt;0,W40&gt;0), LEFT(F40, LEN(F40)-3), "")</f>
        <v/>
      </c>
      <c r="Y40" s="35" t="str">
        <f>IF(AND(LEN(W40)&gt;0,LEN(X40)&gt;0),_xlfn.CONCAT(X40,MID(C40,W40+1,1)), "")</f>
        <v/>
      </c>
    </row>
    <row r="41" spans="1:25" ht="33.75" thickBot="1">
      <c r="A41" s="35">
        <f xml:space="preserve"> ROW() - 2</f>
        <v>39</v>
      </c>
      <c r="B41" s="42" t="s">
        <v>111</v>
      </c>
      <c r="C41" s="41" t="s">
        <v>591</v>
      </c>
      <c r="D41" s="40" t="s">
        <v>133</v>
      </c>
      <c r="E41" s="40" t="s">
        <v>590</v>
      </c>
      <c r="F41" s="41" t="s">
        <v>591</v>
      </c>
      <c r="G41" s="40" t="s">
        <v>133</v>
      </c>
      <c r="H41" s="40" t="s">
        <v>590</v>
      </c>
      <c r="I41" s="40" t="s">
        <v>589</v>
      </c>
      <c r="J41" s="40" t="s">
        <v>588</v>
      </c>
      <c r="K41" s="40" t="s">
        <v>589</v>
      </c>
      <c r="L41" s="40" t="s">
        <v>588</v>
      </c>
      <c r="M41" s="37"/>
      <c r="N41" s="38" t="str">
        <f xml:space="preserve"> Q41 &amp; T41 &amp; X41</f>
        <v>e</v>
      </c>
      <c r="O41" s="38" t="str">
        <f xml:space="preserve"> U41 &amp; Y41</f>
        <v>eʔ</v>
      </c>
      <c r="P41" s="38"/>
      <c r="Q41" s="38" t="str">
        <f xml:space="preserve"> IF( AND(S41="", W41=""), F41, "")</f>
        <v/>
      </c>
      <c r="R41" s="37"/>
      <c r="S41" s="35" t="str">
        <f xml:space="preserve"> IFERROR( SEARCH($S$2, $F41), "")</f>
        <v/>
      </c>
      <c r="T41" s="35" t="str">
        <f xml:space="preserve"> IFERROR(LEFT($I41, S41-1), "")</f>
        <v/>
      </c>
      <c r="U41" s="35" t="str">
        <f>IFERROR( _xlfn.CONCAT(LEFT(T41,LEN(T41)-1), RIGHT(C41,1), _xlfn.UNICHAR(794)), "")</f>
        <v/>
      </c>
      <c r="W41" s="35">
        <f xml:space="preserve"> IFERROR( SEARCH($W$2, $F41), "")</f>
        <v>2</v>
      </c>
      <c r="X41" s="35" t="str">
        <f xml:space="preserve"> IF(AND(LEN(W41)&gt;0,W41&gt;0), LEFT(F41, LEN(F41)-3), "")</f>
        <v>e</v>
      </c>
      <c r="Y41" s="35" t="str">
        <f>IF(AND(LEN(W41)&gt;0,LEN(X41)&gt;0),_xlfn.CONCAT(X41,MID(C41,W41+1,1)), "")</f>
        <v>eʔ</v>
      </c>
    </row>
    <row r="42" spans="1:25" ht="33.75" thickBot="1">
      <c r="A42" s="35">
        <f xml:space="preserve"> ROW() - 2</f>
        <v>40</v>
      </c>
      <c r="B42" s="42" t="s">
        <v>53</v>
      </c>
      <c r="C42" s="41" t="s">
        <v>442</v>
      </c>
      <c r="D42" s="40" t="s">
        <v>442</v>
      </c>
      <c r="E42" s="39" t="s">
        <v>537</v>
      </c>
      <c r="F42" s="41" t="s">
        <v>442</v>
      </c>
      <c r="G42" s="40" t="s">
        <v>587</v>
      </c>
      <c r="H42" s="39" t="s">
        <v>537</v>
      </c>
      <c r="I42" s="40" t="s">
        <v>444</v>
      </c>
      <c r="J42" s="39" t="s">
        <v>537</v>
      </c>
      <c r="K42" s="40" t="s">
        <v>128</v>
      </c>
      <c r="L42" s="39" t="s">
        <v>537</v>
      </c>
      <c r="M42" s="37"/>
      <c r="N42" s="38" t="str">
        <f xml:space="preserve"> Q42 &amp; T42 &amp; X42</f>
        <v>ãĩ</v>
      </c>
      <c r="O42" s="38" t="str">
        <f xml:space="preserve"> U42 &amp; Y42</f>
        <v/>
      </c>
      <c r="P42" s="38"/>
      <c r="Q42" s="38" t="str">
        <f xml:space="preserve"> IF( AND(S42="", W42=""), F42, "")</f>
        <v>ãĩ</v>
      </c>
      <c r="R42" s="37"/>
      <c r="S42" s="35" t="str">
        <f xml:space="preserve"> IFERROR( SEARCH($S$2, $F42), "")</f>
        <v/>
      </c>
      <c r="T42" s="35" t="str">
        <f xml:space="preserve"> IFERROR(LEFT($I42, S42-1), "")</f>
        <v/>
      </c>
      <c r="U42" s="35" t="str">
        <f>IFERROR( _xlfn.CONCAT(LEFT(T42,LEN(T42)-1), RIGHT(C42,1), _xlfn.UNICHAR(794)), "")</f>
        <v/>
      </c>
      <c r="W42" s="35" t="str">
        <f xml:space="preserve"> IFERROR( SEARCH($W$2, $F42), "")</f>
        <v/>
      </c>
      <c r="X42" s="35" t="str">
        <f xml:space="preserve"> IF(AND(LEN(W42)&gt;0,W42&gt;0), LEFT(F42, LEN(F42)-3), "")</f>
        <v/>
      </c>
      <c r="Y42" s="35" t="str">
        <f>IF(AND(LEN(W42)&gt;0,LEN(X42)&gt;0),_xlfn.CONCAT(X42,MID(C42,W42+1,1)), "")</f>
        <v/>
      </c>
    </row>
    <row r="43" spans="1:25" ht="33.75" thickBot="1">
      <c r="A43" s="35">
        <f xml:space="preserve"> ROW() - 2</f>
        <v>41</v>
      </c>
      <c r="B43" s="42" t="s">
        <v>74</v>
      </c>
      <c r="C43" s="41" t="s">
        <v>586</v>
      </c>
      <c r="D43" s="40" t="s">
        <v>586</v>
      </c>
      <c r="E43" s="39" t="s">
        <v>537</v>
      </c>
      <c r="F43" s="41" t="s">
        <v>545</v>
      </c>
      <c r="G43" s="40" t="s">
        <v>545</v>
      </c>
      <c r="H43" s="39" t="s">
        <v>537</v>
      </c>
      <c r="I43" s="40" t="s">
        <v>450</v>
      </c>
      <c r="J43" s="39" t="s">
        <v>537</v>
      </c>
      <c r="K43" s="40" t="s">
        <v>142</v>
      </c>
      <c r="L43" s="39" t="s">
        <v>537</v>
      </c>
      <c r="M43" s="37"/>
      <c r="N43" s="38" t="str">
        <f xml:space="preserve"> Q43 &amp; T43 &amp; X43</f>
        <v>ɔ̃</v>
      </c>
      <c r="O43" s="38" t="str">
        <f xml:space="preserve"> U43 &amp; Y43</f>
        <v/>
      </c>
      <c r="P43" s="38"/>
      <c r="Q43" s="38" t="str">
        <f xml:space="preserve"> IF( AND(S43="", W43=""), F43, "")</f>
        <v>ɔ̃</v>
      </c>
      <c r="R43" s="37"/>
      <c r="S43" s="35" t="str">
        <f xml:space="preserve"> IFERROR( SEARCH($S$2, $F43), "")</f>
        <v/>
      </c>
      <c r="T43" s="35" t="str">
        <f xml:space="preserve"> IFERROR(LEFT($I43, S43-1), "")</f>
        <v/>
      </c>
      <c r="U43" s="35" t="str">
        <f>IFERROR( _xlfn.CONCAT(LEFT(T43,LEN(T43)-1), RIGHT(C43,1), _xlfn.UNICHAR(794)), "")</f>
        <v/>
      </c>
      <c r="W43" s="35" t="str">
        <f xml:space="preserve"> IFERROR( SEARCH($W$2, $F43), "")</f>
        <v/>
      </c>
      <c r="X43" s="35" t="str">
        <f xml:space="preserve"> IF(AND(LEN(W43)&gt;0,W43&gt;0), LEFT(F43, LEN(F43)-3), "")</f>
        <v/>
      </c>
      <c r="Y43" s="35" t="str">
        <f>IF(AND(LEN(W43)&gt;0,LEN(X43)&gt;0),_xlfn.CONCAT(X43,MID(C43,W43+1,1)), "")</f>
        <v/>
      </c>
    </row>
    <row r="44" spans="1:25" ht="33.75" thickBot="1">
      <c r="A44" s="35">
        <f xml:space="preserve"> ROW() - 2</f>
        <v>42</v>
      </c>
      <c r="B44" s="42" t="s">
        <v>75</v>
      </c>
      <c r="C44" s="41" t="s">
        <v>118</v>
      </c>
      <c r="D44" s="40" t="s">
        <v>118</v>
      </c>
      <c r="E44" s="39" t="s">
        <v>537</v>
      </c>
      <c r="F44" s="41" t="s">
        <v>454</v>
      </c>
      <c r="G44" s="40" t="s">
        <v>454</v>
      </c>
      <c r="H44" s="39" t="s">
        <v>537</v>
      </c>
      <c r="I44" s="40" t="s">
        <v>118</v>
      </c>
      <c r="J44" s="39" t="s">
        <v>537</v>
      </c>
      <c r="K44" s="40" t="s">
        <v>118</v>
      </c>
      <c r="L44" s="39" t="s">
        <v>537</v>
      </c>
      <c r="M44" s="37"/>
      <c r="N44" s="38" t="str">
        <f xml:space="preserve"> Q44 &amp; T44 &amp; X44</f>
        <v>m̩</v>
      </c>
      <c r="O44" s="38" t="str">
        <f xml:space="preserve"> U44 &amp; Y44</f>
        <v/>
      </c>
      <c r="P44" s="38"/>
      <c r="Q44" s="38" t="str">
        <f xml:space="preserve"> IF( AND(S44="", W44=""), F44, "")</f>
        <v>m̩</v>
      </c>
      <c r="R44" s="37"/>
      <c r="S44" s="35" t="str">
        <f xml:space="preserve"> IFERROR( SEARCH($S$2, $F44), "")</f>
        <v/>
      </c>
      <c r="T44" s="35" t="str">
        <f xml:space="preserve"> IFERROR(LEFT($I44, S44-1), "")</f>
        <v/>
      </c>
      <c r="U44" s="35" t="str">
        <f>IFERROR( _xlfn.CONCAT(LEFT(T44,LEN(T44)-1), RIGHT(C44,1), _xlfn.UNICHAR(794)), "")</f>
        <v/>
      </c>
      <c r="W44" s="35" t="str">
        <f xml:space="preserve"> IFERROR( SEARCH($W$2, $F44), "")</f>
        <v/>
      </c>
      <c r="X44" s="35" t="str">
        <f xml:space="preserve"> IF(AND(LEN(W44)&gt;0,W44&gt;0), LEFT(F44, LEN(F44)-3), "")</f>
        <v/>
      </c>
      <c r="Y44" s="35" t="str">
        <f>IF(AND(LEN(W44)&gt;0,LEN(X44)&gt;0),_xlfn.CONCAT(X44,MID(C44,W44+1,1)), "")</f>
        <v/>
      </c>
    </row>
    <row r="45" spans="1:25" ht="33.75" thickBot="1">
      <c r="A45" s="35">
        <f xml:space="preserve"> ROW() - 2</f>
        <v>43</v>
      </c>
      <c r="B45" s="42" t="s">
        <v>57</v>
      </c>
      <c r="C45" s="41" t="s">
        <v>585</v>
      </c>
      <c r="D45" s="40" t="s">
        <v>459</v>
      </c>
      <c r="E45" s="40" t="s">
        <v>463</v>
      </c>
      <c r="F45" s="41" t="s">
        <v>584</v>
      </c>
      <c r="G45" s="40" t="s">
        <v>459</v>
      </c>
      <c r="H45" s="40" t="s">
        <v>464</v>
      </c>
      <c r="I45" s="40" t="s">
        <v>583</v>
      </c>
      <c r="J45" s="40" t="s">
        <v>582</v>
      </c>
      <c r="K45" s="40" t="s">
        <v>583</v>
      </c>
      <c r="L45" s="40" t="s">
        <v>582</v>
      </c>
      <c r="M45" s="37"/>
      <c r="N45" s="38" t="str">
        <f xml:space="preserve"> Q45 &amp; T45 &amp; X45</f>
        <v>uan</v>
      </c>
      <c r="O45" s="38" t="str">
        <f xml:space="preserve"> U45 &amp; Y45</f>
        <v>uak̚</v>
      </c>
      <c r="P45" s="38"/>
      <c r="Q45" s="38" t="str">
        <f xml:space="preserve"> IF( AND(S45="", W45=""), F45, "")</f>
        <v/>
      </c>
      <c r="R45" s="37"/>
      <c r="S45" s="35">
        <f xml:space="preserve"> IFERROR( SEARCH($S$2, $F45), "")</f>
        <v>4</v>
      </c>
      <c r="T45" s="35" t="str">
        <f xml:space="preserve"> IFERROR(LEFT($I45, S45-1), "")</f>
        <v>uan</v>
      </c>
      <c r="U45" s="35" t="str">
        <f>IFERROR( _xlfn.CONCAT(LEFT(T45,LEN(T45)-1), RIGHT(C45,1), _xlfn.UNICHAR(794)), "")</f>
        <v>uak̚</v>
      </c>
      <c r="W45" s="35" t="str">
        <f xml:space="preserve"> IFERROR( SEARCH($W$2, $F45), "")</f>
        <v/>
      </c>
      <c r="X45" s="35" t="str">
        <f xml:space="preserve"> IF(AND(LEN(W45)&gt;0,W45&gt;0), LEFT(F45, LEN(F45)-3), "")</f>
        <v/>
      </c>
      <c r="Y45" s="35" t="str">
        <f>IF(AND(LEN(W45)&gt;0,LEN(X45)&gt;0),_xlfn.CONCAT(X45,MID(C45,W45+1,1)), "")</f>
        <v/>
      </c>
    </row>
    <row r="46" spans="1:25" ht="53.25" thickBot="1">
      <c r="A46" s="35">
        <f xml:space="preserve"> ROW() - 2</f>
        <v>44</v>
      </c>
      <c r="B46" s="42" t="s">
        <v>473</v>
      </c>
      <c r="C46" s="41" t="s">
        <v>580</v>
      </c>
      <c r="D46" s="40" t="s">
        <v>581</v>
      </c>
      <c r="E46" s="40" t="s">
        <v>573</v>
      </c>
      <c r="F46" s="41" t="s">
        <v>580</v>
      </c>
      <c r="G46" s="40" t="s">
        <v>579</v>
      </c>
      <c r="H46" s="40" t="s">
        <v>578</v>
      </c>
      <c r="I46" s="40" t="s">
        <v>577</v>
      </c>
      <c r="J46" s="40" t="s">
        <v>576</v>
      </c>
      <c r="K46" s="40" t="s">
        <v>575</v>
      </c>
      <c r="L46" s="40" t="s">
        <v>574</v>
      </c>
      <c r="M46" s="37"/>
      <c r="N46" s="38" t="str">
        <f xml:space="preserve"> Q46 &amp; T46 &amp; X46</f>
        <v>ũãĩ</v>
      </c>
      <c r="O46" s="38" t="str">
        <f xml:space="preserve"> U46 &amp; Y46</f>
        <v>ũãĩʔ</v>
      </c>
      <c r="P46" s="38"/>
      <c r="Q46" s="38" t="str">
        <f xml:space="preserve"> IF( AND(S46="", W46=""), F46, "")</f>
        <v/>
      </c>
      <c r="R46" s="37"/>
      <c r="S46" s="35" t="str">
        <f xml:space="preserve"> IFERROR( SEARCH($S$2, $F46), "")</f>
        <v/>
      </c>
      <c r="T46" s="35" t="str">
        <f xml:space="preserve"> IFERROR(LEFT($I46, S46-1), "")</f>
        <v/>
      </c>
      <c r="U46" s="35" t="str">
        <f>IFERROR( _xlfn.CONCAT(LEFT(T46,LEN(T46)-1), RIGHT(C46,1), _xlfn.UNICHAR(794)), "")</f>
        <v/>
      </c>
      <c r="W46" s="35">
        <f xml:space="preserve"> IFERROR( SEARCH($W$2, $F46), "")</f>
        <v>4</v>
      </c>
      <c r="X46" s="35" t="str">
        <f xml:space="preserve"> IF(AND(LEN(W46)&gt;0,W46&gt;0), LEFT(F46, LEN(F46)-3), "")</f>
        <v>ũãĩ</v>
      </c>
      <c r="Y46" s="35" t="s">
        <v>573</v>
      </c>
    </row>
    <row r="47" spans="1:25" ht="53.25" thickBot="1">
      <c r="A47" s="35">
        <f xml:space="preserve"> ROW() - 2</f>
        <v>45</v>
      </c>
      <c r="B47" s="42" t="s">
        <v>124</v>
      </c>
      <c r="C47" s="41" t="s">
        <v>572</v>
      </c>
      <c r="D47" s="40" t="s">
        <v>571</v>
      </c>
      <c r="E47" s="40" t="s">
        <v>570</v>
      </c>
      <c r="F47" s="41" t="s">
        <v>569</v>
      </c>
      <c r="G47" s="40" t="s">
        <v>482</v>
      </c>
      <c r="H47" s="40" t="s">
        <v>568</v>
      </c>
      <c r="I47" s="40" t="s">
        <v>567</v>
      </c>
      <c r="J47" s="40" t="s">
        <v>566</v>
      </c>
      <c r="K47" s="40" t="s">
        <v>565</v>
      </c>
      <c r="L47" s="40" t="s">
        <v>564</v>
      </c>
      <c r="M47" s="37"/>
      <c r="N47" s="38" t="str">
        <f xml:space="preserve"> Q47 &amp; T47 &amp; X47</f>
        <v>ũẽ</v>
      </c>
      <c r="O47" s="38" t="str">
        <f xml:space="preserve"> U47 &amp; Y47</f>
        <v>ũẽʔ</v>
      </c>
      <c r="P47" s="38"/>
      <c r="Q47" s="38" t="str">
        <f xml:space="preserve"> IF( AND(S47="", W47=""), F47, "")</f>
        <v/>
      </c>
      <c r="R47" s="37"/>
      <c r="S47" s="35" t="str">
        <f xml:space="preserve"> IFERROR( SEARCH($S$2, $F47), "")</f>
        <v/>
      </c>
      <c r="T47" s="35" t="str">
        <f xml:space="preserve"> IFERROR(LEFT($I47, S47-1), "")</f>
        <v/>
      </c>
      <c r="U47" s="35" t="str">
        <f>IFERROR( _xlfn.CONCAT(LEFT(T47,LEN(T47)-1), RIGHT(C47,1), _xlfn.UNICHAR(794)), "")</f>
        <v/>
      </c>
      <c r="W47" s="35">
        <f xml:space="preserve"> IFERROR( SEARCH($W$2, $F47), "")</f>
        <v>3</v>
      </c>
      <c r="X47" s="35" t="str">
        <f xml:space="preserve"> IF(AND(LEN(W47)&gt;0,W47&gt;0), LEFT(F47, LEN(F47)-3), "")</f>
        <v>ũẽ</v>
      </c>
      <c r="Y47" s="35" t="s">
        <v>563</v>
      </c>
    </row>
    <row r="48" spans="1:25" ht="53.25" thickBot="1">
      <c r="A48" s="35">
        <f xml:space="preserve"> ROW() - 2</f>
        <v>46</v>
      </c>
      <c r="B48" s="42" t="s">
        <v>78</v>
      </c>
      <c r="C48" s="41" t="s">
        <v>562</v>
      </c>
      <c r="D48" s="40" t="s">
        <v>488</v>
      </c>
      <c r="E48" s="40" t="s">
        <v>555</v>
      </c>
      <c r="F48" s="41" t="s">
        <v>562</v>
      </c>
      <c r="G48" s="40" t="s">
        <v>561</v>
      </c>
      <c r="H48" s="40" t="s">
        <v>560</v>
      </c>
      <c r="I48" s="40" t="s">
        <v>559</v>
      </c>
      <c r="J48" s="40" t="s">
        <v>558</v>
      </c>
      <c r="K48" s="40" t="s">
        <v>557</v>
      </c>
      <c r="L48" s="40" t="s">
        <v>556</v>
      </c>
      <c r="M48" s="37"/>
      <c r="N48" s="38" t="str">
        <f xml:space="preserve"> Q48 &amp; T48 &amp; X48</f>
        <v>ĩãũ</v>
      </c>
      <c r="O48" s="38" t="str">
        <f xml:space="preserve"> U48 &amp; Y48</f>
        <v>ĩãũʔ</v>
      </c>
      <c r="P48" s="38"/>
      <c r="Q48" s="38" t="str">
        <f xml:space="preserve"> IF( AND(S48="", W48=""), F48, "")</f>
        <v/>
      </c>
      <c r="R48" s="37"/>
      <c r="S48" s="35" t="str">
        <f xml:space="preserve"> IFERROR( SEARCH($S$2, $F48), "")</f>
        <v/>
      </c>
      <c r="T48" s="35" t="str">
        <f xml:space="preserve"> IFERROR(LEFT($I48, S48-1), "")</f>
        <v/>
      </c>
      <c r="U48" s="35" t="str">
        <f>IFERROR( _xlfn.CONCAT(LEFT(T48,LEN(T48)-1), RIGHT(C48,1), _xlfn.UNICHAR(794)), "")</f>
        <v/>
      </c>
      <c r="W48" s="35">
        <f xml:space="preserve"> IFERROR( SEARCH($W$2, $F48), "")</f>
        <v>4</v>
      </c>
      <c r="X48" s="35" t="str">
        <f xml:space="preserve"> IF(AND(LEN(W48)&gt;0,W48&gt;0), LEFT(F48, LEN(F48)-3), "")</f>
        <v>ĩãũ</v>
      </c>
      <c r="Y48" s="35" t="s">
        <v>555</v>
      </c>
    </row>
    <row r="49" spans="1:25" ht="33.75" thickBot="1">
      <c r="A49" s="35">
        <f xml:space="preserve"> ROW() - 2</f>
        <v>47</v>
      </c>
      <c r="B49" s="42" t="s">
        <v>138</v>
      </c>
      <c r="C49" s="41" t="s">
        <v>554</v>
      </c>
      <c r="D49" s="40" t="s">
        <v>500</v>
      </c>
      <c r="E49" s="40" t="s">
        <v>553</v>
      </c>
      <c r="F49" s="41" t="s">
        <v>552</v>
      </c>
      <c r="G49" s="40" t="s">
        <v>500</v>
      </c>
      <c r="H49" s="40" t="s">
        <v>503</v>
      </c>
      <c r="I49" s="40" t="s">
        <v>551</v>
      </c>
      <c r="J49" s="40" t="s">
        <v>550</v>
      </c>
      <c r="K49" s="40" t="s">
        <v>551</v>
      </c>
      <c r="L49" s="40" t="s">
        <v>550</v>
      </c>
      <c r="M49" s="37"/>
      <c r="N49" s="38" t="str">
        <f xml:space="preserve"> Q49 &amp; T49 &amp; X49</f>
        <v>om</v>
      </c>
      <c r="O49" s="38" t="str">
        <f xml:space="preserve"> U49 &amp; Y49</f>
        <v>op̚</v>
      </c>
      <c r="P49" s="38"/>
      <c r="Q49" s="38" t="str">
        <f xml:space="preserve"> IF( AND(S49="", W49=""), F49, "")</f>
        <v/>
      </c>
      <c r="R49" s="37"/>
      <c r="S49" s="35">
        <f xml:space="preserve"> IFERROR( SEARCH($S$2, $F49), "")</f>
        <v>3</v>
      </c>
      <c r="T49" s="35" t="str">
        <f xml:space="preserve"> IFERROR(LEFT($I49, S49-1), "")</f>
        <v>om</v>
      </c>
      <c r="U49" s="35" t="str">
        <f>IFERROR( _xlfn.CONCAT(LEFT(T49,LEN(T49)-1), RIGHT(C49,1), _xlfn.UNICHAR(794)), "")</f>
        <v>op̚</v>
      </c>
      <c r="W49" s="35" t="str">
        <f xml:space="preserve"> IFERROR( SEARCH($W$2, $F49), "")</f>
        <v/>
      </c>
      <c r="X49" s="35" t="str">
        <f xml:space="preserve"> IF(AND(LEN(W49)&gt;0,W49&gt;0), LEFT(F49, LEN(F49)-3), "")</f>
        <v/>
      </c>
      <c r="Y49" s="35" t="s">
        <v>537</v>
      </c>
    </row>
    <row r="50" spans="1:25" ht="33.75" thickBot="1">
      <c r="A50" s="35">
        <f xml:space="preserve"> ROW() - 2</f>
        <v>48</v>
      </c>
      <c r="B50" s="42" t="s">
        <v>141</v>
      </c>
      <c r="C50" s="41" t="s">
        <v>506</v>
      </c>
      <c r="D50" s="40" t="s">
        <v>506</v>
      </c>
      <c r="E50" s="39" t="s">
        <v>537</v>
      </c>
      <c r="F50" s="41" t="s">
        <v>506</v>
      </c>
      <c r="G50" s="40" t="s">
        <v>549</v>
      </c>
      <c r="H50" s="39" t="s">
        <v>537</v>
      </c>
      <c r="I50" s="40" t="s">
        <v>508</v>
      </c>
      <c r="J50" s="39" t="s">
        <v>537</v>
      </c>
      <c r="K50" s="40" t="s">
        <v>136</v>
      </c>
      <c r="L50" s="39" t="s">
        <v>537</v>
      </c>
      <c r="M50" s="37"/>
      <c r="N50" s="38" t="str">
        <f xml:space="preserve"> Q50 &amp; T50 &amp; X50</f>
        <v>ãũ</v>
      </c>
      <c r="O50" s="38" t="str">
        <f xml:space="preserve"> U50 &amp; Y50</f>
        <v/>
      </c>
      <c r="P50" s="38"/>
      <c r="Q50" s="38" t="str">
        <f xml:space="preserve"> IF( AND(S50="", W50=""), F50, "")</f>
        <v>ãũ</v>
      </c>
      <c r="R50" s="37"/>
      <c r="S50" s="35" t="str">
        <f xml:space="preserve"> IFERROR( SEARCH($S$2, $F50), "")</f>
        <v/>
      </c>
      <c r="T50" s="35" t="str">
        <f xml:space="preserve"> IFERROR(LEFT($I50, S50-1), "")</f>
        <v/>
      </c>
      <c r="U50" s="35" t="str">
        <f>IFERROR( _xlfn.CONCAT(LEFT(T50,LEN(T50)-1), RIGHT(C50,1), _xlfn.UNICHAR(794)), "")</f>
        <v/>
      </c>
      <c r="W50" s="35" t="str">
        <f xml:space="preserve"> IFERROR( SEARCH($W$2, $F50), "")</f>
        <v/>
      </c>
      <c r="X50" s="35" t="str">
        <f xml:space="preserve"> IF(AND(LEN(W50)&gt;0,W50&gt;0), LEFT(F50, LEN(F50)-3), "")</f>
        <v/>
      </c>
      <c r="Y50" s="35" t="s">
        <v>537</v>
      </c>
    </row>
    <row r="51" spans="1:25" ht="33.75" thickBot="1">
      <c r="A51" s="35">
        <f xml:space="preserve"> ROW() - 2</f>
        <v>49</v>
      </c>
      <c r="B51" s="42" t="s">
        <v>58</v>
      </c>
      <c r="C51" s="41" t="s">
        <v>548</v>
      </c>
      <c r="D51" s="40" t="s">
        <v>512</v>
      </c>
      <c r="E51" s="40" t="s">
        <v>547</v>
      </c>
      <c r="F51" s="41" t="s">
        <v>546</v>
      </c>
      <c r="G51" s="40" t="s">
        <v>545</v>
      </c>
      <c r="H51" s="40" t="s">
        <v>544</v>
      </c>
      <c r="I51" s="40" t="s">
        <v>543</v>
      </c>
      <c r="J51" s="40" t="s">
        <v>542</v>
      </c>
      <c r="K51" s="40" t="s">
        <v>541</v>
      </c>
      <c r="L51" s="40" t="s">
        <v>540</v>
      </c>
      <c r="M51" s="37"/>
      <c r="N51" s="38" t="str">
        <f xml:space="preserve"> Q51 &amp; T51 &amp; X51</f>
        <v>ɔ̃</v>
      </c>
      <c r="O51" s="38" t="str">
        <f xml:space="preserve"> U51 &amp; Y51</f>
        <v>ɔ̃ʔ</v>
      </c>
      <c r="P51" s="38"/>
      <c r="Q51" s="38" t="str">
        <f xml:space="preserve"> IF( AND(S51="", W51=""), F51, "")</f>
        <v/>
      </c>
      <c r="R51" s="37"/>
      <c r="S51" s="35" t="str">
        <f xml:space="preserve"> IFERROR( SEARCH($S$2, $F51), "")</f>
        <v/>
      </c>
      <c r="T51" s="35" t="str">
        <f xml:space="preserve"> IFERROR(LEFT($I51, S51-1), "")</f>
        <v/>
      </c>
      <c r="U51" s="35" t="str">
        <f>IFERROR( _xlfn.CONCAT(LEFT(T51,LEN(T51)-1), RIGHT(C51,1), _xlfn.UNICHAR(794)), "")</f>
        <v/>
      </c>
      <c r="W51" s="35">
        <f xml:space="preserve"> IFERROR( SEARCH($W$2, $F51), "")</f>
        <v>3</v>
      </c>
      <c r="X51" s="35" t="str">
        <f xml:space="preserve"> IF(AND(LEN(W51)&gt;0,W51&gt;0), LEFT(F51, LEN(F51)-3), "")</f>
        <v>ɔ̃</v>
      </c>
      <c r="Y51" s="43" t="s">
        <v>539</v>
      </c>
    </row>
    <row r="52" spans="1:25" ht="33.75" thickBot="1">
      <c r="A52" s="35">
        <f xml:space="preserve"> ROW() - 2</f>
        <v>50</v>
      </c>
      <c r="B52" s="42" t="s">
        <v>144</v>
      </c>
      <c r="C52" s="41" t="s">
        <v>538</v>
      </c>
      <c r="D52" s="40" t="s">
        <v>538</v>
      </c>
      <c r="E52" s="39" t="s">
        <v>537</v>
      </c>
      <c r="F52" s="41" t="s">
        <v>538</v>
      </c>
      <c r="G52" s="40" t="s">
        <v>520</v>
      </c>
      <c r="H52" s="39" t="s">
        <v>537</v>
      </c>
      <c r="I52" s="40" t="s">
        <v>522</v>
      </c>
      <c r="J52" s="39" t="s">
        <v>537</v>
      </c>
      <c r="K52" s="40" t="s">
        <v>145</v>
      </c>
      <c r="L52" s="39" t="s">
        <v>537</v>
      </c>
      <c r="M52" s="37"/>
      <c r="N52" s="38" t="str">
        <f xml:space="preserve"> Q52 &amp; T52 &amp; X52</f>
        <v>ĩũ</v>
      </c>
      <c r="O52" s="38" t="str">
        <f xml:space="preserve"> U52 &amp; Y52</f>
        <v/>
      </c>
      <c r="P52" s="38"/>
      <c r="Q52" s="38" t="str">
        <f xml:space="preserve"> IF( AND(S52="", W52=""), F52, "")</f>
        <v>ĩũ</v>
      </c>
      <c r="R52" s="37"/>
      <c r="S52" s="35" t="str">
        <f xml:space="preserve"> IFERROR( SEARCH($S$2, $F52), "")</f>
        <v/>
      </c>
      <c r="T52" s="35" t="str">
        <f xml:space="preserve"> IFERROR(LEFT($I52, S52-1), "")</f>
        <v/>
      </c>
      <c r="U52" s="35" t="str">
        <f>IFERROR( _xlfn.CONCAT(LEFT(T52,LEN(T52)-1), RIGHT(C52,1), _xlfn.UNICHAR(794)), "")</f>
        <v/>
      </c>
      <c r="W52" s="35" t="str">
        <f xml:space="preserve"> IFERROR( SEARCH($W$2, $F52), "")</f>
        <v/>
      </c>
      <c r="X52" s="35" t="str">
        <f xml:space="preserve"> IF(AND(LEN(W52)&gt;0,W52&gt;0), LEFT(F52, LEN(F52)-3), "")</f>
        <v/>
      </c>
      <c r="Y52" s="35" t="str">
        <f>IF(AND(LEN(W52)&gt;0,LEN(X52)&gt;0),_xlfn.CONCAT(X52,MID(C52,W52+1,1)), "")</f>
        <v/>
      </c>
    </row>
  </sheetData>
  <phoneticPr fontId="1" type="noConversion"/>
  <hyperlinks>
    <hyperlink ref="D2" r:id="rId1" location="cite_note-ma2009-2" display="https://zh.wikipedia.org/wiki/%E5%BD%99%E9%9B%86%E9%9B%85%E4%BF%97%E9%80%9A%E5%8D%81%E4%BA%94%E9%9F%B3 - cite_note-ma2009-2" xr:uid="{2D096187-9B2E-4B37-AA92-BDCD7A89872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��r��kh�r��kh�X�%R_��S���jW���j}vq�W[�S��j���b�eHh�e�&{_�AS�N��P;�"oW[h�"oW[h�X�%R_�"oW["oW[j�8^(u�^R�W[��r�����Or�r�����Ŗ�O�j�AS�N�j�
</file>

<file path=customXml/item3.xml>��
</file>

<file path=customXml/item4.xml>��"oW[h�r��kh�
</file>

<file path=customXml/item5.xml>��
</file>

<file path=customXml/item6.xml>��
</file>

<file path=customXml/item7.xml>��"oW[h�
</file>

<file path=customXml/item8.xml>��
</file>

<file path=customXml/item9.xml>��
</file>

<file path=customXml/item10.xml>��
</file>

<file path=customXml/item11.xml>��"oW[h�,r��kh�,���kh�
</file>

<file path=customXml/item12.xml>��"oW[h�"oW[h�X�%R_�"oW["oW[j�8^(u�^R�W[��r�����Or�r�����Ŗ�O�j�AS�N�j�X�%R_�"oW["oW[j�8^(u�^R�W[��r�����Or�r�����Ŗ�O�j�AS�N�j�"oW[h�r��kh����kh�"oW[h�"oW[h�X�%R_�"oW[h�"oW["oW[h�"oW[j�"oW[h�8^(u�^"oW[h�R�"oW[h�W[��"oW[h�r���"oW[h���Or�"oW[h�r�"oW[h���"oW[h���"oW[h�Ŗ�O�j�"oW[h�AS�N�j�r��kh�r��kh�X�%R_�r��kh��S���jr��kh�W���jr��kh�}vq�W[r��kh��S��jr��kh����b�eHhr��kh��e�&{_�r��kh�AS�N�r��kh��P;����kh����kh�X�%R_����kh��S���j���kh�W���j���kh�}vq�W[���kh��S��j���kh����b�eHh���kh��e�&{_����kh�AS�N����kh�AS�N�^���kh���Or����kh�AS�N�X�%R�x"oW[h������kh�X�%R_�"oW[h������kh�X�%R_�"oW[h������kh�X�%R_�"oW[h������kh�X�%R_�"oW[h�r�r��kh�X�%R_�"oW[h�r�r��kh�X�%R_�"oW[h�r�r��kh�X�%R_�"oW[h�r�r��kh�X�%R_�r��kh�"oW[h�r��kh����kh�"oW[h�"oW[h�X�%R_�"oW[h�"oW["oW[h�"oW[j�"oW[h�8^(u�^"oW[h�R�"oW[h�W[��"oW[h�r���"oW[h���Or�"oW[h�r�"oW[h���"oW[h���"oW[h�Ŗ�O�j�"oW[h�AS�N�j�r��kh�r��kh�X�%R_�r��kh��S���jr��kh�W���jr��kh�}vq�W[r��kh��S��jr��kh����b�eHhr��kh��e�&{_�r��kh�AS�N�r��kh��P;����kh����kh�X�%R_����kh��S���j���kh�W���j���kh�}vq�W[���kh��S��j���kh����b�eHh���kh��e�&{_����kh�AS�N����kh�AS�N�^���kh���Or����kh�AS�N�X�%R�x"oW[h������kh�X�%R_��zޞ0�zޞ"oW[h������kh�X�%R_�"oW[h������kh�X�%R_�"oW[h������kh�X�%R_�"oW[h�r�r��kh�X�%R_��zޞ0�zޞ"oW[h�r�r��kh�X�%R_�"oW[h�r�r��kh�X�%R_�"oW[h�r�r��kh�X�%R_�
</file>

<file path=customXml/item13.xml>��
</file>

<file path=customXml/item14.xml>��
</file>

<file path=customXml/item15.xml>��r��kh�X�%R_��S���jW���j}vq�W[�S��j���b�eHh�e�&{_�AS�N��P;�X�%R_��S���jW���j}vq�W[�S��j���b�eHh�e�&{_�AS�N��P;�
</file>

<file path=customXml/item16.xml>��
</file>

<file path=customXml/item17.xml>��
</file>

<file path=customXml/item18.xml>��"oW[h�X�%R_�"oW["oW[j�8^(u�^R�W[��r�����Or�r�����Ŗ�O�j�AS�N�j�X�%R_�"oW["oW[j�8^(u�^R�W[��r�����Or�r�����Ŗ�O�j�AS�N�j�
</file>

<file path=customXml/itemProps1.xml><?xml version="1.0" encoding="utf-8"?>
<ds:datastoreItem xmlns:ds="http://schemas.openxmlformats.org/officeDocument/2006/customXml" ds:itemID="{A3CADD6E-B4B0-4136-AB2F-88B8FB615410}">
  <ds:schemaRefs/>
</ds:datastoreItem>
</file>

<file path=customXml/itemProps2.xml><?xml version="1.0" encoding="utf-8"?>
<ds:datastoreItem xmlns:ds="http://schemas.openxmlformats.org/officeDocument/2006/customXml" ds:itemID="{2A9DD0C3-B995-4618-B928-749482B4D552}">
  <ds:schemaRefs/>
</ds:datastoreItem>
</file>

<file path=customXml/itemProps3.xml><?xml version="1.0" encoding="utf-8"?>
<ds:datastoreItem xmlns:ds="http://schemas.openxmlformats.org/officeDocument/2006/customXml" ds:itemID="{ABD9D47A-DE18-42C3-BFE5-25B3FF8BBA09}">
  <ds:schemaRefs/>
</ds:datastoreItem>
</file>

<file path=customXml/itemProps4.xml><?xml version="1.0" encoding="utf-8"?>
<ds:datastoreItem xmlns:ds="http://schemas.openxmlformats.org/officeDocument/2006/customXml" ds:itemID="{7F9ABE8D-5430-4572-B6F7-34F1F3092FC5}">
  <ds:schemaRefs/>
</ds:datastoreItem>
</file>

<file path=customXml/itemProps5.xml><?xml version="1.0" encoding="utf-8"?>
<ds:datastoreItem xmlns:ds="http://schemas.openxmlformats.org/officeDocument/2006/customXml" ds:itemID="{1C1ABA95-9F91-43B9-9FF3-F553CF8FA11E}">
  <ds:schemaRefs/>
</ds:datastoreItem>
</file>

<file path=customXml/itemProps6.xml><?xml version="1.0" encoding="utf-8"?>
<ds:datastoreItem xmlns:ds="http://schemas.openxmlformats.org/officeDocument/2006/customXml" ds:itemID="{8899CB9E-CE8D-4967-9316-435813A5FDDD}">
  <ds:schemaRefs/>
</ds:datastoreItem>
</file>

<file path=customXml/itemProps7.xml><?xml version="1.0" encoding="utf-8"?>
<ds:datastoreItem xmlns:ds="http://schemas.openxmlformats.org/officeDocument/2006/customXml" ds:itemID="{10A9E0F8-4586-4AA9-AAEF-64BAA11C4226}">
  <ds:schemaRefs/>
</ds:datastoreItem>
</file>

<file path=customXml/itemProps8.xml><?xml version="1.0" encoding="utf-8"?>
<ds:datastoreItem xmlns:ds="http://schemas.openxmlformats.org/officeDocument/2006/customXml" ds:itemID="{6DEB8FB3-86F8-409B-9E42-410F91F8AC01}">
  <ds:schemaRefs/>
</ds:datastoreItem>
</file>

<file path=customXml/itemProps9.xml><?xml version="1.0" encoding="utf-8"?>
<ds:datastoreItem xmlns:ds="http://schemas.openxmlformats.org/officeDocument/2006/customXml" ds:itemID="{B7CF2F18-DFC2-4979-AA33-621A3234014E}">
  <ds:schemaRefs/>
</ds:datastoreItem>
</file>

<file path=customXml/itemProps10.xml><?xml version="1.0" encoding="utf-8"?>
<ds:datastoreItem xmlns:ds="http://schemas.openxmlformats.org/officeDocument/2006/customXml" ds:itemID="{45C73F62-F1F6-46A3-B424-A10B5A501BE3}">
  <ds:schemaRefs/>
</ds:datastoreItem>
</file>

<file path=customXml/itemProps11.xml><?xml version="1.0" encoding="utf-8"?>
<ds:datastoreItem xmlns:ds="http://schemas.openxmlformats.org/officeDocument/2006/customXml" ds:itemID="{184D88D0-0E46-4E02-A34E-BA287351EABB}">
  <ds:schemaRefs/>
</ds:datastoreItem>
</file>

<file path=customXml/itemProps12.xml><?xml version="1.0" encoding="utf-8"?>
<ds:datastoreItem xmlns:ds="http://schemas.openxmlformats.org/officeDocument/2006/customXml" ds:itemID="{8C88E2F0-B52D-4CC4-9FC8-C2CD9F2FEF42}">
  <ds:schemaRefs/>
</ds:datastoreItem>
</file>

<file path=customXml/itemProps13.xml><?xml version="1.0" encoding="utf-8"?>
<ds:datastoreItem xmlns:ds="http://schemas.openxmlformats.org/officeDocument/2006/customXml" ds:itemID="{38214C35-F043-4707-8377-5F7A510D30B6}">
  <ds:schemaRefs/>
</ds:datastoreItem>
</file>

<file path=customXml/itemProps14.xml><?xml version="1.0" encoding="utf-8"?>
<ds:datastoreItem xmlns:ds="http://schemas.openxmlformats.org/officeDocument/2006/customXml" ds:itemID="{579832C3-FFC5-42D7-8A4C-F7AED335D7B6}">
  <ds:schemaRefs/>
</ds:datastoreItem>
</file>

<file path=customXml/itemProps15.xml><?xml version="1.0" encoding="utf-8"?>
<ds:datastoreItem xmlns:ds="http://schemas.openxmlformats.org/officeDocument/2006/customXml" ds:itemID="{DE351DCD-EF08-4A1C-B333-94B23A9986FE}">
  <ds:schemaRefs/>
</ds:datastoreItem>
</file>

<file path=customXml/itemProps16.xml><?xml version="1.0" encoding="utf-8"?>
<ds:datastoreItem xmlns:ds="http://schemas.openxmlformats.org/officeDocument/2006/customXml" ds:itemID="{97687790-8939-4A9E-A965-706DE75562A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BBCF0247-AB18-4D28-82D5-998F7BA482DC}">
  <ds:schemaRefs/>
</ds:datastoreItem>
</file>

<file path=customXml/itemProps18.xml><?xml version="1.0" encoding="utf-8"?>
<ds:datastoreItem xmlns:ds="http://schemas.openxmlformats.org/officeDocument/2006/customXml" ds:itemID="{B71D6859-65A4-45C4-B7FA-EED3FCD54C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馬重奇韻母50字</vt:lpstr>
      <vt:lpstr>聲母表</vt:lpstr>
      <vt:lpstr>韻母表</vt:lpstr>
      <vt:lpstr>韻母表 (2)</vt:lpstr>
      <vt:lpstr>十五音韻母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2024-11-02T02:44:54Z</dcterms:created>
  <dcterms:modified xsi:type="dcterms:W3CDTF">2026-10-17T13:48:27Z</dcterms:modified>
</cp:coreProperties>
</file>