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Piau-Im\Documents\十五音教材\"/>
    </mc:Choice>
  </mc:AlternateContent>
  <xr:revisionPtr revIDLastSave="0" documentId="13_ncr:1_{10F70A5F-B683-4DE6-86CE-D0D451B03B7A}" xr6:coauthVersionLast="47" xr6:coauthVersionMax="47" xr10:uidLastSave="{00000000-0000-0000-0000-000000000000}"/>
  <bookViews>
    <workbookView xWindow="28680" yWindow="-120" windowWidth="38640" windowHeight="15720" xr2:uid="{08BCE876-220B-4617-985F-BC533BEFAD68}"/>
  </bookViews>
  <sheets>
    <sheet name="W音調對照表" sheetId="4" r:id="rId1"/>
    <sheet name="W音調對照表 (2)" sheetId="5" r:id="rId2"/>
    <sheet name="聲調對照表" sheetId="1" r:id="rId3"/>
    <sheet name="聲調對照表 (3)" sheetId="3" r:id="rId4"/>
    <sheet name="聲調對照表 (2)" sheetId="2" r:id="rId5"/>
  </sheets>
  <externalReferences>
    <externalReference r:id="rId6"/>
    <externalReference r:id="rId7"/>
  </externalReferences>
  <definedNames>
    <definedName name="十五音韻母">'[1]十五音-韻母'!$C$5:$C$54</definedName>
    <definedName name="十五音韻母對照表">'[1]十五音-韻母'!$B$5:$R$54</definedName>
    <definedName name="台羅韻母八音反切">'[1]台羅-韻母八音反切'!$R$5:$Y$54</definedName>
    <definedName name="白話字韻母八音反切">'[1]白話字-韻母八音反切'!$R$5:$Y$54</definedName>
    <definedName name="閩拼韻母八音反切">'[1]閩拼-韻母八音反切'!$R$5:$Y$54</definedName>
    <definedName name="聲母碼表">[1]聲母碼!$D$6:$K$22</definedName>
    <definedName name="韻母對照表">[1]韻母對照表!$B$6:$K$105</definedName>
    <definedName name="韻母碼表">[1]韻母碼!$F$5:$M$78</definedName>
    <definedName name="顯示注音輸入">[2]env!$C$10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5" l="1"/>
  <c r="C18" i="4"/>
  <c r="C18" i="3"/>
  <c r="C7" i="3"/>
  <c r="C6" i="3"/>
  <c r="C5" i="3"/>
  <c r="C4" i="3"/>
  <c r="C3" i="3"/>
  <c r="C18" i="2"/>
  <c r="C7" i="2"/>
  <c r="C6" i="2"/>
  <c r="C5" i="2"/>
  <c r="C4" i="2"/>
  <c r="C3" i="2"/>
  <c r="C6" i="1"/>
  <c r="C7" i="1"/>
  <c r="C5" i="1"/>
  <c r="C4" i="1"/>
  <c r="C3" i="1"/>
  <c r="C18" i="1"/>
</calcChain>
</file>

<file path=xl/sharedStrings.xml><?xml version="1.0" encoding="utf-8"?>
<sst xmlns="http://schemas.openxmlformats.org/spreadsheetml/2006/main" count="235" uniqueCount="62">
  <si>
    <t>˙</t>
  </si>
  <si>
    <t>高促調</t>
    <phoneticPr fontId="1" type="noConversion"/>
  </si>
  <si>
    <t>陽入</t>
  </si>
  <si>
    <t>獨</t>
    <phoneticPr fontId="1" type="noConversion"/>
  </si>
  <si>
    <t/>
  </si>
  <si>
    <t>低促調</t>
    <phoneticPr fontId="1" type="noConversion"/>
  </si>
  <si>
    <t>陰入</t>
  </si>
  <si>
    <t>督</t>
    <phoneticPr fontId="1" type="noConversion"/>
  </si>
  <si>
    <t>陽上</t>
  </si>
  <si>
    <t>董</t>
    <phoneticPr fontId="1" type="noConversion"/>
  </si>
  <si>
    <t>ˋ</t>
  </si>
  <si>
    <t>高降調</t>
    <phoneticPr fontId="1" type="noConversion"/>
  </si>
  <si>
    <t>ˊ</t>
  </si>
  <si>
    <t>低升調</t>
    <phoneticPr fontId="1" type="noConversion"/>
  </si>
  <si>
    <t>陽平</t>
  </si>
  <si>
    <t>同</t>
    <phoneticPr fontId="1" type="noConversion"/>
  </si>
  <si>
    <t>˪</t>
  </si>
  <si>
    <t>低音調</t>
    <phoneticPr fontId="1" type="noConversion"/>
  </si>
  <si>
    <t>陰去</t>
  </si>
  <si>
    <t>棟</t>
    <phoneticPr fontId="1" type="noConversion"/>
  </si>
  <si>
    <t>˫</t>
  </si>
  <si>
    <t>中音調</t>
    <phoneticPr fontId="1" type="noConversion"/>
  </si>
  <si>
    <t>陽去</t>
  </si>
  <si>
    <t>動</t>
    <phoneticPr fontId="1" type="noConversion"/>
  </si>
  <si>
    <t>高音調</t>
    <phoneticPr fontId="1" type="noConversion"/>
  </si>
  <si>
    <t>陰平</t>
  </si>
  <si>
    <t>東</t>
    <phoneticPr fontId="1" type="noConversion"/>
  </si>
  <si>
    <t>方音符號</t>
    <phoneticPr fontId="15" type="noConversion"/>
  </si>
  <si>
    <t>閩拼方案</t>
    <phoneticPr fontId="15" type="noConversion"/>
  </si>
  <si>
    <t>台羅調號</t>
    <phoneticPr fontId="17" type="noConversion"/>
  </si>
  <si>
    <t>調值</t>
    <phoneticPr fontId="1" type="noConversion"/>
  </si>
  <si>
    <t>W調名</t>
    <phoneticPr fontId="1" type="noConversion"/>
  </si>
  <si>
    <t>四聲八調</t>
    <phoneticPr fontId="17" type="noConversion"/>
  </si>
  <si>
    <t>漢字與拼音</t>
    <phoneticPr fontId="1" type="noConversion"/>
  </si>
  <si>
    <t>tok4</t>
    <phoneticPr fontId="1" type="noConversion"/>
  </si>
  <si>
    <t>tok8</t>
    <phoneticPr fontId="1" type="noConversion"/>
  </si>
  <si>
    <t>上声/陰上</t>
    <phoneticPr fontId="1" type="noConversion"/>
  </si>
  <si>
    <t>鍵盤按鍵</t>
    <phoneticPr fontId="1" type="noConversion"/>
  </si>
  <si>
    <t>;</t>
    <phoneticPr fontId="1" type="noConversion"/>
  </si>
  <si>
    <t>-</t>
    <phoneticPr fontId="1" type="noConversion"/>
  </si>
  <si>
    <t>_</t>
    <phoneticPr fontId="1" type="noConversion"/>
  </si>
  <si>
    <t>\</t>
    <phoneticPr fontId="1" type="noConversion"/>
  </si>
  <si>
    <t>/</t>
    <phoneticPr fontId="1" type="noConversion"/>
  </si>
  <si>
    <t>[</t>
    <phoneticPr fontId="1" type="noConversion"/>
  </si>
  <si>
    <t>]</t>
    <phoneticPr fontId="1" type="noConversion"/>
  </si>
  <si>
    <t>君</t>
    <phoneticPr fontId="1" type="noConversion"/>
  </si>
  <si>
    <t>郡</t>
    <phoneticPr fontId="1" type="noConversion"/>
  </si>
  <si>
    <t>棍</t>
    <phoneticPr fontId="1" type="noConversion"/>
  </si>
  <si>
    <t>滾</t>
    <phoneticPr fontId="1" type="noConversion"/>
  </si>
  <si>
    <t>群</t>
    <phoneticPr fontId="1" type="noConversion"/>
  </si>
  <si>
    <t>骨</t>
    <phoneticPr fontId="1" type="noConversion"/>
  </si>
  <si>
    <t>滑</t>
    <phoneticPr fontId="1" type="noConversion"/>
  </si>
  <si>
    <t>閩拼調號</t>
    <phoneticPr fontId="15" type="noConversion"/>
  </si>
  <si>
    <t>音調名</t>
    <phoneticPr fontId="1" type="noConversion"/>
  </si>
  <si>
    <t>kun1</t>
    <phoneticPr fontId="1" type="noConversion"/>
  </si>
  <si>
    <t>kun7</t>
    <phoneticPr fontId="1" type="noConversion"/>
  </si>
  <si>
    <t>kun3</t>
    <phoneticPr fontId="1" type="noConversion"/>
  </si>
  <si>
    <t>kun2</t>
    <phoneticPr fontId="1" type="noConversion"/>
  </si>
  <si>
    <t>kun5</t>
    <phoneticPr fontId="1" type="noConversion"/>
  </si>
  <si>
    <t>kut4</t>
    <phoneticPr fontId="1" type="noConversion"/>
  </si>
  <si>
    <t>漢字</t>
    <phoneticPr fontId="1" type="noConversion"/>
  </si>
  <si>
    <t>台語音標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</si>
</sst>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6"/>
      <color theme="1"/>
      <name val="Noto Sans TC Medium"/>
      <family val="2"/>
      <charset val="136"/>
    </font>
    <font>
      <sz val="16"/>
      <color theme="1"/>
      <name val="Noto Sans TC"/>
      <family val="2"/>
      <charset val="136"/>
    </font>
    <font>
      <sz val="18"/>
      <color theme="1"/>
      <name val="Noto Sans TC"/>
      <family val="2"/>
    </font>
    <font>
      <sz val="10"/>
      <color rgb="FF000000"/>
      <name val="Linux Libertine G"/>
      <family val="2"/>
    </font>
    <font>
      <sz val="16"/>
      <name val="Arial"/>
      <family val="2"/>
    </font>
    <font>
      <sz val="16"/>
      <color theme="1"/>
      <name val="Noto Serif TC Black"/>
      <family val="1"/>
    </font>
    <font>
      <sz val="16"/>
      <color theme="0" tint="-0.249977111117893"/>
      <name val="Noto Sans TC Medium"/>
      <family val="2"/>
      <charset val="136"/>
    </font>
    <font>
      <sz val="18"/>
      <color theme="0" tint="-0.249977111117893"/>
      <name val="Noto Sans TC"/>
      <family val="2"/>
    </font>
    <font>
      <sz val="16"/>
      <color theme="0" tint="-0.249977111117893"/>
      <name val="Arial"/>
      <family val="2"/>
    </font>
    <font>
      <sz val="16"/>
      <color theme="0" tint="-0.249977111117893"/>
      <name val="Noto Serif TC Black"/>
      <family val="1"/>
    </font>
    <font>
      <sz val="16"/>
      <color theme="1"/>
      <name val="Noto Serif TC Black"/>
      <family val="1"/>
      <charset val="136"/>
    </font>
    <font>
      <b/>
      <sz val="16"/>
      <color theme="0"/>
      <name val="Noto Sans TC"/>
      <family val="2"/>
    </font>
    <font>
      <sz val="9"/>
      <name val="黒体-繁"/>
      <family val="2"/>
      <charset val="136"/>
    </font>
    <font>
      <b/>
      <sz val="16"/>
      <color theme="0"/>
      <name val="Noto Sans TC Medium"/>
      <family val="2"/>
      <charset val="136"/>
    </font>
    <font>
      <sz val="9"/>
      <name val="新細明體"/>
      <family val="3"/>
      <charset val="136"/>
      <scheme val="minor"/>
    </font>
    <font>
      <sz val="36"/>
      <color theme="0" tint="-0.249977111117893"/>
      <name val="Noto Serif TC Black"/>
      <family val="1"/>
      <charset val="136"/>
    </font>
    <font>
      <sz val="36"/>
      <color theme="1"/>
      <name val="字咍源雲明體 台羅方音 L"/>
      <family val="1"/>
      <charset val="136"/>
    </font>
    <font>
      <b/>
      <sz val="28"/>
      <color rgb="FFFF0000"/>
      <name val="Arial"/>
      <family val="2"/>
    </font>
    <font>
      <sz val="28"/>
      <color theme="1"/>
      <name val="Noto Sans TC"/>
      <family val="2"/>
    </font>
    <font>
      <sz val="36"/>
      <color theme="1"/>
      <name val="Noto Sans TC Medium"/>
      <family val="2"/>
      <charset val="136"/>
    </font>
    <font>
      <sz val="36"/>
      <color theme="1"/>
      <name val="Noto Sans TC Medium"/>
      <family val="2"/>
    </font>
    <font>
      <sz val="22"/>
      <name val="Arial"/>
      <family val="2"/>
    </font>
    <font>
      <sz val="36"/>
      <color theme="1"/>
      <name val="Noto Sans TC"/>
      <family val="2"/>
      <charset val="136"/>
    </font>
    <font>
      <sz val="36"/>
      <color theme="1"/>
      <name val="Noto Serif TC Black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4" fillId="0" borderId="0">
      <alignment vertical="center"/>
    </xf>
    <xf numFmtId="0" fontId="6" fillId="0" borderId="0"/>
    <xf numFmtId="0" fontId="4" fillId="0" borderId="0">
      <alignment vertical="center"/>
    </xf>
  </cellStyleXfs>
  <cellXfs count="59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7" fillId="2" borderId="1" xfId="3" applyFont="1" applyFill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10" fillId="2" borderId="1" xfId="2" applyFont="1" applyFill="1" applyBorder="1" applyAlignment="1">
      <alignment horizontal="center" vertical="center"/>
    </xf>
    <xf numFmtId="0" fontId="11" fillId="2" borderId="1" xfId="3" applyFont="1" applyFill="1" applyBorder="1" applyAlignment="1">
      <alignment horizontal="center" vertical="center"/>
    </xf>
    <xf numFmtId="0" fontId="12" fillId="2" borderId="1" xfId="4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center" vertical="center"/>
    </xf>
    <xf numFmtId="0" fontId="14" fillId="4" borderId="1" xfId="2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8" fillId="2" borderId="1" xfId="4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left" vertical="center" indent="2"/>
    </xf>
    <xf numFmtId="0" fontId="8" fillId="2" borderId="1" xfId="4" applyFont="1" applyFill="1" applyBorder="1" applyAlignment="1">
      <alignment horizontal="left" vertical="center" indent="2"/>
    </xf>
    <xf numFmtId="0" fontId="19" fillId="3" borderId="1" xfId="4" applyFont="1" applyFill="1" applyBorder="1" applyAlignment="1">
      <alignment horizontal="center"/>
    </xf>
    <xf numFmtId="0" fontId="19" fillId="2" borderId="1" xfId="4" applyFont="1" applyFill="1" applyBorder="1" applyAlignment="1">
      <alignment horizontal="center"/>
    </xf>
    <xf numFmtId="0" fontId="20" fillId="3" borderId="1" xfId="3" applyFont="1" applyFill="1" applyBorder="1" applyAlignment="1">
      <alignment horizontal="center" vertical="center"/>
    </xf>
    <xf numFmtId="0" fontId="20" fillId="2" borderId="1" xfId="3" quotePrefix="1" applyFont="1" applyFill="1" applyBorder="1" applyAlignment="1">
      <alignment horizontal="center" vertical="center"/>
    </xf>
    <xf numFmtId="0" fontId="20" fillId="2" borderId="1" xfId="3" applyFont="1" applyFill="1" applyBorder="1" applyAlignment="1">
      <alignment horizontal="center" vertical="center"/>
    </xf>
    <xf numFmtId="0" fontId="20" fillId="3" borderId="1" xfId="3" quotePrefix="1" applyFont="1" applyFill="1" applyBorder="1" applyAlignment="1">
      <alignment horizontal="center" vertical="center"/>
    </xf>
    <xf numFmtId="0" fontId="21" fillId="3" borderId="1" xfId="2" applyFont="1" applyFill="1" applyBorder="1" applyAlignment="1">
      <alignment horizontal="center" vertical="center"/>
    </xf>
    <xf numFmtId="0" fontId="21" fillId="2" borderId="1" xfId="2" applyFont="1" applyFill="1" applyBorder="1" applyAlignment="1">
      <alignment horizontal="center" vertical="center"/>
    </xf>
    <xf numFmtId="0" fontId="22" fillId="3" borderId="1" xfId="1" applyFont="1" applyFill="1" applyBorder="1" applyAlignment="1">
      <alignment horizontal="center" vertical="center"/>
    </xf>
    <xf numFmtId="0" fontId="23" fillId="2" borderId="1" xfId="1" applyFont="1" applyFill="1" applyBorder="1" applyAlignment="1">
      <alignment horizontal="center" vertical="center"/>
    </xf>
    <xf numFmtId="0" fontId="23" fillId="3" borderId="1" xfId="1" applyFont="1" applyFill="1" applyBorder="1" applyAlignment="1">
      <alignment horizontal="center" vertical="center"/>
    </xf>
    <xf numFmtId="0" fontId="13" fillId="3" borderId="1" xfId="4" applyFont="1" applyFill="1" applyBorder="1" applyAlignment="1">
      <alignment horizontal="left" vertical="center" indent="1"/>
    </xf>
    <xf numFmtId="0" fontId="8" fillId="2" borderId="1" xfId="4" applyFont="1" applyFill="1" applyBorder="1" applyAlignment="1">
      <alignment horizontal="left" vertical="center" indent="1"/>
    </xf>
    <xf numFmtId="0" fontId="24" fillId="3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25" fillId="3" borderId="1" xfId="4" applyFont="1" applyFill="1" applyBorder="1" applyAlignment="1">
      <alignment horizontal="center"/>
    </xf>
    <xf numFmtId="0" fontId="25" fillId="2" borderId="1" xfId="4" applyFont="1" applyFill="1" applyBorder="1" applyAlignment="1">
      <alignment horizontal="center"/>
    </xf>
    <xf numFmtId="0" fontId="26" fillId="0" borderId="2" xfId="4" applyFont="1" applyFill="1" applyBorder="1" applyAlignment="1">
      <alignment horizontal="center"/>
    </xf>
    <xf numFmtId="0" fontId="13" fillId="0" borderId="1" xfId="4" applyFont="1" applyFill="1" applyBorder="1" applyAlignment="1">
      <alignment horizontal="left" vertical="center" indent="1"/>
    </xf>
    <xf numFmtId="0" fontId="13" fillId="0" borderId="1" xfId="4" applyFont="1" applyFill="1" applyBorder="1" applyAlignment="1">
      <alignment horizontal="center" vertical="center"/>
    </xf>
    <xf numFmtId="0" fontId="24" fillId="0" borderId="1" xfId="3" applyFont="1" applyFill="1" applyBorder="1" applyAlignment="1">
      <alignment horizontal="center" vertical="center"/>
    </xf>
    <xf numFmtId="0" fontId="20" fillId="0" borderId="1" xfId="3" applyFont="1" applyFill="1" applyBorder="1" applyAlignment="1">
      <alignment horizontal="center" vertical="center"/>
    </xf>
    <xf numFmtId="0" fontId="22" fillId="0" borderId="1" xfId="1" applyFont="1" applyFill="1" applyBorder="1" applyAlignment="1">
      <alignment horizontal="center" vertical="center"/>
    </xf>
    <xf numFmtId="0" fontId="21" fillId="0" borderId="1" xfId="2" applyFont="1" applyFill="1" applyBorder="1" applyAlignment="1">
      <alignment horizontal="center" vertical="center"/>
    </xf>
    <xf numFmtId="0" fontId="21" fillId="0" borderId="3" xfId="2" applyFont="1" applyFill="1" applyBorder="1" applyAlignment="1">
      <alignment horizontal="center" vertical="center"/>
    </xf>
    <xf numFmtId="0" fontId="8" fillId="0" borderId="1" xfId="4" applyFont="1" applyFill="1" applyBorder="1" applyAlignment="1">
      <alignment horizontal="left" vertical="center" indent="1"/>
    </xf>
    <xf numFmtId="0" fontId="8" fillId="0" borderId="1" xfId="4" applyFont="1" applyFill="1" applyBorder="1" applyAlignment="1">
      <alignment horizontal="center" vertical="center"/>
    </xf>
    <xf numFmtId="0" fontId="20" fillId="0" borderId="1" xfId="3" quotePrefix="1" applyFont="1" applyFill="1" applyBorder="1" applyAlignment="1">
      <alignment horizontal="center" vertical="center"/>
    </xf>
    <xf numFmtId="0" fontId="23" fillId="0" borderId="1" xfId="1" applyFont="1" applyFill="1" applyBorder="1" applyAlignment="1">
      <alignment horizontal="center" vertical="center"/>
    </xf>
    <xf numFmtId="0" fontId="26" fillId="0" borderId="4" xfId="4" applyFont="1" applyFill="1" applyBorder="1" applyAlignment="1">
      <alignment horizontal="center"/>
    </xf>
    <xf numFmtId="0" fontId="13" fillId="0" borderId="5" xfId="4" applyFont="1" applyFill="1" applyBorder="1" applyAlignment="1">
      <alignment horizontal="left" vertical="center" indent="1"/>
    </xf>
    <xf numFmtId="0" fontId="13" fillId="0" borderId="5" xfId="4" applyFont="1" applyFill="1" applyBorder="1" applyAlignment="1">
      <alignment horizontal="center" vertical="center"/>
    </xf>
    <xf numFmtId="0" fontId="24" fillId="0" borderId="5" xfId="3" applyFont="1" applyFill="1" applyBorder="1" applyAlignment="1">
      <alignment horizontal="center" vertical="center"/>
    </xf>
    <xf numFmtId="0" fontId="20" fillId="0" borderId="5" xfId="3" applyFont="1" applyFill="1" applyBorder="1" applyAlignment="1">
      <alignment horizontal="center" vertical="center"/>
    </xf>
    <xf numFmtId="0" fontId="23" fillId="0" borderId="5" xfId="1" applyFont="1" applyFill="1" applyBorder="1" applyAlignment="1">
      <alignment horizontal="center" vertical="center"/>
    </xf>
    <xf numFmtId="0" fontId="21" fillId="0" borderId="5" xfId="2" applyFont="1" applyFill="1" applyBorder="1" applyAlignment="1">
      <alignment horizontal="center" vertical="center"/>
    </xf>
    <xf numFmtId="0" fontId="21" fillId="0" borderId="6" xfId="2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4" fillId="0" borderId="1" xfId="2" applyFont="1" applyFill="1" applyBorder="1" applyAlignment="1">
      <alignment horizontal="center" vertical="center"/>
    </xf>
  </cellXfs>
  <cellStyles count="5">
    <cellStyle name="一般" xfId="0" builtinId="0"/>
    <cellStyle name="一般 2" xfId="3" xr:uid="{F80E22BE-4E86-4EE6-9A84-AB69E57DE0CA}"/>
    <cellStyle name="一般 3" xfId="2" xr:uid="{339E2E32-D091-4B1C-8D20-0F19EFF7140B}"/>
    <cellStyle name="一般 4 2" xfId="1" xr:uid="{EA1B35F1-F8C7-4DBF-80A8-32E3C86E8708}"/>
    <cellStyle name="一般 5" xfId="4" xr:uid="{1764E436-0C56-4749-A903-F277CDD5CEB5}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Noto Sans TC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Noto Sans TC"/>
        <family val="2"/>
        <scheme val="none"/>
      </font>
      <fill>
        <patternFill patternType="none">
          <fgColor theme="4" tint="0.59999389629810485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8"/>
        <color theme="1"/>
        <name val="Noto Sans TC"/>
        <family val="2"/>
        <scheme val="none"/>
      </font>
      <fill>
        <patternFill patternType="none">
          <fgColor theme="4" tint="0.59999389629810485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Noto Sans TC Medium"/>
        <family val="2"/>
        <scheme val="none"/>
      </font>
      <fill>
        <patternFill patternType="none">
          <fgColor theme="4" tint="0.59999389629810485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8"/>
        <color rgb="FFFF0000"/>
        <name val="Arial"/>
        <family val="2"/>
        <scheme val="none"/>
      </font>
      <fill>
        <patternFill patternType="none">
          <fgColor theme="4" tint="0.59999389629810485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auto="1"/>
        <name val="Arial"/>
        <family val="2"/>
        <scheme val="none"/>
      </font>
      <fill>
        <patternFill patternType="none">
          <fgColor theme="4" tint="0.59999389629810485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erif TC Black"/>
        <family val="1"/>
        <charset val="136"/>
        <scheme val="none"/>
      </font>
      <fill>
        <patternFill patternType="none">
          <fgColor theme="4" tint="0.59999389629810485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erif TC Black"/>
        <family val="1"/>
        <charset val="136"/>
        <scheme val="none"/>
      </font>
      <fill>
        <patternFill patternType="none">
          <fgColor theme="4" tint="0.59999389629810485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erif TC Black"/>
        <family val="1"/>
        <charset val="136"/>
        <scheme val="none"/>
      </font>
      <fill>
        <patternFill patternType="none">
          <fgColor theme="4" tint="0.59999389629810485"/>
          <bgColor auto="1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36"/>
        <color theme="1"/>
        <name val="Noto Serif TC Black"/>
        <family val="1"/>
        <charset val="136"/>
        <scheme val="none"/>
      </font>
      <fill>
        <patternFill patternType="none">
          <fgColor theme="4" tint="0.59999389629810485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853628f16e3ee33/&#27827;&#27931;&#35441;/&#28450;&#35486;&#27880;&#38899;&#23565;&#29031;&#34920;.xlsx" TargetMode="External"/><Relationship Id="rId1" Type="http://schemas.openxmlformats.org/officeDocument/2006/relationships/externalLinkPath" Target="https://d.docs.live.net/e853628f16e3ee33/&#27827;&#27931;&#35441;/&#28450;&#35486;&#27880;&#38899;&#23565;&#29031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work/Piau-Im/output7/&#12304;&#27827;&#27931;&#25991;&#35712;&#27880;&#38899;-&#38313;&#25340;&#35519;&#34399;&#12305;&#12298;&#23450;&#39080;&#27874;&#12299;.xlsx" TargetMode="External"/><Relationship Id="rId2" Type="http://schemas.openxmlformats.org/officeDocument/2006/relationships/externalLinkPath" Target="file:///C:\work\Piau-Im\output7\&#12304;&#27827;&#27931;&#25991;&#35712;&#27880;&#38899;-&#38313;&#25340;&#35519;&#34399;&#12305;&#12298;&#23450;&#39080;&#27874;&#12299;.xlsx" TargetMode="External"/><Relationship Id="rId1" Type="http://schemas.openxmlformats.org/officeDocument/2006/relationships/externalLinkPath" Target="/work/Piau-Im/output7/&#12304;&#27827;&#27931;&#25991;&#35712;&#27880;&#38899;-&#38313;&#25340;&#35519;&#34399;&#12305;&#12298;&#23450;&#39080;&#27874;&#122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昔時賢文"/>
      <sheetName val="昔時賢文 (自動翻譯)"/>
      <sheetName val="字典01"/>
      <sheetName val="雅俗通字庫"/>
      <sheetName val="注音聲母碼"/>
      <sheetName val="注音韻母碼"/>
      <sheetName val="方音-音節表"/>
      <sheetName val="台語ㄅㄆㄇ-聲母碼"/>
      <sheetName val="台語ㄅㄆㄇ-韻母碼"/>
      <sheetName val="台語ㄅㄆㄇ轉換對照表"/>
      <sheetName val="聲調表"/>
      <sheetName val="聲母碼"/>
      <sheetName val="韻母碼 (台羅)"/>
      <sheetName val="聲母對照表"/>
      <sheetName val="十五音-聲母"/>
      <sheetName val="韻母碼"/>
      <sheetName val="韻母對照表"/>
      <sheetName val="十五音-韻母"/>
      <sheetName val="十五音韻母比較表"/>
      <sheetName val="十五音-韻母八音反切"/>
      <sheetName val="方音-聲母"/>
      <sheetName val="方音-韻母"/>
      <sheetName val="方音．組合韻母表"/>
      <sheetName val="方音符號表"/>
      <sheetName val="方音符號．鍵盤"/>
      <sheetName val="閩拼-聲母"/>
      <sheetName val="閩拼-韻母"/>
      <sheetName val="聲母對照表（舊）"/>
      <sheetName val="韻母對照表（舊）"/>
      <sheetName val="閩拼-韻母八音反切"/>
      <sheetName val="閩拼-聲調"/>
      <sheetName val="白話字-音節表"/>
      <sheetName val="白話字-韻母八音反切"/>
      <sheetName val="台羅拼音-音節表"/>
      <sheetName val="台羅-韻母八音反切"/>
      <sheetName val="增補彙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D6">
            <v>1</v>
          </cell>
          <cell r="E6" t="str">
            <v>b</v>
          </cell>
          <cell r="F6" t="str">
            <v>b</v>
          </cell>
          <cell r="G6" t="str">
            <v>門</v>
          </cell>
          <cell r="H6" t="str">
            <v>b</v>
          </cell>
          <cell r="I6" t="str">
            <v>b</v>
          </cell>
          <cell r="J6" t="str">
            <v>bb</v>
          </cell>
          <cell r="K6" t="str">
            <v>ㆠ</v>
          </cell>
        </row>
        <row r="7">
          <cell r="D7">
            <v>2</v>
          </cell>
          <cell r="E7" t="str">
            <v>ch</v>
          </cell>
          <cell r="F7" t="str">
            <v>ʦ</v>
          </cell>
          <cell r="G7" t="str">
            <v>曾</v>
          </cell>
          <cell r="H7" t="str">
            <v>ch</v>
          </cell>
          <cell r="I7" t="str">
            <v>ts</v>
          </cell>
          <cell r="J7" t="str">
            <v>z</v>
          </cell>
          <cell r="K7" t="str">
            <v>ㄗ</v>
          </cell>
        </row>
        <row r="8">
          <cell r="D8">
            <v>3</v>
          </cell>
          <cell r="E8" t="str">
            <v>chh</v>
          </cell>
          <cell r="F8" t="str">
            <v>ʦʰ</v>
          </cell>
          <cell r="G8" t="str">
            <v>出</v>
          </cell>
          <cell r="H8" t="str">
            <v>chh</v>
          </cell>
          <cell r="I8" t="str">
            <v>tsh</v>
          </cell>
          <cell r="J8" t="str">
            <v>c</v>
          </cell>
          <cell r="K8" t="str">
            <v>ㄘ</v>
          </cell>
        </row>
        <row r="9">
          <cell r="D9">
            <v>4</v>
          </cell>
          <cell r="E9" t="str">
            <v>g</v>
          </cell>
          <cell r="F9" t="str">
            <v>ɡ</v>
          </cell>
          <cell r="G9" t="str">
            <v>語</v>
          </cell>
          <cell r="H9" t="str">
            <v>g</v>
          </cell>
          <cell r="I9" t="str">
            <v>g</v>
          </cell>
          <cell r="J9" t="str">
            <v>gg</v>
          </cell>
          <cell r="K9" t="str">
            <v>ㆣ</v>
          </cell>
        </row>
        <row r="10">
          <cell r="D10">
            <v>5</v>
          </cell>
          <cell r="E10" t="str">
            <v>h</v>
          </cell>
          <cell r="F10" t="str">
            <v>h</v>
          </cell>
          <cell r="G10" t="str">
            <v>喜</v>
          </cell>
          <cell r="H10" t="str">
            <v>h</v>
          </cell>
          <cell r="I10" t="str">
            <v>h</v>
          </cell>
          <cell r="J10" t="str">
            <v>h</v>
          </cell>
          <cell r="K10" t="str">
            <v>ㄏ</v>
          </cell>
        </row>
        <row r="11">
          <cell r="D11">
            <v>6</v>
          </cell>
          <cell r="E11" t="str">
            <v>j</v>
          </cell>
          <cell r="F11" t="str">
            <v>ʣ</v>
          </cell>
          <cell r="G11" t="str">
            <v>入</v>
          </cell>
          <cell r="H11" t="str">
            <v>j</v>
          </cell>
          <cell r="I11" t="str">
            <v>j</v>
          </cell>
          <cell r="J11" t="str">
            <v>zz</v>
          </cell>
          <cell r="K11" t="str">
            <v>ㆡ</v>
          </cell>
        </row>
        <row r="12">
          <cell r="D12">
            <v>7</v>
          </cell>
          <cell r="E12" t="str">
            <v>k</v>
          </cell>
          <cell r="F12" t="str">
            <v>k</v>
          </cell>
          <cell r="G12" t="str">
            <v>求</v>
          </cell>
          <cell r="H12" t="str">
            <v>k</v>
          </cell>
          <cell r="I12" t="str">
            <v>k</v>
          </cell>
          <cell r="J12" t="str">
            <v>g</v>
          </cell>
          <cell r="K12" t="str">
            <v>ㄍ</v>
          </cell>
        </row>
        <row r="13">
          <cell r="D13">
            <v>8</v>
          </cell>
          <cell r="E13" t="str">
            <v>kh</v>
          </cell>
          <cell r="F13" t="str">
            <v>kʰ</v>
          </cell>
          <cell r="G13" t="str">
            <v>去</v>
          </cell>
          <cell r="H13" t="str">
            <v>kh</v>
          </cell>
          <cell r="I13" t="str">
            <v>kh</v>
          </cell>
          <cell r="J13" t="str">
            <v>k</v>
          </cell>
          <cell r="K13" t="str">
            <v>ㄎ</v>
          </cell>
        </row>
        <row r="14">
          <cell r="D14">
            <v>9</v>
          </cell>
          <cell r="E14" t="str">
            <v>l</v>
          </cell>
          <cell r="F14" t="str">
            <v>l</v>
          </cell>
          <cell r="G14" t="str">
            <v>柳</v>
          </cell>
          <cell r="H14" t="str">
            <v>l</v>
          </cell>
          <cell r="I14" t="str">
            <v>l</v>
          </cell>
          <cell r="J14" t="str">
            <v>l</v>
          </cell>
          <cell r="K14" t="str">
            <v>ㄌ</v>
          </cell>
        </row>
        <row r="15">
          <cell r="D15">
            <v>10</v>
          </cell>
          <cell r="E15" t="str">
            <v>m</v>
          </cell>
          <cell r="F15" t="str">
            <v>m</v>
          </cell>
          <cell r="G15" t="str">
            <v>毛</v>
          </cell>
          <cell r="H15" t="str">
            <v>m</v>
          </cell>
          <cell r="I15" t="str">
            <v>m</v>
          </cell>
          <cell r="J15" t="str">
            <v>bbn</v>
          </cell>
          <cell r="K15" t="str">
            <v>ㄇ</v>
          </cell>
        </row>
        <row r="16">
          <cell r="D16">
            <v>11</v>
          </cell>
          <cell r="E16" t="str">
            <v>n</v>
          </cell>
          <cell r="F16" t="str">
            <v>n</v>
          </cell>
          <cell r="G16" t="str">
            <v>耐</v>
          </cell>
          <cell r="H16" t="str">
            <v>n</v>
          </cell>
          <cell r="I16" t="str">
            <v>n</v>
          </cell>
          <cell r="J16" t="str">
            <v>ln</v>
          </cell>
          <cell r="K16" t="str">
            <v>ㄋ</v>
          </cell>
        </row>
        <row r="17">
          <cell r="D17">
            <v>12</v>
          </cell>
          <cell r="E17" t="str">
            <v>ng</v>
          </cell>
          <cell r="F17" t="str">
            <v>ŋ</v>
          </cell>
          <cell r="G17" t="str">
            <v>雅</v>
          </cell>
          <cell r="H17" t="str">
            <v>ng</v>
          </cell>
          <cell r="I17" t="str">
            <v>ng</v>
          </cell>
          <cell r="J17" t="str">
            <v>ggn</v>
          </cell>
          <cell r="K17" t="str">
            <v>ㄫ</v>
          </cell>
        </row>
        <row r="18">
          <cell r="D18">
            <v>13</v>
          </cell>
          <cell r="E18" t="str">
            <v>p</v>
          </cell>
          <cell r="F18" t="str">
            <v>p</v>
          </cell>
          <cell r="G18" t="str">
            <v>邊</v>
          </cell>
          <cell r="H18" t="str">
            <v>p</v>
          </cell>
          <cell r="I18" t="str">
            <v>p</v>
          </cell>
          <cell r="J18" t="str">
            <v>b</v>
          </cell>
          <cell r="K18" t="str">
            <v>ㄅ</v>
          </cell>
        </row>
        <row r="19">
          <cell r="D19">
            <v>14</v>
          </cell>
          <cell r="E19" t="str">
            <v>ph</v>
          </cell>
          <cell r="F19" t="str">
            <v>pʰ</v>
          </cell>
          <cell r="G19" t="str">
            <v>頗</v>
          </cell>
          <cell r="H19" t="str">
            <v>ph</v>
          </cell>
          <cell r="I19" t="str">
            <v>ph</v>
          </cell>
          <cell r="J19" t="str">
            <v>p</v>
          </cell>
          <cell r="K19" t="str">
            <v>ㄆ</v>
          </cell>
        </row>
        <row r="20">
          <cell r="D20">
            <v>15</v>
          </cell>
          <cell r="E20" t="str">
            <v>s</v>
          </cell>
          <cell r="F20" t="str">
            <v>s</v>
          </cell>
          <cell r="G20" t="str">
            <v>時</v>
          </cell>
          <cell r="H20" t="str">
            <v>s</v>
          </cell>
          <cell r="I20" t="str">
            <v>s</v>
          </cell>
          <cell r="J20" t="str">
            <v>s</v>
          </cell>
          <cell r="K20" t="str">
            <v>ㄙ</v>
          </cell>
        </row>
        <row r="21">
          <cell r="D21">
            <v>16</v>
          </cell>
          <cell r="E21" t="str">
            <v>t</v>
          </cell>
          <cell r="F21" t="str">
            <v>t</v>
          </cell>
          <cell r="G21" t="str">
            <v>地</v>
          </cell>
          <cell r="H21" t="str">
            <v>t</v>
          </cell>
          <cell r="I21" t="str">
            <v>t</v>
          </cell>
          <cell r="J21" t="str">
            <v>d</v>
          </cell>
          <cell r="K21" t="str">
            <v>ㄉ</v>
          </cell>
        </row>
        <row r="22">
          <cell r="D22">
            <v>17</v>
          </cell>
          <cell r="E22" t="str">
            <v>th</v>
          </cell>
          <cell r="F22" t="str">
            <v>tʰ</v>
          </cell>
          <cell r="G22" t="str">
            <v>他</v>
          </cell>
          <cell r="H22" t="str">
            <v>th</v>
          </cell>
          <cell r="I22" t="str">
            <v>th</v>
          </cell>
          <cell r="J22" t="str">
            <v>t</v>
          </cell>
          <cell r="K22" t="str">
            <v>ㄊ</v>
          </cell>
        </row>
      </sheetData>
      <sheetData sheetId="12" refreshError="1"/>
      <sheetData sheetId="13" refreshError="1"/>
      <sheetData sheetId="14" refreshError="1"/>
      <sheetData sheetId="15">
        <row r="5">
          <cell r="F5">
            <v>1</v>
          </cell>
          <cell r="G5" t="str">
            <v>a</v>
          </cell>
          <cell r="H5" t="str">
            <v>a</v>
          </cell>
          <cell r="I5" t="str">
            <v>膠</v>
          </cell>
          <cell r="J5" t="str">
            <v>a</v>
          </cell>
          <cell r="K5" t="str">
            <v>a</v>
          </cell>
          <cell r="L5" t="str">
            <v>a</v>
          </cell>
          <cell r="M5" t="str">
            <v>ㄚ</v>
          </cell>
        </row>
        <row r="6">
          <cell r="F6">
            <v>2</v>
          </cell>
          <cell r="G6" t="str">
            <v>ann</v>
          </cell>
          <cell r="H6" t="str">
            <v>ã</v>
          </cell>
          <cell r="I6" t="str">
            <v>監</v>
          </cell>
          <cell r="J6" t="str">
            <v>aⁿ</v>
          </cell>
          <cell r="K6" t="str">
            <v>ann</v>
          </cell>
          <cell r="L6" t="str">
            <v>na</v>
          </cell>
          <cell r="M6" t="str">
            <v>ㆩ</v>
          </cell>
        </row>
        <row r="7">
          <cell r="F7">
            <v>3</v>
          </cell>
          <cell r="G7" t="str">
            <v>ah</v>
          </cell>
          <cell r="H7" t="str">
            <v>a?</v>
          </cell>
          <cell r="I7" t="str">
            <v>膠</v>
          </cell>
          <cell r="J7" t="str">
            <v>ah</v>
          </cell>
          <cell r="K7" t="str">
            <v>ah</v>
          </cell>
          <cell r="L7" t="str">
            <v>ah</v>
          </cell>
          <cell r="M7" t="str">
            <v>ㄚㆷ</v>
          </cell>
        </row>
        <row r="8">
          <cell r="F8">
            <v>4</v>
          </cell>
          <cell r="G8" t="str">
            <v>ahnn</v>
          </cell>
          <cell r="H8" t="str">
            <v>ã?</v>
          </cell>
          <cell r="I8" t="str">
            <v>監</v>
          </cell>
          <cell r="J8" t="str">
            <v>ahⁿ</v>
          </cell>
          <cell r="K8" t="str">
            <v>annh</v>
          </cell>
          <cell r="L8" t="str">
            <v>nah</v>
          </cell>
          <cell r="M8" t="str">
            <v>ㆩㆷ</v>
          </cell>
        </row>
        <row r="9">
          <cell r="F9">
            <v>5</v>
          </cell>
          <cell r="G9" t="str">
            <v>ai</v>
          </cell>
          <cell r="H9" t="str">
            <v>ai</v>
          </cell>
          <cell r="I9" t="str">
            <v>皆</v>
          </cell>
          <cell r="J9" t="str">
            <v>ai</v>
          </cell>
          <cell r="K9" t="str">
            <v>ai</v>
          </cell>
          <cell r="L9" t="str">
            <v>ai</v>
          </cell>
          <cell r="M9" t="str">
            <v>ㄞ</v>
          </cell>
        </row>
        <row r="10">
          <cell r="F10">
            <v>6</v>
          </cell>
          <cell r="G10" t="str">
            <v>ainn</v>
          </cell>
          <cell r="H10" t="str">
            <v>ãĩ</v>
          </cell>
          <cell r="I10" t="str">
            <v>閒</v>
          </cell>
          <cell r="J10" t="str">
            <v>aiⁿ</v>
          </cell>
          <cell r="K10" t="str">
            <v>ainn</v>
          </cell>
          <cell r="L10" t="str">
            <v>nai</v>
          </cell>
          <cell r="M10" t="str">
            <v>ㆮ</v>
          </cell>
        </row>
        <row r="11">
          <cell r="F11">
            <v>7</v>
          </cell>
          <cell r="G11" t="str">
            <v>ak</v>
          </cell>
          <cell r="H11" t="str">
            <v>ak̚</v>
          </cell>
          <cell r="I11" t="str">
            <v>江</v>
          </cell>
          <cell r="J11" t="str">
            <v>ak</v>
          </cell>
          <cell r="K11" t="str">
            <v>ak</v>
          </cell>
          <cell r="L11" t="str">
            <v>ak</v>
          </cell>
          <cell r="M11" t="str">
            <v>ㄚㆻ</v>
          </cell>
        </row>
        <row r="12">
          <cell r="F12">
            <v>8</v>
          </cell>
          <cell r="G12" t="str">
            <v>am</v>
          </cell>
          <cell r="H12" t="str">
            <v>am</v>
          </cell>
          <cell r="I12" t="str">
            <v>甘</v>
          </cell>
          <cell r="J12" t="str">
            <v>am</v>
          </cell>
          <cell r="K12" t="str">
            <v>am</v>
          </cell>
          <cell r="L12" t="str">
            <v>am</v>
          </cell>
          <cell r="M12" t="str">
            <v>ㆰ</v>
          </cell>
        </row>
        <row r="13">
          <cell r="F13">
            <v>9</v>
          </cell>
          <cell r="G13" t="str">
            <v>an</v>
          </cell>
          <cell r="H13" t="str">
            <v>an</v>
          </cell>
          <cell r="I13" t="str">
            <v>干</v>
          </cell>
          <cell r="J13" t="str">
            <v>an</v>
          </cell>
          <cell r="K13" t="str">
            <v>an</v>
          </cell>
          <cell r="L13" t="str">
            <v>an</v>
          </cell>
          <cell r="M13" t="str">
            <v>ㄢ</v>
          </cell>
        </row>
        <row r="14">
          <cell r="F14">
            <v>10</v>
          </cell>
          <cell r="G14" t="str">
            <v>ang</v>
          </cell>
          <cell r="H14" t="str">
            <v>aŋ</v>
          </cell>
          <cell r="I14" t="str">
            <v>江</v>
          </cell>
          <cell r="J14" t="str">
            <v>ang</v>
          </cell>
          <cell r="K14" t="str">
            <v>ang</v>
          </cell>
          <cell r="L14" t="str">
            <v>ang</v>
          </cell>
          <cell r="M14" t="str">
            <v>ㄤ</v>
          </cell>
        </row>
        <row r="15">
          <cell r="F15">
            <v>11</v>
          </cell>
          <cell r="G15" t="str">
            <v>ap</v>
          </cell>
          <cell r="H15" t="str">
            <v>ap̚</v>
          </cell>
          <cell r="I15" t="str">
            <v>甘</v>
          </cell>
          <cell r="J15" t="str">
            <v>ap</v>
          </cell>
          <cell r="K15" t="str">
            <v>ap</v>
          </cell>
          <cell r="L15" t="str">
            <v>ap</v>
          </cell>
          <cell r="M15" t="str">
            <v>ㄚㆴ</v>
          </cell>
        </row>
        <row r="16">
          <cell r="F16">
            <v>12</v>
          </cell>
          <cell r="G16" t="str">
            <v>at</v>
          </cell>
          <cell r="H16" t="str">
            <v>at̚</v>
          </cell>
          <cell r="I16" t="str">
            <v>干</v>
          </cell>
          <cell r="J16" t="str">
            <v>at</v>
          </cell>
          <cell r="K16" t="str">
            <v>ap</v>
          </cell>
          <cell r="L16" t="str">
            <v>at</v>
          </cell>
          <cell r="M16" t="str">
            <v>ㄚㆵ</v>
          </cell>
        </row>
        <row r="17">
          <cell r="F17">
            <v>13</v>
          </cell>
          <cell r="G17" t="str">
            <v>au</v>
          </cell>
          <cell r="H17" t="str">
            <v>aʊ</v>
          </cell>
          <cell r="I17" t="str">
            <v>交</v>
          </cell>
          <cell r="J17" t="str">
            <v>au</v>
          </cell>
          <cell r="K17" t="str">
            <v>au</v>
          </cell>
          <cell r="L17" t="str">
            <v>ao</v>
          </cell>
          <cell r="M17" t="str">
            <v>ㄠ</v>
          </cell>
        </row>
        <row r="18">
          <cell r="F18">
            <v>14</v>
          </cell>
          <cell r="G18" t="str">
            <v>auh</v>
          </cell>
          <cell r="H18" t="str">
            <v>au?</v>
          </cell>
          <cell r="I18" t="str">
            <v>交</v>
          </cell>
          <cell r="J18" t="str">
            <v>auh</v>
          </cell>
          <cell r="K18" t="str">
            <v>auh</v>
          </cell>
          <cell r="L18" t="str">
            <v>aoh</v>
          </cell>
          <cell r="M18" t="str">
            <v>ㄠㆷ</v>
          </cell>
        </row>
        <row r="19">
          <cell r="F19">
            <v>15</v>
          </cell>
          <cell r="G19" t="str">
            <v>e</v>
          </cell>
          <cell r="H19" t="str">
            <v>e</v>
          </cell>
          <cell r="I19" t="str">
            <v>伽</v>
          </cell>
          <cell r="J19" t="str">
            <v>e</v>
          </cell>
          <cell r="K19" t="str">
            <v>e</v>
          </cell>
          <cell r="L19" t="str">
            <v>e</v>
          </cell>
          <cell r="M19" t="str">
            <v>ㆤ</v>
          </cell>
        </row>
        <row r="20">
          <cell r="F20">
            <v>16</v>
          </cell>
          <cell r="G20" t="str">
            <v>enn</v>
          </cell>
          <cell r="H20" t="str">
            <v>ẽ</v>
          </cell>
          <cell r="I20" t="str">
            <v>更</v>
          </cell>
          <cell r="J20" t="str">
            <v>eⁿ</v>
          </cell>
          <cell r="K20" t="str">
            <v>enn</v>
          </cell>
          <cell r="L20" t="str">
            <v>ne</v>
          </cell>
          <cell r="M20" t="str">
            <v>ㆥ</v>
          </cell>
        </row>
        <row r="21">
          <cell r="F21">
            <v>17</v>
          </cell>
          <cell r="G21" t="str">
            <v>eh</v>
          </cell>
          <cell r="H21" t="str">
            <v>e?</v>
          </cell>
          <cell r="I21" t="str">
            <v>伽</v>
          </cell>
          <cell r="J21" t="str">
            <v>eh</v>
          </cell>
          <cell r="K21" t="str">
            <v>eh</v>
          </cell>
          <cell r="L21" t="str">
            <v>eh</v>
          </cell>
          <cell r="M21" t="str">
            <v>ㆤㆷ</v>
          </cell>
        </row>
        <row r="22">
          <cell r="F22">
            <v>18</v>
          </cell>
          <cell r="G22" t="str">
            <v>ehnn</v>
          </cell>
          <cell r="H22" t="str">
            <v>ẽ?</v>
          </cell>
          <cell r="I22" t="str">
            <v>更</v>
          </cell>
          <cell r="J22" t="str">
            <v>ehⁿ</v>
          </cell>
          <cell r="K22" t="str">
            <v>ennh</v>
          </cell>
          <cell r="L22" t="str">
            <v>neh</v>
          </cell>
          <cell r="M22" t="str">
            <v>ㆥㆷ</v>
          </cell>
        </row>
        <row r="23">
          <cell r="F23">
            <v>19</v>
          </cell>
          <cell r="G23" t="str">
            <v>ek</v>
          </cell>
          <cell r="H23" t="str">
            <v>ik̚</v>
          </cell>
          <cell r="I23" t="str">
            <v>經</v>
          </cell>
          <cell r="J23" t="str">
            <v>ek</v>
          </cell>
          <cell r="K23" t="str">
            <v>ik</v>
          </cell>
          <cell r="L23" t="str">
            <v>ik</v>
          </cell>
          <cell r="M23" t="str">
            <v>ㄧㆻ</v>
          </cell>
        </row>
        <row r="24">
          <cell r="F24">
            <v>20</v>
          </cell>
          <cell r="G24" t="str">
            <v>eng</v>
          </cell>
          <cell r="H24" t="str">
            <v>ɪŋ</v>
          </cell>
          <cell r="I24" t="str">
            <v>經</v>
          </cell>
          <cell r="J24" t="str">
            <v>eng</v>
          </cell>
          <cell r="K24" t="str">
            <v>ing</v>
          </cell>
          <cell r="L24" t="str">
            <v>ing</v>
          </cell>
          <cell r="M24" t="str">
            <v>ㄧㄥ</v>
          </cell>
        </row>
        <row r="25">
          <cell r="F25">
            <v>21</v>
          </cell>
          <cell r="G25" t="str">
            <v>i</v>
          </cell>
          <cell r="H25" t="str">
            <v>i</v>
          </cell>
          <cell r="I25" t="str">
            <v>居</v>
          </cell>
          <cell r="J25" t="str">
            <v>i</v>
          </cell>
          <cell r="K25" t="str">
            <v>i</v>
          </cell>
          <cell r="L25" t="str">
            <v>i</v>
          </cell>
          <cell r="M25" t="str">
            <v>ㄧ</v>
          </cell>
        </row>
        <row r="26">
          <cell r="F26">
            <v>22</v>
          </cell>
          <cell r="G26" t="str">
            <v>inn</v>
          </cell>
          <cell r="H26" t="str">
            <v>ĩ</v>
          </cell>
          <cell r="I26" t="str">
            <v>梔</v>
          </cell>
          <cell r="J26" t="str">
            <v>iⁿ</v>
          </cell>
          <cell r="K26" t="str">
            <v>inn</v>
          </cell>
          <cell r="L26" t="str">
            <v>ni</v>
          </cell>
          <cell r="M26" t="str">
            <v>ㆪ</v>
          </cell>
        </row>
        <row r="27">
          <cell r="F27">
            <v>23</v>
          </cell>
          <cell r="G27" t="str">
            <v>ia</v>
          </cell>
          <cell r="H27" t="str">
            <v>ia</v>
          </cell>
          <cell r="I27" t="str">
            <v>迦</v>
          </cell>
          <cell r="J27" t="str">
            <v>ia</v>
          </cell>
          <cell r="K27" t="str">
            <v>ia</v>
          </cell>
          <cell r="L27" t="str">
            <v>ia</v>
          </cell>
          <cell r="M27" t="str">
            <v>ㄧㄚ</v>
          </cell>
        </row>
        <row r="28">
          <cell r="F28">
            <v>24</v>
          </cell>
          <cell r="G28" t="str">
            <v>iann</v>
          </cell>
          <cell r="H28" t="str">
            <v>ĩã</v>
          </cell>
          <cell r="I28" t="str">
            <v>驚</v>
          </cell>
          <cell r="J28" t="str">
            <v>iaⁿ</v>
          </cell>
          <cell r="K28" t="str">
            <v>iann</v>
          </cell>
          <cell r="L28" t="str">
            <v>nia</v>
          </cell>
          <cell r="M28" t="str">
            <v>ㄧㆩ</v>
          </cell>
        </row>
        <row r="29">
          <cell r="F29">
            <v>25</v>
          </cell>
          <cell r="G29" t="str">
            <v>iah</v>
          </cell>
          <cell r="H29" t="str">
            <v>ia?</v>
          </cell>
          <cell r="I29" t="str">
            <v>迦</v>
          </cell>
          <cell r="J29" t="str">
            <v>iah</v>
          </cell>
          <cell r="K29" t="str">
            <v>iah</v>
          </cell>
          <cell r="L29" t="str">
            <v>iah</v>
          </cell>
          <cell r="M29" t="str">
            <v>ㄧㄚㆷ</v>
          </cell>
        </row>
        <row r="30">
          <cell r="F30">
            <v>26</v>
          </cell>
          <cell r="G30" t="str">
            <v>iannh</v>
          </cell>
          <cell r="H30" t="str">
            <v>iãh</v>
          </cell>
          <cell r="I30" t="str">
            <v>驚</v>
          </cell>
          <cell r="J30" t="str">
            <v>iahⁿ</v>
          </cell>
          <cell r="K30" t="str">
            <v>iannh</v>
          </cell>
          <cell r="L30" t="str">
            <v>niah</v>
          </cell>
          <cell r="M30" t="str">
            <v>ㄧㆩㆷ</v>
          </cell>
        </row>
        <row r="31">
          <cell r="F31">
            <v>27</v>
          </cell>
          <cell r="G31" t="str">
            <v>iak</v>
          </cell>
          <cell r="H31" t="str">
            <v>iak̚</v>
          </cell>
          <cell r="I31" t="str">
            <v>姜</v>
          </cell>
          <cell r="J31" t="str">
            <v>iak</v>
          </cell>
          <cell r="K31" t="str">
            <v>iak</v>
          </cell>
          <cell r="L31" t="str">
            <v>iak</v>
          </cell>
          <cell r="M31" t="str">
            <v>ㄧㄚㆻ</v>
          </cell>
        </row>
        <row r="32">
          <cell r="F32">
            <v>28</v>
          </cell>
          <cell r="G32" t="str">
            <v>iam</v>
          </cell>
          <cell r="H32" t="str">
            <v>iam</v>
          </cell>
          <cell r="I32" t="str">
            <v>兼</v>
          </cell>
          <cell r="J32" t="str">
            <v>iam</v>
          </cell>
          <cell r="K32" t="str">
            <v>iam</v>
          </cell>
          <cell r="L32" t="str">
            <v>iam</v>
          </cell>
          <cell r="M32" t="str">
            <v>ㄧㆰ</v>
          </cell>
        </row>
        <row r="33">
          <cell r="F33">
            <v>29</v>
          </cell>
          <cell r="G33" t="str">
            <v>ian</v>
          </cell>
          <cell r="H33" t="str">
            <v>ian</v>
          </cell>
          <cell r="I33" t="str">
            <v>堅</v>
          </cell>
          <cell r="J33" t="str">
            <v>ian</v>
          </cell>
          <cell r="K33" t="str">
            <v>ian</v>
          </cell>
          <cell r="L33" t="str">
            <v>ian</v>
          </cell>
          <cell r="M33" t="str">
            <v>ㄧㄢ</v>
          </cell>
        </row>
        <row r="34">
          <cell r="F34">
            <v>30</v>
          </cell>
          <cell r="G34" t="str">
            <v>iang</v>
          </cell>
          <cell r="H34" t="str">
            <v>iaŋ</v>
          </cell>
          <cell r="I34" t="str">
            <v>姜</v>
          </cell>
          <cell r="J34" t="str">
            <v>iang</v>
          </cell>
          <cell r="K34" t="str">
            <v>iang</v>
          </cell>
          <cell r="L34" t="str">
            <v>iang</v>
          </cell>
          <cell r="M34" t="str">
            <v>ㄧㄤ</v>
          </cell>
        </row>
        <row r="35">
          <cell r="F35">
            <v>31</v>
          </cell>
          <cell r="G35" t="str">
            <v>iap</v>
          </cell>
          <cell r="H35" t="str">
            <v>iap̚</v>
          </cell>
          <cell r="I35" t="str">
            <v>兼</v>
          </cell>
          <cell r="J35" t="str">
            <v>iap</v>
          </cell>
          <cell r="K35" t="str">
            <v>iap</v>
          </cell>
          <cell r="L35" t="str">
            <v>iap</v>
          </cell>
          <cell r="M35" t="str">
            <v>ㄧㄚㆴ</v>
          </cell>
        </row>
        <row r="36">
          <cell r="F36">
            <v>32</v>
          </cell>
          <cell r="G36" t="str">
            <v>iat</v>
          </cell>
          <cell r="H36" t="str">
            <v>iat̚</v>
          </cell>
          <cell r="I36" t="str">
            <v>堅</v>
          </cell>
          <cell r="J36" t="str">
            <v>iat</v>
          </cell>
          <cell r="K36" t="str">
            <v>iat</v>
          </cell>
          <cell r="L36" t="str">
            <v>iat</v>
          </cell>
          <cell r="M36" t="str">
            <v>ㄧㄚㆵ</v>
          </cell>
        </row>
        <row r="37">
          <cell r="F37">
            <v>33</v>
          </cell>
          <cell r="G37" t="str">
            <v>iau</v>
          </cell>
          <cell r="H37" t="str">
            <v>iaʊ</v>
          </cell>
          <cell r="I37" t="str">
            <v>嬌</v>
          </cell>
          <cell r="J37" t="str">
            <v>iau</v>
          </cell>
          <cell r="K37" t="str">
            <v>iau</v>
          </cell>
          <cell r="L37" t="str">
            <v>iao</v>
          </cell>
          <cell r="M37" t="str">
            <v>ㄧㄠ</v>
          </cell>
        </row>
        <row r="38">
          <cell r="F38">
            <v>34</v>
          </cell>
          <cell r="G38" t="str">
            <v>iaunn</v>
          </cell>
          <cell r="H38" t="str">
            <v>ĩãũ</v>
          </cell>
          <cell r="I38" t="str">
            <v>嘄</v>
          </cell>
          <cell r="J38" t="str">
            <v>iauⁿ</v>
          </cell>
          <cell r="K38" t="str">
            <v>iaunn</v>
          </cell>
          <cell r="L38" t="str">
            <v>niao</v>
          </cell>
          <cell r="M38" t="str">
            <v>ㄧㆯ</v>
          </cell>
        </row>
        <row r="39">
          <cell r="F39">
            <v>35</v>
          </cell>
          <cell r="G39" t="str">
            <v>iauh</v>
          </cell>
          <cell r="H39" t="str">
            <v>iau?</v>
          </cell>
          <cell r="I39" t="str">
            <v>嬌</v>
          </cell>
          <cell r="J39" t="str">
            <v>iauh</v>
          </cell>
          <cell r="K39" t="str">
            <v>iauh</v>
          </cell>
          <cell r="L39" t="str">
            <v>iaoh</v>
          </cell>
          <cell r="M39" t="str">
            <v>ㄧㄠㆷ</v>
          </cell>
        </row>
        <row r="40">
          <cell r="F40">
            <v>36</v>
          </cell>
          <cell r="G40" t="str">
            <v>ih</v>
          </cell>
          <cell r="H40" t="str">
            <v>i?</v>
          </cell>
          <cell r="I40" t="str">
            <v>居</v>
          </cell>
          <cell r="J40" t="str">
            <v>ih</v>
          </cell>
          <cell r="K40" t="str">
            <v>ih</v>
          </cell>
          <cell r="L40" t="str">
            <v>ih</v>
          </cell>
          <cell r="M40" t="str">
            <v>ㄧㆷ</v>
          </cell>
        </row>
        <row r="41">
          <cell r="F41">
            <v>37</v>
          </cell>
          <cell r="G41" t="str">
            <v>im</v>
          </cell>
          <cell r="H41" t="str">
            <v>im</v>
          </cell>
          <cell r="I41" t="str">
            <v>金</v>
          </cell>
          <cell r="J41" t="str">
            <v>im</v>
          </cell>
          <cell r="K41" t="str">
            <v>im</v>
          </cell>
          <cell r="L41" t="str">
            <v>im</v>
          </cell>
          <cell r="M41" t="str">
            <v>ㄧㆬ</v>
          </cell>
        </row>
        <row r="42">
          <cell r="F42">
            <v>38</v>
          </cell>
          <cell r="G42" t="str">
            <v>in</v>
          </cell>
          <cell r="H42" t="str">
            <v>in</v>
          </cell>
          <cell r="I42" t="str">
            <v>巾</v>
          </cell>
          <cell r="J42" t="str">
            <v>in</v>
          </cell>
          <cell r="K42" t="str">
            <v>in</v>
          </cell>
          <cell r="L42" t="str">
            <v>in</v>
          </cell>
          <cell r="M42" t="str">
            <v>ㄧㄣ</v>
          </cell>
        </row>
        <row r="43">
          <cell r="F43">
            <v>39</v>
          </cell>
          <cell r="G43" t="str">
            <v>io</v>
          </cell>
          <cell r="H43" t="str">
            <v>io</v>
          </cell>
          <cell r="I43" t="str">
            <v>茄</v>
          </cell>
          <cell r="J43" t="str">
            <v>io</v>
          </cell>
          <cell r="K43" t="str">
            <v>io</v>
          </cell>
          <cell r="L43" t="str">
            <v>io</v>
          </cell>
          <cell r="M43" t="str">
            <v>ㄧㄜ</v>
          </cell>
        </row>
        <row r="44">
          <cell r="F44">
            <v>40</v>
          </cell>
          <cell r="G44" t="str">
            <v>ioh</v>
          </cell>
          <cell r="H44" t="str">
            <v>iə?</v>
          </cell>
          <cell r="I44" t="str">
            <v>茄</v>
          </cell>
          <cell r="J44" t="str">
            <v>ioh</v>
          </cell>
          <cell r="K44" t="str">
            <v>ioh</v>
          </cell>
          <cell r="L44" t="str">
            <v>ioh</v>
          </cell>
          <cell r="M44" t="str">
            <v>ㄧㄜㆷ</v>
          </cell>
        </row>
        <row r="45">
          <cell r="F45">
            <v>41</v>
          </cell>
          <cell r="G45" t="str">
            <v>iok</v>
          </cell>
          <cell r="H45" t="str">
            <v>iɔk̚</v>
          </cell>
          <cell r="I45" t="str">
            <v>恭</v>
          </cell>
          <cell r="J45" t="str">
            <v>iok</v>
          </cell>
          <cell r="K45" t="str">
            <v>iok</v>
          </cell>
          <cell r="L45" t="str">
            <v>iok</v>
          </cell>
          <cell r="M45" t="str">
            <v>ㄧㆦㆻ</v>
          </cell>
        </row>
        <row r="46">
          <cell r="F46">
            <v>42</v>
          </cell>
          <cell r="G46" t="str">
            <v>iong</v>
          </cell>
          <cell r="H46" t="str">
            <v>iɔŋ</v>
          </cell>
          <cell r="I46" t="str">
            <v>恭</v>
          </cell>
          <cell r="J46" t="str">
            <v>iong</v>
          </cell>
          <cell r="K46" t="str">
            <v>iong</v>
          </cell>
          <cell r="L46" t="str">
            <v>iong</v>
          </cell>
          <cell r="M46" t="str">
            <v>ㄧㆲ</v>
          </cell>
        </row>
        <row r="47">
          <cell r="F47">
            <v>43</v>
          </cell>
          <cell r="G47" t="str">
            <v>ip</v>
          </cell>
          <cell r="H47" t="str">
            <v>ip̚</v>
          </cell>
          <cell r="I47" t="str">
            <v>金</v>
          </cell>
          <cell r="J47" t="str">
            <v>ip</v>
          </cell>
          <cell r="K47" t="str">
            <v>ip</v>
          </cell>
          <cell r="L47" t="str">
            <v>ip</v>
          </cell>
          <cell r="M47" t="str">
            <v>ㄧㆴ</v>
          </cell>
        </row>
        <row r="48">
          <cell r="F48">
            <v>44</v>
          </cell>
          <cell r="G48" t="str">
            <v>it</v>
          </cell>
          <cell r="H48" t="str">
            <v>it̚</v>
          </cell>
          <cell r="I48" t="str">
            <v>巾</v>
          </cell>
          <cell r="J48" t="str">
            <v>it</v>
          </cell>
          <cell r="K48" t="str">
            <v>it</v>
          </cell>
          <cell r="L48" t="str">
            <v>it</v>
          </cell>
          <cell r="M48" t="str">
            <v>ㄧㆵ</v>
          </cell>
        </row>
        <row r="49">
          <cell r="F49">
            <v>45</v>
          </cell>
          <cell r="G49" t="str">
            <v>iu</v>
          </cell>
          <cell r="H49" t="str">
            <v>iu</v>
          </cell>
          <cell r="I49" t="str">
            <v>丩</v>
          </cell>
          <cell r="J49" t="str">
            <v>iu</v>
          </cell>
          <cell r="K49" t="str">
            <v>iu</v>
          </cell>
          <cell r="L49" t="str">
            <v>iu</v>
          </cell>
          <cell r="M49" t="str">
            <v>ㄧㄨ</v>
          </cell>
        </row>
        <row r="50">
          <cell r="F50">
            <v>46</v>
          </cell>
          <cell r="G50" t="str">
            <v>iunn</v>
          </cell>
          <cell r="H50" t="str">
            <v>ĩũ</v>
          </cell>
          <cell r="I50" t="str">
            <v>牛</v>
          </cell>
          <cell r="J50" t="str">
            <v>iuⁿ</v>
          </cell>
          <cell r="K50" t="str">
            <v>iunn</v>
          </cell>
          <cell r="L50" t="str">
            <v>niu</v>
          </cell>
          <cell r="M50" t="str">
            <v>ㄧㆫ</v>
          </cell>
        </row>
        <row r="51">
          <cell r="F51">
            <v>47</v>
          </cell>
          <cell r="G51" t="str">
            <v>iunnh</v>
          </cell>
          <cell r="H51" t="str">
            <v>iũh</v>
          </cell>
          <cell r="I51" t="str">
            <v>牛</v>
          </cell>
          <cell r="J51" t="str">
            <v>iuhⁿ</v>
          </cell>
          <cell r="K51" t="str">
            <v>iunnh</v>
          </cell>
          <cell r="L51" t="str">
            <v>niuh</v>
          </cell>
          <cell r="M51" t="str">
            <v>ㄧㆫㆷ</v>
          </cell>
        </row>
        <row r="52">
          <cell r="F52">
            <v>48</v>
          </cell>
          <cell r="G52" t="str">
            <v>m</v>
          </cell>
          <cell r="H52" t="str">
            <v>m̩</v>
          </cell>
          <cell r="I52" t="str">
            <v>姆</v>
          </cell>
          <cell r="J52" t="str">
            <v>m</v>
          </cell>
          <cell r="K52" t="str">
            <v>m</v>
          </cell>
          <cell r="L52" t="str">
            <v>m</v>
          </cell>
          <cell r="M52" t="str">
            <v>ㆬ</v>
          </cell>
        </row>
        <row r="53">
          <cell r="F53">
            <v>49</v>
          </cell>
          <cell r="G53" t="str">
            <v>mh</v>
          </cell>
          <cell r="H53" t="str">
            <v>m̩h</v>
          </cell>
          <cell r="I53" t="str">
            <v>姆</v>
          </cell>
          <cell r="J53" t="str">
            <v>mh</v>
          </cell>
          <cell r="K53" t="str">
            <v>mh</v>
          </cell>
          <cell r="L53" t="str">
            <v>mh</v>
          </cell>
          <cell r="M53" t="str">
            <v>ㆬㆷ</v>
          </cell>
        </row>
        <row r="54">
          <cell r="F54">
            <v>50</v>
          </cell>
          <cell r="G54" t="str">
            <v>ng</v>
          </cell>
          <cell r="H54" t="str">
            <v>ŋ̍</v>
          </cell>
          <cell r="I54" t="str">
            <v>鋼</v>
          </cell>
          <cell r="J54" t="str">
            <v>ng</v>
          </cell>
          <cell r="K54" t="str">
            <v>ng</v>
          </cell>
          <cell r="L54" t="str">
            <v>ng</v>
          </cell>
          <cell r="M54" t="str">
            <v>ㆭ</v>
          </cell>
        </row>
        <row r="55">
          <cell r="F55">
            <v>51</v>
          </cell>
          <cell r="G55" t="str">
            <v>ngh</v>
          </cell>
          <cell r="H55" t="str">
            <v>ŋ̍h</v>
          </cell>
          <cell r="I55" t="str">
            <v>鋼</v>
          </cell>
          <cell r="J55" t="str">
            <v>ngh</v>
          </cell>
          <cell r="K55" t="str">
            <v>ngh</v>
          </cell>
          <cell r="L55" t="str">
            <v>ngh</v>
          </cell>
          <cell r="M55" t="str">
            <v>ㆭㆷ</v>
          </cell>
        </row>
        <row r="56">
          <cell r="F56">
            <v>52</v>
          </cell>
          <cell r="G56" t="str">
            <v>o</v>
          </cell>
          <cell r="H56" t="str">
            <v>o</v>
          </cell>
          <cell r="I56" t="str">
            <v>高</v>
          </cell>
          <cell r="J56" t="str">
            <v>o</v>
          </cell>
          <cell r="K56" t="str">
            <v>o</v>
          </cell>
          <cell r="L56" t="str">
            <v>o</v>
          </cell>
          <cell r="M56" t="str">
            <v>ㄜ</v>
          </cell>
        </row>
        <row r="57">
          <cell r="F57">
            <v>53</v>
          </cell>
          <cell r="G57" t="str">
            <v>onn</v>
          </cell>
          <cell r="H57" t="str">
            <v>ɔ̃</v>
          </cell>
          <cell r="I57" t="str">
            <v>姑</v>
          </cell>
          <cell r="J57" t="str">
            <v>oⁿ</v>
          </cell>
          <cell r="K57" t="str">
            <v>onn</v>
          </cell>
          <cell r="L57" t="str">
            <v>noo</v>
          </cell>
          <cell r="M57" t="str">
            <v>ㆧ</v>
          </cell>
        </row>
        <row r="58">
          <cell r="F58">
            <v>54</v>
          </cell>
          <cell r="G58" t="str">
            <v>oo</v>
          </cell>
          <cell r="H58" t="str">
            <v>ɔ</v>
          </cell>
          <cell r="I58" t="str">
            <v>沽</v>
          </cell>
          <cell r="J58" t="str">
            <v>o͘</v>
          </cell>
          <cell r="K58" t="str">
            <v>oo</v>
          </cell>
          <cell r="L58" t="str">
            <v>oo</v>
          </cell>
          <cell r="M58" t="str">
            <v>ㆦ</v>
          </cell>
        </row>
        <row r="59">
          <cell r="F59">
            <v>55</v>
          </cell>
          <cell r="G59" t="str">
            <v>oa</v>
          </cell>
          <cell r="H59" t="str">
            <v>ua</v>
          </cell>
          <cell r="I59" t="str">
            <v>瓜</v>
          </cell>
          <cell r="J59" t="str">
            <v>oa</v>
          </cell>
          <cell r="K59" t="str">
            <v>ua</v>
          </cell>
          <cell r="L59" t="str">
            <v>ua</v>
          </cell>
          <cell r="M59" t="str">
            <v>ㄨㄚ</v>
          </cell>
        </row>
        <row r="60">
          <cell r="F60">
            <v>56</v>
          </cell>
          <cell r="G60" t="str">
            <v>oann</v>
          </cell>
          <cell r="H60" t="str">
            <v>ũã</v>
          </cell>
          <cell r="I60" t="str">
            <v>官</v>
          </cell>
          <cell r="J60" t="str">
            <v>oaⁿ</v>
          </cell>
          <cell r="K60" t="str">
            <v>uann</v>
          </cell>
          <cell r="L60" t="str">
            <v>nua</v>
          </cell>
          <cell r="M60" t="str">
            <v>ㄨㆩ</v>
          </cell>
        </row>
        <row r="61">
          <cell r="F61">
            <v>57</v>
          </cell>
          <cell r="G61" t="str">
            <v>oah</v>
          </cell>
          <cell r="H61" t="str">
            <v>ua?</v>
          </cell>
          <cell r="I61" t="str">
            <v>瓜</v>
          </cell>
          <cell r="J61" t="str">
            <v>oah</v>
          </cell>
          <cell r="K61" t="str">
            <v>uah</v>
          </cell>
          <cell r="L61" t="str">
            <v>uah</v>
          </cell>
          <cell r="M61" t="str">
            <v>ㄨㄚㆷ</v>
          </cell>
        </row>
        <row r="62">
          <cell r="F62">
            <v>58</v>
          </cell>
          <cell r="G62" t="str">
            <v>oai</v>
          </cell>
          <cell r="H62" t="str">
            <v>uai</v>
          </cell>
          <cell r="I62" t="str">
            <v>乖</v>
          </cell>
          <cell r="J62" t="str">
            <v>oai</v>
          </cell>
          <cell r="K62" t="str">
            <v>uai</v>
          </cell>
          <cell r="L62" t="str">
            <v>uai</v>
          </cell>
          <cell r="M62" t="str">
            <v>ㄨㄞ</v>
          </cell>
        </row>
        <row r="63">
          <cell r="F63">
            <v>59</v>
          </cell>
          <cell r="G63" t="str">
            <v>oainn</v>
          </cell>
          <cell r="H63" t="str">
            <v>ũãĩ</v>
          </cell>
          <cell r="I63" t="str">
            <v>閂</v>
          </cell>
          <cell r="J63" t="str">
            <v>oaiⁿ</v>
          </cell>
          <cell r="K63" t="str">
            <v>uainn</v>
          </cell>
          <cell r="L63" t="str">
            <v>nuai</v>
          </cell>
          <cell r="M63" t="str">
            <v>ㄨㆮ</v>
          </cell>
        </row>
        <row r="64">
          <cell r="F64">
            <v>60</v>
          </cell>
          <cell r="G64" t="str">
            <v>oan</v>
          </cell>
          <cell r="H64" t="str">
            <v>uan</v>
          </cell>
          <cell r="I64" t="str">
            <v>觀</v>
          </cell>
          <cell r="J64" t="str">
            <v>oan</v>
          </cell>
          <cell r="K64" t="str">
            <v>uan</v>
          </cell>
          <cell r="L64" t="str">
            <v>uan</v>
          </cell>
          <cell r="M64" t="str">
            <v>ㄨㄢ</v>
          </cell>
        </row>
        <row r="65">
          <cell r="F65">
            <v>61</v>
          </cell>
          <cell r="G65" t="str">
            <v>oang</v>
          </cell>
          <cell r="H65" t="str">
            <v>uaŋ</v>
          </cell>
          <cell r="I65" t="str">
            <v>光</v>
          </cell>
          <cell r="J65" t="str">
            <v>oang</v>
          </cell>
          <cell r="K65" t="str">
            <v>uang</v>
          </cell>
          <cell r="L65" t="str">
            <v>uang</v>
          </cell>
          <cell r="M65" t="str">
            <v>ㄨㄤ</v>
          </cell>
        </row>
        <row r="66">
          <cell r="F66">
            <v>62</v>
          </cell>
          <cell r="G66" t="str">
            <v>oat</v>
          </cell>
          <cell r="H66" t="str">
            <v>uat̚</v>
          </cell>
          <cell r="I66" t="str">
            <v>觀</v>
          </cell>
          <cell r="J66" t="str">
            <v>oat</v>
          </cell>
          <cell r="K66" t="str">
            <v>uat</v>
          </cell>
          <cell r="L66" t="str">
            <v>uat</v>
          </cell>
          <cell r="M66" t="str">
            <v>ㄨㄚㆵ</v>
          </cell>
        </row>
        <row r="67">
          <cell r="F67">
            <v>63</v>
          </cell>
          <cell r="G67" t="str">
            <v>oe</v>
          </cell>
          <cell r="H67" t="str">
            <v>ue</v>
          </cell>
          <cell r="I67" t="str">
            <v>檜</v>
          </cell>
          <cell r="J67" t="str">
            <v>oe</v>
          </cell>
          <cell r="K67" t="str">
            <v>ue</v>
          </cell>
          <cell r="L67" t="str">
            <v>ue</v>
          </cell>
          <cell r="M67" t="str">
            <v>ㄨㆤ</v>
          </cell>
        </row>
        <row r="68">
          <cell r="F68">
            <v>64</v>
          </cell>
          <cell r="G68" t="str">
            <v>oeh</v>
          </cell>
          <cell r="H68" t="str">
            <v>ue?</v>
          </cell>
          <cell r="I68" t="str">
            <v>檜</v>
          </cell>
          <cell r="J68" t="str">
            <v>oeh</v>
          </cell>
          <cell r="K68" t="str">
            <v>ueh</v>
          </cell>
          <cell r="L68" t="str">
            <v>ueh</v>
          </cell>
          <cell r="M68" t="str">
            <v>ㄨㆤㆷ</v>
          </cell>
        </row>
        <row r="69">
          <cell r="F69">
            <v>65</v>
          </cell>
          <cell r="G69" t="str">
            <v>oh</v>
          </cell>
          <cell r="H69" t="str">
            <v>ə?</v>
          </cell>
          <cell r="I69" t="str">
            <v>高</v>
          </cell>
          <cell r="J69" t="str">
            <v>oh</v>
          </cell>
          <cell r="K69" t="str">
            <v>oh</v>
          </cell>
          <cell r="L69" t="str">
            <v>oh</v>
          </cell>
          <cell r="M69" t="str">
            <v>ㄜㆷ</v>
          </cell>
        </row>
        <row r="70">
          <cell r="F70">
            <v>67</v>
          </cell>
          <cell r="G70" t="str">
            <v>onnh</v>
          </cell>
          <cell r="H70" t="str">
            <v>ɔ̃?</v>
          </cell>
          <cell r="I70" t="str">
            <v>姑</v>
          </cell>
          <cell r="J70" t="str">
            <v>ohⁿ</v>
          </cell>
          <cell r="K70" t="str">
            <v>onnh</v>
          </cell>
          <cell r="L70" t="str">
            <v>nooh</v>
          </cell>
          <cell r="M70" t="str">
            <v>ㆧㆷ</v>
          </cell>
        </row>
        <row r="71">
          <cell r="F71">
            <v>68</v>
          </cell>
          <cell r="G71" t="str">
            <v>ok</v>
          </cell>
          <cell r="H71" t="str">
            <v>ɔk̚</v>
          </cell>
          <cell r="I71" t="str">
            <v>公</v>
          </cell>
          <cell r="J71" t="str">
            <v>ok</v>
          </cell>
          <cell r="K71" t="str">
            <v>ok</v>
          </cell>
          <cell r="L71" t="str">
            <v>ok</v>
          </cell>
          <cell r="M71" t="str">
            <v>ㆦㆻ</v>
          </cell>
        </row>
        <row r="72">
          <cell r="F72">
            <v>69</v>
          </cell>
          <cell r="G72" t="str">
            <v>om</v>
          </cell>
          <cell r="H72" t="str">
            <v>ɔm</v>
          </cell>
          <cell r="I72" t="str">
            <v>箴</v>
          </cell>
          <cell r="J72" t="str">
            <v>om</v>
          </cell>
          <cell r="K72" t="str">
            <v>om</v>
          </cell>
          <cell r="L72" t="str">
            <v>om</v>
          </cell>
          <cell r="M72" t="str">
            <v>ㆱ</v>
          </cell>
        </row>
        <row r="73">
          <cell r="F73">
            <v>70</v>
          </cell>
          <cell r="G73" t="str">
            <v>ong</v>
          </cell>
          <cell r="H73" t="str">
            <v>ɔŋ</v>
          </cell>
          <cell r="I73" t="str">
            <v>公</v>
          </cell>
          <cell r="J73" t="str">
            <v>ong</v>
          </cell>
          <cell r="K73" t="str">
            <v>ong</v>
          </cell>
          <cell r="L73" t="str">
            <v>ong</v>
          </cell>
          <cell r="M73" t="str">
            <v>ㆲ</v>
          </cell>
        </row>
        <row r="74">
          <cell r="F74">
            <v>71</v>
          </cell>
          <cell r="G74" t="str">
            <v>u</v>
          </cell>
          <cell r="H74" t="str">
            <v>u</v>
          </cell>
          <cell r="I74" t="str">
            <v>艍</v>
          </cell>
          <cell r="J74" t="str">
            <v>u</v>
          </cell>
          <cell r="K74" t="str">
            <v>u</v>
          </cell>
          <cell r="L74" t="str">
            <v>u</v>
          </cell>
          <cell r="M74" t="str">
            <v>ㄨ</v>
          </cell>
        </row>
        <row r="75">
          <cell r="F75">
            <v>72</v>
          </cell>
          <cell r="G75" t="str">
            <v>uh</v>
          </cell>
          <cell r="H75" t="str">
            <v>u?</v>
          </cell>
          <cell r="I75" t="str">
            <v>艍</v>
          </cell>
          <cell r="J75" t="str">
            <v>uh</v>
          </cell>
          <cell r="K75" t="str">
            <v>uh</v>
          </cell>
          <cell r="L75" t="str">
            <v>uh</v>
          </cell>
          <cell r="M75" t="str">
            <v>ㄨㆷ</v>
          </cell>
        </row>
        <row r="76">
          <cell r="F76">
            <v>73</v>
          </cell>
          <cell r="G76" t="str">
            <v>ui</v>
          </cell>
          <cell r="H76" t="str">
            <v>ui</v>
          </cell>
          <cell r="I76" t="str">
            <v>規</v>
          </cell>
          <cell r="J76" t="str">
            <v>ui</v>
          </cell>
          <cell r="K76" t="str">
            <v>ui</v>
          </cell>
          <cell r="L76" t="str">
            <v>ui</v>
          </cell>
          <cell r="M76" t="str">
            <v>ㄨㄧ</v>
          </cell>
        </row>
        <row r="77">
          <cell r="F77">
            <v>74</v>
          </cell>
          <cell r="G77" t="str">
            <v>un</v>
          </cell>
          <cell r="H77" t="str">
            <v>un</v>
          </cell>
          <cell r="I77" t="str">
            <v>君</v>
          </cell>
          <cell r="J77" t="str">
            <v>un</v>
          </cell>
          <cell r="K77" t="str">
            <v>un</v>
          </cell>
          <cell r="L77" t="str">
            <v>un</v>
          </cell>
          <cell r="M77" t="str">
            <v>ㄨㄣ</v>
          </cell>
        </row>
        <row r="78">
          <cell r="F78">
            <v>75</v>
          </cell>
          <cell r="G78" t="str">
            <v>ut</v>
          </cell>
          <cell r="H78" t="str">
            <v>ut̚</v>
          </cell>
          <cell r="I78" t="str">
            <v>君</v>
          </cell>
          <cell r="J78" t="str">
            <v>ut</v>
          </cell>
          <cell r="K78" t="str">
            <v>ut</v>
          </cell>
          <cell r="L78" t="str">
            <v>ut</v>
          </cell>
          <cell r="M78" t="str">
            <v>ㄨㆵ</v>
          </cell>
        </row>
      </sheetData>
      <sheetData sheetId="16">
        <row r="6">
          <cell r="B6">
            <v>1</v>
          </cell>
          <cell r="C6">
            <v>1</v>
          </cell>
          <cell r="D6" t="str">
            <v>君</v>
          </cell>
          <cell r="E6" t="str">
            <v>舒聲</v>
          </cell>
          <cell r="F6" t="str">
            <v>un</v>
          </cell>
          <cell r="G6" t="str">
            <v>un</v>
          </cell>
          <cell r="H6" t="str">
            <v>un</v>
          </cell>
          <cell r="I6" t="str">
            <v>un</v>
          </cell>
          <cell r="J6" t="str">
            <v>un</v>
          </cell>
          <cell r="K6" t="str">
            <v>ㄨㄣ</v>
          </cell>
        </row>
        <row r="7">
          <cell r="B7">
            <v>2</v>
          </cell>
          <cell r="C7">
            <v>1</v>
          </cell>
          <cell r="D7" t="str">
            <v>君</v>
          </cell>
          <cell r="E7" t="str">
            <v>入聲</v>
          </cell>
          <cell r="F7" t="str">
            <v>ut</v>
          </cell>
          <cell r="G7" t="str">
            <v>ut̚</v>
          </cell>
          <cell r="H7" t="str">
            <v>ut</v>
          </cell>
          <cell r="I7" t="str">
            <v>ut</v>
          </cell>
          <cell r="J7" t="str">
            <v>ut</v>
          </cell>
          <cell r="K7" t="str">
            <v>ㄨㆵ</v>
          </cell>
        </row>
        <row r="8">
          <cell r="B8">
            <v>3</v>
          </cell>
          <cell r="C8">
            <v>2</v>
          </cell>
          <cell r="D8" t="str">
            <v>堅</v>
          </cell>
          <cell r="E8" t="str">
            <v>舒聲</v>
          </cell>
          <cell r="F8" t="str">
            <v>ian</v>
          </cell>
          <cell r="G8" t="str">
            <v>ian</v>
          </cell>
          <cell r="H8" t="str">
            <v>ian</v>
          </cell>
          <cell r="I8" t="str">
            <v>ian</v>
          </cell>
          <cell r="J8" t="str">
            <v>ian</v>
          </cell>
          <cell r="K8" t="str">
            <v>ㄧㄢ</v>
          </cell>
        </row>
        <row r="9">
          <cell r="B9">
            <v>4</v>
          </cell>
          <cell r="C9">
            <v>2</v>
          </cell>
          <cell r="D9" t="str">
            <v>堅</v>
          </cell>
          <cell r="E9" t="str">
            <v>入聲</v>
          </cell>
          <cell r="F9" t="str">
            <v>iat</v>
          </cell>
          <cell r="G9" t="str">
            <v>iat̚</v>
          </cell>
          <cell r="H9" t="str">
            <v>iat</v>
          </cell>
          <cell r="I9" t="str">
            <v>iat</v>
          </cell>
          <cell r="J9" t="str">
            <v>iat</v>
          </cell>
          <cell r="K9" t="str">
            <v>ㄧㄚㆵ</v>
          </cell>
        </row>
        <row r="10">
          <cell r="B10">
            <v>5</v>
          </cell>
          <cell r="C10">
            <v>3</v>
          </cell>
          <cell r="D10" t="str">
            <v>金</v>
          </cell>
          <cell r="E10" t="str">
            <v>舒聲</v>
          </cell>
          <cell r="F10" t="str">
            <v>im</v>
          </cell>
          <cell r="G10" t="str">
            <v>im</v>
          </cell>
          <cell r="H10" t="str">
            <v>im</v>
          </cell>
          <cell r="I10" t="str">
            <v>im</v>
          </cell>
          <cell r="J10" t="str">
            <v>im</v>
          </cell>
          <cell r="K10" t="str">
            <v>ㄧㆬ</v>
          </cell>
        </row>
        <row r="11">
          <cell r="B11">
            <v>6</v>
          </cell>
          <cell r="C11">
            <v>3</v>
          </cell>
          <cell r="D11" t="str">
            <v>金</v>
          </cell>
          <cell r="E11" t="str">
            <v>入聲</v>
          </cell>
          <cell r="F11" t="str">
            <v>ip</v>
          </cell>
          <cell r="G11" t="str">
            <v>ip̚</v>
          </cell>
          <cell r="H11" t="str">
            <v>ip</v>
          </cell>
          <cell r="I11" t="str">
            <v>ip</v>
          </cell>
          <cell r="J11" t="str">
            <v>ip</v>
          </cell>
          <cell r="K11" t="str">
            <v>ㄧㆴ</v>
          </cell>
        </row>
        <row r="12">
          <cell r="B12">
            <v>7</v>
          </cell>
          <cell r="C12">
            <v>4</v>
          </cell>
          <cell r="D12" t="str">
            <v>規</v>
          </cell>
          <cell r="E12" t="str">
            <v>舒聲</v>
          </cell>
          <cell r="F12" t="str">
            <v>ui</v>
          </cell>
          <cell r="G12" t="str">
            <v>ui</v>
          </cell>
          <cell r="H12" t="str">
            <v>ui</v>
          </cell>
          <cell r="I12" t="str">
            <v>ui</v>
          </cell>
          <cell r="J12" t="str">
            <v>ui</v>
          </cell>
          <cell r="K12" t="str">
            <v>ㄨㄧ</v>
          </cell>
        </row>
        <row r="13">
          <cell r="B13">
            <v>8</v>
          </cell>
          <cell r="C13">
            <v>4</v>
          </cell>
          <cell r="D13" t="str">
            <v>規</v>
          </cell>
          <cell r="E13" t="str">
            <v>入聲</v>
          </cell>
          <cell r="F13" t="str">
            <v>uih</v>
          </cell>
          <cell r="G13" t="str">
            <v>ui?</v>
          </cell>
          <cell r="H13" t="str">
            <v>uih</v>
          </cell>
          <cell r="I13" t="str">
            <v>uih</v>
          </cell>
          <cell r="J13" t="str">
            <v>uih</v>
          </cell>
          <cell r="K13" t="str">
            <v>ㄨㄧㆷ</v>
          </cell>
        </row>
        <row r="14">
          <cell r="B14">
            <v>9</v>
          </cell>
          <cell r="C14">
            <v>5</v>
          </cell>
          <cell r="D14" t="str">
            <v>嘉</v>
          </cell>
          <cell r="E14" t="str">
            <v>舒聲</v>
          </cell>
          <cell r="F14" t="str">
            <v>ee</v>
          </cell>
          <cell r="G14" t="str">
            <v>ɛ</v>
          </cell>
          <cell r="H14" t="str">
            <v>ee</v>
          </cell>
          <cell r="I14" t="str">
            <v>ee</v>
          </cell>
          <cell r="J14" t="str">
            <v>e</v>
          </cell>
          <cell r="K14" t="str">
            <v>ㄝ</v>
          </cell>
        </row>
        <row r="15">
          <cell r="B15">
            <v>10</v>
          </cell>
          <cell r="C15">
            <v>5</v>
          </cell>
          <cell r="D15" t="str">
            <v>嘉</v>
          </cell>
          <cell r="E15" t="str">
            <v>入聲</v>
          </cell>
          <cell r="F15" t="str">
            <v>eeh</v>
          </cell>
          <cell r="G15" t="str">
            <v>ɛ?</v>
          </cell>
          <cell r="H15" t="str">
            <v>eeh</v>
          </cell>
          <cell r="I15" t="str">
            <v>eh</v>
          </cell>
          <cell r="J15" t="str">
            <v>eh</v>
          </cell>
          <cell r="K15" t="str">
            <v>ㄝㆷ</v>
          </cell>
        </row>
        <row r="16">
          <cell r="B16">
            <v>11</v>
          </cell>
          <cell r="C16">
            <v>6</v>
          </cell>
          <cell r="D16" t="str">
            <v>干</v>
          </cell>
          <cell r="E16" t="str">
            <v>舒聲</v>
          </cell>
          <cell r="F16" t="str">
            <v>an</v>
          </cell>
          <cell r="G16" t="str">
            <v>an</v>
          </cell>
          <cell r="H16" t="str">
            <v>an</v>
          </cell>
          <cell r="I16" t="str">
            <v>an</v>
          </cell>
          <cell r="J16" t="str">
            <v>an</v>
          </cell>
          <cell r="K16" t="str">
            <v>ㄢ</v>
          </cell>
        </row>
        <row r="17">
          <cell r="B17">
            <v>12</v>
          </cell>
          <cell r="C17">
            <v>6</v>
          </cell>
          <cell r="D17" t="str">
            <v>干</v>
          </cell>
          <cell r="E17" t="str">
            <v>入聲</v>
          </cell>
          <cell r="F17" t="str">
            <v>at</v>
          </cell>
          <cell r="G17" t="str">
            <v>at̚</v>
          </cell>
          <cell r="H17" t="str">
            <v>at</v>
          </cell>
          <cell r="I17" t="str">
            <v>ap</v>
          </cell>
          <cell r="J17" t="str">
            <v>at</v>
          </cell>
          <cell r="K17" t="str">
            <v>ㄚㆵ</v>
          </cell>
        </row>
        <row r="18">
          <cell r="B18">
            <v>13</v>
          </cell>
          <cell r="C18">
            <v>7</v>
          </cell>
          <cell r="D18" t="str">
            <v>公</v>
          </cell>
          <cell r="E18" t="str">
            <v>舒聲</v>
          </cell>
          <cell r="F18" t="str">
            <v>ong</v>
          </cell>
          <cell r="G18" t="str">
            <v>ɔŋ</v>
          </cell>
          <cell r="H18" t="str">
            <v>ong</v>
          </cell>
          <cell r="I18" t="str">
            <v>ong</v>
          </cell>
          <cell r="J18" t="str">
            <v>ong</v>
          </cell>
          <cell r="K18" t="str">
            <v>ㆲ</v>
          </cell>
        </row>
        <row r="19">
          <cell r="B19">
            <v>14</v>
          </cell>
          <cell r="C19">
            <v>7</v>
          </cell>
          <cell r="D19" t="str">
            <v>公</v>
          </cell>
          <cell r="E19" t="str">
            <v>入聲</v>
          </cell>
          <cell r="F19" t="str">
            <v>ok</v>
          </cell>
          <cell r="G19" t="str">
            <v>ɔk̚</v>
          </cell>
          <cell r="H19" t="str">
            <v>ok</v>
          </cell>
          <cell r="I19" t="str">
            <v>ok</v>
          </cell>
          <cell r="J19" t="str">
            <v>ok</v>
          </cell>
          <cell r="K19" t="str">
            <v>ㆦㆻ</v>
          </cell>
        </row>
        <row r="20">
          <cell r="B20">
            <v>15</v>
          </cell>
          <cell r="C20">
            <v>8</v>
          </cell>
          <cell r="D20" t="str">
            <v>乖</v>
          </cell>
          <cell r="E20" t="str">
            <v>舒聲</v>
          </cell>
          <cell r="F20" t="str">
            <v>oai</v>
          </cell>
          <cell r="G20" t="str">
            <v>uai</v>
          </cell>
          <cell r="H20" t="str">
            <v>oai</v>
          </cell>
          <cell r="I20" t="str">
            <v>uai</v>
          </cell>
          <cell r="J20" t="str">
            <v>uai</v>
          </cell>
          <cell r="K20" t="str">
            <v>ㄨㄞ</v>
          </cell>
        </row>
        <row r="21">
          <cell r="B21">
            <v>16</v>
          </cell>
          <cell r="C21">
            <v>8</v>
          </cell>
          <cell r="D21" t="str">
            <v>乖</v>
          </cell>
          <cell r="E21" t="str">
            <v>入聲</v>
          </cell>
          <cell r="F21" t="str">
            <v>oaih</v>
          </cell>
          <cell r="G21" t="str">
            <v>uai?</v>
          </cell>
          <cell r="H21" t="str">
            <v>oaih</v>
          </cell>
          <cell r="I21" t="str">
            <v>uaih</v>
          </cell>
          <cell r="J21" t="str">
            <v>uaih</v>
          </cell>
          <cell r="K21" t="str">
            <v>ㄨㄞㆷ</v>
          </cell>
        </row>
        <row r="22">
          <cell r="B22">
            <v>17</v>
          </cell>
          <cell r="C22">
            <v>9</v>
          </cell>
          <cell r="D22" t="str">
            <v>經</v>
          </cell>
          <cell r="E22" t="str">
            <v>舒聲</v>
          </cell>
          <cell r="F22" t="str">
            <v>eng</v>
          </cell>
          <cell r="G22" t="str">
            <v>ɪŋ</v>
          </cell>
          <cell r="H22" t="str">
            <v>eng</v>
          </cell>
          <cell r="I22" t="str">
            <v>ing</v>
          </cell>
          <cell r="J22" t="str">
            <v>ing</v>
          </cell>
          <cell r="K22" t="str">
            <v>ㄧㄥ</v>
          </cell>
        </row>
        <row r="23">
          <cell r="B23">
            <v>18</v>
          </cell>
          <cell r="C23">
            <v>9</v>
          </cell>
          <cell r="D23" t="str">
            <v>經</v>
          </cell>
          <cell r="E23" t="str">
            <v>入聲</v>
          </cell>
          <cell r="F23" t="str">
            <v>ek</v>
          </cell>
          <cell r="G23" t="str">
            <v>ik̚</v>
          </cell>
          <cell r="H23" t="str">
            <v>ek</v>
          </cell>
          <cell r="I23" t="str">
            <v>ik</v>
          </cell>
          <cell r="J23" t="str">
            <v>ik</v>
          </cell>
          <cell r="K23" t="str">
            <v>ㄧㆻ</v>
          </cell>
        </row>
        <row r="24">
          <cell r="B24">
            <v>19</v>
          </cell>
          <cell r="C24">
            <v>10</v>
          </cell>
          <cell r="D24" t="str">
            <v>觀</v>
          </cell>
          <cell r="E24" t="str">
            <v>舒聲</v>
          </cell>
          <cell r="F24" t="str">
            <v>oan</v>
          </cell>
          <cell r="G24" t="str">
            <v>uan</v>
          </cell>
          <cell r="H24" t="str">
            <v>oan</v>
          </cell>
          <cell r="I24" t="str">
            <v>uan</v>
          </cell>
          <cell r="J24" t="str">
            <v>uan</v>
          </cell>
          <cell r="K24" t="str">
            <v>ㄨㄢ</v>
          </cell>
        </row>
        <row r="25">
          <cell r="B25">
            <v>20</v>
          </cell>
          <cell r="C25">
            <v>10</v>
          </cell>
          <cell r="D25" t="str">
            <v>觀</v>
          </cell>
          <cell r="E25" t="str">
            <v>入聲</v>
          </cell>
          <cell r="F25" t="str">
            <v>oat</v>
          </cell>
          <cell r="G25" t="str">
            <v>uat̚</v>
          </cell>
          <cell r="H25" t="str">
            <v>oat</v>
          </cell>
          <cell r="I25" t="str">
            <v>uat</v>
          </cell>
          <cell r="J25" t="str">
            <v>uat</v>
          </cell>
          <cell r="K25" t="str">
            <v>ㄨㄚㆵ</v>
          </cell>
        </row>
        <row r="26">
          <cell r="B26">
            <v>21</v>
          </cell>
          <cell r="C26">
            <v>11</v>
          </cell>
          <cell r="D26" t="str">
            <v>沽</v>
          </cell>
          <cell r="E26" t="str">
            <v>舒聲</v>
          </cell>
          <cell r="F26" t="str">
            <v>oo</v>
          </cell>
          <cell r="G26" t="str">
            <v>ɔ</v>
          </cell>
          <cell r="H26" t="str">
            <v>o͘</v>
          </cell>
          <cell r="I26" t="str">
            <v>oo</v>
          </cell>
          <cell r="J26" t="str">
            <v>oo</v>
          </cell>
          <cell r="K26" t="str">
            <v>ㆦ</v>
          </cell>
        </row>
        <row r="27">
          <cell r="B27">
            <v>22</v>
          </cell>
          <cell r="C27">
            <v>11</v>
          </cell>
          <cell r="D27" t="str">
            <v>沽</v>
          </cell>
          <cell r="E27" t="str">
            <v>入聲</v>
          </cell>
          <cell r="F27" t="str">
            <v>ooh</v>
          </cell>
          <cell r="G27" t="str">
            <v>ɔu?</v>
          </cell>
          <cell r="H27" t="str">
            <v>o͘h</v>
          </cell>
          <cell r="I27" t="str">
            <v>ooh</v>
          </cell>
          <cell r="J27" t="str">
            <v>ooh</v>
          </cell>
          <cell r="K27" t="str">
            <v>ㆦㆷ</v>
          </cell>
        </row>
        <row r="28">
          <cell r="B28">
            <v>23</v>
          </cell>
          <cell r="C28">
            <v>12</v>
          </cell>
          <cell r="D28" t="str">
            <v>嬌</v>
          </cell>
          <cell r="E28" t="str">
            <v>舒聲</v>
          </cell>
          <cell r="F28" t="str">
            <v>iau</v>
          </cell>
          <cell r="G28" t="str">
            <v>iaʊ</v>
          </cell>
          <cell r="H28" t="str">
            <v>iau</v>
          </cell>
          <cell r="I28" t="str">
            <v>iau</v>
          </cell>
          <cell r="J28" t="str">
            <v>iao</v>
          </cell>
          <cell r="K28" t="str">
            <v>ㄧㄠ</v>
          </cell>
        </row>
        <row r="29">
          <cell r="B29">
            <v>24</v>
          </cell>
          <cell r="C29">
            <v>12</v>
          </cell>
          <cell r="D29" t="str">
            <v>嬌</v>
          </cell>
          <cell r="E29" t="str">
            <v>入聲</v>
          </cell>
          <cell r="F29" t="str">
            <v>iauh</v>
          </cell>
          <cell r="G29" t="str">
            <v>iau?</v>
          </cell>
          <cell r="H29" t="str">
            <v>iauh</v>
          </cell>
          <cell r="I29" t="str">
            <v>iauh</v>
          </cell>
          <cell r="J29" t="str">
            <v>iaoh</v>
          </cell>
          <cell r="K29" t="str">
            <v>ㄧㄠㆷ</v>
          </cell>
        </row>
        <row r="30">
          <cell r="B30">
            <v>25</v>
          </cell>
          <cell r="C30">
            <v>13</v>
          </cell>
          <cell r="D30" t="str">
            <v>稽</v>
          </cell>
          <cell r="E30" t="str">
            <v>舒聲</v>
          </cell>
          <cell r="F30" t="str">
            <v>ei</v>
          </cell>
          <cell r="G30" t="str">
            <v>ei</v>
          </cell>
          <cell r="H30" t="str">
            <v>ei</v>
          </cell>
          <cell r="I30" t="str">
            <v>e</v>
          </cell>
          <cell r="J30" t="str">
            <v>e</v>
          </cell>
          <cell r="K30" t="str">
            <v>ㄟ</v>
          </cell>
        </row>
        <row r="31">
          <cell r="B31">
            <v>26</v>
          </cell>
          <cell r="C31">
            <v>13</v>
          </cell>
          <cell r="D31" t="str">
            <v>稽</v>
          </cell>
          <cell r="E31" t="str">
            <v>入聲</v>
          </cell>
          <cell r="F31" t="str">
            <v>eih</v>
          </cell>
          <cell r="G31" t="str">
            <v>ei?</v>
          </cell>
          <cell r="H31" t="str">
            <v>eih</v>
          </cell>
          <cell r="I31" t="str">
            <v>eh</v>
          </cell>
          <cell r="J31" t="str">
            <v>eh</v>
          </cell>
          <cell r="K31" t="str">
            <v>ㄟㆷ</v>
          </cell>
        </row>
        <row r="32">
          <cell r="B32">
            <v>27</v>
          </cell>
          <cell r="C32">
            <v>14</v>
          </cell>
          <cell r="D32" t="str">
            <v>恭</v>
          </cell>
          <cell r="E32" t="str">
            <v>舒聲</v>
          </cell>
          <cell r="F32" t="str">
            <v>iong</v>
          </cell>
          <cell r="G32" t="str">
            <v>iɔŋ</v>
          </cell>
          <cell r="H32" t="str">
            <v>iong</v>
          </cell>
          <cell r="I32" t="str">
            <v>iong</v>
          </cell>
          <cell r="J32" t="str">
            <v>iong</v>
          </cell>
          <cell r="K32" t="str">
            <v>ㄧㆲ</v>
          </cell>
        </row>
        <row r="33">
          <cell r="B33">
            <v>28</v>
          </cell>
          <cell r="C33">
            <v>14</v>
          </cell>
          <cell r="D33" t="str">
            <v>恭</v>
          </cell>
          <cell r="E33" t="str">
            <v>入聲</v>
          </cell>
          <cell r="F33" t="str">
            <v>iok</v>
          </cell>
          <cell r="G33" t="str">
            <v>iɔk̚</v>
          </cell>
          <cell r="H33" t="str">
            <v>iok</v>
          </cell>
          <cell r="I33" t="str">
            <v>iok</v>
          </cell>
          <cell r="J33" t="str">
            <v>iok</v>
          </cell>
          <cell r="K33" t="str">
            <v>ㄧㆦㆻ</v>
          </cell>
        </row>
        <row r="34">
          <cell r="B34">
            <v>29</v>
          </cell>
          <cell r="C34">
            <v>15</v>
          </cell>
          <cell r="D34" t="str">
            <v>高</v>
          </cell>
          <cell r="E34" t="str">
            <v>舒聲</v>
          </cell>
          <cell r="F34" t="str">
            <v>o</v>
          </cell>
          <cell r="G34" t="str">
            <v>o</v>
          </cell>
          <cell r="H34" t="str">
            <v>o</v>
          </cell>
          <cell r="I34" t="str">
            <v>o</v>
          </cell>
          <cell r="J34" t="str">
            <v>o</v>
          </cell>
          <cell r="K34" t="str">
            <v>ㄜ</v>
          </cell>
        </row>
        <row r="35">
          <cell r="B35">
            <v>30</v>
          </cell>
          <cell r="C35">
            <v>15</v>
          </cell>
          <cell r="D35" t="str">
            <v>高</v>
          </cell>
          <cell r="E35" t="str">
            <v>入聲</v>
          </cell>
          <cell r="F35" t="str">
            <v>oh</v>
          </cell>
          <cell r="G35" t="str">
            <v>ə?</v>
          </cell>
          <cell r="H35" t="str">
            <v>oh</v>
          </cell>
          <cell r="I35" t="str">
            <v>oh</v>
          </cell>
          <cell r="J35" t="str">
            <v>oh</v>
          </cell>
          <cell r="K35" t="str">
            <v>ㄜㆷ</v>
          </cell>
        </row>
        <row r="36">
          <cell r="B36">
            <v>31</v>
          </cell>
          <cell r="C36">
            <v>16</v>
          </cell>
          <cell r="D36" t="str">
            <v>皆</v>
          </cell>
          <cell r="E36" t="str">
            <v>舒聲</v>
          </cell>
          <cell r="F36" t="str">
            <v>ai</v>
          </cell>
          <cell r="G36" t="str">
            <v>ai</v>
          </cell>
          <cell r="H36" t="str">
            <v>ai</v>
          </cell>
          <cell r="I36" t="str">
            <v>ai</v>
          </cell>
          <cell r="J36" t="str">
            <v>ai</v>
          </cell>
          <cell r="K36" t="str">
            <v>ㄞ</v>
          </cell>
        </row>
        <row r="37">
          <cell r="B37">
            <v>32</v>
          </cell>
          <cell r="C37">
            <v>16</v>
          </cell>
          <cell r="D37" t="str">
            <v>皆</v>
          </cell>
          <cell r="E37" t="str">
            <v>入聲</v>
          </cell>
          <cell r="F37" t="str">
            <v>aih</v>
          </cell>
          <cell r="G37" t="str">
            <v>ai?</v>
          </cell>
          <cell r="H37" t="str">
            <v>aih</v>
          </cell>
          <cell r="I37" t="str">
            <v>aih</v>
          </cell>
          <cell r="J37" t="str">
            <v>aih</v>
          </cell>
          <cell r="K37" t="str">
            <v>ㄞㆷ</v>
          </cell>
        </row>
        <row r="38">
          <cell r="B38">
            <v>33</v>
          </cell>
          <cell r="C38">
            <v>17</v>
          </cell>
          <cell r="D38" t="str">
            <v>巾</v>
          </cell>
          <cell r="E38" t="str">
            <v>舒聲</v>
          </cell>
          <cell r="F38" t="str">
            <v>in</v>
          </cell>
          <cell r="G38" t="str">
            <v>in</v>
          </cell>
          <cell r="H38" t="str">
            <v>in</v>
          </cell>
          <cell r="I38" t="str">
            <v>in</v>
          </cell>
          <cell r="J38" t="str">
            <v>in</v>
          </cell>
          <cell r="K38" t="str">
            <v>ㄧㄣ</v>
          </cell>
        </row>
        <row r="39">
          <cell r="B39">
            <v>34</v>
          </cell>
          <cell r="C39">
            <v>17</v>
          </cell>
          <cell r="D39" t="str">
            <v>巾</v>
          </cell>
          <cell r="E39" t="str">
            <v>入聲</v>
          </cell>
          <cell r="F39" t="str">
            <v>it</v>
          </cell>
          <cell r="G39" t="str">
            <v>it̚</v>
          </cell>
          <cell r="H39" t="str">
            <v>it</v>
          </cell>
          <cell r="I39" t="str">
            <v>it</v>
          </cell>
          <cell r="J39" t="str">
            <v>it</v>
          </cell>
          <cell r="K39" t="str">
            <v>ㄧㆵ</v>
          </cell>
        </row>
        <row r="40">
          <cell r="B40">
            <v>35</v>
          </cell>
          <cell r="C40">
            <v>18</v>
          </cell>
          <cell r="D40" t="str">
            <v>姜</v>
          </cell>
          <cell r="E40" t="str">
            <v>舒聲</v>
          </cell>
          <cell r="F40" t="str">
            <v>iang</v>
          </cell>
          <cell r="G40" t="str">
            <v>iaŋ</v>
          </cell>
          <cell r="H40" t="str">
            <v>iang</v>
          </cell>
          <cell r="I40" t="str">
            <v>iang</v>
          </cell>
          <cell r="J40" t="str">
            <v>iang</v>
          </cell>
          <cell r="K40" t="str">
            <v>ㄧㄤ</v>
          </cell>
        </row>
        <row r="41">
          <cell r="B41">
            <v>36</v>
          </cell>
          <cell r="C41">
            <v>18</v>
          </cell>
          <cell r="D41" t="str">
            <v>姜</v>
          </cell>
          <cell r="E41" t="str">
            <v>入聲</v>
          </cell>
          <cell r="F41" t="str">
            <v>iak</v>
          </cell>
          <cell r="G41" t="str">
            <v>iak̚</v>
          </cell>
          <cell r="H41" t="str">
            <v>iak</v>
          </cell>
          <cell r="I41" t="str">
            <v>iak</v>
          </cell>
          <cell r="J41" t="str">
            <v>iak</v>
          </cell>
          <cell r="K41" t="str">
            <v>ㄧㄚㆻ</v>
          </cell>
        </row>
        <row r="42">
          <cell r="B42">
            <v>37</v>
          </cell>
          <cell r="C42">
            <v>19</v>
          </cell>
          <cell r="D42" t="str">
            <v>甘</v>
          </cell>
          <cell r="E42" t="str">
            <v>舒聲</v>
          </cell>
          <cell r="F42" t="str">
            <v>am</v>
          </cell>
          <cell r="G42" t="str">
            <v>am</v>
          </cell>
          <cell r="H42" t="str">
            <v>am</v>
          </cell>
          <cell r="I42" t="str">
            <v>am</v>
          </cell>
          <cell r="J42" t="str">
            <v>am</v>
          </cell>
          <cell r="K42" t="str">
            <v>ㆰ</v>
          </cell>
        </row>
        <row r="43">
          <cell r="B43">
            <v>38</v>
          </cell>
          <cell r="C43">
            <v>19</v>
          </cell>
          <cell r="D43" t="str">
            <v>甘</v>
          </cell>
          <cell r="E43" t="str">
            <v>入聲</v>
          </cell>
          <cell r="F43" t="str">
            <v>ap</v>
          </cell>
          <cell r="G43" t="str">
            <v>ap̚</v>
          </cell>
          <cell r="H43" t="str">
            <v>ap</v>
          </cell>
          <cell r="I43" t="str">
            <v>ap</v>
          </cell>
          <cell r="J43" t="str">
            <v>ap</v>
          </cell>
          <cell r="K43" t="str">
            <v>ㄚㆴ</v>
          </cell>
        </row>
        <row r="44">
          <cell r="B44">
            <v>39</v>
          </cell>
          <cell r="C44">
            <v>20</v>
          </cell>
          <cell r="D44" t="str">
            <v>瓜</v>
          </cell>
          <cell r="E44" t="str">
            <v>舒聲</v>
          </cell>
          <cell r="F44" t="str">
            <v>oa</v>
          </cell>
          <cell r="G44" t="str">
            <v>ua</v>
          </cell>
          <cell r="H44" t="str">
            <v>oa</v>
          </cell>
          <cell r="I44" t="str">
            <v>ua</v>
          </cell>
          <cell r="J44" t="str">
            <v>ua</v>
          </cell>
          <cell r="K44" t="str">
            <v>ㄨㄚ</v>
          </cell>
        </row>
        <row r="45">
          <cell r="B45">
            <v>40</v>
          </cell>
          <cell r="C45">
            <v>20</v>
          </cell>
          <cell r="D45" t="str">
            <v>瓜</v>
          </cell>
          <cell r="E45" t="str">
            <v>入聲</v>
          </cell>
          <cell r="F45" t="str">
            <v>oah</v>
          </cell>
          <cell r="G45" t="str">
            <v>ua?</v>
          </cell>
          <cell r="H45" t="str">
            <v>oah</v>
          </cell>
          <cell r="I45" t="str">
            <v>uah</v>
          </cell>
          <cell r="J45" t="str">
            <v>uah</v>
          </cell>
          <cell r="K45" t="str">
            <v>ㄨㄚㆷ</v>
          </cell>
        </row>
        <row r="46">
          <cell r="B46">
            <v>41</v>
          </cell>
          <cell r="C46">
            <v>21</v>
          </cell>
          <cell r="D46" t="str">
            <v>江</v>
          </cell>
          <cell r="E46" t="str">
            <v>舒聲</v>
          </cell>
          <cell r="F46" t="str">
            <v>ang</v>
          </cell>
          <cell r="G46" t="str">
            <v>aŋ</v>
          </cell>
          <cell r="H46" t="str">
            <v>ang</v>
          </cell>
          <cell r="I46" t="str">
            <v>ang</v>
          </cell>
          <cell r="J46" t="str">
            <v>ang</v>
          </cell>
          <cell r="K46" t="str">
            <v>ㄤ</v>
          </cell>
        </row>
        <row r="47">
          <cell r="B47">
            <v>42</v>
          </cell>
          <cell r="C47">
            <v>21</v>
          </cell>
          <cell r="D47" t="str">
            <v>江</v>
          </cell>
          <cell r="E47" t="str">
            <v>入聲</v>
          </cell>
          <cell r="F47" t="str">
            <v>ak</v>
          </cell>
          <cell r="G47" t="str">
            <v>ak̚</v>
          </cell>
          <cell r="H47" t="str">
            <v>ak</v>
          </cell>
          <cell r="I47" t="str">
            <v>ak</v>
          </cell>
          <cell r="J47" t="str">
            <v>ak</v>
          </cell>
          <cell r="K47" t="str">
            <v>ㄚㆻ</v>
          </cell>
        </row>
        <row r="48">
          <cell r="B48">
            <v>43</v>
          </cell>
          <cell r="C48">
            <v>22</v>
          </cell>
          <cell r="D48" t="str">
            <v>兼</v>
          </cell>
          <cell r="E48" t="str">
            <v>舒聲</v>
          </cell>
          <cell r="F48" t="str">
            <v>iam</v>
          </cell>
          <cell r="G48" t="str">
            <v>iam</v>
          </cell>
          <cell r="H48" t="str">
            <v>iam</v>
          </cell>
          <cell r="I48" t="str">
            <v>iam</v>
          </cell>
          <cell r="J48" t="str">
            <v>iam</v>
          </cell>
          <cell r="K48" t="str">
            <v>ㄧㆰ</v>
          </cell>
        </row>
        <row r="49">
          <cell r="B49">
            <v>44</v>
          </cell>
          <cell r="C49">
            <v>22</v>
          </cell>
          <cell r="D49" t="str">
            <v>兼</v>
          </cell>
          <cell r="E49" t="str">
            <v>入聲</v>
          </cell>
          <cell r="F49" t="str">
            <v>iap</v>
          </cell>
          <cell r="G49" t="str">
            <v>iap̚</v>
          </cell>
          <cell r="H49" t="str">
            <v>iap</v>
          </cell>
          <cell r="I49" t="str">
            <v>iap</v>
          </cell>
          <cell r="J49" t="str">
            <v>iap</v>
          </cell>
          <cell r="K49" t="str">
            <v>ㄧㄚㆴ</v>
          </cell>
        </row>
        <row r="50">
          <cell r="B50">
            <v>45</v>
          </cell>
          <cell r="C50">
            <v>23</v>
          </cell>
          <cell r="D50" t="str">
            <v>交</v>
          </cell>
          <cell r="E50" t="str">
            <v>舒聲</v>
          </cell>
          <cell r="F50" t="str">
            <v>au</v>
          </cell>
          <cell r="G50" t="str">
            <v>aʊ</v>
          </cell>
          <cell r="H50" t="str">
            <v>au</v>
          </cell>
          <cell r="I50" t="str">
            <v>au</v>
          </cell>
          <cell r="J50" t="str">
            <v>ao</v>
          </cell>
          <cell r="K50" t="str">
            <v>ㄠ</v>
          </cell>
        </row>
        <row r="51">
          <cell r="B51">
            <v>46</v>
          </cell>
          <cell r="C51">
            <v>23</v>
          </cell>
          <cell r="D51" t="str">
            <v>交</v>
          </cell>
          <cell r="E51" t="str">
            <v>入聲</v>
          </cell>
          <cell r="F51" t="str">
            <v>auh</v>
          </cell>
          <cell r="G51" t="str">
            <v>au?</v>
          </cell>
          <cell r="H51" t="str">
            <v>auh</v>
          </cell>
          <cell r="I51" t="str">
            <v>auh</v>
          </cell>
          <cell r="J51" t="str">
            <v>aoh</v>
          </cell>
          <cell r="K51" t="str">
            <v>ㄠㆷ</v>
          </cell>
        </row>
        <row r="52">
          <cell r="B52">
            <v>47</v>
          </cell>
          <cell r="C52">
            <v>24</v>
          </cell>
          <cell r="D52" t="str">
            <v>迦</v>
          </cell>
          <cell r="E52" t="str">
            <v>舒聲</v>
          </cell>
          <cell r="F52" t="str">
            <v>ia</v>
          </cell>
          <cell r="G52" t="str">
            <v>ia</v>
          </cell>
          <cell r="H52" t="str">
            <v>ia</v>
          </cell>
          <cell r="I52" t="str">
            <v>ia</v>
          </cell>
          <cell r="J52" t="str">
            <v>ia</v>
          </cell>
          <cell r="K52" t="str">
            <v>ㄧㄚ</v>
          </cell>
        </row>
        <row r="53">
          <cell r="B53">
            <v>48</v>
          </cell>
          <cell r="C53">
            <v>24</v>
          </cell>
          <cell r="D53" t="str">
            <v>迦</v>
          </cell>
          <cell r="E53" t="str">
            <v>入聲</v>
          </cell>
          <cell r="F53" t="str">
            <v>iah</v>
          </cell>
          <cell r="G53" t="str">
            <v>ia?</v>
          </cell>
          <cell r="H53" t="str">
            <v>iah</v>
          </cell>
          <cell r="I53" t="str">
            <v>iah</v>
          </cell>
          <cell r="J53" t="str">
            <v>iah</v>
          </cell>
          <cell r="K53" t="str">
            <v>ㄧㄚㆷ</v>
          </cell>
        </row>
        <row r="54">
          <cell r="B54">
            <v>49</v>
          </cell>
          <cell r="C54">
            <v>25</v>
          </cell>
          <cell r="D54" t="str">
            <v>檜</v>
          </cell>
          <cell r="E54" t="str">
            <v>舒聲</v>
          </cell>
          <cell r="F54" t="str">
            <v>oe</v>
          </cell>
          <cell r="G54" t="str">
            <v>ue</v>
          </cell>
          <cell r="H54" t="str">
            <v>oe</v>
          </cell>
          <cell r="I54" t="str">
            <v>ue</v>
          </cell>
          <cell r="J54" t="str">
            <v>ue</v>
          </cell>
          <cell r="K54" t="str">
            <v>ㄨㆤ</v>
          </cell>
        </row>
        <row r="55">
          <cell r="B55">
            <v>50</v>
          </cell>
          <cell r="C55">
            <v>25</v>
          </cell>
          <cell r="D55" t="str">
            <v>檜</v>
          </cell>
          <cell r="E55" t="str">
            <v>入聲</v>
          </cell>
          <cell r="F55" t="str">
            <v>oeh</v>
          </cell>
          <cell r="G55" t="str">
            <v>ue?</v>
          </cell>
          <cell r="H55" t="str">
            <v>oeh</v>
          </cell>
          <cell r="I55" t="str">
            <v>ueh</v>
          </cell>
          <cell r="J55" t="str">
            <v>ueh</v>
          </cell>
          <cell r="K55" t="str">
            <v>ㄨㆤㆷ</v>
          </cell>
        </row>
        <row r="56">
          <cell r="B56">
            <v>51</v>
          </cell>
          <cell r="C56">
            <v>26</v>
          </cell>
          <cell r="D56" t="str">
            <v>監</v>
          </cell>
          <cell r="E56" t="str">
            <v>舒聲</v>
          </cell>
          <cell r="F56" t="str">
            <v>ann</v>
          </cell>
          <cell r="G56" t="str">
            <v>ã</v>
          </cell>
          <cell r="H56" t="str">
            <v>aⁿ</v>
          </cell>
          <cell r="I56" t="str">
            <v>ann</v>
          </cell>
          <cell r="J56" t="str">
            <v>na</v>
          </cell>
          <cell r="K56" t="str">
            <v>ㆩ</v>
          </cell>
        </row>
        <row r="57">
          <cell r="B57">
            <v>52</v>
          </cell>
          <cell r="C57">
            <v>26</v>
          </cell>
          <cell r="D57" t="str">
            <v>監</v>
          </cell>
          <cell r="E57" t="str">
            <v>入聲</v>
          </cell>
          <cell r="F57" t="str">
            <v>ahnn</v>
          </cell>
          <cell r="G57" t="str">
            <v>ã?</v>
          </cell>
          <cell r="H57" t="str">
            <v>ahⁿ</v>
          </cell>
          <cell r="I57" t="str">
            <v>annh</v>
          </cell>
          <cell r="J57" t="str">
            <v>nah</v>
          </cell>
          <cell r="K57" t="str">
            <v>ㆩㆷ</v>
          </cell>
        </row>
        <row r="58">
          <cell r="B58">
            <v>53</v>
          </cell>
          <cell r="C58">
            <v>27</v>
          </cell>
          <cell r="D58" t="str">
            <v>艍</v>
          </cell>
          <cell r="E58" t="str">
            <v>舒聲</v>
          </cell>
          <cell r="F58" t="str">
            <v>u</v>
          </cell>
          <cell r="G58" t="str">
            <v>u</v>
          </cell>
          <cell r="H58" t="str">
            <v>u</v>
          </cell>
          <cell r="I58" t="str">
            <v>u</v>
          </cell>
          <cell r="J58" t="str">
            <v>u</v>
          </cell>
          <cell r="K58" t="str">
            <v>ㄨ</v>
          </cell>
        </row>
        <row r="59">
          <cell r="B59">
            <v>54</v>
          </cell>
          <cell r="C59">
            <v>27</v>
          </cell>
          <cell r="D59" t="str">
            <v>艍</v>
          </cell>
          <cell r="E59" t="str">
            <v>入聲</v>
          </cell>
          <cell r="F59" t="str">
            <v>uh</v>
          </cell>
          <cell r="G59" t="str">
            <v>u?</v>
          </cell>
          <cell r="H59" t="str">
            <v>uh</v>
          </cell>
          <cell r="I59" t="str">
            <v>uh</v>
          </cell>
          <cell r="J59" t="str">
            <v>uh</v>
          </cell>
          <cell r="K59" t="str">
            <v>ㄨㆷ</v>
          </cell>
        </row>
        <row r="60">
          <cell r="B60">
            <v>55</v>
          </cell>
          <cell r="C60">
            <v>28</v>
          </cell>
          <cell r="D60" t="str">
            <v>膠</v>
          </cell>
          <cell r="E60" t="str">
            <v>舒聲</v>
          </cell>
          <cell r="F60" t="str">
            <v>a</v>
          </cell>
          <cell r="G60" t="str">
            <v>a</v>
          </cell>
          <cell r="H60" t="str">
            <v>a</v>
          </cell>
          <cell r="I60" t="str">
            <v>a</v>
          </cell>
          <cell r="J60" t="str">
            <v>a</v>
          </cell>
          <cell r="K60" t="str">
            <v>ㄚ</v>
          </cell>
        </row>
        <row r="61">
          <cell r="B61">
            <v>56</v>
          </cell>
          <cell r="C61">
            <v>28</v>
          </cell>
          <cell r="D61" t="str">
            <v>膠</v>
          </cell>
          <cell r="E61" t="str">
            <v>入聲</v>
          </cell>
          <cell r="F61" t="str">
            <v>ah</v>
          </cell>
          <cell r="G61" t="str">
            <v>a?</v>
          </cell>
          <cell r="H61" t="str">
            <v>ah</v>
          </cell>
          <cell r="I61" t="str">
            <v>ah</v>
          </cell>
          <cell r="J61" t="str">
            <v>ah</v>
          </cell>
          <cell r="K61" t="str">
            <v>ㄚㆷ</v>
          </cell>
        </row>
        <row r="62">
          <cell r="B62">
            <v>57</v>
          </cell>
          <cell r="C62">
            <v>29</v>
          </cell>
          <cell r="D62" t="str">
            <v>居</v>
          </cell>
          <cell r="E62" t="str">
            <v>舒聲</v>
          </cell>
          <cell r="F62" t="str">
            <v>i</v>
          </cell>
          <cell r="G62" t="str">
            <v>i</v>
          </cell>
          <cell r="H62" t="str">
            <v>i</v>
          </cell>
          <cell r="I62" t="str">
            <v>i</v>
          </cell>
          <cell r="J62" t="str">
            <v>i</v>
          </cell>
          <cell r="K62" t="str">
            <v>ㄧ</v>
          </cell>
        </row>
        <row r="63">
          <cell r="B63">
            <v>58</v>
          </cell>
          <cell r="C63">
            <v>29</v>
          </cell>
          <cell r="D63" t="str">
            <v>居</v>
          </cell>
          <cell r="E63" t="str">
            <v>入聲</v>
          </cell>
          <cell r="F63" t="str">
            <v>ih</v>
          </cell>
          <cell r="G63" t="str">
            <v>i?</v>
          </cell>
          <cell r="H63" t="str">
            <v>ih</v>
          </cell>
          <cell r="I63" t="str">
            <v>ih</v>
          </cell>
          <cell r="J63" t="str">
            <v>ih</v>
          </cell>
          <cell r="K63" t="str">
            <v>ㄧㆷ</v>
          </cell>
        </row>
        <row r="64">
          <cell r="B64">
            <v>59</v>
          </cell>
          <cell r="C64">
            <v>30</v>
          </cell>
          <cell r="D64" t="str">
            <v>丩</v>
          </cell>
          <cell r="E64" t="str">
            <v>舒聲</v>
          </cell>
          <cell r="F64" t="str">
            <v>iu</v>
          </cell>
          <cell r="G64" t="str">
            <v>iu</v>
          </cell>
          <cell r="H64" t="str">
            <v>iu</v>
          </cell>
          <cell r="I64" t="str">
            <v>iu</v>
          </cell>
          <cell r="J64" t="str">
            <v>iu</v>
          </cell>
          <cell r="K64" t="str">
            <v>ㄧㄨ</v>
          </cell>
        </row>
        <row r="65">
          <cell r="B65">
            <v>60</v>
          </cell>
          <cell r="C65">
            <v>30</v>
          </cell>
          <cell r="D65" t="str">
            <v>丩</v>
          </cell>
          <cell r="E65" t="str">
            <v>入聲</v>
          </cell>
          <cell r="F65" t="str">
            <v>iuh</v>
          </cell>
          <cell r="G65" t="str">
            <v>iu?</v>
          </cell>
          <cell r="H65" t="str">
            <v>iuh</v>
          </cell>
          <cell r="I65" t="str">
            <v>iuh</v>
          </cell>
          <cell r="J65" t="str">
            <v>iuh</v>
          </cell>
          <cell r="K65" t="str">
            <v>ㄧㄨㆷ</v>
          </cell>
        </row>
        <row r="66">
          <cell r="B66">
            <v>61</v>
          </cell>
          <cell r="C66">
            <v>31</v>
          </cell>
          <cell r="D66" t="str">
            <v>更</v>
          </cell>
          <cell r="E66" t="str">
            <v>舒聲</v>
          </cell>
          <cell r="F66" t="str">
            <v>enn</v>
          </cell>
          <cell r="G66" t="str">
            <v>ẽ</v>
          </cell>
          <cell r="H66" t="str">
            <v>eⁿ</v>
          </cell>
          <cell r="I66" t="str">
            <v>enn</v>
          </cell>
          <cell r="J66" t="str">
            <v>ne</v>
          </cell>
          <cell r="K66" t="str">
            <v>ㆥ</v>
          </cell>
        </row>
        <row r="67">
          <cell r="B67">
            <v>62</v>
          </cell>
          <cell r="C67">
            <v>31</v>
          </cell>
          <cell r="D67" t="str">
            <v>更</v>
          </cell>
          <cell r="E67" t="str">
            <v>入聲</v>
          </cell>
          <cell r="F67" t="str">
            <v>ehnn</v>
          </cell>
          <cell r="G67" t="str">
            <v>ẽ?</v>
          </cell>
          <cell r="H67" t="str">
            <v>ehⁿ</v>
          </cell>
          <cell r="I67" t="str">
            <v>ennh</v>
          </cell>
          <cell r="J67" t="str">
            <v>neh</v>
          </cell>
          <cell r="K67" t="str">
            <v>ㆥㆷ</v>
          </cell>
        </row>
        <row r="68">
          <cell r="B68">
            <v>63</v>
          </cell>
          <cell r="C68">
            <v>32</v>
          </cell>
          <cell r="D68" t="str">
            <v>褌</v>
          </cell>
          <cell r="E68" t="str">
            <v>舒聲</v>
          </cell>
          <cell r="F68" t="str">
            <v>uinn</v>
          </cell>
          <cell r="G68" t="str">
            <v>ũĩ</v>
          </cell>
          <cell r="H68" t="str">
            <v>uiⁿ</v>
          </cell>
          <cell r="I68" t="str">
            <v>uinn</v>
          </cell>
          <cell r="J68" t="str">
            <v>nui</v>
          </cell>
          <cell r="K68" t="str">
            <v>ㄨㆪ</v>
          </cell>
        </row>
        <row r="69">
          <cell r="B69">
            <v>64</v>
          </cell>
          <cell r="C69">
            <v>32</v>
          </cell>
          <cell r="D69" t="str">
            <v>褌</v>
          </cell>
          <cell r="E69" t="str">
            <v>入聲</v>
          </cell>
          <cell r="F69" t="str">
            <v>uinnh</v>
          </cell>
          <cell r="G69" t="str">
            <v>ũĩ?</v>
          </cell>
          <cell r="H69" t="str">
            <v>uihⁿ</v>
          </cell>
          <cell r="I69" t="str">
            <v>uinnh</v>
          </cell>
          <cell r="J69" t="str">
            <v>nuih</v>
          </cell>
          <cell r="K69" t="str">
            <v>ㄨㆪㆷ</v>
          </cell>
        </row>
        <row r="70">
          <cell r="B70">
            <v>65</v>
          </cell>
          <cell r="C70">
            <v>33</v>
          </cell>
          <cell r="D70" t="str">
            <v>茄</v>
          </cell>
          <cell r="E70" t="str">
            <v>舒聲</v>
          </cell>
          <cell r="F70" t="str">
            <v>io</v>
          </cell>
          <cell r="G70" t="str">
            <v>io</v>
          </cell>
          <cell r="H70" t="str">
            <v>io</v>
          </cell>
          <cell r="I70" t="str">
            <v>io</v>
          </cell>
          <cell r="J70" t="str">
            <v>io</v>
          </cell>
          <cell r="K70" t="str">
            <v>ㄧㄜ</v>
          </cell>
        </row>
        <row r="71">
          <cell r="B71">
            <v>66</v>
          </cell>
          <cell r="C71">
            <v>33</v>
          </cell>
          <cell r="D71" t="str">
            <v>茄</v>
          </cell>
          <cell r="E71" t="str">
            <v>入聲</v>
          </cell>
          <cell r="F71" t="str">
            <v>ioh</v>
          </cell>
          <cell r="G71" t="str">
            <v>iə?</v>
          </cell>
          <cell r="H71" t="str">
            <v>ioh</v>
          </cell>
          <cell r="I71" t="str">
            <v>ioh</v>
          </cell>
          <cell r="J71" t="str">
            <v>ioh</v>
          </cell>
          <cell r="K71" t="str">
            <v>ㄧㄜㆷ</v>
          </cell>
        </row>
        <row r="72">
          <cell r="B72">
            <v>67</v>
          </cell>
          <cell r="C72">
            <v>34</v>
          </cell>
          <cell r="D72" t="str">
            <v>梔</v>
          </cell>
          <cell r="E72" t="str">
            <v>舒聲</v>
          </cell>
          <cell r="F72" t="str">
            <v>inn</v>
          </cell>
          <cell r="G72" t="str">
            <v>ĩ</v>
          </cell>
          <cell r="H72" t="str">
            <v>iⁿ</v>
          </cell>
          <cell r="I72" t="str">
            <v>inn</v>
          </cell>
          <cell r="J72" t="str">
            <v>ni</v>
          </cell>
          <cell r="K72" t="str">
            <v>ㆪ</v>
          </cell>
        </row>
        <row r="73">
          <cell r="B73">
            <v>68</v>
          </cell>
          <cell r="C73">
            <v>34</v>
          </cell>
          <cell r="D73" t="str">
            <v>梔</v>
          </cell>
          <cell r="E73" t="str">
            <v>入聲</v>
          </cell>
          <cell r="F73" t="str">
            <v>ihnn</v>
          </cell>
          <cell r="G73" t="str">
            <v>ĩ?</v>
          </cell>
          <cell r="H73" t="str">
            <v>iⁿh</v>
          </cell>
          <cell r="I73" t="str">
            <v>innh</v>
          </cell>
          <cell r="J73" t="str">
            <v>nih</v>
          </cell>
          <cell r="K73" t="str">
            <v>ㆪ</v>
          </cell>
        </row>
        <row r="74">
          <cell r="B74">
            <v>69</v>
          </cell>
          <cell r="C74">
            <v>35</v>
          </cell>
          <cell r="D74" t="str">
            <v>薑</v>
          </cell>
          <cell r="E74" t="str">
            <v>舒聲</v>
          </cell>
          <cell r="F74" t="str">
            <v>ionn</v>
          </cell>
          <cell r="G74" t="str">
            <v>ĩɔ̃</v>
          </cell>
          <cell r="H74" t="str">
            <v>ioⁿ</v>
          </cell>
          <cell r="I74" t="str">
            <v>ionn</v>
          </cell>
          <cell r="J74" t="str">
            <v>nioo</v>
          </cell>
          <cell r="K74" t="str">
            <v>ㄧㆧ</v>
          </cell>
        </row>
        <row r="75">
          <cell r="B75">
            <v>70</v>
          </cell>
          <cell r="C75">
            <v>35</v>
          </cell>
          <cell r="D75" t="str">
            <v>薑</v>
          </cell>
          <cell r="E75" t="str">
            <v>入聲</v>
          </cell>
          <cell r="F75" t="str">
            <v>ionnh</v>
          </cell>
          <cell r="G75" t="str">
            <v>ĩɔ̃?</v>
          </cell>
          <cell r="H75" t="str">
            <v>iohⁿ</v>
          </cell>
          <cell r="I75" t="str">
            <v>ionnh</v>
          </cell>
          <cell r="J75" t="str">
            <v>niooh</v>
          </cell>
          <cell r="K75" t="str">
            <v>ㄧㆧㆷ</v>
          </cell>
        </row>
        <row r="76">
          <cell r="B76">
            <v>71</v>
          </cell>
          <cell r="C76">
            <v>36</v>
          </cell>
          <cell r="D76" t="str">
            <v>驚</v>
          </cell>
          <cell r="E76" t="str">
            <v>舒聲</v>
          </cell>
          <cell r="F76" t="str">
            <v>iann</v>
          </cell>
          <cell r="G76" t="str">
            <v>ĩã</v>
          </cell>
          <cell r="H76" t="str">
            <v>iaⁿ</v>
          </cell>
          <cell r="I76" t="str">
            <v>iann</v>
          </cell>
          <cell r="J76" t="str">
            <v>nia</v>
          </cell>
          <cell r="K76" t="str">
            <v>ㄧㆩ</v>
          </cell>
        </row>
        <row r="77">
          <cell r="B77">
            <v>72</v>
          </cell>
          <cell r="C77">
            <v>36</v>
          </cell>
          <cell r="D77" t="str">
            <v>驚</v>
          </cell>
          <cell r="E77" t="str">
            <v>入聲</v>
          </cell>
          <cell r="F77" t="str">
            <v>iannh</v>
          </cell>
          <cell r="G77" t="str">
            <v>iãh</v>
          </cell>
          <cell r="H77" t="str">
            <v>iahⁿ</v>
          </cell>
          <cell r="I77" t="str">
            <v>iannh</v>
          </cell>
          <cell r="J77" t="str">
            <v>niah</v>
          </cell>
          <cell r="K77" t="str">
            <v>ㄧㆩㆷ</v>
          </cell>
        </row>
        <row r="78">
          <cell r="B78">
            <v>73</v>
          </cell>
          <cell r="C78">
            <v>37</v>
          </cell>
          <cell r="D78" t="str">
            <v>官</v>
          </cell>
          <cell r="E78" t="str">
            <v>舒聲</v>
          </cell>
          <cell r="F78" t="str">
            <v>oann</v>
          </cell>
          <cell r="G78" t="str">
            <v>ũã</v>
          </cell>
          <cell r="H78" t="str">
            <v>oaⁿ</v>
          </cell>
          <cell r="I78" t="str">
            <v>uann</v>
          </cell>
          <cell r="J78" t="str">
            <v>nua</v>
          </cell>
          <cell r="K78" t="str">
            <v>ㄨㆩ</v>
          </cell>
        </row>
        <row r="79">
          <cell r="B79">
            <v>74</v>
          </cell>
          <cell r="C79">
            <v>37</v>
          </cell>
          <cell r="D79" t="str">
            <v>官</v>
          </cell>
          <cell r="E79" t="str">
            <v>入聲</v>
          </cell>
          <cell r="F79" t="str">
            <v>oannh</v>
          </cell>
          <cell r="G79" t="str">
            <v>ũã?</v>
          </cell>
          <cell r="H79" t="str">
            <v>oahⁿ</v>
          </cell>
          <cell r="I79" t="str">
            <v>uannh</v>
          </cell>
          <cell r="J79" t="str">
            <v>nuah</v>
          </cell>
          <cell r="K79" t="str">
            <v>ㄨㆩㆷ</v>
          </cell>
        </row>
        <row r="80">
          <cell r="B80">
            <v>75</v>
          </cell>
          <cell r="C80">
            <v>38</v>
          </cell>
          <cell r="D80" t="str">
            <v>鋼</v>
          </cell>
          <cell r="E80" t="str">
            <v>舒聲</v>
          </cell>
          <cell r="F80" t="str">
            <v>ng</v>
          </cell>
          <cell r="G80" t="str">
            <v>ŋ̍</v>
          </cell>
          <cell r="H80" t="str">
            <v>ng</v>
          </cell>
          <cell r="I80" t="str">
            <v>ng</v>
          </cell>
          <cell r="J80" t="str">
            <v>ng</v>
          </cell>
          <cell r="K80" t="str">
            <v>ㆭ</v>
          </cell>
        </row>
        <row r="81">
          <cell r="B81">
            <v>76</v>
          </cell>
          <cell r="C81">
            <v>38</v>
          </cell>
          <cell r="D81" t="str">
            <v>鋼</v>
          </cell>
          <cell r="E81" t="str">
            <v>入聲</v>
          </cell>
          <cell r="F81" t="str">
            <v>ngh</v>
          </cell>
          <cell r="G81" t="str">
            <v>ŋ̍h</v>
          </cell>
          <cell r="H81" t="str">
            <v>ngh</v>
          </cell>
          <cell r="I81" t="str">
            <v>ngh</v>
          </cell>
          <cell r="J81" t="str">
            <v>ngh</v>
          </cell>
          <cell r="K81" t="str">
            <v>ㆭㆷ</v>
          </cell>
        </row>
        <row r="82">
          <cell r="B82">
            <v>77</v>
          </cell>
          <cell r="C82">
            <v>39</v>
          </cell>
          <cell r="D82" t="str">
            <v>伽</v>
          </cell>
          <cell r="E82" t="str">
            <v>舒聲</v>
          </cell>
          <cell r="F82" t="str">
            <v>e</v>
          </cell>
          <cell r="G82" t="str">
            <v>e</v>
          </cell>
          <cell r="H82" t="str">
            <v>e</v>
          </cell>
          <cell r="I82" t="str">
            <v>e</v>
          </cell>
          <cell r="J82" t="str">
            <v>e</v>
          </cell>
          <cell r="K82" t="str">
            <v>ㆤ</v>
          </cell>
        </row>
        <row r="83">
          <cell r="B83">
            <v>78</v>
          </cell>
          <cell r="C83">
            <v>39</v>
          </cell>
          <cell r="D83" t="str">
            <v>伽</v>
          </cell>
          <cell r="E83" t="str">
            <v>入聲</v>
          </cell>
          <cell r="F83" t="str">
            <v>eh</v>
          </cell>
          <cell r="G83" t="str">
            <v>e?</v>
          </cell>
          <cell r="H83" t="str">
            <v>eh</v>
          </cell>
          <cell r="I83" t="str">
            <v>eh</v>
          </cell>
          <cell r="J83" t="str">
            <v>eh</v>
          </cell>
          <cell r="K83" t="str">
            <v>ㆤㆷ</v>
          </cell>
        </row>
        <row r="84">
          <cell r="B84">
            <v>79</v>
          </cell>
          <cell r="C84">
            <v>40</v>
          </cell>
          <cell r="D84" t="str">
            <v>閒</v>
          </cell>
          <cell r="E84" t="str">
            <v>舒聲</v>
          </cell>
          <cell r="F84" t="str">
            <v>ainn</v>
          </cell>
          <cell r="G84" t="str">
            <v>ãĩ</v>
          </cell>
          <cell r="H84" t="str">
            <v>aiⁿ</v>
          </cell>
          <cell r="I84" t="str">
            <v>ainn</v>
          </cell>
          <cell r="J84" t="str">
            <v>nai</v>
          </cell>
          <cell r="K84" t="str">
            <v>ㆮ</v>
          </cell>
        </row>
        <row r="85">
          <cell r="B85">
            <v>80</v>
          </cell>
          <cell r="C85">
            <v>40</v>
          </cell>
          <cell r="D85" t="str">
            <v>閒</v>
          </cell>
          <cell r="E85" t="str">
            <v>入聲</v>
          </cell>
          <cell r="F85" t="str">
            <v>ainnh</v>
          </cell>
          <cell r="G85" t="str">
            <v>ãĩ?</v>
          </cell>
          <cell r="H85" t="str">
            <v>aihⁿ</v>
          </cell>
          <cell r="I85" t="str">
            <v>ainnh</v>
          </cell>
          <cell r="J85" t="str">
            <v>naih</v>
          </cell>
          <cell r="K85" t="str">
            <v>ㆮㆷ</v>
          </cell>
        </row>
        <row r="86">
          <cell r="B86">
            <v>81</v>
          </cell>
          <cell r="C86">
            <v>41</v>
          </cell>
          <cell r="D86" t="str">
            <v>姑</v>
          </cell>
          <cell r="E86" t="str">
            <v>舒聲</v>
          </cell>
          <cell r="F86" t="str">
            <v>onn</v>
          </cell>
          <cell r="G86" t="str">
            <v>ɔ̃</v>
          </cell>
          <cell r="H86" t="str">
            <v>oⁿ</v>
          </cell>
          <cell r="I86" t="str">
            <v>onn</v>
          </cell>
          <cell r="J86" t="str">
            <v>noo</v>
          </cell>
          <cell r="K86" t="str">
            <v>ㆧ</v>
          </cell>
        </row>
        <row r="87">
          <cell r="B87">
            <v>82</v>
          </cell>
          <cell r="C87">
            <v>41</v>
          </cell>
          <cell r="D87" t="str">
            <v>姑</v>
          </cell>
          <cell r="E87" t="str">
            <v>入聲</v>
          </cell>
          <cell r="F87" t="str">
            <v>onnh</v>
          </cell>
          <cell r="G87" t="str">
            <v>ɔ̃?</v>
          </cell>
          <cell r="H87" t="str">
            <v>ohⁿ</v>
          </cell>
          <cell r="I87" t="str">
            <v>onnh</v>
          </cell>
          <cell r="J87" t="str">
            <v>nooh</v>
          </cell>
          <cell r="K87" t="str">
            <v>ㆧㆷ</v>
          </cell>
        </row>
        <row r="88">
          <cell r="B88">
            <v>83</v>
          </cell>
          <cell r="C88">
            <v>42</v>
          </cell>
          <cell r="D88" t="str">
            <v>姆</v>
          </cell>
          <cell r="E88" t="str">
            <v>舒聲</v>
          </cell>
          <cell r="F88" t="str">
            <v>m</v>
          </cell>
          <cell r="G88" t="str">
            <v>m̩</v>
          </cell>
          <cell r="H88" t="str">
            <v>m</v>
          </cell>
          <cell r="I88" t="str">
            <v>m</v>
          </cell>
          <cell r="J88" t="str">
            <v>m</v>
          </cell>
          <cell r="K88" t="str">
            <v>ㆬ</v>
          </cell>
        </row>
        <row r="89">
          <cell r="B89">
            <v>84</v>
          </cell>
          <cell r="C89">
            <v>42</v>
          </cell>
          <cell r="D89" t="str">
            <v>姆</v>
          </cell>
          <cell r="E89" t="str">
            <v>入聲</v>
          </cell>
          <cell r="F89" t="str">
            <v>mh</v>
          </cell>
          <cell r="G89" t="str">
            <v>m̩h</v>
          </cell>
          <cell r="H89" t="str">
            <v>mh</v>
          </cell>
          <cell r="I89" t="str">
            <v>mh</v>
          </cell>
          <cell r="J89" t="str">
            <v>mh</v>
          </cell>
          <cell r="K89" t="str">
            <v>ㆬㆷ</v>
          </cell>
        </row>
        <row r="90">
          <cell r="B90">
            <v>85</v>
          </cell>
          <cell r="C90">
            <v>43</v>
          </cell>
          <cell r="D90" t="str">
            <v>光</v>
          </cell>
          <cell r="E90" t="str">
            <v>舒聲</v>
          </cell>
          <cell r="F90" t="str">
            <v>oang</v>
          </cell>
          <cell r="G90" t="str">
            <v>uaŋ</v>
          </cell>
          <cell r="H90" t="str">
            <v>oang</v>
          </cell>
          <cell r="I90" t="str">
            <v>uang</v>
          </cell>
          <cell r="J90" t="str">
            <v>uang</v>
          </cell>
          <cell r="K90" t="str">
            <v>ㄨㄤ</v>
          </cell>
        </row>
        <row r="91">
          <cell r="B91">
            <v>86</v>
          </cell>
          <cell r="C91">
            <v>43</v>
          </cell>
          <cell r="D91" t="str">
            <v>光</v>
          </cell>
          <cell r="E91" t="str">
            <v>入聲</v>
          </cell>
          <cell r="F91" t="str">
            <v>oak</v>
          </cell>
          <cell r="G91" t="str">
            <v>uak̚</v>
          </cell>
          <cell r="H91" t="str">
            <v>oak</v>
          </cell>
          <cell r="I91" t="str">
            <v>uak</v>
          </cell>
          <cell r="J91" t="str">
            <v>uak</v>
          </cell>
          <cell r="K91" t="str">
            <v>ㄨㄚㆻ</v>
          </cell>
        </row>
        <row r="92">
          <cell r="B92">
            <v>87</v>
          </cell>
          <cell r="C92">
            <v>44</v>
          </cell>
          <cell r="D92" t="str">
            <v>閂</v>
          </cell>
          <cell r="E92" t="str">
            <v>舒聲</v>
          </cell>
          <cell r="F92" t="str">
            <v>oainn</v>
          </cell>
          <cell r="G92" t="str">
            <v>ũãĩ</v>
          </cell>
          <cell r="H92" t="str">
            <v>oaiⁿ</v>
          </cell>
          <cell r="I92" t="str">
            <v>uainn</v>
          </cell>
          <cell r="J92" t="str">
            <v>nuai</v>
          </cell>
          <cell r="K92" t="str">
            <v>ㄨㆮ</v>
          </cell>
        </row>
        <row r="93">
          <cell r="B93">
            <v>88</v>
          </cell>
          <cell r="C93">
            <v>44</v>
          </cell>
          <cell r="D93" t="str">
            <v>閂</v>
          </cell>
          <cell r="E93" t="str">
            <v>入聲</v>
          </cell>
          <cell r="F93" t="str">
            <v>oaihnn</v>
          </cell>
          <cell r="G93" t="str">
            <v>uãĩ?</v>
          </cell>
          <cell r="H93" t="str">
            <v>oaiⁿh</v>
          </cell>
          <cell r="I93" t="str">
            <v>uainnh</v>
          </cell>
          <cell r="J93" t="str">
            <v>nuaih</v>
          </cell>
          <cell r="K93" t="str">
            <v>ㄨㆮㆷ</v>
          </cell>
        </row>
        <row r="94">
          <cell r="B94">
            <v>89</v>
          </cell>
          <cell r="C94">
            <v>45</v>
          </cell>
          <cell r="D94" t="str">
            <v>糜</v>
          </cell>
          <cell r="E94" t="str">
            <v>舒聲</v>
          </cell>
          <cell r="F94" t="str">
            <v>oenn</v>
          </cell>
          <cell r="G94" t="str">
            <v>ũẽ</v>
          </cell>
          <cell r="H94" t="str">
            <v>oeⁿ</v>
          </cell>
          <cell r="I94" t="str">
            <v>uenn</v>
          </cell>
          <cell r="J94" t="str">
            <v>nue</v>
          </cell>
          <cell r="K94" t="str">
            <v>ㄨㆥ</v>
          </cell>
        </row>
        <row r="95">
          <cell r="B95">
            <v>90</v>
          </cell>
          <cell r="C95">
            <v>45</v>
          </cell>
          <cell r="D95" t="str">
            <v>糜</v>
          </cell>
          <cell r="E95" t="str">
            <v>入聲</v>
          </cell>
          <cell r="F95" t="str">
            <v>oennh</v>
          </cell>
          <cell r="G95" t="str">
            <v>ũẽ?</v>
          </cell>
          <cell r="H95" t="str">
            <v>oehⁿ</v>
          </cell>
          <cell r="I95" t="str">
            <v>uennh</v>
          </cell>
          <cell r="J95" t="str">
            <v>nueh</v>
          </cell>
          <cell r="K95" t="str">
            <v>ㄨㆥㆷ</v>
          </cell>
        </row>
        <row r="96">
          <cell r="B96">
            <v>91</v>
          </cell>
          <cell r="C96">
            <v>46</v>
          </cell>
          <cell r="D96" t="str">
            <v>嘄</v>
          </cell>
          <cell r="E96" t="str">
            <v>舒聲</v>
          </cell>
          <cell r="F96" t="str">
            <v>iaunn</v>
          </cell>
          <cell r="G96" t="str">
            <v>ĩãũ</v>
          </cell>
          <cell r="H96" t="str">
            <v>iauⁿ</v>
          </cell>
          <cell r="I96" t="str">
            <v>iaunn</v>
          </cell>
          <cell r="J96" t="str">
            <v>niao</v>
          </cell>
          <cell r="K96" t="str">
            <v>ㄧㆯ</v>
          </cell>
        </row>
        <row r="97">
          <cell r="B97">
            <v>92</v>
          </cell>
          <cell r="C97">
            <v>46</v>
          </cell>
          <cell r="D97" t="str">
            <v>嘄</v>
          </cell>
          <cell r="E97" t="str">
            <v>入聲</v>
          </cell>
          <cell r="F97" t="str">
            <v>iauhnn</v>
          </cell>
          <cell r="G97" t="str">
            <v>ĩãũ?</v>
          </cell>
          <cell r="H97" t="str">
            <v>iauⁿh</v>
          </cell>
          <cell r="I97" t="str">
            <v>iaunnh</v>
          </cell>
          <cell r="J97" t="str">
            <v>niaoh</v>
          </cell>
          <cell r="K97" t="str">
            <v>ㄧㆯㆷ</v>
          </cell>
        </row>
        <row r="98">
          <cell r="B98">
            <v>93</v>
          </cell>
          <cell r="C98">
            <v>47</v>
          </cell>
          <cell r="D98" t="str">
            <v>箴</v>
          </cell>
          <cell r="E98" t="str">
            <v>舒聲</v>
          </cell>
          <cell r="F98" t="str">
            <v>om</v>
          </cell>
          <cell r="G98" t="str">
            <v>ɔm</v>
          </cell>
          <cell r="H98" t="str">
            <v>om</v>
          </cell>
          <cell r="I98" t="str">
            <v>om</v>
          </cell>
          <cell r="J98" t="str">
            <v>om</v>
          </cell>
          <cell r="K98" t="str">
            <v>ㆱ</v>
          </cell>
        </row>
        <row r="99">
          <cell r="B99">
            <v>94</v>
          </cell>
          <cell r="C99">
            <v>47</v>
          </cell>
          <cell r="D99" t="str">
            <v>箴</v>
          </cell>
          <cell r="E99" t="str">
            <v>入聲</v>
          </cell>
          <cell r="F99" t="str">
            <v>op</v>
          </cell>
          <cell r="G99" t="str">
            <v>ɔp̚</v>
          </cell>
          <cell r="H99" t="str">
            <v>op</v>
          </cell>
          <cell r="I99" t="str">
            <v>op</v>
          </cell>
          <cell r="J99" t="str">
            <v>op</v>
          </cell>
          <cell r="K99" t="str">
            <v>ㆦㆴ</v>
          </cell>
        </row>
        <row r="100">
          <cell r="B100">
            <v>95</v>
          </cell>
          <cell r="C100">
            <v>48</v>
          </cell>
          <cell r="D100" t="str">
            <v>爻</v>
          </cell>
          <cell r="E100" t="str">
            <v>舒聲</v>
          </cell>
          <cell r="F100" t="str">
            <v>aunn</v>
          </cell>
          <cell r="G100" t="str">
            <v>ãũ</v>
          </cell>
          <cell r="H100" t="str">
            <v>auⁿ</v>
          </cell>
          <cell r="I100" t="str">
            <v>aunn</v>
          </cell>
          <cell r="J100" t="str">
            <v>nao</v>
          </cell>
          <cell r="K100" t="str">
            <v>ㆯ</v>
          </cell>
        </row>
        <row r="101">
          <cell r="B101">
            <v>96</v>
          </cell>
          <cell r="C101">
            <v>48</v>
          </cell>
          <cell r="D101" t="str">
            <v>爻</v>
          </cell>
          <cell r="E101" t="str">
            <v>入聲</v>
          </cell>
          <cell r="F101" t="str">
            <v>aunnh</v>
          </cell>
          <cell r="G101" t="str">
            <v>ãũ?</v>
          </cell>
          <cell r="H101" t="str">
            <v>auhⁿ</v>
          </cell>
          <cell r="I101" t="str">
            <v>aunnh</v>
          </cell>
          <cell r="J101" t="str">
            <v>naoh</v>
          </cell>
          <cell r="K101" t="str">
            <v>ㆯㆷ</v>
          </cell>
        </row>
        <row r="102">
          <cell r="B102">
            <v>97</v>
          </cell>
          <cell r="C102">
            <v>49</v>
          </cell>
          <cell r="D102" t="str">
            <v>扛</v>
          </cell>
          <cell r="E102" t="str">
            <v>舒聲</v>
          </cell>
          <cell r="F102" t="str">
            <v>onn</v>
          </cell>
          <cell r="G102" t="str">
            <v>õ</v>
          </cell>
          <cell r="H102" t="str">
            <v>oⁿ</v>
          </cell>
          <cell r="I102" t="str">
            <v>onn</v>
          </cell>
          <cell r="J102" t="str">
            <v>no</v>
          </cell>
          <cell r="K102" t="str">
            <v>ㆧ</v>
          </cell>
        </row>
        <row r="103">
          <cell r="B103">
            <v>98</v>
          </cell>
          <cell r="C103">
            <v>49</v>
          </cell>
          <cell r="D103" t="str">
            <v>扛</v>
          </cell>
          <cell r="E103" t="str">
            <v>入聲</v>
          </cell>
          <cell r="F103" t="str">
            <v>ohnn</v>
          </cell>
          <cell r="G103" t="str">
            <v>õh</v>
          </cell>
          <cell r="H103" t="str">
            <v>ohⁿ</v>
          </cell>
          <cell r="I103" t="str">
            <v>onnh</v>
          </cell>
          <cell r="J103" t="str">
            <v>noh</v>
          </cell>
          <cell r="K103" t="str">
            <v>ㆧㆷ</v>
          </cell>
        </row>
        <row r="104">
          <cell r="B104">
            <v>99</v>
          </cell>
          <cell r="C104">
            <v>50</v>
          </cell>
          <cell r="D104" t="str">
            <v>牛</v>
          </cell>
          <cell r="E104" t="str">
            <v>舒聲</v>
          </cell>
          <cell r="F104" t="str">
            <v>iunn</v>
          </cell>
          <cell r="G104" t="str">
            <v>ĩũ</v>
          </cell>
          <cell r="H104" t="str">
            <v>iuⁿ</v>
          </cell>
          <cell r="I104" t="str">
            <v>iunn</v>
          </cell>
          <cell r="J104" t="str">
            <v>niu</v>
          </cell>
          <cell r="K104" t="str">
            <v>ㄧㆫ</v>
          </cell>
        </row>
        <row r="105">
          <cell r="B105">
            <v>100</v>
          </cell>
          <cell r="C105">
            <v>50</v>
          </cell>
          <cell r="D105" t="str">
            <v>牛</v>
          </cell>
          <cell r="E105" t="str">
            <v>入聲</v>
          </cell>
          <cell r="F105" t="str">
            <v>iunnh</v>
          </cell>
          <cell r="G105" t="str">
            <v>iũh</v>
          </cell>
          <cell r="H105" t="str">
            <v>iuhⁿ</v>
          </cell>
          <cell r="I105" t="str">
            <v>iunnh</v>
          </cell>
          <cell r="J105" t="str">
            <v>niuh</v>
          </cell>
          <cell r="K105" t="str">
            <v>ㄧㆫㆷ</v>
          </cell>
        </row>
      </sheetData>
      <sheetData sheetId="17">
        <row r="5">
          <cell r="B5">
            <v>1</v>
          </cell>
          <cell r="C5" t="str">
            <v>君</v>
          </cell>
          <cell r="D5" t="str">
            <v>un</v>
          </cell>
          <cell r="E5" t="str">
            <v>ut</v>
          </cell>
          <cell r="F5" t="str">
            <v>un</v>
          </cell>
          <cell r="G5" t="str">
            <v>ut̚</v>
          </cell>
          <cell r="H5" t="str">
            <v>un</v>
          </cell>
          <cell r="I5" t="str">
            <v>ut</v>
          </cell>
          <cell r="J5" t="str">
            <v>un</v>
          </cell>
          <cell r="K5" t="str">
            <v>ut</v>
          </cell>
          <cell r="L5" t="str">
            <v>un</v>
          </cell>
          <cell r="M5" t="str">
            <v>ut</v>
          </cell>
          <cell r="N5" t="str">
            <v>ㄨㄣ</v>
          </cell>
          <cell r="O5" t="str">
            <v>ㄨㆵ</v>
          </cell>
          <cell r="P5" t="str">
            <v>wun</v>
          </cell>
          <cell r="Q5" t="str">
            <v>wut</v>
          </cell>
        </row>
        <row r="6">
          <cell r="B6">
            <v>2</v>
          </cell>
          <cell r="C6" t="str">
            <v>堅</v>
          </cell>
          <cell r="D6" t="str">
            <v>ian</v>
          </cell>
          <cell r="E6" t="str">
            <v>iat</v>
          </cell>
          <cell r="F6" t="str">
            <v>ian</v>
          </cell>
          <cell r="G6" t="str">
            <v>iat̚</v>
          </cell>
          <cell r="H6" t="str">
            <v>ian</v>
          </cell>
          <cell r="I6" t="str">
            <v>iat</v>
          </cell>
          <cell r="J6" t="str">
            <v>ian</v>
          </cell>
          <cell r="K6" t="str">
            <v>iat</v>
          </cell>
          <cell r="L6" t="str">
            <v>ian</v>
          </cell>
          <cell r="M6" t="str">
            <v>iat</v>
          </cell>
          <cell r="N6" t="str">
            <v>ㄧㄢ</v>
          </cell>
          <cell r="O6" t="str">
            <v>ㄧㄚㆵ</v>
          </cell>
          <cell r="P6" t="str">
            <v>ëen</v>
          </cell>
          <cell r="Q6" t="str">
            <v>ëet</v>
          </cell>
        </row>
        <row r="7">
          <cell r="B7">
            <v>3</v>
          </cell>
          <cell r="C7" t="str">
            <v>金</v>
          </cell>
          <cell r="D7" t="str">
            <v>im</v>
          </cell>
          <cell r="E7" t="str">
            <v>ip</v>
          </cell>
          <cell r="F7" t="str">
            <v>im</v>
          </cell>
          <cell r="G7" t="str">
            <v>ip̚</v>
          </cell>
          <cell r="H7" t="str">
            <v>im</v>
          </cell>
          <cell r="I7" t="str">
            <v>ip</v>
          </cell>
          <cell r="J7" t="str">
            <v>im</v>
          </cell>
          <cell r="K7" t="str">
            <v>ip</v>
          </cell>
          <cell r="L7" t="str">
            <v>im</v>
          </cell>
          <cell r="M7" t="str">
            <v>ip</v>
          </cell>
          <cell r="N7" t="str">
            <v>ㄧㆬ</v>
          </cell>
          <cell r="O7" t="str">
            <v>ㄧㆴ</v>
          </cell>
          <cell r="P7" t="str">
            <v>im</v>
          </cell>
          <cell r="Q7" t="str">
            <v>ip</v>
          </cell>
        </row>
        <row r="8">
          <cell r="B8">
            <v>4</v>
          </cell>
          <cell r="C8" t="str">
            <v>規</v>
          </cell>
          <cell r="D8" t="str">
            <v>ui</v>
          </cell>
          <cell r="E8" t="str">
            <v>uih</v>
          </cell>
          <cell r="F8" t="str">
            <v>ui</v>
          </cell>
          <cell r="G8" t="str">
            <v>ui?</v>
          </cell>
          <cell r="H8" t="str">
            <v>ui</v>
          </cell>
          <cell r="I8" t="str">
            <v>uih</v>
          </cell>
          <cell r="J8" t="str">
            <v>ui</v>
          </cell>
          <cell r="K8" t="str">
            <v>uih</v>
          </cell>
          <cell r="L8" t="str">
            <v>ui</v>
          </cell>
          <cell r="M8" t="str">
            <v>uih</v>
          </cell>
          <cell r="N8" t="str">
            <v>ㄨㄧ</v>
          </cell>
          <cell r="O8" t="str">
            <v>ㄨㄧㆷ</v>
          </cell>
          <cell r="P8" t="str">
            <v>wuy</v>
          </cell>
        </row>
        <row r="9">
          <cell r="B9">
            <v>5</v>
          </cell>
          <cell r="C9" t="str">
            <v>嘉</v>
          </cell>
          <cell r="D9" t="str">
            <v>ee</v>
          </cell>
          <cell r="E9" t="str">
            <v>eeh</v>
          </cell>
          <cell r="F9" t="str">
            <v>ɛ</v>
          </cell>
          <cell r="G9" t="str">
            <v>ɛ?</v>
          </cell>
          <cell r="H9" t="str">
            <v>ee</v>
          </cell>
          <cell r="I9" t="str">
            <v>eeh</v>
          </cell>
          <cell r="J9" t="str">
            <v>ee</v>
          </cell>
          <cell r="K9" t="str">
            <v>eh</v>
          </cell>
          <cell r="L9" t="str">
            <v>e</v>
          </cell>
          <cell r="M9" t="str">
            <v>eh</v>
          </cell>
          <cell r="N9" t="str">
            <v>ㄝ</v>
          </cell>
          <cell r="O9" t="str">
            <v>ㄝㆷ</v>
          </cell>
          <cell r="P9" t="str">
            <v>ay</v>
          </cell>
          <cell r="Q9" t="str">
            <v>ăyh</v>
          </cell>
          <cell r="R9" t="str">
            <v>彙音【嘉】韻母為：e</v>
          </cell>
        </row>
        <row r="10">
          <cell r="B10">
            <v>6</v>
          </cell>
          <cell r="C10" t="str">
            <v>干</v>
          </cell>
          <cell r="D10" t="str">
            <v>an</v>
          </cell>
          <cell r="E10" t="str">
            <v>at</v>
          </cell>
          <cell r="F10" t="str">
            <v>an</v>
          </cell>
          <cell r="G10" t="str">
            <v>at̚</v>
          </cell>
          <cell r="H10" t="str">
            <v>an</v>
          </cell>
          <cell r="I10" t="str">
            <v>at</v>
          </cell>
          <cell r="J10" t="str">
            <v>an</v>
          </cell>
          <cell r="K10" t="str">
            <v>ap</v>
          </cell>
          <cell r="L10" t="str">
            <v>an</v>
          </cell>
          <cell r="M10" t="str">
            <v>at</v>
          </cell>
          <cell r="N10" t="str">
            <v>ㄢ</v>
          </cell>
          <cell r="O10" t="str">
            <v>ㄚㆵ</v>
          </cell>
          <cell r="P10" t="str">
            <v>an</v>
          </cell>
          <cell r="Q10" t="str">
            <v>at</v>
          </cell>
        </row>
        <row r="11">
          <cell r="B11">
            <v>7</v>
          </cell>
          <cell r="C11" t="str">
            <v>公</v>
          </cell>
          <cell r="D11" t="str">
            <v>ong</v>
          </cell>
          <cell r="E11" t="str">
            <v>ok</v>
          </cell>
          <cell r="F11" t="str">
            <v>ɔŋ</v>
          </cell>
          <cell r="G11" t="str">
            <v>ɔk̚</v>
          </cell>
          <cell r="H11" t="str">
            <v>ong</v>
          </cell>
          <cell r="I11" t="str">
            <v>ok</v>
          </cell>
          <cell r="J11" t="str">
            <v>ong</v>
          </cell>
          <cell r="K11" t="str">
            <v>ok</v>
          </cell>
          <cell r="L11" t="str">
            <v>ong</v>
          </cell>
          <cell r="M11" t="str">
            <v>ok</v>
          </cell>
          <cell r="N11" t="str">
            <v>ㆲ</v>
          </cell>
          <cell r="O11" t="str">
            <v>ㆦㆻ</v>
          </cell>
          <cell r="P11" t="str">
            <v>ong</v>
          </cell>
          <cell r="Q11" t="str">
            <v>ok</v>
          </cell>
        </row>
        <row r="12">
          <cell r="B12">
            <v>8</v>
          </cell>
          <cell r="C12" t="str">
            <v>乖</v>
          </cell>
          <cell r="D12" t="str">
            <v>oai</v>
          </cell>
          <cell r="E12" t="str">
            <v>oaih</v>
          </cell>
          <cell r="F12" t="str">
            <v>uai</v>
          </cell>
          <cell r="G12" t="str">
            <v>uai?</v>
          </cell>
          <cell r="H12" t="str">
            <v>oai</v>
          </cell>
          <cell r="I12" t="str">
            <v>oaih</v>
          </cell>
          <cell r="J12" t="str">
            <v>uai</v>
          </cell>
          <cell r="K12" t="str">
            <v>uaih</v>
          </cell>
          <cell r="L12" t="str">
            <v>uai</v>
          </cell>
          <cell r="M12" t="str">
            <v>uaih</v>
          </cell>
          <cell r="N12" t="str">
            <v>ㄨㄞ</v>
          </cell>
          <cell r="O12" t="str">
            <v>ㄨㄞㆷ</v>
          </cell>
          <cell r="P12" t="str">
            <v>wae</v>
          </cell>
          <cell r="Q12" t="str">
            <v>waĕh</v>
          </cell>
        </row>
        <row r="13">
          <cell r="B13">
            <v>9</v>
          </cell>
          <cell r="C13" t="str">
            <v>經</v>
          </cell>
          <cell r="D13" t="str">
            <v>eng</v>
          </cell>
          <cell r="E13" t="str">
            <v>ek</v>
          </cell>
          <cell r="F13" t="str">
            <v>ɪŋ</v>
          </cell>
          <cell r="G13" t="str">
            <v>ik̚</v>
          </cell>
          <cell r="H13" t="str">
            <v>eng</v>
          </cell>
          <cell r="I13" t="str">
            <v>ek</v>
          </cell>
          <cell r="J13" t="str">
            <v>ing</v>
          </cell>
          <cell r="K13" t="str">
            <v>ik</v>
          </cell>
          <cell r="L13" t="str">
            <v>ing</v>
          </cell>
          <cell r="M13" t="str">
            <v>ik</v>
          </cell>
          <cell r="N13" t="str">
            <v>ㄧㄥ</v>
          </cell>
          <cell r="O13" t="str">
            <v>ㄧㆻ</v>
          </cell>
          <cell r="P13" t="str">
            <v>eng</v>
          </cell>
          <cell r="Q13" t="str">
            <v>ek</v>
          </cell>
        </row>
        <row r="14">
          <cell r="B14">
            <v>10</v>
          </cell>
          <cell r="C14" t="str">
            <v>觀</v>
          </cell>
          <cell r="D14" t="str">
            <v>oan</v>
          </cell>
          <cell r="E14" t="str">
            <v>oat</v>
          </cell>
          <cell r="F14" t="str">
            <v>uan</v>
          </cell>
          <cell r="G14" t="str">
            <v>uat̚</v>
          </cell>
          <cell r="H14" t="str">
            <v>oan</v>
          </cell>
          <cell r="I14" t="str">
            <v>oat</v>
          </cell>
          <cell r="J14" t="str">
            <v>uan</v>
          </cell>
          <cell r="K14" t="str">
            <v>uat</v>
          </cell>
          <cell r="L14" t="str">
            <v>uan</v>
          </cell>
          <cell r="M14" t="str">
            <v>uat</v>
          </cell>
          <cell r="N14" t="str">
            <v>ㄨㄢ</v>
          </cell>
          <cell r="O14" t="str">
            <v>ㄨㄚㆵ</v>
          </cell>
          <cell r="P14" t="str">
            <v>wan</v>
          </cell>
          <cell r="Q14" t="str">
            <v>wat</v>
          </cell>
        </row>
        <row r="15">
          <cell r="B15">
            <v>11</v>
          </cell>
          <cell r="C15" t="str">
            <v>沽</v>
          </cell>
          <cell r="D15" t="str">
            <v>oo</v>
          </cell>
          <cell r="E15" t="str">
            <v>ooh</v>
          </cell>
          <cell r="F15" t="str">
            <v>ɔ</v>
          </cell>
          <cell r="G15" t="str">
            <v>ɔu?</v>
          </cell>
          <cell r="H15" t="str">
            <v>o͘</v>
          </cell>
          <cell r="I15" t="str">
            <v>o͘h</v>
          </cell>
          <cell r="J15" t="str">
            <v>oo</v>
          </cell>
          <cell r="K15" t="str">
            <v>ooh</v>
          </cell>
          <cell r="L15" t="str">
            <v>oo</v>
          </cell>
          <cell r="M15" t="str">
            <v>ooh</v>
          </cell>
          <cell r="N15" t="str">
            <v>ㆦ</v>
          </cell>
          <cell r="O15" t="str">
            <v>ㆦㆷ</v>
          </cell>
          <cell r="P15" t="str">
            <v>oe</v>
          </cell>
          <cell r="R15" t="str">
            <v>白話字的/ɔ/ [o͘] 有時寫成[ou]，因為[o͘]右上角的那點不易見。台羅 oo = ou</v>
          </cell>
        </row>
        <row r="16">
          <cell r="B16">
            <v>12</v>
          </cell>
          <cell r="C16" t="str">
            <v>嬌</v>
          </cell>
          <cell r="D16" t="str">
            <v>iau</v>
          </cell>
          <cell r="E16" t="str">
            <v>iauh</v>
          </cell>
          <cell r="F16" t="str">
            <v>iaʊ</v>
          </cell>
          <cell r="G16" t="str">
            <v>iau?</v>
          </cell>
          <cell r="H16" t="str">
            <v>iau</v>
          </cell>
          <cell r="I16" t="str">
            <v>iauh</v>
          </cell>
          <cell r="J16" t="str">
            <v>iau</v>
          </cell>
          <cell r="K16" t="str">
            <v>iauh</v>
          </cell>
          <cell r="L16" t="str">
            <v>iao</v>
          </cell>
          <cell r="M16" t="str">
            <v>iaoh</v>
          </cell>
          <cell r="N16" t="str">
            <v>ㄧㄠ</v>
          </cell>
          <cell r="O16" t="str">
            <v>ㄧㄠㆷ</v>
          </cell>
          <cell r="P16" t="str">
            <v>eaou</v>
          </cell>
          <cell r="Q16" t="str">
            <v>eaoŭh</v>
          </cell>
        </row>
        <row r="17">
          <cell r="B17">
            <v>13</v>
          </cell>
          <cell r="C17" t="str">
            <v>稽</v>
          </cell>
          <cell r="D17" t="str">
            <v>ei</v>
          </cell>
          <cell r="E17" t="str">
            <v>eih</v>
          </cell>
          <cell r="F17" t="str">
            <v>ei</v>
          </cell>
          <cell r="G17" t="str">
            <v>ei?</v>
          </cell>
          <cell r="H17" t="str">
            <v>ei</v>
          </cell>
          <cell r="I17" t="str">
            <v>eih</v>
          </cell>
          <cell r="J17" t="str">
            <v>e</v>
          </cell>
          <cell r="K17" t="str">
            <v>eh</v>
          </cell>
          <cell r="L17" t="str">
            <v>e</v>
          </cell>
          <cell r="M17" t="str">
            <v>eh</v>
          </cell>
          <cell r="N17" t="str">
            <v>ㄟ</v>
          </cell>
          <cell r="O17" t="str">
            <v>ㄟㆷ</v>
          </cell>
          <cell r="P17" t="str">
            <v>ey</v>
          </cell>
          <cell r="R17" t="str">
            <v>啼：【雅俗通】Thei2 (他稽下平）；【台羅】The5</v>
          </cell>
        </row>
        <row r="18">
          <cell r="B18">
            <v>14</v>
          </cell>
          <cell r="C18" t="str">
            <v>恭</v>
          </cell>
          <cell r="D18" t="str">
            <v>iong</v>
          </cell>
          <cell r="E18" t="str">
            <v>iok</v>
          </cell>
          <cell r="F18" t="str">
            <v>iɔŋ</v>
          </cell>
          <cell r="G18" t="str">
            <v>iɔk̚</v>
          </cell>
          <cell r="H18" t="str">
            <v>iong</v>
          </cell>
          <cell r="I18" t="str">
            <v>iok</v>
          </cell>
          <cell r="J18" t="str">
            <v>iong</v>
          </cell>
          <cell r="K18" t="str">
            <v>iok</v>
          </cell>
          <cell r="L18" t="str">
            <v>iong</v>
          </cell>
          <cell r="M18" t="str">
            <v>iok</v>
          </cell>
          <cell r="N18" t="str">
            <v>ㄧㆲ</v>
          </cell>
          <cell r="O18" t="str">
            <v>ㄧㆦㆻ</v>
          </cell>
          <cell r="P18" t="str">
            <v>ëung</v>
          </cell>
          <cell r="Q18" t="str">
            <v>ëuk</v>
          </cell>
        </row>
        <row r="19">
          <cell r="B19">
            <v>15</v>
          </cell>
          <cell r="C19" t="str">
            <v>高</v>
          </cell>
          <cell r="D19" t="str">
            <v>o</v>
          </cell>
          <cell r="E19" t="str">
            <v>oh</v>
          </cell>
          <cell r="F19" t="str">
            <v>o</v>
          </cell>
          <cell r="G19" t="str">
            <v>ə?</v>
          </cell>
          <cell r="H19" t="str">
            <v>o</v>
          </cell>
          <cell r="I19" t="str">
            <v>oh</v>
          </cell>
          <cell r="J19" t="str">
            <v>o</v>
          </cell>
          <cell r="K19" t="str">
            <v>oh</v>
          </cell>
          <cell r="L19" t="str">
            <v>o</v>
          </cell>
          <cell r="M19" t="str">
            <v>oh</v>
          </cell>
          <cell r="N19" t="str">
            <v>ㄜ</v>
          </cell>
          <cell r="O19" t="str">
            <v>ㄜㆷ</v>
          </cell>
          <cell r="P19" t="str">
            <v>o</v>
          </cell>
          <cell r="Q19" t="str">
            <v>ŏh</v>
          </cell>
        </row>
        <row r="20">
          <cell r="B20">
            <v>16</v>
          </cell>
          <cell r="C20" t="str">
            <v>皆</v>
          </cell>
          <cell r="D20" t="str">
            <v>ai</v>
          </cell>
          <cell r="E20" t="str">
            <v>aih</v>
          </cell>
          <cell r="F20" t="str">
            <v>ai</v>
          </cell>
          <cell r="G20" t="str">
            <v>ai?</v>
          </cell>
          <cell r="H20" t="str">
            <v>ai</v>
          </cell>
          <cell r="I20" t="str">
            <v>aih</v>
          </cell>
          <cell r="J20" t="str">
            <v>ai</v>
          </cell>
          <cell r="K20" t="str">
            <v>aih</v>
          </cell>
          <cell r="L20" t="str">
            <v>ai</v>
          </cell>
          <cell r="M20" t="str">
            <v>aih</v>
          </cell>
          <cell r="N20" t="str">
            <v>ㄞ</v>
          </cell>
          <cell r="O20" t="str">
            <v>ㄞㆷ</v>
          </cell>
          <cell r="P20" t="str">
            <v>ae</v>
          </cell>
        </row>
        <row r="21">
          <cell r="B21">
            <v>17</v>
          </cell>
          <cell r="C21" t="str">
            <v>巾</v>
          </cell>
          <cell r="D21" t="str">
            <v>in</v>
          </cell>
          <cell r="E21" t="str">
            <v>it</v>
          </cell>
          <cell r="F21" t="str">
            <v>in</v>
          </cell>
          <cell r="G21" t="str">
            <v>it̚</v>
          </cell>
          <cell r="H21" t="str">
            <v>in</v>
          </cell>
          <cell r="I21" t="str">
            <v>it</v>
          </cell>
          <cell r="J21" t="str">
            <v>in</v>
          </cell>
          <cell r="K21" t="str">
            <v>it</v>
          </cell>
          <cell r="L21" t="str">
            <v>in</v>
          </cell>
          <cell r="M21" t="str">
            <v>it</v>
          </cell>
          <cell r="N21" t="str">
            <v>ㄧㄣ</v>
          </cell>
          <cell r="O21" t="str">
            <v>ㄧㆵ</v>
          </cell>
          <cell r="P21" t="str">
            <v>in</v>
          </cell>
          <cell r="Q21" t="str">
            <v>it</v>
          </cell>
        </row>
        <row r="22">
          <cell r="B22">
            <v>18</v>
          </cell>
          <cell r="C22" t="str">
            <v>姜</v>
          </cell>
          <cell r="D22" t="str">
            <v>iang</v>
          </cell>
          <cell r="E22" t="str">
            <v>iak</v>
          </cell>
          <cell r="F22" t="str">
            <v>iaŋ</v>
          </cell>
          <cell r="G22" t="str">
            <v>iak̚</v>
          </cell>
          <cell r="H22" t="str">
            <v>iang</v>
          </cell>
          <cell r="I22" t="str">
            <v>iak</v>
          </cell>
          <cell r="J22" t="str">
            <v>iang</v>
          </cell>
          <cell r="K22" t="str">
            <v>iak</v>
          </cell>
          <cell r="L22" t="str">
            <v>iang</v>
          </cell>
          <cell r="M22" t="str">
            <v>iak</v>
          </cell>
          <cell r="N22" t="str">
            <v>ㄧㄤ</v>
          </cell>
          <cell r="O22" t="str">
            <v>ㄧㄚㆻ</v>
          </cell>
          <cell r="P22" t="str">
            <v>ëang</v>
          </cell>
          <cell r="Q22" t="str">
            <v>ëak</v>
          </cell>
        </row>
        <row r="23">
          <cell r="B23">
            <v>19</v>
          </cell>
          <cell r="C23" t="str">
            <v>甘</v>
          </cell>
          <cell r="D23" t="str">
            <v>am</v>
          </cell>
          <cell r="E23" t="str">
            <v>ap</v>
          </cell>
          <cell r="F23" t="str">
            <v>am</v>
          </cell>
          <cell r="G23" t="str">
            <v>ap̚</v>
          </cell>
          <cell r="H23" t="str">
            <v>am</v>
          </cell>
          <cell r="I23" t="str">
            <v>ap</v>
          </cell>
          <cell r="J23" t="str">
            <v>am</v>
          </cell>
          <cell r="K23" t="str">
            <v>ap</v>
          </cell>
          <cell r="L23" t="str">
            <v>am</v>
          </cell>
          <cell r="M23" t="str">
            <v>ap</v>
          </cell>
          <cell r="N23" t="str">
            <v>ㆰ</v>
          </cell>
          <cell r="O23" t="str">
            <v>ㄚㆴ</v>
          </cell>
          <cell r="P23" t="str">
            <v>am</v>
          </cell>
          <cell r="Q23" t="str">
            <v>ap</v>
          </cell>
        </row>
        <row r="24">
          <cell r="B24">
            <v>20</v>
          </cell>
          <cell r="C24" t="str">
            <v>瓜</v>
          </cell>
          <cell r="D24" t="str">
            <v>oa</v>
          </cell>
          <cell r="E24" t="str">
            <v>oah</v>
          </cell>
          <cell r="F24" t="str">
            <v>ua</v>
          </cell>
          <cell r="G24" t="str">
            <v>ua?</v>
          </cell>
          <cell r="H24" t="str">
            <v>oa</v>
          </cell>
          <cell r="I24" t="str">
            <v>oah</v>
          </cell>
          <cell r="J24" t="str">
            <v>ua</v>
          </cell>
          <cell r="K24" t="str">
            <v>uah</v>
          </cell>
          <cell r="L24" t="str">
            <v>ua</v>
          </cell>
          <cell r="M24" t="str">
            <v>uah</v>
          </cell>
          <cell r="N24" t="str">
            <v>ㄨㄚ</v>
          </cell>
          <cell r="O24" t="str">
            <v>ㄨㄚㆷ</v>
          </cell>
          <cell r="P24" t="str">
            <v>wa</v>
          </cell>
          <cell r="Q24" t="str">
            <v>wăh</v>
          </cell>
        </row>
        <row r="25">
          <cell r="B25">
            <v>21</v>
          </cell>
          <cell r="C25" t="str">
            <v>江</v>
          </cell>
          <cell r="D25" t="str">
            <v>ang</v>
          </cell>
          <cell r="E25" t="str">
            <v>ak</v>
          </cell>
          <cell r="F25" t="str">
            <v>aŋ</v>
          </cell>
          <cell r="G25" t="str">
            <v>ak̚</v>
          </cell>
          <cell r="H25" t="str">
            <v>ang</v>
          </cell>
          <cell r="I25" t="str">
            <v>ak</v>
          </cell>
          <cell r="J25" t="str">
            <v>ang</v>
          </cell>
          <cell r="K25" t="str">
            <v>ak</v>
          </cell>
          <cell r="L25" t="str">
            <v>ang</v>
          </cell>
          <cell r="M25" t="str">
            <v>ak</v>
          </cell>
          <cell r="N25" t="str">
            <v>ㄤ</v>
          </cell>
          <cell r="O25" t="str">
            <v>ㄚㆻ</v>
          </cell>
          <cell r="P25" t="str">
            <v>ang</v>
          </cell>
          <cell r="Q25" t="str">
            <v>ak</v>
          </cell>
        </row>
        <row r="26">
          <cell r="B26">
            <v>22</v>
          </cell>
          <cell r="C26" t="str">
            <v>兼</v>
          </cell>
          <cell r="D26" t="str">
            <v>iam</v>
          </cell>
          <cell r="E26" t="str">
            <v>iap</v>
          </cell>
          <cell r="F26" t="str">
            <v>iam</v>
          </cell>
          <cell r="G26" t="str">
            <v>iap̚</v>
          </cell>
          <cell r="H26" t="str">
            <v>iam</v>
          </cell>
          <cell r="I26" t="str">
            <v>iap</v>
          </cell>
          <cell r="J26" t="str">
            <v>iam</v>
          </cell>
          <cell r="K26" t="str">
            <v>iap</v>
          </cell>
          <cell r="L26" t="str">
            <v>iam</v>
          </cell>
          <cell r="M26" t="str">
            <v>iap</v>
          </cell>
          <cell r="N26" t="str">
            <v>ㄧㆰ</v>
          </cell>
          <cell r="O26" t="str">
            <v>ㄧㄚㆴ</v>
          </cell>
          <cell r="P26" t="str">
            <v>ëem</v>
          </cell>
          <cell r="Q26" t="str">
            <v>ëep</v>
          </cell>
        </row>
        <row r="27">
          <cell r="B27">
            <v>23</v>
          </cell>
          <cell r="C27" t="str">
            <v>交</v>
          </cell>
          <cell r="D27" t="str">
            <v>au</v>
          </cell>
          <cell r="E27" t="str">
            <v>auh</v>
          </cell>
          <cell r="F27" t="str">
            <v>aʊ</v>
          </cell>
          <cell r="G27" t="str">
            <v>au?</v>
          </cell>
          <cell r="H27" t="str">
            <v>au</v>
          </cell>
          <cell r="I27" t="str">
            <v>auh</v>
          </cell>
          <cell r="J27" t="str">
            <v>au</v>
          </cell>
          <cell r="K27" t="str">
            <v>auh</v>
          </cell>
          <cell r="L27" t="str">
            <v>ao</v>
          </cell>
          <cell r="M27" t="str">
            <v>aoh</v>
          </cell>
          <cell r="N27" t="str">
            <v>ㄠ</v>
          </cell>
          <cell r="O27" t="str">
            <v>ㄠㆷ</v>
          </cell>
          <cell r="P27" t="str">
            <v>aou</v>
          </cell>
          <cell r="Q27" t="str">
            <v>aoŭh</v>
          </cell>
          <cell r="R27" t="str">
            <v>aʊ</v>
          </cell>
        </row>
        <row r="28">
          <cell r="B28">
            <v>24</v>
          </cell>
          <cell r="C28" t="str">
            <v>迦</v>
          </cell>
          <cell r="D28" t="str">
            <v>ia</v>
          </cell>
          <cell r="E28" t="str">
            <v>iah</v>
          </cell>
          <cell r="F28" t="str">
            <v>ia</v>
          </cell>
          <cell r="G28" t="str">
            <v>ia?</v>
          </cell>
          <cell r="H28" t="str">
            <v>ia</v>
          </cell>
          <cell r="I28" t="str">
            <v>iah</v>
          </cell>
          <cell r="J28" t="str">
            <v>ia</v>
          </cell>
          <cell r="K28" t="str">
            <v>iah</v>
          </cell>
          <cell r="L28" t="str">
            <v>ia</v>
          </cell>
          <cell r="M28" t="str">
            <v>iah</v>
          </cell>
          <cell r="N28" t="str">
            <v>ㄧㄚ</v>
          </cell>
          <cell r="O28" t="str">
            <v>ㄧㄚㆷ</v>
          </cell>
          <cell r="P28" t="str">
            <v>ëa</v>
          </cell>
          <cell r="Q28" t="str">
            <v>ëăh</v>
          </cell>
          <cell r="R28" t="str">
            <v>【若】：梵文譯音用字，僅限翻念外來語特殊用法。例：般若波羅密多。</v>
          </cell>
        </row>
        <row r="29">
          <cell r="B29">
            <v>25</v>
          </cell>
          <cell r="C29" t="str">
            <v>檜</v>
          </cell>
          <cell r="D29" t="str">
            <v>oe</v>
          </cell>
          <cell r="E29" t="str">
            <v>oeh</v>
          </cell>
          <cell r="F29" t="str">
            <v>ue</v>
          </cell>
          <cell r="G29" t="str">
            <v>ue?</v>
          </cell>
          <cell r="H29" t="str">
            <v>oe</v>
          </cell>
          <cell r="I29" t="str">
            <v>oeh</v>
          </cell>
          <cell r="J29" t="str">
            <v>ue</v>
          </cell>
          <cell r="K29" t="str">
            <v>ueh</v>
          </cell>
          <cell r="L29" t="str">
            <v>ue</v>
          </cell>
          <cell r="M29" t="str">
            <v>ueh</v>
          </cell>
          <cell r="N29" t="str">
            <v>ㄨㆤ</v>
          </cell>
          <cell r="O29" t="str">
            <v>ㄨㆤㆷ</v>
          </cell>
          <cell r="P29" t="str">
            <v>öey</v>
          </cell>
          <cell r="Q29" t="str">
            <v>öĕyh</v>
          </cell>
        </row>
        <row r="30">
          <cell r="B30">
            <v>26</v>
          </cell>
          <cell r="C30" t="str">
            <v>監</v>
          </cell>
          <cell r="D30" t="str">
            <v>ann</v>
          </cell>
          <cell r="E30" t="str">
            <v>ahnn</v>
          </cell>
          <cell r="F30" t="str">
            <v>ã</v>
          </cell>
          <cell r="G30" t="str">
            <v>ã?</v>
          </cell>
          <cell r="H30" t="str">
            <v>aⁿ</v>
          </cell>
          <cell r="I30" t="str">
            <v>ahⁿ</v>
          </cell>
          <cell r="J30" t="str">
            <v>ann</v>
          </cell>
          <cell r="K30" t="str">
            <v>annh</v>
          </cell>
          <cell r="L30" t="str">
            <v>na</v>
          </cell>
          <cell r="M30" t="str">
            <v>nah</v>
          </cell>
          <cell r="N30" t="str">
            <v>ㆩ</v>
          </cell>
          <cell r="O30" t="str">
            <v>ㆩㆷ</v>
          </cell>
          <cell r="P30" t="str">
            <v>ⁿa</v>
          </cell>
          <cell r="Q30" t="str">
            <v>ⁿăh</v>
          </cell>
          <cell r="R30" t="str">
            <v>Lann = Na</v>
          </cell>
        </row>
        <row r="31">
          <cell r="B31">
            <v>27</v>
          </cell>
          <cell r="C31" t="str">
            <v>艍</v>
          </cell>
          <cell r="D31" t="str">
            <v>u</v>
          </cell>
          <cell r="E31" t="str">
            <v>uh</v>
          </cell>
          <cell r="F31" t="str">
            <v>u</v>
          </cell>
          <cell r="G31" t="str">
            <v>u?</v>
          </cell>
          <cell r="H31" t="str">
            <v>u</v>
          </cell>
          <cell r="I31" t="str">
            <v>uh</v>
          </cell>
          <cell r="J31" t="str">
            <v>u</v>
          </cell>
          <cell r="K31" t="str">
            <v>uh</v>
          </cell>
          <cell r="L31" t="str">
            <v>u</v>
          </cell>
          <cell r="M31" t="str">
            <v>uh</v>
          </cell>
          <cell r="N31" t="str">
            <v>ㄨ</v>
          </cell>
          <cell r="O31" t="str">
            <v>ㄨㆷ</v>
          </cell>
          <cell r="P31" t="str">
            <v>oo</v>
          </cell>
          <cell r="Q31" t="str">
            <v>oŏh</v>
          </cell>
          <cell r="R31" t="str">
            <v>海腔</v>
          </cell>
        </row>
        <row r="32">
          <cell r="B32">
            <v>28</v>
          </cell>
          <cell r="C32" t="str">
            <v>膠</v>
          </cell>
          <cell r="D32" t="str">
            <v>a</v>
          </cell>
          <cell r="E32" t="str">
            <v>ah</v>
          </cell>
          <cell r="F32" t="str">
            <v>a</v>
          </cell>
          <cell r="G32" t="str">
            <v>a?</v>
          </cell>
          <cell r="H32" t="str">
            <v>a</v>
          </cell>
          <cell r="I32" t="str">
            <v>ah</v>
          </cell>
          <cell r="J32" t="str">
            <v>a</v>
          </cell>
          <cell r="K32" t="str">
            <v>ah</v>
          </cell>
          <cell r="L32" t="str">
            <v>a</v>
          </cell>
          <cell r="M32" t="str">
            <v>ah</v>
          </cell>
          <cell r="N32" t="str">
            <v>ㄚ</v>
          </cell>
          <cell r="O32" t="str">
            <v>ㄚㆷ</v>
          </cell>
          <cell r="P32" t="str">
            <v>a</v>
          </cell>
          <cell r="Q32" t="str">
            <v>ăh</v>
          </cell>
        </row>
        <row r="33">
          <cell r="B33">
            <v>29</v>
          </cell>
          <cell r="C33" t="str">
            <v>居</v>
          </cell>
          <cell r="D33" t="str">
            <v>i</v>
          </cell>
          <cell r="E33" t="str">
            <v>ih</v>
          </cell>
          <cell r="F33" t="str">
            <v>i</v>
          </cell>
          <cell r="G33" t="str">
            <v>i?</v>
          </cell>
          <cell r="H33" t="str">
            <v>i</v>
          </cell>
          <cell r="I33" t="str">
            <v>ih</v>
          </cell>
          <cell r="J33" t="str">
            <v>i</v>
          </cell>
          <cell r="K33" t="str">
            <v>ih</v>
          </cell>
          <cell r="L33" t="str">
            <v>i</v>
          </cell>
          <cell r="M33" t="str">
            <v>ih</v>
          </cell>
          <cell r="N33" t="str">
            <v>ㄧ</v>
          </cell>
          <cell r="O33" t="str">
            <v>ㄧㆷ</v>
          </cell>
          <cell r="P33" t="str">
            <v>e</v>
          </cell>
          <cell r="Q33" t="str">
            <v>eĕh</v>
          </cell>
        </row>
        <row r="34">
          <cell r="B34">
            <v>30</v>
          </cell>
          <cell r="C34" t="str">
            <v>丩</v>
          </cell>
          <cell r="D34" t="str">
            <v>iu</v>
          </cell>
          <cell r="E34" t="str">
            <v>iuh</v>
          </cell>
          <cell r="F34" t="str">
            <v>iu</v>
          </cell>
          <cell r="G34" t="str">
            <v>iu?</v>
          </cell>
          <cell r="H34" t="str">
            <v>iu</v>
          </cell>
          <cell r="I34" t="str">
            <v>iuh</v>
          </cell>
          <cell r="J34" t="str">
            <v>iu</v>
          </cell>
          <cell r="K34" t="str">
            <v>iuh</v>
          </cell>
          <cell r="L34" t="str">
            <v>iu</v>
          </cell>
          <cell r="M34" t="str">
            <v>iuh</v>
          </cell>
          <cell r="N34" t="str">
            <v>ㄧㄨ</v>
          </cell>
          <cell r="O34" t="str">
            <v>ㄧㄨㆷ</v>
          </cell>
          <cell r="P34" t="str">
            <v>ew</v>
          </cell>
        </row>
        <row r="35">
          <cell r="B35">
            <v>31</v>
          </cell>
          <cell r="C35" t="str">
            <v>更</v>
          </cell>
          <cell r="D35" t="str">
            <v>enn</v>
          </cell>
          <cell r="E35" t="str">
            <v>ehnn</v>
          </cell>
          <cell r="F35" t="str">
            <v>ẽ</v>
          </cell>
          <cell r="G35" t="str">
            <v>ẽ?</v>
          </cell>
          <cell r="H35" t="str">
            <v>eⁿ</v>
          </cell>
          <cell r="I35" t="str">
            <v>ehⁿ</v>
          </cell>
          <cell r="J35" t="str">
            <v>enn</v>
          </cell>
          <cell r="K35" t="str">
            <v>ennh</v>
          </cell>
          <cell r="L35" t="str">
            <v>ne</v>
          </cell>
          <cell r="M35" t="str">
            <v>neh</v>
          </cell>
          <cell r="N35" t="str">
            <v>ㆥ</v>
          </cell>
          <cell r="O35" t="str">
            <v>ㆥㆷ</v>
          </cell>
          <cell r="P35" t="str">
            <v>aiⁿᶢ</v>
          </cell>
          <cell r="Q35" t="str">
            <v>aĭⁿᶢh</v>
          </cell>
          <cell r="R35" t="str">
            <v>箏</v>
          </cell>
        </row>
        <row r="36">
          <cell r="B36">
            <v>32</v>
          </cell>
          <cell r="C36" t="str">
            <v>褌</v>
          </cell>
          <cell r="D36" t="str">
            <v>uinn</v>
          </cell>
          <cell r="E36" t="str">
            <v>uinnh</v>
          </cell>
          <cell r="F36" t="str">
            <v>ũĩ</v>
          </cell>
          <cell r="G36" t="str">
            <v>ũĩ?</v>
          </cell>
          <cell r="H36" t="str">
            <v>uiⁿ</v>
          </cell>
          <cell r="I36" t="str">
            <v>uihⁿ</v>
          </cell>
          <cell r="J36" t="str">
            <v>uinn</v>
          </cell>
          <cell r="K36" t="str">
            <v>uinnh</v>
          </cell>
          <cell r="L36" t="str">
            <v>nui</v>
          </cell>
          <cell r="M36" t="str">
            <v>nuih</v>
          </cell>
          <cell r="N36" t="str">
            <v>ㄨㆪ</v>
          </cell>
          <cell r="O36" t="str">
            <v>ㄨㆪㆷ</v>
          </cell>
          <cell r="P36" t="str">
            <v>wuiⁿᶢ</v>
          </cell>
          <cell r="R36" t="str">
            <v>【彙音】褌：-ng</v>
          </cell>
        </row>
        <row r="37">
          <cell r="B37">
            <v>33</v>
          </cell>
          <cell r="C37" t="str">
            <v>茄</v>
          </cell>
          <cell r="D37" t="str">
            <v>io</v>
          </cell>
          <cell r="E37" t="str">
            <v>ioh</v>
          </cell>
          <cell r="F37" t="str">
            <v>io</v>
          </cell>
          <cell r="G37" t="str">
            <v>iə?</v>
          </cell>
          <cell r="H37" t="str">
            <v>io</v>
          </cell>
          <cell r="I37" t="str">
            <v>ioh</v>
          </cell>
          <cell r="J37" t="str">
            <v>io</v>
          </cell>
          <cell r="K37" t="str">
            <v>ioh</v>
          </cell>
          <cell r="L37" t="str">
            <v>io</v>
          </cell>
          <cell r="M37" t="str">
            <v>ioh</v>
          </cell>
          <cell r="N37" t="str">
            <v>ㄧㄜ</v>
          </cell>
          <cell r="O37" t="str">
            <v>ㄧㄜㆷ</v>
          </cell>
          <cell r="P37" t="str">
            <v>ëo</v>
          </cell>
          <cell r="Q37" t="str">
            <v>ëŏh</v>
          </cell>
        </row>
        <row r="38">
          <cell r="B38">
            <v>34</v>
          </cell>
          <cell r="C38" t="str">
            <v>梔</v>
          </cell>
          <cell r="D38" t="str">
            <v>inn</v>
          </cell>
          <cell r="E38" t="str">
            <v>ihnn</v>
          </cell>
          <cell r="F38" t="str">
            <v>ĩ</v>
          </cell>
          <cell r="G38" t="str">
            <v>ĩ?</v>
          </cell>
          <cell r="H38" t="str">
            <v>iⁿ</v>
          </cell>
          <cell r="I38" t="str">
            <v>iⁿh</v>
          </cell>
          <cell r="J38" t="str">
            <v>inn</v>
          </cell>
          <cell r="K38" t="str">
            <v>innh</v>
          </cell>
          <cell r="L38" t="str">
            <v>ni</v>
          </cell>
          <cell r="M38" t="str">
            <v>nih</v>
          </cell>
          <cell r="N38" t="str">
            <v>ㆪ</v>
          </cell>
          <cell r="O38" t="str">
            <v>ㆪ</v>
          </cell>
          <cell r="P38" t="str">
            <v>eeⁿᶢ</v>
          </cell>
          <cell r="Q38" t="str">
            <v>eĕⁿᶢh</v>
          </cell>
        </row>
        <row r="39">
          <cell r="B39">
            <v>35</v>
          </cell>
          <cell r="C39" t="str">
            <v>薑</v>
          </cell>
          <cell r="D39" t="str">
            <v>ionn</v>
          </cell>
          <cell r="E39" t="str">
            <v>ionnh</v>
          </cell>
          <cell r="F39" t="str">
            <v>ĩɔ̃</v>
          </cell>
          <cell r="G39" t="str">
            <v>ĩɔ̃?</v>
          </cell>
          <cell r="H39" t="str">
            <v>ioⁿ</v>
          </cell>
          <cell r="I39" t="str">
            <v>iohⁿ</v>
          </cell>
          <cell r="J39" t="str">
            <v>ionn</v>
          </cell>
          <cell r="K39" t="str">
            <v>ionnh</v>
          </cell>
          <cell r="L39" t="str">
            <v>nioo</v>
          </cell>
          <cell r="M39" t="str">
            <v>niooh</v>
          </cell>
          <cell r="N39" t="str">
            <v>ㄧㆧ</v>
          </cell>
          <cell r="O39" t="str">
            <v>ㄧㆧㆷ</v>
          </cell>
          <cell r="P39" t="str">
            <v>ëoⁿᶢ</v>
          </cell>
          <cell r="R39" t="str">
            <v>彙音的薑轉到牛</v>
          </cell>
        </row>
        <row r="40">
          <cell r="B40">
            <v>36</v>
          </cell>
          <cell r="C40" t="str">
            <v>驚</v>
          </cell>
          <cell r="D40" t="str">
            <v>iann</v>
          </cell>
          <cell r="E40" t="str">
            <v>iannh</v>
          </cell>
          <cell r="F40" t="str">
            <v>ĩã</v>
          </cell>
          <cell r="G40" t="str">
            <v>iãh</v>
          </cell>
          <cell r="H40" t="str">
            <v>iaⁿ</v>
          </cell>
          <cell r="I40" t="str">
            <v>iahⁿ</v>
          </cell>
          <cell r="J40" t="str">
            <v>iann</v>
          </cell>
          <cell r="K40" t="str">
            <v>iannh</v>
          </cell>
          <cell r="L40" t="str">
            <v>nia</v>
          </cell>
          <cell r="M40" t="str">
            <v>niah</v>
          </cell>
          <cell r="N40" t="str">
            <v>ㄧㆩ</v>
          </cell>
          <cell r="O40" t="str">
            <v>ㄧㆩㆷ</v>
          </cell>
          <cell r="P40" t="str">
            <v>ëⁿa</v>
          </cell>
          <cell r="R40" t="str">
            <v>娘： Liann5</v>
          </cell>
        </row>
        <row r="41">
          <cell r="B41">
            <v>37</v>
          </cell>
          <cell r="C41" t="str">
            <v>官</v>
          </cell>
          <cell r="D41" t="str">
            <v>oann</v>
          </cell>
          <cell r="E41" t="str">
            <v>oannh</v>
          </cell>
          <cell r="F41" t="str">
            <v>ũã</v>
          </cell>
          <cell r="G41" t="str">
            <v>ũã?</v>
          </cell>
          <cell r="H41" t="str">
            <v>oaⁿ</v>
          </cell>
          <cell r="I41" t="str">
            <v>oahⁿ</v>
          </cell>
          <cell r="J41" t="str">
            <v>uann</v>
          </cell>
          <cell r="K41" t="str">
            <v>uannh</v>
          </cell>
          <cell r="L41" t="str">
            <v>nua</v>
          </cell>
          <cell r="M41" t="str">
            <v>nuah</v>
          </cell>
          <cell r="N41" t="str">
            <v>ㄨㆩ</v>
          </cell>
          <cell r="O41" t="str">
            <v>ㄨㆩㆷ</v>
          </cell>
          <cell r="P41" t="str">
            <v>wⁿa</v>
          </cell>
        </row>
        <row r="42">
          <cell r="B42">
            <v>38</v>
          </cell>
          <cell r="C42" t="str">
            <v>鋼</v>
          </cell>
          <cell r="D42" t="str">
            <v>ng</v>
          </cell>
          <cell r="E42" t="str">
            <v>ngh</v>
          </cell>
          <cell r="F42" t="str">
            <v>ŋ̍</v>
          </cell>
          <cell r="G42" t="str">
            <v>ŋ̍h</v>
          </cell>
          <cell r="H42" t="str">
            <v>ng</v>
          </cell>
          <cell r="I42" t="str">
            <v>ngh</v>
          </cell>
          <cell r="J42" t="str">
            <v>ng</v>
          </cell>
          <cell r="K42" t="str">
            <v>ngh</v>
          </cell>
          <cell r="L42" t="str">
            <v>ng</v>
          </cell>
          <cell r="M42" t="str">
            <v>ngh</v>
          </cell>
          <cell r="N42" t="str">
            <v>ㆭ</v>
          </cell>
          <cell r="O42" t="str">
            <v>ㆭㆷ</v>
          </cell>
          <cell r="P42" t="str">
            <v>eⁿᶢ</v>
          </cell>
        </row>
        <row r="43">
          <cell r="B43">
            <v>39</v>
          </cell>
          <cell r="C43" t="str">
            <v>伽</v>
          </cell>
          <cell r="D43" t="str">
            <v>e</v>
          </cell>
          <cell r="E43" t="str">
            <v>eh</v>
          </cell>
          <cell r="F43" t="str">
            <v>e</v>
          </cell>
          <cell r="G43" t="str">
            <v>e?</v>
          </cell>
          <cell r="H43" t="str">
            <v>e</v>
          </cell>
          <cell r="I43" t="str">
            <v>eh</v>
          </cell>
          <cell r="J43" t="str">
            <v>e</v>
          </cell>
          <cell r="K43" t="str">
            <v>eh</v>
          </cell>
          <cell r="L43" t="str">
            <v>e</v>
          </cell>
          <cell r="M43" t="str">
            <v>eh</v>
          </cell>
          <cell r="N43" t="str">
            <v>ㆤ</v>
          </cell>
          <cell r="O43" t="str">
            <v>ㆤㆷ</v>
          </cell>
          <cell r="P43" t="str">
            <v>ay</v>
          </cell>
          <cell r="Q43" t="str">
            <v>ăyh</v>
          </cell>
        </row>
        <row r="44">
          <cell r="B44">
            <v>40</v>
          </cell>
          <cell r="C44" t="str">
            <v>閒</v>
          </cell>
          <cell r="D44" t="str">
            <v>ainn</v>
          </cell>
          <cell r="E44" t="str">
            <v>ainnh</v>
          </cell>
          <cell r="F44" t="str">
            <v>ãĩ</v>
          </cell>
          <cell r="G44" t="str">
            <v>ãĩ?</v>
          </cell>
          <cell r="H44" t="str">
            <v>aiⁿ</v>
          </cell>
          <cell r="I44" t="str">
            <v>aihⁿ</v>
          </cell>
          <cell r="J44" t="str">
            <v>ainn</v>
          </cell>
          <cell r="K44" t="str">
            <v>ainnh</v>
          </cell>
          <cell r="L44" t="str">
            <v>nai</v>
          </cell>
          <cell r="M44" t="str">
            <v>naih</v>
          </cell>
          <cell r="N44" t="str">
            <v>ㆮ</v>
          </cell>
          <cell r="O44" t="str">
            <v>ㆮㆷ</v>
          </cell>
          <cell r="P44" t="str">
            <v>aeⁿᶢ</v>
          </cell>
          <cell r="R44" t="str">
            <v>閒：Kainn1，為「同安」音；間：Kainn1</v>
          </cell>
        </row>
        <row r="45">
          <cell r="B45">
            <v>41</v>
          </cell>
          <cell r="C45" t="str">
            <v>姑</v>
          </cell>
          <cell r="D45" t="str">
            <v>onn</v>
          </cell>
          <cell r="E45" t="str">
            <v>onnh</v>
          </cell>
          <cell r="F45" t="str">
            <v>ɔ̃</v>
          </cell>
          <cell r="G45" t="str">
            <v>ɔ̃?</v>
          </cell>
          <cell r="H45" t="str">
            <v>oⁿ</v>
          </cell>
          <cell r="I45" t="str">
            <v>ohⁿ</v>
          </cell>
          <cell r="J45" t="str">
            <v>onn</v>
          </cell>
          <cell r="K45" t="str">
            <v>onnh</v>
          </cell>
          <cell r="L45" t="str">
            <v>noo</v>
          </cell>
          <cell r="M45" t="str">
            <v>nooh</v>
          </cell>
          <cell r="N45" t="str">
            <v>ㆧ</v>
          </cell>
          <cell r="O45" t="str">
            <v>ㆧㆷ</v>
          </cell>
          <cell r="P45" t="str">
            <v>ⁿoe</v>
          </cell>
          <cell r="R45" t="str">
            <v>台羅 oonn = ounn</v>
          </cell>
        </row>
        <row r="46">
          <cell r="B46">
            <v>42</v>
          </cell>
          <cell r="C46" t="str">
            <v>姆</v>
          </cell>
          <cell r="D46" t="str">
            <v>m</v>
          </cell>
          <cell r="E46" t="str">
            <v>mh</v>
          </cell>
          <cell r="F46" t="str">
            <v>m̩</v>
          </cell>
          <cell r="G46" t="str">
            <v>m̩h</v>
          </cell>
          <cell r="H46" t="str">
            <v>m</v>
          </cell>
          <cell r="I46" t="str">
            <v>mh</v>
          </cell>
          <cell r="J46" t="str">
            <v>m</v>
          </cell>
          <cell r="K46" t="str">
            <v>mh</v>
          </cell>
          <cell r="L46" t="str">
            <v>m</v>
          </cell>
          <cell r="M46" t="str">
            <v>mh</v>
          </cell>
          <cell r="N46" t="str">
            <v>ㆬ</v>
          </cell>
          <cell r="O46" t="str">
            <v>ㆬㆷ</v>
          </cell>
          <cell r="P46" t="str">
            <v>uᵐ</v>
          </cell>
        </row>
        <row r="47">
          <cell r="B47">
            <v>43</v>
          </cell>
          <cell r="C47" t="str">
            <v>光</v>
          </cell>
          <cell r="D47" t="str">
            <v>oang</v>
          </cell>
          <cell r="E47" t="str">
            <v>oak</v>
          </cell>
          <cell r="F47" t="str">
            <v>uaŋ</v>
          </cell>
          <cell r="G47" t="str">
            <v>uak̚</v>
          </cell>
          <cell r="H47" t="str">
            <v>oang</v>
          </cell>
          <cell r="I47" t="str">
            <v>oak</v>
          </cell>
          <cell r="J47" t="str">
            <v>uang</v>
          </cell>
          <cell r="K47" t="str">
            <v>uak</v>
          </cell>
          <cell r="L47" t="str">
            <v>uang</v>
          </cell>
          <cell r="M47" t="str">
            <v>uak</v>
          </cell>
          <cell r="N47" t="str">
            <v>ㄨㄤ</v>
          </cell>
          <cell r="O47" t="str">
            <v>ㄨㄚㆻ</v>
          </cell>
          <cell r="P47" t="str">
            <v>wang</v>
          </cell>
          <cell r="Q47" t="str">
            <v>wak</v>
          </cell>
        </row>
        <row r="48">
          <cell r="B48">
            <v>44</v>
          </cell>
          <cell r="C48" t="str">
            <v>閂</v>
          </cell>
          <cell r="D48" t="str">
            <v>oainn</v>
          </cell>
          <cell r="E48" t="str">
            <v>oaihnn</v>
          </cell>
          <cell r="F48" t="str">
            <v>ũãĩ</v>
          </cell>
          <cell r="G48" t="str">
            <v>uãĩ?</v>
          </cell>
          <cell r="H48" t="str">
            <v>oaiⁿ</v>
          </cell>
          <cell r="I48" t="str">
            <v>oaiⁿh</v>
          </cell>
          <cell r="J48" t="str">
            <v>uainn</v>
          </cell>
          <cell r="K48" t="str">
            <v>uainnh</v>
          </cell>
          <cell r="L48" t="str">
            <v>nuai</v>
          </cell>
          <cell r="M48" t="str">
            <v>nuaih</v>
          </cell>
          <cell r="N48" t="str">
            <v>ㄨㆮ</v>
          </cell>
          <cell r="O48" t="str">
            <v>ㄨㆮㆷ</v>
          </cell>
          <cell r="P48" t="str">
            <v>waeⁿᶢ</v>
          </cell>
          <cell r="Q48" t="str">
            <v>waĕⁿᶢh</v>
          </cell>
          <cell r="R48" t="str">
            <v>閂 (Tshuann) : 興事的意思</v>
          </cell>
        </row>
        <row r="49">
          <cell r="B49">
            <v>45</v>
          </cell>
          <cell r="C49" t="str">
            <v>糜</v>
          </cell>
          <cell r="D49" t="str">
            <v>oenn</v>
          </cell>
          <cell r="E49" t="str">
            <v>oennh</v>
          </cell>
          <cell r="F49" t="str">
            <v>ũẽ</v>
          </cell>
          <cell r="G49" t="str">
            <v>ũẽ?</v>
          </cell>
          <cell r="H49" t="str">
            <v>oeⁿ</v>
          </cell>
          <cell r="I49" t="str">
            <v>oehⁿ</v>
          </cell>
          <cell r="J49" t="str">
            <v>uenn</v>
          </cell>
          <cell r="K49" t="str">
            <v>uennh</v>
          </cell>
          <cell r="L49" t="str">
            <v>nue</v>
          </cell>
          <cell r="M49" t="str">
            <v>nueh</v>
          </cell>
          <cell r="N49" t="str">
            <v>ㄨㆥ</v>
          </cell>
          <cell r="O49" t="str">
            <v>ㄨㆥㆷ</v>
          </cell>
          <cell r="P49" t="str">
            <v>ⁿöey</v>
          </cell>
          <cell r="R49" t="str">
            <v>檜、糜：現在漳州各地主要腔口不存在 /i/ 尾，亦爲簡便故，今式羅馬字僅寫ue</v>
          </cell>
        </row>
        <row r="50">
          <cell r="B50">
            <v>46</v>
          </cell>
          <cell r="C50" t="str">
            <v>嘄</v>
          </cell>
          <cell r="D50" t="str">
            <v>iaunn</v>
          </cell>
          <cell r="E50" t="str">
            <v>iauhnn</v>
          </cell>
          <cell r="F50" t="str">
            <v>ĩãũ</v>
          </cell>
          <cell r="G50" t="str">
            <v>ĩãũ?</v>
          </cell>
          <cell r="H50" t="str">
            <v>iauⁿ</v>
          </cell>
          <cell r="I50" t="str">
            <v>iauⁿh</v>
          </cell>
          <cell r="J50" t="str">
            <v>iaunn</v>
          </cell>
          <cell r="K50" t="str">
            <v>iaunnh</v>
          </cell>
          <cell r="L50" t="str">
            <v>niao</v>
          </cell>
          <cell r="M50" t="str">
            <v>niaoh</v>
          </cell>
          <cell r="N50" t="str">
            <v>ㄧㆯ</v>
          </cell>
          <cell r="O50" t="str">
            <v>ㄧㆯㆷ</v>
          </cell>
          <cell r="P50" t="str">
            <v>ⁿeaou</v>
          </cell>
          <cell r="Q50" t="str">
            <v>ⁿeaoŭh</v>
          </cell>
        </row>
        <row r="51">
          <cell r="B51">
            <v>47</v>
          </cell>
          <cell r="C51" t="str">
            <v>箴</v>
          </cell>
          <cell r="D51" t="str">
            <v>om</v>
          </cell>
          <cell r="E51" t="str">
            <v>op</v>
          </cell>
          <cell r="F51" t="str">
            <v>ɔm</v>
          </cell>
          <cell r="G51" t="str">
            <v>ɔp̚</v>
          </cell>
          <cell r="H51" t="str">
            <v>om</v>
          </cell>
          <cell r="I51" t="str">
            <v>op</v>
          </cell>
          <cell r="J51" t="str">
            <v>om</v>
          </cell>
          <cell r="K51" t="str">
            <v>op</v>
          </cell>
          <cell r="L51" t="str">
            <v>om</v>
          </cell>
          <cell r="M51" t="str">
            <v>op</v>
          </cell>
          <cell r="N51" t="str">
            <v>ㆱ</v>
          </cell>
          <cell r="O51" t="str">
            <v>ㆦㆴ</v>
          </cell>
          <cell r="P51" t="str">
            <v>om</v>
          </cell>
          <cell r="Q51" t="str">
            <v>ŏmh</v>
          </cell>
        </row>
        <row r="52">
          <cell r="B52">
            <v>48</v>
          </cell>
          <cell r="C52" t="str">
            <v>爻</v>
          </cell>
          <cell r="D52" t="str">
            <v>aunn</v>
          </cell>
          <cell r="E52" t="str">
            <v>aunnh</v>
          </cell>
          <cell r="F52" t="str">
            <v>ãũ</v>
          </cell>
          <cell r="G52" t="str">
            <v>ãũ?</v>
          </cell>
          <cell r="H52" t="str">
            <v>auⁿ</v>
          </cell>
          <cell r="I52" t="str">
            <v>auhⁿ</v>
          </cell>
          <cell r="J52" t="str">
            <v>aunn</v>
          </cell>
          <cell r="K52" t="str">
            <v>aunnh</v>
          </cell>
          <cell r="L52" t="str">
            <v>nao</v>
          </cell>
          <cell r="M52" t="str">
            <v>naoh</v>
          </cell>
          <cell r="N52" t="str">
            <v>ㆯ</v>
          </cell>
          <cell r="O52" t="str">
            <v>ㆯㆷ</v>
          </cell>
          <cell r="P52" t="str">
            <v>ⁿaou</v>
          </cell>
        </row>
        <row r="53">
          <cell r="B53">
            <v>49</v>
          </cell>
          <cell r="C53" t="str">
            <v>扛</v>
          </cell>
          <cell r="D53" t="str">
            <v>onn</v>
          </cell>
          <cell r="E53" t="str">
            <v>ohnn</v>
          </cell>
          <cell r="F53" t="str">
            <v>õ</v>
          </cell>
          <cell r="G53" t="str">
            <v>õh</v>
          </cell>
          <cell r="H53" t="str">
            <v>oⁿ</v>
          </cell>
          <cell r="I53" t="str">
            <v>ohⁿ</v>
          </cell>
          <cell r="J53" t="str">
            <v>onn</v>
          </cell>
          <cell r="K53" t="str">
            <v>onnh</v>
          </cell>
          <cell r="L53" t="str">
            <v>no</v>
          </cell>
          <cell r="M53" t="str">
            <v>noh</v>
          </cell>
          <cell r="N53" t="str">
            <v>ㆧ</v>
          </cell>
          <cell r="O53" t="str">
            <v>ㆧㆷ</v>
          </cell>
          <cell r="P53" t="str">
            <v>ⁿo</v>
          </cell>
          <cell r="Q53" t="str">
            <v>ⁿŏh</v>
          </cell>
          <cell r="R53" t="str">
            <v>長泰音</v>
          </cell>
        </row>
        <row r="54">
          <cell r="B54">
            <v>50</v>
          </cell>
          <cell r="C54" t="str">
            <v>牛</v>
          </cell>
          <cell r="D54" t="str">
            <v>iunn</v>
          </cell>
          <cell r="E54" t="str">
            <v>iunnh</v>
          </cell>
          <cell r="F54" t="str">
            <v>ĩũ</v>
          </cell>
          <cell r="G54" t="str">
            <v>iũh</v>
          </cell>
          <cell r="H54" t="str">
            <v>iuⁿ</v>
          </cell>
          <cell r="I54" t="str">
            <v>iuhⁿ</v>
          </cell>
          <cell r="J54" t="str">
            <v>iunn</v>
          </cell>
          <cell r="K54" t="str">
            <v>iunnh</v>
          </cell>
          <cell r="L54" t="str">
            <v>niu</v>
          </cell>
          <cell r="M54" t="str">
            <v>niuh</v>
          </cell>
          <cell r="N54" t="str">
            <v>ㄧㆫ</v>
          </cell>
          <cell r="O54" t="str">
            <v>ㄧㆫㆷ</v>
          </cell>
          <cell r="P54" t="str">
            <v>ⁿew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5">
          <cell r="R5" t="str">
            <v>ūn</v>
          </cell>
          <cell r="S5" t="str">
            <v>ún</v>
          </cell>
          <cell r="T5" t="str">
            <v>ǔn</v>
          </cell>
          <cell r="U5" t="str">
            <v>ǔt</v>
          </cell>
          <cell r="V5" t="str">
            <v>ùn</v>
          </cell>
          <cell r="W5" t="str">
            <v>ûn</v>
          </cell>
          <cell r="X5" t="str">
            <v>ūn</v>
          </cell>
          <cell r="Y5" t="str">
            <v>út</v>
          </cell>
        </row>
        <row r="6">
          <cell r="R6" t="str">
            <v>iān</v>
          </cell>
          <cell r="S6" t="str">
            <v>ián</v>
          </cell>
          <cell r="T6" t="str">
            <v>iǎn</v>
          </cell>
          <cell r="U6" t="str">
            <v>iǎt</v>
          </cell>
          <cell r="V6" t="str">
            <v>iàn</v>
          </cell>
          <cell r="W6" t="str">
            <v>iân</v>
          </cell>
          <cell r="X6" t="str">
            <v>iān</v>
          </cell>
          <cell r="Y6" t="str">
            <v>iát</v>
          </cell>
        </row>
        <row r="7">
          <cell r="R7" t="str">
            <v>īm</v>
          </cell>
          <cell r="S7" t="str">
            <v>ím</v>
          </cell>
          <cell r="T7" t="str">
            <v>ǐm</v>
          </cell>
          <cell r="U7" t="str">
            <v>ǐp</v>
          </cell>
          <cell r="V7" t="str">
            <v>ìm</v>
          </cell>
          <cell r="W7" t="str">
            <v>îm</v>
          </cell>
          <cell r="X7" t="str">
            <v>īm</v>
          </cell>
          <cell r="Y7" t="str">
            <v>íp</v>
          </cell>
        </row>
        <row r="8">
          <cell r="R8" t="str">
            <v>ūi</v>
          </cell>
          <cell r="S8" t="str">
            <v>úi</v>
          </cell>
          <cell r="T8" t="str">
            <v>ǔi</v>
          </cell>
          <cell r="U8" t="str">
            <v>ǔih</v>
          </cell>
          <cell r="V8" t="str">
            <v>ùi</v>
          </cell>
          <cell r="W8" t="str">
            <v>ûi</v>
          </cell>
          <cell r="X8" t="str">
            <v>ūi</v>
          </cell>
          <cell r="Y8" t="str">
            <v>úih</v>
          </cell>
        </row>
        <row r="9">
          <cell r="R9" t="str">
            <v>ē</v>
          </cell>
          <cell r="S9" t="str">
            <v>é</v>
          </cell>
          <cell r="T9" t="str">
            <v>ě</v>
          </cell>
          <cell r="U9" t="str">
            <v>ěh</v>
          </cell>
          <cell r="V9" t="str">
            <v>è</v>
          </cell>
          <cell r="W9" t="str">
            <v>ê</v>
          </cell>
          <cell r="X9" t="str">
            <v>ē</v>
          </cell>
          <cell r="Y9" t="str">
            <v>éh</v>
          </cell>
        </row>
        <row r="10">
          <cell r="R10" t="str">
            <v>ān</v>
          </cell>
          <cell r="S10" t="str">
            <v>án</v>
          </cell>
          <cell r="T10" t="str">
            <v>ǎn</v>
          </cell>
          <cell r="U10" t="str">
            <v>ǎt</v>
          </cell>
          <cell r="V10" t="str">
            <v>àn</v>
          </cell>
          <cell r="W10" t="str">
            <v>ân</v>
          </cell>
          <cell r="X10" t="str">
            <v>ān</v>
          </cell>
          <cell r="Y10" t="str">
            <v>át</v>
          </cell>
        </row>
        <row r="11">
          <cell r="R11" t="str">
            <v>ōng</v>
          </cell>
          <cell r="S11" t="str">
            <v>óng</v>
          </cell>
          <cell r="T11" t="str">
            <v>ǒng</v>
          </cell>
          <cell r="U11" t="str">
            <v>ǒk</v>
          </cell>
          <cell r="V11" t="str">
            <v>òng</v>
          </cell>
          <cell r="W11" t="str">
            <v>ông</v>
          </cell>
          <cell r="X11" t="str">
            <v>ōng</v>
          </cell>
          <cell r="Y11" t="str">
            <v>ók</v>
          </cell>
        </row>
        <row r="12">
          <cell r="R12" t="str">
            <v>uāi</v>
          </cell>
          <cell r="S12" t="str">
            <v>uái</v>
          </cell>
          <cell r="T12" t="str">
            <v>uǎi</v>
          </cell>
          <cell r="U12" t="str">
            <v>uǎih</v>
          </cell>
          <cell r="V12" t="str">
            <v>uài</v>
          </cell>
          <cell r="W12" t="str">
            <v>uâi</v>
          </cell>
          <cell r="X12" t="str">
            <v>uāi</v>
          </cell>
          <cell r="Y12" t="str">
            <v>uáih</v>
          </cell>
        </row>
        <row r="13">
          <cell r="R13" t="str">
            <v>īng</v>
          </cell>
          <cell r="S13" t="str">
            <v>íng</v>
          </cell>
          <cell r="T13" t="str">
            <v>ǐng</v>
          </cell>
          <cell r="U13" t="str">
            <v>ǐk</v>
          </cell>
          <cell r="V13" t="str">
            <v>ìng</v>
          </cell>
          <cell r="W13" t="str">
            <v>îng</v>
          </cell>
          <cell r="X13" t="str">
            <v>īng</v>
          </cell>
          <cell r="Y13" t="str">
            <v>ík</v>
          </cell>
        </row>
        <row r="14">
          <cell r="R14" t="str">
            <v>uān</v>
          </cell>
          <cell r="S14" t="str">
            <v>uán</v>
          </cell>
          <cell r="T14" t="str">
            <v>uǎn</v>
          </cell>
          <cell r="U14" t="str">
            <v>uǎt</v>
          </cell>
          <cell r="V14" t="str">
            <v>uàn</v>
          </cell>
          <cell r="W14" t="str">
            <v>uân</v>
          </cell>
          <cell r="X14" t="str">
            <v>uān</v>
          </cell>
          <cell r="Y14" t="str">
            <v>uát</v>
          </cell>
        </row>
        <row r="15">
          <cell r="R15" t="str">
            <v>ōo</v>
          </cell>
          <cell r="S15" t="str">
            <v>óo</v>
          </cell>
          <cell r="T15" t="str">
            <v>ǒo</v>
          </cell>
          <cell r="U15" t="str">
            <v>ǒoh</v>
          </cell>
          <cell r="V15" t="str">
            <v>òo</v>
          </cell>
          <cell r="W15" t="str">
            <v>ôo</v>
          </cell>
          <cell r="X15" t="str">
            <v>ōo</v>
          </cell>
          <cell r="Y15" t="str">
            <v>óoh</v>
          </cell>
        </row>
        <row r="16">
          <cell r="R16" t="str">
            <v>iāo</v>
          </cell>
          <cell r="S16" t="str">
            <v>iáo</v>
          </cell>
          <cell r="T16" t="str">
            <v>iǎo</v>
          </cell>
          <cell r="U16" t="str">
            <v>iǎoh</v>
          </cell>
          <cell r="V16" t="str">
            <v>iào</v>
          </cell>
          <cell r="W16" t="str">
            <v>iâo</v>
          </cell>
          <cell r="X16" t="str">
            <v>iāo</v>
          </cell>
          <cell r="Y16" t="str">
            <v>iáoh</v>
          </cell>
        </row>
        <row r="17">
          <cell r="R17" t="str">
            <v>ē</v>
          </cell>
          <cell r="S17" t="str">
            <v>é</v>
          </cell>
          <cell r="T17" t="str">
            <v>ě</v>
          </cell>
          <cell r="U17" t="str">
            <v>ěh</v>
          </cell>
          <cell r="V17" t="str">
            <v>è</v>
          </cell>
          <cell r="W17" t="str">
            <v>ê</v>
          </cell>
          <cell r="X17" t="str">
            <v>ē</v>
          </cell>
          <cell r="Y17" t="str">
            <v>éh</v>
          </cell>
        </row>
        <row r="18">
          <cell r="R18" t="str">
            <v>iōng</v>
          </cell>
          <cell r="S18" t="str">
            <v>ióng</v>
          </cell>
          <cell r="T18" t="str">
            <v>iǒng</v>
          </cell>
          <cell r="U18" t="str">
            <v>iǒk</v>
          </cell>
          <cell r="V18" t="str">
            <v>iòng</v>
          </cell>
          <cell r="W18" t="str">
            <v>iông</v>
          </cell>
          <cell r="X18" t="str">
            <v>iōng</v>
          </cell>
          <cell r="Y18" t="str">
            <v>iók</v>
          </cell>
        </row>
        <row r="19">
          <cell r="R19" t="str">
            <v>ō</v>
          </cell>
          <cell r="S19" t="str">
            <v>ó</v>
          </cell>
          <cell r="T19" t="str">
            <v>ǒ</v>
          </cell>
          <cell r="U19" t="str">
            <v>ǒh</v>
          </cell>
          <cell r="V19" t="str">
            <v>ò</v>
          </cell>
          <cell r="W19" t="str">
            <v>ô</v>
          </cell>
          <cell r="X19" t="str">
            <v>ō</v>
          </cell>
          <cell r="Y19" t="str">
            <v>óh</v>
          </cell>
        </row>
        <row r="20">
          <cell r="R20" t="str">
            <v>āi</v>
          </cell>
          <cell r="S20" t="str">
            <v>ái</v>
          </cell>
          <cell r="T20" t="str">
            <v>ǎi</v>
          </cell>
          <cell r="U20" t="str">
            <v>ǎih</v>
          </cell>
          <cell r="V20" t="str">
            <v>ài</v>
          </cell>
          <cell r="W20" t="str">
            <v>âi</v>
          </cell>
          <cell r="X20" t="str">
            <v>āi</v>
          </cell>
          <cell r="Y20" t="str">
            <v>áih</v>
          </cell>
        </row>
        <row r="21">
          <cell r="R21" t="str">
            <v>īn</v>
          </cell>
          <cell r="S21" t="str">
            <v>ín</v>
          </cell>
          <cell r="T21" t="str">
            <v>ǐn</v>
          </cell>
          <cell r="U21" t="str">
            <v>ǐt</v>
          </cell>
          <cell r="V21" t="str">
            <v>ìn</v>
          </cell>
          <cell r="W21" t="str">
            <v>în</v>
          </cell>
          <cell r="X21" t="str">
            <v>īn</v>
          </cell>
          <cell r="Y21" t="str">
            <v>ít</v>
          </cell>
        </row>
        <row r="22">
          <cell r="R22" t="str">
            <v>iāng</v>
          </cell>
          <cell r="S22" t="str">
            <v>iáng</v>
          </cell>
          <cell r="T22" t="str">
            <v>iǎng</v>
          </cell>
          <cell r="U22" t="str">
            <v>iǎk</v>
          </cell>
          <cell r="V22" t="str">
            <v>iàng</v>
          </cell>
          <cell r="W22" t="str">
            <v>iâng</v>
          </cell>
          <cell r="X22" t="str">
            <v>iāng</v>
          </cell>
          <cell r="Y22" t="str">
            <v>iák</v>
          </cell>
        </row>
        <row r="23">
          <cell r="R23" t="str">
            <v>ām</v>
          </cell>
          <cell r="S23" t="str">
            <v>ám</v>
          </cell>
          <cell r="T23" t="str">
            <v>ǎm</v>
          </cell>
          <cell r="U23" t="str">
            <v>ǎp</v>
          </cell>
          <cell r="V23" t="str">
            <v>àm</v>
          </cell>
          <cell r="W23" t="str">
            <v>âm</v>
          </cell>
          <cell r="X23" t="str">
            <v>ām</v>
          </cell>
          <cell r="Y23" t="str">
            <v>áp</v>
          </cell>
        </row>
        <row r="24">
          <cell r="R24" t="str">
            <v>ūa</v>
          </cell>
          <cell r="S24" t="str">
            <v>úa</v>
          </cell>
          <cell r="T24" t="str">
            <v>ǔa</v>
          </cell>
          <cell r="U24" t="str">
            <v>ǔah</v>
          </cell>
          <cell r="V24" t="str">
            <v>ùa</v>
          </cell>
          <cell r="W24" t="str">
            <v>ûa</v>
          </cell>
          <cell r="X24" t="str">
            <v>ūa</v>
          </cell>
          <cell r="Y24" t="str">
            <v>úah</v>
          </cell>
        </row>
        <row r="25">
          <cell r="R25" t="str">
            <v>āng</v>
          </cell>
          <cell r="S25" t="str">
            <v>áng</v>
          </cell>
          <cell r="T25" t="str">
            <v>ǎng</v>
          </cell>
          <cell r="U25" t="str">
            <v>ǎk</v>
          </cell>
          <cell r="V25" t="str">
            <v>àng</v>
          </cell>
          <cell r="W25" t="str">
            <v>âng</v>
          </cell>
          <cell r="X25" t="str">
            <v>āng</v>
          </cell>
          <cell r="Y25" t="str">
            <v>ák</v>
          </cell>
        </row>
        <row r="26">
          <cell r="R26" t="str">
            <v>iām</v>
          </cell>
          <cell r="S26" t="str">
            <v>iám</v>
          </cell>
          <cell r="T26" t="str">
            <v>iǎm</v>
          </cell>
          <cell r="U26" t="str">
            <v>iǎp</v>
          </cell>
          <cell r="V26" t="str">
            <v>iàm</v>
          </cell>
          <cell r="W26" t="str">
            <v>iâm</v>
          </cell>
          <cell r="X26" t="str">
            <v>iām</v>
          </cell>
          <cell r="Y26" t="str">
            <v>iáp</v>
          </cell>
        </row>
        <row r="27">
          <cell r="R27" t="str">
            <v>āo</v>
          </cell>
          <cell r="S27" t="str">
            <v>áo</v>
          </cell>
          <cell r="T27" t="str">
            <v>ǎo</v>
          </cell>
          <cell r="U27" t="str">
            <v>ǎoh</v>
          </cell>
          <cell r="V27" t="str">
            <v>ào</v>
          </cell>
          <cell r="W27" t="str">
            <v>âo</v>
          </cell>
          <cell r="X27" t="str">
            <v>āo</v>
          </cell>
          <cell r="Y27" t="str">
            <v>áoh</v>
          </cell>
        </row>
        <row r="28">
          <cell r="R28" t="str">
            <v>iā</v>
          </cell>
          <cell r="S28" t="str">
            <v>iá</v>
          </cell>
          <cell r="T28" t="str">
            <v>iǎ</v>
          </cell>
          <cell r="U28" t="str">
            <v>iǎh</v>
          </cell>
          <cell r="V28" t="str">
            <v>ià</v>
          </cell>
          <cell r="W28" t="str">
            <v>iâ</v>
          </cell>
          <cell r="X28" t="str">
            <v>iā</v>
          </cell>
          <cell r="Y28" t="str">
            <v>iáh</v>
          </cell>
        </row>
        <row r="29">
          <cell r="R29" t="str">
            <v>ūe</v>
          </cell>
          <cell r="S29" t="str">
            <v>úe</v>
          </cell>
          <cell r="T29" t="str">
            <v>ǔe</v>
          </cell>
          <cell r="U29" t="str">
            <v>ǔeh</v>
          </cell>
          <cell r="V29" t="str">
            <v>ùe</v>
          </cell>
          <cell r="W29" t="str">
            <v>ûe</v>
          </cell>
          <cell r="X29" t="str">
            <v>ūe</v>
          </cell>
          <cell r="Y29" t="str">
            <v>úeh</v>
          </cell>
        </row>
        <row r="30">
          <cell r="R30" t="str">
            <v>nā</v>
          </cell>
          <cell r="S30" t="str">
            <v>ná</v>
          </cell>
          <cell r="T30" t="str">
            <v>nǎ</v>
          </cell>
          <cell r="U30" t="str">
            <v>nǎh</v>
          </cell>
          <cell r="V30" t="str">
            <v>nà</v>
          </cell>
          <cell r="W30" t="str">
            <v>nâ</v>
          </cell>
          <cell r="X30" t="str">
            <v>nā</v>
          </cell>
          <cell r="Y30" t="str">
            <v>náh</v>
          </cell>
        </row>
        <row r="31">
          <cell r="R31" t="str">
            <v>ū</v>
          </cell>
          <cell r="S31" t="str">
            <v>ú</v>
          </cell>
          <cell r="T31" t="str">
            <v>ǔ</v>
          </cell>
          <cell r="U31" t="str">
            <v>ǔh</v>
          </cell>
          <cell r="V31" t="str">
            <v>ù</v>
          </cell>
          <cell r="W31" t="str">
            <v>û</v>
          </cell>
          <cell r="X31" t="str">
            <v>ū</v>
          </cell>
          <cell r="Y31" t="str">
            <v>úh</v>
          </cell>
        </row>
        <row r="32">
          <cell r="R32" t="str">
            <v>ā</v>
          </cell>
          <cell r="S32" t="str">
            <v>á</v>
          </cell>
          <cell r="T32" t="str">
            <v>ǎ</v>
          </cell>
          <cell r="U32" t="str">
            <v>ǎh</v>
          </cell>
          <cell r="V32" t="str">
            <v>à</v>
          </cell>
          <cell r="W32" t="str">
            <v>â</v>
          </cell>
          <cell r="X32" t="str">
            <v>ā</v>
          </cell>
          <cell r="Y32" t="str">
            <v>áh</v>
          </cell>
        </row>
        <row r="33">
          <cell r="R33" t="str">
            <v>ī</v>
          </cell>
          <cell r="S33" t="str">
            <v>í</v>
          </cell>
          <cell r="T33" t="str">
            <v>ǐ</v>
          </cell>
          <cell r="U33" t="str">
            <v>ǐh</v>
          </cell>
          <cell r="V33" t="str">
            <v>ì</v>
          </cell>
          <cell r="W33" t="str">
            <v>î</v>
          </cell>
          <cell r="X33" t="str">
            <v>ī</v>
          </cell>
          <cell r="Y33" t="str">
            <v>íh</v>
          </cell>
        </row>
        <row r="34">
          <cell r="R34" t="str">
            <v>iū</v>
          </cell>
          <cell r="S34" t="str">
            <v>iú</v>
          </cell>
          <cell r="T34" t="str">
            <v>iǔ</v>
          </cell>
          <cell r="U34" t="str">
            <v>iǔh</v>
          </cell>
          <cell r="V34" t="str">
            <v>iù</v>
          </cell>
          <cell r="W34" t="str">
            <v>iû</v>
          </cell>
          <cell r="X34" t="str">
            <v>iū</v>
          </cell>
          <cell r="Y34" t="str">
            <v>iúh</v>
          </cell>
        </row>
        <row r="35">
          <cell r="R35" t="str">
            <v>nē</v>
          </cell>
          <cell r="S35" t="str">
            <v>né</v>
          </cell>
          <cell r="T35" t="str">
            <v>ně</v>
          </cell>
          <cell r="U35" t="str">
            <v>něh</v>
          </cell>
          <cell r="V35" t="str">
            <v>nè</v>
          </cell>
          <cell r="W35" t="str">
            <v>nê</v>
          </cell>
          <cell r="X35" t="str">
            <v>nē</v>
          </cell>
          <cell r="Y35" t="str">
            <v>néh</v>
          </cell>
        </row>
        <row r="36">
          <cell r="R36" t="str">
            <v>nūi</v>
          </cell>
          <cell r="S36" t="str">
            <v>núi</v>
          </cell>
          <cell r="T36" t="str">
            <v>nǔi</v>
          </cell>
          <cell r="U36" t="str">
            <v>nǔih</v>
          </cell>
          <cell r="V36" t="str">
            <v>nùi</v>
          </cell>
          <cell r="W36" t="str">
            <v>nûi</v>
          </cell>
          <cell r="X36" t="str">
            <v>nūi</v>
          </cell>
          <cell r="Y36" t="str">
            <v>núih</v>
          </cell>
        </row>
        <row r="37">
          <cell r="R37" t="str">
            <v>iō</v>
          </cell>
          <cell r="S37" t="str">
            <v>ió</v>
          </cell>
          <cell r="T37" t="str">
            <v>iǒ</v>
          </cell>
          <cell r="U37" t="str">
            <v>iǒh</v>
          </cell>
          <cell r="V37" t="str">
            <v>iò</v>
          </cell>
          <cell r="W37" t="str">
            <v>iô</v>
          </cell>
          <cell r="X37" t="str">
            <v>iō</v>
          </cell>
          <cell r="Y37" t="str">
            <v>ióh</v>
          </cell>
        </row>
        <row r="38">
          <cell r="R38" t="str">
            <v>nī</v>
          </cell>
          <cell r="S38" t="str">
            <v>ní</v>
          </cell>
          <cell r="T38" t="str">
            <v>nǐ</v>
          </cell>
          <cell r="U38" t="str">
            <v>nǐh</v>
          </cell>
          <cell r="V38" t="str">
            <v>nì</v>
          </cell>
          <cell r="W38" t="str">
            <v>nî</v>
          </cell>
          <cell r="X38" t="str">
            <v>nī</v>
          </cell>
          <cell r="Y38" t="str">
            <v>níh</v>
          </cell>
        </row>
        <row r="39">
          <cell r="R39" t="str">
            <v>niōō</v>
          </cell>
          <cell r="S39" t="str">
            <v>nióó</v>
          </cell>
          <cell r="T39" t="str">
            <v>niǒǒ</v>
          </cell>
          <cell r="U39" t="str">
            <v>niǒǒh</v>
          </cell>
          <cell r="V39" t="str">
            <v>niòò</v>
          </cell>
          <cell r="W39" t="str">
            <v>niôô</v>
          </cell>
          <cell r="X39" t="str">
            <v>niōō</v>
          </cell>
          <cell r="Y39" t="str">
            <v>nióóh</v>
          </cell>
        </row>
        <row r="40">
          <cell r="R40" t="str">
            <v>niā</v>
          </cell>
          <cell r="S40" t="str">
            <v>niá</v>
          </cell>
          <cell r="T40" t="str">
            <v>niǎ</v>
          </cell>
          <cell r="U40" t="str">
            <v>niǎh</v>
          </cell>
          <cell r="V40" t="str">
            <v>nià</v>
          </cell>
          <cell r="W40" t="str">
            <v>niâ</v>
          </cell>
          <cell r="X40" t="str">
            <v>niā</v>
          </cell>
          <cell r="Y40" t="str">
            <v>niáh</v>
          </cell>
        </row>
        <row r="41">
          <cell r="R41" t="str">
            <v>nūa</v>
          </cell>
          <cell r="S41" t="str">
            <v>núa</v>
          </cell>
          <cell r="T41" t="str">
            <v>nǔa</v>
          </cell>
          <cell r="U41" t="str">
            <v>nǔah</v>
          </cell>
          <cell r="V41" t="str">
            <v>nùa</v>
          </cell>
          <cell r="W41" t="str">
            <v>nûa</v>
          </cell>
          <cell r="X41" t="str">
            <v>nūa</v>
          </cell>
          <cell r="Y41" t="str">
            <v>núah</v>
          </cell>
        </row>
        <row r="42">
          <cell r="R42" t="str">
            <v>n̄g</v>
          </cell>
          <cell r="S42" t="str">
            <v>ńg</v>
          </cell>
          <cell r="T42" t="str">
            <v>ňg</v>
          </cell>
          <cell r="U42" t="str">
            <v>ňh</v>
          </cell>
          <cell r="V42" t="str">
            <v>ǹg</v>
          </cell>
          <cell r="W42" t="str">
            <v>n̂g</v>
          </cell>
          <cell r="X42" t="str">
            <v>n̄g</v>
          </cell>
          <cell r="Y42" t="str">
            <v>ńgh</v>
          </cell>
        </row>
        <row r="43">
          <cell r="R43" t="str">
            <v>ē</v>
          </cell>
          <cell r="S43" t="str">
            <v>é</v>
          </cell>
          <cell r="T43" t="str">
            <v>ě</v>
          </cell>
          <cell r="U43" t="str">
            <v>ěh</v>
          </cell>
          <cell r="V43" t="str">
            <v>è</v>
          </cell>
          <cell r="W43" t="str">
            <v>ê</v>
          </cell>
          <cell r="X43" t="str">
            <v>ē</v>
          </cell>
          <cell r="Y43" t="str">
            <v>éh</v>
          </cell>
        </row>
        <row r="44">
          <cell r="R44" t="str">
            <v>nāi</v>
          </cell>
          <cell r="S44" t="str">
            <v>nái</v>
          </cell>
          <cell r="T44" t="str">
            <v>nǎi</v>
          </cell>
          <cell r="U44" t="str">
            <v>nǎih</v>
          </cell>
          <cell r="V44" t="str">
            <v>nài</v>
          </cell>
          <cell r="W44" t="str">
            <v>nâi</v>
          </cell>
          <cell r="X44" t="str">
            <v>nāi</v>
          </cell>
          <cell r="Y44" t="str">
            <v>náih</v>
          </cell>
        </row>
        <row r="45">
          <cell r="R45" t="str">
            <v>nōō</v>
          </cell>
          <cell r="S45" t="str">
            <v>nóó</v>
          </cell>
          <cell r="T45" t="str">
            <v>nǒǒ</v>
          </cell>
          <cell r="U45" t="str">
            <v>nǒǒh</v>
          </cell>
          <cell r="V45" t="str">
            <v>nòò</v>
          </cell>
          <cell r="W45" t="str">
            <v>nôô</v>
          </cell>
          <cell r="X45" t="str">
            <v>nōō</v>
          </cell>
          <cell r="Y45" t="str">
            <v>nóóh</v>
          </cell>
        </row>
        <row r="46">
          <cell r="R46" t="str">
            <v>m̄</v>
          </cell>
          <cell r="S46" t="str">
            <v>ḿ</v>
          </cell>
          <cell r="T46" t="str">
            <v>m̌</v>
          </cell>
          <cell r="U46" t="str">
            <v>m̌h</v>
          </cell>
          <cell r="V46" t="str">
            <v>m̀</v>
          </cell>
          <cell r="W46" t="str">
            <v>m̂</v>
          </cell>
          <cell r="X46" t="str">
            <v>m̄</v>
          </cell>
          <cell r="Y46" t="str">
            <v>ḿh</v>
          </cell>
        </row>
        <row r="47">
          <cell r="R47" t="str">
            <v>uāng</v>
          </cell>
          <cell r="S47" t="str">
            <v>uáng</v>
          </cell>
          <cell r="T47" t="str">
            <v>uǎng</v>
          </cell>
          <cell r="U47" t="str">
            <v>uǎk</v>
          </cell>
          <cell r="V47" t="str">
            <v>uàng</v>
          </cell>
          <cell r="W47" t="str">
            <v>uâng</v>
          </cell>
          <cell r="X47" t="str">
            <v>uāng</v>
          </cell>
          <cell r="Y47" t="str">
            <v>uák</v>
          </cell>
        </row>
        <row r="48">
          <cell r="R48" t="str">
            <v>nuāi</v>
          </cell>
          <cell r="S48" t="str">
            <v>nuái</v>
          </cell>
          <cell r="T48" t="str">
            <v>nuǎi</v>
          </cell>
          <cell r="U48" t="str">
            <v>nuǎih</v>
          </cell>
          <cell r="V48" t="str">
            <v>nuài</v>
          </cell>
          <cell r="W48" t="str">
            <v>nuâi</v>
          </cell>
          <cell r="X48" t="str">
            <v>nuāi</v>
          </cell>
          <cell r="Y48" t="str">
            <v>nuáih</v>
          </cell>
        </row>
        <row r="49">
          <cell r="R49" t="str">
            <v>nūe</v>
          </cell>
          <cell r="S49" t="str">
            <v>núe</v>
          </cell>
          <cell r="T49" t="str">
            <v>nǔe</v>
          </cell>
          <cell r="U49" t="str">
            <v>nǔeh</v>
          </cell>
          <cell r="V49" t="str">
            <v>nùe</v>
          </cell>
          <cell r="W49" t="str">
            <v>nûe</v>
          </cell>
          <cell r="X49" t="str">
            <v>nūe</v>
          </cell>
          <cell r="Y49" t="str">
            <v>núeh</v>
          </cell>
        </row>
        <row r="50">
          <cell r="R50" t="str">
            <v>niāo</v>
          </cell>
          <cell r="S50" t="str">
            <v>niáo</v>
          </cell>
          <cell r="T50" t="str">
            <v>niǎo</v>
          </cell>
          <cell r="U50" t="str">
            <v>niǎoh</v>
          </cell>
          <cell r="V50" t="str">
            <v>niào</v>
          </cell>
          <cell r="W50" t="str">
            <v>niâo</v>
          </cell>
          <cell r="X50" t="str">
            <v>niāo</v>
          </cell>
          <cell r="Y50" t="str">
            <v>niáoh</v>
          </cell>
        </row>
        <row r="51">
          <cell r="R51" t="str">
            <v>ōm</v>
          </cell>
          <cell r="S51" t="str">
            <v>óm</v>
          </cell>
          <cell r="T51" t="str">
            <v>ǒm</v>
          </cell>
          <cell r="U51" t="str">
            <v>ǒp</v>
          </cell>
          <cell r="V51" t="str">
            <v>òm</v>
          </cell>
          <cell r="W51" t="str">
            <v>ôm</v>
          </cell>
          <cell r="X51" t="str">
            <v>ōm</v>
          </cell>
          <cell r="Y51" t="str">
            <v>óp</v>
          </cell>
        </row>
        <row r="52">
          <cell r="R52" t="str">
            <v>nāo</v>
          </cell>
          <cell r="S52" t="str">
            <v>náo</v>
          </cell>
          <cell r="T52" t="str">
            <v>nǎo</v>
          </cell>
          <cell r="U52" t="str">
            <v>nǎoh</v>
          </cell>
          <cell r="V52" t="str">
            <v>nào</v>
          </cell>
          <cell r="W52" t="str">
            <v>nâo</v>
          </cell>
          <cell r="X52" t="str">
            <v>nāo</v>
          </cell>
          <cell r="Y52" t="str">
            <v>náoh</v>
          </cell>
        </row>
        <row r="53">
          <cell r="R53" t="str">
            <v>nō</v>
          </cell>
          <cell r="S53" t="str">
            <v>nó</v>
          </cell>
          <cell r="T53" t="str">
            <v>nǒ</v>
          </cell>
          <cell r="U53" t="str">
            <v>nǒh</v>
          </cell>
          <cell r="V53" t="str">
            <v>nò</v>
          </cell>
          <cell r="W53" t="str">
            <v>nô</v>
          </cell>
          <cell r="X53" t="str">
            <v>nō</v>
          </cell>
          <cell r="Y53" t="str">
            <v>nóh</v>
          </cell>
        </row>
        <row r="54">
          <cell r="R54" t="str">
            <v>niū</v>
          </cell>
          <cell r="S54" t="str">
            <v>niú</v>
          </cell>
          <cell r="T54" t="str">
            <v>niǔ</v>
          </cell>
          <cell r="U54" t="str">
            <v>niǔh</v>
          </cell>
          <cell r="V54" t="str">
            <v>niù</v>
          </cell>
          <cell r="W54" t="str">
            <v>niû</v>
          </cell>
          <cell r="X54" t="str">
            <v>niū</v>
          </cell>
          <cell r="Y54" t="str">
            <v>niúh</v>
          </cell>
        </row>
      </sheetData>
      <sheetData sheetId="30" refreshError="1"/>
      <sheetData sheetId="31" refreshError="1"/>
      <sheetData sheetId="32">
        <row r="5">
          <cell r="R5" t="str">
            <v>un</v>
          </cell>
          <cell r="S5" t="str">
            <v>ún</v>
          </cell>
          <cell r="T5" t="str">
            <v>ùn</v>
          </cell>
          <cell r="U5" t="str">
            <v>ut</v>
          </cell>
          <cell r="V5" t="str">
            <v>ûn</v>
          </cell>
          <cell r="W5" t="str">
            <v>ùn</v>
          </cell>
          <cell r="X5" t="str">
            <v>ūn</v>
          </cell>
          <cell r="Y5" t="str">
            <v>u̍t</v>
          </cell>
        </row>
        <row r="6">
          <cell r="R6" t="str">
            <v>ian</v>
          </cell>
          <cell r="S6" t="str">
            <v>ián</v>
          </cell>
          <cell r="T6" t="str">
            <v>iàn</v>
          </cell>
          <cell r="U6" t="str">
            <v>iat</v>
          </cell>
          <cell r="V6" t="str">
            <v>iân</v>
          </cell>
          <cell r="W6" t="str">
            <v>iàn</v>
          </cell>
          <cell r="X6" t="str">
            <v>iān</v>
          </cell>
          <cell r="Y6" t="str">
            <v>ia̍t</v>
          </cell>
        </row>
        <row r="7">
          <cell r="R7" t="str">
            <v>im</v>
          </cell>
          <cell r="S7" t="str">
            <v>ím</v>
          </cell>
          <cell r="T7" t="str">
            <v>ìm</v>
          </cell>
          <cell r="U7" t="str">
            <v>ip</v>
          </cell>
          <cell r="V7" t="str">
            <v>îm</v>
          </cell>
          <cell r="W7" t="str">
            <v>ìm</v>
          </cell>
          <cell r="X7" t="str">
            <v>īm</v>
          </cell>
          <cell r="Y7" t="str">
            <v>i̍p</v>
          </cell>
        </row>
        <row r="8">
          <cell r="R8" t="str">
            <v>ui</v>
          </cell>
          <cell r="S8" t="str">
            <v>úi</v>
          </cell>
          <cell r="T8" t="str">
            <v>ùi</v>
          </cell>
          <cell r="U8" t="str">
            <v>uih</v>
          </cell>
          <cell r="V8" t="str">
            <v>ûi</v>
          </cell>
          <cell r="W8" t="str">
            <v>ùi</v>
          </cell>
          <cell r="X8" t="str">
            <v>ūi</v>
          </cell>
          <cell r="Y8" t="str">
            <v>u̍ih</v>
          </cell>
        </row>
        <row r="9">
          <cell r="R9" t="str">
            <v>ee</v>
          </cell>
          <cell r="S9" t="str">
            <v>éé</v>
          </cell>
          <cell r="T9" t="str">
            <v>èè</v>
          </cell>
          <cell r="U9" t="str">
            <v>eeh</v>
          </cell>
          <cell r="V9" t="str">
            <v>êê</v>
          </cell>
          <cell r="W9" t="str">
            <v>èè</v>
          </cell>
          <cell r="X9" t="str">
            <v>ēē</v>
          </cell>
          <cell r="Y9" t="str">
            <v>e̍e̍h</v>
          </cell>
        </row>
        <row r="10">
          <cell r="R10" t="str">
            <v>an</v>
          </cell>
          <cell r="S10" t="str">
            <v>án</v>
          </cell>
          <cell r="T10" t="str">
            <v>àn</v>
          </cell>
          <cell r="U10" t="str">
            <v>at</v>
          </cell>
          <cell r="V10" t="str">
            <v>ân</v>
          </cell>
          <cell r="W10" t="str">
            <v>àn</v>
          </cell>
          <cell r="X10" t="str">
            <v>ān</v>
          </cell>
          <cell r="Y10" t="str">
            <v>a̍t</v>
          </cell>
        </row>
        <row r="11">
          <cell r="R11" t="str">
            <v>ong</v>
          </cell>
          <cell r="S11" t="str">
            <v>óng</v>
          </cell>
          <cell r="T11" t="str">
            <v>òng</v>
          </cell>
          <cell r="U11" t="str">
            <v>ok</v>
          </cell>
          <cell r="V11" t="str">
            <v>ông</v>
          </cell>
          <cell r="W11" t="str">
            <v>òng</v>
          </cell>
          <cell r="X11" t="str">
            <v>ōng</v>
          </cell>
          <cell r="Y11" t="str">
            <v>o̍k</v>
          </cell>
        </row>
        <row r="12">
          <cell r="R12" t="str">
            <v>oai</v>
          </cell>
          <cell r="S12" t="str">
            <v>oái</v>
          </cell>
          <cell r="T12" t="str">
            <v>oài</v>
          </cell>
          <cell r="U12" t="str">
            <v>oaih</v>
          </cell>
          <cell r="V12" t="str">
            <v>oâi</v>
          </cell>
          <cell r="W12" t="str">
            <v>oài</v>
          </cell>
          <cell r="X12" t="str">
            <v>oāi</v>
          </cell>
          <cell r="Y12" t="str">
            <v>oa̍ih</v>
          </cell>
        </row>
        <row r="13">
          <cell r="R13" t="str">
            <v>eng</v>
          </cell>
          <cell r="S13" t="str">
            <v>éng</v>
          </cell>
          <cell r="T13" t="str">
            <v>èng</v>
          </cell>
          <cell r="U13" t="str">
            <v>ek</v>
          </cell>
          <cell r="V13" t="str">
            <v>êng</v>
          </cell>
          <cell r="W13" t="str">
            <v>èng</v>
          </cell>
          <cell r="X13" t="str">
            <v>ēng</v>
          </cell>
          <cell r="Y13" t="str">
            <v>e̍k</v>
          </cell>
        </row>
        <row r="14">
          <cell r="R14" t="str">
            <v>oan</v>
          </cell>
          <cell r="S14" t="str">
            <v>oán</v>
          </cell>
          <cell r="T14" t="str">
            <v>oàn</v>
          </cell>
          <cell r="U14" t="str">
            <v>oat</v>
          </cell>
          <cell r="V14" t="str">
            <v>oân</v>
          </cell>
          <cell r="W14" t="str">
            <v>oàn</v>
          </cell>
          <cell r="X14" t="str">
            <v>oān</v>
          </cell>
          <cell r="Y14" t="str">
            <v>oa̍t</v>
          </cell>
        </row>
        <row r="15">
          <cell r="R15" t="str">
            <v>o͘</v>
          </cell>
          <cell r="S15" t="str">
            <v>ó͘</v>
          </cell>
          <cell r="T15" t="str">
            <v>ò͘</v>
          </cell>
          <cell r="U15" t="str">
            <v>o͘h</v>
          </cell>
          <cell r="V15" t="str">
            <v>ô͘</v>
          </cell>
          <cell r="W15" t="str">
            <v xml:space="preserve"> ò͘</v>
          </cell>
          <cell r="X15" t="str">
            <v>ō͘</v>
          </cell>
          <cell r="Y15" t="str">
            <v>o̍͘h</v>
          </cell>
        </row>
        <row r="16">
          <cell r="R16" t="str">
            <v>iau</v>
          </cell>
          <cell r="S16" t="str">
            <v>iáu</v>
          </cell>
          <cell r="T16" t="str">
            <v>iàu</v>
          </cell>
          <cell r="U16" t="str">
            <v>iauh</v>
          </cell>
          <cell r="V16" t="str">
            <v>iâu</v>
          </cell>
          <cell r="W16" t="str">
            <v>iàu</v>
          </cell>
          <cell r="X16" t="str">
            <v>iāu</v>
          </cell>
          <cell r="Y16" t="str">
            <v>ia̍uh</v>
          </cell>
        </row>
        <row r="17">
          <cell r="R17" t="str">
            <v>ei</v>
          </cell>
          <cell r="S17" t="str">
            <v>éi</v>
          </cell>
          <cell r="T17" t="str">
            <v>èi</v>
          </cell>
          <cell r="U17" t="str">
            <v>eih</v>
          </cell>
          <cell r="V17" t="str">
            <v>êi</v>
          </cell>
          <cell r="W17" t="str">
            <v>èi</v>
          </cell>
          <cell r="X17" t="str">
            <v>ēi</v>
          </cell>
          <cell r="Y17" t="str">
            <v>e̍ih</v>
          </cell>
        </row>
        <row r="18">
          <cell r="R18" t="str">
            <v>iong</v>
          </cell>
          <cell r="S18" t="str">
            <v>ióng</v>
          </cell>
          <cell r="T18" t="str">
            <v>iòng</v>
          </cell>
          <cell r="U18" t="str">
            <v>iok</v>
          </cell>
          <cell r="V18" t="str">
            <v>iông</v>
          </cell>
          <cell r="W18" t="str">
            <v>iòng</v>
          </cell>
          <cell r="X18" t="str">
            <v>iōng</v>
          </cell>
          <cell r="Y18" t="str">
            <v>io̍k</v>
          </cell>
        </row>
        <row r="19">
          <cell r="R19" t="str">
            <v>o</v>
          </cell>
          <cell r="S19" t="str">
            <v>ó</v>
          </cell>
          <cell r="T19" t="str">
            <v>ò</v>
          </cell>
          <cell r="U19" t="str">
            <v>oh</v>
          </cell>
          <cell r="V19" t="str">
            <v>ô</v>
          </cell>
          <cell r="W19" t="str">
            <v>ò</v>
          </cell>
          <cell r="X19" t="str">
            <v>ō</v>
          </cell>
          <cell r="Y19" t="str">
            <v>o̍h</v>
          </cell>
        </row>
        <row r="20">
          <cell r="R20" t="str">
            <v>ai</v>
          </cell>
          <cell r="S20" t="str">
            <v>ái</v>
          </cell>
          <cell r="T20" t="str">
            <v>ài</v>
          </cell>
          <cell r="U20" t="str">
            <v>aih</v>
          </cell>
          <cell r="V20" t="str">
            <v>âi</v>
          </cell>
          <cell r="W20" t="str">
            <v>ài</v>
          </cell>
          <cell r="X20" t="str">
            <v>āi</v>
          </cell>
          <cell r="Y20" t="str">
            <v>a̍ih</v>
          </cell>
        </row>
        <row r="21">
          <cell r="R21" t="str">
            <v>in</v>
          </cell>
          <cell r="S21" t="str">
            <v>ín</v>
          </cell>
          <cell r="T21" t="str">
            <v>ìn</v>
          </cell>
          <cell r="U21" t="str">
            <v>it</v>
          </cell>
          <cell r="V21" t="str">
            <v>în</v>
          </cell>
          <cell r="W21" t="str">
            <v>ìn</v>
          </cell>
          <cell r="X21" t="str">
            <v>īn</v>
          </cell>
          <cell r="Y21" t="str">
            <v>i̍t</v>
          </cell>
        </row>
        <row r="22">
          <cell r="R22" t="str">
            <v>iang</v>
          </cell>
          <cell r="S22" t="str">
            <v>iáng</v>
          </cell>
          <cell r="T22" t="str">
            <v>iàng</v>
          </cell>
          <cell r="U22" t="str">
            <v>iak</v>
          </cell>
          <cell r="V22" t="str">
            <v>iâng</v>
          </cell>
          <cell r="W22" t="str">
            <v>iàng</v>
          </cell>
          <cell r="X22" t="str">
            <v>iāng</v>
          </cell>
          <cell r="Y22" t="str">
            <v>ia̍k</v>
          </cell>
        </row>
        <row r="23">
          <cell r="R23" t="str">
            <v>am</v>
          </cell>
          <cell r="S23" t="str">
            <v>ám</v>
          </cell>
          <cell r="T23" t="str">
            <v>àm</v>
          </cell>
          <cell r="U23" t="str">
            <v>ap</v>
          </cell>
          <cell r="V23" t="str">
            <v>âm</v>
          </cell>
          <cell r="W23" t="str">
            <v>àm</v>
          </cell>
          <cell r="X23" t="str">
            <v>ām</v>
          </cell>
          <cell r="Y23" t="str">
            <v>a̍p</v>
          </cell>
        </row>
        <row r="24">
          <cell r="R24" t="str">
            <v>oa</v>
          </cell>
          <cell r="S24" t="str">
            <v>óa</v>
          </cell>
          <cell r="T24" t="str">
            <v>òa</v>
          </cell>
          <cell r="U24" t="str">
            <v>oah</v>
          </cell>
          <cell r="V24" t="str">
            <v>ôa</v>
          </cell>
          <cell r="W24" t="str">
            <v>òa</v>
          </cell>
          <cell r="X24" t="str">
            <v>ōa</v>
          </cell>
          <cell r="Y24" t="str">
            <v>o̍ah</v>
          </cell>
        </row>
        <row r="25">
          <cell r="R25" t="str">
            <v>ang</v>
          </cell>
          <cell r="S25" t="str">
            <v>áng</v>
          </cell>
          <cell r="T25" t="str">
            <v>àng</v>
          </cell>
          <cell r="U25" t="str">
            <v>ak</v>
          </cell>
          <cell r="V25" t="str">
            <v>âng</v>
          </cell>
          <cell r="W25" t="str">
            <v>àng</v>
          </cell>
          <cell r="X25" t="str">
            <v>āng</v>
          </cell>
          <cell r="Y25" t="str">
            <v>a̍k</v>
          </cell>
        </row>
        <row r="26">
          <cell r="R26" t="str">
            <v>iam</v>
          </cell>
          <cell r="S26" t="str">
            <v>iám</v>
          </cell>
          <cell r="T26" t="str">
            <v>iàm</v>
          </cell>
          <cell r="U26" t="str">
            <v>iap</v>
          </cell>
          <cell r="V26" t="str">
            <v>iâm</v>
          </cell>
          <cell r="W26" t="str">
            <v>iàm</v>
          </cell>
          <cell r="X26" t="str">
            <v>iām</v>
          </cell>
          <cell r="Y26" t="str">
            <v>ia̍p</v>
          </cell>
        </row>
        <row r="27">
          <cell r="R27" t="str">
            <v>au</v>
          </cell>
          <cell r="S27" t="str">
            <v>áu</v>
          </cell>
          <cell r="T27" t="str">
            <v>àu</v>
          </cell>
          <cell r="U27" t="str">
            <v>auh</v>
          </cell>
          <cell r="V27" t="str">
            <v>âu</v>
          </cell>
          <cell r="W27" t="str">
            <v>àu</v>
          </cell>
          <cell r="X27" t="str">
            <v>āu</v>
          </cell>
          <cell r="Y27" t="str">
            <v>a̍uh</v>
          </cell>
        </row>
        <row r="28">
          <cell r="R28" t="str">
            <v>ia</v>
          </cell>
          <cell r="S28" t="str">
            <v>iá</v>
          </cell>
          <cell r="T28" t="str">
            <v>ià</v>
          </cell>
          <cell r="U28" t="str">
            <v>iah</v>
          </cell>
          <cell r="V28" t="str">
            <v>iâ</v>
          </cell>
          <cell r="W28" t="str">
            <v>ià</v>
          </cell>
          <cell r="X28" t="str">
            <v>iā</v>
          </cell>
          <cell r="Y28" t="str">
            <v>ia̍h</v>
          </cell>
        </row>
        <row r="29">
          <cell r="R29" t="str">
            <v>oe</v>
          </cell>
          <cell r="S29" t="str">
            <v>óe</v>
          </cell>
          <cell r="T29" t="str">
            <v>òe</v>
          </cell>
          <cell r="U29" t="str">
            <v>oeh</v>
          </cell>
          <cell r="V29" t="str">
            <v>ôe</v>
          </cell>
          <cell r="W29" t="str">
            <v>òe</v>
          </cell>
          <cell r="X29" t="str">
            <v>ōe</v>
          </cell>
          <cell r="Y29" t="str">
            <v>o̍eh</v>
          </cell>
        </row>
        <row r="30">
          <cell r="R30" t="str">
            <v>ann</v>
          </cell>
          <cell r="S30" t="str">
            <v>ánn</v>
          </cell>
          <cell r="T30" t="str">
            <v>ànn</v>
          </cell>
          <cell r="U30" t="str">
            <v>ahnn</v>
          </cell>
          <cell r="V30" t="str">
            <v>ânn</v>
          </cell>
          <cell r="W30" t="str">
            <v>ànn</v>
          </cell>
          <cell r="X30" t="str">
            <v>ānn</v>
          </cell>
          <cell r="Y30" t="str">
            <v>a̍hnn</v>
          </cell>
        </row>
        <row r="31">
          <cell r="R31" t="str">
            <v>u</v>
          </cell>
          <cell r="S31" t="str">
            <v>ú</v>
          </cell>
          <cell r="T31" t="str">
            <v>ù</v>
          </cell>
          <cell r="U31" t="str">
            <v>uh</v>
          </cell>
          <cell r="V31" t="str">
            <v>û</v>
          </cell>
          <cell r="W31" t="str">
            <v>ù</v>
          </cell>
          <cell r="X31" t="str">
            <v>ū</v>
          </cell>
          <cell r="Y31" t="str">
            <v>u̍h</v>
          </cell>
        </row>
        <row r="32">
          <cell r="R32" t="str">
            <v>a</v>
          </cell>
          <cell r="S32" t="str">
            <v>á</v>
          </cell>
          <cell r="T32" t="str">
            <v>à</v>
          </cell>
          <cell r="U32" t="str">
            <v>ah</v>
          </cell>
          <cell r="V32" t="str">
            <v>â</v>
          </cell>
          <cell r="W32" t="str">
            <v>à</v>
          </cell>
          <cell r="X32" t="str">
            <v>ā</v>
          </cell>
          <cell r="Y32" t="str">
            <v>a̍h</v>
          </cell>
        </row>
        <row r="33">
          <cell r="R33" t="str">
            <v>i</v>
          </cell>
          <cell r="S33" t="str">
            <v>í</v>
          </cell>
          <cell r="T33" t="str">
            <v>ì</v>
          </cell>
          <cell r="U33" t="str">
            <v>ih</v>
          </cell>
          <cell r="V33" t="str">
            <v>î</v>
          </cell>
          <cell r="W33" t="str">
            <v>ì</v>
          </cell>
          <cell r="X33" t="str">
            <v>ī</v>
          </cell>
          <cell r="Y33" t="str">
            <v>i̍h</v>
          </cell>
        </row>
        <row r="34">
          <cell r="R34" t="str">
            <v>iu</v>
          </cell>
          <cell r="S34" t="str">
            <v>iú</v>
          </cell>
          <cell r="T34" t="str">
            <v>iù</v>
          </cell>
          <cell r="U34" t="str">
            <v>iuh</v>
          </cell>
          <cell r="V34" t="str">
            <v>iû</v>
          </cell>
          <cell r="W34" t="str">
            <v>iù</v>
          </cell>
          <cell r="X34" t="str">
            <v>iū</v>
          </cell>
          <cell r="Y34" t="str">
            <v>iu̍h</v>
          </cell>
        </row>
        <row r="35">
          <cell r="R35" t="str">
            <v>enn</v>
          </cell>
          <cell r="S35" t="str">
            <v>énn</v>
          </cell>
          <cell r="T35" t="str">
            <v>ènn</v>
          </cell>
          <cell r="U35" t="str">
            <v>ehnn</v>
          </cell>
          <cell r="V35" t="str">
            <v>ênn</v>
          </cell>
          <cell r="W35" t="str">
            <v>ènn</v>
          </cell>
          <cell r="X35" t="str">
            <v>ēnn</v>
          </cell>
          <cell r="Y35" t="str">
            <v>e̍hnn</v>
          </cell>
        </row>
        <row r="36">
          <cell r="R36" t="str">
            <v>uinn</v>
          </cell>
          <cell r="S36" t="str">
            <v>úinn</v>
          </cell>
          <cell r="T36" t="str">
            <v>ùinn</v>
          </cell>
          <cell r="U36" t="str">
            <v>uinnh</v>
          </cell>
          <cell r="V36" t="str">
            <v>ûinn</v>
          </cell>
          <cell r="W36" t="str">
            <v>ùinn</v>
          </cell>
          <cell r="X36" t="str">
            <v>ūinn</v>
          </cell>
          <cell r="Y36" t="str">
            <v>u̍innh</v>
          </cell>
        </row>
        <row r="37">
          <cell r="R37" t="str">
            <v>io</v>
          </cell>
          <cell r="S37" t="str">
            <v>ió</v>
          </cell>
          <cell r="T37" t="str">
            <v>iò</v>
          </cell>
          <cell r="U37" t="str">
            <v>ioh</v>
          </cell>
          <cell r="V37" t="str">
            <v>iô</v>
          </cell>
          <cell r="W37" t="str">
            <v>iò</v>
          </cell>
          <cell r="X37" t="str">
            <v>iō</v>
          </cell>
          <cell r="Y37" t="str">
            <v>io̍h</v>
          </cell>
        </row>
        <row r="38">
          <cell r="R38" t="str">
            <v>inn</v>
          </cell>
          <cell r="S38" t="str">
            <v>ínn</v>
          </cell>
          <cell r="T38" t="str">
            <v>ìnn</v>
          </cell>
          <cell r="U38" t="str">
            <v>ihnn</v>
          </cell>
          <cell r="V38" t="str">
            <v>înn</v>
          </cell>
          <cell r="W38" t="str">
            <v>ìnn</v>
          </cell>
          <cell r="X38" t="str">
            <v>īnn</v>
          </cell>
          <cell r="Y38" t="str">
            <v>i̍hnn</v>
          </cell>
        </row>
        <row r="39">
          <cell r="R39" t="str">
            <v>ionn</v>
          </cell>
          <cell r="S39" t="str">
            <v>iónn</v>
          </cell>
          <cell r="T39" t="str">
            <v>iònn</v>
          </cell>
          <cell r="U39" t="str">
            <v>ionnh</v>
          </cell>
          <cell r="V39" t="str">
            <v>iônn</v>
          </cell>
          <cell r="W39" t="str">
            <v>iònn</v>
          </cell>
          <cell r="X39" t="str">
            <v>iōnn</v>
          </cell>
          <cell r="Y39" t="str">
            <v>io̍nnh</v>
          </cell>
        </row>
        <row r="40">
          <cell r="R40" t="str">
            <v>iann</v>
          </cell>
          <cell r="S40" t="str">
            <v>iánn</v>
          </cell>
          <cell r="T40" t="str">
            <v>iànn</v>
          </cell>
          <cell r="U40" t="str">
            <v>iannh</v>
          </cell>
          <cell r="V40" t="str">
            <v>iânn</v>
          </cell>
          <cell r="W40" t="str">
            <v>iànn</v>
          </cell>
          <cell r="X40" t="str">
            <v>iānn</v>
          </cell>
          <cell r="Y40" t="str">
            <v>ia̍nnh</v>
          </cell>
        </row>
        <row r="41">
          <cell r="R41" t="str">
            <v>oann</v>
          </cell>
          <cell r="S41" t="str">
            <v>óann</v>
          </cell>
          <cell r="T41" t="str">
            <v>òann</v>
          </cell>
          <cell r="U41" t="str">
            <v>oannh</v>
          </cell>
          <cell r="V41" t="str">
            <v>ôann</v>
          </cell>
          <cell r="W41" t="str">
            <v>òann</v>
          </cell>
          <cell r="X41" t="str">
            <v>ōann</v>
          </cell>
          <cell r="Y41" t="str">
            <v>o̍annh</v>
          </cell>
        </row>
        <row r="42">
          <cell r="R42" t="str">
            <v>ng</v>
          </cell>
          <cell r="S42" t="str">
            <v>ńg</v>
          </cell>
          <cell r="T42" t="str">
            <v xml:space="preserve">ǹ </v>
          </cell>
          <cell r="U42" t="str">
            <v>ngh</v>
          </cell>
          <cell r="V42" t="str">
            <v>n̂g</v>
          </cell>
          <cell r="W42" t="str">
            <v>0</v>
          </cell>
          <cell r="X42" t="str">
            <v>n̄g</v>
          </cell>
          <cell r="Y42" t="str">
            <v>n̍gh</v>
          </cell>
        </row>
        <row r="43">
          <cell r="R43" t="str">
            <v>e</v>
          </cell>
          <cell r="S43" t="str">
            <v>é</v>
          </cell>
          <cell r="T43" t="str">
            <v>è</v>
          </cell>
          <cell r="U43" t="str">
            <v>eh</v>
          </cell>
          <cell r="V43" t="str">
            <v>ê</v>
          </cell>
          <cell r="W43" t="str">
            <v>è</v>
          </cell>
          <cell r="X43" t="str">
            <v>ē</v>
          </cell>
          <cell r="Y43" t="str">
            <v>e̍h</v>
          </cell>
        </row>
        <row r="44">
          <cell r="R44" t="str">
            <v>ainn</v>
          </cell>
          <cell r="S44" t="str">
            <v>áinn</v>
          </cell>
          <cell r="T44" t="str">
            <v>àinn</v>
          </cell>
          <cell r="U44" t="str">
            <v>ainnh</v>
          </cell>
          <cell r="V44" t="str">
            <v>âinn</v>
          </cell>
          <cell r="W44" t="str">
            <v>àinn</v>
          </cell>
          <cell r="X44" t="str">
            <v>āinn</v>
          </cell>
          <cell r="Y44" t="str">
            <v>a̍innh</v>
          </cell>
        </row>
        <row r="45">
          <cell r="R45" t="str">
            <v>onn</v>
          </cell>
          <cell r="S45" t="str">
            <v>ónn</v>
          </cell>
          <cell r="T45" t="str">
            <v>ònn</v>
          </cell>
          <cell r="U45" t="str">
            <v>onnh</v>
          </cell>
          <cell r="V45" t="str">
            <v>ônn</v>
          </cell>
          <cell r="W45" t="str">
            <v>ònn</v>
          </cell>
          <cell r="X45" t="str">
            <v>ōnn</v>
          </cell>
          <cell r="Y45" t="str">
            <v>o̍nnh</v>
          </cell>
        </row>
        <row r="46">
          <cell r="R46" t="str">
            <v>m</v>
          </cell>
          <cell r="S46" t="str">
            <v xml:space="preserve"> ḿ</v>
          </cell>
          <cell r="T46" t="str">
            <v>m̀</v>
          </cell>
          <cell r="U46" t="str">
            <v>mh</v>
          </cell>
          <cell r="V46" t="str">
            <v>m̂</v>
          </cell>
          <cell r="W46" t="str">
            <v>m̀</v>
          </cell>
          <cell r="X46" t="str">
            <v>m̄</v>
          </cell>
          <cell r="Y46" t="str">
            <v>m̍hh</v>
          </cell>
        </row>
        <row r="47">
          <cell r="R47" t="str">
            <v>oang</v>
          </cell>
          <cell r="S47" t="str">
            <v>oáng</v>
          </cell>
          <cell r="T47" t="str">
            <v>oàng</v>
          </cell>
          <cell r="U47" t="str">
            <v>oak</v>
          </cell>
          <cell r="V47" t="str">
            <v>oâng</v>
          </cell>
          <cell r="W47" t="str">
            <v>oàng</v>
          </cell>
          <cell r="X47" t="str">
            <v>oāng</v>
          </cell>
          <cell r="Y47" t="str">
            <v>oa̍k</v>
          </cell>
        </row>
        <row r="48">
          <cell r="R48" t="str">
            <v>oainn</v>
          </cell>
          <cell r="S48" t="str">
            <v>oáinn</v>
          </cell>
          <cell r="T48" t="str">
            <v>oàinn</v>
          </cell>
          <cell r="U48" t="str">
            <v>oaihnn</v>
          </cell>
          <cell r="V48" t="str">
            <v>oâinn</v>
          </cell>
          <cell r="W48" t="str">
            <v>oàinn</v>
          </cell>
          <cell r="X48" t="str">
            <v>oāinn</v>
          </cell>
          <cell r="Y48" t="str">
            <v>oa̍ihnn</v>
          </cell>
        </row>
        <row r="49">
          <cell r="R49" t="str">
            <v>oenn</v>
          </cell>
          <cell r="S49" t="str">
            <v>óenn</v>
          </cell>
          <cell r="T49" t="str">
            <v>òenn</v>
          </cell>
          <cell r="U49" t="str">
            <v>oennh</v>
          </cell>
          <cell r="V49" t="str">
            <v>ôenn</v>
          </cell>
          <cell r="W49" t="str">
            <v>òenn</v>
          </cell>
          <cell r="X49" t="str">
            <v>ōenn</v>
          </cell>
          <cell r="Y49" t="str">
            <v>o̍ennh</v>
          </cell>
        </row>
        <row r="50">
          <cell r="R50" t="str">
            <v>iaunn</v>
          </cell>
          <cell r="S50" t="str">
            <v>iáunn</v>
          </cell>
          <cell r="T50" t="str">
            <v>iàunn</v>
          </cell>
          <cell r="U50" t="str">
            <v>iauhnn</v>
          </cell>
          <cell r="V50" t="str">
            <v>iâunn</v>
          </cell>
          <cell r="W50" t="str">
            <v>iàunn</v>
          </cell>
          <cell r="X50" t="str">
            <v>iāunn</v>
          </cell>
          <cell r="Y50" t="str">
            <v>ia̍uhnn</v>
          </cell>
        </row>
        <row r="51">
          <cell r="R51" t="str">
            <v>om</v>
          </cell>
          <cell r="S51" t="str">
            <v>óm</v>
          </cell>
          <cell r="T51" t="str">
            <v>òm</v>
          </cell>
          <cell r="U51" t="str">
            <v>op</v>
          </cell>
          <cell r="V51" t="str">
            <v>ôm</v>
          </cell>
          <cell r="W51" t="str">
            <v>òm</v>
          </cell>
          <cell r="X51" t="str">
            <v>ōm</v>
          </cell>
          <cell r="Y51" t="str">
            <v>o̍p</v>
          </cell>
        </row>
        <row r="52">
          <cell r="R52" t="str">
            <v>aunn</v>
          </cell>
          <cell r="S52" t="str">
            <v>áunn</v>
          </cell>
          <cell r="T52" t="str">
            <v>àunn</v>
          </cell>
          <cell r="U52" t="str">
            <v>aunnh</v>
          </cell>
          <cell r="V52" t="str">
            <v>âunn</v>
          </cell>
          <cell r="W52" t="str">
            <v>àunn</v>
          </cell>
          <cell r="X52" t="str">
            <v>āunn</v>
          </cell>
          <cell r="Y52" t="str">
            <v>a̍unnh</v>
          </cell>
        </row>
        <row r="53">
          <cell r="R53" t="str">
            <v>onn</v>
          </cell>
          <cell r="S53" t="str">
            <v>ónn</v>
          </cell>
          <cell r="T53" t="str">
            <v>ònn</v>
          </cell>
          <cell r="U53" t="str">
            <v>ohnn</v>
          </cell>
          <cell r="V53" t="str">
            <v>ônn</v>
          </cell>
          <cell r="W53" t="str">
            <v>ònn</v>
          </cell>
          <cell r="X53" t="str">
            <v>ōnn</v>
          </cell>
          <cell r="Y53" t="str">
            <v>o̍hnn</v>
          </cell>
        </row>
        <row r="54">
          <cell r="R54" t="str">
            <v>iunn</v>
          </cell>
          <cell r="S54" t="str">
            <v>iúnn</v>
          </cell>
          <cell r="T54" t="str">
            <v>iùnn</v>
          </cell>
          <cell r="U54" t="str">
            <v>iunnh</v>
          </cell>
          <cell r="V54" t="str">
            <v>iûnn</v>
          </cell>
          <cell r="W54" t="str">
            <v>iùnn</v>
          </cell>
          <cell r="X54" t="str">
            <v>iūnn</v>
          </cell>
          <cell r="Y54" t="str">
            <v>iu̍nnh</v>
          </cell>
        </row>
      </sheetData>
      <sheetData sheetId="33" refreshError="1"/>
      <sheetData sheetId="34">
        <row r="5">
          <cell r="R5" t="str">
            <v>un</v>
          </cell>
          <cell r="S5" t="str">
            <v>ún</v>
          </cell>
          <cell r="T5" t="str">
            <v>ùn</v>
          </cell>
          <cell r="U5" t="str">
            <v>ut</v>
          </cell>
          <cell r="V5" t="str">
            <v>ûn</v>
          </cell>
          <cell r="W5" t="str">
            <v>ùn</v>
          </cell>
          <cell r="X5" t="str">
            <v>ūn</v>
          </cell>
          <cell r="Y5" t="str">
            <v>u̍t</v>
          </cell>
        </row>
        <row r="6">
          <cell r="R6" t="str">
            <v>ian</v>
          </cell>
          <cell r="S6" t="str">
            <v>ián</v>
          </cell>
          <cell r="T6" t="str">
            <v>iàn</v>
          </cell>
          <cell r="U6" t="str">
            <v>iat</v>
          </cell>
          <cell r="V6" t="str">
            <v>iân</v>
          </cell>
          <cell r="W6" t="str">
            <v>iàn</v>
          </cell>
          <cell r="X6" t="str">
            <v>iān</v>
          </cell>
          <cell r="Y6" t="str">
            <v>ia̍t</v>
          </cell>
        </row>
        <row r="7">
          <cell r="R7" t="str">
            <v>im</v>
          </cell>
          <cell r="S7" t="str">
            <v>ím</v>
          </cell>
          <cell r="T7" t="str">
            <v>ìm</v>
          </cell>
          <cell r="U7" t="str">
            <v>ip</v>
          </cell>
          <cell r="V7" t="str">
            <v>îm</v>
          </cell>
          <cell r="W7" t="str">
            <v>ìm</v>
          </cell>
          <cell r="X7" t="str">
            <v>īm</v>
          </cell>
          <cell r="Y7" t="str">
            <v>i̍p</v>
          </cell>
        </row>
        <row r="8">
          <cell r="R8" t="str">
            <v>ui</v>
          </cell>
          <cell r="S8" t="str">
            <v>úi</v>
          </cell>
          <cell r="T8" t="str">
            <v>ùi</v>
          </cell>
          <cell r="U8" t="str">
            <v>uih</v>
          </cell>
          <cell r="V8" t="str">
            <v>ûi</v>
          </cell>
          <cell r="W8" t="str">
            <v>ùi</v>
          </cell>
          <cell r="X8" t="str">
            <v>ūi</v>
          </cell>
          <cell r="Y8" t="str">
            <v>u̍ih</v>
          </cell>
        </row>
        <row r="9">
          <cell r="R9" t="str">
            <v>ee</v>
          </cell>
          <cell r="S9" t="str">
            <v>éé</v>
          </cell>
          <cell r="T9" t="str">
            <v>èè</v>
          </cell>
          <cell r="U9" t="str">
            <v>eh</v>
          </cell>
          <cell r="V9" t="str">
            <v>êê</v>
          </cell>
          <cell r="W9" t="str">
            <v>èè</v>
          </cell>
          <cell r="X9" t="str">
            <v>ēē</v>
          </cell>
          <cell r="Y9" t="str">
            <v>e̍h</v>
          </cell>
        </row>
        <row r="10">
          <cell r="R10" t="str">
            <v>an</v>
          </cell>
          <cell r="S10" t="str">
            <v>án</v>
          </cell>
          <cell r="T10" t="str">
            <v>àn</v>
          </cell>
          <cell r="U10" t="str">
            <v>ap</v>
          </cell>
          <cell r="V10" t="str">
            <v>ân</v>
          </cell>
          <cell r="W10" t="str">
            <v>àn</v>
          </cell>
          <cell r="X10" t="str">
            <v>ān</v>
          </cell>
          <cell r="Y10" t="str">
            <v>a̍p</v>
          </cell>
        </row>
        <row r="11">
          <cell r="R11" t="str">
            <v>ong</v>
          </cell>
          <cell r="S11" t="str">
            <v>óng</v>
          </cell>
          <cell r="T11" t="str">
            <v>òng</v>
          </cell>
          <cell r="U11" t="str">
            <v>ok</v>
          </cell>
          <cell r="V11" t="str">
            <v>ông</v>
          </cell>
          <cell r="W11" t="str">
            <v>òng</v>
          </cell>
          <cell r="X11" t="str">
            <v>ōng</v>
          </cell>
          <cell r="Y11" t="str">
            <v>o̍k</v>
          </cell>
        </row>
        <row r="12">
          <cell r="R12" t="str">
            <v>uai</v>
          </cell>
          <cell r="S12" t="str">
            <v>uái</v>
          </cell>
          <cell r="T12" t="str">
            <v>uài</v>
          </cell>
          <cell r="U12" t="str">
            <v>uaih</v>
          </cell>
          <cell r="V12" t="str">
            <v>uâi</v>
          </cell>
          <cell r="W12" t="str">
            <v>uài</v>
          </cell>
          <cell r="X12" t="str">
            <v>uāi</v>
          </cell>
          <cell r="Y12" t="str">
            <v>ua̍ih</v>
          </cell>
        </row>
        <row r="13">
          <cell r="R13" t="str">
            <v>ing</v>
          </cell>
          <cell r="S13" t="str">
            <v>íng</v>
          </cell>
          <cell r="T13" t="str">
            <v>ìng</v>
          </cell>
          <cell r="U13" t="str">
            <v>ik</v>
          </cell>
          <cell r="V13" t="str">
            <v>îng</v>
          </cell>
          <cell r="W13" t="str">
            <v>ìng</v>
          </cell>
          <cell r="X13" t="str">
            <v>īng</v>
          </cell>
          <cell r="Y13" t="str">
            <v>i̍k</v>
          </cell>
        </row>
        <row r="14">
          <cell r="R14" t="str">
            <v>uan</v>
          </cell>
          <cell r="S14" t="str">
            <v>uán</v>
          </cell>
          <cell r="T14" t="str">
            <v>uàn</v>
          </cell>
          <cell r="U14" t="str">
            <v>uat</v>
          </cell>
          <cell r="V14" t="str">
            <v>uân</v>
          </cell>
          <cell r="W14" t="str">
            <v>uàn</v>
          </cell>
          <cell r="X14" t="str">
            <v>uān</v>
          </cell>
          <cell r="Y14" t="str">
            <v>ua̍t</v>
          </cell>
        </row>
        <row r="15">
          <cell r="R15" t="str">
            <v>oo</v>
          </cell>
          <cell r="S15" t="str">
            <v>óo</v>
          </cell>
          <cell r="T15" t="str">
            <v>òo</v>
          </cell>
          <cell r="U15" t="str">
            <v>ooh</v>
          </cell>
          <cell r="V15" t="str">
            <v>ôo</v>
          </cell>
          <cell r="W15" t="str">
            <v>0</v>
          </cell>
          <cell r="X15" t="str">
            <v>ōo</v>
          </cell>
          <cell r="Y15" t="str">
            <v>o̍oh</v>
          </cell>
        </row>
        <row r="16">
          <cell r="R16" t="str">
            <v>iau</v>
          </cell>
          <cell r="S16" t="str">
            <v>iáu</v>
          </cell>
          <cell r="T16" t="str">
            <v>iàu</v>
          </cell>
          <cell r="U16" t="str">
            <v>iauh</v>
          </cell>
          <cell r="V16" t="str">
            <v>iâu</v>
          </cell>
          <cell r="W16" t="str">
            <v>iàu</v>
          </cell>
          <cell r="X16" t="str">
            <v>iāu</v>
          </cell>
          <cell r="Y16" t="str">
            <v>ia̍uh</v>
          </cell>
        </row>
        <row r="17">
          <cell r="R17" t="str">
            <v>e</v>
          </cell>
          <cell r="S17" t="str">
            <v>é</v>
          </cell>
          <cell r="T17" t="str">
            <v>è</v>
          </cell>
          <cell r="U17" t="str">
            <v>eh</v>
          </cell>
          <cell r="V17" t="str">
            <v>ê</v>
          </cell>
          <cell r="W17" t="str">
            <v>è</v>
          </cell>
          <cell r="X17" t="str">
            <v>ē</v>
          </cell>
          <cell r="Y17" t="str">
            <v>e̍h</v>
          </cell>
        </row>
        <row r="18">
          <cell r="R18" t="str">
            <v>iong</v>
          </cell>
          <cell r="S18" t="str">
            <v>ióng</v>
          </cell>
          <cell r="T18" t="str">
            <v>iòng</v>
          </cell>
          <cell r="U18" t="str">
            <v>iok</v>
          </cell>
          <cell r="V18" t="str">
            <v>iông</v>
          </cell>
          <cell r="W18" t="str">
            <v>iòng</v>
          </cell>
          <cell r="X18" t="str">
            <v>iōng</v>
          </cell>
          <cell r="Y18" t="str">
            <v>io̍k</v>
          </cell>
        </row>
        <row r="19">
          <cell r="R19" t="str">
            <v>o</v>
          </cell>
          <cell r="S19" t="str">
            <v>ó</v>
          </cell>
          <cell r="T19" t="str">
            <v>ò</v>
          </cell>
          <cell r="U19" t="str">
            <v>oh</v>
          </cell>
          <cell r="V19" t="str">
            <v>ô</v>
          </cell>
          <cell r="W19" t="str">
            <v>ò</v>
          </cell>
          <cell r="X19" t="str">
            <v>ō</v>
          </cell>
          <cell r="Y19" t="str">
            <v>o̍h</v>
          </cell>
        </row>
        <row r="20">
          <cell r="R20" t="str">
            <v>ai</v>
          </cell>
          <cell r="S20" t="str">
            <v>ái</v>
          </cell>
          <cell r="T20" t="str">
            <v>ài</v>
          </cell>
          <cell r="U20" t="str">
            <v>aih</v>
          </cell>
          <cell r="V20" t="str">
            <v>âi</v>
          </cell>
          <cell r="W20" t="str">
            <v>ài</v>
          </cell>
          <cell r="X20" t="str">
            <v>āi</v>
          </cell>
          <cell r="Y20" t="str">
            <v>a̍ih</v>
          </cell>
        </row>
        <row r="21">
          <cell r="R21" t="str">
            <v>in</v>
          </cell>
          <cell r="S21" t="str">
            <v>ín</v>
          </cell>
          <cell r="T21" t="str">
            <v>ìn</v>
          </cell>
          <cell r="U21" t="str">
            <v>it</v>
          </cell>
          <cell r="V21" t="str">
            <v>în</v>
          </cell>
          <cell r="W21" t="str">
            <v>ìn</v>
          </cell>
          <cell r="X21" t="str">
            <v>īn</v>
          </cell>
          <cell r="Y21" t="str">
            <v>i̍t</v>
          </cell>
        </row>
        <row r="22">
          <cell r="R22" t="str">
            <v>iang</v>
          </cell>
          <cell r="S22" t="str">
            <v>iáng</v>
          </cell>
          <cell r="T22" t="str">
            <v>iàng</v>
          </cell>
          <cell r="U22" t="str">
            <v>iak</v>
          </cell>
          <cell r="V22" t="str">
            <v>iâng</v>
          </cell>
          <cell r="W22" t="str">
            <v>iàng</v>
          </cell>
          <cell r="X22" t="str">
            <v>iāng</v>
          </cell>
          <cell r="Y22" t="str">
            <v>ia̍k</v>
          </cell>
        </row>
        <row r="23">
          <cell r="R23" t="str">
            <v>am</v>
          </cell>
          <cell r="S23" t="str">
            <v>ám</v>
          </cell>
          <cell r="T23" t="str">
            <v>àm</v>
          </cell>
          <cell r="U23" t="str">
            <v>ap</v>
          </cell>
          <cell r="V23" t="str">
            <v>âm</v>
          </cell>
          <cell r="W23" t="str">
            <v>àm</v>
          </cell>
          <cell r="X23" t="str">
            <v>ām</v>
          </cell>
          <cell r="Y23" t="str">
            <v>a̍p</v>
          </cell>
        </row>
        <row r="24">
          <cell r="R24" t="str">
            <v>ua</v>
          </cell>
          <cell r="S24" t="str">
            <v>úa</v>
          </cell>
          <cell r="T24" t="str">
            <v>ùa</v>
          </cell>
          <cell r="U24" t="str">
            <v>uah</v>
          </cell>
          <cell r="V24" t="str">
            <v>ûa</v>
          </cell>
          <cell r="W24" t="str">
            <v>ùa</v>
          </cell>
          <cell r="X24" t="str">
            <v>ūa</v>
          </cell>
          <cell r="Y24" t="str">
            <v>u̍ah</v>
          </cell>
        </row>
        <row r="25">
          <cell r="R25" t="str">
            <v>ang</v>
          </cell>
          <cell r="S25" t="str">
            <v>áng</v>
          </cell>
          <cell r="T25" t="str">
            <v>àng</v>
          </cell>
          <cell r="U25" t="str">
            <v>ak</v>
          </cell>
          <cell r="V25" t="str">
            <v>âng</v>
          </cell>
          <cell r="W25" t="str">
            <v>àng</v>
          </cell>
          <cell r="X25" t="str">
            <v>āng</v>
          </cell>
          <cell r="Y25" t="str">
            <v>a̍k</v>
          </cell>
        </row>
        <row r="26">
          <cell r="R26" t="str">
            <v>iam</v>
          </cell>
          <cell r="S26" t="str">
            <v>iám</v>
          </cell>
          <cell r="T26" t="str">
            <v>iàm</v>
          </cell>
          <cell r="U26" t="str">
            <v>iap</v>
          </cell>
          <cell r="V26" t="str">
            <v>iâm</v>
          </cell>
          <cell r="W26" t="str">
            <v>iàm</v>
          </cell>
          <cell r="X26" t="str">
            <v>iām</v>
          </cell>
          <cell r="Y26" t="str">
            <v>ia̍p</v>
          </cell>
        </row>
        <row r="27">
          <cell r="R27" t="str">
            <v>au</v>
          </cell>
          <cell r="S27" t="str">
            <v>áu</v>
          </cell>
          <cell r="T27" t="str">
            <v>àu</v>
          </cell>
          <cell r="U27" t="str">
            <v>auh</v>
          </cell>
          <cell r="V27" t="str">
            <v>âu</v>
          </cell>
          <cell r="W27" t="str">
            <v>àu</v>
          </cell>
          <cell r="X27" t="str">
            <v>āu</v>
          </cell>
          <cell r="Y27" t="str">
            <v>a̍uh</v>
          </cell>
        </row>
        <row r="28">
          <cell r="R28" t="str">
            <v>ia</v>
          </cell>
          <cell r="S28" t="str">
            <v>iá</v>
          </cell>
          <cell r="T28" t="str">
            <v>ià</v>
          </cell>
          <cell r="U28" t="str">
            <v>iah</v>
          </cell>
          <cell r="V28" t="str">
            <v>iâ</v>
          </cell>
          <cell r="W28" t="str">
            <v>ià</v>
          </cell>
          <cell r="X28" t="str">
            <v>iā</v>
          </cell>
          <cell r="Y28" t="str">
            <v>ia̍h</v>
          </cell>
        </row>
        <row r="29">
          <cell r="R29" t="str">
            <v>ue</v>
          </cell>
          <cell r="S29" t="str">
            <v>úe</v>
          </cell>
          <cell r="T29" t="str">
            <v>ùe</v>
          </cell>
          <cell r="U29" t="str">
            <v>ueh</v>
          </cell>
          <cell r="V29" t="str">
            <v>ûe</v>
          </cell>
          <cell r="W29" t="str">
            <v>ùe</v>
          </cell>
          <cell r="X29" t="str">
            <v>ūe</v>
          </cell>
          <cell r="Y29" t="str">
            <v>u̍eh</v>
          </cell>
        </row>
        <row r="30">
          <cell r="R30" t="str">
            <v>ann</v>
          </cell>
          <cell r="S30" t="str">
            <v>ánn</v>
          </cell>
          <cell r="T30" t="str">
            <v>ànn</v>
          </cell>
          <cell r="U30" t="str">
            <v>annh</v>
          </cell>
          <cell r="V30" t="str">
            <v>ânn</v>
          </cell>
          <cell r="W30" t="str">
            <v>ànn</v>
          </cell>
          <cell r="X30" t="str">
            <v>ānn</v>
          </cell>
          <cell r="Y30" t="str">
            <v>a̍nnh</v>
          </cell>
        </row>
        <row r="31">
          <cell r="R31" t="str">
            <v>u</v>
          </cell>
          <cell r="S31" t="str">
            <v>ú</v>
          </cell>
          <cell r="T31" t="str">
            <v>ù</v>
          </cell>
          <cell r="U31" t="str">
            <v>uh</v>
          </cell>
          <cell r="V31" t="str">
            <v>û</v>
          </cell>
          <cell r="W31" t="str">
            <v>ù</v>
          </cell>
          <cell r="X31" t="str">
            <v>ū</v>
          </cell>
          <cell r="Y31" t="str">
            <v>u̍h</v>
          </cell>
        </row>
        <row r="32">
          <cell r="R32" t="str">
            <v>a</v>
          </cell>
          <cell r="S32" t="str">
            <v>á</v>
          </cell>
          <cell r="T32" t="str">
            <v>à</v>
          </cell>
          <cell r="U32" t="str">
            <v>ah</v>
          </cell>
          <cell r="V32" t="str">
            <v>â</v>
          </cell>
          <cell r="W32" t="str">
            <v>à</v>
          </cell>
          <cell r="X32" t="str">
            <v>ā</v>
          </cell>
          <cell r="Y32" t="str">
            <v>a̍h</v>
          </cell>
        </row>
        <row r="33">
          <cell r="R33" t="str">
            <v>i</v>
          </cell>
          <cell r="S33" t="str">
            <v>í</v>
          </cell>
          <cell r="T33" t="str">
            <v>ì</v>
          </cell>
          <cell r="U33" t="str">
            <v>ih</v>
          </cell>
          <cell r="V33" t="str">
            <v>î</v>
          </cell>
          <cell r="W33" t="str">
            <v>ì</v>
          </cell>
          <cell r="X33" t="str">
            <v>ī</v>
          </cell>
          <cell r="Y33" t="str">
            <v>i̍h</v>
          </cell>
        </row>
        <row r="34">
          <cell r="R34" t="str">
            <v>iu</v>
          </cell>
          <cell r="S34" t="str">
            <v>iú</v>
          </cell>
          <cell r="T34" t="str">
            <v>iù</v>
          </cell>
          <cell r="U34" t="str">
            <v>iuh</v>
          </cell>
          <cell r="V34" t="str">
            <v>iû</v>
          </cell>
          <cell r="W34" t="str">
            <v>iù</v>
          </cell>
          <cell r="X34" t="str">
            <v>iū</v>
          </cell>
          <cell r="Y34" t="str">
            <v>iu̍h</v>
          </cell>
        </row>
        <row r="35">
          <cell r="R35" t="str">
            <v>enn</v>
          </cell>
          <cell r="S35" t="str">
            <v>énn</v>
          </cell>
          <cell r="T35" t="str">
            <v>ènn</v>
          </cell>
          <cell r="U35" t="str">
            <v>ennh</v>
          </cell>
          <cell r="V35" t="str">
            <v>ênn</v>
          </cell>
          <cell r="W35" t="str">
            <v>ènn</v>
          </cell>
          <cell r="X35" t="str">
            <v>ēnn</v>
          </cell>
          <cell r="Y35" t="str">
            <v>e̍nnh</v>
          </cell>
        </row>
        <row r="36">
          <cell r="R36" t="str">
            <v>uinn</v>
          </cell>
          <cell r="S36" t="str">
            <v>úinn</v>
          </cell>
          <cell r="T36" t="str">
            <v>ùinn</v>
          </cell>
          <cell r="U36" t="str">
            <v>uinnh</v>
          </cell>
          <cell r="V36" t="str">
            <v>ûinn</v>
          </cell>
          <cell r="W36" t="str">
            <v>ùinn</v>
          </cell>
          <cell r="X36" t="str">
            <v>ūinn</v>
          </cell>
          <cell r="Y36" t="str">
            <v>u̍innh</v>
          </cell>
        </row>
        <row r="37">
          <cell r="R37" t="str">
            <v>io</v>
          </cell>
          <cell r="S37" t="str">
            <v>ió</v>
          </cell>
          <cell r="T37" t="str">
            <v>iò</v>
          </cell>
          <cell r="U37" t="str">
            <v>ioh</v>
          </cell>
          <cell r="V37" t="str">
            <v>iô</v>
          </cell>
          <cell r="W37" t="str">
            <v>iò</v>
          </cell>
          <cell r="X37" t="str">
            <v>iō</v>
          </cell>
          <cell r="Y37" t="str">
            <v>io̍h</v>
          </cell>
        </row>
        <row r="38">
          <cell r="R38" t="str">
            <v>inn</v>
          </cell>
          <cell r="S38" t="str">
            <v>ínn</v>
          </cell>
          <cell r="T38" t="str">
            <v>ìnn</v>
          </cell>
          <cell r="U38" t="str">
            <v>innh</v>
          </cell>
          <cell r="V38" t="str">
            <v>înn</v>
          </cell>
          <cell r="W38" t="str">
            <v>ìnn</v>
          </cell>
          <cell r="X38" t="str">
            <v>īnn</v>
          </cell>
          <cell r="Y38" t="str">
            <v>i̍nnh</v>
          </cell>
        </row>
        <row r="39">
          <cell r="R39" t="str">
            <v>ionn</v>
          </cell>
          <cell r="S39" t="str">
            <v>iónn</v>
          </cell>
          <cell r="T39" t="str">
            <v>iònn</v>
          </cell>
          <cell r="U39" t="str">
            <v>ionnh</v>
          </cell>
          <cell r="V39" t="str">
            <v>iônn</v>
          </cell>
          <cell r="W39" t="str">
            <v>iònn</v>
          </cell>
          <cell r="X39" t="str">
            <v>iōnn</v>
          </cell>
          <cell r="Y39" t="str">
            <v>io̍nnh</v>
          </cell>
        </row>
        <row r="40">
          <cell r="R40" t="str">
            <v>iann</v>
          </cell>
          <cell r="S40" t="str">
            <v>iánn</v>
          </cell>
          <cell r="T40" t="str">
            <v>iànn</v>
          </cell>
          <cell r="U40" t="str">
            <v>iannh</v>
          </cell>
          <cell r="V40" t="str">
            <v>iânn</v>
          </cell>
          <cell r="W40" t="str">
            <v>iànn</v>
          </cell>
          <cell r="X40" t="str">
            <v>iānn</v>
          </cell>
          <cell r="Y40" t="str">
            <v>ia̍nnh</v>
          </cell>
        </row>
        <row r="41">
          <cell r="R41" t="str">
            <v>uann</v>
          </cell>
          <cell r="S41" t="str">
            <v>úann</v>
          </cell>
          <cell r="T41" t="str">
            <v>ùann</v>
          </cell>
          <cell r="U41" t="str">
            <v>uannh</v>
          </cell>
          <cell r="V41" t="str">
            <v>ûann</v>
          </cell>
          <cell r="W41" t="str">
            <v>ùann</v>
          </cell>
          <cell r="X41" t="str">
            <v>ūann</v>
          </cell>
          <cell r="Y41" t="str">
            <v>u̍annh</v>
          </cell>
        </row>
        <row r="42">
          <cell r="R42" t="str">
            <v>ng</v>
          </cell>
          <cell r="S42" t="str">
            <v>ńg</v>
          </cell>
          <cell r="T42" t="str">
            <v xml:space="preserve">ǹ </v>
          </cell>
          <cell r="U42" t="str">
            <v>ngh</v>
          </cell>
          <cell r="V42" t="str">
            <v>n̂gh</v>
          </cell>
          <cell r="W42" t="str">
            <v>0</v>
          </cell>
          <cell r="X42" t="str">
            <v>n̄g</v>
          </cell>
          <cell r="Y42" t="str">
            <v>n̍gh</v>
          </cell>
        </row>
        <row r="43">
          <cell r="R43" t="str">
            <v>e</v>
          </cell>
          <cell r="S43" t="str">
            <v>é</v>
          </cell>
          <cell r="T43" t="str">
            <v>è</v>
          </cell>
          <cell r="U43" t="str">
            <v>eh</v>
          </cell>
          <cell r="V43" t="str">
            <v>ê</v>
          </cell>
          <cell r="W43" t="str">
            <v>è</v>
          </cell>
          <cell r="X43" t="str">
            <v>ē</v>
          </cell>
          <cell r="Y43" t="str">
            <v>e̍h</v>
          </cell>
        </row>
        <row r="44">
          <cell r="R44" t="str">
            <v>ainn</v>
          </cell>
          <cell r="S44" t="str">
            <v>áinn</v>
          </cell>
          <cell r="T44" t="str">
            <v>àinn</v>
          </cell>
          <cell r="U44" t="str">
            <v>ainnh</v>
          </cell>
          <cell r="V44" t="str">
            <v>âinn</v>
          </cell>
          <cell r="W44" t="str">
            <v>àinn</v>
          </cell>
          <cell r="X44" t="str">
            <v>āinn</v>
          </cell>
          <cell r="Y44" t="str">
            <v>a̍innh</v>
          </cell>
        </row>
        <row r="45">
          <cell r="R45" t="str">
            <v>onn</v>
          </cell>
          <cell r="S45" t="str">
            <v>ónn</v>
          </cell>
          <cell r="T45" t="str">
            <v>ònn</v>
          </cell>
          <cell r="U45" t="str">
            <v>onnh</v>
          </cell>
          <cell r="V45" t="str">
            <v>ônn</v>
          </cell>
          <cell r="W45" t="str">
            <v>ònn</v>
          </cell>
          <cell r="X45" t="str">
            <v>ōnn</v>
          </cell>
          <cell r="Y45" t="str">
            <v>o̍nnh</v>
          </cell>
        </row>
        <row r="46">
          <cell r="R46" t="str">
            <v>m</v>
          </cell>
          <cell r="S46" t="str">
            <v xml:space="preserve"> ḿ</v>
          </cell>
          <cell r="T46" t="str">
            <v>m̀</v>
          </cell>
          <cell r="U46" t="str">
            <v>mh</v>
          </cell>
          <cell r="V46" t="str">
            <v>m̂</v>
          </cell>
          <cell r="W46" t="str">
            <v>m̀</v>
          </cell>
          <cell r="X46" t="str">
            <v>m̄</v>
          </cell>
          <cell r="Y46" t="str">
            <v>m̍h</v>
          </cell>
        </row>
        <row r="47">
          <cell r="R47" t="str">
            <v>uang</v>
          </cell>
          <cell r="S47" t="str">
            <v>uáng</v>
          </cell>
          <cell r="T47" t="str">
            <v>uàng</v>
          </cell>
          <cell r="U47" t="str">
            <v>uak</v>
          </cell>
          <cell r="V47" t="str">
            <v>uâng</v>
          </cell>
          <cell r="W47" t="str">
            <v>uàng</v>
          </cell>
          <cell r="X47" t="str">
            <v>uāng</v>
          </cell>
          <cell r="Y47" t="str">
            <v>ua̍k</v>
          </cell>
        </row>
        <row r="48">
          <cell r="R48" t="str">
            <v>uainn</v>
          </cell>
          <cell r="S48" t="str">
            <v>uáinn</v>
          </cell>
          <cell r="T48" t="str">
            <v>uàinn</v>
          </cell>
          <cell r="U48" t="str">
            <v>uainnh</v>
          </cell>
          <cell r="V48" t="str">
            <v>uâinn</v>
          </cell>
          <cell r="W48" t="str">
            <v>uàinn</v>
          </cell>
          <cell r="X48" t="str">
            <v>uāinn</v>
          </cell>
          <cell r="Y48" t="str">
            <v>ua̍innh</v>
          </cell>
        </row>
        <row r="49">
          <cell r="R49" t="str">
            <v>uenn</v>
          </cell>
          <cell r="S49" t="str">
            <v>úenn</v>
          </cell>
          <cell r="T49" t="str">
            <v>ùenn</v>
          </cell>
          <cell r="U49" t="str">
            <v>uennh</v>
          </cell>
          <cell r="V49" t="str">
            <v>ûenn</v>
          </cell>
          <cell r="W49" t="str">
            <v>ùenn</v>
          </cell>
          <cell r="X49" t="str">
            <v>ūenn</v>
          </cell>
          <cell r="Y49" t="str">
            <v>u̍ennh</v>
          </cell>
        </row>
        <row r="50">
          <cell r="R50" t="str">
            <v>iaunn</v>
          </cell>
          <cell r="S50" t="str">
            <v>iáunn</v>
          </cell>
          <cell r="T50" t="str">
            <v>iàunn</v>
          </cell>
          <cell r="U50" t="str">
            <v>iaunnh</v>
          </cell>
          <cell r="V50" t="str">
            <v>iâunn</v>
          </cell>
          <cell r="W50" t="str">
            <v>iàunn</v>
          </cell>
          <cell r="X50" t="str">
            <v>iāunn</v>
          </cell>
          <cell r="Y50" t="str">
            <v>ia̍unnh</v>
          </cell>
        </row>
        <row r="51">
          <cell r="R51" t="str">
            <v>om</v>
          </cell>
          <cell r="S51" t="str">
            <v>óm</v>
          </cell>
          <cell r="T51" t="str">
            <v>òm</v>
          </cell>
          <cell r="U51" t="str">
            <v>op</v>
          </cell>
          <cell r="V51" t="str">
            <v>ôm</v>
          </cell>
          <cell r="W51" t="str">
            <v>òm</v>
          </cell>
          <cell r="X51" t="str">
            <v>ōm</v>
          </cell>
          <cell r="Y51" t="str">
            <v>o̍p</v>
          </cell>
        </row>
        <row r="52">
          <cell r="R52" t="str">
            <v>aunn</v>
          </cell>
          <cell r="S52" t="str">
            <v>áunn</v>
          </cell>
          <cell r="T52" t="str">
            <v>àunn</v>
          </cell>
          <cell r="U52" t="str">
            <v>aunnh</v>
          </cell>
          <cell r="V52" t="str">
            <v>âunn</v>
          </cell>
          <cell r="W52" t="str">
            <v>àunn</v>
          </cell>
          <cell r="X52" t="str">
            <v>āunn</v>
          </cell>
          <cell r="Y52" t="str">
            <v>a̍unnh</v>
          </cell>
        </row>
        <row r="53">
          <cell r="R53" t="str">
            <v>onn</v>
          </cell>
          <cell r="S53" t="str">
            <v>ónn</v>
          </cell>
          <cell r="T53" t="str">
            <v>ònn</v>
          </cell>
          <cell r="U53" t="str">
            <v>onnh</v>
          </cell>
          <cell r="V53" t="str">
            <v>ônn</v>
          </cell>
          <cell r="W53" t="str">
            <v>ònn</v>
          </cell>
          <cell r="X53" t="str">
            <v>ōnn</v>
          </cell>
          <cell r="Y53" t="str">
            <v>o̍nnh</v>
          </cell>
        </row>
        <row r="54">
          <cell r="R54" t="str">
            <v>iunn</v>
          </cell>
          <cell r="S54" t="str">
            <v>iúnn</v>
          </cell>
          <cell r="T54" t="str">
            <v>iùnn</v>
          </cell>
          <cell r="U54" t="str">
            <v>iunnh</v>
          </cell>
          <cell r="V54" t="str">
            <v>iûnn</v>
          </cell>
          <cell r="W54" t="str">
            <v>iùnn</v>
          </cell>
          <cell r="X54" t="str">
            <v>iūnn</v>
          </cell>
          <cell r="Y54" t="str">
            <v>iu̍nnh</v>
          </cell>
        </row>
      </sheetData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nv"/>
      <sheetName val="人工標音字庫"/>
      <sheetName val="標音字庫 ( before a210)"/>
      <sheetName val="標音字庫"/>
      <sheetName val="缺字表"/>
      <sheetName val="漢字注音"/>
      <sheetName val="漢字注音 (白話音)"/>
      <sheetName val="漢字注音 (2)"/>
      <sheetName val="人工標音字庫 (2)"/>
      <sheetName val="漢字注音 (範例)"/>
      <sheetName val="缺字表 (範例)"/>
      <sheetName val="標音字庫 (範例)"/>
    </sheetNames>
    <sheetDataSet>
      <sheetData sheetId="0">
        <row r="10">
          <cell r="C10" t="b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148CB2-F379-40E3-98F3-F78C8AAD8794}" name="表格1" displayName="表格1" ref="B2:J9" totalsRowShown="0" headerRowDxfId="0" dataDxfId="2" headerRowBorderDxfId="1" tableBorderDxfId="13" totalsRowBorderDxfId="12" headerRowCellStyle="一般 3">
  <tableColumns count="9">
    <tableColumn id="1" xr3:uid="{CC4F6348-3AF4-4581-8648-C3F3C3A3481E}" name="漢字" dataDxfId="11" dataCellStyle="一般 5"/>
    <tableColumn id="2" xr3:uid="{B6FE4FE8-7A8D-4FC0-A1E4-0C2AA7513AB6}" name="台語音標" dataDxfId="10" dataCellStyle="一般 5"/>
    <tableColumn id="3" xr3:uid="{AB1E00D9-E9FA-4679-A432-D0A2CB859219}" name="四聲八調" dataDxfId="9" dataCellStyle="一般 5"/>
    <tableColumn id="4" xr3:uid="{5769BADB-0B09-4B0A-97A6-1689F7E8257A}" name="音調名" dataDxfId="8" dataCellStyle="一般 5"/>
    <tableColumn id="5" xr3:uid="{22D7CCC0-8104-498F-9FCE-B1A1056BB231}" name="調值" dataDxfId="7" dataCellStyle="一般 2"/>
    <tableColumn id="6" xr3:uid="{A759BC52-68FB-45E1-83FC-9E2ACC1F1DDC}" name="鍵盤按鍵" dataDxfId="6" dataCellStyle="一般 2"/>
    <tableColumn id="7" xr3:uid="{6D3C0B43-6A0E-4EC6-8136-CEDBA842C830}" name="方音符號" dataDxfId="5" dataCellStyle="一般 4 2"/>
    <tableColumn id="8" xr3:uid="{3185A5F8-8F89-4986-8B88-2EE0FCB1EE6E}" name="台羅調號" dataDxfId="4" dataCellStyle="一般 3"/>
    <tableColumn id="9" xr3:uid="{707D4466-BB96-4CD5-8B0A-CED935AC0C40}" name="閩拼調號" dataDxfId="3" dataCellStyle="一般 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5D97F-1E13-4BC8-9B15-F9B539AA4D38}">
  <dimension ref="B2:J18"/>
  <sheetViews>
    <sheetView showGridLines="0" tabSelected="1" workbookViewId="0">
      <selection activeCell="R6" sqref="R6"/>
    </sheetView>
  </sheetViews>
  <sheetFormatPr defaultRowHeight="16.5" outlineLevelRow="1"/>
  <cols>
    <col min="1" max="1" width="4.125" customWidth="1"/>
    <col min="2" max="2" width="16.5" customWidth="1"/>
    <col min="3" max="3" width="13" customWidth="1"/>
    <col min="4" max="5" width="15.375" customWidth="1"/>
    <col min="6" max="6" width="10.5" bestFit="1" customWidth="1"/>
    <col min="7" max="10" width="14.625" customWidth="1"/>
  </cols>
  <sheetData>
    <row r="2" spans="2:10" ht="25.5">
      <c r="B2" s="57" t="s">
        <v>60</v>
      </c>
      <c r="C2" s="57" t="s">
        <v>61</v>
      </c>
      <c r="D2" s="57" t="s">
        <v>32</v>
      </c>
      <c r="E2" s="57" t="s">
        <v>53</v>
      </c>
      <c r="F2" s="58" t="s">
        <v>30</v>
      </c>
      <c r="G2" s="58" t="s">
        <v>37</v>
      </c>
      <c r="H2" s="58" t="s">
        <v>27</v>
      </c>
      <c r="I2" s="57" t="s">
        <v>29</v>
      </c>
      <c r="J2" s="58" t="s">
        <v>52</v>
      </c>
    </row>
    <row r="3" spans="2:10" ht="59.25">
      <c r="B3" s="37" t="s">
        <v>45</v>
      </c>
      <c r="C3" s="38" t="s">
        <v>54</v>
      </c>
      <c r="D3" s="39" t="s">
        <v>25</v>
      </c>
      <c r="E3" s="39" t="s">
        <v>24</v>
      </c>
      <c r="F3" s="40">
        <v>44</v>
      </c>
      <c r="G3" s="41" t="s">
        <v>38</v>
      </c>
      <c r="H3" s="42" t="s">
        <v>4</v>
      </c>
      <c r="I3" s="43">
        <v>1</v>
      </c>
      <c r="J3" s="44">
        <v>1</v>
      </c>
    </row>
    <row r="4" spans="2:10" ht="59.25">
      <c r="B4" s="37" t="s">
        <v>46</v>
      </c>
      <c r="C4" s="45" t="s">
        <v>55</v>
      </c>
      <c r="D4" s="46" t="s">
        <v>22</v>
      </c>
      <c r="E4" s="46" t="s">
        <v>21</v>
      </c>
      <c r="F4" s="40">
        <v>33</v>
      </c>
      <c r="G4" s="47" t="s">
        <v>39</v>
      </c>
      <c r="H4" s="48" t="s">
        <v>20</v>
      </c>
      <c r="I4" s="43">
        <v>7</v>
      </c>
      <c r="J4" s="44">
        <v>6</v>
      </c>
    </row>
    <row r="5" spans="2:10" ht="59.25">
      <c r="B5" s="37" t="s">
        <v>47</v>
      </c>
      <c r="C5" s="38" t="s">
        <v>56</v>
      </c>
      <c r="D5" s="39" t="s">
        <v>18</v>
      </c>
      <c r="E5" s="39" t="s">
        <v>17</v>
      </c>
      <c r="F5" s="40">
        <v>31</v>
      </c>
      <c r="G5" s="41" t="s">
        <v>40</v>
      </c>
      <c r="H5" s="48" t="s">
        <v>16</v>
      </c>
      <c r="I5" s="43">
        <v>3</v>
      </c>
      <c r="J5" s="44">
        <v>5</v>
      </c>
    </row>
    <row r="6" spans="2:10" ht="59.25">
      <c r="B6" s="37" t="s">
        <v>48</v>
      </c>
      <c r="C6" s="45" t="s">
        <v>57</v>
      </c>
      <c r="D6" s="46" t="s">
        <v>36</v>
      </c>
      <c r="E6" s="46" t="s">
        <v>11</v>
      </c>
      <c r="F6" s="40">
        <v>51</v>
      </c>
      <c r="G6" s="41" t="s">
        <v>41</v>
      </c>
      <c r="H6" s="48" t="s">
        <v>10</v>
      </c>
      <c r="I6" s="43">
        <v>2</v>
      </c>
      <c r="J6" s="44">
        <v>3</v>
      </c>
    </row>
    <row r="7" spans="2:10" ht="59.25">
      <c r="B7" s="37" t="s">
        <v>49</v>
      </c>
      <c r="C7" s="38" t="s">
        <v>58</v>
      </c>
      <c r="D7" s="39" t="s">
        <v>14</v>
      </c>
      <c r="E7" s="39" t="s">
        <v>13</v>
      </c>
      <c r="F7" s="40">
        <v>24</v>
      </c>
      <c r="G7" s="47" t="s">
        <v>42</v>
      </c>
      <c r="H7" s="48" t="s">
        <v>12</v>
      </c>
      <c r="I7" s="43">
        <v>5</v>
      </c>
      <c r="J7" s="44">
        <v>2</v>
      </c>
    </row>
    <row r="8" spans="2:10" ht="59.25">
      <c r="B8" s="37" t="s">
        <v>50</v>
      </c>
      <c r="C8" s="45" t="s">
        <v>59</v>
      </c>
      <c r="D8" s="46" t="s">
        <v>6</v>
      </c>
      <c r="E8" s="46" t="s">
        <v>5</v>
      </c>
      <c r="F8" s="40">
        <v>30</v>
      </c>
      <c r="G8" s="41" t="s">
        <v>43</v>
      </c>
      <c r="H8" s="48" t="s">
        <v>4</v>
      </c>
      <c r="I8" s="43">
        <v>4</v>
      </c>
      <c r="J8" s="44">
        <v>7</v>
      </c>
    </row>
    <row r="9" spans="2:10" ht="59.25">
      <c r="B9" s="49" t="s">
        <v>51</v>
      </c>
      <c r="C9" s="50" t="s">
        <v>35</v>
      </c>
      <c r="D9" s="51" t="s">
        <v>2</v>
      </c>
      <c r="E9" s="51" t="s">
        <v>1</v>
      </c>
      <c r="F9" s="52">
        <v>50</v>
      </c>
      <c r="G9" s="53" t="s">
        <v>44</v>
      </c>
      <c r="H9" s="54" t="s">
        <v>0</v>
      </c>
      <c r="I9" s="55">
        <v>8</v>
      </c>
      <c r="J9" s="56">
        <v>8</v>
      </c>
    </row>
    <row r="18" spans="2:10" ht="57.75" outlineLevel="1">
      <c r="B18" s="15" t="s">
        <v>9</v>
      </c>
      <c r="C18" s="11" t="str">
        <f xml:space="preserve"> "dong" &amp; I18</f>
        <v>dong6</v>
      </c>
      <c r="D18" s="11" t="s">
        <v>8</v>
      </c>
      <c r="E18" s="11"/>
      <c r="F18" s="10">
        <v>53</v>
      </c>
      <c r="G18" s="10"/>
      <c r="H18" s="8" t="s">
        <v>4</v>
      </c>
      <c r="I18" s="10">
        <v>6</v>
      </c>
      <c r="J18" s="9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041BE-7FEF-4C5B-BC98-BC5ECF479331}">
  <dimension ref="B2:J18"/>
  <sheetViews>
    <sheetView showGridLines="0" workbookViewId="0">
      <selection activeCell="F10" sqref="F10"/>
    </sheetView>
  </sheetViews>
  <sheetFormatPr defaultRowHeight="16.5" outlineLevelRow="1"/>
  <cols>
    <col min="1" max="1" width="4.125" customWidth="1"/>
    <col min="2" max="2" width="12.875" customWidth="1"/>
    <col min="3" max="3" width="13" customWidth="1"/>
    <col min="4" max="5" width="15.375" customWidth="1"/>
    <col min="6" max="6" width="10.5" bestFit="1" customWidth="1"/>
    <col min="7" max="10" width="14.625" customWidth="1"/>
  </cols>
  <sheetData>
    <row r="2" spans="2:10" ht="25.5">
      <c r="B2" s="33" t="s">
        <v>33</v>
      </c>
      <c r="C2" s="34"/>
      <c r="D2" s="14" t="s">
        <v>32</v>
      </c>
      <c r="E2" s="14" t="s">
        <v>53</v>
      </c>
      <c r="F2" s="13" t="s">
        <v>30</v>
      </c>
      <c r="G2" s="13" t="s">
        <v>37</v>
      </c>
      <c r="H2" s="13" t="s">
        <v>27</v>
      </c>
      <c r="I2" s="14" t="s">
        <v>29</v>
      </c>
      <c r="J2" s="13" t="s">
        <v>52</v>
      </c>
    </row>
    <row r="3" spans="2:10" ht="59.25">
      <c r="B3" s="35" t="s">
        <v>45</v>
      </c>
      <c r="C3" s="29" t="s">
        <v>54</v>
      </c>
      <c r="D3" s="12" t="s">
        <v>25</v>
      </c>
      <c r="E3" s="12" t="s">
        <v>24</v>
      </c>
      <c r="F3" s="31">
        <v>44</v>
      </c>
      <c r="G3" s="20" t="s">
        <v>38</v>
      </c>
      <c r="H3" s="26" t="s">
        <v>4</v>
      </c>
      <c r="I3" s="24">
        <v>1</v>
      </c>
      <c r="J3" s="24">
        <v>1</v>
      </c>
    </row>
    <row r="4" spans="2:10" ht="59.25">
      <c r="B4" s="36" t="s">
        <v>46</v>
      </c>
      <c r="C4" s="30" t="s">
        <v>55</v>
      </c>
      <c r="D4" s="4" t="s">
        <v>22</v>
      </c>
      <c r="E4" s="4" t="s">
        <v>21</v>
      </c>
      <c r="F4" s="32">
        <v>33</v>
      </c>
      <c r="G4" s="21" t="s">
        <v>39</v>
      </c>
      <c r="H4" s="27" t="s">
        <v>20</v>
      </c>
      <c r="I4" s="25">
        <v>7</v>
      </c>
      <c r="J4" s="25">
        <v>6</v>
      </c>
    </row>
    <row r="5" spans="2:10" ht="59.25">
      <c r="B5" s="35" t="s">
        <v>47</v>
      </c>
      <c r="C5" s="29" t="s">
        <v>56</v>
      </c>
      <c r="D5" s="12" t="s">
        <v>18</v>
      </c>
      <c r="E5" s="12" t="s">
        <v>17</v>
      </c>
      <c r="F5" s="31">
        <v>31</v>
      </c>
      <c r="G5" s="20" t="s">
        <v>40</v>
      </c>
      <c r="H5" s="28" t="s">
        <v>16</v>
      </c>
      <c r="I5" s="24">
        <v>3</v>
      </c>
      <c r="J5" s="24">
        <v>5</v>
      </c>
    </row>
    <row r="6" spans="2:10" ht="59.25">
      <c r="B6" s="36" t="s">
        <v>48</v>
      </c>
      <c r="C6" s="30" t="s">
        <v>57</v>
      </c>
      <c r="D6" s="4" t="s">
        <v>36</v>
      </c>
      <c r="E6" s="4" t="s">
        <v>11</v>
      </c>
      <c r="F6" s="32">
        <v>51</v>
      </c>
      <c r="G6" s="22" t="s">
        <v>41</v>
      </c>
      <c r="H6" s="27" t="s">
        <v>10</v>
      </c>
      <c r="I6" s="25">
        <v>2</v>
      </c>
      <c r="J6" s="25">
        <v>3</v>
      </c>
    </row>
    <row r="7" spans="2:10" ht="59.25">
      <c r="B7" s="35" t="s">
        <v>49</v>
      </c>
      <c r="C7" s="29" t="s">
        <v>58</v>
      </c>
      <c r="D7" s="12" t="s">
        <v>14</v>
      </c>
      <c r="E7" s="12" t="s">
        <v>13</v>
      </c>
      <c r="F7" s="31">
        <v>24</v>
      </c>
      <c r="G7" s="23" t="s">
        <v>42</v>
      </c>
      <c r="H7" s="28" t="s">
        <v>12</v>
      </c>
      <c r="I7" s="24">
        <v>5</v>
      </c>
      <c r="J7" s="24">
        <v>2</v>
      </c>
    </row>
    <row r="8" spans="2:10" ht="59.25">
      <c r="B8" s="36" t="s">
        <v>50</v>
      </c>
      <c r="C8" s="30" t="s">
        <v>59</v>
      </c>
      <c r="D8" s="4" t="s">
        <v>6</v>
      </c>
      <c r="E8" s="4" t="s">
        <v>5</v>
      </c>
      <c r="F8" s="32">
        <v>30</v>
      </c>
      <c r="G8" s="22" t="s">
        <v>43</v>
      </c>
      <c r="H8" s="27" t="s">
        <v>4</v>
      </c>
      <c r="I8" s="25">
        <v>4</v>
      </c>
      <c r="J8" s="25">
        <v>7</v>
      </c>
    </row>
    <row r="9" spans="2:10" ht="59.25">
      <c r="B9" s="35" t="s">
        <v>51</v>
      </c>
      <c r="C9" s="29" t="s">
        <v>35</v>
      </c>
      <c r="D9" s="12" t="s">
        <v>2</v>
      </c>
      <c r="E9" s="12" t="s">
        <v>1</v>
      </c>
      <c r="F9" s="31">
        <v>50</v>
      </c>
      <c r="G9" s="20" t="s">
        <v>44</v>
      </c>
      <c r="H9" s="28" t="s">
        <v>0</v>
      </c>
      <c r="I9" s="24">
        <v>8</v>
      </c>
      <c r="J9" s="24">
        <v>8</v>
      </c>
    </row>
    <row r="18" spans="2:10" ht="57.75" outlineLevel="1">
      <c r="B18" s="15" t="s">
        <v>9</v>
      </c>
      <c r="C18" s="11" t="str">
        <f xml:space="preserve"> "dong" &amp; I18</f>
        <v>dong6</v>
      </c>
      <c r="D18" s="11" t="s">
        <v>8</v>
      </c>
      <c r="E18" s="11"/>
      <c r="F18" s="10">
        <v>53</v>
      </c>
      <c r="G18" s="10"/>
      <c r="H18" s="8" t="s">
        <v>4</v>
      </c>
      <c r="I18" s="10">
        <v>6</v>
      </c>
      <c r="J18" s="9">
        <v>4</v>
      </c>
    </row>
  </sheetData>
  <mergeCells count="1">
    <mergeCell ref="B2:C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B7F8-EC6F-425C-A778-2C680D504D26}">
  <dimension ref="B2:I18"/>
  <sheetViews>
    <sheetView showGridLines="0" topLeftCell="A6" workbookViewId="0">
      <selection activeCell="Z8" sqref="Z8"/>
    </sheetView>
  </sheetViews>
  <sheetFormatPr defaultRowHeight="16.5" outlineLevelRow="1"/>
  <cols>
    <col min="1" max="1" width="4.125" customWidth="1"/>
    <col min="2" max="2" width="14.75" customWidth="1"/>
    <col min="3" max="5" width="15.375" customWidth="1"/>
    <col min="6" max="6" width="10.5" bestFit="1" customWidth="1"/>
    <col min="7" max="9" width="14.375" customWidth="1"/>
  </cols>
  <sheetData>
    <row r="2" spans="2:9" ht="25.5">
      <c r="B2" s="33" t="s">
        <v>33</v>
      </c>
      <c r="C2" s="34"/>
      <c r="D2" s="14" t="s">
        <v>32</v>
      </c>
      <c r="E2" s="14" t="s">
        <v>31</v>
      </c>
      <c r="F2" s="13" t="s">
        <v>30</v>
      </c>
      <c r="G2" s="13" t="s">
        <v>27</v>
      </c>
      <c r="H2" s="14" t="s">
        <v>29</v>
      </c>
      <c r="I2" s="13" t="s">
        <v>28</v>
      </c>
    </row>
    <row r="3" spans="2:9" ht="50.25">
      <c r="B3" s="18" t="s">
        <v>26</v>
      </c>
      <c r="C3" s="16" t="str">
        <f xml:space="preserve"> "tong" &amp; H3</f>
        <v>tong1</v>
      </c>
      <c r="D3" s="12" t="s">
        <v>25</v>
      </c>
      <c r="E3" s="12" t="s">
        <v>24</v>
      </c>
      <c r="F3" s="7">
        <v>44</v>
      </c>
      <c r="G3" s="5" t="s">
        <v>4</v>
      </c>
      <c r="H3" s="7">
        <v>1</v>
      </c>
      <c r="I3" s="6">
        <v>1</v>
      </c>
    </row>
    <row r="4" spans="2:9" ht="50.25">
      <c r="B4" s="19" t="s">
        <v>23</v>
      </c>
      <c r="C4" s="17" t="str">
        <f t="shared" ref="C4:C7" si="0" xml:space="preserve"> "tong" &amp; H4</f>
        <v>tong7</v>
      </c>
      <c r="D4" s="4" t="s">
        <v>22</v>
      </c>
      <c r="E4" s="4" t="s">
        <v>21</v>
      </c>
      <c r="F4" s="3">
        <v>22</v>
      </c>
      <c r="G4" s="1" t="s">
        <v>20</v>
      </c>
      <c r="H4" s="3">
        <v>7</v>
      </c>
      <c r="I4" s="2">
        <v>6</v>
      </c>
    </row>
    <row r="5" spans="2:9" ht="50.25">
      <c r="B5" s="18" t="s">
        <v>19</v>
      </c>
      <c r="C5" s="16" t="str">
        <f t="shared" si="0"/>
        <v>tong3</v>
      </c>
      <c r="D5" s="12" t="s">
        <v>18</v>
      </c>
      <c r="E5" s="12" t="s">
        <v>17</v>
      </c>
      <c r="F5" s="7">
        <v>21</v>
      </c>
      <c r="G5" s="5" t="s">
        <v>16</v>
      </c>
      <c r="H5" s="7">
        <v>3</v>
      </c>
      <c r="I5" s="6">
        <v>5</v>
      </c>
    </row>
    <row r="6" spans="2:9" ht="50.25">
      <c r="B6" s="19" t="s">
        <v>9</v>
      </c>
      <c r="C6" s="17" t="str">
        <f xml:space="preserve"> "tong" &amp; H6</f>
        <v>tong2</v>
      </c>
      <c r="D6" s="4" t="s">
        <v>36</v>
      </c>
      <c r="E6" s="4" t="s">
        <v>11</v>
      </c>
      <c r="F6" s="3">
        <v>53</v>
      </c>
      <c r="G6" s="1" t="s">
        <v>10</v>
      </c>
      <c r="H6" s="3">
        <v>2</v>
      </c>
      <c r="I6" s="2">
        <v>3</v>
      </c>
    </row>
    <row r="7" spans="2:9" ht="50.25">
      <c r="B7" s="18" t="s">
        <v>15</v>
      </c>
      <c r="C7" s="16" t="str">
        <f t="shared" si="0"/>
        <v>tong5</v>
      </c>
      <c r="D7" s="12" t="s">
        <v>14</v>
      </c>
      <c r="E7" s="12" t="s">
        <v>13</v>
      </c>
      <c r="F7" s="7">
        <v>13</v>
      </c>
      <c r="G7" s="5" t="s">
        <v>12</v>
      </c>
      <c r="H7" s="7">
        <v>5</v>
      </c>
      <c r="I7" s="6">
        <v>2</v>
      </c>
    </row>
    <row r="8" spans="2:9" ht="50.25">
      <c r="B8" s="19" t="s">
        <v>7</v>
      </c>
      <c r="C8" s="17" t="s">
        <v>34</v>
      </c>
      <c r="D8" s="4" t="s">
        <v>6</v>
      </c>
      <c r="E8" s="4" t="s">
        <v>5</v>
      </c>
      <c r="F8" s="3">
        <v>32</v>
      </c>
      <c r="G8" s="1" t="s">
        <v>4</v>
      </c>
      <c r="H8" s="3">
        <v>4</v>
      </c>
      <c r="I8" s="2">
        <v>7</v>
      </c>
    </row>
    <row r="9" spans="2:9" ht="50.25">
      <c r="B9" s="18" t="s">
        <v>3</v>
      </c>
      <c r="C9" s="16" t="s">
        <v>35</v>
      </c>
      <c r="D9" s="12" t="s">
        <v>2</v>
      </c>
      <c r="E9" s="12" t="s">
        <v>1</v>
      </c>
      <c r="F9" s="7">
        <v>121</v>
      </c>
      <c r="G9" s="5" t="s">
        <v>0</v>
      </c>
      <c r="H9" s="7">
        <v>8</v>
      </c>
      <c r="I9" s="6">
        <v>8</v>
      </c>
    </row>
    <row r="18" spans="2:9" ht="57.75" outlineLevel="1">
      <c r="B18" s="15" t="s">
        <v>9</v>
      </c>
      <c r="C18" s="11" t="str">
        <f xml:space="preserve"> "dong" &amp; H18</f>
        <v>dong6</v>
      </c>
      <c r="D18" s="11" t="s">
        <v>8</v>
      </c>
      <c r="E18" s="11"/>
      <c r="F18" s="10">
        <v>53</v>
      </c>
      <c r="G18" s="8" t="s">
        <v>4</v>
      </c>
      <c r="H18" s="10">
        <v>6</v>
      </c>
      <c r="I18" s="9">
        <v>4</v>
      </c>
    </row>
  </sheetData>
  <mergeCells count="1">
    <mergeCell ref="B2:C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50C03-4A49-40F3-8140-C9DAF6B05C63}">
  <dimension ref="B2:I18"/>
  <sheetViews>
    <sheetView showGridLines="0" workbookViewId="0">
      <selection activeCell="Z8" sqref="Z8"/>
    </sheetView>
  </sheetViews>
  <sheetFormatPr defaultRowHeight="16.5" outlineLevelRow="1"/>
  <cols>
    <col min="1" max="1" width="4.125" customWidth="1"/>
    <col min="2" max="2" width="14.75" customWidth="1"/>
    <col min="3" max="5" width="15.375" customWidth="1"/>
    <col min="6" max="6" width="10.5" bestFit="1" customWidth="1"/>
    <col min="7" max="9" width="14.375" customWidth="1"/>
  </cols>
  <sheetData>
    <row r="2" spans="2:9" ht="25.5">
      <c r="B2" s="33" t="s">
        <v>33</v>
      </c>
      <c r="C2" s="34"/>
      <c r="D2" s="14" t="s">
        <v>32</v>
      </c>
      <c r="E2" s="14" t="s">
        <v>31</v>
      </c>
      <c r="F2" s="13" t="s">
        <v>30</v>
      </c>
      <c r="G2" s="13" t="s">
        <v>27</v>
      </c>
      <c r="H2" s="14" t="s">
        <v>29</v>
      </c>
      <c r="I2" s="13" t="s">
        <v>28</v>
      </c>
    </row>
    <row r="3" spans="2:9" ht="50.25">
      <c r="B3" s="18" t="s">
        <v>26</v>
      </c>
      <c r="C3" s="16" t="str">
        <f xml:space="preserve"> "tong" &amp; H3</f>
        <v>tong1</v>
      </c>
      <c r="D3" s="12" t="s">
        <v>25</v>
      </c>
      <c r="E3" s="12" t="s">
        <v>24</v>
      </c>
      <c r="F3" s="7">
        <v>44</v>
      </c>
      <c r="G3" s="5" t="s">
        <v>4</v>
      </c>
      <c r="H3" s="7">
        <v>1</v>
      </c>
      <c r="I3" s="6">
        <v>1</v>
      </c>
    </row>
    <row r="4" spans="2:9" ht="50.25">
      <c r="B4" s="19" t="s">
        <v>23</v>
      </c>
      <c r="C4" s="17" t="str">
        <f t="shared" ref="C4:C7" si="0" xml:space="preserve"> "tong" &amp; H4</f>
        <v>tong7</v>
      </c>
      <c r="D4" s="4" t="s">
        <v>22</v>
      </c>
      <c r="E4" s="4" t="s">
        <v>21</v>
      </c>
      <c r="F4" s="3">
        <v>22</v>
      </c>
      <c r="G4" s="1" t="s">
        <v>20</v>
      </c>
      <c r="H4" s="3">
        <v>7</v>
      </c>
      <c r="I4" s="2">
        <v>6</v>
      </c>
    </row>
    <row r="5" spans="2:9" ht="50.25">
      <c r="B5" s="18" t="s">
        <v>19</v>
      </c>
      <c r="C5" s="16" t="str">
        <f t="shared" si="0"/>
        <v>tong3</v>
      </c>
      <c r="D5" s="12" t="s">
        <v>18</v>
      </c>
      <c r="E5" s="12" t="s">
        <v>17</v>
      </c>
      <c r="F5" s="7">
        <v>21</v>
      </c>
      <c r="G5" s="5" t="s">
        <v>16</v>
      </c>
      <c r="H5" s="7">
        <v>3</v>
      </c>
      <c r="I5" s="6">
        <v>5</v>
      </c>
    </row>
    <row r="6" spans="2:9" ht="50.25">
      <c r="B6" s="19" t="s">
        <v>9</v>
      </c>
      <c r="C6" s="17" t="str">
        <f xml:space="preserve"> "tong" &amp; H6</f>
        <v>tong2</v>
      </c>
      <c r="D6" s="4" t="s">
        <v>36</v>
      </c>
      <c r="E6" s="4" t="s">
        <v>11</v>
      </c>
      <c r="F6" s="3">
        <v>53</v>
      </c>
      <c r="G6" s="1" t="s">
        <v>10</v>
      </c>
      <c r="H6" s="3">
        <v>2</v>
      </c>
      <c r="I6" s="2">
        <v>3</v>
      </c>
    </row>
    <row r="7" spans="2:9" ht="50.25">
      <c r="B7" s="18" t="s">
        <v>15</v>
      </c>
      <c r="C7" s="16" t="str">
        <f t="shared" si="0"/>
        <v>tong5</v>
      </c>
      <c r="D7" s="12" t="s">
        <v>14</v>
      </c>
      <c r="E7" s="12" t="s">
        <v>13</v>
      </c>
      <c r="F7" s="7">
        <v>13</v>
      </c>
      <c r="G7" s="5" t="s">
        <v>12</v>
      </c>
      <c r="H7" s="7">
        <v>5</v>
      </c>
      <c r="I7" s="6">
        <v>2</v>
      </c>
    </row>
    <row r="8" spans="2:9" ht="50.25">
      <c r="B8" s="19" t="s">
        <v>7</v>
      </c>
      <c r="C8" s="17" t="s">
        <v>34</v>
      </c>
      <c r="D8" s="4" t="s">
        <v>6</v>
      </c>
      <c r="E8" s="4" t="s">
        <v>5</v>
      </c>
      <c r="F8" s="3">
        <v>32</v>
      </c>
      <c r="G8" s="1" t="s">
        <v>4</v>
      </c>
      <c r="H8" s="3">
        <v>4</v>
      </c>
      <c r="I8" s="2">
        <v>7</v>
      </c>
    </row>
    <row r="9" spans="2:9" ht="50.25">
      <c r="B9" s="18" t="s">
        <v>3</v>
      </c>
      <c r="C9" s="16" t="s">
        <v>35</v>
      </c>
      <c r="D9" s="12" t="s">
        <v>2</v>
      </c>
      <c r="E9" s="12" t="s">
        <v>1</v>
      </c>
      <c r="F9" s="7">
        <v>121</v>
      </c>
      <c r="G9" s="5" t="s">
        <v>0</v>
      </c>
      <c r="H9" s="7">
        <v>8</v>
      </c>
      <c r="I9" s="6">
        <v>8</v>
      </c>
    </row>
    <row r="18" spans="2:9" ht="57.75" outlineLevel="1">
      <c r="B18" s="15" t="s">
        <v>9</v>
      </c>
      <c r="C18" s="11" t="str">
        <f xml:space="preserve"> "dong" &amp; H18</f>
        <v>dong6</v>
      </c>
      <c r="D18" s="11" t="s">
        <v>8</v>
      </c>
      <c r="E18" s="11"/>
      <c r="F18" s="10">
        <v>53</v>
      </c>
      <c r="G18" s="8" t="s">
        <v>4</v>
      </c>
      <c r="H18" s="10">
        <v>6</v>
      </c>
      <c r="I18" s="9">
        <v>4</v>
      </c>
    </row>
  </sheetData>
  <mergeCells count="1">
    <mergeCell ref="B2:C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6D659-7E1D-42E7-9495-78EC72F6C0D2}">
  <dimension ref="B2:J18"/>
  <sheetViews>
    <sheetView showGridLines="0" workbookViewId="0">
      <selection activeCell="E2" sqref="E2"/>
    </sheetView>
  </sheetViews>
  <sheetFormatPr defaultRowHeight="16.5" outlineLevelRow="1"/>
  <cols>
    <col min="1" max="1" width="4.125" customWidth="1"/>
    <col min="2" max="2" width="12.875" customWidth="1"/>
    <col min="3" max="3" width="13" customWidth="1"/>
    <col min="4" max="5" width="15.375" customWidth="1"/>
    <col min="6" max="6" width="10.5" bestFit="1" customWidth="1"/>
    <col min="7" max="10" width="14.625" customWidth="1"/>
  </cols>
  <sheetData>
    <row r="2" spans="2:10" ht="25.5">
      <c r="B2" s="33" t="s">
        <v>33</v>
      </c>
      <c r="C2" s="34"/>
      <c r="D2" s="14" t="s">
        <v>32</v>
      </c>
      <c r="E2" s="14" t="s">
        <v>31</v>
      </c>
      <c r="F2" s="13" t="s">
        <v>30</v>
      </c>
      <c r="G2" s="13" t="s">
        <v>37</v>
      </c>
      <c r="H2" s="13" t="s">
        <v>27</v>
      </c>
      <c r="I2" s="14" t="s">
        <v>29</v>
      </c>
      <c r="J2" s="13" t="s">
        <v>28</v>
      </c>
    </row>
    <row r="3" spans="2:10" ht="59.25">
      <c r="B3" s="18" t="s">
        <v>26</v>
      </c>
      <c r="C3" s="29" t="str">
        <f xml:space="preserve"> "tong" &amp; I3</f>
        <v>tong1</v>
      </c>
      <c r="D3" s="12" t="s">
        <v>25</v>
      </c>
      <c r="E3" s="12" t="s">
        <v>24</v>
      </c>
      <c r="F3" s="31">
        <v>44</v>
      </c>
      <c r="G3" s="20" t="s">
        <v>38</v>
      </c>
      <c r="H3" s="26" t="s">
        <v>4</v>
      </c>
      <c r="I3" s="24">
        <v>1</v>
      </c>
      <c r="J3" s="24">
        <v>1</v>
      </c>
    </row>
    <row r="4" spans="2:10" ht="59.25">
      <c r="B4" s="19" t="s">
        <v>23</v>
      </c>
      <c r="C4" s="30" t="str">
        <f t="shared" ref="C4:C7" si="0" xml:space="preserve"> "tong" &amp; I4</f>
        <v>tong7</v>
      </c>
      <c r="D4" s="4" t="s">
        <v>22</v>
      </c>
      <c r="E4" s="4" t="s">
        <v>21</v>
      </c>
      <c r="F4" s="32">
        <v>22</v>
      </c>
      <c r="G4" s="21" t="s">
        <v>39</v>
      </c>
      <c r="H4" s="27" t="s">
        <v>20</v>
      </c>
      <c r="I4" s="25">
        <v>7</v>
      </c>
      <c r="J4" s="25">
        <v>6</v>
      </c>
    </row>
    <row r="5" spans="2:10" ht="59.25">
      <c r="B5" s="18" t="s">
        <v>19</v>
      </c>
      <c r="C5" s="29" t="str">
        <f t="shared" si="0"/>
        <v>tong3</v>
      </c>
      <c r="D5" s="12" t="s">
        <v>18</v>
      </c>
      <c r="E5" s="12" t="s">
        <v>17</v>
      </c>
      <c r="F5" s="31">
        <v>21</v>
      </c>
      <c r="G5" s="20" t="s">
        <v>40</v>
      </c>
      <c r="H5" s="28" t="s">
        <v>16</v>
      </c>
      <c r="I5" s="24">
        <v>3</v>
      </c>
      <c r="J5" s="24">
        <v>5</v>
      </c>
    </row>
    <row r="6" spans="2:10" ht="59.25">
      <c r="B6" s="19" t="s">
        <v>9</v>
      </c>
      <c r="C6" s="30" t="str">
        <f xml:space="preserve"> "tong" &amp; I6</f>
        <v>tong2</v>
      </c>
      <c r="D6" s="4" t="s">
        <v>36</v>
      </c>
      <c r="E6" s="4" t="s">
        <v>11</v>
      </c>
      <c r="F6" s="32">
        <v>53</v>
      </c>
      <c r="G6" s="22" t="s">
        <v>41</v>
      </c>
      <c r="H6" s="27" t="s">
        <v>10</v>
      </c>
      <c r="I6" s="25">
        <v>2</v>
      </c>
      <c r="J6" s="25">
        <v>3</v>
      </c>
    </row>
    <row r="7" spans="2:10" ht="59.25">
      <c r="B7" s="18" t="s">
        <v>15</v>
      </c>
      <c r="C7" s="29" t="str">
        <f t="shared" si="0"/>
        <v>tong5</v>
      </c>
      <c r="D7" s="12" t="s">
        <v>14</v>
      </c>
      <c r="E7" s="12" t="s">
        <v>13</v>
      </c>
      <c r="F7" s="31">
        <v>13</v>
      </c>
      <c r="G7" s="23" t="s">
        <v>42</v>
      </c>
      <c r="H7" s="28" t="s">
        <v>12</v>
      </c>
      <c r="I7" s="24">
        <v>5</v>
      </c>
      <c r="J7" s="24">
        <v>2</v>
      </c>
    </row>
    <row r="8" spans="2:10" ht="59.25">
      <c r="B8" s="19" t="s">
        <v>7</v>
      </c>
      <c r="C8" s="30" t="s">
        <v>34</v>
      </c>
      <c r="D8" s="4" t="s">
        <v>6</v>
      </c>
      <c r="E8" s="4" t="s">
        <v>5</v>
      </c>
      <c r="F8" s="32">
        <v>32</v>
      </c>
      <c r="G8" s="22" t="s">
        <v>43</v>
      </c>
      <c r="H8" s="27" t="s">
        <v>4</v>
      </c>
      <c r="I8" s="25">
        <v>4</v>
      </c>
      <c r="J8" s="25">
        <v>7</v>
      </c>
    </row>
    <row r="9" spans="2:10" ht="59.25">
      <c r="B9" s="18" t="s">
        <v>3</v>
      </c>
      <c r="C9" s="29" t="s">
        <v>35</v>
      </c>
      <c r="D9" s="12" t="s">
        <v>2</v>
      </c>
      <c r="E9" s="12" t="s">
        <v>1</v>
      </c>
      <c r="F9" s="31">
        <v>121</v>
      </c>
      <c r="G9" s="20" t="s">
        <v>44</v>
      </c>
      <c r="H9" s="28" t="s">
        <v>0</v>
      </c>
      <c r="I9" s="24">
        <v>8</v>
      </c>
      <c r="J9" s="24">
        <v>8</v>
      </c>
    </row>
    <row r="18" spans="2:10" ht="57.75" outlineLevel="1">
      <c r="B18" s="15" t="s">
        <v>9</v>
      </c>
      <c r="C18" s="11" t="str">
        <f xml:space="preserve"> "dong" &amp; I18</f>
        <v>dong6</v>
      </c>
      <c r="D18" s="11" t="s">
        <v>8</v>
      </c>
      <c r="E18" s="11"/>
      <c r="F18" s="10">
        <v>53</v>
      </c>
      <c r="G18" s="10"/>
      <c r="H18" s="8" t="s">
        <v>4</v>
      </c>
      <c r="I18" s="10">
        <v>6</v>
      </c>
      <c r="J18" s="9">
        <v>4</v>
      </c>
    </row>
  </sheetData>
  <mergeCells count="1">
    <mergeCell ref="B2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W音調對照表</vt:lpstr>
      <vt:lpstr>W音調對照表 (2)</vt:lpstr>
      <vt:lpstr>聲調對照表</vt:lpstr>
      <vt:lpstr>聲調對照表 (3)</vt:lpstr>
      <vt:lpstr>聲調對照表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2025-10-06T14:55:50Z</dcterms:created>
  <dcterms:modified xsi:type="dcterms:W3CDTF">2026-06-27T03:54:36Z</dcterms:modified>
</cp:coreProperties>
</file>