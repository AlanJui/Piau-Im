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Documents\"/>
    </mc:Choice>
  </mc:AlternateContent>
  <xr:revisionPtr revIDLastSave="0" documentId="13_ncr:1_{C149AFDD-5E09-4D87-8693-537EBEF9661D}" xr6:coauthVersionLast="47" xr6:coauthVersionMax="47" xr10:uidLastSave="{00000000-0000-0000-0000-000000000000}"/>
  <bookViews>
    <workbookView xWindow="-28920" yWindow="-120" windowWidth="29040" windowHeight="15720" activeTab="1" xr2:uid="{7E808FC4-FD7B-4D2F-8735-FF65DCE8E5C1}"/>
  </bookViews>
  <sheets>
    <sheet name="【聲】聲母對照表" sheetId="1" r:id="rId1"/>
    <sheet name="【韻】韻母對照表" sheetId="2" r:id="rId2"/>
    <sheet name="【調】聲調對照表" sheetId="3" r:id="rId3"/>
    <sheet name="舊版聲調對照表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V6" i="2" s="1"/>
  <c r="U7" i="2"/>
  <c r="U8" i="2"/>
  <c r="V8" i="2" s="1"/>
  <c r="U9" i="2"/>
  <c r="AD9" i="2" s="1"/>
  <c r="U10" i="2"/>
  <c r="AD10" i="2" s="1"/>
  <c r="U11" i="2"/>
  <c r="U12" i="2"/>
  <c r="U13" i="2"/>
  <c r="U14" i="2"/>
  <c r="U15" i="2"/>
  <c r="U16" i="2"/>
  <c r="V16" i="2"/>
  <c r="U17" i="2"/>
  <c r="V17" i="2" s="1"/>
  <c r="U18" i="2"/>
  <c r="U19" i="2"/>
  <c r="U20" i="2"/>
  <c r="U21" i="2"/>
  <c r="U22" i="2"/>
  <c r="U23" i="2"/>
  <c r="V23" i="2"/>
  <c r="U24" i="2"/>
  <c r="V24" i="2" s="1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V41" i="2" s="1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V54" i="2" s="1"/>
  <c r="U55" i="2"/>
  <c r="U56" i="2"/>
  <c r="U57" i="2"/>
  <c r="V57" i="2" s="1"/>
  <c r="U58" i="2"/>
  <c r="U59" i="2"/>
  <c r="U60" i="2"/>
  <c r="V60" i="2" s="1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V75" i="2" s="1"/>
  <c r="U76" i="2"/>
  <c r="U77" i="2"/>
  <c r="U78" i="2"/>
  <c r="U79" i="2"/>
  <c r="U80" i="2"/>
  <c r="U81" i="2"/>
  <c r="U82" i="2"/>
  <c r="U83" i="2"/>
  <c r="U84" i="2"/>
  <c r="U85" i="2"/>
  <c r="U2" i="2"/>
  <c r="F84" i="2" a="1"/>
  <c r="F84" i="2" s="1"/>
  <c r="F85" i="2" a="1"/>
  <c r="F85" i="2" s="1"/>
  <c r="S1" i="2"/>
  <c r="R1" i="2"/>
  <c r="F2" i="1" a="1"/>
  <c r="F2" i="1" s="1"/>
  <c r="F3" i="1" a="1"/>
  <c r="F3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P21" i="3"/>
  <c r="P20" i="3"/>
  <c r="P19" i="3"/>
  <c r="P18" i="3"/>
  <c r="P17" i="3"/>
  <c r="P16" i="3"/>
  <c r="P15" i="3"/>
  <c r="P14" i="3"/>
  <c r="P13" i="3"/>
  <c r="P12" i="3"/>
  <c r="J14" i="3"/>
  <c r="J15" i="3"/>
  <c r="J16" i="3"/>
  <c r="J17" i="3"/>
  <c r="J18" i="3"/>
  <c r="J19" i="3"/>
  <c r="J20" i="3"/>
  <c r="J21" i="3"/>
  <c r="J13" i="3"/>
  <c r="N17" i="3"/>
  <c r="N18" i="3"/>
  <c r="N14" i="3"/>
  <c r="N19" i="3"/>
  <c r="N15" i="3"/>
  <c r="N13" i="3"/>
  <c r="N16" i="3"/>
  <c r="J12" i="3"/>
  <c r="N12" i="3"/>
  <c r="L12" i="3"/>
  <c r="L15" i="3"/>
  <c r="L19" i="3"/>
  <c r="L13" i="3"/>
  <c r="L14" i="3"/>
  <c r="L16" i="3"/>
  <c r="L17" i="3"/>
  <c r="L18" i="3"/>
  <c r="L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V79" i="2" l="1"/>
  <c r="Y79" i="2"/>
  <c r="W79" i="2"/>
  <c r="X79" i="2"/>
  <c r="Z79" i="2"/>
  <c r="AA79" i="2"/>
  <c r="AH79" i="2" s="1" a="1"/>
  <c r="AH79" i="2" s="1"/>
  <c r="Y80" i="2"/>
  <c r="AF80" i="2" s="1" a="1"/>
  <c r="AF80" i="2" s="1"/>
  <c r="W80" i="2"/>
  <c r="AD80" i="2" s="1" a="1"/>
  <c r="AD80" i="2" s="1"/>
  <c r="AC80" i="2" s="1"/>
  <c r="X80" i="2"/>
  <c r="AE80" i="2" s="1" a="1"/>
  <c r="AE80" i="2" s="1"/>
  <c r="Z80" i="2"/>
  <c r="AG80" i="2" s="1" a="1"/>
  <c r="AG80" i="2" s="1"/>
  <c r="AA80" i="2"/>
  <c r="AH80" i="2" s="1" a="1"/>
  <c r="AH80" i="2" s="1"/>
  <c r="V80" i="2"/>
  <c r="V81" i="2"/>
  <c r="W81" i="2"/>
  <c r="AD81" i="2" s="1" a="1"/>
  <c r="AD81" i="2" s="1"/>
  <c r="X81" i="2"/>
  <c r="AE81" i="2" s="1" a="1"/>
  <c r="AE81" i="2" s="1"/>
  <c r="Y81" i="2"/>
  <c r="AF81" i="2" s="1" a="1"/>
  <c r="AF81" i="2" s="1"/>
  <c r="Z81" i="2"/>
  <c r="AG81" i="2" s="1" a="1"/>
  <c r="AG81" i="2" s="1"/>
  <c r="AA81" i="2"/>
  <c r="AH81" i="2" s="1" a="1"/>
  <c r="AH81" i="2" s="1"/>
  <c r="V82" i="2"/>
  <c r="W82" i="2"/>
  <c r="AC82" i="2" s="1"/>
  <c r="AA82" i="2"/>
  <c r="AH82" i="2" s="1" a="1"/>
  <c r="AH82" i="2" s="1"/>
  <c r="Z82" i="2"/>
  <c r="AG82" i="2" s="1" a="1"/>
  <c r="AG82" i="2" s="1"/>
  <c r="Y82" i="2"/>
  <c r="AF82" i="2" s="1" a="1"/>
  <c r="AF82" i="2" s="1"/>
  <c r="X82" i="2"/>
  <c r="V83" i="2"/>
  <c r="X83" i="2"/>
  <c r="AE83" i="2" s="1" a="1"/>
  <c r="AE83" i="2" s="1"/>
  <c r="Y83" i="2"/>
  <c r="AF83" i="2" s="1" a="1"/>
  <c r="AF83" i="2" s="1"/>
  <c r="Z83" i="2"/>
  <c r="AG83" i="2" s="1" a="1"/>
  <c r="AG83" i="2" s="1"/>
  <c r="AA83" i="2"/>
  <c r="AH83" i="2" s="1" a="1"/>
  <c r="AH83" i="2" s="1"/>
  <c r="W83" i="2"/>
  <c r="AD83" i="2" s="1" a="1"/>
  <c r="AD83" i="2" s="1"/>
  <c r="AC83" i="2" s="1"/>
  <c r="V84" i="2"/>
  <c r="W84" i="2"/>
  <c r="AD84" i="2" s="1" a="1"/>
  <c r="AD84" i="2" s="1"/>
  <c r="X84" i="2"/>
  <c r="AE84" i="2" s="1" a="1"/>
  <c r="AE84" i="2" s="1"/>
  <c r="Y84" i="2"/>
  <c r="AF84" i="2" s="1" a="1"/>
  <c r="AF84" i="2" s="1"/>
  <c r="Z84" i="2"/>
  <c r="AG84" i="2" s="1" a="1"/>
  <c r="AG84" i="2" s="1"/>
  <c r="AA84" i="2"/>
  <c r="AH84" i="2" s="1" a="1"/>
  <c r="AH84" i="2" s="1"/>
  <c r="V85" i="2"/>
  <c r="W85" i="2"/>
  <c r="X85" i="2"/>
  <c r="Y85" i="2"/>
  <c r="AA85" i="2"/>
  <c r="AH85" i="2" s="1" a="1"/>
  <c r="AH85" i="2" s="1"/>
  <c r="Z85" i="2"/>
  <c r="AG85" i="2" s="1" a="1"/>
  <c r="AG85" i="2" s="1"/>
  <c r="V2" i="2"/>
  <c r="Y2" i="2"/>
  <c r="AF2" i="2" s="1" a="1"/>
  <c r="AF2" i="2" s="1"/>
  <c r="X2" i="2"/>
  <c r="AE2" i="2" s="1" a="1"/>
  <c r="AE2" i="2" s="1"/>
  <c r="W2" i="2"/>
  <c r="AD2" i="2" s="1" a="1"/>
  <c r="AD2" i="2" s="1"/>
  <c r="AA2" i="2"/>
  <c r="AH2" i="2" s="1" a="1"/>
  <c r="AH2" i="2" s="1"/>
  <c r="Z2" i="2"/>
  <c r="AG2" i="2" s="1" a="1"/>
  <c r="AG2" i="2" s="1"/>
  <c r="V3" i="2"/>
  <c r="W3" i="2"/>
  <c r="AD3" i="2" s="1" a="1"/>
  <c r="AD3" i="2" s="1"/>
  <c r="X3" i="2"/>
  <c r="AE3" i="2" s="1" a="1"/>
  <c r="AE3" i="2" s="1"/>
  <c r="Y3" i="2"/>
  <c r="AF3" i="2" s="1" a="1"/>
  <c r="AF3" i="2" s="1"/>
  <c r="Z3" i="2"/>
  <c r="AG3" i="2" s="1" a="1"/>
  <c r="AG3" i="2" s="1"/>
  <c r="AA3" i="2"/>
  <c r="AH3" i="2" s="1" a="1"/>
  <c r="AH3" i="2" s="1"/>
  <c r="W4" i="2"/>
  <c r="AD4" i="2" s="1" a="1"/>
  <c r="AD4" i="2" s="1"/>
  <c r="X4" i="2"/>
  <c r="AE4" i="2" s="1" a="1"/>
  <c r="AE4" i="2" s="1"/>
  <c r="Y4" i="2"/>
  <c r="AF4" i="2" s="1" a="1"/>
  <c r="AF4" i="2" s="1"/>
  <c r="Z4" i="2"/>
  <c r="AG4" i="2" s="1" a="1"/>
  <c r="AG4" i="2" s="1"/>
  <c r="AA4" i="2"/>
  <c r="AH4" i="2" s="1" a="1"/>
  <c r="AH4" i="2" s="1"/>
  <c r="V4" i="2"/>
  <c r="V5" i="2"/>
  <c r="W5" i="2"/>
  <c r="AD5" i="2" s="1" a="1"/>
  <c r="AD5" i="2" s="1"/>
  <c r="X5" i="2"/>
  <c r="AE5" i="2" s="1" a="1"/>
  <c r="AE5" i="2" s="1"/>
  <c r="Y5" i="2"/>
  <c r="AF5" i="2" s="1" a="1"/>
  <c r="AF5" i="2" s="1"/>
  <c r="Z5" i="2"/>
  <c r="AG5" i="2" s="1" a="1"/>
  <c r="AG5" i="2" s="1"/>
  <c r="AA5" i="2"/>
  <c r="AH5" i="2" s="1" a="1"/>
  <c r="AH5" i="2" s="1"/>
  <c r="W6" i="2"/>
  <c r="AD6" i="2" s="1" a="1"/>
  <c r="AD6" i="2" s="1"/>
  <c r="X6" i="2"/>
  <c r="AE6" i="2" s="1" a="1"/>
  <c r="AE6" i="2" s="1"/>
  <c r="Y6" i="2"/>
  <c r="AF6" i="2" s="1" a="1"/>
  <c r="AF6" i="2" s="1"/>
  <c r="Z6" i="2"/>
  <c r="AG6" i="2" s="1" a="1"/>
  <c r="AG6" i="2" s="1"/>
  <c r="AA6" i="2"/>
  <c r="AH6" i="2" s="1" a="1"/>
  <c r="AH6" i="2" s="1"/>
  <c r="W7" i="2"/>
  <c r="X7" i="2"/>
  <c r="AE7" i="2" s="1" a="1"/>
  <c r="AE7" i="2" s="1"/>
  <c r="Y7" i="2"/>
  <c r="AF7" i="2" s="1" a="1"/>
  <c r="AF7" i="2" s="1"/>
  <c r="Z7" i="2"/>
  <c r="AG7" i="2" s="1" a="1"/>
  <c r="AG7" i="2" s="1"/>
  <c r="AA7" i="2"/>
  <c r="AH7" i="2" s="1" a="1"/>
  <c r="AH7" i="2" s="1"/>
  <c r="V7" i="2"/>
  <c r="Y8" i="2"/>
  <c r="AF8" i="2" s="1" a="1"/>
  <c r="AF8" i="2" s="1"/>
  <c r="Z8" i="2"/>
  <c r="AG8" i="2" s="1" a="1"/>
  <c r="AG8" i="2" s="1"/>
  <c r="AA8" i="2"/>
  <c r="AH8" i="2" s="1" a="1"/>
  <c r="AH8" i="2" s="1"/>
  <c r="W8" i="2"/>
  <c r="AD8" i="2" s="1" a="1"/>
  <c r="AD8" i="2" s="1"/>
  <c r="X8" i="2"/>
  <c r="AE8" i="2" s="1" a="1"/>
  <c r="AE8" i="2" s="1"/>
  <c r="Y9" i="2"/>
  <c r="AF9" i="2" s="1" a="1"/>
  <c r="AF9" i="2" s="1"/>
  <c r="Z9" i="2"/>
  <c r="AG9" i="2" s="1" a="1"/>
  <c r="AG9" i="2" s="1"/>
  <c r="AA9" i="2"/>
  <c r="AH9" i="2" s="1" a="1"/>
  <c r="AH9" i="2" s="1"/>
  <c r="W9" i="2"/>
  <c r="X9" i="2"/>
  <c r="AE9" i="2" s="1" a="1"/>
  <c r="AE9" i="2" s="1"/>
  <c r="AC9" i="2" s="1"/>
  <c r="V9" i="2"/>
  <c r="W10" i="2"/>
  <c r="X10" i="2"/>
  <c r="AE10" i="2" s="1" a="1"/>
  <c r="AE10" i="2" s="1"/>
  <c r="Y10" i="2"/>
  <c r="AF10" i="2" s="1" a="1"/>
  <c r="AF10" i="2" s="1"/>
  <c r="AA10" i="2"/>
  <c r="AH10" i="2" s="1" a="1"/>
  <c r="AH10" i="2" s="1"/>
  <c r="Z10" i="2"/>
  <c r="AG10" i="2" s="1" a="1"/>
  <c r="AG10" i="2" s="1"/>
  <c r="V10" i="2"/>
  <c r="V11" i="2"/>
  <c r="W11" i="2"/>
  <c r="AD11" i="2" s="1" a="1"/>
  <c r="AD11" i="2" s="1"/>
  <c r="X11" i="2"/>
  <c r="AE11" i="2" s="1" a="1"/>
  <c r="AE11" i="2" s="1"/>
  <c r="Y11" i="2"/>
  <c r="AF11" i="2" s="1" a="1"/>
  <c r="AF11" i="2" s="1"/>
  <c r="Z11" i="2"/>
  <c r="AG11" i="2" s="1" a="1"/>
  <c r="AG11" i="2" s="1"/>
  <c r="AA11" i="2"/>
  <c r="AH11" i="2" s="1" a="1"/>
  <c r="AH11" i="2" s="1"/>
  <c r="AA12" i="2"/>
  <c r="AH12" i="2" s="1" a="1"/>
  <c r="AH12" i="2" s="1"/>
  <c r="Z12" i="2"/>
  <c r="AG12" i="2" s="1" a="1"/>
  <c r="AG12" i="2" s="1"/>
  <c r="V12" i="2"/>
  <c r="W12" i="2"/>
  <c r="AD12" i="2" s="1" a="1"/>
  <c r="AD12" i="2" s="1"/>
  <c r="X12" i="2"/>
  <c r="AE12" i="2" s="1" a="1"/>
  <c r="AE12" i="2" s="1"/>
  <c r="Y12" i="2"/>
  <c r="AF12" i="2" s="1" a="1"/>
  <c r="AF12" i="2" s="1"/>
  <c r="V13" i="2"/>
  <c r="W13" i="2"/>
  <c r="X13" i="2"/>
  <c r="Y13" i="2"/>
  <c r="AF13" i="2" s="1" a="1"/>
  <c r="AF13" i="2" s="1"/>
  <c r="AA13" i="2"/>
  <c r="AH13" i="2" s="1" a="1"/>
  <c r="AH13" i="2" s="1"/>
  <c r="Z13" i="2"/>
  <c r="AG13" i="2" s="1" a="1"/>
  <c r="AG13" i="2" s="1"/>
  <c r="Y14" i="2"/>
  <c r="AF14" i="2" s="1" a="1"/>
  <c r="AF14" i="2" s="1"/>
  <c r="X14" i="2"/>
  <c r="AE14" i="2" s="1" a="1"/>
  <c r="AE14" i="2" s="1"/>
  <c r="W14" i="2"/>
  <c r="AD14" i="2" s="1" a="1"/>
  <c r="AD14" i="2" s="1"/>
  <c r="Z14" i="2"/>
  <c r="AG14" i="2" s="1" a="1"/>
  <c r="AG14" i="2" s="1"/>
  <c r="AA14" i="2"/>
  <c r="AH14" i="2" s="1" a="1"/>
  <c r="AH14" i="2" s="1"/>
  <c r="V14" i="2"/>
  <c r="AA15" i="2"/>
  <c r="AH15" i="2" s="1" a="1"/>
  <c r="AH15" i="2" s="1"/>
  <c r="Y15" i="2"/>
  <c r="AF15" i="2" s="1" a="1"/>
  <c r="AF15" i="2" s="1"/>
  <c r="Z15" i="2"/>
  <c r="AG15" i="2" s="1" a="1"/>
  <c r="AG15" i="2" s="1"/>
  <c r="X15" i="2"/>
  <c r="AE15" i="2" s="1" a="1"/>
  <c r="AE15" i="2" s="1"/>
  <c r="W15" i="2"/>
  <c r="AD15" i="2" s="1" a="1"/>
  <c r="AD15" i="2" s="1"/>
  <c r="V15" i="2"/>
  <c r="Y16" i="2"/>
  <c r="AF16" i="2" s="1" a="1"/>
  <c r="AF16" i="2" s="1"/>
  <c r="X16" i="2"/>
  <c r="AE16" i="2" s="1" a="1"/>
  <c r="AE16" i="2" s="1"/>
  <c r="W16" i="2"/>
  <c r="AD16" i="2" s="1" a="1"/>
  <c r="AD16" i="2" s="1"/>
  <c r="Z16" i="2"/>
  <c r="AG16" i="2" s="1" a="1"/>
  <c r="AG16" i="2" s="1"/>
  <c r="AA16" i="2"/>
  <c r="AH16" i="2" s="1" a="1"/>
  <c r="AH16" i="2" s="1"/>
  <c r="AA17" i="2"/>
  <c r="AH17" i="2" s="1" a="1"/>
  <c r="AH17" i="2" s="1"/>
  <c r="Z17" i="2"/>
  <c r="AG17" i="2" s="1" a="1"/>
  <c r="AG17" i="2" s="1"/>
  <c r="W17" i="2"/>
  <c r="AD17" i="2" s="1" a="1"/>
  <c r="AD17" i="2" s="1"/>
  <c r="Y17" i="2"/>
  <c r="AF17" i="2" s="1" a="1"/>
  <c r="AF17" i="2" s="1"/>
  <c r="X17" i="2"/>
  <c r="AE17" i="2" s="1" a="1"/>
  <c r="AE17" i="2" s="1"/>
  <c r="V18" i="2"/>
  <c r="AA18" i="2"/>
  <c r="AH18" i="2" s="1" a="1"/>
  <c r="AH18" i="2" s="1"/>
  <c r="Y18" i="2"/>
  <c r="AF18" i="2" s="1" a="1"/>
  <c r="AF18" i="2" s="1"/>
  <c r="W18" i="2"/>
  <c r="AD18" i="2" s="1" a="1"/>
  <c r="AD18" i="2" s="1"/>
  <c r="Z18" i="2"/>
  <c r="AG18" i="2" s="1" a="1"/>
  <c r="AG18" i="2" s="1"/>
  <c r="X18" i="2"/>
  <c r="AE18" i="2" s="1" a="1"/>
  <c r="AE18" i="2" s="1"/>
  <c r="V19" i="2"/>
  <c r="Z19" i="2"/>
  <c r="AG19" i="2" s="1" a="1"/>
  <c r="AG19" i="2" s="1"/>
  <c r="Y19" i="2"/>
  <c r="AF19" i="2" s="1" a="1"/>
  <c r="AF19" i="2" s="1"/>
  <c r="W19" i="2"/>
  <c r="AD19" i="2" s="1" a="1"/>
  <c r="AD19" i="2" s="1"/>
  <c r="AA19" i="2"/>
  <c r="AH19" i="2" s="1" a="1"/>
  <c r="AH19" i="2" s="1"/>
  <c r="X19" i="2"/>
  <c r="AE19" i="2" s="1" a="1"/>
  <c r="AE19" i="2" s="1"/>
  <c r="V20" i="2"/>
  <c r="Y20" i="2"/>
  <c r="AF20" i="2" s="1" a="1"/>
  <c r="AF20" i="2" s="1"/>
  <c r="Z20" i="2"/>
  <c r="AG20" i="2" s="1" a="1"/>
  <c r="AG20" i="2" s="1"/>
  <c r="W20" i="2"/>
  <c r="AD20" i="2" s="1" a="1"/>
  <c r="AD20" i="2" s="1"/>
  <c r="X20" i="2"/>
  <c r="AE20" i="2" s="1" a="1"/>
  <c r="AE20" i="2" s="1"/>
  <c r="AA20" i="2"/>
  <c r="AH20" i="2" s="1" a="1"/>
  <c r="AH20" i="2" s="1"/>
  <c r="V21" i="2"/>
  <c r="W21" i="2"/>
  <c r="AD21" i="2" s="1" a="1"/>
  <c r="AD21" i="2" s="1"/>
  <c r="X21" i="2"/>
  <c r="AE21" i="2" s="1" a="1"/>
  <c r="AE21" i="2" s="1"/>
  <c r="AA21" i="2"/>
  <c r="AH21" i="2" s="1" a="1"/>
  <c r="AH21" i="2" s="1"/>
  <c r="Z21" i="2"/>
  <c r="AG21" i="2" s="1" a="1"/>
  <c r="AG21" i="2" s="1"/>
  <c r="Y21" i="2"/>
  <c r="AF21" i="2" s="1" a="1"/>
  <c r="AF21" i="2" s="1"/>
  <c r="V22" i="2"/>
  <c r="Z22" i="2"/>
  <c r="AG22" i="2" s="1" a="1"/>
  <c r="AG22" i="2" s="1"/>
  <c r="Y22" i="2"/>
  <c r="AF22" i="2" s="1" a="1"/>
  <c r="AF22" i="2" s="1"/>
  <c r="W22" i="2"/>
  <c r="AD22" i="2" s="1" a="1"/>
  <c r="AD22" i="2" s="1"/>
  <c r="AA22" i="2"/>
  <c r="AH22" i="2" s="1" a="1"/>
  <c r="AH22" i="2" s="1"/>
  <c r="X22" i="2"/>
  <c r="AE22" i="2" s="1" a="1"/>
  <c r="AE22" i="2" s="1"/>
  <c r="X23" i="2"/>
  <c r="AE23" i="2" s="1" a="1"/>
  <c r="AE23" i="2" s="1"/>
  <c r="W23" i="2"/>
  <c r="AD23" i="2" s="1" a="1"/>
  <c r="AD23" i="2" s="1"/>
  <c r="Y23" i="2"/>
  <c r="AF23" i="2" s="1" a="1"/>
  <c r="AF23" i="2" s="1"/>
  <c r="AA23" i="2"/>
  <c r="AH23" i="2" s="1" a="1"/>
  <c r="AH23" i="2" s="1"/>
  <c r="Z23" i="2"/>
  <c r="AG23" i="2" s="1" a="1"/>
  <c r="AG23" i="2" s="1"/>
  <c r="Y24" i="2"/>
  <c r="AF24" i="2" s="1" a="1"/>
  <c r="AF24" i="2" s="1"/>
  <c r="X24" i="2"/>
  <c r="AE24" i="2" s="1" a="1"/>
  <c r="AE24" i="2" s="1"/>
  <c r="W24" i="2"/>
  <c r="AD24" i="2" s="1" a="1"/>
  <c r="AD24" i="2" s="1"/>
  <c r="Z24" i="2"/>
  <c r="AG24" i="2" s="1" a="1"/>
  <c r="AG24" i="2" s="1"/>
  <c r="AA24" i="2"/>
  <c r="AH24" i="2" s="1" a="1"/>
  <c r="AH24" i="2" s="1"/>
  <c r="V25" i="2"/>
  <c r="W25" i="2"/>
  <c r="AD25" i="2" s="1" a="1"/>
  <c r="AD25" i="2" s="1"/>
  <c r="X25" i="2"/>
  <c r="Y25" i="2"/>
  <c r="Z25" i="2"/>
  <c r="AG25" i="2" s="1" a="1"/>
  <c r="AG25" i="2" s="1"/>
  <c r="AA25" i="2"/>
  <c r="AH25" i="2" s="1" a="1"/>
  <c r="AH25" i="2" s="1"/>
  <c r="V26" i="2"/>
  <c r="Y26" i="2"/>
  <c r="AF26" i="2" s="1" a="1"/>
  <c r="AF26" i="2" s="1"/>
  <c r="AA26" i="2"/>
  <c r="AH26" i="2" s="1" a="1"/>
  <c r="AH26" i="2" s="1"/>
  <c r="X26" i="2"/>
  <c r="AE26" i="2" s="1" a="1"/>
  <c r="AE26" i="2" s="1"/>
  <c r="Z26" i="2"/>
  <c r="AG26" i="2" s="1" a="1"/>
  <c r="AG26" i="2" s="1"/>
  <c r="W26" i="2"/>
  <c r="AD26" i="2" s="1" a="1"/>
  <c r="AD26" i="2" s="1"/>
  <c r="V27" i="2"/>
  <c r="W27" i="2"/>
  <c r="AD27" i="2" s="1" a="1"/>
  <c r="AD27" i="2" s="1"/>
  <c r="Z27" i="2"/>
  <c r="AG27" i="2" s="1" a="1"/>
  <c r="AG27" i="2" s="1"/>
  <c r="X27" i="2"/>
  <c r="AE27" i="2" s="1" a="1"/>
  <c r="AE27" i="2" s="1"/>
  <c r="AA27" i="2"/>
  <c r="AH27" i="2" s="1" a="1"/>
  <c r="AH27" i="2" s="1"/>
  <c r="Y27" i="2"/>
  <c r="AF27" i="2" s="1" a="1"/>
  <c r="AF27" i="2" s="1"/>
  <c r="V28" i="2"/>
  <c r="AA28" i="2"/>
  <c r="AH28" i="2" s="1" a="1"/>
  <c r="AH28" i="2" s="1"/>
  <c r="W28" i="2"/>
  <c r="AD28" i="2" s="1" a="1"/>
  <c r="AD28" i="2" s="1"/>
  <c r="Y28" i="2"/>
  <c r="AF28" i="2" s="1" a="1"/>
  <c r="AF28" i="2" s="1"/>
  <c r="X28" i="2"/>
  <c r="AE28" i="2" s="1" a="1"/>
  <c r="AE28" i="2" s="1"/>
  <c r="Z28" i="2"/>
  <c r="AG28" i="2" s="1" a="1"/>
  <c r="AG28" i="2" s="1"/>
  <c r="V29" i="2"/>
  <c r="AA29" i="2"/>
  <c r="AH29" i="2" s="1" a="1"/>
  <c r="AH29" i="2" s="1"/>
  <c r="Z29" i="2"/>
  <c r="AG29" i="2" s="1" a="1"/>
  <c r="AG29" i="2" s="1"/>
  <c r="X29" i="2"/>
  <c r="AE29" i="2" s="1" a="1"/>
  <c r="AE29" i="2" s="1"/>
  <c r="Y29" i="2"/>
  <c r="AF29" i="2" s="1" a="1"/>
  <c r="AF29" i="2" s="1"/>
  <c r="W29" i="2"/>
  <c r="AD29" i="2" s="1" a="1"/>
  <c r="AD29" i="2" s="1"/>
  <c r="AC29" i="2" s="1"/>
  <c r="V30" i="2"/>
  <c r="Y30" i="2"/>
  <c r="AF30" i="2" s="1" a="1"/>
  <c r="AF30" i="2" s="1"/>
  <c r="X30" i="2"/>
  <c r="AE30" i="2" s="1" a="1"/>
  <c r="AE30" i="2" s="1"/>
  <c r="Z30" i="2"/>
  <c r="AG30" i="2" s="1" a="1"/>
  <c r="AG30" i="2" s="1"/>
  <c r="AA30" i="2"/>
  <c r="AH30" i="2" s="1" a="1"/>
  <c r="AH30" i="2" s="1"/>
  <c r="W30" i="2"/>
  <c r="AD30" i="2" s="1" a="1"/>
  <c r="AD30" i="2" s="1"/>
  <c r="V31" i="2"/>
  <c r="W31" i="2"/>
  <c r="AD31" i="2" s="1" a="1"/>
  <c r="AD31" i="2" s="1"/>
  <c r="X31" i="2"/>
  <c r="AE31" i="2" s="1" a="1"/>
  <c r="AE31" i="2" s="1"/>
  <c r="AA31" i="2"/>
  <c r="AH31" i="2" s="1" a="1"/>
  <c r="AH31" i="2" s="1"/>
  <c r="Y31" i="2"/>
  <c r="AF31" i="2" s="1" a="1"/>
  <c r="AF31" i="2" s="1"/>
  <c r="Z31" i="2"/>
  <c r="AG31" i="2" s="1" a="1"/>
  <c r="AG31" i="2" s="1"/>
  <c r="V32" i="2"/>
  <c r="Z32" i="2"/>
  <c r="AG32" i="2" s="1" a="1"/>
  <c r="AG32" i="2" s="1"/>
  <c r="AA32" i="2"/>
  <c r="AH32" i="2" s="1" a="1"/>
  <c r="AH32" i="2" s="1"/>
  <c r="Y32" i="2"/>
  <c r="AF32" i="2" s="1" a="1"/>
  <c r="AF32" i="2" s="1"/>
  <c r="W32" i="2"/>
  <c r="AD32" i="2" s="1" a="1"/>
  <c r="AD32" i="2" s="1"/>
  <c r="X32" i="2"/>
  <c r="AE32" i="2" s="1" a="1"/>
  <c r="AE32" i="2" s="1"/>
  <c r="V33" i="2"/>
  <c r="AA33" i="2"/>
  <c r="AH33" i="2" s="1" a="1"/>
  <c r="AH33" i="2" s="1"/>
  <c r="Z33" i="2"/>
  <c r="AG33" i="2" s="1" a="1"/>
  <c r="AG33" i="2" s="1"/>
  <c r="X33" i="2"/>
  <c r="AE33" i="2" s="1" a="1"/>
  <c r="AE33" i="2" s="1"/>
  <c r="Y33" i="2"/>
  <c r="AF33" i="2" s="1" a="1"/>
  <c r="AF33" i="2" s="1"/>
  <c r="W33" i="2"/>
  <c r="AD33" i="2" s="1" a="1"/>
  <c r="AD33" i="2" s="1"/>
  <c r="V34" i="2"/>
  <c r="W34" i="2"/>
  <c r="AA34" i="2"/>
  <c r="AH34" i="2" s="1" a="1"/>
  <c r="AH34" i="2" s="1"/>
  <c r="X34" i="2"/>
  <c r="Y34" i="2"/>
  <c r="AF34" i="2" s="1" a="1"/>
  <c r="AF34" i="2" s="1"/>
  <c r="Z34" i="2"/>
  <c r="AG34" i="2" s="1" a="1"/>
  <c r="AG34" i="2" s="1"/>
  <c r="V35" i="2"/>
  <c r="Y35" i="2"/>
  <c r="AF35" i="2" s="1" a="1"/>
  <c r="AF35" i="2" s="1"/>
  <c r="Z35" i="2"/>
  <c r="AG35" i="2" s="1" a="1"/>
  <c r="AG35" i="2" s="1"/>
  <c r="X35" i="2"/>
  <c r="AE35" i="2" s="1" a="1"/>
  <c r="AE35" i="2" s="1"/>
  <c r="AA35" i="2"/>
  <c r="AH35" i="2" s="1" a="1"/>
  <c r="AH35" i="2" s="1"/>
  <c r="W35" i="2"/>
  <c r="AD35" i="2" s="1" a="1"/>
  <c r="AD35" i="2" s="1"/>
  <c r="V36" i="2"/>
  <c r="Z36" i="2"/>
  <c r="AG36" i="2" s="1" a="1"/>
  <c r="AG36" i="2" s="1"/>
  <c r="X36" i="2"/>
  <c r="AE36" i="2" s="1" a="1"/>
  <c r="AE36" i="2" s="1"/>
  <c r="AA36" i="2"/>
  <c r="AH36" i="2" s="1" a="1"/>
  <c r="AH36" i="2" s="1"/>
  <c r="Y36" i="2"/>
  <c r="AF36" i="2" s="1" a="1"/>
  <c r="AF36" i="2" s="1"/>
  <c r="W36" i="2"/>
  <c r="AD36" i="2" s="1" a="1"/>
  <c r="AD36" i="2" s="1"/>
  <c r="V37" i="2"/>
  <c r="W37" i="2"/>
  <c r="AD37" i="2" s="1" a="1"/>
  <c r="AD37" i="2" s="1"/>
  <c r="Z37" i="2"/>
  <c r="AG37" i="2" s="1" a="1"/>
  <c r="AG37" i="2" s="1"/>
  <c r="AA37" i="2"/>
  <c r="AH37" i="2" s="1" a="1"/>
  <c r="AH37" i="2" s="1"/>
  <c r="Y37" i="2"/>
  <c r="AF37" i="2" s="1" a="1"/>
  <c r="AF37" i="2" s="1"/>
  <c r="X37" i="2"/>
  <c r="AE37" i="2" s="1" a="1"/>
  <c r="AE37" i="2" s="1"/>
  <c r="V38" i="2"/>
  <c r="X38" i="2"/>
  <c r="AE38" i="2" s="1" a="1"/>
  <c r="AE38" i="2" s="1"/>
  <c r="Y38" i="2"/>
  <c r="AF38" i="2" s="1" a="1"/>
  <c r="AF38" i="2" s="1"/>
  <c r="Z38" i="2"/>
  <c r="AG38" i="2" s="1" a="1"/>
  <c r="AG38" i="2" s="1"/>
  <c r="W38" i="2"/>
  <c r="AD38" i="2" s="1" a="1"/>
  <c r="AD38" i="2" s="1"/>
  <c r="AA38" i="2"/>
  <c r="AH38" i="2" s="1" a="1"/>
  <c r="AH38" i="2" s="1"/>
  <c r="V39" i="2"/>
  <c r="W39" i="2"/>
  <c r="AD39" i="2" s="1" a="1"/>
  <c r="AD39" i="2" s="1"/>
  <c r="Y39" i="2"/>
  <c r="AF39" i="2" s="1" a="1"/>
  <c r="AF39" i="2" s="1"/>
  <c r="AA39" i="2"/>
  <c r="AH39" i="2" s="1" a="1"/>
  <c r="AH39" i="2" s="1"/>
  <c r="Z39" i="2"/>
  <c r="AG39" i="2" s="1" a="1"/>
  <c r="AG39" i="2" s="1"/>
  <c r="X39" i="2"/>
  <c r="AE39" i="2" s="1" a="1"/>
  <c r="AE39" i="2" s="1"/>
  <c r="V40" i="2"/>
  <c r="X40" i="2"/>
  <c r="Y40" i="2"/>
  <c r="Z40" i="2"/>
  <c r="AG40" i="2" s="1" a="1"/>
  <c r="AG40" i="2" s="1"/>
  <c r="W40" i="2"/>
  <c r="AD40" i="2" s="1" a="1"/>
  <c r="AD40" i="2" s="1"/>
  <c r="AA40" i="2"/>
  <c r="AH40" i="2" s="1" a="1"/>
  <c r="AH40" i="2" s="1"/>
  <c r="X41" i="2"/>
  <c r="AE41" i="2" s="1" a="1"/>
  <c r="AE41" i="2" s="1"/>
  <c r="AA41" i="2"/>
  <c r="AH41" i="2" s="1" a="1"/>
  <c r="AH41" i="2" s="1"/>
  <c r="Z41" i="2"/>
  <c r="AG41" i="2" s="1" a="1"/>
  <c r="AG41" i="2" s="1"/>
  <c r="W41" i="2"/>
  <c r="AD41" i="2" s="1" a="1"/>
  <c r="AD41" i="2" s="1"/>
  <c r="Y41" i="2"/>
  <c r="AF41" i="2" s="1" a="1"/>
  <c r="AF41" i="2" s="1"/>
  <c r="V42" i="2"/>
  <c r="Z42" i="2"/>
  <c r="AG42" i="2" s="1" a="1"/>
  <c r="AG42" i="2" s="1"/>
  <c r="W42" i="2"/>
  <c r="AD42" i="2" s="1" a="1"/>
  <c r="AD42" i="2" s="1"/>
  <c r="X42" i="2"/>
  <c r="AE42" i="2" s="1" a="1"/>
  <c r="AE42" i="2" s="1"/>
  <c r="AA42" i="2"/>
  <c r="AH42" i="2" s="1" a="1"/>
  <c r="AH42" i="2" s="1"/>
  <c r="Y42" i="2"/>
  <c r="AF42" i="2" s="1" a="1"/>
  <c r="AF42" i="2" s="1"/>
  <c r="V43" i="2"/>
  <c r="W43" i="2"/>
  <c r="AD43" i="2" s="1" a="1"/>
  <c r="AD43" i="2" s="1"/>
  <c r="Y43" i="2"/>
  <c r="AF43" i="2" s="1" a="1"/>
  <c r="AF43" i="2" s="1"/>
  <c r="Z43" i="2"/>
  <c r="AG43" i="2" s="1" a="1"/>
  <c r="AG43" i="2" s="1"/>
  <c r="X43" i="2"/>
  <c r="AE43" i="2" s="1" a="1"/>
  <c r="AE43" i="2" s="1"/>
  <c r="AA43" i="2"/>
  <c r="AH43" i="2" s="1" a="1"/>
  <c r="AH43" i="2" s="1"/>
  <c r="V44" i="2"/>
  <c r="W44" i="2"/>
  <c r="AD44" i="2" s="1" a="1"/>
  <c r="AD44" i="2" s="1"/>
  <c r="AA44" i="2"/>
  <c r="AH44" i="2" s="1" a="1"/>
  <c r="AH44" i="2" s="1"/>
  <c r="Y44" i="2"/>
  <c r="AF44" i="2" s="1" a="1"/>
  <c r="AF44" i="2" s="1"/>
  <c r="X44" i="2"/>
  <c r="AE44" i="2" s="1" a="1"/>
  <c r="AE44" i="2" s="1"/>
  <c r="Z44" i="2"/>
  <c r="AG44" i="2" s="1" a="1"/>
  <c r="AG44" i="2" s="1"/>
  <c r="V45" i="2"/>
  <c r="Y45" i="2"/>
  <c r="AF45" i="2" s="1" a="1"/>
  <c r="AF45" i="2" s="1"/>
  <c r="Z45" i="2"/>
  <c r="AG45" i="2" s="1" a="1"/>
  <c r="AG45" i="2" s="1"/>
  <c r="X45" i="2"/>
  <c r="AE45" i="2" s="1" a="1"/>
  <c r="AE45" i="2" s="1"/>
  <c r="AA45" i="2"/>
  <c r="AH45" i="2" s="1" a="1"/>
  <c r="AH45" i="2" s="1"/>
  <c r="W45" i="2"/>
  <c r="AD45" i="2" s="1" a="1"/>
  <c r="AD45" i="2" s="1"/>
  <c r="V46" i="2"/>
  <c r="W46" i="2"/>
  <c r="AD46" i="2" s="1" a="1"/>
  <c r="AD46" i="2" s="1"/>
  <c r="Z46" i="2"/>
  <c r="AG46" i="2" s="1" a="1"/>
  <c r="AG46" i="2" s="1"/>
  <c r="Y46" i="2"/>
  <c r="AF46" i="2" s="1" a="1"/>
  <c r="AF46" i="2" s="1"/>
  <c r="X46" i="2"/>
  <c r="AE46" i="2" s="1" a="1"/>
  <c r="AE46" i="2" s="1"/>
  <c r="AA46" i="2"/>
  <c r="AH46" i="2" s="1" a="1"/>
  <c r="AH46" i="2" s="1"/>
  <c r="V47" i="2"/>
  <c r="Z47" i="2"/>
  <c r="AG47" i="2" s="1" a="1"/>
  <c r="AG47" i="2" s="1"/>
  <c r="W47" i="2"/>
  <c r="AD47" i="2" s="1" a="1"/>
  <c r="AD47" i="2" s="1"/>
  <c r="AA47" i="2"/>
  <c r="AH47" i="2" s="1" a="1"/>
  <c r="AH47" i="2" s="1"/>
  <c r="Y47" i="2"/>
  <c r="AF47" i="2" s="1" a="1"/>
  <c r="AF47" i="2" s="1"/>
  <c r="X47" i="2"/>
  <c r="AE47" i="2" s="1" a="1"/>
  <c r="AE47" i="2" s="1"/>
  <c r="V48" i="2"/>
  <c r="Z48" i="2"/>
  <c r="AG48" i="2" s="1" a="1"/>
  <c r="AG48" i="2" s="1"/>
  <c r="Y48" i="2"/>
  <c r="AF48" i="2" s="1" a="1"/>
  <c r="AF48" i="2" s="1"/>
  <c r="W48" i="2"/>
  <c r="AD48" i="2" s="1" a="1"/>
  <c r="AD48" i="2" s="1"/>
  <c r="X48" i="2"/>
  <c r="AE48" i="2" s="1" a="1"/>
  <c r="AE48" i="2" s="1"/>
  <c r="AA48" i="2"/>
  <c r="AH48" i="2" s="1" a="1"/>
  <c r="AH48" i="2" s="1"/>
  <c r="V49" i="2"/>
  <c r="X49" i="2"/>
  <c r="AE49" i="2" s="1" a="1"/>
  <c r="AE49" i="2" s="1"/>
  <c r="Y49" i="2"/>
  <c r="AF49" i="2" s="1" a="1"/>
  <c r="AF49" i="2" s="1"/>
  <c r="W49" i="2"/>
  <c r="AD49" i="2" s="1" a="1"/>
  <c r="AD49" i="2" s="1"/>
  <c r="AA49" i="2"/>
  <c r="AH49" i="2" s="1" a="1"/>
  <c r="AH49" i="2" s="1"/>
  <c r="Z49" i="2"/>
  <c r="AG49" i="2" s="1" a="1"/>
  <c r="AG49" i="2" s="1"/>
  <c r="V50" i="2"/>
  <c r="W50" i="2"/>
  <c r="AD50" i="2" s="1" a="1"/>
  <c r="AD50" i="2" s="1"/>
  <c r="AA50" i="2"/>
  <c r="AH50" i="2" s="1" a="1"/>
  <c r="AH50" i="2" s="1"/>
  <c r="Z50" i="2"/>
  <c r="AG50" i="2" s="1" a="1"/>
  <c r="AG50" i="2" s="1"/>
  <c r="Y50" i="2"/>
  <c r="AF50" i="2" s="1" a="1"/>
  <c r="AF50" i="2" s="1"/>
  <c r="X50" i="2"/>
  <c r="AE50" i="2" s="1" a="1"/>
  <c r="AE50" i="2" s="1"/>
  <c r="V51" i="2"/>
  <c r="AA51" i="2"/>
  <c r="AH51" i="2" s="1" a="1"/>
  <c r="AH51" i="2" s="1"/>
  <c r="Y51" i="2"/>
  <c r="AF51" i="2" s="1" a="1"/>
  <c r="AF51" i="2" s="1"/>
  <c r="W51" i="2"/>
  <c r="AD51" i="2" s="1" a="1"/>
  <c r="AD51" i="2" s="1"/>
  <c r="X51" i="2"/>
  <c r="AE51" i="2" s="1" a="1"/>
  <c r="AE51" i="2" s="1"/>
  <c r="Z51" i="2"/>
  <c r="AG51" i="2" s="1" a="1"/>
  <c r="AG51" i="2" s="1"/>
  <c r="V52" i="2"/>
  <c r="Y52" i="2"/>
  <c r="AF52" i="2" s="1" a="1"/>
  <c r="AF52" i="2" s="1"/>
  <c r="W52" i="2"/>
  <c r="AD52" i="2" s="1" a="1"/>
  <c r="AD52" i="2" s="1"/>
  <c r="AA52" i="2"/>
  <c r="AH52" i="2" s="1" a="1"/>
  <c r="AH52" i="2" s="1"/>
  <c r="X52" i="2"/>
  <c r="AE52" i="2" s="1" a="1"/>
  <c r="AE52" i="2" s="1"/>
  <c r="Z52" i="2"/>
  <c r="AG52" i="2" s="1" a="1"/>
  <c r="AG52" i="2" s="1"/>
  <c r="V53" i="2"/>
  <c r="Y53" i="2"/>
  <c r="AF53" i="2" s="1" a="1"/>
  <c r="AF53" i="2" s="1"/>
  <c r="X53" i="2"/>
  <c r="AE53" i="2" s="1" a="1"/>
  <c r="AE53" i="2" s="1"/>
  <c r="Z53" i="2"/>
  <c r="AG53" i="2" s="1" a="1"/>
  <c r="AG53" i="2" s="1"/>
  <c r="AA53" i="2"/>
  <c r="AH53" i="2" s="1" a="1"/>
  <c r="AH53" i="2" s="1"/>
  <c r="W53" i="2"/>
  <c r="AD53" i="2" s="1" a="1"/>
  <c r="AD53" i="2" s="1"/>
  <c r="AC53" i="2" s="1"/>
  <c r="W54" i="2"/>
  <c r="AD54" i="2" s="1" a="1"/>
  <c r="AD54" i="2" s="1"/>
  <c r="X54" i="2"/>
  <c r="AE54" i="2" s="1" a="1"/>
  <c r="AE54" i="2" s="1"/>
  <c r="Z54" i="2"/>
  <c r="AG54" i="2" s="1" a="1"/>
  <c r="AG54" i="2" s="1"/>
  <c r="Y54" i="2"/>
  <c r="AF54" i="2" s="1" a="1"/>
  <c r="AF54" i="2" s="1"/>
  <c r="AA54" i="2"/>
  <c r="AH54" i="2" s="1" a="1"/>
  <c r="AH54" i="2" s="1"/>
  <c r="V55" i="2"/>
  <c r="Y55" i="2"/>
  <c r="AF55" i="2" s="1" a="1"/>
  <c r="AF55" i="2" s="1"/>
  <c r="X55" i="2"/>
  <c r="AE55" i="2" s="1" a="1"/>
  <c r="AE55" i="2" s="1"/>
  <c r="Z55" i="2"/>
  <c r="AG55" i="2" s="1" a="1"/>
  <c r="AG55" i="2" s="1"/>
  <c r="W55" i="2"/>
  <c r="AD55" i="2" s="1" a="1"/>
  <c r="AD55" i="2" s="1"/>
  <c r="AA55" i="2"/>
  <c r="AH55" i="2" s="1" a="1"/>
  <c r="AH55" i="2" s="1"/>
  <c r="V56" i="2"/>
  <c r="Z56" i="2"/>
  <c r="AG56" i="2" s="1" a="1"/>
  <c r="AG56" i="2" s="1"/>
  <c r="X56" i="2"/>
  <c r="AE56" i="2" s="1" a="1"/>
  <c r="AE56" i="2" s="1"/>
  <c r="Y56" i="2"/>
  <c r="AF56" i="2" s="1" a="1"/>
  <c r="AF56" i="2" s="1"/>
  <c r="W56" i="2"/>
  <c r="AD56" i="2" s="1" a="1"/>
  <c r="AD56" i="2" s="1"/>
  <c r="AA56" i="2"/>
  <c r="AH56" i="2" s="1" a="1"/>
  <c r="AH56" i="2" s="1"/>
  <c r="W57" i="2"/>
  <c r="AD57" i="2" s="1" a="1"/>
  <c r="AD57" i="2" s="1"/>
  <c r="Z57" i="2"/>
  <c r="AG57" i="2" s="1" a="1"/>
  <c r="AG57" i="2" s="1"/>
  <c r="AA57" i="2"/>
  <c r="AH57" i="2" s="1" a="1"/>
  <c r="AH57" i="2" s="1"/>
  <c r="Y57" i="2"/>
  <c r="AF57" i="2" s="1" a="1"/>
  <c r="AF57" i="2" s="1"/>
  <c r="X57" i="2"/>
  <c r="AE57" i="2" s="1" a="1"/>
  <c r="AE57" i="2" s="1"/>
  <c r="V58" i="2"/>
  <c r="AA58" i="2"/>
  <c r="AH58" i="2" s="1" a="1"/>
  <c r="AH58" i="2" s="1"/>
  <c r="X58" i="2"/>
  <c r="AE58" i="2" s="1" a="1"/>
  <c r="AE58" i="2" s="1"/>
  <c r="Z58" i="2"/>
  <c r="AG58" i="2" s="1" a="1"/>
  <c r="AG58" i="2" s="1"/>
  <c r="Y58" i="2"/>
  <c r="AF58" i="2" s="1" a="1"/>
  <c r="AF58" i="2" s="1"/>
  <c r="W58" i="2"/>
  <c r="AD58" i="2" s="1" a="1"/>
  <c r="AD58" i="2" s="1"/>
  <c r="V59" i="2"/>
  <c r="X59" i="2"/>
  <c r="AA59" i="2"/>
  <c r="AH59" i="2" s="1" a="1"/>
  <c r="AH59" i="2" s="1"/>
  <c r="Y59" i="2"/>
  <c r="Z59" i="2"/>
  <c r="AG59" i="2" s="1" a="1"/>
  <c r="AG59" i="2" s="1"/>
  <c r="W59" i="2"/>
  <c r="X60" i="2"/>
  <c r="AE60" i="2" s="1" a="1"/>
  <c r="AE60" i="2" s="1"/>
  <c r="Y60" i="2"/>
  <c r="AF60" i="2" s="1" a="1"/>
  <c r="AF60" i="2" s="1"/>
  <c r="W60" i="2"/>
  <c r="AD60" i="2" s="1" a="1"/>
  <c r="AD60" i="2" s="1"/>
  <c r="AA60" i="2"/>
  <c r="AH60" i="2" s="1" a="1"/>
  <c r="AH60" i="2" s="1"/>
  <c r="Z60" i="2"/>
  <c r="AG60" i="2" s="1" a="1"/>
  <c r="AG60" i="2" s="1"/>
  <c r="V61" i="2"/>
  <c r="AA61" i="2"/>
  <c r="AH61" i="2" s="1" a="1"/>
  <c r="AH61" i="2" s="1"/>
  <c r="Z61" i="2"/>
  <c r="AG61" i="2" s="1" a="1"/>
  <c r="AG61" i="2" s="1"/>
  <c r="W61" i="2"/>
  <c r="AD61" i="2" s="1" a="1"/>
  <c r="AD61" i="2" s="1"/>
  <c r="X61" i="2"/>
  <c r="AE61" i="2" s="1" a="1"/>
  <c r="AE61" i="2" s="1"/>
  <c r="Y61" i="2"/>
  <c r="AF61" i="2" s="1" a="1"/>
  <c r="AF61" i="2" s="1"/>
  <c r="V62" i="2"/>
  <c r="Y62" i="2"/>
  <c r="AF62" i="2" s="1" a="1"/>
  <c r="AF62" i="2" s="1"/>
  <c r="AA62" i="2"/>
  <c r="AH62" i="2" s="1" a="1"/>
  <c r="AH62" i="2" s="1"/>
  <c r="W62" i="2"/>
  <c r="AD62" i="2" s="1" a="1"/>
  <c r="AD62" i="2" s="1"/>
  <c r="Z62" i="2"/>
  <c r="AG62" i="2" s="1" a="1"/>
  <c r="AG62" i="2" s="1"/>
  <c r="X62" i="2"/>
  <c r="AE62" i="2" s="1" a="1"/>
  <c r="AE62" i="2" s="1"/>
  <c r="V63" i="2"/>
  <c r="Y63" i="2"/>
  <c r="AF63" i="2" s="1" a="1"/>
  <c r="AF63" i="2" s="1"/>
  <c r="Z63" i="2"/>
  <c r="AG63" i="2" s="1" a="1"/>
  <c r="AG63" i="2" s="1"/>
  <c r="AA63" i="2"/>
  <c r="AH63" i="2" s="1" a="1"/>
  <c r="AH63" i="2" s="1"/>
  <c r="W63" i="2"/>
  <c r="AD63" i="2" s="1" a="1"/>
  <c r="AD63" i="2" s="1"/>
  <c r="X63" i="2"/>
  <c r="AE63" i="2" s="1" a="1"/>
  <c r="AE63" i="2" s="1"/>
  <c r="W64" i="2"/>
  <c r="Y64" i="2"/>
  <c r="AA64" i="2"/>
  <c r="AH64" i="2" s="1" a="1"/>
  <c r="AH64" i="2" s="1"/>
  <c r="X64" i="2"/>
  <c r="Z64" i="2"/>
  <c r="AG64" i="2" s="1" a="1"/>
  <c r="AG64" i="2" s="1"/>
  <c r="AC64" i="2" s="1"/>
  <c r="V64" i="2"/>
  <c r="V65" i="2"/>
  <c r="X65" i="2"/>
  <c r="AA65" i="2"/>
  <c r="AH65" i="2" s="1" a="1"/>
  <c r="AH65" i="2" s="1"/>
  <c r="Z65" i="2"/>
  <c r="AG65" i="2" s="1" a="1"/>
  <c r="AG65" i="2" s="1"/>
  <c r="AC65" i="2" s="1"/>
  <c r="Y65" i="2"/>
  <c r="W65" i="2"/>
  <c r="V66" i="2"/>
  <c r="W66" i="2"/>
  <c r="X66" i="2"/>
  <c r="AA66" i="2"/>
  <c r="AH66" i="2" s="1" a="1"/>
  <c r="AH66" i="2" s="1"/>
  <c r="Y66" i="2"/>
  <c r="Z66" i="2"/>
  <c r="AG66" i="2" s="1" a="1"/>
  <c r="AG66" i="2" s="1"/>
  <c r="AC66" i="2" s="1"/>
  <c r="V67" i="2"/>
  <c r="Y67" i="2"/>
  <c r="AF67" i="2" s="1" a="1"/>
  <c r="AF67" i="2" s="1"/>
  <c r="AA67" i="2"/>
  <c r="AH67" i="2" s="1" a="1"/>
  <c r="AH67" i="2" s="1"/>
  <c r="W67" i="2"/>
  <c r="AD67" i="2" s="1" a="1"/>
  <c r="AD67" i="2" s="1"/>
  <c r="X67" i="2"/>
  <c r="AE67" i="2" s="1" a="1"/>
  <c r="AE67" i="2" s="1"/>
  <c r="Z67" i="2"/>
  <c r="AG67" i="2" s="1" a="1"/>
  <c r="AG67" i="2" s="1"/>
  <c r="V68" i="2"/>
  <c r="AA68" i="2"/>
  <c r="AH68" i="2" s="1" a="1"/>
  <c r="AH68" i="2" s="1"/>
  <c r="Z68" i="2"/>
  <c r="AG68" i="2" s="1" a="1"/>
  <c r="AG68" i="2" s="1"/>
  <c r="W68" i="2"/>
  <c r="AD68" i="2" s="1" a="1"/>
  <c r="AD68" i="2" s="1"/>
  <c r="X68" i="2"/>
  <c r="AE68" i="2" s="1" a="1"/>
  <c r="AE68" i="2" s="1"/>
  <c r="Y68" i="2"/>
  <c r="AF68" i="2" s="1" a="1"/>
  <c r="AF68" i="2" s="1"/>
  <c r="V69" i="2"/>
  <c r="AA69" i="2"/>
  <c r="AH69" i="2" s="1" a="1"/>
  <c r="AH69" i="2" s="1"/>
  <c r="Y69" i="2"/>
  <c r="AF69" i="2" s="1" a="1"/>
  <c r="AF69" i="2" s="1"/>
  <c r="X69" i="2"/>
  <c r="AE69" i="2" s="1" a="1"/>
  <c r="AE69" i="2" s="1"/>
  <c r="W69" i="2"/>
  <c r="AD69" i="2" s="1" a="1"/>
  <c r="AD69" i="2" s="1"/>
  <c r="Z69" i="2"/>
  <c r="AG69" i="2" s="1" a="1"/>
  <c r="AG69" i="2" s="1"/>
  <c r="AA70" i="2"/>
  <c r="AH70" i="2" s="1" a="1"/>
  <c r="AH70" i="2" s="1"/>
  <c r="V70" i="2"/>
  <c r="Z70" i="2"/>
  <c r="AG70" i="2" s="1" a="1"/>
  <c r="AG70" i="2" s="1"/>
  <c r="Y70" i="2"/>
  <c r="AF70" i="2" s="1" a="1"/>
  <c r="AF70" i="2" s="1"/>
  <c r="X70" i="2"/>
  <c r="AE70" i="2" s="1" a="1"/>
  <c r="AE70" i="2" s="1"/>
  <c r="W70" i="2"/>
  <c r="AD70" i="2" s="1" a="1"/>
  <c r="AD70" i="2" s="1"/>
  <c r="AC70" i="2" s="1"/>
  <c r="Z71" i="2"/>
  <c r="AG71" i="2" s="1" a="1"/>
  <c r="AG71" i="2" s="1"/>
  <c r="W71" i="2"/>
  <c r="AD71" i="2" s="1" a="1"/>
  <c r="AD71" i="2" s="1"/>
  <c r="Y71" i="2"/>
  <c r="AF71" i="2" s="1" a="1"/>
  <c r="AF71" i="2" s="1"/>
  <c r="V71" i="2"/>
  <c r="X71" i="2"/>
  <c r="AE71" i="2" s="1" a="1"/>
  <c r="AE71" i="2" s="1"/>
  <c r="AA71" i="2"/>
  <c r="AH71" i="2" s="1" a="1"/>
  <c r="AH71" i="2" s="1"/>
  <c r="V72" i="2"/>
  <c r="Y72" i="2"/>
  <c r="AF72" i="2" s="1" a="1"/>
  <c r="AF72" i="2" s="1"/>
  <c r="Z72" i="2"/>
  <c r="AG72" i="2" s="1" a="1"/>
  <c r="AG72" i="2" s="1"/>
  <c r="W72" i="2"/>
  <c r="AD72" i="2" s="1" a="1"/>
  <c r="AD72" i="2" s="1"/>
  <c r="X72" i="2"/>
  <c r="AE72" i="2" s="1" a="1"/>
  <c r="AE72" i="2" s="1"/>
  <c r="AA72" i="2"/>
  <c r="AH72" i="2" s="1" a="1"/>
  <c r="AH72" i="2" s="1"/>
  <c r="V73" i="2"/>
  <c r="AA73" i="2"/>
  <c r="AH73" i="2" s="1" a="1"/>
  <c r="AH73" i="2" s="1"/>
  <c r="X73" i="2"/>
  <c r="AE73" i="2" s="1" a="1"/>
  <c r="AE73" i="2" s="1"/>
  <c r="W73" i="2"/>
  <c r="AD73" i="2" s="1" a="1"/>
  <c r="AD73" i="2" s="1"/>
  <c r="Y73" i="2"/>
  <c r="AF73" i="2" s="1" a="1"/>
  <c r="AF73" i="2" s="1"/>
  <c r="Z73" i="2"/>
  <c r="AG73" i="2" s="1" a="1"/>
  <c r="AG73" i="2" s="1"/>
  <c r="Z74" i="2"/>
  <c r="AG74" i="2" s="1" a="1"/>
  <c r="AG74" i="2" s="1"/>
  <c r="AA74" i="2"/>
  <c r="AH74" i="2" s="1" a="1"/>
  <c r="AH74" i="2" s="1"/>
  <c r="V74" i="2"/>
  <c r="Y74" i="2"/>
  <c r="AF74" i="2" s="1" a="1"/>
  <c r="AF74" i="2" s="1"/>
  <c r="X74" i="2"/>
  <c r="AE74" i="2" s="1" a="1"/>
  <c r="AE74" i="2" s="1"/>
  <c r="W74" i="2"/>
  <c r="AD74" i="2" s="1" a="1"/>
  <c r="AD74" i="2" s="1"/>
  <c r="AA75" i="2"/>
  <c r="AH75" i="2" s="1" a="1"/>
  <c r="AH75" i="2" s="1"/>
  <c r="X75" i="2"/>
  <c r="Z75" i="2"/>
  <c r="Y75" i="2"/>
  <c r="AG75" i="2" s="1" a="1"/>
  <c r="AG75" i="2" s="1"/>
  <c r="W75" i="2"/>
  <c r="AE75" i="2" s="1" a="1"/>
  <c r="AE75" i="2" s="1"/>
  <c r="AC75" i="2" s="1"/>
  <c r="V76" i="2"/>
  <c r="AA76" i="2"/>
  <c r="AH76" i="2" s="1" a="1"/>
  <c r="AH76" i="2" s="1"/>
  <c r="Y76" i="2"/>
  <c r="AG76" i="2" s="1" a="1"/>
  <c r="AG76" i="2" s="1"/>
  <c r="Z76" i="2"/>
  <c r="W76" i="2"/>
  <c r="AE76" i="2" s="1" a="1"/>
  <c r="AE76" i="2" s="1"/>
  <c r="X76" i="2"/>
  <c r="V77" i="2"/>
  <c r="Z77" i="2"/>
  <c r="AG77" i="2" s="1" a="1"/>
  <c r="AG77" i="2" s="1"/>
  <c r="Y77" i="2"/>
  <c r="AA77" i="2"/>
  <c r="AH77" i="2" s="1" a="1"/>
  <c r="AH77" i="2" s="1"/>
  <c r="X77" i="2"/>
  <c r="W77" i="2"/>
  <c r="AC77" i="2" s="1"/>
  <c r="V78" i="2"/>
  <c r="W78" i="2"/>
  <c r="Z78" i="2"/>
  <c r="AG78" i="2" s="1" a="1"/>
  <c r="AG78" i="2" s="1"/>
  <c r="X78" i="2"/>
  <c r="Y78" i="2"/>
  <c r="AA78" i="2"/>
  <c r="AH78" i="2" s="1" a="1"/>
  <c r="AH78" i="2" s="1"/>
  <c r="AC58" i="2" l="1"/>
  <c r="AC68" i="2"/>
  <c r="AC76" i="2"/>
  <c r="AC30" i="2"/>
  <c r="AC57" i="2"/>
  <c r="AC59" i="2"/>
  <c r="AC62" i="2"/>
  <c r="AC48" i="2"/>
  <c r="AC50" i="2"/>
  <c r="AC52" i="2"/>
  <c r="AC54" i="2"/>
  <c r="AC71" i="2"/>
  <c r="AC72" i="2"/>
  <c r="AC73" i="2"/>
  <c r="AC78" i="2"/>
  <c r="AC85" i="2"/>
  <c r="AC35" i="2"/>
  <c r="AC49" i="2"/>
  <c r="AC81" i="2"/>
  <c r="AC45" i="2"/>
  <c r="AC15" i="2"/>
  <c r="AC43" i="2"/>
  <c r="AC44" i="2"/>
  <c r="AC46" i="2"/>
  <c r="AC55" i="2"/>
  <c r="AC47" i="2"/>
  <c r="AC60" i="2"/>
  <c r="AC61" i="2"/>
  <c r="AC63" i="2"/>
  <c r="AC67" i="2"/>
  <c r="AC56" i="2"/>
  <c r="AC74" i="2"/>
  <c r="AC79" i="2"/>
  <c r="AC84" i="2"/>
  <c r="AC51" i="2"/>
  <c r="AC69" i="2"/>
  <c r="AC33" i="2"/>
  <c r="AC42" i="2"/>
  <c r="AC38" i="2"/>
  <c r="AC2" i="2"/>
  <c r="AC16" i="2"/>
  <c r="AC24" i="2"/>
  <c r="AC26" i="2"/>
  <c r="AC31" i="2"/>
  <c r="AC34" i="2"/>
  <c r="AC3" i="2"/>
  <c r="AC4" i="2"/>
  <c r="AC5" i="2"/>
  <c r="AC6" i="2"/>
  <c r="AC7" i="2"/>
  <c r="AC41" i="2"/>
  <c r="AC8" i="2"/>
  <c r="AC10" i="2"/>
  <c r="AC11" i="2"/>
  <c r="AC12" i="2"/>
  <c r="AC13" i="2"/>
  <c r="AC14" i="2"/>
  <c r="AC25" i="2"/>
  <c r="AC27" i="2"/>
  <c r="AC28" i="2"/>
  <c r="AC37" i="2"/>
  <c r="AC40" i="2"/>
  <c r="AC17" i="2"/>
  <c r="AC18" i="2"/>
  <c r="AC19" i="2"/>
  <c r="AC20" i="2"/>
  <c r="AC21" i="2"/>
  <c r="AC22" i="2"/>
  <c r="AC23" i="2"/>
  <c r="AC32" i="2"/>
  <c r="AC36" i="2"/>
  <c r="AC3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<sst xmlns="http://schemas.openxmlformats.org/spreadsheetml/2006/main" count="1768" uniqueCount="996">
  <si>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</si>
  <si>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</si>
  <si>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</si>
  <si>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</si>
  <si>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</si>
  <si>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</si>
  <si>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</si>
  <si>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</si>
  <si>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</si>
  <si>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</si>
  <si>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</si>
  <si>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</si>
  <si>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</si>
  <si>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</si>
  <si>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</si>
  <si>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</si>
  <si>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</si>
  <si>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</si>
  <si>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</si>
  <si>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</si>
  <si>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</si>
  <si>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ut̚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</si>
  <si>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</si>
  <si>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</si>
  <si>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</si>
  <si>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</si>
  <si>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</si>
  <si>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</si>
  <si>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</si>
  <si>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</si>
  <si>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</si>
  <si>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</si>
  <si>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</si>
  <si>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</si>
  <si>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iat̚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</si>
  <si>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</si>
  <si>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</si>
  <si>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</si>
  <si>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</si>
  <si>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</si>
  <si>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</si>
  <si>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</si>
  <si>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</si>
  <si>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</si>
  <si>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</si>
  <si>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</si>
  <si>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</si>
  <si>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</si>
  <si>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</si>
  <si>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</si>
  <si>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</si>
  <si>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</si>
  <si>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</si>
  <si>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</si>
  <si>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</si>
  <si>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</si>
  <si>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</si>
  <si>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</si>
  <si>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</si>
  <si>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</si>
  <si>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</si>
  <si>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</si>
  <si>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</si>
  <si>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</si>
  <si>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</si>
  <si>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</si>
  <si>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ɛ?</t>
  </si>
  <si>
    <t>ㄝㆷ</t>
  </si>
  <si>
    <t>eeh</t>
  </si>
  <si>
    <t>0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</si>
  <si>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</si>
  <si>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</si>
  <si>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</si>
  <si>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</si>
  <si>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</si>
  <si>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</si>
  <si>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</si>
  <si>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</si>
  <si>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</si>
  <si>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</si>
  <si>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</si>
  <si>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</si>
  <si>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</si>
  <si>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</si>
  <si>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</si>
  <si>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</si>
  <si>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</si>
  <si>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</si>
  <si>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</si>
  <si>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</si>
  <si>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</si>
  <si>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</si>
  <si>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</si>
  <si>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</si>
  <si>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</si>
  <si>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</si>
  <si>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</si>
  <si>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</si>
  <si>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</si>
  <si>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</si>
  <si>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</si>
  <si>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</si>
  <si>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</si>
  <si>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</si>
  <si>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</si>
  <si>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</si>
  <si>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uai?</t>
  </si>
  <si>
    <t>ㄨㄞㆷ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</si>
  <si>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</si>
  <si>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</si>
  <si>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</si>
  <si>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</si>
  <si>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</si>
  <si>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</si>
  <si>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</si>
  <si>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</si>
  <si>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</si>
  <si>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</si>
  <si>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</si>
  <si>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</si>
  <si>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</si>
  <si>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ik̚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</si>
  <si>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</si>
  <si>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</si>
  <si>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</si>
  <si>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</si>
  <si>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</si>
  <si>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</si>
  <si>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</si>
  <si>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</si>
  <si>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</si>
  <si>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</si>
  <si>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</si>
  <si>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</si>
  <si>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</si>
  <si>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</si>
  <si>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</si>
  <si>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</si>
  <si>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</si>
  <si>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</si>
  <si>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</si>
  <si>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</si>
  <si>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</si>
  <si>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</si>
  <si>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ㆦ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</si>
  <si>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</si>
  <si>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</si>
  <si>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</si>
  <si>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</si>
  <si>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</si>
  <si>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</si>
  <si>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</si>
  <si>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</si>
  <si>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</si>
  <si>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</si>
  <si>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</si>
  <si>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</si>
  <si>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iau?</t>
  </si>
  <si>
    <t>ㄧㄠㆷ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</si>
  <si>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</si>
  <si>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</si>
  <si>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</si>
  <si>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</si>
  <si>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</si>
  <si>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</si>
  <si>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</si>
  <si>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</si>
  <si>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</si>
  <si>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</si>
  <si>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</si>
  <si>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</si>
  <si>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</si>
  <si>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</si>
  <si>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</si>
  <si>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</si>
  <si>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</si>
  <si>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</si>
  <si>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iɔk̚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</si>
  <si>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</si>
  <si>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</si>
  <si>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</si>
  <si>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</si>
  <si>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</si>
  <si>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</si>
  <si>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</si>
  <si>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</si>
  <si>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</si>
  <si>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</si>
  <si>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</si>
  <si>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</si>
  <si>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o?</t>
  </si>
  <si>
    <t>ㄜㆷ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</si>
  <si>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</si>
  <si>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</si>
  <si>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</si>
  <si>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</si>
  <si>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</si>
  <si>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</si>
  <si>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</si>
  <si>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</si>
  <si>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</si>
  <si>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</si>
  <si>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</si>
  <si>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</si>
  <si>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</si>
  <si>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</si>
  <si>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</si>
  <si>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</si>
  <si>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</si>
  <si>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</si>
  <si>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</si>
  <si>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</si>
  <si>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</si>
  <si>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</si>
  <si>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</si>
  <si>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</si>
  <si>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</si>
  <si>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ㄧㄤ</t>
  </si>
  <si>
    <t>iang</t>
  </si>
  <si>
    <t>姜舒</t>
  </si>
  <si>
    <t>36</t>
  </si>
  <si>
    <t>爆</t>
  </si>
  <si>
    <t>iak̚</t>
  </si>
  <si>
    <t>ㄧㄚㆻ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</si>
  <si>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</si>
  <si>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</si>
  <si>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</si>
  <si>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</si>
  <si>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</si>
  <si>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</si>
  <si>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</si>
  <si>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</si>
  <si>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</si>
  <si>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</si>
  <si>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</si>
  <si>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</si>
  <si>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</si>
  <si>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</si>
  <si>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</si>
  <si>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</si>
  <si>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</si>
  <si>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</si>
  <si>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</si>
  <si>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</si>
  <si>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</si>
  <si>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</si>
  <si>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</si>
  <si>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ua?</t>
  </si>
  <si>
    <t>ㄨㄚㆷ</t>
  </si>
  <si>
    <t>uah</t>
  </si>
  <si>
    <t>oah</t>
  </si>
  <si>
    <t>瓜促</t>
  </si>
  <si>
    <t>41</t>
  </si>
  <si>
    <t>邦</t>
  </si>
  <si>
    <t>aŋ</t>
  </si>
  <si>
    <t>江</t>
  </si>
  <si>
    <t>ㄤ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</si>
  <si>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</si>
  <si>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</si>
  <si>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</si>
  <si>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</si>
  <si>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</si>
  <si>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</si>
  <si>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</si>
  <si>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</si>
  <si>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</si>
  <si>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</si>
  <si>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</si>
  <si>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</si>
  <si>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</si>
  <si>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</si>
  <si>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</si>
  <si>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</si>
  <si>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</si>
  <si>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</si>
  <si>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</si>
  <si>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</si>
  <si>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</si>
  <si>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</si>
  <si>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</si>
  <si>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</si>
  <si>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</si>
  <si>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</si>
  <si>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</si>
  <si>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</si>
  <si>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</si>
  <si>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</si>
  <si>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au?</t>
  </si>
  <si>
    <t>ㄠㆷ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</si>
  <si>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</si>
  <si>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</si>
  <si>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</si>
  <si>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</si>
  <si>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</si>
  <si>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</si>
  <si>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</si>
  <si>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</si>
  <si>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</si>
  <si>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</si>
  <si>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</si>
  <si>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ia?</t>
  </si>
  <si>
    <t>ㄧㄚㆷ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</si>
  <si>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</si>
  <si>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</si>
  <si>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</si>
  <si>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</si>
  <si>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</si>
  <si>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</si>
  <si>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</si>
  <si>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</si>
  <si>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</si>
  <si>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</si>
  <si>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</si>
  <si>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</si>
  <si>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uei?</t>
  </si>
  <si>
    <t>ㄨㆤㆷ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</si>
  <si>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</si>
  <si>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</si>
  <si>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</si>
  <si>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</si>
  <si>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</si>
  <si>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</si>
  <si>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</si>
  <si>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</si>
  <si>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</si>
  <si>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</si>
  <si>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</si>
  <si>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</si>
  <si>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</si>
  <si>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ã?</t>
  </si>
  <si>
    <t>ㆩㆷ</t>
  </si>
  <si>
    <t>ahnn</t>
  </si>
  <si>
    <t>annh</t>
  </si>
  <si>
    <t>aⁿh</t>
  </si>
  <si>
    <t>nah</t>
  </si>
  <si>
    <t>監促</t>
  </si>
  <si>
    <t>夫</t>
  </si>
  <si>
    <t>u</t>
  </si>
  <si>
    <t>艍</t>
  </si>
  <si>
    <t>ㄨ</t>
  </si>
  <si>
    <t>艍舒</t>
  </si>
  <si>
    <t>勃</t>
  </si>
  <si>
    <t>u?</t>
  </si>
  <si>
    <t>ㄨㆷ</t>
  </si>
  <si>
    <t>uh</t>
  </si>
  <si>
    <t>艍促</t>
  </si>
  <si>
    <t>些</t>
  </si>
  <si>
    <t>a</t>
  </si>
  <si>
    <t>膠</t>
  </si>
  <si>
    <t>ㄚ</t>
  </si>
  <si>
    <t>膠舒</t>
  </si>
  <si>
    <t>百</t>
  </si>
  <si>
    <t>a?</t>
  </si>
  <si>
    <t>ㄚㆷ</t>
  </si>
  <si>
    <t>ah</t>
  </si>
  <si>
    <t>膠促</t>
  </si>
  <si>
    <t>爾</t>
  </si>
  <si>
    <t>i</t>
  </si>
  <si>
    <t>居</t>
  </si>
  <si>
    <t>ㄧ</t>
  </si>
  <si>
    <t>居舒</t>
  </si>
  <si>
    <t>逼</t>
  </si>
  <si>
    <t>i?</t>
  </si>
  <si>
    <t>ㄧㆷ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</si>
  <si>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</si>
  <si>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</si>
  <si>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</si>
  <si>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</si>
  <si>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</si>
  <si>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</si>
  <si>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</si>
  <si>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</si>
  <si>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</si>
  <si>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</si>
  <si>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</si>
  <si>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</si>
  <si>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</si>
  <si>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</si>
  <si>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</si>
  <si>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</si>
  <si>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ɛ̃?</t>
  </si>
  <si>
    <t>ㆥㆷ</t>
  </si>
  <si>
    <t>ehnn</t>
  </si>
  <si>
    <t>ennh</t>
  </si>
  <si>
    <t>eⁿh</t>
  </si>
  <si>
    <t>neh</t>
  </si>
  <si>
    <t>更促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</si>
  <si>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</si>
  <si>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</si>
  <si>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</si>
  <si>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</si>
  <si>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</si>
  <si>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</si>
  <si>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</si>
  <si>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</si>
  <si>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</si>
  <si>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</si>
  <si>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</si>
  <si>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</si>
  <si>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</si>
  <si>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</si>
  <si>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</si>
  <si>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</si>
  <si>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io?</t>
  </si>
  <si>
    <t>ㄧㄜㆷ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</si>
  <si>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</si>
  <si>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</si>
  <si>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</si>
  <si>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</si>
  <si>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</si>
  <si>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</si>
  <si>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</si>
  <si>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</si>
  <si>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</si>
  <si>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</si>
  <si>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</si>
  <si>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</si>
  <si>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ĩ?</t>
  </si>
  <si>
    <t>ㆪㆷ</t>
  </si>
  <si>
    <t>ihnn</t>
  </si>
  <si>
    <t>innh</t>
  </si>
  <si>
    <t>iⁿh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</si>
  <si>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</si>
  <si>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</si>
  <si>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</si>
  <si>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</si>
  <si>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</si>
  <si>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</si>
  <si>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</si>
  <si>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</si>
  <si>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</si>
  <si>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</si>
  <si>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</si>
  <si>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</si>
  <si>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iã</t>
  </si>
  <si>
    <t>驚</t>
  </si>
  <si>
    <t>ㄧㆩ</t>
  </si>
  <si>
    <t>iann</t>
  </si>
  <si>
    <t>iannh</t>
  </si>
  <si>
    <t>iaⁿ</t>
  </si>
  <si>
    <t>nia</t>
  </si>
  <si>
    <t>驚舒</t>
  </si>
  <si>
    <t>肝</t>
  </si>
  <si>
    <t>uã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</si>
  <si>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</si>
  <si>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</si>
  <si>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</si>
  <si>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</si>
  <si>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</si>
  <si>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</si>
  <si>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</si>
  <si>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</si>
  <si>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</si>
  <si>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</si>
  <si>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</si>
  <si>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</si>
  <si>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</si>
  <si>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</si>
  <si>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</si>
  <si>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</si>
  <si>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e?</t>
  </si>
  <si>
    <t>ㆤㆷ</t>
  </si>
  <si>
    <t>伽促</t>
  </si>
  <si>
    <t>挨</t>
  </si>
  <si>
    <t>ãi</t>
  </si>
  <si>
    <t>閒</t>
  </si>
  <si>
    <t>ㆮ</t>
  </si>
  <si>
    <t>ainn</t>
  </si>
  <si>
    <t>aiⁿ</t>
  </si>
  <si>
    <t>nai</t>
  </si>
  <si>
    <t>閒舒</t>
  </si>
  <si>
    <t>張</t>
  </si>
  <si>
    <t>õu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</si>
  <si>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</si>
  <si>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</si>
  <si>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</si>
  <si>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</si>
  <si>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</si>
  <si>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</si>
  <si>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</si>
  <si>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</si>
  <si>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</si>
  <si>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</si>
  <si>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</si>
  <si>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</si>
  <si>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</si>
  <si>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</si>
  <si>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</si>
  <si>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ㄨㄤ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</si>
  <si>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</si>
  <si>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</si>
  <si>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</si>
  <si>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</si>
  <si>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</si>
  <si>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</si>
  <si>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</si>
  <si>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</si>
  <si>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</si>
  <si>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</si>
  <si>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uãi</t>
  </si>
  <si>
    <t>閂</t>
  </si>
  <si>
    <t>ㄨㆮ</t>
  </si>
  <si>
    <t>uainn</t>
  </si>
  <si>
    <t>oaiⁿ</t>
  </si>
  <si>
    <t>nuai</t>
  </si>
  <si>
    <t>閂舒</t>
  </si>
  <si>
    <t>蹶</t>
  </si>
  <si>
    <t>uãi?</t>
  </si>
  <si>
    <t>ㄨㆮㆷ</t>
  </si>
  <si>
    <t>uaihnn</t>
  </si>
  <si>
    <t>uainnh</t>
  </si>
  <si>
    <t>oaiⁿh</t>
  </si>
  <si>
    <t>nuaih</t>
  </si>
  <si>
    <t>閂促</t>
  </si>
  <si>
    <t>uẽi</t>
  </si>
  <si>
    <t>糜</t>
  </si>
  <si>
    <t>ㄨㆥ</t>
  </si>
  <si>
    <t>uenn</t>
  </si>
  <si>
    <t>oeⁿ</t>
  </si>
  <si>
    <t>nue</t>
  </si>
  <si>
    <t>糜舒</t>
  </si>
  <si>
    <t>鳥</t>
  </si>
  <si>
    <t>iãu</t>
  </si>
  <si>
    <t>嘄</t>
  </si>
  <si>
    <t>ㄧㆯ</t>
  </si>
  <si>
    <t>iaunn</t>
  </si>
  <si>
    <t>iauⁿ</t>
  </si>
  <si>
    <t>niao</t>
  </si>
  <si>
    <t>嘄舒</t>
  </si>
  <si>
    <t>iãu?</t>
  </si>
  <si>
    <t>ㄧㆯㆷ</t>
  </si>
  <si>
    <t>iauhnn</t>
  </si>
  <si>
    <t>iaunnh</t>
  </si>
  <si>
    <t>iauⁿh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</si>
  <si>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</si>
  <si>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</si>
  <si>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</si>
  <si>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</si>
  <si>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</si>
  <si>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</si>
  <si>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</si>
  <si>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</si>
  <si>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</si>
  <si>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</si>
  <si>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</si>
  <si>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</si>
  <si>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</si>
  <si>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</si>
  <si>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</si>
  <si>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</si>
  <si>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ãu</t>
  </si>
  <si>
    <t>爻</t>
  </si>
  <si>
    <t>ㆯ</t>
  </si>
  <si>
    <t>aunn</t>
  </si>
  <si>
    <t>auⁿ</t>
  </si>
  <si>
    <t>nao</t>
  </si>
  <si>
    <t>爻舒</t>
  </si>
  <si>
    <t>呼</t>
  </si>
  <si>
    <t>õ</t>
  </si>
  <si>
    <t>扛</t>
  </si>
  <si>
    <t>on</t>
  </si>
  <si>
    <t>ornn</t>
  </si>
  <si>
    <t>扛舒</t>
  </si>
  <si>
    <t>õʔ</t>
  </si>
  <si>
    <t>ㆧㆷ</t>
  </si>
  <si>
    <t>ohnn</t>
  </si>
  <si>
    <t>onnh</t>
  </si>
  <si>
    <t>onh</t>
  </si>
  <si>
    <t>nooh</t>
  </si>
  <si>
    <t>扛促</t>
  </si>
  <si>
    <t>香</t>
  </si>
  <si>
    <t>ĩu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</si>
  <si>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</si>
  <si>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</si>
  <si>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</si>
  <si>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</si>
  <si>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</si>
  <si>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</si>
  <si>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</si>
  <si>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</si>
  <si>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</si>
  <si>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</si>
  <si>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</si>
  <si>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</si>
  <si>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</si>
  <si>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</si>
  <si>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</si>
  <si>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</si>
  <si>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</si>
  <si>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</si>
  <si>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</si>
  <si>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</si>
  <si>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</si>
  <si>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</si>
  <si>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</si>
  <si>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</si>
  <si>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</si>
  <si>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</si>
  <si>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</si>
  <si>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</si>
  <si>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</si>
  <si>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</si>
  <si>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</si>
  <si>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</si>
  <si>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</si>
  <si>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</si>
  <si>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</si>
  <si>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</si>
  <si>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</si>
  <si>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</si>
  <si>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</si>
  <si>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</si>
  <si>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</si>
  <si>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</si>
  <si>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</si>
  <si>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</si>
  <si>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</si>
  <si>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</si>
  <si>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</si>
  <si>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</si>
  <si>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</si>
  <si>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</si>
  <si>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</si>
  <si>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</si>
  <si>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</si>
  <si>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</si>
  <si>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</si>
  <si>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</si>
  <si>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</si>
  <si>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</si>
  <si>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</si>
  <si>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</si>
  <si>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</si>
  <si>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</si>
  <si>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</si>
  <si>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</si>
  <si>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</si>
  <si>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</si>
  <si>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</si>
  <si>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</si>
  <si>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</si>
  <si>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</si>
  <si>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</si>
  <si>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</si>
  <si>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</si>
  <si>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</si>
  <si>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</si>
  <si>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</si>
  <si>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</si>
  <si>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</si>
  <si>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</si>
  <si>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</si>
  <si>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</si>
  <si>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</si>
  <si>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</si>
  <si>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</si>
  <si>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</si>
  <si>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</si>
  <si>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</si>
  <si>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</si>
  <si>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</si>
  <si>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</si>
  <si>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</si>
  <si>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</si>
  <si>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</si>
  <si>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</si>
  <si>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</si>
  <si>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</si>
  <si>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</si>
  <si>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</si>
  <si>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</si>
  <si>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</si>
  <si>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</si>
  <si>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</si>
  <si>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</si>
  <si>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</si>
  <si>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</si>
  <si>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</si>
  <si>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</si>
  <si>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</si>
  <si>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</si>
  <si>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</si>
  <si>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</si>
  <si>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</si>
  <si>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</si>
  <si>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</si>
  <si>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</si>
  <si>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</si>
  <si>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</si>
  <si>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</si>
  <si>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</si>
  <si>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</si>
  <si>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</si>
  <si>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</si>
  <si>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</si>
  <si>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</si>
  <si>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</si>
  <si>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</si>
  <si>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</si>
  <si>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</si>
  <si>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</si>
  <si>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</si>
  <si>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</si>
  <si>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</si>
  <si>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</si>
  <si>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</si>
  <si>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>;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</si>
  <si>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</si>
  <si>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</si>
  <si>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</si>
  <si>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</si>
  <si>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</si>
  <si>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</si>
  <si>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</si>
  <si>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</si>
  <si>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</si>
  <si>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</si>
  <si>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</si>
  <si>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</si>
  <si>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</si>
  <si>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</si>
  <si>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</si>
  <si>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</si>
  <si>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</si>
  <si>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</si>
  <si>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</si>
  <si>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</si>
  <si>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</si>
  <si>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</si>
  <si>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</si>
  <si>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</si>
  <si>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</si>
  <si>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</si>
  <si>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</si>
  <si>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</si>
  <si>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</si>
  <si>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</si>
  <si>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</si>
  <si>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</si>
  <si>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</si>
  <si>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</si>
  <si>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</si>
  <si>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</si>
  <si>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</si>
  <si>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</si>
  <si>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</si>
  <si>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</si>
  <si>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</si>
  <si>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</si>
  <si>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</si>
  <si>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</si>
  <si>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</si>
  <si>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</si>
  <si>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</si>
  <si>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</si>
  <si>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</si>
  <si>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羅馬拼音調符</t>
    <phoneticPr fontId="3" type="noConversion"/>
  </si>
  <si>
    <t>注音調符編碼</t>
    <phoneticPr fontId="3" type="noConversion"/>
  </si>
  <si>
    <t>拼音調符編碼</t>
    <phoneticPr fontId="3" type="noConversion"/>
  </si>
  <si>
    <t>U+0304</t>
  </si>
  <si>
    <t>U+0301</t>
  </si>
  <si>
    <t>調號</t>
  </si>
  <si>
    <t>U+030A</t>
  </si>
  <si>
    <t>U+030B</t>
  </si>
  <si>
    <t>閩拼調號</t>
    <phoneticPr fontId="22" type="noConversion"/>
  </si>
  <si>
    <t>W調序</t>
    <phoneticPr fontId="23" type="noConversion"/>
  </si>
  <si>
    <t>四聲八調</t>
    <phoneticPr fontId="24" type="noConversion"/>
  </si>
  <si>
    <t>W調名</t>
    <phoneticPr fontId="23" type="noConversion"/>
  </si>
  <si>
    <t>調值</t>
    <phoneticPr fontId="23" type="noConversion"/>
  </si>
  <si>
    <t>漢字</t>
    <phoneticPr fontId="23" type="noConversion"/>
  </si>
  <si>
    <t>台語音標</t>
    <phoneticPr fontId="23" type="noConversion"/>
  </si>
  <si>
    <t>拚音調符編碼</t>
    <phoneticPr fontId="23" type="noConversion"/>
  </si>
  <si>
    <t>帶調拚音字母</t>
    <phoneticPr fontId="23" type="noConversion"/>
  </si>
  <si>
    <t>拚音聲調按鍵</t>
    <phoneticPr fontId="23" type="noConversion"/>
  </si>
  <si>
    <t>閩拼音標</t>
    <phoneticPr fontId="23" type="noConversion"/>
  </si>
  <si>
    <t>帶調閩拚</t>
    <phoneticPr fontId="23" type="noConversion"/>
  </si>
  <si>
    <t>按鍵輸入</t>
    <phoneticPr fontId="24" type="noConversion"/>
  </si>
  <si>
    <t>注音調符編碼</t>
    <phoneticPr fontId="23" type="noConversion"/>
  </si>
  <si>
    <t>帶調注音符號</t>
    <phoneticPr fontId="23" type="noConversion"/>
  </si>
  <si>
    <t>注音聲調按鍵</t>
    <phoneticPr fontId="23" type="noConversion"/>
  </si>
  <si>
    <t>按鍵輸入</t>
  </si>
  <si>
    <t>輕聲</t>
    <phoneticPr fontId="23" type="noConversion"/>
  </si>
  <si>
    <t>輕聲調</t>
    <phoneticPr fontId="23" type="noConversion"/>
  </si>
  <si>
    <t>啊</t>
    <phoneticPr fontId="23" type="noConversion"/>
  </si>
  <si>
    <t>ah0</t>
    <phoneticPr fontId="23" type="noConversion"/>
  </si>
  <si>
    <t>U+030A</t>
    <phoneticPr fontId="23" type="noConversion"/>
  </si>
  <si>
    <t>U+0308</t>
    <phoneticPr fontId="23" type="noConversion"/>
  </si>
  <si>
    <t>ㄚㆷ˙</t>
  </si>
  <si>
    <t>ㄚㆷ7</t>
  </si>
  <si>
    <t>高音調</t>
    <phoneticPr fontId="23" type="noConversion"/>
  </si>
  <si>
    <t>東</t>
    <phoneticPr fontId="23" type="noConversion"/>
  </si>
  <si>
    <t>tong1</t>
    <phoneticPr fontId="23" type="noConversion"/>
  </si>
  <si>
    <t>U+0304</t>
    <phoneticPr fontId="23" type="noConversion"/>
  </si>
  <si>
    <t>;</t>
    <phoneticPr fontId="23" type="noConversion"/>
  </si>
  <si>
    <t>:</t>
  </si>
  <si>
    <t>ㄊㆲ</t>
  </si>
  <si>
    <t>ㄊㆲ:</t>
  </si>
  <si>
    <t>低升調</t>
    <phoneticPr fontId="23" type="noConversion"/>
  </si>
  <si>
    <t>同</t>
    <phoneticPr fontId="23" type="noConversion"/>
  </si>
  <si>
    <t>tong5</t>
    <phoneticPr fontId="23" type="noConversion"/>
  </si>
  <si>
    <t>U+0301</t>
    <phoneticPr fontId="23" type="noConversion"/>
  </si>
  <si>
    <t>/</t>
    <phoneticPr fontId="23" type="noConversion"/>
  </si>
  <si>
    <t>6</t>
    <phoneticPr fontId="23" type="noConversion"/>
  </si>
  <si>
    <t>ㄊㆲˊ</t>
  </si>
  <si>
    <t>ㄊㆲ6</t>
  </si>
  <si>
    <t>上声/陰上</t>
    <phoneticPr fontId="23" type="noConversion"/>
  </si>
  <si>
    <t>高降調</t>
    <phoneticPr fontId="23" type="noConversion"/>
  </si>
  <si>
    <t>董</t>
    <phoneticPr fontId="23" type="noConversion"/>
  </si>
  <si>
    <t>tong2</t>
    <phoneticPr fontId="23" type="noConversion"/>
  </si>
  <si>
    <t>U+030C</t>
    <phoneticPr fontId="23" type="noConversion"/>
  </si>
  <si>
    <t>\</t>
    <phoneticPr fontId="23" type="noConversion"/>
  </si>
  <si>
    <t>U+0300</t>
    <phoneticPr fontId="23" type="noConversion"/>
  </si>
  <si>
    <t>ㄊㆲˋ</t>
  </si>
  <si>
    <t>ㄊㆲ4</t>
  </si>
  <si>
    <t>上声/陽上</t>
    <phoneticPr fontId="23" type="noConversion"/>
  </si>
  <si>
    <t>低音調</t>
    <phoneticPr fontId="23" type="noConversion"/>
  </si>
  <si>
    <t>棟</t>
    <phoneticPr fontId="23" type="noConversion"/>
  </si>
  <si>
    <t>tong3</t>
    <phoneticPr fontId="23" type="noConversion"/>
  </si>
  <si>
    <t>_</t>
    <phoneticPr fontId="23" type="noConversion"/>
  </si>
  <si>
    <t>U+02EA</t>
    <phoneticPr fontId="23" type="noConversion"/>
  </si>
  <si>
    <t>ㄊㆲ˪</t>
  </si>
  <si>
    <t>ㄊㆲ3</t>
  </si>
  <si>
    <t>中音調</t>
    <phoneticPr fontId="23" type="noConversion"/>
  </si>
  <si>
    <t>動</t>
    <phoneticPr fontId="23" type="noConversion"/>
  </si>
  <si>
    <t>tong7</t>
    <phoneticPr fontId="23" type="noConversion"/>
  </si>
  <si>
    <t>U+0302</t>
    <phoneticPr fontId="23" type="noConversion"/>
  </si>
  <si>
    <t>-</t>
    <phoneticPr fontId="23" type="noConversion"/>
  </si>
  <si>
    <t>U+02EB</t>
    <phoneticPr fontId="23" type="noConversion"/>
  </si>
  <si>
    <t>5</t>
    <phoneticPr fontId="23" type="noConversion"/>
  </si>
  <si>
    <t>ㄊㆲ˫</t>
  </si>
  <si>
    <t>ㄊㆲ5</t>
  </si>
  <si>
    <t>低促調</t>
    <phoneticPr fontId="23" type="noConversion"/>
  </si>
  <si>
    <t>督</t>
    <phoneticPr fontId="23" type="noConversion"/>
  </si>
  <si>
    <t>tok4</t>
    <phoneticPr fontId="23" type="noConversion"/>
  </si>
  <si>
    <t>[</t>
    <phoneticPr fontId="23" type="noConversion"/>
  </si>
  <si>
    <t>ㄊㆦㆻ</t>
  </si>
  <si>
    <t>ㄊㆦㆻ[</t>
  </si>
  <si>
    <t>高促調</t>
    <phoneticPr fontId="23" type="noConversion"/>
  </si>
  <si>
    <t>獨</t>
    <phoneticPr fontId="23" type="noConversion"/>
  </si>
  <si>
    <t>tok8</t>
    <phoneticPr fontId="23" type="noConversion"/>
  </si>
  <si>
    <t>]</t>
    <phoneticPr fontId="23" type="noConversion"/>
  </si>
  <si>
    <t>U+02D9</t>
    <phoneticPr fontId="23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</si>
  <si>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3" type="noConversion"/>
  </si>
  <si>
    <t>ㄊㆦㆻ]</t>
  </si>
  <si>
    <t>U+02D9</t>
    <phoneticPr fontId="3" type="noConversion"/>
  </si>
  <si>
    <t>U+0300</t>
    <phoneticPr fontId="3" type="noConversion"/>
  </si>
  <si>
    <t>U+02EA</t>
    <phoneticPr fontId="3" type="noConversion"/>
  </si>
  <si>
    <t>U+0301</t>
    <phoneticPr fontId="3" type="noConversion"/>
  </si>
  <si>
    <t>U+02EB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</si>
  <si>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</si>
  <si>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</si>
  <si>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</si>
  <si>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</si>
  <si>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</si>
  <si>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</si>
  <si>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</si>
  <si>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</si>
  <si>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</si>
  <si>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</si>
  <si>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</si>
  <si>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</si>
  <si>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</si>
  <si>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</si>
  <si>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</si>
  <si>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方音調符編碼</t>
    <phoneticPr fontId="3" type="noConversion"/>
  </si>
  <si>
    <t>閩拼調符編碼</t>
    <phoneticPr fontId="3" type="noConversion"/>
  </si>
  <si>
    <t>調名</t>
    <phoneticPr fontId="3" type="noConversion"/>
  </si>
  <si>
    <t>ah</t>
    <phoneticPr fontId="3" type="noConversion"/>
  </si>
  <si>
    <t>a̍h</t>
    <phoneticPr fontId="3" type="noConversion"/>
  </si>
  <si>
    <t>U+030D</t>
    <phoneticPr fontId="3" type="noConversion"/>
  </si>
  <si>
    <t>Charis</t>
    <phoneticPr fontId="3" type="noConversion"/>
  </si>
  <si>
    <t>Noto Sans TC Medium</t>
    <phoneticPr fontId="3" type="noConversion"/>
  </si>
  <si>
    <t>台語注音</t>
    <phoneticPr fontId="3" type="noConversion"/>
  </si>
  <si>
    <t>ㄙ</t>
  </si>
  <si>
    <t>ㄘ</t>
  </si>
  <si>
    <t>ㄖ</t>
  </si>
  <si>
    <t xml:space="preserve">⁰ㄫ </t>
  </si>
  <si>
    <t>ㄪ</t>
  </si>
  <si>
    <t>a</t>
    <phoneticPr fontId="3" type="noConversion"/>
  </si>
  <si>
    <t>i</t>
    <phoneticPr fontId="3" type="noConversion"/>
  </si>
  <si>
    <t>u</t>
    <phoneticPr fontId="3" type="noConversion"/>
  </si>
  <si>
    <t>e</t>
    <phoneticPr fontId="3" type="noConversion"/>
  </si>
  <si>
    <t>o</t>
    <phoneticPr fontId="3" type="noConversion"/>
  </si>
  <si>
    <t>oo</t>
    <phoneticPr fontId="3" type="noConversion"/>
  </si>
  <si>
    <t>ai</t>
    <phoneticPr fontId="3" type="noConversion"/>
  </si>
  <si>
    <t>au</t>
    <phoneticPr fontId="3" type="noConversion"/>
  </si>
  <si>
    <t>an</t>
    <phoneticPr fontId="3" type="noConversion"/>
  </si>
  <si>
    <t>am</t>
    <phoneticPr fontId="3" type="noConversion"/>
  </si>
  <si>
    <t>ang</t>
    <phoneticPr fontId="3" type="noConversion"/>
  </si>
  <si>
    <t>m</t>
    <phoneticPr fontId="3" type="noConversion"/>
  </si>
  <si>
    <t>ng</t>
    <phoneticPr fontId="3" type="noConversion"/>
  </si>
  <si>
    <t>ua</t>
    <phoneticPr fontId="3" type="noConversion"/>
  </si>
  <si>
    <t>ue</t>
    <phoneticPr fontId="3" type="noConversion"/>
  </si>
  <si>
    <t>uai</t>
    <phoneticPr fontId="3" type="noConversion"/>
  </si>
  <si>
    <t>uan</t>
    <phoneticPr fontId="3" type="noConversion"/>
  </si>
  <si>
    <t>ik</t>
    <phoneticPr fontId="3" type="noConversion"/>
  </si>
  <si>
    <t>ㆵ</t>
  </si>
  <si>
    <t>ㆴ</t>
  </si>
  <si>
    <t>ㆷ</t>
  </si>
  <si>
    <t>ㆻ</t>
  </si>
  <si>
    <t>ㄥ</t>
  </si>
  <si>
    <t>ㆤ</t>
    <phoneticPr fontId="3" type="noConversion"/>
  </si>
  <si>
    <t>ㄇ</t>
    <phoneticPr fontId="3" type="noConversion"/>
  </si>
  <si>
    <t>ing</t>
    <phoneticPr fontId="3" type="noConversion"/>
  </si>
  <si>
    <t>ㄛ</t>
  </si>
  <si>
    <t>ㄚ</t>
    <phoneticPr fontId="3" type="noConversion"/>
  </si>
  <si>
    <t>Luaih</t>
  </si>
  <si>
    <t>Liah</t>
  </si>
  <si>
    <t>ㄧㆩㆷ</t>
  </si>
  <si>
    <t>Liau</t>
  </si>
  <si>
    <t>Liuh</t>
  </si>
  <si>
    <t>ㄧㆫㆷ</t>
  </si>
  <si>
    <t>Luai</t>
  </si>
  <si>
    <t>Lah</t>
  </si>
  <si>
    <t>Lai</t>
  </si>
  <si>
    <t>Leh</t>
  </si>
  <si>
    <t>Lia</t>
  </si>
  <si>
    <t>Lio</t>
  </si>
  <si>
    <t>Liu</t>
  </si>
  <si>
    <t>Loh</t>
  </si>
  <si>
    <t>Lua</t>
  </si>
  <si>
    <t>Lui</t>
  </si>
  <si>
    <t>La</t>
  </si>
  <si>
    <t>Le</t>
  </si>
  <si>
    <t>Li</t>
  </si>
  <si>
    <t>Lo</t>
  </si>
  <si>
    <t>⁰</t>
  </si>
  <si>
    <t>ㄠ</t>
    <phoneticPr fontId="3" type="noConversion"/>
  </si>
  <si>
    <t>ㄧ</t>
    <phoneticPr fontId="3" type="noConversion"/>
  </si>
  <si>
    <t>iunnh</t>
  </si>
  <si>
    <t>ㄚㄇ</t>
  </si>
  <si>
    <t>ㄨㄝ</t>
  </si>
  <si>
    <t>ㄧㄍ</t>
  </si>
  <si>
    <t>⁰ㄨㄞㄏ</t>
  </si>
  <si>
    <t>⁰ㄧㄚㄏ</t>
  </si>
  <si>
    <t>⁰ㄧㄠ</t>
  </si>
  <si>
    <t>⁰ㄧㄨㄏ</t>
  </si>
  <si>
    <t>⁰ㄨㄞ</t>
  </si>
  <si>
    <t>⁰ㆩㄏ</t>
  </si>
  <si>
    <t>⁰ㄞ</t>
  </si>
  <si>
    <t>⁰ㄝㄏ</t>
  </si>
  <si>
    <t>⁰ㄧㆩ</t>
  </si>
  <si>
    <t>⁰ㄧㆧ</t>
  </si>
  <si>
    <t>⁰ㄧㆫ</t>
  </si>
  <si>
    <t>⁰ㄛㄏ</t>
  </si>
  <si>
    <t>⁰ㄨㄚ</t>
  </si>
  <si>
    <t>⁰ㄨㄧ</t>
  </si>
  <si>
    <t>⁰ㄚ</t>
  </si>
  <si>
    <t>⁰ㄝ</t>
  </si>
  <si>
    <t>⁰ㄧ</t>
  </si>
  <si>
    <t>⁰ㄛ</t>
  </si>
  <si>
    <t>n</t>
    <phoneticPr fontId="3" type="noConversion"/>
  </si>
  <si>
    <t>ㄣ</t>
  </si>
  <si>
    <t>ong</t>
    <phoneticPr fontId="3" type="noConversion"/>
  </si>
  <si>
    <t>ㄛ</t>
    <phoneticPr fontId="3" type="noConversion"/>
  </si>
  <si>
    <t>ㄛㄇ</t>
  </si>
  <si>
    <t>ㄛㄇ</t>
    <phoneticPr fontId="3" type="noConversion"/>
  </si>
  <si>
    <t>ㄥ</t>
    <phoneticPr fontId="3" type="noConversion"/>
  </si>
  <si>
    <t>om</t>
    <phoneticPr fontId="3" type="noConversion"/>
  </si>
  <si>
    <t>ㄛㄥ</t>
    <phoneticPr fontId="3" type="noConversion"/>
  </si>
  <si>
    <t>ㄨㄉ</t>
  </si>
  <si>
    <t>ㄧㄚㄉ</t>
  </si>
  <si>
    <t>ㄧㄇ</t>
  </si>
  <si>
    <t>ㄧㄅ</t>
  </si>
  <si>
    <t>ㄝㄏ</t>
  </si>
  <si>
    <t>ㄚㄉ</t>
  </si>
  <si>
    <t>ㄛㄍ</t>
  </si>
  <si>
    <t>ㄨㄞㄏ</t>
  </si>
  <si>
    <t>ㄨㄚㄉ</t>
  </si>
  <si>
    <t>ㄧㄠㄏ</t>
  </si>
  <si>
    <t>ㄧㄛㄥ</t>
  </si>
  <si>
    <t>ㄧㄛㄍ</t>
  </si>
  <si>
    <t>ㄜㄏ</t>
  </si>
  <si>
    <t>ㄧㄉ</t>
  </si>
  <si>
    <t>ㄧㄚㄍ</t>
  </si>
  <si>
    <t>ㄚㄅ</t>
  </si>
  <si>
    <t>ㄨㄚㄏ</t>
  </si>
  <si>
    <t>ㄚㄍ</t>
  </si>
  <si>
    <t>ㄧㄚㄇ</t>
  </si>
  <si>
    <t>ㄧㄚㄅ</t>
  </si>
  <si>
    <t>ㄠㄏ</t>
  </si>
  <si>
    <t>ㄧㄚㄏ</t>
  </si>
  <si>
    <t>ㄨㄝㄏ</t>
  </si>
  <si>
    <t>⁰ㄚㄏ</t>
  </si>
  <si>
    <t>ㄨㄏ</t>
  </si>
  <si>
    <t>ㄚㄏ</t>
  </si>
  <si>
    <t>ㄧㄏ</t>
  </si>
  <si>
    <t>ㄧㄜㄏ</t>
  </si>
  <si>
    <t>⁰ㄧㄏ</t>
  </si>
  <si>
    <t>⁰ㄧㄛ</t>
  </si>
  <si>
    <t>⁰ㄧㄚ</t>
  </si>
  <si>
    <t>ㄨㄚㄍ</t>
  </si>
  <si>
    <t>⁰ㄨㄝ</t>
  </si>
  <si>
    <t>⁰ㄧㄠㄏ</t>
  </si>
  <si>
    <t>ㄛㄅ</t>
  </si>
  <si>
    <t>⁰ㄠ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</si>
</sst>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6"/>
      <color theme="1"/>
      <name val="Noto Sans TC Medium"/>
      <family val="2"/>
      <charset val="136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新細明體"/>
      <family val="2"/>
      <charset val="136"/>
      <scheme val="minor"/>
    </font>
    <font>
      <sz val="16"/>
      <color theme="1"/>
      <name val="Noto Sans TC Medium"/>
      <family val="1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7" fillId="0" borderId="0"/>
    <xf numFmtId="0" fontId="42" fillId="0" borderId="0">
      <alignment vertical="center"/>
    </xf>
  </cellStyleXfs>
  <cellXfs count="6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1" fillId="3" borderId="2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29" fillId="0" borderId="1" xfId="2" applyFont="1" applyBorder="1" applyAlignment="1">
      <alignment horizontal="center"/>
    </xf>
    <xf numFmtId="0" fontId="30" fillId="0" borderId="1" xfId="2" applyFont="1" applyBorder="1" applyAlignment="1">
      <alignment horizontal="left" indent="1"/>
    </xf>
    <xf numFmtId="0" fontId="31" fillId="0" borderId="1" xfId="3" applyFont="1" applyBorder="1" applyAlignment="1">
      <alignment horizontal="center" vertical="center"/>
    </xf>
    <xf numFmtId="0" fontId="32" fillId="0" borderId="1" xfId="3" applyFont="1" applyBorder="1" applyAlignment="1">
      <alignment horizontal="center" vertical="center"/>
    </xf>
    <xf numFmtId="0" fontId="33" fillId="0" borderId="1" xfId="2" applyFont="1" applyBorder="1" applyAlignment="1">
      <alignment horizontal="center"/>
    </xf>
    <xf numFmtId="0" fontId="34" fillId="0" borderId="1" xfId="2" applyFont="1" applyBorder="1" applyAlignment="1">
      <alignment horizontal="left" indent="1"/>
    </xf>
    <xf numFmtId="0" fontId="34" fillId="0" borderId="1" xfId="2" applyFont="1" applyBorder="1" applyAlignment="1">
      <alignment horizontal="center"/>
    </xf>
    <xf numFmtId="0" fontId="35" fillId="0" borderId="1" xfId="3" applyFont="1" applyBorder="1" applyAlignment="1">
      <alignment horizontal="center" vertical="center"/>
    </xf>
    <xf numFmtId="0" fontId="36" fillId="0" borderId="1" xfId="3" applyFont="1" applyBorder="1" applyAlignment="1">
      <alignment horizontal="left" vertical="center" indent="4"/>
    </xf>
    <xf numFmtId="0" fontId="25" fillId="4" borderId="1" xfId="1" applyFont="1" applyFill="1" applyBorder="1" applyAlignment="1">
      <alignment horizontal="center" vertical="center"/>
    </xf>
    <xf numFmtId="0" fontId="26" fillId="4" borderId="1" xfId="2" applyFont="1" applyFill="1" applyBorder="1" applyAlignment="1">
      <alignment horizontal="center" vertical="center"/>
    </xf>
    <xf numFmtId="0" fontId="28" fillId="4" borderId="1" xfId="3" applyFont="1" applyFill="1" applyBorder="1" applyAlignment="1">
      <alignment horizontal="center" vertical="center"/>
    </xf>
    <xf numFmtId="0" fontId="29" fillId="4" borderId="1" xfId="2" applyFont="1" applyFill="1" applyBorder="1" applyAlignment="1">
      <alignment horizontal="center"/>
    </xf>
    <xf numFmtId="0" fontId="30" fillId="4" borderId="1" xfId="2" applyFont="1" applyFill="1" applyBorder="1" applyAlignment="1">
      <alignment horizontal="left" indent="1"/>
    </xf>
    <xf numFmtId="0" fontId="31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center" vertical="center"/>
    </xf>
    <xf numFmtId="0" fontId="33" fillId="4" borderId="1" xfId="2" applyFont="1" applyFill="1" applyBorder="1" applyAlignment="1">
      <alignment horizontal="center"/>
    </xf>
    <xf numFmtId="0" fontId="34" fillId="4" borderId="1" xfId="2" applyFont="1" applyFill="1" applyBorder="1" applyAlignment="1">
      <alignment horizontal="left" indent="1"/>
    </xf>
    <xf numFmtId="0" fontId="34" fillId="4" borderId="1" xfId="2" applyFont="1" applyFill="1" applyBorder="1" applyAlignment="1">
      <alignment horizontal="center"/>
    </xf>
    <xf numFmtId="0" fontId="35" fillId="4" borderId="1" xfId="3" applyFont="1" applyFill="1" applyBorder="1" applyAlignment="1">
      <alignment horizontal="center" vertical="center"/>
    </xf>
    <xf numFmtId="0" fontId="36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39" fillId="0" borderId="1" xfId="0" applyFont="1" applyBorder="1">
      <alignment vertical="center"/>
    </xf>
    <xf numFmtId="0" fontId="40" fillId="0" borderId="1" xfId="0" applyFont="1" applyBorder="1">
      <alignment vertical="center"/>
    </xf>
    <xf numFmtId="0" fontId="39" fillId="0" borderId="1" xfId="0" applyFont="1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2" borderId="4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Fill="1">
      <alignment vertical="center"/>
    </xf>
    <xf numFmtId="0" fontId="0" fillId="2" borderId="0" xfId="0" applyFill="1" applyBorder="1">
      <alignment vertical="center"/>
    </xf>
    <xf numFmtId="0" fontId="0" fillId="0" borderId="0" xfId="0" applyBorder="1">
      <alignment vertical="center"/>
    </xf>
    <xf numFmtId="0" fontId="0" fillId="0" borderId="0" xfId="0" applyAlignment="1">
      <alignment horizontal="left" vertical="center"/>
    </xf>
    <xf numFmtId="0" fontId="43" fillId="6" borderId="0" xfId="0" applyFont="1" applyFill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B8E64E55-1FEE-4BB3-94B5-BA0F00357181}"/>
    <cellStyle name="一般 5" xfId="2" xr:uid="{8C9CBB70-72B8-491C-A1A5-535BA1FE1D69}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42C92A0-684C-4788-99A3-E4F6BDA05C31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O23"/>
  <sheetViews>
    <sheetView workbookViewId="0">
      <pane ySplit="1" topLeftCell="A15" activePane="bottomLeft" state="frozen"/>
      <selection pane="bottomLeft" activeCell="P1" sqref="P1:P1048576"/>
    </sheetView>
  </sheetViews>
  <sheetFormatPr defaultRowHeight="25.5"/>
  <cols>
    <col min="1" max="1" width="6.4140625" bestFit="1" customWidth="1"/>
    <col min="12" max="12" width="23.08203125" bestFit="1" customWidth="1"/>
  </cols>
  <sheetData>
    <row r="1" spans="1:15">
      <c r="A1" s="2" t="s">
        <v>0</v>
      </c>
      <c r="B1" s="2" t="s">
        <v>3</v>
      </c>
      <c r="C1" s="2" t="s">
        <v>1</v>
      </c>
      <c r="D1" s="2" t="s">
        <v>2</v>
      </c>
      <c r="E1" s="2" t="s">
        <v>4</v>
      </c>
      <c r="F1" s="2" t="s">
        <v>872</v>
      </c>
      <c r="G1" s="2" t="s">
        <v>5</v>
      </c>
      <c r="H1" s="2" t="s">
        <v>6</v>
      </c>
      <c r="I1" s="2" t="s">
        <v>9</v>
      </c>
      <c r="J1" s="2" t="s">
        <v>7</v>
      </c>
      <c r="K1" s="2" t="s">
        <v>8</v>
      </c>
      <c r="L1" s="2" t="s">
        <v>580</v>
      </c>
    </row>
    <row r="2" spans="1:15" ht="29.25">
      <c r="A2" s="1">
        <v>1</v>
      </c>
      <c r="B2" s="3" t="s">
        <v>583</v>
      </c>
      <c r="C2" s="3" t="s">
        <v>581</v>
      </c>
      <c r="D2" s="1" t="s">
        <v>582</v>
      </c>
      <c r="E2" s="1" t="s">
        <v>584</v>
      </c>
      <c r="F2" s="55" t="str" cm="1">
        <f t="array" ref="F2" xml:space="preserve"> INDEX($O$2:$O$22, MATCH(TRUE, EXACT(G2, $N$2:$N$22),0))</f>
        <v>ㄌ</v>
      </c>
      <c r="G2" s="1" t="s">
        <v>582</v>
      </c>
      <c r="H2" s="1" t="s">
        <v>582</v>
      </c>
      <c r="I2" s="1" t="s">
        <v>582</v>
      </c>
      <c r="J2" s="1" t="s">
        <v>582</v>
      </c>
      <c r="K2" s="1" t="s">
        <v>582</v>
      </c>
      <c r="L2" s="1"/>
      <c r="N2" t="s">
        <v>669</v>
      </c>
      <c r="O2" t="s">
        <v>875</v>
      </c>
    </row>
    <row r="3" spans="1:15" ht="29.25">
      <c r="A3" s="1">
        <v>2</v>
      </c>
      <c r="B3" s="3" t="s">
        <v>587</v>
      </c>
      <c r="C3" s="3" t="s">
        <v>585</v>
      </c>
      <c r="D3" s="1" t="s">
        <v>586</v>
      </c>
      <c r="E3" s="1" t="s">
        <v>588</v>
      </c>
      <c r="F3" s="55" t="str" cm="1">
        <f t="array" ref="F3" xml:space="preserve"> INDEX($O$2:$O$22, MATCH(TRUE, EXACT(G3, $N$2:$N$22),0))</f>
        <v>ㄅ</v>
      </c>
      <c r="G3" s="1" t="s">
        <v>586</v>
      </c>
      <c r="H3" s="1" t="s">
        <v>586</v>
      </c>
      <c r="I3" s="1" t="s">
        <v>589</v>
      </c>
      <c r="J3" s="1" t="s">
        <v>586</v>
      </c>
      <c r="K3" s="1" t="s">
        <v>589</v>
      </c>
      <c r="L3" s="1"/>
      <c r="N3" t="s">
        <v>675</v>
      </c>
      <c r="O3" t="s">
        <v>674</v>
      </c>
    </row>
    <row r="4" spans="1:15" ht="29.25">
      <c r="A4" s="1">
        <v>3</v>
      </c>
      <c r="B4" s="3" t="s">
        <v>592</v>
      </c>
      <c r="C4" s="3" t="s">
        <v>590</v>
      </c>
      <c r="D4" s="1" t="s">
        <v>591</v>
      </c>
      <c r="E4" s="1" t="s">
        <v>593</v>
      </c>
      <c r="F4" s="55" t="str" cm="1">
        <f t="array" ref="F4" xml:space="preserve"> INDEX($O$2:$O$22, MATCH(TRUE, EXACT(G4, $N$2:$N$22),0))</f>
        <v>ㄍ</v>
      </c>
      <c r="G4" s="1" t="s">
        <v>591</v>
      </c>
      <c r="H4" s="1" t="s">
        <v>591</v>
      </c>
      <c r="I4" s="1" t="s">
        <v>594</v>
      </c>
      <c r="J4" s="1" t="s">
        <v>591</v>
      </c>
      <c r="K4" s="1" t="s">
        <v>594</v>
      </c>
      <c r="L4" s="1"/>
      <c r="N4" t="s">
        <v>681</v>
      </c>
      <c r="O4" t="s">
        <v>680</v>
      </c>
    </row>
    <row r="5" spans="1:15" ht="29.25">
      <c r="A5" s="1">
        <v>4</v>
      </c>
      <c r="B5" s="3" t="s">
        <v>597</v>
      </c>
      <c r="C5" s="3" t="s">
        <v>595</v>
      </c>
      <c r="D5" s="1" t="s">
        <v>596</v>
      </c>
      <c r="E5" s="1" t="s">
        <v>598</v>
      </c>
      <c r="F5" s="55" t="str" cm="1">
        <f t="array" ref="F5" xml:space="preserve"> INDEX($O$2:$O$22, MATCH(TRUE, EXACT(G5, $N$2:$N$22),0))</f>
        <v>ㄎ</v>
      </c>
      <c r="G5" s="1" t="s">
        <v>599</v>
      </c>
      <c r="H5" s="1" t="s">
        <v>599</v>
      </c>
      <c r="I5" s="1" t="s">
        <v>591</v>
      </c>
      <c r="J5" s="1" t="s">
        <v>599</v>
      </c>
      <c r="K5" s="1" t="s">
        <v>591</v>
      </c>
      <c r="L5" s="1"/>
      <c r="N5" t="s">
        <v>687</v>
      </c>
      <c r="O5" t="s">
        <v>686</v>
      </c>
    </row>
    <row r="6" spans="1:15" ht="29.25">
      <c r="A6" s="1">
        <v>5</v>
      </c>
      <c r="B6" s="3" t="s">
        <v>602</v>
      </c>
      <c r="C6" s="3" t="s">
        <v>600</v>
      </c>
      <c r="D6" s="1" t="s">
        <v>601</v>
      </c>
      <c r="E6" s="1" t="s">
        <v>603</v>
      </c>
      <c r="F6" s="55" t="str" cm="1">
        <f t="array" ref="F6" xml:space="preserve"> INDEX($O$2:$O$22, MATCH(TRUE, EXACT(G6, $N$2:$N$22),0))</f>
        <v>ㄉ</v>
      </c>
      <c r="G6" s="1" t="s">
        <v>601</v>
      </c>
      <c r="H6" s="1" t="s">
        <v>601</v>
      </c>
      <c r="I6" s="1" t="s">
        <v>604</v>
      </c>
      <c r="J6" s="1" t="s">
        <v>601</v>
      </c>
      <c r="K6" s="1" t="s">
        <v>604</v>
      </c>
      <c r="L6" s="1"/>
      <c r="N6" t="s">
        <v>609</v>
      </c>
      <c r="O6" t="s">
        <v>608</v>
      </c>
    </row>
    <row r="7" spans="1:15" ht="29.25">
      <c r="A7" s="1">
        <v>6</v>
      </c>
      <c r="B7" s="3" t="s">
        <v>607</v>
      </c>
      <c r="C7" s="3" t="s">
        <v>605</v>
      </c>
      <c r="D7" s="1" t="s">
        <v>606</v>
      </c>
      <c r="E7" s="1" t="s">
        <v>608</v>
      </c>
      <c r="F7" s="55" t="str" cm="1">
        <f t="array" ref="F7" xml:space="preserve"> INDEX($O$2:$O$22, MATCH(TRUE, EXACT(G7, $N$2:$N$22),0))</f>
        <v>ㄆ</v>
      </c>
      <c r="G7" s="1" t="s">
        <v>609</v>
      </c>
      <c r="H7" s="1" t="s">
        <v>609</v>
      </c>
      <c r="I7" s="1" t="s">
        <v>586</v>
      </c>
      <c r="J7" s="1" t="s">
        <v>609</v>
      </c>
      <c r="K7" s="1" t="s">
        <v>586</v>
      </c>
      <c r="L7" s="1"/>
      <c r="N7" t="s">
        <v>614</v>
      </c>
      <c r="O7" t="s">
        <v>613</v>
      </c>
    </row>
    <row r="8" spans="1:15" ht="29.25">
      <c r="A8" s="1">
        <v>7</v>
      </c>
      <c r="B8" s="3" t="s">
        <v>612</v>
      </c>
      <c r="C8" s="3" t="s">
        <v>610</v>
      </c>
      <c r="D8" s="1" t="s">
        <v>611</v>
      </c>
      <c r="E8" s="1" t="s">
        <v>613</v>
      </c>
      <c r="F8" s="55" t="str" cm="1">
        <f t="array" ref="F8" xml:space="preserve"> INDEX($O$2:$O$22, MATCH(TRUE, EXACT(G8, $N$2:$N$22),0))</f>
        <v>ㄊ</v>
      </c>
      <c r="G8" s="1" t="s">
        <v>614</v>
      </c>
      <c r="H8" s="1" t="s">
        <v>614</v>
      </c>
      <c r="I8" s="1" t="s">
        <v>601</v>
      </c>
      <c r="J8" s="1" t="s">
        <v>614</v>
      </c>
      <c r="K8" s="1" t="s">
        <v>601</v>
      </c>
      <c r="L8" s="1"/>
      <c r="N8" t="s">
        <v>599</v>
      </c>
      <c r="O8" t="s">
        <v>598</v>
      </c>
    </row>
    <row r="9" spans="1:15" ht="29.25">
      <c r="A9" s="1">
        <v>8</v>
      </c>
      <c r="B9" s="3" t="s">
        <v>617</v>
      </c>
      <c r="C9" s="3" t="s">
        <v>615</v>
      </c>
      <c r="D9" s="1" t="s">
        <v>616</v>
      </c>
      <c r="E9" s="1" t="s">
        <v>618</v>
      </c>
      <c r="F9" s="55" t="str" cm="1">
        <f t="array" ref="F9" xml:space="preserve"> INDEX($O$2:$O$22, MATCH(TRUE, EXACT(G9, $N$2:$N$22),0))</f>
        <v>ㄗ</v>
      </c>
      <c r="G9" s="1" t="s">
        <v>619</v>
      </c>
      <c r="H9" s="1" t="s">
        <v>620</v>
      </c>
      <c r="I9" s="1" t="s">
        <v>619</v>
      </c>
      <c r="J9" s="1" t="s">
        <v>621</v>
      </c>
      <c r="K9" s="1" t="s">
        <v>619</v>
      </c>
      <c r="L9" s="1"/>
      <c r="N9" t="s">
        <v>454</v>
      </c>
      <c r="O9" t="s">
        <v>876</v>
      </c>
    </row>
    <row r="10" spans="1:15" ht="29.25">
      <c r="A10" s="1">
        <v>9</v>
      </c>
      <c r="B10" s="11" t="s">
        <v>624</v>
      </c>
      <c r="C10" s="6" t="s">
        <v>622</v>
      </c>
      <c r="D10" s="1" t="s">
        <v>623</v>
      </c>
      <c r="E10" s="1" t="s">
        <v>625</v>
      </c>
      <c r="F10" s="55" t="str" cm="1">
        <f t="array" ref="F10" xml:space="preserve"> INDEX($O$2:$O$22, MATCH(TRUE, EXACT(G10, $N$2:$N$22),0))</f>
        <v>ㄖ</v>
      </c>
      <c r="G10" s="1" t="s">
        <v>626</v>
      </c>
      <c r="H10" s="1" t="s">
        <v>626</v>
      </c>
      <c r="I10" s="1" t="s">
        <v>627</v>
      </c>
      <c r="J10" s="1" t="s">
        <v>626</v>
      </c>
      <c r="K10" s="1" t="s">
        <v>627</v>
      </c>
      <c r="L10" s="1"/>
      <c r="N10" t="s">
        <v>594</v>
      </c>
      <c r="O10" t="s">
        <v>664</v>
      </c>
    </row>
    <row r="11" spans="1:15" ht="29.25">
      <c r="A11" s="1">
        <v>10</v>
      </c>
      <c r="B11" s="11" t="s">
        <v>630</v>
      </c>
      <c r="C11" s="3" t="s">
        <v>628</v>
      </c>
      <c r="D11" s="1" t="s">
        <v>629</v>
      </c>
      <c r="E11" s="1" t="s">
        <v>691</v>
      </c>
      <c r="F11" s="55" t="str" cm="1">
        <f t="array" ref="F11" xml:space="preserve"> INDEX($O$2:$O$22, MATCH(TRUE, EXACT(G11, $N$2:$N$22),0))</f>
        <v>ㄙ</v>
      </c>
      <c r="G11" s="1" t="s">
        <v>629</v>
      </c>
      <c r="H11" s="1" t="s">
        <v>629</v>
      </c>
      <c r="I11" s="1" t="s">
        <v>629</v>
      </c>
      <c r="J11" s="1" t="s">
        <v>629</v>
      </c>
      <c r="K11" s="1" t="s">
        <v>629</v>
      </c>
      <c r="L11" s="1"/>
      <c r="N11" t="s">
        <v>589</v>
      </c>
      <c r="O11" t="s">
        <v>877</v>
      </c>
    </row>
    <row r="12" spans="1:15" ht="29.25">
      <c r="A12" s="1">
        <v>11</v>
      </c>
      <c r="B12" s="15" t="s">
        <v>633</v>
      </c>
      <c r="C12" s="3" t="s">
        <v>631</v>
      </c>
      <c r="D12" s="1" t="s">
        <v>632</v>
      </c>
      <c r="E12" s="1" t="s">
        <v>634</v>
      </c>
      <c r="F12" s="55" t="s">
        <v>634</v>
      </c>
      <c r="G12" s="1" t="s">
        <v>634</v>
      </c>
      <c r="H12" s="1" t="s">
        <v>634</v>
      </c>
      <c r="I12" s="1" t="s">
        <v>634</v>
      </c>
      <c r="J12" s="1" t="s">
        <v>634</v>
      </c>
      <c r="K12" s="1" t="s">
        <v>634</v>
      </c>
      <c r="L12" s="1"/>
      <c r="N12" t="s">
        <v>626</v>
      </c>
      <c r="O12" t="s">
        <v>875</v>
      </c>
    </row>
    <row r="13" spans="1:15" ht="29.25">
      <c r="A13" s="1">
        <v>12</v>
      </c>
      <c r="B13" s="4" t="s">
        <v>636</v>
      </c>
      <c r="C13" s="3" t="s">
        <v>635</v>
      </c>
      <c r="D13" s="1" t="s">
        <v>589</v>
      </c>
      <c r="E13" s="1" t="s">
        <v>637</v>
      </c>
      <c r="F13" s="55" t="str" cm="1">
        <f t="array" ref="F13" xml:space="preserve"> INDEX($O$2:$O$22, MATCH(TRUE, EXACT(G13, $N$2:$N$22),0))</f>
        <v>ㄪ</v>
      </c>
      <c r="G13" s="1" t="s">
        <v>589</v>
      </c>
      <c r="H13" s="1" t="s">
        <v>589</v>
      </c>
      <c r="I13" s="1" t="s">
        <v>638</v>
      </c>
      <c r="J13" s="1" t="s">
        <v>589</v>
      </c>
      <c r="K13" s="1" t="s">
        <v>638</v>
      </c>
      <c r="L13" s="1"/>
      <c r="N13" t="s">
        <v>619</v>
      </c>
      <c r="O13" t="s">
        <v>618</v>
      </c>
    </row>
    <row r="14" spans="1:15" ht="29.25">
      <c r="A14" s="1">
        <v>13</v>
      </c>
      <c r="B14" s="3" t="s">
        <v>641</v>
      </c>
      <c r="C14" s="3" t="s">
        <v>639</v>
      </c>
      <c r="D14" s="1" t="s">
        <v>640</v>
      </c>
      <c r="E14" s="1" t="s">
        <v>642</v>
      </c>
      <c r="F14" s="55" t="str" cm="1">
        <f t="array" ref="F14" xml:space="preserve"> INDEX($O$2:$O$22, MATCH(TRUE, EXACT(G14, $N$2:$N$22),0))</f>
        <v>ㄫ</v>
      </c>
      <c r="G14" s="1" t="s">
        <v>594</v>
      </c>
      <c r="H14" s="1" t="s">
        <v>594</v>
      </c>
      <c r="I14" s="1" t="s">
        <v>643</v>
      </c>
      <c r="J14" s="1" t="s">
        <v>594</v>
      </c>
      <c r="K14" s="1" t="s">
        <v>643</v>
      </c>
      <c r="L14" s="1"/>
      <c r="N14" t="s">
        <v>629</v>
      </c>
      <c r="O14" t="s">
        <v>873</v>
      </c>
    </row>
    <row r="15" spans="1:15" ht="29.25">
      <c r="A15" s="1">
        <v>14</v>
      </c>
      <c r="B15" s="3" t="s">
        <v>646</v>
      </c>
      <c r="C15" s="3" t="s">
        <v>644</v>
      </c>
      <c r="D15" s="1" t="s">
        <v>645</v>
      </c>
      <c r="E15" s="1" t="s">
        <v>693</v>
      </c>
      <c r="F15" s="55" t="str" cm="1">
        <f t="array" ref="F15" xml:space="preserve"> INDEX($O$2:$O$22, MATCH(TRUE, EXACT(G15, $N$2:$N$22),0))</f>
        <v>ㄘ</v>
      </c>
      <c r="G15" s="1" t="s">
        <v>647</v>
      </c>
      <c r="H15" s="1" t="s">
        <v>648</v>
      </c>
      <c r="I15" s="1" t="s">
        <v>647</v>
      </c>
      <c r="J15" s="1" t="s">
        <v>649</v>
      </c>
      <c r="K15" s="1" t="s">
        <v>647</v>
      </c>
      <c r="L15" s="1"/>
      <c r="N15" t="s">
        <v>647</v>
      </c>
      <c r="O15" t="s">
        <v>874</v>
      </c>
    </row>
    <row r="16" spans="1:15" ht="29.25">
      <c r="A16" s="1">
        <v>15</v>
      </c>
      <c r="B16" s="3" t="s">
        <v>650</v>
      </c>
      <c r="C16" s="3" t="s">
        <v>650</v>
      </c>
      <c r="D16" s="1" t="s">
        <v>651</v>
      </c>
      <c r="E16" s="1" t="s">
        <v>652</v>
      </c>
      <c r="F16" s="55" t="str" cm="1">
        <f t="array" ref="F16" xml:space="preserve"> INDEX($O$2:$O$22, MATCH(TRUE, EXACT(G16, $N$2:$N$22),0))</f>
        <v>ㄏ</v>
      </c>
      <c r="G16" s="1" t="s">
        <v>651</v>
      </c>
      <c r="H16" s="1" t="s">
        <v>651</v>
      </c>
      <c r="I16" s="1" t="s">
        <v>651</v>
      </c>
      <c r="J16" s="1" t="s">
        <v>651</v>
      </c>
      <c r="K16" s="1" t="s">
        <v>651</v>
      </c>
      <c r="L16" s="1"/>
      <c r="N16" t="s">
        <v>582</v>
      </c>
      <c r="O16" t="s">
        <v>584</v>
      </c>
    </row>
    <row r="17" spans="1:15" ht="29.25">
      <c r="A17" s="1">
        <v>16</v>
      </c>
      <c r="B17" s="3" t="s">
        <v>653</v>
      </c>
      <c r="C17" s="3" t="s">
        <v>653</v>
      </c>
      <c r="D17" s="1" t="s">
        <v>483</v>
      </c>
      <c r="E17" s="1" t="s">
        <v>654</v>
      </c>
      <c r="F17" s="55" t="str" cm="1">
        <f t="array" ref="F17" xml:space="preserve"> INDEX($O$2:$O$22, MATCH(TRUE, EXACT(G17, $N$2:$N$22),0))</f>
        <v>ㄇ</v>
      </c>
      <c r="G17" s="1" t="s">
        <v>483</v>
      </c>
      <c r="H17" s="1" t="s">
        <v>483</v>
      </c>
      <c r="I17" s="1" t="s">
        <v>483</v>
      </c>
      <c r="J17" s="1" t="s">
        <v>483</v>
      </c>
      <c r="K17" s="1" t="s">
        <v>655</v>
      </c>
      <c r="L17" s="16" t="s">
        <v>656</v>
      </c>
      <c r="N17" t="s">
        <v>586</v>
      </c>
      <c r="O17" t="s">
        <v>588</v>
      </c>
    </row>
    <row r="18" spans="1:15" ht="29.25">
      <c r="A18" s="1">
        <v>17</v>
      </c>
      <c r="B18" s="3" t="s">
        <v>657</v>
      </c>
      <c r="C18" s="3" t="s">
        <v>657</v>
      </c>
      <c r="D18" s="1" t="s">
        <v>658</v>
      </c>
      <c r="E18" s="1" t="s">
        <v>659</v>
      </c>
      <c r="F18" s="55" t="str" cm="1">
        <f t="array" ref="F18" xml:space="preserve"> INDEX($O$2:$O$22, MATCH(TRUE, EXACT(G18, $N$2:$N$22),0))</f>
        <v>ㄋ</v>
      </c>
      <c r="G18" s="1" t="s">
        <v>658</v>
      </c>
      <c r="H18" s="1" t="s">
        <v>658</v>
      </c>
      <c r="I18" s="1" t="s">
        <v>658</v>
      </c>
      <c r="J18" s="1" t="s">
        <v>658</v>
      </c>
      <c r="K18" s="1" t="s">
        <v>660</v>
      </c>
      <c r="L18" s="19" t="s">
        <v>661</v>
      </c>
      <c r="N18" t="s">
        <v>591</v>
      </c>
      <c r="O18" t="s">
        <v>593</v>
      </c>
    </row>
    <row r="19" spans="1:15" ht="29.25">
      <c r="A19" s="1">
        <v>18</v>
      </c>
      <c r="B19" s="3" t="s">
        <v>662</v>
      </c>
      <c r="C19" s="3" t="s">
        <v>662</v>
      </c>
      <c r="D19" s="1" t="s">
        <v>663</v>
      </c>
      <c r="E19" s="1" t="s">
        <v>664</v>
      </c>
      <c r="F19" s="55" t="str" cm="1">
        <f t="array" ref="F19" xml:space="preserve"> INDEX($O$2:$O$22, MATCH(TRUE, EXACT(G19, $N$2:$N$22),0))</f>
        <v xml:space="preserve">⁰ㄫ </v>
      </c>
      <c r="G19" s="1" t="s">
        <v>454</v>
      </c>
      <c r="H19" s="1" t="s">
        <v>454</v>
      </c>
      <c r="I19" s="1" t="s">
        <v>454</v>
      </c>
      <c r="J19" s="1" t="s">
        <v>454</v>
      </c>
      <c r="K19" s="1" t="s">
        <v>665</v>
      </c>
      <c r="L19" s="19" t="s">
        <v>666</v>
      </c>
      <c r="N19" t="s">
        <v>601</v>
      </c>
      <c r="O19" t="s">
        <v>603</v>
      </c>
    </row>
    <row r="20" spans="1:15" ht="29.25">
      <c r="A20" s="17">
        <v>19</v>
      </c>
      <c r="B20" s="18" t="s">
        <v>624</v>
      </c>
      <c r="C20" s="18" t="s">
        <v>622</v>
      </c>
      <c r="D20" s="16" t="s">
        <v>667</v>
      </c>
      <c r="E20" s="16" t="s">
        <v>668</v>
      </c>
      <c r="F20" s="55" t="str" cm="1">
        <f t="array" ref="F20" xml:space="preserve"> INDEX($O$2:$O$22, MATCH(TRUE, EXACT(G20, $N$2:$N$22),0))</f>
        <v>ㄖ</v>
      </c>
      <c r="G20" s="17" t="s">
        <v>669</v>
      </c>
      <c r="H20" s="17" t="s">
        <v>669</v>
      </c>
      <c r="I20" s="17" t="s">
        <v>671</v>
      </c>
      <c r="J20" s="17" t="s">
        <v>669</v>
      </c>
      <c r="K20" s="17" t="s">
        <v>670</v>
      </c>
      <c r="L20" s="19" t="s">
        <v>689</v>
      </c>
      <c r="N20" t="s">
        <v>651</v>
      </c>
      <c r="O20" t="s">
        <v>652</v>
      </c>
    </row>
    <row r="21" spans="1:15" ht="29.25">
      <c r="A21" s="17">
        <v>20</v>
      </c>
      <c r="B21" s="18" t="s">
        <v>617</v>
      </c>
      <c r="C21" s="18" t="s">
        <v>672</v>
      </c>
      <c r="D21" s="19" t="s">
        <v>673</v>
      </c>
      <c r="E21" s="19" t="s">
        <v>674</v>
      </c>
      <c r="F21" s="55" t="str" cm="1">
        <f t="array" ref="F21" xml:space="preserve"> INDEX($O$2:$O$22, MATCH(TRUE, EXACT(G21, $N$2:$N$22),0))</f>
        <v>ㄐ</v>
      </c>
      <c r="G21" s="17" t="s">
        <v>675</v>
      </c>
      <c r="H21" s="17" t="s">
        <v>676</v>
      </c>
      <c r="I21" s="17" t="s">
        <v>669</v>
      </c>
      <c r="J21" s="17" t="s">
        <v>677</v>
      </c>
      <c r="K21" s="17" t="s">
        <v>675</v>
      </c>
      <c r="L21" s="19" t="s">
        <v>690</v>
      </c>
      <c r="N21" t="s">
        <v>483</v>
      </c>
      <c r="O21" t="s">
        <v>654</v>
      </c>
    </row>
    <row r="22" spans="1:15" ht="29.25">
      <c r="A22" s="17">
        <v>21</v>
      </c>
      <c r="B22" s="18" t="s">
        <v>646</v>
      </c>
      <c r="C22" s="18" t="s">
        <v>678</v>
      </c>
      <c r="D22" s="19" t="s">
        <v>679</v>
      </c>
      <c r="E22" s="19" t="s">
        <v>680</v>
      </c>
      <c r="F22" s="55" t="str" cm="1">
        <f t="array" ref="F22" xml:space="preserve"> INDEX($O$2:$O$22, MATCH(TRUE, EXACT(G22, $N$2:$N$22),0))</f>
        <v>ㄑ</v>
      </c>
      <c r="G22" s="17" t="s">
        <v>681</v>
      </c>
      <c r="H22" s="17" t="s">
        <v>682</v>
      </c>
      <c r="I22" s="17" t="s">
        <v>677</v>
      </c>
      <c r="J22" s="17" t="s">
        <v>683</v>
      </c>
      <c r="K22" s="17" t="s">
        <v>681</v>
      </c>
      <c r="L22" s="19" t="s">
        <v>694</v>
      </c>
      <c r="N22" t="s">
        <v>658</v>
      </c>
      <c r="O22" t="s">
        <v>659</v>
      </c>
    </row>
    <row r="23" spans="1:15" ht="29.25">
      <c r="A23" s="17">
        <v>22</v>
      </c>
      <c r="B23" s="18" t="s">
        <v>630</v>
      </c>
      <c r="C23" s="18" t="s">
        <v>684</v>
      </c>
      <c r="D23" s="19" t="s">
        <v>685</v>
      </c>
      <c r="E23" s="19" t="s">
        <v>686</v>
      </c>
      <c r="F23" s="55" t="str" cm="1">
        <f t="array" ref="F23" xml:space="preserve"> INDEX($O$2:$O$22, MATCH(TRUE, EXACT(G23, $N$2:$N$22),0))</f>
        <v>ㄒ</v>
      </c>
      <c r="G23" s="17" t="s">
        <v>687</v>
      </c>
      <c r="H23" s="17" t="s">
        <v>687</v>
      </c>
      <c r="I23" s="17" t="s">
        <v>688</v>
      </c>
      <c r="J23" s="17" t="s">
        <v>687</v>
      </c>
      <c r="K23" s="17" t="s">
        <v>687</v>
      </c>
      <c r="L23" s="19" t="s">
        <v>692</v>
      </c>
    </row>
  </sheetData>
  <phoneticPr fontId="3" type="noConversion"/>
  <conditionalFormatting sqref="F2:F23">
    <cfRule type="expression" dxfId="2" priority="1">
      <formula>$E2&lt;&gt;$F2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J258"/>
  <sheetViews>
    <sheetView tabSelected="1" topLeftCell="A71" workbookViewId="0">
      <selection activeCell="F59" sqref="F59"/>
    </sheetView>
  </sheetViews>
  <sheetFormatPr defaultRowHeight="25.5"/>
  <cols>
    <col min="1" max="1" width="7.1640625" customWidth="1"/>
    <col min="12" max="12" width="8.1640625" bestFit="1" customWidth="1"/>
    <col min="13" max="13" width="6.4140625" bestFit="1" customWidth="1"/>
    <col min="14" max="14" width="11.83203125" bestFit="1" customWidth="1"/>
    <col min="15" max="15" width="2.5" customWidth="1"/>
    <col min="21" max="21" width="5.75" bestFit="1" customWidth="1"/>
    <col min="22" max="22" width="5.1640625" customWidth="1"/>
    <col min="23" max="27" width="4.33203125" customWidth="1"/>
    <col min="28" max="28" width="3.9140625" customWidth="1"/>
    <col min="29" max="29" width="8.1640625" customWidth="1"/>
    <col min="30" max="34" width="4.33203125" style="58" customWidth="1"/>
  </cols>
  <sheetData>
    <row r="1" spans="1:34">
      <c r="A1" s="2" t="s">
        <v>0</v>
      </c>
      <c r="B1" s="2" t="s">
        <v>3</v>
      </c>
      <c r="C1" s="2" t="s">
        <v>1</v>
      </c>
      <c r="D1" s="2" t="s">
        <v>2</v>
      </c>
      <c r="E1" s="2" t="s">
        <v>4</v>
      </c>
      <c r="F1" s="2" t="s">
        <v>872</v>
      </c>
      <c r="G1" s="2" t="s">
        <v>5</v>
      </c>
      <c r="H1" s="2" t="s">
        <v>6</v>
      </c>
      <c r="I1" s="2" t="s">
        <v>9</v>
      </c>
      <c r="J1" s="2" t="s">
        <v>7</v>
      </c>
      <c r="K1" s="2" t="s">
        <v>8</v>
      </c>
      <c r="L1" s="2" t="s">
        <v>578</v>
      </c>
      <c r="M1" s="2" t="s">
        <v>10</v>
      </c>
      <c r="N1" s="2" t="s">
        <v>11</v>
      </c>
      <c r="O1" s="59"/>
      <c r="Q1" s="56" t="s">
        <v>849</v>
      </c>
      <c r="R1" s="56" t="str">
        <f>E1</f>
        <v>方音符號</v>
      </c>
      <c r="S1" s="56" t="str">
        <f>F1</f>
        <v>台語注音</v>
      </c>
      <c r="W1" s="20">
        <v>1</v>
      </c>
      <c r="X1" s="20">
        <v>2</v>
      </c>
      <c r="Y1" s="20">
        <v>3</v>
      </c>
      <c r="Z1" s="20">
        <v>4</v>
      </c>
      <c r="AA1" s="20">
        <v>5</v>
      </c>
      <c r="AD1" s="57">
        <v>1</v>
      </c>
      <c r="AE1" s="57">
        <v>2</v>
      </c>
      <c r="AF1" s="57">
        <v>3</v>
      </c>
      <c r="AG1" s="57">
        <v>4</v>
      </c>
      <c r="AH1" s="57">
        <v>5</v>
      </c>
    </row>
    <row r="2" spans="1:34" ht="29.25">
      <c r="A2" s="1">
        <v>1</v>
      </c>
      <c r="B2" s="3" t="s">
        <v>15</v>
      </c>
      <c r="C2" s="3" t="s">
        <v>13</v>
      </c>
      <c r="D2" s="1" t="s">
        <v>14</v>
      </c>
      <c r="E2" s="1" t="s">
        <v>16</v>
      </c>
      <c r="F2" s="55" t="s">
        <v>16</v>
      </c>
      <c r="G2" s="1" t="s">
        <v>14</v>
      </c>
      <c r="H2" s="1" t="s">
        <v>14</v>
      </c>
      <c r="I2" s="1" t="s">
        <v>14</v>
      </c>
      <c r="J2" s="1" t="s">
        <v>14</v>
      </c>
      <c r="K2" s="1" t="s">
        <v>14</v>
      </c>
      <c r="L2" s="1" t="s">
        <v>12</v>
      </c>
      <c r="M2" s="1" t="s">
        <v>17</v>
      </c>
      <c r="N2" s="1" t="s">
        <v>18</v>
      </c>
      <c r="O2" s="60"/>
      <c r="Q2" t="s">
        <v>878</v>
      </c>
      <c r="R2" t="s">
        <v>349</v>
      </c>
      <c r="S2" t="s">
        <v>349</v>
      </c>
      <c r="U2" t="str">
        <f>E2</f>
        <v>ㄨㄣ</v>
      </c>
      <c r="V2">
        <f xml:space="preserve"> LEN(U2)</f>
        <v>2</v>
      </c>
      <c r="W2" s="20" t="str">
        <f xml:space="preserve"> MID($U2,W$1,1)</f>
        <v>ㄨ</v>
      </c>
      <c r="X2" s="20" t="str">
        <f t="shared" ref="X2:AA17" si="0" xml:space="preserve"> MID($U2,X$1,1)</f>
        <v>ㄣ</v>
      </c>
      <c r="Y2" s="20" t="str">
        <f t="shared" si="0"/>
        <v/>
      </c>
      <c r="Z2" s="20" t="str">
        <f t="shared" si="0"/>
        <v/>
      </c>
      <c r="AA2" s="20" t="str">
        <f t="shared" si="0"/>
        <v/>
      </c>
      <c r="AC2" s="61" t="str">
        <f xml:space="preserve"> _xlfn.CONCAT(AD2:AH2)</f>
        <v>ㄨㄣ</v>
      </c>
      <c r="AD2" s="57" t="str" cm="1">
        <f t="array" ref="AD2" xml:space="preserve"> IF(W2="", "", INDEX($S$2:$S$46, MATCH(TRUE, EXACT(W2,$R$2:$R$46),0)))</f>
        <v>ㄨ</v>
      </c>
      <c r="AE2" s="57" t="str" cm="1">
        <f t="array" ref="AE2" xml:space="preserve"> IF(X2="", "", INDEX($S$2:$S$46, MATCH(TRUE, EXACT(X2,$R$2:$R$46),0)))</f>
        <v>ㄣ</v>
      </c>
      <c r="AF2" s="57" t="str" cm="1">
        <f t="array" ref="AF2" xml:space="preserve"> IF(Y2="", "", INDEX($S$2:$S$46, MATCH(TRUE, EXACT(Y2,$R$2:$R$46),0)))</f>
        <v/>
      </c>
      <c r="AG2" s="57" t="str" cm="1">
        <f t="array" ref="AG2" xml:space="preserve"> IF(Z2="", "", INDEX($S$2:$S$46, MATCH(TRUE, EXACT(Z2,$R$2:$R$46),0)))</f>
        <v/>
      </c>
      <c r="AH2" s="57" t="str" cm="1">
        <f t="array" ref="AH2" xml:space="preserve"> IF(AA2="", "", INDEX($S$2:$S$46, MATCH(TRUE, EXACT(AA2,$R$2:$R$46),0)))</f>
        <v/>
      </c>
    </row>
    <row r="3" spans="1:34" ht="29.25">
      <c r="A3" s="1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55" t="s">
        <v>960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12</v>
      </c>
      <c r="M3" s="1" t="s">
        <v>24</v>
      </c>
      <c r="N3" s="1" t="s">
        <v>25</v>
      </c>
      <c r="O3" s="60"/>
      <c r="Q3" t="s">
        <v>879</v>
      </c>
      <c r="R3" t="s">
        <v>359</v>
      </c>
      <c r="S3" t="s">
        <v>359</v>
      </c>
      <c r="U3" t="str">
        <f t="shared" ref="U3:U66" si="1">E3</f>
        <v>ㄨㆵ</v>
      </c>
      <c r="V3">
        <f t="shared" ref="V3:V66" si="2" xml:space="preserve"> LEN(U3)</f>
        <v>2</v>
      </c>
      <c r="W3" s="20" t="str">
        <f t="shared" ref="W3:AA34" si="3" xml:space="preserve"> MID($U3,W$1,1)</f>
        <v>ㄨ</v>
      </c>
      <c r="X3" s="20" t="str">
        <f t="shared" si="0"/>
        <v>ㆵ</v>
      </c>
      <c r="Y3" s="20" t="str">
        <f t="shared" si="0"/>
        <v/>
      </c>
      <c r="Z3" s="20" t="str">
        <f t="shared" si="0"/>
        <v/>
      </c>
      <c r="AA3" s="20" t="str">
        <f t="shared" si="0"/>
        <v/>
      </c>
      <c r="AC3" s="61" t="str">
        <f t="shared" ref="AC3:AC42" si="4" xml:space="preserve"> _xlfn.CONCAT(AD3:AH3)</f>
        <v>ㄨㄉ</v>
      </c>
      <c r="AD3" s="57" t="str" cm="1">
        <f t="array" ref="AD3" xml:space="preserve"> IF(W3="", "", INDEX($S$2:$S$46, MATCH(TRUE, EXACT(W3,$R$2:$R$46),0)))</f>
        <v>ㄨ</v>
      </c>
      <c r="AE3" s="57" t="str" cm="1">
        <f t="array" ref="AE3" xml:space="preserve"> IF(X3="", "", INDEX($S$2:$S$46, MATCH(TRUE, EXACT(X3,$R$2:$R$46),0)))</f>
        <v>ㄉ</v>
      </c>
      <c r="AF3" s="57" t="str" cm="1">
        <f t="array" ref="AF3" xml:space="preserve"> IF(Y3="", "", INDEX($S$2:$S$46, MATCH(TRUE, EXACT(Y3,$R$2:$R$46),0)))</f>
        <v/>
      </c>
      <c r="AG3" s="57" t="str" cm="1">
        <f t="array" ref="AG3" xml:space="preserve"> IF(Z3="", "", INDEX($S$2:$S$46, MATCH(TRUE, EXACT(Z3,$R$2:$R$46),0)))</f>
        <v/>
      </c>
      <c r="AH3" s="57" t="str" cm="1">
        <f t="array" ref="AH3" xml:space="preserve"> IF(AA3="", "", INDEX($S$2:$S$46, MATCH(TRUE, EXACT(AA3,$R$2:$R$46),0)))</f>
        <v/>
      </c>
    </row>
    <row r="4" spans="1:34" ht="29.25">
      <c r="A4" s="1">
        <v>3</v>
      </c>
      <c r="B4" s="3" t="s">
        <v>29</v>
      </c>
      <c r="C4" s="3" t="s">
        <v>27</v>
      </c>
      <c r="D4" s="1" t="s">
        <v>28</v>
      </c>
      <c r="E4" s="1" t="s">
        <v>30</v>
      </c>
      <c r="F4" s="55" t="s">
        <v>30</v>
      </c>
      <c r="G4" s="1" t="s">
        <v>28</v>
      </c>
      <c r="H4" s="1" t="s">
        <v>28</v>
      </c>
      <c r="I4" s="1" t="s">
        <v>28</v>
      </c>
      <c r="J4" s="1" t="s">
        <v>28</v>
      </c>
      <c r="K4" s="1" t="s">
        <v>28</v>
      </c>
      <c r="L4" s="1" t="s">
        <v>19</v>
      </c>
      <c r="M4" s="1" t="s">
        <v>17</v>
      </c>
      <c r="N4" s="1" t="s">
        <v>31</v>
      </c>
      <c r="O4" s="60"/>
      <c r="Q4" t="s">
        <v>880</v>
      </c>
      <c r="R4" t="s">
        <v>339</v>
      </c>
      <c r="S4" t="s">
        <v>339</v>
      </c>
      <c r="U4" t="str">
        <f t="shared" si="1"/>
        <v>ㄧㄢ</v>
      </c>
      <c r="V4">
        <f t="shared" si="2"/>
        <v>2</v>
      </c>
      <c r="W4" s="20" t="str">
        <f t="shared" si="3"/>
        <v>ㄧ</v>
      </c>
      <c r="X4" s="20" t="str">
        <f t="shared" si="0"/>
        <v>ㄢ</v>
      </c>
      <c r="Y4" s="20" t="str">
        <f t="shared" si="0"/>
        <v/>
      </c>
      <c r="Z4" s="20" t="str">
        <f t="shared" si="0"/>
        <v/>
      </c>
      <c r="AA4" s="20" t="str">
        <f t="shared" si="0"/>
        <v/>
      </c>
      <c r="AC4" s="61" t="str">
        <f t="shared" si="4"/>
        <v>ㄧㄢ</v>
      </c>
      <c r="AD4" s="57" t="str" cm="1">
        <f t="array" ref="AD4" xml:space="preserve"> IF(W4="", "", INDEX($S$2:$S$46, MATCH(TRUE, EXACT(W4,$R$2:$R$46),0)))</f>
        <v>ㄧ</v>
      </c>
      <c r="AE4" s="57" t="str" cm="1">
        <f t="array" ref="AE4" xml:space="preserve"> IF(X4="", "", INDEX($S$2:$S$46, MATCH(TRUE, EXACT(X4,$R$2:$R$46),0)))</f>
        <v>ㄢ</v>
      </c>
      <c r="AF4" s="57" t="str" cm="1">
        <f t="array" ref="AF4" xml:space="preserve"> IF(Y4="", "", INDEX($S$2:$S$46, MATCH(TRUE, EXACT(Y4,$R$2:$R$46),0)))</f>
        <v/>
      </c>
      <c r="AG4" s="57" t="str" cm="1">
        <f t="array" ref="AG4" xml:space="preserve"> IF(Z4="", "", INDEX($S$2:$S$46, MATCH(TRUE, EXACT(Z4,$R$2:$R$46),0)))</f>
        <v/>
      </c>
      <c r="AH4" s="57" t="str" cm="1">
        <f t="array" ref="AH4" xml:space="preserve"> IF(AA4="", "", INDEX($S$2:$S$46, MATCH(TRUE, EXACT(AA4,$R$2:$R$46),0)))</f>
        <v/>
      </c>
    </row>
    <row r="5" spans="1:34" ht="29.25">
      <c r="A5" s="1">
        <v>4</v>
      </c>
      <c r="B5" s="3" t="s">
        <v>29</v>
      </c>
      <c r="C5" s="3" t="s">
        <v>33</v>
      </c>
      <c r="D5" s="1" t="s">
        <v>34</v>
      </c>
      <c r="E5" s="1" t="s">
        <v>35</v>
      </c>
      <c r="F5" s="55" t="s">
        <v>961</v>
      </c>
      <c r="G5" s="1" t="s">
        <v>36</v>
      </c>
      <c r="H5" s="1" t="s">
        <v>36</v>
      </c>
      <c r="I5" s="1" t="s">
        <v>36</v>
      </c>
      <c r="J5" s="1" t="s">
        <v>36</v>
      </c>
      <c r="K5" s="1" t="s">
        <v>36</v>
      </c>
      <c r="L5" s="1" t="s">
        <v>19</v>
      </c>
      <c r="M5" s="1" t="s">
        <v>24</v>
      </c>
      <c r="N5" s="1" t="s">
        <v>37</v>
      </c>
      <c r="O5" s="60"/>
      <c r="Q5" t="s">
        <v>881</v>
      </c>
      <c r="R5" t="s">
        <v>166</v>
      </c>
      <c r="S5" t="s">
        <v>60</v>
      </c>
      <c r="U5" t="str">
        <f t="shared" si="1"/>
        <v>ㄧㄚㆵ</v>
      </c>
      <c r="V5">
        <f t="shared" si="2"/>
        <v>3</v>
      </c>
      <c r="W5" s="20" t="str">
        <f t="shared" si="3"/>
        <v>ㄧ</v>
      </c>
      <c r="X5" s="20" t="str">
        <f t="shared" si="0"/>
        <v>ㄚ</v>
      </c>
      <c r="Y5" s="20" t="str">
        <f t="shared" si="0"/>
        <v>ㆵ</v>
      </c>
      <c r="Z5" s="20" t="str">
        <f t="shared" si="0"/>
        <v/>
      </c>
      <c r="AA5" s="20" t="str">
        <f t="shared" si="0"/>
        <v/>
      </c>
      <c r="AC5" s="61" t="str">
        <f t="shared" si="4"/>
        <v>ㄧㄚㄉ</v>
      </c>
      <c r="AD5" s="57" t="str" cm="1">
        <f t="array" ref="AD5" xml:space="preserve"> IF(W5="", "", INDEX($S$2:$S$46, MATCH(TRUE, EXACT(W5,$R$2:$R$46),0)))</f>
        <v>ㄧ</v>
      </c>
      <c r="AE5" s="57" t="str" cm="1">
        <f t="array" ref="AE5" xml:space="preserve"> IF(X5="", "", INDEX($S$2:$S$46, MATCH(TRUE, EXACT(X5,$R$2:$R$46),0)))</f>
        <v>ㄚ</v>
      </c>
      <c r="AF5" s="57" t="str" cm="1">
        <f t="array" ref="AF5" xml:space="preserve"> IF(Y5="", "", INDEX($S$2:$S$46, MATCH(TRUE, EXACT(Y5,$R$2:$R$46),0)))</f>
        <v>ㄉ</v>
      </c>
      <c r="AG5" s="57" t="str" cm="1">
        <f t="array" ref="AG5" xml:space="preserve"> IF(Z5="", "", INDEX($S$2:$S$46, MATCH(TRUE, EXACT(Z5,$R$2:$R$46),0)))</f>
        <v/>
      </c>
      <c r="AH5" s="57" t="str" cm="1">
        <f t="array" ref="AH5" xml:space="preserve"> IF(AA5="", "", INDEX($S$2:$S$46, MATCH(TRUE, EXACT(AA5,$R$2:$R$46),0)))</f>
        <v/>
      </c>
    </row>
    <row r="6" spans="1:34" ht="29.25">
      <c r="A6" s="1">
        <v>5</v>
      </c>
      <c r="B6" s="3" t="s">
        <v>41</v>
      </c>
      <c r="C6" s="3" t="s">
        <v>39</v>
      </c>
      <c r="D6" s="1" t="s">
        <v>40</v>
      </c>
      <c r="E6" s="1" t="s">
        <v>42</v>
      </c>
      <c r="F6" s="55" t="s">
        <v>962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40</v>
      </c>
      <c r="L6" s="1" t="s">
        <v>26</v>
      </c>
      <c r="M6" s="1" t="s">
        <v>17</v>
      </c>
      <c r="N6" s="1" t="s">
        <v>43</v>
      </c>
      <c r="O6" s="60"/>
      <c r="Q6" t="s">
        <v>882</v>
      </c>
      <c r="R6" t="s">
        <v>185</v>
      </c>
      <c r="S6" t="s">
        <v>185</v>
      </c>
      <c r="U6" t="str">
        <f t="shared" si="1"/>
        <v>ㄧㆬ</v>
      </c>
      <c r="V6">
        <f t="shared" si="2"/>
        <v>2</v>
      </c>
      <c r="W6" s="20" t="str">
        <f t="shared" si="3"/>
        <v>ㄧ</v>
      </c>
      <c r="X6" s="20" t="str">
        <f t="shared" si="0"/>
        <v>ㆬ</v>
      </c>
      <c r="Y6" s="20" t="str">
        <f t="shared" si="0"/>
        <v/>
      </c>
      <c r="Z6" s="20" t="str">
        <f t="shared" si="0"/>
        <v/>
      </c>
      <c r="AA6" s="20" t="str">
        <f t="shared" si="0"/>
        <v/>
      </c>
      <c r="AC6" s="61" t="str">
        <f t="shared" si="4"/>
        <v>ㄧㄇ</v>
      </c>
      <c r="AD6" s="57" t="str" cm="1">
        <f t="array" ref="AD6" xml:space="preserve"> IF(W6="", "", INDEX($S$2:$S$46, MATCH(TRUE, EXACT(W6,$R$2:$R$46),0)))</f>
        <v>ㄧ</v>
      </c>
      <c r="AE6" s="57" t="str" cm="1">
        <f t="array" ref="AE6" xml:space="preserve"> IF(X6="", "", INDEX($S$2:$S$46, MATCH(TRUE, EXACT(X6,$R$2:$R$46),0)))</f>
        <v>ㄇ</v>
      </c>
      <c r="AF6" s="57" t="str" cm="1">
        <f t="array" ref="AF6" xml:space="preserve"> IF(Y6="", "", INDEX($S$2:$S$46, MATCH(TRUE, EXACT(Y6,$R$2:$R$46),0)))</f>
        <v/>
      </c>
      <c r="AG6" s="57" t="str" cm="1">
        <f t="array" ref="AG6" xml:space="preserve"> IF(Z6="", "", INDEX($S$2:$S$46, MATCH(TRUE, EXACT(Z6,$R$2:$R$46),0)))</f>
        <v/>
      </c>
      <c r="AH6" s="57" t="str" cm="1">
        <f t="array" ref="AH6" xml:space="preserve"> IF(AA6="", "", INDEX($S$2:$S$46, MATCH(TRUE, EXACT(AA6,$R$2:$R$46),0)))</f>
        <v/>
      </c>
    </row>
    <row r="7" spans="1:34" ht="29.25">
      <c r="A7" s="1">
        <v>6</v>
      </c>
      <c r="B7" s="3" t="s">
        <v>41</v>
      </c>
      <c r="C7" s="3" t="s">
        <v>45</v>
      </c>
      <c r="D7" s="1" t="s">
        <v>46</v>
      </c>
      <c r="E7" s="1" t="s">
        <v>47</v>
      </c>
      <c r="F7" s="55" t="s">
        <v>963</v>
      </c>
      <c r="G7" s="1" t="s">
        <v>48</v>
      </c>
      <c r="H7" s="1" t="s">
        <v>48</v>
      </c>
      <c r="I7" s="1" t="s">
        <v>48</v>
      </c>
      <c r="J7" s="1" t="s">
        <v>48</v>
      </c>
      <c r="K7" s="1" t="s">
        <v>48</v>
      </c>
      <c r="L7" s="1" t="s">
        <v>26</v>
      </c>
      <c r="M7" s="1" t="s">
        <v>24</v>
      </c>
      <c r="N7" s="1" t="s">
        <v>49</v>
      </c>
      <c r="O7" s="60"/>
      <c r="Q7" t="s">
        <v>883</v>
      </c>
      <c r="R7" t="s">
        <v>144</v>
      </c>
      <c r="S7" t="s">
        <v>954</v>
      </c>
      <c r="U7" t="str">
        <f t="shared" si="1"/>
        <v>一ㆴ</v>
      </c>
      <c r="V7">
        <f t="shared" si="2"/>
        <v>2</v>
      </c>
      <c r="W7" s="20" t="str">
        <f t="shared" si="3"/>
        <v>一</v>
      </c>
      <c r="X7" s="20" t="str">
        <f t="shared" si="0"/>
        <v>ㆴ</v>
      </c>
      <c r="Y7" s="20" t="str">
        <f t="shared" si="0"/>
        <v/>
      </c>
      <c r="Z7" s="20" t="str">
        <f t="shared" si="0"/>
        <v/>
      </c>
      <c r="AA7" s="20" t="str">
        <f t="shared" si="0"/>
        <v/>
      </c>
      <c r="AC7" s="61" t="str">
        <f t="shared" si="4"/>
        <v>ㄧㄅ</v>
      </c>
      <c r="AD7" s="57" t="s">
        <v>928</v>
      </c>
      <c r="AE7" s="57" t="str" cm="1">
        <f t="array" ref="AE7" xml:space="preserve"> IF(X7="", "", INDEX($S$2:$S$46, MATCH(TRUE, EXACT(X7,$R$2:$R$46),0)))</f>
        <v>ㄅ</v>
      </c>
      <c r="AF7" s="57" t="str" cm="1">
        <f t="array" ref="AF7" xml:space="preserve"> IF(Y7="", "", INDEX($S$2:$S$46, MATCH(TRUE, EXACT(Y7,$R$2:$R$46),0)))</f>
        <v/>
      </c>
      <c r="AG7" s="57" t="str" cm="1">
        <f t="array" ref="AG7" xml:space="preserve"> IF(Z7="", "", INDEX($S$2:$S$46, MATCH(TRUE, EXACT(Z7,$R$2:$R$46),0)))</f>
        <v/>
      </c>
      <c r="AH7" s="57" t="str" cm="1">
        <f t="array" ref="AH7" xml:space="preserve"> IF(AA7="", "", INDEX($S$2:$S$46, MATCH(TRUE, EXACT(AA7,$R$2:$R$46),0)))</f>
        <v/>
      </c>
    </row>
    <row r="8" spans="1:34" ht="29.25">
      <c r="A8" s="1">
        <v>7</v>
      </c>
      <c r="B8" s="3" t="s">
        <v>53</v>
      </c>
      <c r="C8" s="3" t="s">
        <v>51</v>
      </c>
      <c r="D8" s="1" t="s">
        <v>52</v>
      </c>
      <c r="E8" s="1" t="s">
        <v>54</v>
      </c>
      <c r="F8" s="55" t="s">
        <v>54</v>
      </c>
      <c r="G8" s="1" t="s">
        <v>52</v>
      </c>
      <c r="H8" s="1" t="s">
        <v>52</v>
      </c>
      <c r="I8" s="1" t="s">
        <v>52</v>
      </c>
      <c r="J8" s="1" t="s">
        <v>52</v>
      </c>
      <c r="K8" s="1" t="s">
        <v>52</v>
      </c>
      <c r="L8" s="1" t="s">
        <v>32</v>
      </c>
      <c r="M8" s="1" t="s">
        <v>17</v>
      </c>
      <c r="N8" s="1" t="s">
        <v>55</v>
      </c>
      <c r="O8" s="60"/>
      <c r="Q8" t="s">
        <v>884</v>
      </c>
      <c r="R8" t="s">
        <v>199</v>
      </c>
      <c r="S8" t="s">
        <v>199</v>
      </c>
      <c r="U8" t="str">
        <f t="shared" si="1"/>
        <v>ㄨㄧ</v>
      </c>
      <c r="V8">
        <f t="shared" si="2"/>
        <v>2</v>
      </c>
      <c r="W8" s="20" t="str">
        <f t="shared" si="3"/>
        <v>ㄨ</v>
      </c>
      <c r="X8" s="20" t="str">
        <f t="shared" si="0"/>
        <v>ㄧ</v>
      </c>
      <c r="Y8" s="20" t="str">
        <f t="shared" si="0"/>
        <v/>
      </c>
      <c r="Z8" s="20" t="str">
        <f t="shared" si="0"/>
        <v/>
      </c>
      <c r="AA8" s="20" t="str">
        <f t="shared" si="0"/>
        <v/>
      </c>
      <c r="AC8" s="61" t="str">
        <f t="shared" si="4"/>
        <v>ㄨㄧ</v>
      </c>
      <c r="AD8" s="57" t="str" cm="1">
        <f t="array" ref="AD8" xml:space="preserve"> IF(W8="", "", INDEX($S$2:$S$46, MATCH(TRUE, EXACT(W8,$R$2:$R$46),0)))</f>
        <v>ㄨ</v>
      </c>
      <c r="AE8" s="57" t="str" cm="1">
        <f t="array" ref="AE8" xml:space="preserve"> IF(X8="", "", INDEX($S$2:$S$46, MATCH(TRUE, EXACT(X8,$R$2:$R$46),0)))</f>
        <v>ㄧ</v>
      </c>
      <c r="AF8" s="57" t="str" cm="1">
        <f t="array" ref="AF8" xml:space="preserve"> IF(Y8="", "", INDEX($S$2:$S$46, MATCH(TRUE, EXACT(Y8,$R$2:$R$46),0)))</f>
        <v/>
      </c>
      <c r="AG8" s="57" t="str" cm="1">
        <f t="array" ref="AG8" xml:space="preserve"> IF(Z8="", "", INDEX($S$2:$S$46, MATCH(TRUE, EXACT(Z8,$R$2:$R$46),0)))</f>
        <v/>
      </c>
      <c r="AH8" s="57" t="str" cm="1">
        <f t="array" ref="AH8" xml:space="preserve"> IF(AA8="", "", INDEX($S$2:$S$46, MATCH(TRUE, EXACT(AA8,$R$2:$R$46),0)))</f>
        <v/>
      </c>
    </row>
    <row r="9" spans="1:34" ht="29.25">
      <c r="A9" s="1">
        <v>9</v>
      </c>
      <c r="B9" s="4" t="s">
        <v>59</v>
      </c>
      <c r="C9" s="4" t="s">
        <v>57</v>
      </c>
      <c r="D9" s="1" t="s">
        <v>58</v>
      </c>
      <c r="E9" s="1" t="s">
        <v>60</v>
      </c>
      <c r="F9" s="55" t="s">
        <v>60</v>
      </c>
      <c r="G9" s="1" t="s">
        <v>61</v>
      </c>
      <c r="H9" s="1" t="s">
        <v>61</v>
      </c>
      <c r="I9" s="1" t="s">
        <v>62</v>
      </c>
      <c r="J9" s="1" t="s">
        <v>62</v>
      </c>
      <c r="K9" s="1" t="s">
        <v>61</v>
      </c>
      <c r="L9" s="1" t="s">
        <v>38</v>
      </c>
      <c r="M9" s="1" t="s">
        <v>17</v>
      </c>
      <c r="N9" s="1" t="s">
        <v>63</v>
      </c>
      <c r="O9" s="60"/>
      <c r="Q9" t="s">
        <v>885</v>
      </c>
      <c r="R9" t="s">
        <v>282</v>
      </c>
      <c r="S9" t="s">
        <v>282</v>
      </c>
      <c r="U9" t="str">
        <f t="shared" si="1"/>
        <v>ㄝ</v>
      </c>
      <c r="V9">
        <f t="shared" si="2"/>
        <v>1</v>
      </c>
      <c r="W9" s="20" t="str">
        <f t="shared" si="3"/>
        <v>ㄝ</v>
      </c>
      <c r="X9" s="20" t="str">
        <f t="shared" si="0"/>
        <v/>
      </c>
      <c r="Y9" s="20" t="str">
        <f t="shared" si="0"/>
        <v/>
      </c>
      <c r="Z9" s="20" t="str">
        <f t="shared" si="0"/>
        <v/>
      </c>
      <c r="AA9" s="20" t="str">
        <f t="shared" si="0"/>
        <v/>
      </c>
      <c r="AC9" s="61" t="str">
        <f t="shared" si="4"/>
        <v>ㄝ</v>
      </c>
      <c r="AD9" s="57" t="str">
        <f t="shared" ref="AD9:AD10" si="5" xml:space="preserve"> MID($U9,AD$1,1)</f>
        <v>ㄝ</v>
      </c>
      <c r="AE9" s="57" t="str" cm="1">
        <f t="array" ref="AE9" xml:space="preserve"> IF(X9="", "", INDEX($S$2:$S$46, MATCH(TRUE, EXACT(X9,$R$2:$R$46),0)))</f>
        <v/>
      </c>
      <c r="AF9" s="57" t="str" cm="1">
        <f t="array" ref="AF9" xml:space="preserve"> IF(Y9="", "", INDEX($S$2:$S$46, MATCH(TRUE, EXACT(Y9,$R$2:$R$46),0)))</f>
        <v/>
      </c>
      <c r="AG9" s="57" t="str" cm="1">
        <f t="array" ref="AG9" xml:space="preserve"> IF(Z9="", "", INDEX($S$2:$S$46, MATCH(TRUE, EXACT(Z9,$R$2:$R$46),0)))</f>
        <v/>
      </c>
      <c r="AH9" s="57" t="str" cm="1">
        <f t="array" ref="AH9" xml:space="preserve"> IF(AA9="", "", INDEX($S$2:$S$46, MATCH(TRUE, EXACT(AA9,$R$2:$R$46),0)))</f>
        <v/>
      </c>
    </row>
    <row r="10" spans="1:34" ht="29.25">
      <c r="A10" s="1">
        <v>10</v>
      </c>
      <c r="B10" s="4" t="s">
        <v>59</v>
      </c>
      <c r="C10" s="3" t="s">
        <v>65</v>
      </c>
      <c r="D10" s="1" t="s">
        <v>66</v>
      </c>
      <c r="E10" s="1" t="s">
        <v>67</v>
      </c>
      <c r="F10" s="55" t="s">
        <v>964</v>
      </c>
      <c r="G10" s="1" t="s">
        <v>68</v>
      </c>
      <c r="H10" s="1" t="s">
        <v>68</v>
      </c>
      <c r="I10" s="1" t="s">
        <v>70</v>
      </c>
      <c r="J10" s="1" t="s">
        <v>68</v>
      </c>
      <c r="K10" s="1" t="s">
        <v>69</v>
      </c>
      <c r="L10" s="1" t="s">
        <v>38</v>
      </c>
      <c r="M10" s="1" t="s">
        <v>24</v>
      </c>
      <c r="N10" s="1" t="s">
        <v>71</v>
      </c>
      <c r="O10" s="60"/>
      <c r="Q10" t="s">
        <v>886</v>
      </c>
      <c r="R10" t="s">
        <v>76</v>
      </c>
      <c r="S10" t="s">
        <v>76</v>
      </c>
      <c r="U10" t="str">
        <f t="shared" si="1"/>
        <v>ㄝㆷ</v>
      </c>
      <c r="V10">
        <f t="shared" si="2"/>
        <v>2</v>
      </c>
      <c r="W10" s="20" t="str">
        <f t="shared" si="3"/>
        <v>ㄝ</v>
      </c>
      <c r="X10" s="20" t="str">
        <f t="shared" si="0"/>
        <v>ㆷ</v>
      </c>
      <c r="Y10" s="20" t="str">
        <f t="shared" si="0"/>
        <v/>
      </c>
      <c r="Z10" s="20" t="str">
        <f t="shared" si="0"/>
        <v/>
      </c>
      <c r="AA10" s="20" t="str">
        <f t="shared" si="0"/>
        <v/>
      </c>
      <c r="AC10" s="61" t="str">
        <f t="shared" si="4"/>
        <v>ㄝㄏ</v>
      </c>
      <c r="AD10" s="57" t="str">
        <f t="shared" si="5"/>
        <v>ㄝ</v>
      </c>
      <c r="AE10" s="57" t="str" cm="1">
        <f t="array" ref="AE10" xml:space="preserve"> IF(X10="", "", INDEX($S$2:$S$46, MATCH(TRUE, EXACT(X10,$R$2:$R$46),0)))</f>
        <v>ㄏ</v>
      </c>
      <c r="AF10" s="57" t="str" cm="1">
        <f t="array" ref="AF10" xml:space="preserve"> IF(Y10="", "", INDEX($S$2:$S$46, MATCH(TRUE, EXACT(Y10,$R$2:$R$46),0)))</f>
        <v/>
      </c>
      <c r="AG10" s="57" t="str" cm="1">
        <f t="array" ref="AG10" xml:space="preserve"> IF(Z10="", "", INDEX($S$2:$S$46, MATCH(TRUE, EXACT(Z10,$R$2:$R$46),0)))</f>
        <v/>
      </c>
      <c r="AH10" s="57" t="str" cm="1">
        <f t="array" ref="AH10" xml:space="preserve"> IF(AA10="", "", INDEX($S$2:$S$46, MATCH(TRUE, EXACT(AA10,$R$2:$R$46),0)))</f>
        <v/>
      </c>
    </row>
    <row r="11" spans="1:34" ht="29.25">
      <c r="A11" s="1">
        <v>11</v>
      </c>
      <c r="B11" s="3" t="s">
        <v>75</v>
      </c>
      <c r="C11" s="3" t="s">
        <v>73</v>
      </c>
      <c r="D11" s="1" t="s">
        <v>74</v>
      </c>
      <c r="E11" s="1" t="s">
        <v>76</v>
      </c>
      <c r="F11" s="55" t="s">
        <v>76</v>
      </c>
      <c r="G11" s="1" t="s">
        <v>74</v>
      </c>
      <c r="H11" s="1" t="s">
        <v>74</v>
      </c>
      <c r="I11" s="1" t="s">
        <v>74</v>
      </c>
      <c r="J11" s="1" t="s">
        <v>74</v>
      </c>
      <c r="K11" s="1" t="s">
        <v>74</v>
      </c>
      <c r="L11" s="1" t="s">
        <v>44</v>
      </c>
      <c r="M11" s="1" t="s">
        <v>17</v>
      </c>
      <c r="N11" s="1" t="s">
        <v>77</v>
      </c>
      <c r="O11" s="60"/>
      <c r="Q11" t="s">
        <v>887</v>
      </c>
      <c r="R11" t="s">
        <v>230</v>
      </c>
      <c r="S11" t="s">
        <v>930</v>
      </c>
      <c r="U11" t="str">
        <f t="shared" si="1"/>
        <v>ㄢ</v>
      </c>
      <c r="V11">
        <f t="shared" si="2"/>
        <v>1</v>
      </c>
      <c r="W11" s="20" t="str">
        <f t="shared" si="3"/>
        <v>ㄢ</v>
      </c>
      <c r="X11" s="20" t="str">
        <f t="shared" si="0"/>
        <v/>
      </c>
      <c r="Y11" s="20" t="str">
        <f t="shared" si="0"/>
        <v/>
      </c>
      <c r="Z11" s="20" t="str">
        <f t="shared" si="0"/>
        <v/>
      </c>
      <c r="AA11" s="20" t="str">
        <f t="shared" si="0"/>
        <v/>
      </c>
      <c r="AC11" s="61" t="str">
        <f t="shared" si="4"/>
        <v>ㄢ</v>
      </c>
      <c r="AD11" s="57" t="str" cm="1">
        <f t="array" ref="AD11" xml:space="preserve"> IF(W11="", "", INDEX($S$2:$S$46, MATCH(TRUE, EXACT(W11,$R$2:$R$46),0)))</f>
        <v>ㄢ</v>
      </c>
      <c r="AE11" s="57" t="str" cm="1">
        <f t="array" ref="AE11" xml:space="preserve"> IF(X11="", "", INDEX($S$2:$S$46, MATCH(TRUE, EXACT(X11,$R$2:$R$46),0)))</f>
        <v/>
      </c>
      <c r="AF11" s="57" t="str" cm="1">
        <f t="array" ref="AF11" xml:space="preserve"> IF(Y11="", "", INDEX($S$2:$S$46, MATCH(TRUE, EXACT(Y11,$R$2:$R$46),0)))</f>
        <v/>
      </c>
      <c r="AG11" s="57" t="str" cm="1">
        <f t="array" ref="AG11" xml:space="preserve"> IF(Z11="", "", INDEX($S$2:$S$46, MATCH(TRUE, EXACT(Z11,$R$2:$R$46),0)))</f>
        <v/>
      </c>
      <c r="AH11" s="57" t="str" cm="1">
        <f t="array" ref="AH11" xml:space="preserve"> IF(AA11="", "", INDEX($S$2:$S$46, MATCH(TRUE, EXACT(AA11,$R$2:$R$46),0)))</f>
        <v/>
      </c>
    </row>
    <row r="12" spans="1:34" ht="29.25">
      <c r="A12" s="1">
        <v>12</v>
      </c>
      <c r="B12" s="3" t="s">
        <v>75</v>
      </c>
      <c r="C12" s="3" t="s">
        <v>79</v>
      </c>
      <c r="D12" s="1" t="s">
        <v>80</v>
      </c>
      <c r="E12" s="1" t="s">
        <v>81</v>
      </c>
      <c r="F12" s="55" t="s">
        <v>965</v>
      </c>
      <c r="G12" s="1" t="s">
        <v>82</v>
      </c>
      <c r="H12" s="1" t="s">
        <v>82</v>
      </c>
      <c r="I12" s="1" t="s">
        <v>82</v>
      </c>
      <c r="J12" s="1" t="s">
        <v>82</v>
      </c>
      <c r="K12" s="1" t="s">
        <v>82</v>
      </c>
      <c r="L12" s="1" t="s">
        <v>44</v>
      </c>
      <c r="M12" s="1" t="s">
        <v>24</v>
      </c>
      <c r="N12" s="1" t="s">
        <v>83</v>
      </c>
      <c r="O12" s="60"/>
      <c r="Q12" t="s">
        <v>958</v>
      </c>
      <c r="R12" t="s">
        <v>539</v>
      </c>
      <c r="S12" t="s">
        <v>956</v>
      </c>
      <c r="U12" t="str">
        <f t="shared" si="1"/>
        <v>ㄚㆵ</v>
      </c>
      <c r="V12">
        <f t="shared" si="2"/>
        <v>2</v>
      </c>
      <c r="W12" s="20" t="str">
        <f t="shared" si="3"/>
        <v>ㄚ</v>
      </c>
      <c r="X12" s="20" t="str">
        <f t="shared" si="0"/>
        <v>ㆵ</v>
      </c>
      <c r="Y12" s="20" t="str">
        <f t="shared" si="0"/>
        <v/>
      </c>
      <c r="Z12" s="20" t="str">
        <f t="shared" si="0"/>
        <v/>
      </c>
      <c r="AA12" s="20" t="str">
        <f t="shared" si="0"/>
        <v/>
      </c>
      <c r="AC12" s="61" t="str">
        <f t="shared" si="4"/>
        <v>ㄚㄉ</v>
      </c>
      <c r="AD12" s="57" t="str" cm="1">
        <f t="array" ref="AD12" xml:space="preserve"> IF(W12="", "", INDEX($S$2:$S$46, MATCH(TRUE, EXACT(W12,$R$2:$R$46),0)))</f>
        <v>ㄚ</v>
      </c>
      <c r="AE12" s="57" t="str" cm="1">
        <f t="array" ref="AE12" xml:space="preserve"> IF(X12="", "", INDEX($S$2:$S$46, MATCH(TRUE, EXACT(X12,$R$2:$R$46),0)))</f>
        <v>ㄉ</v>
      </c>
      <c r="AF12" s="57" t="str" cm="1">
        <f t="array" ref="AF12" xml:space="preserve"> IF(Y12="", "", INDEX($S$2:$S$46, MATCH(TRUE, EXACT(Y12,$R$2:$R$46),0)))</f>
        <v/>
      </c>
      <c r="AG12" s="57" t="str" cm="1">
        <f t="array" ref="AG12" xml:space="preserve"> IF(Z12="", "", INDEX($S$2:$S$46, MATCH(TRUE, EXACT(Z12,$R$2:$R$46),0)))</f>
        <v/>
      </c>
      <c r="AH12" s="57" t="str" cm="1">
        <f t="array" ref="AH12" xml:space="preserve"> IF(AA12="", "", INDEX($S$2:$S$46, MATCH(TRUE, EXACT(AA12,$R$2:$R$46),0)))</f>
        <v/>
      </c>
    </row>
    <row r="13" spans="1:34" ht="29.25">
      <c r="A13" s="1">
        <v>13</v>
      </c>
      <c r="B13" s="3" t="s">
        <v>87</v>
      </c>
      <c r="C13" s="3" t="s">
        <v>85</v>
      </c>
      <c r="D13" s="1" t="s">
        <v>86</v>
      </c>
      <c r="E13" s="1" t="s">
        <v>88</v>
      </c>
      <c r="F13" s="55" t="s">
        <v>959</v>
      </c>
      <c r="G13" s="1" t="s">
        <v>89</v>
      </c>
      <c r="H13" s="1" t="s">
        <v>89</v>
      </c>
      <c r="I13" s="1" t="s">
        <v>89</v>
      </c>
      <c r="J13" s="1" t="s">
        <v>89</v>
      </c>
      <c r="K13" s="1" t="s">
        <v>89</v>
      </c>
      <c r="L13" s="1" t="s">
        <v>50</v>
      </c>
      <c r="M13" s="1" t="s">
        <v>17</v>
      </c>
      <c r="N13" s="1" t="s">
        <v>90</v>
      </c>
      <c r="O13" s="60"/>
      <c r="Q13" t="s">
        <v>888</v>
      </c>
      <c r="R13" t="s">
        <v>256</v>
      </c>
      <c r="S13" t="s">
        <v>256</v>
      </c>
      <c r="U13" t="str">
        <f t="shared" si="1"/>
        <v>ㆲ</v>
      </c>
      <c r="V13">
        <f t="shared" si="2"/>
        <v>1</v>
      </c>
      <c r="W13" s="20" t="str">
        <f t="shared" si="3"/>
        <v>ㆲ</v>
      </c>
      <c r="X13" s="20" t="str">
        <f t="shared" si="0"/>
        <v/>
      </c>
      <c r="Y13" s="20" t="str">
        <f t="shared" si="0"/>
        <v/>
      </c>
      <c r="Z13" s="20" t="str">
        <f t="shared" si="0"/>
        <v/>
      </c>
      <c r="AA13" s="20" t="str">
        <f t="shared" si="0"/>
        <v/>
      </c>
      <c r="AC13" s="61" t="str">
        <f t="shared" si="4"/>
        <v>ㄛㄇ</v>
      </c>
      <c r="AD13" s="57" t="s">
        <v>904</v>
      </c>
      <c r="AE13" s="57" t="s">
        <v>654</v>
      </c>
      <c r="AF13" s="57" t="str" cm="1">
        <f t="array" ref="AF13" xml:space="preserve"> IF(Y13="", "", INDEX($S$2:$S$46, MATCH(TRUE, EXACT(Y13,$R$2:$R$46),0)))</f>
        <v/>
      </c>
      <c r="AG13" s="57" t="str" cm="1">
        <f t="array" ref="AG13" xml:space="preserve"> IF(Z13="", "", INDEX($S$2:$S$46, MATCH(TRUE, EXACT(Z13,$R$2:$R$46),0)))</f>
        <v/>
      </c>
      <c r="AH13" s="57" t="str" cm="1">
        <f t="array" ref="AH13" xml:space="preserve"> IF(AA13="", "", INDEX($S$2:$S$46, MATCH(TRUE, EXACT(AA13,$R$2:$R$46),0)))</f>
        <v/>
      </c>
    </row>
    <row r="14" spans="1:34" ht="29.25">
      <c r="A14" s="1">
        <v>14</v>
      </c>
      <c r="B14" s="3" t="s">
        <v>87</v>
      </c>
      <c r="C14" s="3" t="s">
        <v>92</v>
      </c>
      <c r="D14" s="1" t="s">
        <v>93</v>
      </c>
      <c r="E14" s="1" t="s">
        <v>94</v>
      </c>
      <c r="F14" s="55" t="s">
        <v>966</v>
      </c>
      <c r="G14" s="1" t="s">
        <v>95</v>
      </c>
      <c r="H14" s="1" t="s">
        <v>95</v>
      </c>
      <c r="I14" s="1" t="s">
        <v>95</v>
      </c>
      <c r="J14" s="1" t="s">
        <v>95</v>
      </c>
      <c r="K14" s="1" t="s">
        <v>95</v>
      </c>
      <c r="L14" s="1" t="s">
        <v>50</v>
      </c>
      <c r="M14" s="1" t="s">
        <v>24</v>
      </c>
      <c r="N14" s="1" t="s">
        <v>96</v>
      </c>
      <c r="O14" s="60"/>
      <c r="Q14" t="s">
        <v>953</v>
      </c>
      <c r="R14" t="s">
        <v>88</v>
      </c>
      <c r="S14" t="s">
        <v>959</v>
      </c>
      <c r="U14" t="str">
        <f t="shared" si="1"/>
        <v>ㆦㆻ</v>
      </c>
      <c r="V14">
        <f t="shared" si="2"/>
        <v>2</v>
      </c>
      <c r="W14" s="20" t="str">
        <f t="shared" si="3"/>
        <v>ㆦ</v>
      </c>
      <c r="X14" s="20" t="str">
        <f t="shared" si="0"/>
        <v>ㆻ</v>
      </c>
      <c r="Y14" s="20" t="str">
        <f t="shared" si="0"/>
        <v/>
      </c>
      <c r="Z14" s="20" t="str">
        <f t="shared" si="0"/>
        <v/>
      </c>
      <c r="AA14" s="20" t="str">
        <f t="shared" si="0"/>
        <v/>
      </c>
      <c r="AC14" s="61" t="str">
        <f t="shared" si="4"/>
        <v>ㄛㄍ</v>
      </c>
      <c r="AD14" s="57" t="str" cm="1">
        <f t="array" ref="AD14" xml:space="preserve"> IF(W14="", "", INDEX($S$2:$S$46, MATCH(TRUE, EXACT(W14,$R$2:$R$46),0)))</f>
        <v>ㄛ</v>
      </c>
      <c r="AE14" s="57" t="str" cm="1">
        <f t="array" ref="AE14" xml:space="preserve"> IF(X14="", "", INDEX($S$2:$S$46, MATCH(TRUE, EXACT(X14,$R$2:$R$46),0)))</f>
        <v>ㄍ</v>
      </c>
      <c r="AF14" s="57" t="str" cm="1">
        <f t="array" ref="AF14" xml:space="preserve"> IF(Y14="", "", INDEX($S$2:$S$46, MATCH(TRUE, EXACT(Y14,$R$2:$R$46),0)))</f>
        <v/>
      </c>
      <c r="AG14" s="57" t="str" cm="1">
        <f t="array" ref="AG14" xml:space="preserve"> IF(Z14="", "", INDEX($S$2:$S$46, MATCH(TRUE, EXACT(Z14,$R$2:$R$46),0)))</f>
        <v/>
      </c>
      <c r="AH14" s="57" t="str" cm="1">
        <f t="array" ref="AH14" xml:space="preserve"> IF(AA14="", "", INDEX($S$2:$S$46, MATCH(TRUE, EXACT(AA14,$R$2:$R$46),0)))</f>
        <v/>
      </c>
    </row>
    <row r="15" spans="1:34" ht="29.25">
      <c r="A15" s="1">
        <v>15</v>
      </c>
      <c r="B15" s="3" t="s">
        <v>100</v>
      </c>
      <c r="C15" s="3" t="s">
        <v>98</v>
      </c>
      <c r="D15" s="1" t="s">
        <v>99</v>
      </c>
      <c r="E15" s="1" t="s">
        <v>101</v>
      </c>
      <c r="F15" s="55" t="s">
        <v>101</v>
      </c>
      <c r="G15" s="1" t="s">
        <v>99</v>
      </c>
      <c r="H15" s="1" t="s">
        <v>99</v>
      </c>
      <c r="I15" s="1" t="s">
        <v>99</v>
      </c>
      <c r="J15" s="1" t="s">
        <v>102</v>
      </c>
      <c r="K15" s="1" t="s">
        <v>99</v>
      </c>
      <c r="L15" s="1" t="s">
        <v>104</v>
      </c>
      <c r="M15" s="1" t="s">
        <v>17</v>
      </c>
      <c r="N15" s="1" t="s">
        <v>103</v>
      </c>
      <c r="O15" s="60"/>
      <c r="Q15" t="s">
        <v>889</v>
      </c>
      <c r="R15" t="s">
        <v>482</v>
      </c>
      <c r="S15" t="s">
        <v>654</v>
      </c>
      <c r="U15" t="str">
        <f t="shared" si="1"/>
        <v>ㄨㄞ</v>
      </c>
      <c r="V15">
        <f t="shared" si="2"/>
        <v>2</v>
      </c>
      <c r="W15" s="20" t="str">
        <f t="shared" si="3"/>
        <v>ㄨ</v>
      </c>
      <c r="X15" s="20" t="str">
        <f t="shared" si="0"/>
        <v>ㄞ</v>
      </c>
      <c r="Y15" s="20" t="str">
        <f t="shared" si="0"/>
        <v/>
      </c>
      <c r="Z15" s="20" t="str">
        <f t="shared" si="0"/>
        <v/>
      </c>
      <c r="AA15" s="20" t="str">
        <f t="shared" si="0"/>
        <v/>
      </c>
      <c r="AC15" s="61" t="str">
        <f t="shared" si="4"/>
        <v>ㄨㄞ</v>
      </c>
      <c r="AD15" s="57" t="str" cm="1">
        <f t="array" ref="AD15" xml:space="preserve"> IF(W15="", "", INDEX($S$2:$S$46, MATCH(TRUE, EXACT(W15,$R$2:$R$46),0)))</f>
        <v>ㄨ</v>
      </c>
      <c r="AE15" s="57" t="str" cm="1">
        <f t="array" ref="AE15" xml:space="preserve"> IF(X15="", "", INDEX($S$2:$S$46, MATCH(TRUE, EXACT(X15,$R$2:$R$46),0)))</f>
        <v>ㄞ</v>
      </c>
      <c r="AF15" s="57" t="str" cm="1">
        <f t="array" ref="AF15" xml:space="preserve"> IF(Y15="", "", INDEX($S$2:$S$46, MATCH(TRUE, EXACT(Y15,$R$2:$R$46),0)))</f>
        <v/>
      </c>
      <c r="AG15" s="57" t="str" cm="1">
        <f t="array" ref="AG15" xml:space="preserve"> IF(Z15="", "", INDEX($S$2:$S$46, MATCH(TRUE, EXACT(Z15,$R$2:$R$46),0)))</f>
        <v/>
      </c>
      <c r="AH15" s="57" t="str" cm="1">
        <f t="array" ref="AH15" xml:space="preserve"> IF(AA15="", "", INDEX($S$2:$S$46, MATCH(TRUE, EXACT(AA15,$R$2:$R$46),0)))</f>
        <v/>
      </c>
    </row>
    <row r="16" spans="1:34" ht="39">
      <c r="A16" s="1">
        <v>16</v>
      </c>
      <c r="B16" s="3" t="s">
        <v>100</v>
      </c>
      <c r="C16" s="3" t="s">
        <v>579</v>
      </c>
      <c r="D16" s="1" t="s">
        <v>106</v>
      </c>
      <c r="E16" s="1" t="s">
        <v>107</v>
      </c>
      <c r="F16" s="55" t="s">
        <v>967</v>
      </c>
      <c r="G16" s="1" t="s">
        <v>108</v>
      </c>
      <c r="H16" s="1" t="s">
        <v>108</v>
      </c>
      <c r="I16" s="1" t="s">
        <v>108</v>
      </c>
      <c r="J16" s="1" t="s">
        <v>109</v>
      </c>
      <c r="K16" s="1" t="s">
        <v>108</v>
      </c>
      <c r="L16" s="1" t="s">
        <v>104</v>
      </c>
      <c r="M16" s="1" t="s">
        <v>24</v>
      </c>
      <c r="N16" s="1" t="s">
        <v>110</v>
      </c>
      <c r="O16" s="60"/>
      <c r="Q16" t="s">
        <v>951</v>
      </c>
      <c r="R16" t="s">
        <v>952</v>
      </c>
      <c r="S16" t="s">
        <v>952</v>
      </c>
      <c r="U16" t="str">
        <f t="shared" si="1"/>
        <v>ㄨㄞㆷ</v>
      </c>
      <c r="V16">
        <f t="shared" si="2"/>
        <v>3</v>
      </c>
      <c r="W16" s="20" t="str">
        <f t="shared" si="3"/>
        <v>ㄨ</v>
      </c>
      <c r="X16" s="20" t="str">
        <f t="shared" si="0"/>
        <v>ㄞ</v>
      </c>
      <c r="Y16" s="20" t="str">
        <f t="shared" si="0"/>
        <v>ㆷ</v>
      </c>
      <c r="Z16" s="20" t="str">
        <f t="shared" si="0"/>
        <v/>
      </c>
      <c r="AA16" s="20" t="str">
        <f t="shared" si="0"/>
        <v/>
      </c>
      <c r="AC16" s="61" t="str">
        <f t="shared" si="4"/>
        <v>ㄨㄞㄏ</v>
      </c>
      <c r="AD16" s="57" t="str" cm="1">
        <f t="array" ref="AD16" xml:space="preserve"> IF(W16="", "", INDEX($S$2:$S$46, MATCH(TRUE, EXACT(W16,$R$2:$R$46),0)))</f>
        <v>ㄨ</v>
      </c>
      <c r="AE16" s="57" t="str" cm="1">
        <f t="array" ref="AE16" xml:space="preserve"> IF(X16="", "", INDEX($S$2:$S$46, MATCH(TRUE, EXACT(X16,$R$2:$R$46),0)))</f>
        <v>ㄞ</v>
      </c>
      <c r="AF16" s="57" t="str" cm="1">
        <f t="array" ref="AF16" xml:space="preserve"> IF(Y16="", "", INDEX($S$2:$S$46, MATCH(TRUE, EXACT(Y16,$R$2:$R$46),0)))</f>
        <v>ㄏ</v>
      </c>
      <c r="AG16" s="57" t="str" cm="1">
        <f t="array" ref="AG16" xml:space="preserve"> IF(Z16="", "", INDEX($S$2:$S$46, MATCH(TRUE, EXACT(Z16,$R$2:$R$46),0)))</f>
        <v/>
      </c>
      <c r="AH16" s="57" t="str" cm="1">
        <f t="array" ref="AH16" xml:space="preserve"> IF(AA16="", "", INDEX($S$2:$S$46, MATCH(TRUE, EXACT(AA16,$R$2:$R$46),0)))</f>
        <v/>
      </c>
    </row>
    <row r="17" spans="1:34" ht="29.25">
      <c r="A17" s="1">
        <v>17</v>
      </c>
      <c r="B17" s="3" t="s">
        <v>114</v>
      </c>
      <c r="C17" s="3" t="s">
        <v>112</v>
      </c>
      <c r="D17" s="1" t="s">
        <v>113</v>
      </c>
      <c r="E17" s="1" t="s">
        <v>115</v>
      </c>
      <c r="F17" s="55" t="s">
        <v>115</v>
      </c>
      <c r="G17" s="1" t="s">
        <v>116</v>
      </c>
      <c r="H17" s="1" t="s">
        <v>116</v>
      </c>
      <c r="I17" s="1" t="s">
        <v>116</v>
      </c>
      <c r="J17" s="1" t="s">
        <v>117</v>
      </c>
      <c r="K17" s="1" t="s">
        <v>116</v>
      </c>
      <c r="L17" s="1" t="s">
        <v>56</v>
      </c>
      <c r="M17" s="1" t="s">
        <v>17</v>
      </c>
      <c r="N17" s="1" t="s">
        <v>118</v>
      </c>
      <c r="O17" s="60"/>
      <c r="Q17" t="s">
        <v>890</v>
      </c>
      <c r="R17" t="s">
        <v>453</v>
      </c>
      <c r="S17" t="s">
        <v>900</v>
      </c>
      <c r="U17" t="str">
        <f t="shared" si="1"/>
        <v>ㄧㄥ</v>
      </c>
      <c r="V17">
        <f t="shared" si="2"/>
        <v>2</v>
      </c>
      <c r="W17" s="20" t="str">
        <f t="shared" si="3"/>
        <v>ㄧ</v>
      </c>
      <c r="X17" s="20" t="str">
        <f t="shared" si="0"/>
        <v>ㄥ</v>
      </c>
      <c r="Y17" s="20" t="str">
        <f t="shared" si="0"/>
        <v/>
      </c>
      <c r="Z17" s="20" t="str">
        <f t="shared" si="0"/>
        <v/>
      </c>
      <c r="AA17" s="20" t="str">
        <f t="shared" si="0"/>
        <v/>
      </c>
      <c r="AC17" s="61" t="str">
        <f t="shared" si="4"/>
        <v>ㄧㄥ</v>
      </c>
      <c r="AD17" s="57" t="str" cm="1">
        <f t="array" ref="AD17" xml:space="preserve"> IF(W17="", "", INDEX($S$2:$S$46, MATCH(TRUE, EXACT(W17,$R$2:$R$46),0)))</f>
        <v>ㄧ</v>
      </c>
      <c r="AE17" s="57" t="str" cm="1">
        <f t="array" ref="AE17" xml:space="preserve"> IF(X17="", "", INDEX($S$2:$S$46, MATCH(TRUE, EXACT(X17,$R$2:$R$46),0)))</f>
        <v>ㄥ</v>
      </c>
      <c r="AF17" s="57" t="str" cm="1">
        <f t="array" ref="AF17" xml:space="preserve"> IF(Y17="", "", INDEX($S$2:$S$46, MATCH(TRUE, EXACT(Y17,$R$2:$R$46),0)))</f>
        <v/>
      </c>
      <c r="AG17" s="57" t="str" cm="1">
        <f t="array" ref="AG17" xml:space="preserve"> IF(Z17="", "", INDEX($S$2:$S$46, MATCH(TRUE, EXACT(Z17,$R$2:$R$46),0)))</f>
        <v/>
      </c>
      <c r="AH17" s="57" t="str" cm="1">
        <f t="array" ref="AH17" xml:space="preserve"> IF(AA17="", "", INDEX($S$2:$S$46, MATCH(TRUE, EXACT(AA17,$R$2:$R$46),0)))</f>
        <v/>
      </c>
    </row>
    <row r="18" spans="1:34" ht="29.25">
      <c r="A18" s="1">
        <v>18</v>
      </c>
      <c r="B18" s="3" t="s">
        <v>114</v>
      </c>
      <c r="C18" s="3" t="s">
        <v>120</v>
      </c>
      <c r="D18" s="1" t="s">
        <v>121</v>
      </c>
      <c r="E18" s="1" t="s">
        <v>122</v>
      </c>
      <c r="F18" s="55" t="s">
        <v>932</v>
      </c>
      <c r="G18" s="1" t="s">
        <v>123</v>
      </c>
      <c r="H18" s="1" t="s">
        <v>123</v>
      </c>
      <c r="I18" s="1" t="s">
        <v>123</v>
      </c>
      <c r="J18" s="1" t="s">
        <v>124</v>
      </c>
      <c r="K18" s="1" t="s">
        <v>123</v>
      </c>
      <c r="L18" s="1" t="s">
        <v>56</v>
      </c>
      <c r="M18" s="1" t="s">
        <v>24</v>
      </c>
      <c r="N18" s="1" t="s">
        <v>125</v>
      </c>
      <c r="O18" s="60"/>
      <c r="Q18" t="s">
        <v>890</v>
      </c>
      <c r="R18" t="s">
        <v>900</v>
      </c>
      <c r="S18" t="s">
        <v>957</v>
      </c>
      <c r="U18" t="str">
        <f t="shared" si="1"/>
        <v>ㄧㆻ</v>
      </c>
      <c r="V18">
        <f t="shared" si="2"/>
        <v>2</v>
      </c>
      <c r="W18" s="20" t="str">
        <f t="shared" si="3"/>
        <v>ㄧ</v>
      </c>
      <c r="X18" s="20" t="str">
        <f t="shared" si="3"/>
        <v>ㆻ</v>
      </c>
      <c r="Y18" s="20" t="str">
        <f t="shared" si="3"/>
        <v/>
      </c>
      <c r="Z18" s="20" t="str">
        <f t="shared" si="3"/>
        <v/>
      </c>
      <c r="AA18" s="20" t="str">
        <f t="shared" si="3"/>
        <v/>
      </c>
      <c r="AC18" s="61" t="str">
        <f t="shared" si="4"/>
        <v>ㄧㄍ</v>
      </c>
      <c r="AD18" s="57" t="str" cm="1">
        <f t="array" ref="AD18" xml:space="preserve"> IF(W18="", "", INDEX($S$2:$S$46, MATCH(TRUE, EXACT(W18,$R$2:$R$46),0)))</f>
        <v>ㄧ</v>
      </c>
      <c r="AE18" s="57" t="str" cm="1">
        <f t="array" ref="AE18" xml:space="preserve"> IF(X18="", "", INDEX($S$2:$S$46, MATCH(TRUE, EXACT(X18,$R$2:$R$46),0)))</f>
        <v>ㄍ</v>
      </c>
      <c r="AF18" s="57" t="str" cm="1">
        <f t="array" ref="AF18" xml:space="preserve"> IF(Y18="", "", INDEX($S$2:$S$46, MATCH(TRUE, EXACT(Y18,$R$2:$R$46),0)))</f>
        <v/>
      </c>
      <c r="AG18" s="57" t="str" cm="1">
        <f t="array" ref="AG18" xml:space="preserve"> IF(Z18="", "", INDEX($S$2:$S$46, MATCH(TRUE, EXACT(Z18,$R$2:$R$46),0)))</f>
        <v/>
      </c>
      <c r="AH18" s="57" t="str" cm="1">
        <f t="array" ref="AH18" xml:space="preserve"> IF(AA18="", "", INDEX($S$2:$S$46, MATCH(TRUE, EXACT(AA18,$R$2:$R$46),0)))</f>
        <v/>
      </c>
    </row>
    <row r="19" spans="1:34" ht="29.25">
      <c r="A19" s="1">
        <v>19</v>
      </c>
      <c r="B19" s="3" t="s">
        <v>129</v>
      </c>
      <c r="C19" s="3" t="s">
        <v>127</v>
      </c>
      <c r="D19" s="1" t="s">
        <v>128</v>
      </c>
      <c r="E19" s="1" t="s">
        <v>130</v>
      </c>
      <c r="F19" s="55" t="s">
        <v>130</v>
      </c>
      <c r="G19" s="1" t="s">
        <v>128</v>
      </c>
      <c r="H19" s="1" t="s">
        <v>128</v>
      </c>
      <c r="I19" s="1" t="s">
        <v>128</v>
      </c>
      <c r="J19" s="1" t="s">
        <v>131</v>
      </c>
      <c r="K19" s="1" t="s">
        <v>128</v>
      </c>
      <c r="L19" s="1" t="s">
        <v>64</v>
      </c>
      <c r="M19" s="1" t="s">
        <v>17</v>
      </c>
      <c r="N19" s="1" t="s">
        <v>132</v>
      </c>
      <c r="O19" s="60"/>
      <c r="Q19" t="s">
        <v>891</v>
      </c>
      <c r="R19" t="s">
        <v>242</v>
      </c>
      <c r="S19" t="s">
        <v>242</v>
      </c>
      <c r="U19" t="str">
        <f t="shared" si="1"/>
        <v>ㄨㄢ</v>
      </c>
      <c r="V19">
        <f t="shared" si="2"/>
        <v>2</v>
      </c>
      <c r="W19" s="20" t="str">
        <f t="shared" si="3"/>
        <v>ㄨ</v>
      </c>
      <c r="X19" s="20" t="str">
        <f t="shared" si="3"/>
        <v>ㄢ</v>
      </c>
      <c r="Y19" s="20" t="str">
        <f t="shared" si="3"/>
        <v/>
      </c>
      <c r="Z19" s="20" t="str">
        <f t="shared" si="3"/>
        <v/>
      </c>
      <c r="AA19" s="20" t="str">
        <f t="shared" si="3"/>
        <v/>
      </c>
      <c r="AC19" s="61" t="str">
        <f t="shared" si="4"/>
        <v>ㄨㄢ</v>
      </c>
      <c r="AD19" s="57" t="str" cm="1">
        <f t="array" ref="AD19" xml:space="preserve"> IF(W19="", "", INDEX($S$2:$S$46, MATCH(TRUE, EXACT(W19,$R$2:$R$46),0)))</f>
        <v>ㄨ</v>
      </c>
      <c r="AE19" s="57" t="str" cm="1">
        <f t="array" ref="AE19" xml:space="preserve"> IF(X19="", "", INDEX($S$2:$S$46, MATCH(TRUE, EXACT(X19,$R$2:$R$46),0)))</f>
        <v>ㄢ</v>
      </c>
      <c r="AF19" s="57" t="str" cm="1">
        <f t="array" ref="AF19" xml:space="preserve"> IF(Y19="", "", INDEX($S$2:$S$46, MATCH(TRUE, EXACT(Y19,$R$2:$R$46),0)))</f>
        <v/>
      </c>
      <c r="AG19" s="57" t="str" cm="1">
        <f t="array" ref="AG19" xml:space="preserve"> IF(Z19="", "", INDEX($S$2:$S$46, MATCH(TRUE, EXACT(Z19,$R$2:$R$46),0)))</f>
        <v/>
      </c>
      <c r="AH19" s="57" t="str" cm="1">
        <f t="array" ref="AH19" xml:space="preserve"> IF(AA19="", "", INDEX($S$2:$S$46, MATCH(TRUE, EXACT(AA19,$R$2:$R$46),0)))</f>
        <v/>
      </c>
    </row>
    <row r="20" spans="1:34" ht="29.25">
      <c r="A20" s="1">
        <v>20</v>
      </c>
      <c r="B20" s="3" t="s">
        <v>129</v>
      </c>
      <c r="C20" s="3" t="s">
        <v>134</v>
      </c>
      <c r="D20" s="1" t="s">
        <v>135</v>
      </c>
      <c r="E20" s="1" t="s">
        <v>136</v>
      </c>
      <c r="F20" s="55" t="s">
        <v>968</v>
      </c>
      <c r="G20" s="1" t="s">
        <v>137</v>
      </c>
      <c r="H20" s="1" t="s">
        <v>137</v>
      </c>
      <c r="I20" s="1" t="s">
        <v>137</v>
      </c>
      <c r="J20" s="1" t="s">
        <v>138</v>
      </c>
      <c r="K20" s="1" t="s">
        <v>137</v>
      </c>
      <c r="L20" s="1" t="s">
        <v>64</v>
      </c>
      <c r="M20" s="1" t="s">
        <v>24</v>
      </c>
      <c r="N20" s="1" t="s">
        <v>139</v>
      </c>
      <c r="O20" s="60"/>
      <c r="Q20" t="s">
        <v>892</v>
      </c>
      <c r="R20" t="s">
        <v>308</v>
      </c>
      <c r="S20" t="s">
        <v>931</v>
      </c>
      <c r="U20" t="str">
        <f t="shared" si="1"/>
        <v>ㄨㄚㆵ</v>
      </c>
      <c r="V20">
        <f t="shared" si="2"/>
        <v>3</v>
      </c>
      <c r="W20" s="20" t="str">
        <f t="shared" si="3"/>
        <v>ㄨ</v>
      </c>
      <c r="X20" s="20" t="str">
        <f t="shared" si="3"/>
        <v>ㄚ</v>
      </c>
      <c r="Y20" s="20" t="str">
        <f t="shared" si="3"/>
        <v>ㆵ</v>
      </c>
      <c r="Z20" s="20" t="str">
        <f t="shared" si="3"/>
        <v/>
      </c>
      <c r="AA20" s="20" t="str">
        <f t="shared" si="3"/>
        <v/>
      </c>
      <c r="AC20" s="61" t="str">
        <f t="shared" si="4"/>
        <v>ㄨㄚㄉ</v>
      </c>
      <c r="AD20" s="57" t="str" cm="1">
        <f t="array" ref="AD20" xml:space="preserve"> IF(W20="", "", INDEX($S$2:$S$46, MATCH(TRUE, EXACT(W20,$R$2:$R$46),0)))</f>
        <v>ㄨ</v>
      </c>
      <c r="AE20" s="57" t="str" cm="1">
        <f t="array" ref="AE20" xml:space="preserve"> IF(X20="", "", INDEX($S$2:$S$46, MATCH(TRUE, EXACT(X20,$R$2:$R$46),0)))</f>
        <v>ㄚ</v>
      </c>
      <c r="AF20" s="57" t="str" cm="1">
        <f t="array" ref="AF20" xml:space="preserve"> IF(Y20="", "", INDEX($S$2:$S$46, MATCH(TRUE, EXACT(Y20,$R$2:$R$46),0)))</f>
        <v>ㄉ</v>
      </c>
      <c r="AG20" s="57" t="str" cm="1">
        <f t="array" ref="AG20" xml:space="preserve"> IF(Z20="", "", INDEX($S$2:$S$46, MATCH(TRUE, EXACT(Z20,$R$2:$R$46),0)))</f>
        <v/>
      </c>
      <c r="AH20" s="57" t="str" cm="1">
        <f t="array" ref="AH20" xml:space="preserve"> IF(AA20="", "", INDEX($S$2:$S$46, MATCH(TRUE, EXACT(AA20,$R$2:$R$46),0)))</f>
        <v/>
      </c>
    </row>
    <row r="21" spans="1:34" ht="29.25">
      <c r="A21" s="1">
        <v>21</v>
      </c>
      <c r="B21" s="3" t="s">
        <v>143</v>
      </c>
      <c r="C21" s="3" t="s">
        <v>141</v>
      </c>
      <c r="D21" s="1" t="s">
        <v>142</v>
      </c>
      <c r="E21" s="1" t="s">
        <v>144</v>
      </c>
      <c r="F21" s="55" t="s">
        <v>904</v>
      </c>
      <c r="G21" s="1" t="s">
        <v>145</v>
      </c>
      <c r="H21" s="1" t="s">
        <v>145</v>
      </c>
      <c r="I21" s="1" t="s">
        <v>145</v>
      </c>
      <c r="J21" s="1" t="s">
        <v>146</v>
      </c>
      <c r="K21" s="1" t="s">
        <v>145</v>
      </c>
      <c r="L21" s="1" t="s">
        <v>72</v>
      </c>
      <c r="M21" s="1" t="s">
        <v>17</v>
      </c>
      <c r="N21" s="1" t="s">
        <v>147</v>
      </c>
      <c r="O21" s="60"/>
      <c r="Q21" t="s">
        <v>893</v>
      </c>
      <c r="R21" t="s">
        <v>101</v>
      </c>
      <c r="S21" t="s">
        <v>101</v>
      </c>
      <c r="U21" t="str">
        <f t="shared" si="1"/>
        <v>ㆦ</v>
      </c>
      <c r="V21">
        <f t="shared" si="2"/>
        <v>1</v>
      </c>
      <c r="W21" s="20" t="str">
        <f t="shared" si="3"/>
        <v>ㆦ</v>
      </c>
      <c r="X21" s="20" t="str">
        <f t="shared" si="3"/>
        <v/>
      </c>
      <c r="Y21" s="20" t="str">
        <f t="shared" si="3"/>
        <v/>
      </c>
      <c r="Z21" s="20" t="str">
        <f t="shared" si="3"/>
        <v/>
      </c>
      <c r="AA21" s="20" t="str">
        <f t="shared" si="3"/>
        <v/>
      </c>
      <c r="AC21" s="61" t="str">
        <f t="shared" si="4"/>
        <v>ㄛ</v>
      </c>
      <c r="AD21" s="57" t="str" cm="1">
        <f t="array" ref="AD21" xml:space="preserve"> IF(W21="", "", INDEX($S$2:$S$46, MATCH(TRUE, EXACT(W21,$R$2:$R$46),0)))</f>
        <v>ㄛ</v>
      </c>
      <c r="AE21" s="57" t="str" cm="1">
        <f t="array" ref="AE21" xml:space="preserve"> IF(X21="", "", INDEX($S$2:$S$46, MATCH(TRUE, EXACT(X21,$R$2:$R$46),0)))</f>
        <v/>
      </c>
      <c r="AF21" s="57" t="str" cm="1">
        <f t="array" ref="AF21" xml:space="preserve"> IF(Y21="", "", INDEX($S$2:$S$46, MATCH(TRUE, EXACT(Y21,$R$2:$R$46),0)))</f>
        <v/>
      </c>
      <c r="AG21" s="57" t="str" cm="1">
        <f t="array" ref="AG21" xml:space="preserve"> IF(Z21="", "", INDEX($S$2:$S$46, MATCH(TRUE, EXACT(Z21,$R$2:$R$46),0)))</f>
        <v/>
      </c>
      <c r="AH21" s="57" t="str" cm="1">
        <f t="array" ref="AH21" xml:space="preserve"> IF(AA21="", "", INDEX($S$2:$S$46, MATCH(TRUE, EXACT(AA21,$R$2:$R$46),0)))</f>
        <v/>
      </c>
    </row>
    <row r="22" spans="1:34" ht="29.25">
      <c r="A22" s="1">
        <v>23</v>
      </c>
      <c r="B22" s="3" t="s">
        <v>151</v>
      </c>
      <c r="C22" s="3" t="s">
        <v>149</v>
      </c>
      <c r="D22" s="1" t="s">
        <v>150</v>
      </c>
      <c r="E22" s="1" t="s">
        <v>152</v>
      </c>
      <c r="F22" s="55" t="s">
        <v>152</v>
      </c>
      <c r="G22" s="1" t="s">
        <v>150</v>
      </c>
      <c r="H22" s="1" t="s">
        <v>150</v>
      </c>
      <c r="I22" s="1" t="s">
        <v>150</v>
      </c>
      <c r="J22" s="1" t="s">
        <v>150</v>
      </c>
      <c r="K22" s="1" t="s">
        <v>153</v>
      </c>
      <c r="L22" s="1" t="s">
        <v>78</v>
      </c>
      <c r="M22" s="1" t="s">
        <v>17</v>
      </c>
      <c r="N22" s="1" t="s">
        <v>154</v>
      </c>
      <c r="O22" s="60"/>
      <c r="P22" t="s">
        <v>906</v>
      </c>
      <c r="Q22" t="s">
        <v>894</v>
      </c>
      <c r="R22" t="s">
        <v>130</v>
      </c>
      <c r="S22" t="s">
        <v>130</v>
      </c>
      <c r="U22" t="str">
        <f t="shared" si="1"/>
        <v>ㄧㄠ</v>
      </c>
      <c r="V22">
        <f t="shared" si="2"/>
        <v>2</v>
      </c>
      <c r="W22" s="20" t="str">
        <f t="shared" si="3"/>
        <v>ㄧ</v>
      </c>
      <c r="X22" s="20" t="str">
        <f t="shared" si="3"/>
        <v>ㄠ</v>
      </c>
      <c r="Y22" s="20" t="str">
        <f t="shared" si="3"/>
        <v/>
      </c>
      <c r="Z22" s="20" t="str">
        <f t="shared" si="3"/>
        <v/>
      </c>
      <c r="AA22" s="20" t="str">
        <f t="shared" si="3"/>
        <v/>
      </c>
      <c r="AC22" s="61" t="str">
        <f t="shared" si="4"/>
        <v>ㄧㄠ</v>
      </c>
      <c r="AD22" s="57" t="str" cm="1">
        <f t="array" ref="AD22" xml:space="preserve"> IF(W22="", "", INDEX($S$2:$S$46, MATCH(TRUE, EXACT(W22,$R$2:$R$46),0)))</f>
        <v>ㄧ</v>
      </c>
      <c r="AE22" s="57" t="str" cm="1">
        <f t="array" ref="AE22" xml:space="preserve"> IF(X22="", "", INDEX($S$2:$S$46, MATCH(TRUE, EXACT(X22,$R$2:$R$46),0)))</f>
        <v>ㄠ</v>
      </c>
      <c r="AF22" s="57" t="str" cm="1">
        <f t="array" ref="AF22" xml:space="preserve"> IF(Y22="", "", INDEX($S$2:$S$46, MATCH(TRUE, EXACT(Y22,$R$2:$R$46),0)))</f>
        <v/>
      </c>
      <c r="AG22" s="57" t="str" cm="1">
        <f t="array" ref="AG22" xml:space="preserve"> IF(Z22="", "", INDEX($S$2:$S$46, MATCH(TRUE, EXACT(Z22,$R$2:$R$46),0)))</f>
        <v/>
      </c>
      <c r="AH22" s="57" t="str" cm="1">
        <f t="array" ref="AH22" xml:space="preserve"> IF(AA22="", "", INDEX($S$2:$S$46, MATCH(TRUE, EXACT(AA22,$R$2:$R$46),0)))</f>
        <v/>
      </c>
    </row>
    <row r="23" spans="1:34" ht="29.25">
      <c r="A23" s="1">
        <v>24</v>
      </c>
      <c r="B23" s="3" t="s">
        <v>151</v>
      </c>
      <c r="C23" s="5" t="s">
        <v>156</v>
      </c>
      <c r="D23" s="1" t="s">
        <v>157</v>
      </c>
      <c r="E23" s="1" t="s">
        <v>158</v>
      </c>
      <c r="F23" s="55" t="s">
        <v>969</v>
      </c>
      <c r="G23" s="1" t="s">
        <v>159</v>
      </c>
      <c r="H23" s="1" t="s">
        <v>159</v>
      </c>
      <c r="I23" s="1" t="s">
        <v>159</v>
      </c>
      <c r="J23" s="1" t="s">
        <v>159</v>
      </c>
      <c r="K23" s="1" t="s">
        <v>160</v>
      </c>
      <c r="L23" s="1" t="s">
        <v>78</v>
      </c>
      <c r="M23" s="1" t="s">
        <v>24</v>
      </c>
      <c r="N23" s="1" t="s">
        <v>161</v>
      </c>
      <c r="O23" s="60"/>
      <c r="P23" t="s">
        <v>907</v>
      </c>
      <c r="Q23" t="s">
        <v>903</v>
      </c>
      <c r="R23" t="s">
        <v>115</v>
      </c>
      <c r="S23" t="s">
        <v>115</v>
      </c>
      <c r="U23" t="str">
        <f t="shared" si="1"/>
        <v>ㄧㄠㆷ</v>
      </c>
      <c r="V23">
        <f t="shared" si="2"/>
        <v>3</v>
      </c>
      <c r="W23" s="20" t="str">
        <f t="shared" si="3"/>
        <v>ㄧ</v>
      </c>
      <c r="X23" s="20" t="str">
        <f t="shared" si="3"/>
        <v>ㄠ</v>
      </c>
      <c r="Y23" s="20" t="str">
        <f t="shared" si="3"/>
        <v>ㆷ</v>
      </c>
      <c r="Z23" s="20" t="str">
        <f t="shared" si="3"/>
        <v/>
      </c>
      <c r="AA23" s="20" t="str">
        <f t="shared" si="3"/>
        <v/>
      </c>
      <c r="AC23" s="61" t="str">
        <f t="shared" si="4"/>
        <v>ㄧㄠㄏ</v>
      </c>
      <c r="AD23" s="57" t="str" cm="1">
        <f t="array" ref="AD23" xml:space="preserve"> IF(W23="", "", INDEX($S$2:$S$46, MATCH(TRUE, EXACT(W23,$R$2:$R$46),0)))</f>
        <v>ㄧ</v>
      </c>
      <c r="AE23" s="57" t="str" cm="1">
        <f t="array" ref="AE23" xml:space="preserve"> IF(X23="", "", INDEX($S$2:$S$46, MATCH(TRUE, EXACT(X23,$R$2:$R$46),0)))</f>
        <v>ㄠ</v>
      </c>
      <c r="AF23" s="57" t="str" cm="1">
        <f t="array" ref="AF23" xml:space="preserve"> IF(Y23="", "", INDEX($S$2:$S$46, MATCH(TRUE, EXACT(Y23,$R$2:$R$46),0)))</f>
        <v>ㄏ</v>
      </c>
      <c r="AG23" s="57" t="str" cm="1">
        <f t="array" ref="AG23" xml:space="preserve"> IF(Z23="", "", INDEX($S$2:$S$46, MATCH(TRUE, EXACT(Z23,$R$2:$R$46),0)))</f>
        <v/>
      </c>
      <c r="AH23" s="57" t="str" cm="1">
        <f t="array" ref="AH23" xml:space="preserve"> IF(AA23="", "", INDEX($S$2:$S$46, MATCH(TRUE, EXACT(AA23,$R$2:$R$46),0)))</f>
        <v/>
      </c>
    </row>
    <row r="24" spans="1:34" ht="29.25">
      <c r="A24" s="1">
        <v>25</v>
      </c>
      <c r="B24" s="3" t="s">
        <v>165</v>
      </c>
      <c r="C24" s="3" t="s">
        <v>163</v>
      </c>
      <c r="D24" s="1" t="s">
        <v>164</v>
      </c>
      <c r="E24" s="1" t="s">
        <v>901</v>
      </c>
      <c r="F24" s="55" t="s">
        <v>60</v>
      </c>
      <c r="G24" s="1" t="s">
        <v>164</v>
      </c>
      <c r="H24" s="1" t="s">
        <v>62</v>
      </c>
      <c r="I24" s="1" t="s">
        <v>62</v>
      </c>
      <c r="J24" s="1" t="s">
        <v>62</v>
      </c>
      <c r="K24" s="1" t="s">
        <v>62</v>
      </c>
      <c r="L24" s="1" t="s">
        <v>84</v>
      </c>
      <c r="M24" s="1" t="s">
        <v>17</v>
      </c>
      <c r="N24" s="1" t="s">
        <v>167</v>
      </c>
      <c r="O24" s="60"/>
      <c r="P24" t="s">
        <v>909</v>
      </c>
      <c r="Q24" t="s">
        <v>895</v>
      </c>
      <c r="R24" t="s">
        <v>122</v>
      </c>
      <c r="S24" t="s">
        <v>932</v>
      </c>
      <c r="U24" t="str">
        <f t="shared" si="1"/>
        <v>ㆤ</v>
      </c>
      <c r="V24">
        <f t="shared" si="2"/>
        <v>1</v>
      </c>
      <c r="W24" s="20" t="str">
        <f t="shared" si="3"/>
        <v>ㆤ</v>
      </c>
      <c r="X24" s="20" t="str">
        <f t="shared" si="3"/>
        <v/>
      </c>
      <c r="Y24" s="20" t="str">
        <f t="shared" si="3"/>
        <v/>
      </c>
      <c r="Z24" s="20" t="str">
        <f t="shared" si="3"/>
        <v/>
      </c>
      <c r="AA24" s="20" t="str">
        <f t="shared" si="3"/>
        <v/>
      </c>
      <c r="AC24" s="61" t="str">
        <f t="shared" si="4"/>
        <v>ㄝ</v>
      </c>
      <c r="AD24" s="57" t="str" cm="1">
        <f t="array" ref="AD24" xml:space="preserve"> IF(W24="", "", INDEX($S$2:$S$46, MATCH(TRUE, EXACT(W24,$R$2:$R$46),0)))</f>
        <v>ㄝ</v>
      </c>
      <c r="AE24" s="57" t="str" cm="1">
        <f t="array" ref="AE24" xml:space="preserve"> IF(X24="", "", INDEX($S$2:$S$46, MATCH(TRUE, EXACT(X24,$R$2:$R$46),0)))</f>
        <v/>
      </c>
      <c r="AF24" s="57" t="str" cm="1">
        <f t="array" ref="AF24" xml:space="preserve"> IF(Y24="", "", INDEX($S$2:$S$46, MATCH(TRUE, EXACT(Y24,$R$2:$R$46),0)))</f>
        <v/>
      </c>
      <c r="AG24" s="57" t="str" cm="1">
        <f t="array" ref="AG24" xml:space="preserve"> IF(Z24="", "", INDEX($S$2:$S$46, MATCH(TRUE, EXACT(Z24,$R$2:$R$46),0)))</f>
        <v/>
      </c>
      <c r="AH24" s="57" t="str" cm="1">
        <f t="array" ref="AH24" xml:space="preserve"> IF(AA24="", "", INDEX($S$2:$S$46, MATCH(TRUE, EXACT(AA24,$R$2:$R$46),0)))</f>
        <v/>
      </c>
    </row>
    <row r="25" spans="1:34" ht="29.25">
      <c r="A25" s="1">
        <v>27</v>
      </c>
      <c r="B25" s="3" t="s">
        <v>171</v>
      </c>
      <c r="C25" s="3" t="s">
        <v>169</v>
      </c>
      <c r="D25" s="1" t="s">
        <v>170</v>
      </c>
      <c r="E25" s="1" t="s">
        <v>172</v>
      </c>
      <c r="F25" s="55" t="s">
        <v>970</v>
      </c>
      <c r="G25" s="1" t="s">
        <v>173</v>
      </c>
      <c r="H25" s="1" t="s">
        <v>173</v>
      </c>
      <c r="I25" s="1" t="s">
        <v>173</v>
      </c>
      <c r="J25" s="1" t="s">
        <v>173</v>
      </c>
      <c r="K25" s="1" t="s">
        <v>173</v>
      </c>
      <c r="L25" s="1" t="s">
        <v>91</v>
      </c>
      <c r="M25" s="1" t="s">
        <v>17</v>
      </c>
      <c r="N25" s="1" t="s">
        <v>174</v>
      </c>
      <c r="O25" s="60"/>
      <c r="P25" t="s">
        <v>910</v>
      </c>
      <c r="Q25" t="s">
        <v>510</v>
      </c>
      <c r="R25" t="s">
        <v>508</v>
      </c>
      <c r="S25" t="s">
        <v>933</v>
      </c>
      <c r="U25" t="str">
        <f t="shared" si="1"/>
        <v>ㄧㆲ</v>
      </c>
      <c r="V25">
        <f t="shared" si="2"/>
        <v>2</v>
      </c>
      <c r="W25" s="20" t="str">
        <f t="shared" si="3"/>
        <v>ㄧ</v>
      </c>
      <c r="X25" s="20" t="str">
        <f t="shared" si="3"/>
        <v>ㆲ</v>
      </c>
      <c r="Y25" s="20" t="str">
        <f t="shared" si="3"/>
        <v/>
      </c>
      <c r="Z25" s="20" t="str">
        <f t="shared" si="3"/>
        <v/>
      </c>
      <c r="AA25" s="20" t="str">
        <f t="shared" si="3"/>
        <v/>
      </c>
      <c r="AC25" s="61" t="str">
        <f t="shared" si="4"/>
        <v>ㄧㄛㄥ</v>
      </c>
      <c r="AD25" s="57" t="str" cm="1">
        <f t="array" ref="AD25" xml:space="preserve"> IF(W25="", "", INDEX($S$2:$S$46, MATCH(TRUE, EXACT(W25,$R$2:$R$46),0)))</f>
        <v>ㄧ</v>
      </c>
      <c r="AE25" s="57" t="s">
        <v>904</v>
      </c>
      <c r="AF25" s="57" t="s">
        <v>900</v>
      </c>
      <c r="AG25" s="57" t="str" cm="1">
        <f t="array" ref="AG25" xml:space="preserve"> IF(Z25="", "", INDEX($S$2:$S$46, MATCH(TRUE, EXACT(Z25,$R$2:$R$46),0)))</f>
        <v/>
      </c>
      <c r="AH25" s="57" t="str" cm="1">
        <f t="array" ref="AH25" xml:space="preserve"> IF(AA25="", "", INDEX($S$2:$S$46, MATCH(TRUE, EXACT(AA25,$R$2:$R$46),0)))</f>
        <v/>
      </c>
    </row>
    <row r="26" spans="1:34" ht="29.25">
      <c r="A26" s="1">
        <v>28</v>
      </c>
      <c r="B26" s="3" t="s">
        <v>171</v>
      </c>
      <c r="C26" s="3" t="s">
        <v>176</v>
      </c>
      <c r="D26" s="1" t="s">
        <v>177</v>
      </c>
      <c r="E26" s="1" t="s">
        <v>178</v>
      </c>
      <c r="F26" s="55" t="s">
        <v>971</v>
      </c>
      <c r="G26" s="1" t="s">
        <v>179</v>
      </c>
      <c r="H26" s="1" t="s">
        <v>179</v>
      </c>
      <c r="I26" s="1" t="s">
        <v>179</v>
      </c>
      <c r="J26" s="1" t="s">
        <v>179</v>
      </c>
      <c r="K26" s="1" t="s">
        <v>179</v>
      </c>
      <c r="L26" s="1" t="s">
        <v>91</v>
      </c>
      <c r="M26" s="1" t="s">
        <v>24</v>
      </c>
      <c r="N26" s="1" t="s">
        <v>180</v>
      </c>
      <c r="O26" s="60"/>
      <c r="P26" t="s">
        <v>912</v>
      </c>
      <c r="Q26" t="s">
        <v>438</v>
      </c>
      <c r="R26" t="s">
        <v>908</v>
      </c>
      <c r="S26" t="s">
        <v>934</v>
      </c>
      <c r="U26" t="str">
        <f t="shared" si="1"/>
        <v>ㄧㆦㆻ</v>
      </c>
      <c r="V26">
        <f t="shared" si="2"/>
        <v>3</v>
      </c>
      <c r="W26" s="20" t="str">
        <f t="shared" si="3"/>
        <v>ㄧ</v>
      </c>
      <c r="X26" s="20" t="str">
        <f t="shared" si="3"/>
        <v>ㆦ</v>
      </c>
      <c r="Y26" s="20" t="str">
        <f t="shared" si="3"/>
        <v>ㆻ</v>
      </c>
      <c r="Z26" s="20" t="str">
        <f t="shared" si="3"/>
        <v/>
      </c>
      <c r="AA26" s="20" t="str">
        <f t="shared" si="3"/>
        <v/>
      </c>
      <c r="AC26" s="61" t="str">
        <f t="shared" si="4"/>
        <v>ㄧㄛㄍ</v>
      </c>
      <c r="AD26" s="57" t="str" cm="1">
        <f t="array" ref="AD26" xml:space="preserve"> IF(W26="", "", INDEX($S$2:$S$46, MATCH(TRUE, EXACT(W26,$R$2:$R$46),0)))</f>
        <v>ㄧ</v>
      </c>
      <c r="AE26" s="57" t="str" cm="1">
        <f t="array" ref="AE26" xml:space="preserve"> IF(X26="", "", INDEX($S$2:$S$46, MATCH(TRUE, EXACT(X26,$R$2:$R$46),0)))</f>
        <v>ㄛ</v>
      </c>
      <c r="AF26" s="57" t="str" cm="1">
        <f t="array" ref="AF26" xml:space="preserve"> IF(Y26="", "", INDEX($S$2:$S$46, MATCH(TRUE, EXACT(Y26,$R$2:$R$46),0)))</f>
        <v>ㄍ</v>
      </c>
      <c r="AG26" s="57" t="str" cm="1">
        <f t="array" ref="AG26" xml:space="preserve"> IF(Z26="", "", INDEX($S$2:$S$46, MATCH(TRUE, EXACT(Z26,$R$2:$R$46),0)))</f>
        <v/>
      </c>
      <c r="AH26" s="57" t="str" cm="1">
        <f t="array" ref="AH26" xml:space="preserve"> IF(AA26="", "", INDEX($S$2:$S$46, MATCH(TRUE, EXACT(AA26,$R$2:$R$46),0)))</f>
        <v/>
      </c>
    </row>
    <row r="27" spans="1:34" ht="29.25">
      <c r="A27" s="1">
        <v>29</v>
      </c>
      <c r="B27" s="3" t="s">
        <v>184</v>
      </c>
      <c r="C27" s="3" t="s">
        <v>182</v>
      </c>
      <c r="D27" s="1" t="s">
        <v>183</v>
      </c>
      <c r="E27" s="1" t="s">
        <v>185</v>
      </c>
      <c r="F27" s="55" t="s">
        <v>185</v>
      </c>
      <c r="G27" s="1" t="s">
        <v>183</v>
      </c>
      <c r="H27" s="1" t="s">
        <v>183</v>
      </c>
      <c r="I27" s="1" t="s">
        <v>186</v>
      </c>
      <c r="J27" s="1" t="s">
        <v>183</v>
      </c>
      <c r="K27" s="1" t="s">
        <v>183</v>
      </c>
      <c r="L27" s="1" t="s">
        <v>97</v>
      </c>
      <c r="M27" s="1" t="s">
        <v>17</v>
      </c>
      <c r="N27" s="1" t="s">
        <v>187</v>
      </c>
      <c r="O27" s="60"/>
      <c r="P27" t="s">
        <v>913</v>
      </c>
      <c r="Q27" t="s">
        <v>525</v>
      </c>
      <c r="R27" t="s">
        <v>524</v>
      </c>
      <c r="S27" t="s">
        <v>935</v>
      </c>
      <c r="U27" t="str">
        <f t="shared" si="1"/>
        <v>ㄜ</v>
      </c>
      <c r="V27">
        <f t="shared" si="2"/>
        <v>1</v>
      </c>
      <c r="W27" s="20" t="str">
        <f t="shared" si="3"/>
        <v>ㄜ</v>
      </c>
      <c r="X27" s="20" t="str">
        <f t="shared" si="3"/>
        <v/>
      </c>
      <c r="Y27" s="20" t="str">
        <f t="shared" si="3"/>
        <v/>
      </c>
      <c r="Z27" s="20" t="str">
        <f t="shared" si="3"/>
        <v/>
      </c>
      <c r="AA27" s="20" t="str">
        <f t="shared" si="3"/>
        <v/>
      </c>
      <c r="AC27" s="61" t="str">
        <f t="shared" si="4"/>
        <v>ㄜ</v>
      </c>
      <c r="AD27" s="57" t="str" cm="1">
        <f t="array" ref="AD27" xml:space="preserve"> IF(W27="", "", INDEX($S$2:$S$46, MATCH(TRUE, EXACT(W27,$R$2:$R$46),0)))</f>
        <v>ㄜ</v>
      </c>
      <c r="AE27" s="57" t="str" cm="1">
        <f t="array" ref="AE27" xml:space="preserve"> IF(X27="", "", INDEX($S$2:$S$46, MATCH(TRUE, EXACT(X27,$R$2:$R$46),0)))</f>
        <v/>
      </c>
      <c r="AF27" s="57" t="str" cm="1">
        <f t="array" ref="AF27" xml:space="preserve"> IF(Y27="", "", INDEX($S$2:$S$46, MATCH(TRUE, EXACT(Y27,$R$2:$R$46),0)))</f>
        <v/>
      </c>
      <c r="AG27" s="57" t="str" cm="1">
        <f t="array" ref="AG27" xml:space="preserve"> IF(Z27="", "", INDEX($S$2:$S$46, MATCH(TRUE, EXACT(Z27,$R$2:$R$46),0)))</f>
        <v/>
      </c>
      <c r="AH27" s="57" t="str" cm="1">
        <f t="array" ref="AH27" xml:space="preserve"> IF(AA27="", "", INDEX($S$2:$S$46, MATCH(TRUE, EXACT(AA27,$R$2:$R$46),0)))</f>
        <v/>
      </c>
    </row>
    <row r="28" spans="1:34" ht="29.25">
      <c r="A28" s="1">
        <v>30</v>
      </c>
      <c r="B28" s="3" t="s">
        <v>184</v>
      </c>
      <c r="C28" s="4" t="s">
        <v>189</v>
      </c>
      <c r="D28" s="1" t="s">
        <v>190</v>
      </c>
      <c r="E28" s="1" t="s">
        <v>191</v>
      </c>
      <c r="F28" s="55" t="s">
        <v>972</v>
      </c>
      <c r="G28" s="1" t="s">
        <v>192</v>
      </c>
      <c r="H28" s="1" t="s">
        <v>192</v>
      </c>
      <c r="I28" s="1" t="s">
        <v>193</v>
      </c>
      <c r="J28" s="1" t="s">
        <v>192</v>
      </c>
      <c r="K28" s="1" t="s">
        <v>192</v>
      </c>
      <c r="L28" s="1" t="s">
        <v>97</v>
      </c>
      <c r="M28" s="1" t="s">
        <v>24</v>
      </c>
      <c r="N28" s="1" t="s">
        <v>194</v>
      </c>
      <c r="O28" s="60"/>
      <c r="P28" t="s">
        <v>914</v>
      </c>
      <c r="Q28" t="s">
        <v>929</v>
      </c>
      <c r="R28" t="s">
        <v>911</v>
      </c>
      <c r="S28" t="s">
        <v>936</v>
      </c>
      <c r="U28" t="str">
        <f t="shared" si="1"/>
        <v>ㄜㆷ</v>
      </c>
      <c r="V28">
        <f t="shared" si="2"/>
        <v>2</v>
      </c>
      <c r="W28" s="20" t="str">
        <f t="shared" si="3"/>
        <v>ㄜ</v>
      </c>
      <c r="X28" s="20" t="str">
        <f t="shared" si="3"/>
        <v>ㆷ</v>
      </c>
      <c r="Y28" s="20" t="str">
        <f t="shared" si="3"/>
        <v/>
      </c>
      <c r="Z28" s="20" t="str">
        <f t="shared" si="3"/>
        <v/>
      </c>
      <c r="AA28" s="20" t="str">
        <f t="shared" si="3"/>
        <v/>
      </c>
      <c r="AC28" s="61" t="str">
        <f t="shared" si="4"/>
        <v>ㄜㄏ</v>
      </c>
      <c r="AD28" s="57" t="str" cm="1">
        <f t="array" ref="AD28" xml:space="preserve"> IF(W28="", "", INDEX($S$2:$S$46, MATCH(TRUE, EXACT(W28,$R$2:$R$46),0)))</f>
        <v>ㄜ</v>
      </c>
      <c r="AE28" s="57" t="str" cm="1">
        <f t="array" ref="AE28" xml:space="preserve"> IF(X28="", "", INDEX($S$2:$S$46, MATCH(TRUE, EXACT(X28,$R$2:$R$46),0)))</f>
        <v>ㄏ</v>
      </c>
      <c r="AF28" s="57" t="str" cm="1">
        <f t="array" ref="AF28" xml:space="preserve"> IF(Y28="", "", INDEX($S$2:$S$46, MATCH(TRUE, EXACT(Y28,$R$2:$R$46),0)))</f>
        <v/>
      </c>
      <c r="AG28" s="57" t="str" cm="1">
        <f t="array" ref="AG28" xml:space="preserve"> IF(Z28="", "", INDEX($S$2:$S$46, MATCH(TRUE, EXACT(Z28,$R$2:$R$46),0)))</f>
        <v/>
      </c>
      <c r="AH28" s="57" t="str" cm="1">
        <f t="array" ref="AH28" xml:space="preserve"> IF(AA28="", "", INDEX($S$2:$S$46, MATCH(TRUE, EXACT(AA28,$R$2:$R$46),0)))</f>
        <v/>
      </c>
    </row>
    <row r="29" spans="1:34" ht="29.25">
      <c r="A29" s="1">
        <v>31</v>
      </c>
      <c r="B29" s="3" t="s">
        <v>198</v>
      </c>
      <c r="C29" s="3" t="s">
        <v>196</v>
      </c>
      <c r="D29" s="1" t="s">
        <v>197</v>
      </c>
      <c r="E29" s="1" t="s">
        <v>199</v>
      </c>
      <c r="F29" s="55" t="s">
        <v>199</v>
      </c>
      <c r="G29" s="1" t="s">
        <v>197</v>
      </c>
      <c r="H29" s="1" t="s">
        <v>197</v>
      </c>
      <c r="I29" s="1" t="s">
        <v>197</v>
      </c>
      <c r="J29" s="1" t="s">
        <v>197</v>
      </c>
      <c r="K29" s="1" t="s">
        <v>197</v>
      </c>
      <c r="L29" s="1" t="s">
        <v>105</v>
      </c>
      <c r="M29" s="1" t="s">
        <v>17</v>
      </c>
      <c r="N29" s="1" t="s">
        <v>200</v>
      </c>
      <c r="O29" s="60"/>
      <c r="P29" t="s">
        <v>915</v>
      </c>
      <c r="Q29" t="s">
        <v>502</v>
      </c>
      <c r="R29" t="s">
        <v>501</v>
      </c>
      <c r="S29" t="s">
        <v>937</v>
      </c>
      <c r="U29" t="str">
        <f t="shared" si="1"/>
        <v>ㄞ</v>
      </c>
      <c r="V29">
        <f t="shared" si="2"/>
        <v>1</v>
      </c>
      <c r="W29" s="20" t="str">
        <f t="shared" si="3"/>
        <v>ㄞ</v>
      </c>
      <c r="X29" s="20" t="str">
        <f t="shared" si="3"/>
        <v/>
      </c>
      <c r="Y29" s="20" t="str">
        <f t="shared" si="3"/>
        <v/>
      </c>
      <c r="Z29" s="20" t="str">
        <f t="shared" si="3"/>
        <v/>
      </c>
      <c r="AA29" s="20" t="str">
        <f t="shared" si="3"/>
        <v/>
      </c>
      <c r="AC29" s="61" t="str">
        <f t="shared" si="4"/>
        <v>ㄞ</v>
      </c>
      <c r="AD29" s="57" t="str" cm="1">
        <f t="array" ref="AD29" xml:space="preserve"> IF(W29="", "", INDEX($S$2:$S$46, MATCH(TRUE, EXACT(W29,$R$2:$R$46),0)))</f>
        <v>ㄞ</v>
      </c>
      <c r="AE29" s="57" t="str" cm="1">
        <f t="array" ref="AE29" xml:space="preserve"> IF(X29="", "", INDEX($S$2:$S$46, MATCH(TRUE, EXACT(X29,$R$2:$R$46),0)))</f>
        <v/>
      </c>
      <c r="AF29" s="57" t="str" cm="1">
        <f t="array" ref="AF29" xml:space="preserve"> IF(Y29="", "", INDEX($S$2:$S$46, MATCH(TRUE, EXACT(Y29,$R$2:$R$46),0)))</f>
        <v/>
      </c>
      <c r="AG29" s="57" t="str" cm="1">
        <f t="array" ref="AG29" xml:space="preserve"> IF(Z29="", "", INDEX($S$2:$S$46, MATCH(TRUE, EXACT(Z29,$R$2:$R$46),0)))</f>
        <v/>
      </c>
      <c r="AH29" s="57" t="str" cm="1">
        <f t="array" ref="AH29" xml:space="preserve"> IF(AA29="", "", INDEX($S$2:$S$46, MATCH(TRUE, EXACT(AA29,$R$2:$R$46),0)))</f>
        <v/>
      </c>
    </row>
    <row r="30" spans="1:34" ht="29.25">
      <c r="A30" s="1">
        <v>33</v>
      </c>
      <c r="B30" s="3" t="s">
        <v>204</v>
      </c>
      <c r="C30" s="3" t="s">
        <v>202</v>
      </c>
      <c r="D30" s="1" t="s">
        <v>203</v>
      </c>
      <c r="E30" s="1" t="s">
        <v>205</v>
      </c>
      <c r="F30" s="55" t="s">
        <v>205</v>
      </c>
      <c r="G30" s="1" t="s">
        <v>203</v>
      </c>
      <c r="H30" s="1" t="s">
        <v>203</v>
      </c>
      <c r="I30" s="1" t="s">
        <v>203</v>
      </c>
      <c r="J30" s="1" t="s">
        <v>203</v>
      </c>
      <c r="K30" s="1" t="s">
        <v>203</v>
      </c>
      <c r="L30" s="1" t="s">
        <v>111</v>
      </c>
      <c r="M30" s="1" t="s">
        <v>17</v>
      </c>
      <c r="N30" s="1" t="s">
        <v>206</v>
      </c>
      <c r="O30" s="60"/>
      <c r="P30" t="s">
        <v>916</v>
      </c>
      <c r="Q30" t="s">
        <v>332</v>
      </c>
      <c r="R30" t="s">
        <v>330</v>
      </c>
      <c r="S30" t="s">
        <v>938</v>
      </c>
      <c r="U30" t="str">
        <f t="shared" si="1"/>
        <v>ㄧㄣ</v>
      </c>
      <c r="V30">
        <f t="shared" si="2"/>
        <v>2</v>
      </c>
      <c r="W30" s="20" t="str">
        <f t="shared" si="3"/>
        <v>ㄧ</v>
      </c>
      <c r="X30" s="20" t="str">
        <f t="shared" si="3"/>
        <v>ㄣ</v>
      </c>
      <c r="Y30" s="20" t="str">
        <f t="shared" si="3"/>
        <v/>
      </c>
      <c r="Z30" s="20" t="str">
        <f t="shared" si="3"/>
        <v/>
      </c>
      <c r="AA30" s="20" t="str">
        <f t="shared" si="3"/>
        <v/>
      </c>
      <c r="AC30" s="61" t="str">
        <f t="shared" si="4"/>
        <v>ㄧㄣ</v>
      </c>
      <c r="AD30" s="57" t="str" cm="1">
        <f t="array" ref="AD30" xml:space="preserve"> IF(W30="", "", INDEX($S$2:$S$46, MATCH(TRUE, EXACT(W30,$R$2:$R$46),0)))</f>
        <v>ㄧ</v>
      </c>
      <c r="AE30" s="57" t="str" cm="1">
        <f t="array" ref="AE30" xml:space="preserve"> IF(X30="", "", INDEX($S$2:$S$46, MATCH(TRUE, EXACT(X30,$R$2:$R$46),0)))</f>
        <v>ㄣ</v>
      </c>
      <c r="AF30" s="57" t="str" cm="1">
        <f t="array" ref="AF30" xml:space="preserve"> IF(Y30="", "", INDEX($S$2:$S$46, MATCH(TRUE, EXACT(Y30,$R$2:$R$46),0)))</f>
        <v/>
      </c>
      <c r="AG30" s="57" t="str" cm="1">
        <f t="array" ref="AG30" xml:space="preserve"> IF(Z30="", "", INDEX($S$2:$S$46, MATCH(TRUE, EXACT(Z30,$R$2:$R$46),0)))</f>
        <v/>
      </c>
      <c r="AH30" s="57" t="str" cm="1">
        <f t="array" ref="AH30" xml:space="preserve"> IF(AA30="", "", INDEX($S$2:$S$46, MATCH(TRUE, EXACT(AA30,$R$2:$R$46),0)))</f>
        <v/>
      </c>
    </row>
    <row r="31" spans="1:34" ht="29.25">
      <c r="A31" s="1">
        <v>34</v>
      </c>
      <c r="B31" s="3" t="s">
        <v>204</v>
      </c>
      <c r="C31" s="3" t="s">
        <v>208</v>
      </c>
      <c r="D31" s="1" t="s">
        <v>209</v>
      </c>
      <c r="E31" s="1" t="s">
        <v>210</v>
      </c>
      <c r="F31" s="55" t="s">
        <v>973</v>
      </c>
      <c r="G31" s="1" t="s">
        <v>211</v>
      </c>
      <c r="H31" s="1" t="s">
        <v>211</v>
      </c>
      <c r="I31" s="1" t="s">
        <v>211</v>
      </c>
      <c r="J31" s="1" t="s">
        <v>211</v>
      </c>
      <c r="K31" s="1" t="s">
        <v>211</v>
      </c>
      <c r="L31" s="1" t="s">
        <v>111</v>
      </c>
      <c r="M31" s="1" t="s">
        <v>24</v>
      </c>
      <c r="N31" s="1" t="s">
        <v>212</v>
      </c>
      <c r="O31" s="60"/>
      <c r="P31" t="s">
        <v>917</v>
      </c>
      <c r="Q31" t="s">
        <v>467</v>
      </c>
      <c r="R31" t="s">
        <v>466</v>
      </c>
      <c r="S31" t="s">
        <v>939</v>
      </c>
      <c r="U31" t="str">
        <f t="shared" si="1"/>
        <v>ㄧㆵ</v>
      </c>
      <c r="V31">
        <f t="shared" si="2"/>
        <v>2</v>
      </c>
      <c r="W31" s="20" t="str">
        <f t="shared" si="3"/>
        <v>ㄧ</v>
      </c>
      <c r="X31" s="20" t="str">
        <f t="shared" si="3"/>
        <v>ㆵ</v>
      </c>
      <c r="Y31" s="20" t="str">
        <f t="shared" si="3"/>
        <v/>
      </c>
      <c r="Z31" s="20" t="str">
        <f t="shared" si="3"/>
        <v/>
      </c>
      <c r="AA31" s="20" t="str">
        <f t="shared" si="3"/>
        <v/>
      </c>
      <c r="AC31" s="61" t="str">
        <f t="shared" si="4"/>
        <v>ㄧㄉ</v>
      </c>
      <c r="AD31" s="57" t="str" cm="1">
        <f t="array" ref="AD31" xml:space="preserve"> IF(W31="", "", INDEX($S$2:$S$46, MATCH(TRUE, EXACT(W31,$R$2:$R$46),0)))</f>
        <v>ㄧ</v>
      </c>
      <c r="AE31" s="57" t="str" cm="1">
        <f t="array" ref="AE31" xml:space="preserve"> IF(X31="", "", INDEX($S$2:$S$46, MATCH(TRUE, EXACT(X31,$R$2:$R$46),0)))</f>
        <v>ㄉ</v>
      </c>
      <c r="AF31" s="57" t="str" cm="1">
        <f t="array" ref="AF31" xml:space="preserve"> IF(Y31="", "", INDEX($S$2:$S$46, MATCH(TRUE, EXACT(Y31,$R$2:$R$46),0)))</f>
        <v/>
      </c>
      <c r="AG31" s="57" t="str" cm="1">
        <f t="array" ref="AG31" xml:space="preserve"> IF(Z31="", "", INDEX($S$2:$S$46, MATCH(TRUE, EXACT(Z31,$R$2:$R$46),0)))</f>
        <v/>
      </c>
      <c r="AH31" s="57" t="str" cm="1">
        <f t="array" ref="AH31" xml:space="preserve"> IF(AA31="", "", INDEX($S$2:$S$46, MATCH(TRUE, EXACT(AA31,$R$2:$R$46),0)))</f>
        <v/>
      </c>
    </row>
    <row r="32" spans="1:34" ht="29.25">
      <c r="A32" s="1">
        <v>35</v>
      </c>
      <c r="B32" s="5" t="s">
        <v>216</v>
      </c>
      <c r="C32" s="5" t="s">
        <v>214</v>
      </c>
      <c r="D32" s="1" t="s">
        <v>215</v>
      </c>
      <c r="E32" s="1" t="s">
        <v>217</v>
      </c>
      <c r="F32" s="55" t="s">
        <v>217</v>
      </c>
      <c r="G32" s="1" t="s">
        <v>218</v>
      </c>
      <c r="H32" s="1" t="s">
        <v>218</v>
      </c>
      <c r="I32" s="1" t="s">
        <v>218</v>
      </c>
      <c r="J32" s="1" t="s">
        <v>218</v>
      </c>
      <c r="K32" s="1" t="s">
        <v>218</v>
      </c>
      <c r="L32" s="1" t="s">
        <v>119</v>
      </c>
      <c r="M32" s="1" t="s">
        <v>17</v>
      </c>
      <c r="N32" s="1" t="s">
        <v>219</v>
      </c>
      <c r="O32" s="60"/>
      <c r="P32" t="s">
        <v>918</v>
      </c>
      <c r="Q32" t="s">
        <v>383</v>
      </c>
      <c r="R32" t="s">
        <v>381</v>
      </c>
      <c r="S32" t="s">
        <v>940</v>
      </c>
      <c r="U32" t="str">
        <f t="shared" si="1"/>
        <v>ㄧㄤ</v>
      </c>
      <c r="V32">
        <f t="shared" si="2"/>
        <v>2</v>
      </c>
      <c r="W32" s="20" t="str">
        <f t="shared" si="3"/>
        <v>ㄧ</v>
      </c>
      <c r="X32" s="20" t="str">
        <f t="shared" si="3"/>
        <v>ㄤ</v>
      </c>
      <c r="Y32" s="20" t="str">
        <f t="shared" si="3"/>
        <v/>
      </c>
      <c r="Z32" s="20" t="str">
        <f t="shared" si="3"/>
        <v/>
      </c>
      <c r="AA32" s="20" t="str">
        <f t="shared" si="3"/>
        <v/>
      </c>
      <c r="AC32" s="61" t="str">
        <f t="shared" si="4"/>
        <v>ㄧㄤ</v>
      </c>
      <c r="AD32" s="57" t="str" cm="1">
        <f t="array" ref="AD32" xml:space="preserve"> IF(W32="", "", INDEX($S$2:$S$46, MATCH(TRUE, EXACT(W32,$R$2:$R$46),0)))</f>
        <v>ㄧ</v>
      </c>
      <c r="AE32" s="57" t="str" cm="1">
        <f t="array" ref="AE32" xml:space="preserve"> IF(X32="", "", INDEX($S$2:$S$46, MATCH(TRUE, EXACT(X32,$R$2:$R$46),0)))</f>
        <v>ㄤ</v>
      </c>
      <c r="AF32" s="57" t="str" cm="1">
        <f t="array" ref="AF32" xml:space="preserve"> IF(Y32="", "", INDEX($S$2:$S$46, MATCH(TRUE, EXACT(Y32,$R$2:$R$46),0)))</f>
        <v/>
      </c>
      <c r="AG32" s="57" t="str" cm="1">
        <f t="array" ref="AG32" xml:space="preserve"> IF(Z32="", "", INDEX($S$2:$S$46, MATCH(TRUE, EXACT(Z32,$R$2:$R$46),0)))</f>
        <v/>
      </c>
      <c r="AH32" s="57" t="str" cm="1">
        <f t="array" ref="AH32" xml:space="preserve"> IF(AA32="", "", INDEX($S$2:$S$46, MATCH(TRUE, EXACT(AA32,$R$2:$R$46),0)))</f>
        <v/>
      </c>
    </row>
    <row r="33" spans="1:34" ht="29.25">
      <c r="A33" s="1">
        <v>36</v>
      </c>
      <c r="B33" s="5" t="s">
        <v>216</v>
      </c>
      <c r="C33" s="4" t="s">
        <v>221</v>
      </c>
      <c r="D33" s="1" t="s">
        <v>222</v>
      </c>
      <c r="E33" s="1" t="s">
        <v>223</v>
      </c>
      <c r="F33" s="55" t="s">
        <v>974</v>
      </c>
      <c r="G33" s="1" t="s">
        <v>224</v>
      </c>
      <c r="H33" s="1" t="s">
        <v>224</v>
      </c>
      <c r="I33" s="1" t="s">
        <v>224</v>
      </c>
      <c r="J33" s="1" t="s">
        <v>224</v>
      </c>
      <c r="K33" s="1" t="s">
        <v>224</v>
      </c>
      <c r="L33" s="1" t="s">
        <v>119</v>
      </c>
      <c r="M33" s="1" t="s">
        <v>24</v>
      </c>
      <c r="N33" s="1" t="s">
        <v>225</v>
      </c>
      <c r="O33" s="60"/>
      <c r="P33" t="s">
        <v>919</v>
      </c>
      <c r="Q33" t="s">
        <v>437</v>
      </c>
      <c r="R33" t="s">
        <v>436</v>
      </c>
      <c r="S33" t="s">
        <v>941</v>
      </c>
      <c r="U33" t="str">
        <f t="shared" si="1"/>
        <v>ㄧㄚㆻ</v>
      </c>
      <c r="V33">
        <f t="shared" si="2"/>
        <v>3</v>
      </c>
      <c r="W33" s="20" t="str">
        <f t="shared" si="3"/>
        <v>ㄧ</v>
      </c>
      <c r="X33" s="20" t="str">
        <f t="shared" si="3"/>
        <v>ㄚ</v>
      </c>
      <c r="Y33" s="20" t="str">
        <f t="shared" si="3"/>
        <v>ㆻ</v>
      </c>
      <c r="Z33" s="20" t="str">
        <f t="shared" si="3"/>
        <v/>
      </c>
      <c r="AA33" s="20" t="str">
        <f t="shared" si="3"/>
        <v/>
      </c>
      <c r="AC33" s="61" t="str">
        <f t="shared" si="4"/>
        <v>ㄧㄚㄍ</v>
      </c>
      <c r="AD33" s="57" t="str" cm="1">
        <f t="array" ref="AD33" xml:space="preserve"> IF(W33="", "", INDEX($S$2:$S$46, MATCH(TRUE, EXACT(W33,$R$2:$R$46),0)))</f>
        <v>ㄧ</v>
      </c>
      <c r="AE33" s="57" t="str" cm="1">
        <f t="array" ref="AE33" xml:space="preserve"> IF(X33="", "", INDEX($S$2:$S$46, MATCH(TRUE, EXACT(X33,$R$2:$R$46),0)))</f>
        <v>ㄚ</v>
      </c>
      <c r="AF33" s="57" t="str" cm="1">
        <f t="array" ref="AF33" xml:space="preserve"> IF(Y33="", "", INDEX($S$2:$S$46, MATCH(TRUE, EXACT(Y33,$R$2:$R$46),0)))</f>
        <v>ㄍ</v>
      </c>
      <c r="AG33" s="57" t="str" cm="1">
        <f t="array" ref="AG33" xml:space="preserve"> IF(Z33="", "", INDEX($S$2:$S$46, MATCH(TRUE, EXACT(Z33,$R$2:$R$46),0)))</f>
        <v/>
      </c>
      <c r="AH33" s="57" t="str" cm="1">
        <f t="array" ref="AH33" xml:space="preserve"> IF(AA33="", "", INDEX($S$2:$S$46, MATCH(TRUE, EXACT(AA33,$R$2:$R$46),0)))</f>
        <v/>
      </c>
    </row>
    <row r="34" spans="1:34" ht="29.25">
      <c r="A34" s="1">
        <v>37</v>
      </c>
      <c r="B34" s="3" t="s">
        <v>229</v>
      </c>
      <c r="C34" s="3" t="s">
        <v>227</v>
      </c>
      <c r="D34" s="1" t="s">
        <v>228</v>
      </c>
      <c r="E34" s="1" t="s">
        <v>230</v>
      </c>
      <c r="F34" s="55" t="s">
        <v>930</v>
      </c>
      <c r="G34" s="1" t="s">
        <v>228</v>
      </c>
      <c r="H34" s="1" t="s">
        <v>228</v>
      </c>
      <c r="I34" s="1" t="s">
        <v>228</v>
      </c>
      <c r="J34" s="1" t="s">
        <v>228</v>
      </c>
      <c r="K34" s="1" t="s">
        <v>228</v>
      </c>
      <c r="L34" s="1" t="s">
        <v>126</v>
      </c>
      <c r="M34" s="1" t="s">
        <v>17</v>
      </c>
      <c r="N34" s="1" t="s">
        <v>231</v>
      </c>
      <c r="O34" s="60"/>
      <c r="P34" t="s">
        <v>920</v>
      </c>
      <c r="Q34" t="s">
        <v>428</v>
      </c>
      <c r="R34" t="s">
        <v>427</v>
      </c>
      <c r="S34" t="s">
        <v>942</v>
      </c>
      <c r="U34" t="str">
        <f t="shared" si="1"/>
        <v>ㆰ</v>
      </c>
      <c r="V34">
        <f t="shared" si="2"/>
        <v>1</v>
      </c>
      <c r="W34" s="20" t="str">
        <f t="shared" si="3"/>
        <v>ㆰ</v>
      </c>
      <c r="X34" s="20" t="str">
        <f t="shared" si="3"/>
        <v/>
      </c>
      <c r="Y34" s="20" t="str">
        <f t="shared" si="3"/>
        <v/>
      </c>
      <c r="Z34" s="20" t="str">
        <f t="shared" si="3"/>
        <v/>
      </c>
      <c r="AA34" s="20" t="str">
        <f t="shared" si="3"/>
        <v/>
      </c>
      <c r="AC34" s="61" t="str">
        <f t="shared" si="4"/>
        <v>ㄚㄇ</v>
      </c>
      <c r="AD34" s="57" t="s">
        <v>349</v>
      </c>
      <c r="AE34" s="57" t="s">
        <v>902</v>
      </c>
      <c r="AF34" s="57" t="str" cm="1">
        <f t="array" ref="AF34" xml:space="preserve"> IF(Y34="", "", INDEX($S$2:$S$46, MATCH(TRUE, EXACT(Y34,$R$2:$R$46),0)))</f>
        <v/>
      </c>
      <c r="AG34" s="57" t="str" cm="1">
        <f t="array" ref="AG34" xml:space="preserve"> IF(Z34="", "", INDEX($S$2:$S$46, MATCH(TRUE, EXACT(Z34,$R$2:$R$46),0)))</f>
        <v/>
      </c>
      <c r="AH34" s="57" t="str" cm="1">
        <f t="array" ref="AH34" xml:space="preserve"> IF(AA34="", "", INDEX($S$2:$S$46, MATCH(TRUE, EXACT(AA34,$R$2:$R$46),0)))</f>
        <v/>
      </c>
    </row>
    <row r="35" spans="1:34" ht="29.25">
      <c r="A35" s="1">
        <v>38</v>
      </c>
      <c r="B35" s="3" t="s">
        <v>229</v>
      </c>
      <c r="C35" s="3" t="s">
        <v>233</v>
      </c>
      <c r="D35" s="1" t="s">
        <v>234</v>
      </c>
      <c r="E35" s="1" t="s">
        <v>235</v>
      </c>
      <c r="F35" s="55" t="s">
        <v>975</v>
      </c>
      <c r="G35" s="1" t="s">
        <v>236</v>
      </c>
      <c r="H35" s="1" t="s">
        <v>236</v>
      </c>
      <c r="I35" s="1" t="s">
        <v>236</v>
      </c>
      <c r="J35" s="1" t="s">
        <v>236</v>
      </c>
      <c r="K35" s="1" t="s">
        <v>236</v>
      </c>
      <c r="L35" s="1" t="s">
        <v>126</v>
      </c>
      <c r="M35" s="1" t="s">
        <v>24</v>
      </c>
      <c r="N35" s="1" t="s">
        <v>237</v>
      </c>
      <c r="O35" s="60"/>
      <c r="P35" t="s">
        <v>921</v>
      </c>
      <c r="Q35" t="s">
        <v>574</v>
      </c>
      <c r="R35" t="s">
        <v>573</v>
      </c>
      <c r="S35" t="s">
        <v>943</v>
      </c>
      <c r="U35" t="str">
        <f t="shared" si="1"/>
        <v>ㄚㆴ</v>
      </c>
      <c r="V35">
        <f t="shared" si="2"/>
        <v>2</v>
      </c>
      <c r="W35" s="20" t="str">
        <f t="shared" ref="W35:AA66" si="6" xml:space="preserve"> MID($U35,W$1,1)</f>
        <v>ㄚ</v>
      </c>
      <c r="X35" s="20" t="str">
        <f t="shared" si="6"/>
        <v>ㆴ</v>
      </c>
      <c r="Y35" s="20" t="str">
        <f t="shared" si="6"/>
        <v/>
      </c>
      <c r="Z35" s="20" t="str">
        <f t="shared" si="6"/>
        <v/>
      </c>
      <c r="AA35" s="20" t="str">
        <f t="shared" si="6"/>
        <v/>
      </c>
      <c r="AC35" s="61" t="str">
        <f t="shared" si="4"/>
        <v>ㄚㄅ</v>
      </c>
      <c r="AD35" s="57" t="str" cm="1">
        <f t="array" ref="AD35" xml:space="preserve"> IF(W35="", "", INDEX($S$2:$S$46, MATCH(TRUE, EXACT(W35,$R$2:$R$46),0)))</f>
        <v>ㄚ</v>
      </c>
      <c r="AE35" s="57" t="str" cm="1">
        <f t="array" ref="AE35" xml:space="preserve"> IF(X35="", "", INDEX($S$2:$S$46, MATCH(TRUE, EXACT(X35,$R$2:$R$46),0)))</f>
        <v>ㄅ</v>
      </c>
      <c r="AF35" s="57" t="str" cm="1">
        <f t="array" ref="AF35" xml:space="preserve"> IF(Y35="", "", INDEX($S$2:$S$46, MATCH(TRUE, EXACT(Y35,$R$2:$R$46),0)))</f>
        <v/>
      </c>
      <c r="AG35" s="57" t="str" cm="1">
        <f t="array" ref="AG35" xml:space="preserve"> IF(Z35="", "", INDEX($S$2:$S$46, MATCH(TRUE, EXACT(Z35,$R$2:$R$46),0)))</f>
        <v/>
      </c>
      <c r="AH35" s="57" t="str" cm="1">
        <f t="array" ref="AH35" xml:space="preserve"> IF(AA35="", "", INDEX($S$2:$S$46, MATCH(TRUE, EXACT(AA35,$R$2:$R$46),0)))</f>
        <v/>
      </c>
    </row>
    <row r="36" spans="1:34" ht="29.25">
      <c r="A36" s="1">
        <v>39</v>
      </c>
      <c r="B36" s="3" t="s">
        <v>241</v>
      </c>
      <c r="C36" s="3" t="s">
        <v>239</v>
      </c>
      <c r="D36" s="1" t="s">
        <v>240</v>
      </c>
      <c r="E36" s="1" t="s">
        <v>242</v>
      </c>
      <c r="F36" s="55" t="s">
        <v>242</v>
      </c>
      <c r="G36" s="1" t="s">
        <v>240</v>
      </c>
      <c r="H36" s="1" t="s">
        <v>240</v>
      </c>
      <c r="I36" s="1" t="s">
        <v>240</v>
      </c>
      <c r="J36" s="1" t="s">
        <v>243</v>
      </c>
      <c r="K36" s="1" t="s">
        <v>240</v>
      </c>
      <c r="L36" s="1" t="s">
        <v>133</v>
      </c>
      <c r="M36" s="1" t="s">
        <v>17</v>
      </c>
      <c r="N36" s="1" t="s">
        <v>244</v>
      </c>
      <c r="O36" s="60"/>
      <c r="P36" t="s">
        <v>922</v>
      </c>
      <c r="Q36" t="s">
        <v>566</v>
      </c>
      <c r="R36" t="s">
        <v>564</v>
      </c>
      <c r="S36" t="s">
        <v>944</v>
      </c>
      <c r="U36" t="str">
        <f t="shared" si="1"/>
        <v>ㄨㄚ</v>
      </c>
      <c r="V36">
        <f t="shared" si="2"/>
        <v>2</v>
      </c>
      <c r="W36" s="20" t="str">
        <f t="shared" si="6"/>
        <v>ㄨ</v>
      </c>
      <c r="X36" s="20" t="str">
        <f t="shared" si="6"/>
        <v>ㄚ</v>
      </c>
      <c r="Y36" s="20" t="str">
        <f t="shared" si="6"/>
        <v/>
      </c>
      <c r="Z36" s="20" t="str">
        <f t="shared" si="6"/>
        <v/>
      </c>
      <c r="AA36" s="20" t="str">
        <f t="shared" si="6"/>
        <v/>
      </c>
      <c r="AC36" s="61" t="str">
        <f t="shared" si="4"/>
        <v>ㄨㄚ</v>
      </c>
      <c r="AD36" s="57" t="str" cm="1">
        <f t="array" ref="AD36" xml:space="preserve"> IF(W36="", "", INDEX($S$2:$S$46, MATCH(TRUE, EXACT(W36,$R$2:$R$46),0)))</f>
        <v>ㄨ</v>
      </c>
      <c r="AE36" s="57" t="str" cm="1">
        <f t="array" ref="AE36" xml:space="preserve"> IF(X36="", "", INDEX($S$2:$S$46, MATCH(TRUE, EXACT(X36,$R$2:$R$46),0)))</f>
        <v>ㄚ</v>
      </c>
      <c r="AF36" s="57" t="str" cm="1">
        <f t="array" ref="AF36" xml:space="preserve"> IF(Y36="", "", INDEX($S$2:$S$46, MATCH(TRUE, EXACT(Y36,$R$2:$R$46),0)))</f>
        <v/>
      </c>
      <c r="AG36" s="57" t="str" cm="1">
        <f t="array" ref="AG36" xml:space="preserve"> IF(Z36="", "", INDEX($S$2:$S$46, MATCH(TRUE, EXACT(Z36,$R$2:$R$46),0)))</f>
        <v/>
      </c>
      <c r="AH36" s="57" t="str" cm="1">
        <f t="array" ref="AH36" xml:space="preserve"> IF(AA36="", "", INDEX($S$2:$S$46, MATCH(TRUE, EXACT(AA36,$R$2:$R$46),0)))</f>
        <v/>
      </c>
    </row>
    <row r="37" spans="1:34" ht="29.25">
      <c r="A37" s="1">
        <v>40</v>
      </c>
      <c r="B37" s="3" t="s">
        <v>241</v>
      </c>
      <c r="C37" s="3" t="s">
        <v>246</v>
      </c>
      <c r="D37" s="1" t="s">
        <v>247</v>
      </c>
      <c r="E37" s="1" t="s">
        <v>248</v>
      </c>
      <c r="F37" s="55" t="s">
        <v>976</v>
      </c>
      <c r="G37" s="1" t="s">
        <v>249</v>
      </c>
      <c r="H37" s="1" t="s">
        <v>249</v>
      </c>
      <c r="I37" s="1" t="s">
        <v>249</v>
      </c>
      <c r="J37" s="1" t="s">
        <v>250</v>
      </c>
      <c r="K37" s="1" t="s">
        <v>249</v>
      </c>
      <c r="L37" s="1" t="s">
        <v>133</v>
      </c>
      <c r="M37" s="1" t="s">
        <v>24</v>
      </c>
      <c r="N37" s="1" t="s">
        <v>251</v>
      </c>
      <c r="O37" s="60"/>
      <c r="P37" t="s">
        <v>923</v>
      </c>
      <c r="Q37" t="s">
        <v>446</v>
      </c>
      <c r="R37" t="s">
        <v>445</v>
      </c>
      <c r="S37" t="s">
        <v>945</v>
      </c>
      <c r="U37" t="str">
        <f t="shared" si="1"/>
        <v>ㄨㄚㆷ</v>
      </c>
      <c r="V37">
        <f t="shared" si="2"/>
        <v>3</v>
      </c>
      <c r="W37" s="20" t="str">
        <f t="shared" si="6"/>
        <v>ㄨ</v>
      </c>
      <c r="X37" s="20" t="str">
        <f t="shared" si="6"/>
        <v>ㄚ</v>
      </c>
      <c r="Y37" s="20" t="str">
        <f t="shared" si="6"/>
        <v>ㆷ</v>
      </c>
      <c r="Z37" s="20" t="str">
        <f t="shared" si="6"/>
        <v/>
      </c>
      <c r="AA37" s="20" t="str">
        <f t="shared" si="6"/>
        <v/>
      </c>
      <c r="AC37" s="61" t="str">
        <f t="shared" si="4"/>
        <v>ㄨㄚㄏ</v>
      </c>
      <c r="AD37" s="57" t="str" cm="1">
        <f t="array" ref="AD37" xml:space="preserve"> IF(W37="", "", INDEX($S$2:$S$46, MATCH(TRUE, EXACT(W37,$R$2:$R$46),0)))</f>
        <v>ㄨ</v>
      </c>
      <c r="AE37" s="57" t="str" cm="1">
        <f t="array" ref="AE37" xml:space="preserve"> IF(X37="", "", INDEX($S$2:$S$46, MATCH(TRUE, EXACT(X37,$R$2:$R$46),0)))</f>
        <v>ㄚ</v>
      </c>
      <c r="AF37" s="57" t="str" cm="1">
        <f t="array" ref="AF37" xml:space="preserve"> IF(Y37="", "", INDEX($S$2:$S$46, MATCH(TRUE, EXACT(Y37,$R$2:$R$46),0)))</f>
        <v>ㄏ</v>
      </c>
      <c r="AG37" s="57" t="str" cm="1">
        <f t="array" ref="AG37" xml:space="preserve"> IF(Z37="", "", INDEX($S$2:$S$46, MATCH(TRUE, EXACT(Z37,$R$2:$R$46),0)))</f>
        <v/>
      </c>
      <c r="AH37" s="57" t="str" cm="1">
        <f t="array" ref="AH37" xml:space="preserve"> IF(AA37="", "", INDEX($S$2:$S$46, MATCH(TRUE, EXACT(AA37,$R$2:$R$46),0)))</f>
        <v/>
      </c>
    </row>
    <row r="38" spans="1:34" ht="29.25">
      <c r="A38" s="1">
        <v>41</v>
      </c>
      <c r="B38" s="3" t="s">
        <v>255</v>
      </c>
      <c r="C38" s="3" t="s">
        <v>253</v>
      </c>
      <c r="D38" s="1" t="s">
        <v>254</v>
      </c>
      <c r="E38" s="1" t="s">
        <v>256</v>
      </c>
      <c r="F38" s="55" t="s">
        <v>256</v>
      </c>
      <c r="G38" s="1" t="s">
        <v>257</v>
      </c>
      <c r="H38" s="1" t="s">
        <v>257</v>
      </c>
      <c r="I38" s="1" t="s">
        <v>257</v>
      </c>
      <c r="J38" s="1" t="s">
        <v>257</v>
      </c>
      <c r="K38" s="1" t="s">
        <v>257</v>
      </c>
      <c r="L38" s="1" t="s">
        <v>140</v>
      </c>
      <c r="M38" s="1" t="s">
        <v>17</v>
      </c>
      <c r="N38" s="1" t="s">
        <v>258</v>
      </c>
      <c r="O38" s="60"/>
      <c r="P38" t="s">
        <v>924</v>
      </c>
      <c r="Q38" t="s">
        <v>391</v>
      </c>
      <c r="R38" t="s">
        <v>390</v>
      </c>
      <c r="S38" t="s">
        <v>946</v>
      </c>
      <c r="U38" t="str">
        <f t="shared" si="1"/>
        <v>ㄤ</v>
      </c>
      <c r="V38">
        <f t="shared" si="2"/>
        <v>1</v>
      </c>
      <c r="W38" s="20" t="str">
        <f t="shared" si="6"/>
        <v>ㄤ</v>
      </c>
      <c r="X38" s="20" t="str">
        <f t="shared" si="6"/>
        <v/>
      </c>
      <c r="Y38" s="20" t="str">
        <f t="shared" si="6"/>
        <v/>
      </c>
      <c r="Z38" s="20" t="str">
        <f t="shared" si="6"/>
        <v/>
      </c>
      <c r="AA38" s="20" t="str">
        <f t="shared" si="6"/>
        <v/>
      </c>
      <c r="AC38" s="61" t="str">
        <f t="shared" si="4"/>
        <v>ㄤ</v>
      </c>
      <c r="AD38" s="57" t="str" cm="1">
        <f t="array" ref="AD38" xml:space="preserve"> IF(W38="", "", INDEX($S$2:$S$46, MATCH(TRUE, EXACT(W38,$R$2:$R$46),0)))</f>
        <v>ㄤ</v>
      </c>
      <c r="AE38" s="57" t="str" cm="1">
        <f t="array" ref="AE38" xml:space="preserve"> IF(X38="", "", INDEX($S$2:$S$46, MATCH(TRUE, EXACT(X38,$R$2:$R$46),0)))</f>
        <v/>
      </c>
      <c r="AF38" s="57" t="str" cm="1">
        <f t="array" ref="AF38" xml:space="preserve"> IF(Y38="", "", INDEX($S$2:$S$46, MATCH(TRUE, EXACT(Y38,$R$2:$R$46),0)))</f>
        <v/>
      </c>
      <c r="AG38" s="57" t="str" cm="1">
        <f t="array" ref="AG38" xml:space="preserve"> IF(Z38="", "", INDEX($S$2:$S$46, MATCH(TRUE, EXACT(Z38,$R$2:$R$46),0)))</f>
        <v/>
      </c>
      <c r="AH38" s="57" t="str" cm="1">
        <f t="array" ref="AH38" xml:space="preserve"> IF(AA38="", "", INDEX($S$2:$S$46, MATCH(TRUE, EXACT(AA38,$R$2:$R$46),0)))</f>
        <v/>
      </c>
    </row>
    <row r="39" spans="1:34" ht="29.25">
      <c r="A39" s="1">
        <v>42</v>
      </c>
      <c r="B39" s="3" t="s">
        <v>255</v>
      </c>
      <c r="C39" s="3" t="s">
        <v>260</v>
      </c>
      <c r="D39" s="1" t="s">
        <v>261</v>
      </c>
      <c r="E39" s="1" t="s">
        <v>262</v>
      </c>
      <c r="F39" s="55" t="s">
        <v>977</v>
      </c>
      <c r="G39" s="1" t="s">
        <v>263</v>
      </c>
      <c r="H39" s="1" t="s">
        <v>263</v>
      </c>
      <c r="I39" s="1" t="s">
        <v>263</v>
      </c>
      <c r="J39" s="1" t="s">
        <v>263</v>
      </c>
      <c r="K39" s="1" t="s">
        <v>263</v>
      </c>
      <c r="L39" s="1" t="s">
        <v>140</v>
      </c>
      <c r="M39" s="1" t="s">
        <v>24</v>
      </c>
      <c r="N39" s="1" t="s">
        <v>264</v>
      </c>
      <c r="O39" s="60"/>
      <c r="P39" t="s">
        <v>925</v>
      </c>
      <c r="Q39" t="s">
        <v>323</v>
      </c>
      <c r="R39" t="s">
        <v>322</v>
      </c>
      <c r="S39" t="s">
        <v>947</v>
      </c>
      <c r="U39" t="str">
        <f t="shared" si="1"/>
        <v>ㄚㆻ</v>
      </c>
      <c r="V39">
        <f t="shared" si="2"/>
        <v>2</v>
      </c>
      <c r="W39" s="20" t="str">
        <f t="shared" si="6"/>
        <v>ㄚ</v>
      </c>
      <c r="X39" s="20" t="str">
        <f t="shared" si="6"/>
        <v>ㆻ</v>
      </c>
      <c r="Y39" s="20" t="str">
        <f t="shared" si="6"/>
        <v/>
      </c>
      <c r="Z39" s="20" t="str">
        <f t="shared" si="6"/>
        <v/>
      </c>
      <c r="AA39" s="20" t="str">
        <f t="shared" si="6"/>
        <v/>
      </c>
      <c r="AC39" s="61" t="str">
        <f t="shared" si="4"/>
        <v>ㄚㄍ</v>
      </c>
      <c r="AD39" s="57" t="str" cm="1">
        <f t="array" ref="AD39" xml:space="preserve"> IF(W39="", "", INDEX($S$2:$S$46, MATCH(TRUE, EXACT(W39,$R$2:$R$46),0)))</f>
        <v>ㄚ</v>
      </c>
      <c r="AE39" s="57" t="str" cm="1">
        <f t="array" ref="AE39" xml:space="preserve"> IF(X39="", "", INDEX($S$2:$S$46, MATCH(TRUE, EXACT(X39,$R$2:$R$46),0)))</f>
        <v>ㄍ</v>
      </c>
      <c r="AF39" s="57" t="str" cm="1">
        <f t="array" ref="AF39" xml:space="preserve"> IF(Y39="", "", INDEX($S$2:$S$46, MATCH(TRUE, EXACT(Y39,$R$2:$R$46),0)))</f>
        <v/>
      </c>
      <c r="AG39" s="57" t="str" cm="1">
        <f t="array" ref="AG39" xml:space="preserve"> IF(Z39="", "", INDEX($S$2:$S$46, MATCH(TRUE, EXACT(Z39,$R$2:$R$46),0)))</f>
        <v/>
      </c>
      <c r="AH39" s="57" t="str" cm="1">
        <f t="array" ref="AH39" xml:space="preserve"> IF(AA39="", "", INDEX($S$2:$S$46, MATCH(TRUE, EXACT(AA39,$R$2:$R$46),0)))</f>
        <v/>
      </c>
    </row>
    <row r="40" spans="1:34" ht="29.25">
      <c r="A40" s="1">
        <v>43</v>
      </c>
      <c r="B40" s="3" t="s">
        <v>268</v>
      </c>
      <c r="C40" s="3" t="s">
        <v>266</v>
      </c>
      <c r="D40" s="1" t="s">
        <v>267</v>
      </c>
      <c r="E40" s="1" t="s">
        <v>269</v>
      </c>
      <c r="F40" s="55" t="s">
        <v>978</v>
      </c>
      <c r="G40" s="1" t="s">
        <v>267</v>
      </c>
      <c r="H40" s="1" t="s">
        <v>267</v>
      </c>
      <c r="I40" s="1" t="s">
        <v>267</v>
      </c>
      <c r="J40" s="1" t="s">
        <v>267</v>
      </c>
      <c r="K40" s="1" t="s">
        <v>267</v>
      </c>
      <c r="L40" s="1" t="s">
        <v>271</v>
      </c>
      <c r="M40" s="1" t="s">
        <v>17</v>
      </c>
      <c r="N40" s="1" t="s">
        <v>270</v>
      </c>
      <c r="O40" s="60"/>
      <c r="Q40" t="s">
        <v>375</v>
      </c>
      <c r="R40" t="s">
        <v>374</v>
      </c>
      <c r="S40" t="s">
        <v>948</v>
      </c>
      <c r="U40" t="str">
        <f t="shared" si="1"/>
        <v>ㄧㆰ</v>
      </c>
      <c r="V40">
        <f t="shared" si="2"/>
        <v>2</v>
      </c>
      <c r="W40" s="20" t="str">
        <f t="shared" si="6"/>
        <v>ㄧ</v>
      </c>
      <c r="X40" s="20" t="str">
        <f t="shared" si="6"/>
        <v>ㆰ</v>
      </c>
      <c r="Y40" s="20" t="str">
        <f t="shared" si="6"/>
        <v/>
      </c>
      <c r="Z40" s="20" t="str">
        <f t="shared" si="6"/>
        <v/>
      </c>
      <c r="AA40" s="20" t="str">
        <f t="shared" si="6"/>
        <v/>
      </c>
      <c r="AC40" s="61" t="str">
        <f t="shared" si="4"/>
        <v>ㄧㄚㄇ</v>
      </c>
      <c r="AD40" s="57" t="str" cm="1">
        <f t="array" ref="AD40" xml:space="preserve"> IF(W40="", "", INDEX($S$2:$S$46, MATCH(TRUE, EXACT(W40,$R$2:$R$46),0)))</f>
        <v>ㄧ</v>
      </c>
      <c r="AE40" s="57" t="s">
        <v>349</v>
      </c>
      <c r="AF40" s="57" t="s">
        <v>654</v>
      </c>
      <c r="AG40" s="57" t="str" cm="1">
        <f t="array" ref="AG40" xml:space="preserve"> IF(Z40="", "", INDEX($S$2:$S$46, MATCH(TRUE, EXACT(Z40,$R$2:$R$46),0)))</f>
        <v/>
      </c>
      <c r="AH40" s="57" t="str" cm="1">
        <f t="array" ref="AH40" xml:space="preserve"> IF(AA40="", "", INDEX($S$2:$S$46, MATCH(TRUE, EXACT(AA40,$R$2:$R$46),0)))</f>
        <v/>
      </c>
    </row>
    <row r="41" spans="1:34" ht="29.25">
      <c r="A41" s="1">
        <v>44</v>
      </c>
      <c r="B41" s="3" t="s">
        <v>268</v>
      </c>
      <c r="C41" s="3" t="s">
        <v>273</v>
      </c>
      <c r="D41" s="1" t="s">
        <v>274</v>
      </c>
      <c r="E41" s="1" t="s">
        <v>275</v>
      </c>
      <c r="F41" s="55" t="s">
        <v>979</v>
      </c>
      <c r="G41" s="1" t="s">
        <v>276</v>
      </c>
      <c r="H41" s="1" t="s">
        <v>276</v>
      </c>
      <c r="I41" s="1" t="s">
        <v>276</v>
      </c>
      <c r="J41" s="1" t="s">
        <v>276</v>
      </c>
      <c r="K41" s="1" t="s">
        <v>276</v>
      </c>
      <c r="L41" s="1" t="s">
        <v>271</v>
      </c>
      <c r="M41" s="1" t="s">
        <v>24</v>
      </c>
      <c r="N41" s="1" t="s">
        <v>277</v>
      </c>
      <c r="O41" s="60"/>
      <c r="Q41" t="s">
        <v>412</v>
      </c>
      <c r="R41" t="s">
        <v>411</v>
      </c>
      <c r="S41" t="s">
        <v>949</v>
      </c>
      <c r="U41" t="str">
        <f t="shared" si="1"/>
        <v>ㄧㄚㆴ</v>
      </c>
      <c r="V41">
        <f t="shared" si="2"/>
        <v>3</v>
      </c>
      <c r="W41" s="20" t="str">
        <f t="shared" si="6"/>
        <v>ㄧ</v>
      </c>
      <c r="X41" s="20" t="str">
        <f t="shared" si="6"/>
        <v>ㄚ</v>
      </c>
      <c r="Y41" s="20" t="str">
        <f t="shared" si="6"/>
        <v>ㆴ</v>
      </c>
      <c r="Z41" s="20" t="str">
        <f t="shared" si="6"/>
        <v/>
      </c>
      <c r="AA41" s="20" t="str">
        <f t="shared" si="6"/>
        <v/>
      </c>
      <c r="AC41" s="61" t="str">
        <f t="shared" si="4"/>
        <v>ㄧㄚㄅ</v>
      </c>
      <c r="AD41" s="57" t="str" cm="1">
        <f t="array" ref="AD41" xml:space="preserve"> IF(W41="", "", INDEX($S$2:$S$46, MATCH(TRUE, EXACT(W41,$R$2:$R$46),0)))</f>
        <v>ㄧ</v>
      </c>
      <c r="AE41" s="57" t="str" cm="1">
        <f t="array" ref="AE41" xml:space="preserve"> IF(X41="", "", INDEX($S$2:$S$46, MATCH(TRUE, EXACT(X41,$R$2:$R$46),0)))</f>
        <v>ㄚ</v>
      </c>
      <c r="AF41" s="57" t="str" cm="1">
        <f t="array" ref="AF41" xml:space="preserve"> IF(Y41="", "", INDEX($S$2:$S$46, MATCH(TRUE, EXACT(Y41,$R$2:$R$46),0)))</f>
        <v>ㄅ</v>
      </c>
      <c r="AG41" s="57" t="str" cm="1">
        <f t="array" ref="AG41" xml:space="preserve"> IF(Z41="", "", INDEX($S$2:$S$46, MATCH(TRUE, EXACT(Z41,$R$2:$R$46),0)))</f>
        <v/>
      </c>
      <c r="AH41" s="57" t="str" cm="1">
        <f t="array" ref="AH41" xml:space="preserve"> IF(AA41="", "", INDEX($S$2:$S$46, MATCH(TRUE, EXACT(AA41,$R$2:$R$46),0)))</f>
        <v/>
      </c>
    </row>
    <row r="42" spans="1:34" ht="29.25">
      <c r="A42" s="1">
        <v>45</v>
      </c>
      <c r="B42" s="3" t="s">
        <v>281</v>
      </c>
      <c r="C42" s="3" t="s">
        <v>279</v>
      </c>
      <c r="D42" s="1" t="s">
        <v>280</v>
      </c>
      <c r="E42" s="1" t="s">
        <v>282</v>
      </c>
      <c r="F42" s="55" t="s">
        <v>282</v>
      </c>
      <c r="G42" s="1" t="s">
        <v>280</v>
      </c>
      <c r="H42" s="1" t="s">
        <v>280</v>
      </c>
      <c r="I42" s="1" t="s">
        <v>280</v>
      </c>
      <c r="J42" s="1" t="s">
        <v>280</v>
      </c>
      <c r="K42" s="1" t="s">
        <v>283</v>
      </c>
      <c r="L42" s="1" t="s">
        <v>148</v>
      </c>
      <c r="M42" s="1" t="s">
        <v>17</v>
      </c>
      <c r="N42" s="1" t="s">
        <v>284</v>
      </c>
      <c r="O42" s="60"/>
      <c r="Q42" t="s">
        <v>476</v>
      </c>
      <c r="R42" t="s">
        <v>474</v>
      </c>
      <c r="S42" t="s">
        <v>950</v>
      </c>
      <c r="U42" t="str">
        <f t="shared" si="1"/>
        <v>ㄠ</v>
      </c>
      <c r="V42">
        <f t="shared" si="2"/>
        <v>1</v>
      </c>
      <c r="W42" s="20" t="str">
        <f t="shared" si="6"/>
        <v>ㄠ</v>
      </c>
      <c r="X42" s="20" t="str">
        <f t="shared" si="6"/>
        <v/>
      </c>
      <c r="Y42" s="20" t="str">
        <f t="shared" si="6"/>
        <v/>
      </c>
      <c r="Z42" s="20" t="str">
        <f t="shared" si="6"/>
        <v/>
      </c>
      <c r="AA42" s="20" t="str">
        <f t="shared" si="6"/>
        <v/>
      </c>
      <c r="AC42" s="61" t="str">
        <f t="shared" si="4"/>
        <v>ㄠ</v>
      </c>
      <c r="AD42" s="57" t="str" cm="1">
        <f t="array" ref="AD42" xml:space="preserve"> IF(W42="", "", INDEX($S$2:$S$46, MATCH(TRUE, EXACT(W42,$R$2:$R$46),0)))</f>
        <v>ㄠ</v>
      </c>
      <c r="AE42" s="57" t="str" cm="1">
        <f t="array" ref="AE42" xml:space="preserve"> IF(X42="", "", INDEX($S$2:$S$46, MATCH(TRUE, EXACT(X42,$R$2:$R$46),0)))</f>
        <v/>
      </c>
      <c r="AF42" s="57" t="str" cm="1">
        <f t="array" ref="AF42" xml:space="preserve"> IF(Y42="", "", INDEX($S$2:$S$46, MATCH(TRUE, EXACT(Y42,$R$2:$R$46),0)))</f>
        <v/>
      </c>
      <c r="AG42" s="57" t="str" cm="1">
        <f t="array" ref="AG42" xml:space="preserve"> IF(Z42="", "", INDEX($S$2:$S$46, MATCH(TRUE, EXACT(Z42,$R$2:$R$46),0)))</f>
        <v/>
      </c>
      <c r="AH42" s="57" t="str" cm="1">
        <f t="array" ref="AH42" xml:space="preserve"> IF(AA42="", "", INDEX($S$2:$S$46, MATCH(TRUE, EXACT(AA42,$R$2:$R$46),0)))</f>
        <v/>
      </c>
    </row>
    <row r="43" spans="1:34" ht="29.25">
      <c r="A43" s="1">
        <v>46</v>
      </c>
      <c r="B43" s="3" t="s">
        <v>281</v>
      </c>
      <c r="C43" s="6" t="s">
        <v>286</v>
      </c>
      <c r="D43" s="1" t="s">
        <v>287</v>
      </c>
      <c r="E43" s="1" t="s">
        <v>288</v>
      </c>
      <c r="F43" s="55" t="s">
        <v>980</v>
      </c>
      <c r="G43" s="1" t="s">
        <v>289</v>
      </c>
      <c r="H43" s="1" t="s">
        <v>289</v>
      </c>
      <c r="I43" s="1" t="s">
        <v>289</v>
      </c>
      <c r="J43" s="1" t="s">
        <v>289</v>
      </c>
      <c r="K43" s="1" t="s">
        <v>290</v>
      </c>
      <c r="L43" s="1" t="s">
        <v>148</v>
      </c>
      <c r="M43" s="1" t="s">
        <v>24</v>
      </c>
      <c r="N43" s="1" t="s">
        <v>291</v>
      </c>
      <c r="O43" s="60"/>
      <c r="R43" t="s">
        <v>897</v>
      </c>
      <c r="S43" t="s">
        <v>588</v>
      </c>
      <c r="U43" t="str">
        <f t="shared" si="1"/>
        <v>ㄠㆷ</v>
      </c>
      <c r="V43">
        <f t="shared" si="2"/>
        <v>2</v>
      </c>
      <c r="W43" s="20" t="str">
        <f t="shared" si="6"/>
        <v>ㄠ</v>
      </c>
      <c r="X43" s="20" t="str">
        <f t="shared" si="6"/>
        <v>ㆷ</v>
      </c>
      <c r="Y43" s="20" t="str">
        <f t="shared" si="6"/>
        <v/>
      </c>
      <c r="Z43" s="20" t="str">
        <f t="shared" si="6"/>
        <v/>
      </c>
      <c r="AA43" s="20" t="str">
        <f t="shared" si="6"/>
        <v/>
      </c>
      <c r="AC43" s="61" t="str">
        <f t="shared" ref="AC43:AC85" si="7" xml:space="preserve"> _xlfn.CONCAT(AD43:AH43)</f>
        <v>ㄠㄏ</v>
      </c>
      <c r="AD43" s="57" t="str" cm="1">
        <f t="array" ref="AD43" xml:space="preserve"> IF(W43="", "", INDEX($S$2:$S$46, MATCH(TRUE, EXACT(W43,$R$2:$R$46),0)))</f>
        <v>ㄠ</v>
      </c>
      <c r="AE43" s="57" t="str" cm="1">
        <f t="array" ref="AE43" xml:space="preserve"> IF(X43="", "", INDEX($S$2:$S$46, MATCH(TRUE, EXACT(X43,$R$2:$R$46),0)))</f>
        <v>ㄏ</v>
      </c>
      <c r="AF43" s="57" t="str" cm="1">
        <f t="array" ref="AF43" xml:space="preserve"> IF(Y43="", "", INDEX($S$2:$S$46, MATCH(TRUE, EXACT(Y43,$R$2:$R$46),0)))</f>
        <v/>
      </c>
      <c r="AG43" s="57" t="str" cm="1">
        <f t="array" ref="AG43" xml:space="preserve"> IF(Z43="", "", INDEX($S$2:$S$46, MATCH(TRUE, EXACT(Z43,$R$2:$R$46),0)))</f>
        <v/>
      </c>
      <c r="AH43" s="57" t="str" cm="1">
        <f t="array" ref="AH43" xml:space="preserve"> IF(AA43="", "", INDEX($S$2:$S$46, MATCH(TRUE, EXACT(AA43,$R$2:$R$46),0)))</f>
        <v/>
      </c>
    </row>
    <row r="44" spans="1:34" ht="29.25">
      <c r="A44" s="1">
        <v>47</v>
      </c>
      <c r="B44" s="4" t="s">
        <v>295</v>
      </c>
      <c r="C44" s="3" t="s">
        <v>293</v>
      </c>
      <c r="D44" s="1" t="s">
        <v>294</v>
      </c>
      <c r="E44" s="1" t="s">
        <v>296</v>
      </c>
      <c r="F44" s="55" t="s">
        <v>296</v>
      </c>
      <c r="G44" s="1" t="s">
        <v>294</v>
      </c>
      <c r="H44" s="1" t="s">
        <v>294</v>
      </c>
      <c r="I44" s="1" t="s">
        <v>294</v>
      </c>
      <c r="J44" s="1" t="s">
        <v>294</v>
      </c>
      <c r="K44" s="1" t="s">
        <v>294</v>
      </c>
      <c r="L44" s="1" t="s">
        <v>155</v>
      </c>
      <c r="M44" s="1" t="s">
        <v>17</v>
      </c>
      <c r="N44" s="1" t="s">
        <v>297</v>
      </c>
      <c r="O44" s="60"/>
      <c r="R44" t="s">
        <v>896</v>
      </c>
      <c r="S44" t="s">
        <v>603</v>
      </c>
      <c r="U44" t="str">
        <f t="shared" si="1"/>
        <v>ㄧㄚ</v>
      </c>
      <c r="V44">
        <f t="shared" si="2"/>
        <v>2</v>
      </c>
      <c r="W44" s="20" t="str">
        <f t="shared" si="6"/>
        <v>ㄧ</v>
      </c>
      <c r="X44" s="20" t="str">
        <f t="shared" si="6"/>
        <v>ㄚ</v>
      </c>
      <c r="Y44" s="20" t="str">
        <f t="shared" si="6"/>
        <v/>
      </c>
      <c r="Z44" s="20" t="str">
        <f t="shared" si="6"/>
        <v/>
      </c>
      <c r="AA44" s="20" t="str">
        <f t="shared" si="6"/>
        <v/>
      </c>
      <c r="AC44" s="61" t="str">
        <f t="shared" si="7"/>
        <v>ㄧㄚ</v>
      </c>
      <c r="AD44" s="57" t="str" cm="1">
        <f t="array" ref="AD44" xml:space="preserve"> IF(W44="", "", INDEX($S$2:$S$46, MATCH(TRUE, EXACT(W44,$R$2:$R$46),0)))</f>
        <v>ㄧ</v>
      </c>
      <c r="AE44" s="57" t="str" cm="1">
        <f t="array" ref="AE44" xml:space="preserve"> IF(X44="", "", INDEX($S$2:$S$46, MATCH(TRUE, EXACT(X44,$R$2:$R$46),0)))</f>
        <v>ㄚ</v>
      </c>
      <c r="AF44" s="57" t="str" cm="1">
        <f t="array" ref="AF44" xml:space="preserve"> IF(Y44="", "", INDEX($S$2:$S$46, MATCH(TRUE, EXACT(Y44,$R$2:$R$46),0)))</f>
        <v/>
      </c>
      <c r="AG44" s="57" t="str" cm="1">
        <f t="array" ref="AG44" xml:space="preserve"> IF(Z44="", "", INDEX($S$2:$S$46, MATCH(TRUE, EXACT(Z44,$R$2:$R$46),0)))</f>
        <v/>
      </c>
      <c r="AH44" s="57" t="str" cm="1">
        <f t="array" ref="AH44" xml:space="preserve"> IF(AA44="", "", INDEX($S$2:$S$46, MATCH(TRUE, EXACT(AA44,$R$2:$R$46),0)))</f>
        <v/>
      </c>
    </row>
    <row r="45" spans="1:34" ht="29.25">
      <c r="A45" s="1">
        <v>48</v>
      </c>
      <c r="B45" s="4" t="s">
        <v>295</v>
      </c>
      <c r="C45" s="3" t="s">
        <v>299</v>
      </c>
      <c r="D45" s="1" t="s">
        <v>300</v>
      </c>
      <c r="E45" s="1" t="s">
        <v>301</v>
      </c>
      <c r="F45" s="55" t="s">
        <v>981</v>
      </c>
      <c r="G45" s="1" t="s">
        <v>302</v>
      </c>
      <c r="H45" s="1" t="s">
        <v>302</v>
      </c>
      <c r="I45" s="1" t="s">
        <v>302</v>
      </c>
      <c r="J45" s="1" t="s">
        <v>302</v>
      </c>
      <c r="K45" s="1" t="s">
        <v>302</v>
      </c>
      <c r="L45" s="1" t="s">
        <v>155</v>
      </c>
      <c r="M45" s="1" t="s">
        <v>24</v>
      </c>
      <c r="N45" s="1" t="s">
        <v>303</v>
      </c>
      <c r="O45" s="60"/>
      <c r="R45" t="s">
        <v>899</v>
      </c>
      <c r="S45" t="s">
        <v>593</v>
      </c>
      <c r="U45" t="str">
        <f t="shared" si="1"/>
        <v>ㄧㄚㆷ</v>
      </c>
      <c r="V45">
        <f t="shared" si="2"/>
        <v>3</v>
      </c>
      <c r="W45" s="20" t="str">
        <f t="shared" si="6"/>
        <v>ㄧ</v>
      </c>
      <c r="X45" s="20" t="str">
        <f t="shared" si="6"/>
        <v>ㄚ</v>
      </c>
      <c r="Y45" s="20" t="str">
        <f t="shared" si="6"/>
        <v>ㆷ</v>
      </c>
      <c r="Z45" s="20" t="str">
        <f t="shared" si="6"/>
        <v/>
      </c>
      <c r="AA45" s="20" t="str">
        <f t="shared" si="6"/>
        <v/>
      </c>
      <c r="AC45" s="61" t="str">
        <f t="shared" si="7"/>
        <v>ㄧㄚㄏ</v>
      </c>
      <c r="AD45" s="57" t="str" cm="1">
        <f t="array" ref="AD45" xml:space="preserve"> IF(W45="", "", INDEX($S$2:$S$46, MATCH(TRUE, EXACT(W45,$R$2:$R$46),0)))</f>
        <v>ㄧ</v>
      </c>
      <c r="AE45" s="57" t="str" cm="1">
        <f t="array" ref="AE45" xml:space="preserve"> IF(X45="", "", INDEX($S$2:$S$46, MATCH(TRUE, EXACT(X45,$R$2:$R$46),0)))</f>
        <v>ㄚ</v>
      </c>
      <c r="AF45" s="57" t="str" cm="1">
        <f t="array" ref="AF45" xml:space="preserve"> IF(Y45="", "", INDEX($S$2:$S$46, MATCH(TRUE, EXACT(Y45,$R$2:$R$46),0)))</f>
        <v>ㄏ</v>
      </c>
      <c r="AG45" s="57" t="str" cm="1">
        <f t="array" ref="AG45" xml:space="preserve"> IF(Z45="", "", INDEX($S$2:$S$46, MATCH(TRUE, EXACT(Z45,$R$2:$R$46),0)))</f>
        <v/>
      </c>
      <c r="AH45" s="57" t="str" cm="1">
        <f t="array" ref="AH45" xml:space="preserve"> IF(AA45="", "", INDEX($S$2:$S$46, MATCH(TRUE, EXACT(AA45,$R$2:$R$46),0)))</f>
        <v/>
      </c>
    </row>
    <row r="46" spans="1:34" ht="29.25">
      <c r="A46" s="1">
        <v>49</v>
      </c>
      <c r="B46" s="3" t="s">
        <v>307</v>
      </c>
      <c r="C46" s="3" t="s">
        <v>305</v>
      </c>
      <c r="D46" s="1" t="s">
        <v>306</v>
      </c>
      <c r="E46" s="1" t="s">
        <v>308</v>
      </c>
      <c r="F46" s="55" t="s">
        <v>931</v>
      </c>
      <c r="G46" s="1" t="s">
        <v>309</v>
      </c>
      <c r="H46" s="1" t="s">
        <v>309</v>
      </c>
      <c r="I46" s="1" t="s">
        <v>309</v>
      </c>
      <c r="J46" s="1" t="s">
        <v>310</v>
      </c>
      <c r="K46" s="1" t="s">
        <v>309</v>
      </c>
      <c r="L46" s="1" t="s">
        <v>162</v>
      </c>
      <c r="M46" s="1" t="s">
        <v>17</v>
      </c>
      <c r="N46" s="1" t="s">
        <v>311</v>
      </c>
      <c r="O46" s="60"/>
      <c r="R46" t="s">
        <v>898</v>
      </c>
      <c r="S46" t="s">
        <v>652</v>
      </c>
      <c r="U46" t="str">
        <f t="shared" si="1"/>
        <v>ㄨㆤ</v>
      </c>
      <c r="V46">
        <f t="shared" si="2"/>
        <v>2</v>
      </c>
      <c r="W46" s="20" t="str">
        <f t="shared" si="6"/>
        <v>ㄨ</v>
      </c>
      <c r="X46" s="20" t="str">
        <f t="shared" si="6"/>
        <v>ㆤ</v>
      </c>
      <c r="Y46" s="20" t="str">
        <f t="shared" si="6"/>
        <v/>
      </c>
      <c r="Z46" s="20" t="str">
        <f t="shared" si="6"/>
        <v/>
      </c>
      <c r="AA46" s="20" t="str">
        <f t="shared" si="6"/>
        <v/>
      </c>
      <c r="AC46" s="61" t="str">
        <f t="shared" si="7"/>
        <v>ㄨㄝ</v>
      </c>
      <c r="AD46" s="57" t="str" cm="1">
        <f t="array" ref="AD46" xml:space="preserve"> IF(W46="", "", INDEX($S$2:$S$46, MATCH(TRUE, EXACT(W46,$R$2:$R$46),0)))</f>
        <v>ㄨ</v>
      </c>
      <c r="AE46" s="57" t="str" cm="1">
        <f t="array" ref="AE46" xml:space="preserve"> IF(X46="", "", INDEX($S$2:$S$46, MATCH(TRUE, EXACT(X46,$R$2:$R$46),0)))</f>
        <v>ㄝ</v>
      </c>
      <c r="AF46" s="57" t="str" cm="1">
        <f t="array" ref="AF46" xml:space="preserve"> IF(Y46="", "", INDEX($S$2:$S$46, MATCH(TRUE, EXACT(Y46,$R$2:$R$46),0)))</f>
        <v/>
      </c>
      <c r="AG46" s="57" t="str" cm="1">
        <f t="array" ref="AG46" xml:space="preserve"> IF(Z46="", "", INDEX($S$2:$S$46, MATCH(TRUE, EXACT(Z46,$R$2:$R$46),0)))</f>
        <v/>
      </c>
      <c r="AH46" s="57" t="str" cm="1">
        <f t="array" ref="AH46" xml:space="preserve"> IF(AA46="", "", INDEX($S$2:$S$46, MATCH(TRUE, EXACT(AA46,$R$2:$R$46),0)))</f>
        <v/>
      </c>
    </row>
    <row r="47" spans="1:34" ht="29.25">
      <c r="A47" s="1">
        <v>50</v>
      </c>
      <c r="B47" s="3" t="s">
        <v>307</v>
      </c>
      <c r="C47" s="4" t="s">
        <v>313</v>
      </c>
      <c r="D47" s="1" t="s">
        <v>314</v>
      </c>
      <c r="E47" s="1" t="s">
        <v>315</v>
      </c>
      <c r="F47" s="55" t="s">
        <v>982</v>
      </c>
      <c r="G47" s="1" t="s">
        <v>316</v>
      </c>
      <c r="H47" s="1" t="s">
        <v>316</v>
      </c>
      <c r="I47" s="1" t="s">
        <v>316</v>
      </c>
      <c r="J47" s="1" t="s">
        <v>317</v>
      </c>
      <c r="K47" s="1" t="s">
        <v>316</v>
      </c>
      <c r="L47" s="1" t="s">
        <v>162</v>
      </c>
      <c r="M47" s="1" t="s">
        <v>24</v>
      </c>
      <c r="N47" s="1" t="s">
        <v>318</v>
      </c>
      <c r="O47" s="60"/>
      <c r="U47" t="str">
        <f t="shared" si="1"/>
        <v>ㄨㆤㆷ</v>
      </c>
      <c r="V47">
        <f t="shared" si="2"/>
        <v>3</v>
      </c>
      <c r="W47" s="20" t="str">
        <f t="shared" si="6"/>
        <v>ㄨ</v>
      </c>
      <c r="X47" s="20" t="str">
        <f t="shared" si="6"/>
        <v>ㆤ</v>
      </c>
      <c r="Y47" s="20" t="str">
        <f t="shared" si="6"/>
        <v>ㆷ</v>
      </c>
      <c r="Z47" s="20" t="str">
        <f t="shared" si="6"/>
        <v/>
      </c>
      <c r="AA47" s="20" t="str">
        <f t="shared" si="6"/>
        <v/>
      </c>
      <c r="AC47" s="61" t="str">
        <f t="shared" si="7"/>
        <v>ㄨㄝㄏ</v>
      </c>
      <c r="AD47" s="57" t="str" cm="1">
        <f t="array" ref="AD47" xml:space="preserve"> IF(W47="", "", INDEX($S$2:$S$46, MATCH(TRUE, EXACT(W47,$R$2:$R$46),0)))</f>
        <v>ㄨ</v>
      </c>
      <c r="AE47" s="57" t="str" cm="1">
        <f t="array" ref="AE47" xml:space="preserve"> IF(X47="", "", INDEX($S$2:$S$46, MATCH(TRUE, EXACT(X47,$R$2:$R$46),0)))</f>
        <v>ㄝ</v>
      </c>
      <c r="AF47" s="57" t="str" cm="1">
        <f t="array" ref="AF47" xml:space="preserve"> IF(Y47="", "", INDEX($S$2:$S$46, MATCH(TRUE, EXACT(Y47,$R$2:$R$46),0)))</f>
        <v>ㄏ</v>
      </c>
      <c r="AG47" s="57" t="str" cm="1">
        <f t="array" ref="AG47" xml:space="preserve"> IF(Z47="", "", INDEX($S$2:$S$46, MATCH(TRUE, EXACT(Z47,$R$2:$R$46),0)))</f>
        <v/>
      </c>
      <c r="AH47" s="57" t="str" cm="1">
        <f t="array" ref="AH47" xml:space="preserve"> IF(AA47="", "", INDEX($S$2:$S$46, MATCH(TRUE, EXACT(AA47,$R$2:$R$46),0)))</f>
        <v/>
      </c>
    </row>
    <row r="48" spans="1:34" ht="29.25">
      <c r="A48" s="1">
        <v>51</v>
      </c>
      <c r="B48" s="3" t="s">
        <v>321</v>
      </c>
      <c r="C48" s="3" t="s">
        <v>319</v>
      </c>
      <c r="D48" s="1" t="s">
        <v>320</v>
      </c>
      <c r="E48" s="1" t="s">
        <v>322</v>
      </c>
      <c r="F48" s="55" t="s">
        <v>947</v>
      </c>
      <c r="G48" s="1" t="s">
        <v>323</v>
      </c>
      <c r="H48" s="1" t="s">
        <v>323</v>
      </c>
      <c r="I48" s="1" t="s">
        <v>323</v>
      </c>
      <c r="J48" s="1" t="s">
        <v>324</v>
      </c>
      <c r="K48" s="1" t="s">
        <v>325</v>
      </c>
      <c r="L48" s="1" t="s">
        <v>327</v>
      </c>
      <c r="M48" s="1" t="s">
        <v>17</v>
      </c>
      <c r="N48" s="1" t="s">
        <v>326</v>
      </c>
      <c r="O48" s="60"/>
      <c r="U48" t="str">
        <f t="shared" si="1"/>
        <v>ㆩ</v>
      </c>
      <c r="V48">
        <f t="shared" si="2"/>
        <v>1</v>
      </c>
      <c r="W48" s="20" t="str">
        <f t="shared" si="6"/>
        <v>ㆩ</v>
      </c>
      <c r="X48" s="20" t="str">
        <f t="shared" si="6"/>
        <v/>
      </c>
      <c r="Y48" s="20" t="str">
        <f t="shared" si="6"/>
        <v/>
      </c>
      <c r="Z48" s="20" t="str">
        <f t="shared" si="6"/>
        <v/>
      </c>
      <c r="AA48" s="20" t="str">
        <f t="shared" si="6"/>
        <v/>
      </c>
      <c r="AC48" s="61" t="str">
        <f t="shared" si="7"/>
        <v>⁰ㄚ</v>
      </c>
      <c r="AD48" s="57" t="str" cm="1">
        <f t="array" ref="AD48" xml:space="preserve"> IF(W48="", "", INDEX($S$2:$S$46, MATCH(TRUE, EXACT(W48,$R$2:$R$46),0)))</f>
        <v>⁰ㄚ</v>
      </c>
      <c r="AE48" s="57" t="str" cm="1">
        <f t="array" ref="AE48" xml:space="preserve"> IF(X48="", "", INDEX($S$2:$S$46, MATCH(TRUE, EXACT(X48,$R$2:$R$46),0)))</f>
        <v/>
      </c>
      <c r="AF48" s="57" t="str" cm="1">
        <f t="array" ref="AF48" xml:space="preserve"> IF(Y48="", "", INDEX($S$2:$S$46, MATCH(TRUE, EXACT(Y48,$R$2:$R$46),0)))</f>
        <v/>
      </c>
      <c r="AG48" s="57" t="str" cm="1">
        <f t="array" ref="AG48" xml:space="preserve"> IF(Z48="", "", INDEX($S$2:$S$46, MATCH(TRUE, EXACT(Z48,$R$2:$R$46),0)))</f>
        <v/>
      </c>
      <c r="AH48" s="57" t="str" cm="1">
        <f t="array" ref="AH48" xml:space="preserve"> IF(AA48="", "", INDEX($S$2:$S$46, MATCH(TRUE, EXACT(AA48,$R$2:$R$46),0)))</f>
        <v/>
      </c>
    </row>
    <row r="49" spans="1:36" ht="29.25">
      <c r="A49" s="1">
        <v>52</v>
      </c>
      <c r="B49" s="3" t="s">
        <v>321</v>
      </c>
      <c r="C49" s="9" t="s">
        <v>328</v>
      </c>
      <c r="D49" s="1" t="s">
        <v>329</v>
      </c>
      <c r="E49" s="1" t="s">
        <v>330</v>
      </c>
      <c r="F49" s="55" t="s">
        <v>983</v>
      </c>
      <c r="G49" s="1" t="s">
        <v>331</v>
      </c>
      <c r="H49" s="1" t="s">
        <v>332</v>
      </c>
      <c r="I49" s="1" t="s">
        <v>332</v>
      </c>
      <c r="J49" s="1" t="s">
        <v>333</v>
      </c>
      <c r="K49" s="1" t="s">
        <v>334</v>
      </c>
      <c r="L49" s="1" t="s">
        <v>327</v>
      </c>
      <c r="M49" s="1" t="s">
        <v>24</v>
      </c>
      <c r="N49" s="1" t="s">
        <v>335</v>
      </c>
      <c r="O49" s="60"/>
      <c r="U49" t="str">
        <f t="shared" si="1"/>
        <v>ㆩㆷ</v>
      </c>
      <c r="V49">
        <f t="shared" si="2"/>
        <v>2</v>
      </c>
      <c r="W49" s="20" t="str">
        <f t="shared" si="6"/>
        <v>ㆩ</v>
      </c>
      <c r="X49" s="20" t="str">
        <f t="shared" si="6"/>
        <v>ㆷ</v>
      </c>
      <c r="Y49" s="20" t="str">
        <f t="shared" si="6"/>
        <v/>
      </c>
      <c r="Z49" s="20" t="str">
        <f t="shared" si="6"/>
        <v/>
      </c>
      <c r="AA49" s="20" t="str">
        <f t="shared" si="6"/>
        <v/>
      </c>
      <c r="AC49" s="61" t="str">
        <f t="shared" si="7"/>
        <v>⁰ㄚㄏ</v>
      </c>
      <c r="AD49" s="57" t="str" cm="1">
        <f t="array" ref="AD49" xml:space="preserve"> IF(W49="", "", INDEX($S$2:$S$46, MATCH(TRUE, EXACT(W49,$R$2:$R$46),0)))</f>
        <v>⁰ㄚ</v>
      </c>
      <c r="AE49" s="57" t="str" cm="1">
        <f t="array" ref="AE49" xml:space="preserve"> IF(X49="", "", INDEX($S$2:$S$46, MATCH(TRUE, EXACT(X49,$R$2:$R$46),0)))</f>
        <v>ㄏ</v>
      </c>
      <c r="AF49" s="57" t="str" cm="1">
        <f t="array" ref="AF49" xml:space="preserve"> IF(Y49="", "", INDEX($S$2:$S$46, MATCH(TRUE, EXACT(Y49,$R$2:$R$46),0)))</f>
        <v/>
      </c>
      <c r="AG49" s="57" t="str" cm="1">
        <f t="array" ref="AG49" xml:space="preserve"> IF(Z49="", "", INDEX($S$2:$S$46, MATCH(TRUE, EXACT(Z49,$R$2:$R$46),0)))</f>
        <v/>
      </c>
      <c r="AH49" s="57" t="str" cm="1">
        <f t="array" ref="AH49" xml:space="preserve"> IF(AA49="", "", INDEX($S$2:$S$46, MATCH(TRUE, EXACT(AA49,$R$2:$R$46),0)))</f>
        <v/>
      </c>
    </row>
    <row r="50" spans="1:36" ht="29.25">
      <c r="A50" s="1">
        <v>53</v>
      </c>
      <c r="B50" s="3" t="s">
        <v>338</v>
      </c>
      <c r="C50" s="3" t="s">
        <v>336</v>
      </c>
      <c r="D50" s="1" t="s">
        <v>337</v>
      </c>
      <c r="E50" s="1" t="s">
        <v>339</v>
      </c>
      <c r="F50" s="55" t="s">
        <v>339</v>
      </c>
      <c r="G50" s="1" t="s">
        <v>337</v>
      </c>
      <c r="H50" s="1" t="s">
        <v>337</v>
      </c>
      <c r="I50" s="1" t="s">
        <v>337</v>
      </c>
      <c r="J50" s="1" t="s">
        <v>337</v>
      </c>
      <c r="K50" s="1" t="s">
        <v>337</v>
      </c>
      <c r="L50" s="1" t="s">
        <v>168</v>
      </c>
      <c r="M50" s="1" t="s">
        <v>17</v>
      </c>
      <c r="N50" s="1" t="s">
        <v>340</v>
      </c>
      <c r="O50" s="60"/>
      <c r="U50" t="str">
        <f t="shared" si="1"/>
        <v>ㄨ</v>
      </c>
      <c r="V50">
        <f t="shared" si="2"/>
        <v>1</v>
      </c>
      <c r="W50" s="20" t="str">
        <f t="shared" si="6"/>
        <v>ㄨ</v>
      </c>
      <c r="X50" s="20" t="str">
        <f t="shared" si="6"/>
        <v/>
      </c>
      <c r="Y50" s="20" t="str">
        <f t="shared" si="6"/>
        <v/>
      </c>
      <c r="Z50" s="20" t="str">
        <f t="shared" si="6"/>
        <v/>
      </c>
      <c r="AA50" s="20" t="str">
        <f t="shared" si="6"/>
        <v/>
      </c>
      <c r="AC50" s="61" t="str">
        <f t="shared" si="7"/>
        <v>ㄨ</v>
      </c>
      <c r="AD50" s="57" t="str" cm="1">
        <f t="array" ref="AD50" xml:space="preserve"> IF(W50="", "", INDEX($S$2:$S$46, MATCH(TRUE, EXACT(W50,$R$2:$R$46),0)))</f>
        <v>ㄨ</v>
      </c>
      <c r="AE50" s="57" t="str" cm="1">
        <f t="array" ref="AE50" xml:space="preserve"> IF(X50="", "", INDEX($S$2:$S$46, MATCH(TRUE, EXACT(X50,$R$2:$R$46),0)))</f>
        <v/>
      </c>
      <c r="AF50" s="57" t="str" cm="1">
        <f t="array" ref="AF50" xml:space="preserve"> IF(Y50="", "", INDEX($S$2:$S$46, MATCH(TRUE, EXACT(Y50,$R$2:$R$46),0)))</f>
        <v/>
      </c>
      <c r="AG50" s="57" t="str" cm="1">
        <f t="array" ref="AG50" xml:space="preserve"> IF(Z50="", "", INDEX($S$2:$S$46, MATCH(TRUE, EXACT(Z50,$R$2:$R$46),0)))</f>
        <v/>
      </c>
      <c r="AH50" s="57" t="str" cm="1">
        <f t="array" ref="AH50" xml:space="preserve"> IF(AA50="", "", INDEX($S$2:$S$46, MATCH(TRUE, EXACT(AA50,$R$2:$R$46),0)))</f>
        <v/>
      </c>
    </row>
    <row r="51" spans="1:36" ht="29.25">
      <c r="A51" s="1">
        <v>54</v>
      </c>
      <c r="B51" s="3" t="s">
        <v>338</v>
      </c>
      <c r="C51" s="4" t="s">
        <v>341</v>
      </c>
      <c r="D51" s="1" t="s">
        <v>342</v>
      </c>
      <c r="E51" s="1" t="s">
        <v>343</v>
      </c>
      <c r="F51" s="55" t="s">
        <v>984</v>
      </c>
      <c r="G51" s="1" t="s">
        <v>344</v>
      </c>
      <c r="H51" s="1" t="s">
        <v>344</v>
      </c>
      <c r="I51" s="1" t="s">
        <v>344</v>
      </c>
      <c r="J51" s="1" t="s">
        <v>344</v>
      </c>
      <c r="K51" s="1" t="s">
        <v>344</v>
      </c>
      <c r="L51" s="1" t="s">
        <v>168</v>
      </c>
      <c r="M51" s="1" t="s">
        <v>24</v>
      </c>
      <c r="N51" s="1" t="s">
        <v>345</v>
      </c>
      <c r="O51" s="60"/>
      <c r="U51" t="str">
        <f t="shared" si="1"/>
        <v>ㄨㆷ</v>
      </c>
      <c r="V51">
        <f t="shared" si="2"/>
        <v>2</v>
      </c>
      <c r="W51" s="20" t="str">
        <f t="shared" si="6"/>
        <v>ㄨ</v>
      </c>
      <c r="X51" s="20" t="str">
        <f t="shared" si="6"/>
        <v>ㆷ</v>
      </c>
      <c r="Y51" s="20" t="str">
        <f t="shared" si="6"/>
        <v/>
      </c>
      <c r="Z51" s="20" t="str">
        <f t="shared" si="6"/>
        <v/>
      </c>
      <c r="AA51" s="20" t="str">
        <f t="shared" si="6"/>
        <v/>
      </c>
      <c r="AC51" s="61" t="str">
        <f t="shared" si="7"/>
        <v>ㄨㄏ</v>
      </c>
      <c r="AD51" s="57" t="str" cm="1">
        <f t="array" ref="AD51" xml:space="preserve"> IF(W51="", "", INDEX($S$2:$S$46, MATCH(TRUE, EXACT(W51,$R$2:$R$46),0)))</f>
        <v>ㄨ</v>
      </c>
      <c r="AE51" s="57" t="str" cm="1">
        <f t="array" ref="AE51" xml:space="preserve"> IF(X51="", "", INDEX($S$2:$S$46, MATCH(TRUE, EXACT(X51,$R$2:$R$46),0)))</f>
        <v>ㄏ</v>
      </c>
      <c r="AF51" s="57" t="str" cm="1">
        <f t="array" ref="AF51" xml:space="preserve"> IF(Y51="", "", INDEX($S$2:$S$46, MATCH(TRUE, EXACT(Y51,$R$2:$R$46),0)))</f>
        <v/>
      </c>
      <c r="AG51" s="57" t="str" cm="1">
        <f t="array" ref="AG51" xml:space="preserve"> IF(Z51="", "", INDEX($S$2:$S$46, MATCH(TRUE, EXACT(Z51,$R$2:$R$46),0)))</f>
        <v/>
      </c>
      <c r="AH51" s="57" t="str" cm="1">
        <f t="array" ref="AH51" xml:space="preserve"> IF(AA51="", "", INDEX($S$2:$S$46, MATCH(TRUE, EXACT(AA51,$R$2:$R$46),0)))</f>
        <v/>
      </c>
    </row>
    <row r="52" spans="1:36" ht="29.25">
      <c r="A52" s="1">
        <v>55</v>
      </c>
      <c r="B52" s="3" t="s">
        <v>348</v>
      </c>
      <c r="C52" s="3" t="s">
        <v>346</v>
      </c>
      <c r="D52" s="1" t="s">
        <v>347</v>
      </c>
      <c r="E52" s="1" t="s">
        <v>349</v>
      </c>
      <c r="F52" s="55" t="s">
        <v>349</v>
      </c>
      <c r="G52" s="1" t="s">
        <v>347</v>
      </c>
      <c r="H52" s="1" t="s">
        <v>347</v>
      </c>
      <c r="I52" s="1" t="s">
        <v>347</v>
      </c>
      <c r="J52" s="1" t="s">
        <v>347</v>
      </c>
      <c r="K52" s="1" t="s">
        <v>347</v>
      </c>
      <c r="L52" s="1" t="s">
        <v>175</v>
      </c>
      <c r="M52" s="1" t="s">
        <v>17</v>
      </c>
      <c r="N52" s="1" t="s">
        <v>350</v>
      </c>
      <c r="O52" s="60"/>
      <c r="U52" t="str">
        <f t="shared" si="1"/>
        <v>ㄚ</v>
      </c>
      <c r="V52">
        <f t="shared" si="2"/>
        <v>1</v>
      </c>
      <c r="W52" s="20" t="str">
        <f t="shared" si="6"/>
        <v>ㄚ</v>
      </c>
      <c r="X52" s="20" t="str">
        <f t="shared" si="6"/>
        <v/>
      </c>
      <c r="Y52" s="20" t="str">
        <f t="shared" si="6"/>
        <v/>
      </c>
      <c r="Z52" s="20" t="str">
        <f t="shared" si="6"/>
        <v/>
      </c>
      <c r="AA52" s="20" t="str">
        <f t="shared" si="6"/>
        <v/>
      </c>
      <c r="AC52" s="61" t="str">
        <f t="shared" si="7"/>
        <v>ㄚ</v>
      </c>
      <c r="AD52" s="57" t="str" cm="1">
        <f t="array" ref="AD52" xml:space="preserve"> IF(W52="", "", INDEX($S$2:$S$46, MATCH(TRUE, EXACT(W52,$R$2:$R$46),0)))</f>
        <v>ㄚ</v>
      </c>
      <c r="AE52" s="57" t="str" cm="1">
        <f t="array" ref="AE52" xml:space="preserve"> IF(X52="", "", INDEX($S$2:$S$46, MATCH(TRUE, EXACT(X52,$R$2:$R$46),0)))</f>
        <v/>
      </c>
      <c r="AF52" s="57" t="str" cm="1">
        <f t="array" ref="AF52" xml:space="preserve"> IF(Y52="", "", INDEX($S$2:$S$46, MATCH(TRUE, EXACT(Y52,$R$2:$R$46),0)))</f>
        <v/>
      </c>
      <c r="AG52" s="57" t="str" cm="1">
        <f t="array" ref="AG52" xml:space="preserve"> IF(Z52="", "", INDEX($S$2:$S$46, MATCH(TRUE, EXACT(Z52,$R$2:$R$46),0)))</f>
        <v/>
      </c>
      <c r="AH52" s="57" t="str" cm="1">
        <f t="array" ref="AH52" xml:space="preserve"> IF(AA52="", "", INDEX($S$2:$S$46, MATCH(TRUE, EXACT(AA52,$R$2:$R$46),0)))</f>
        <v/>
      </c>
    </row>
    <row r="53" spans="1:36" ht="29.25">
      <c r="A53" s="1">
        <v>56</v>
      </c>
      <c r="B53" s="3" t="s">
        <v>348</v>
      </c>
      <c r="C53" s="3" t="s">
        <v>351</v>
      </c>
      <c r="D53" s="1" t="s">
        <v>352</v>
      </c>
      <c r="E53" s="1" t="s">
        <v>353</v>
      </c>
      <c r="F53" s="55" t="s">
        <v>985</v>
      </c>
      <c r="G53" s="1" t="s">
        <v>354</v>
      </c>
      <c r="H53" s="1" t="s">
        <v>354</v>
      </c>
      <c r="I53" s="1" t="s">
        <v>354</v>
      </c>
      <c r="J53" s="1" t="s">
        <v>354</v>
      </c>
      <c r="K53" s="1" t="s">
        <v>354</v>
      </c>
      <c r="L53" s="1" t="s">
        <v>175</v>
      </c>
      <c r="M53" s="1" t="s">
        <v>24</v>
      </c>
      <c r="N53" s="1" t="s">
        <v>355</v>
      </c>
      <c r="O53" s="60"/>
      <c r="U53" t="str">
        <f t="shared" si="1"/>
        <v>ㄚㆷ</v>
      </c>
      <c r="V53">
        <f t="shared" si="2"/>
        <v>2</v>
      </c>
      <c r="W53" s="20" t="str">
        <f t="shared" si="6"/>
        <v>ㄚ</v>
      </c>
      <c r="X53" s="20" t="str">
        <f t="shared" si="6"/>
        <v>ㆷ</v>
      </c>
      <c r="Y53" s="20" t="str">
        <f t="shared" si="6"/>
        <v/>
      </c>
      <c r="Z53" s="20" t="str">
        <f t="shared" si="6"/>
        <v/>
      </c>
      <c r="AA53" s="20" t="str">
        <f t="shared" si="6"/>
        <v/>
      </c>
      <c r="AC53" s="61" t="str">
        <f t="shared" si="7"/>
        <v>ㄚㄏ</v>
      </c>
      <c r="AD53" s="57" t="str" cm="1">
        <f t="array" ref="AD53" xml:space="preserve"> IF(W53="", "", INDEX($S$2:$S$46, MATCH(TRUE, EXACT(W53,$R$2:$R$46),0)))</f>
        <v>ㄚ</v>
      </c>
      <c r="AE53" s="57" t="str" cm="1">
        <f t="array" ref="AE53" xml:space="preserve"> IF(X53="", "", INDEX($S$2:$S$46, MATCH(TRUE, EXACT(X53,$R$2:$R$46),0)))</f>
        <v>ㄏ</v>
      </c>
      <c r="AF53" s="57" t="str" cm="1">
        <f t="array" ref="AF53" xml:space="preserve"> IF(Y53="", "", INDEX($S$2:$S$46, MATCH(TRUE, EXACT(Y53,$R$2:$R$46),0)))</f>
        <v/>
      </c>
      <c r="AG53" s="57" t="str" cm="1">
        <f t="array" ref="AG53" xml:space="preserve"> IF(Z53="", "", INDEX($S$2:$S$46, MATCH(TRUE, EXACT(Z53,$R$2:$R$46),0)))</f>
        <v/>
      </c>
      <c r="AH53" s="57" t="str" cm="1">
        <f t="array" ref="AH53" xml:space="preserve"> IF(AA53="", "", INDEX($S$2:$S$46, MATCH(TRUE, EXACT(AA53,$R$2:$R$46),0)))</f>
        <v/>
      </c>
    </row>
    <row r="54" spans="1:36" ht="29.25">
      <c r="A54" s="1">
        <v>57</v>
      </c>
      <c r="B54" s="3" t="s">
        <v>358</v>
      </c>
      <c r="C54" s="3" t="s">
        <v>356</v>
      </c>
      <c r="D54" s="1" t="s">
        <v>357</v>
      </c>
      <c r="E54" s="1" t="s">
        <v>359</v>
      </c>
      <c r="F54" s="55" t="s">
        <v>359</v>
      </c>
      <c r="G54" s="1" t="s">
        <v>357</v>
      </c>
      <c r="H54" s="1" t="s">
        <v>357</v>
      </c>
      <c r="I54" s="1" t="s">
        <v>357</v>
      </c>
      <c r="J54" s="1" t="s">
        <v>357</v>
      </c>
      <c r="K54" s="1" t="s">
        <v>357</v>
      </c>
      <c r="L54" s="1" t="s">
        <v>181</v>
      </c>
      <c r="M54" s="1" t="s">
        <v>17</v>
      </c>
      <c r="N54" s="1" t="s">
        <v>360</v>
      </c>
      <c r="O54" s="60"/>
      <c r="U54" t="str">
        <f t="shared" si="1"/>
        <v>ㄧ</v>
      </c>
      <c r="V54">
        <f t="shared" si="2"/>
        <v>1</v>
      </c>
      <c r="W54" s="20" t="str">
        <f t="shared" si="6"/>
        <v>ㄧ</v>
      </c>
      <c r="X54" s="20" t="str">
        <f t="shared" si="6"/>
        <v/>
      </c>
      <c r="Y54" s="20" t="str">
        <f t="shared" si="6"/>
        <v/>
      </c>
      <c r="Z54" s="20" t="str">
        <f t="shared" si="6"/>
        <v/>
      </c>
      <c r="AA54" s="20" t="str">
        <f t="shared" si="6"/>
        <v/>
      </c>
      <c r="AC54" s="61" t="str">
        <f t="shared" si="7"/>
        <v>ㄧ</v>
      </c>
      <c r="AD54" s="57" t="str" cm="1">
        <f t="array" ref="AD54" xml:space="preserve"> IF(W54="", "", INDEX($S$2:$S$46, MATCH(TRUE, EXACT(W54,$R$2:$R$46),0)))</f>
        <v>ㄧ</v>
      </c>
      <c r="AE54" s="57" t="str" cm="1">
        <f t="array" ref="AE54" xml:space="preserve"> IF(X54="", "", INDEX($S$2:$S$46, MATCH(TRUE, EXACT(X54,$R$2:$R$46),0)))</f>
        <v/>
      </c>
      <c r="AF54" s="57" t="str" cm="1">
        <f t="array" ref="AF54" xml:space="preserve"> IF(Y54="", "", INDEX($S$2:$S$46, MATCH(TRUE, EXACT(Y54,$R$2:$R$46),0)))</f>
        <v/>
      </c>
      <c r="AG54" s="57" t="str" cm="1">
        <f t="array" ref="AG54" xml:space="preserve"> IF(Z54="", "", INDEX($S$2:$S$46, MATCH(TRUE, EXACT(Z54,$R$2:$R$46),0)))</f>
        <v/>
      </c>
      <c r="AH54" s="57" t="str" cm="1">
        <f t="array" ref="AH54" xml:space="preserve"> IF(AA54="", "", INDEX($S$2:$S$46, MATCH(TRUE, EXACT(AA54,$R$2:$R$46),0)))</f>
        <v/>
      </c>
    </row>
    <row r="55" spans="1:36" ht="29.25">
      <c r="A55" s="1">
        <v>58</v>
      </c>
      <c r="B55" s="3" t="s">
        <v>358</v>
      </c>
      <c r="C55" s="5" t="s">
        <v>361</v>
      </c>
      <c r="D55" s="1" t="s">
        <v>362</v>
      </c>
      <c r="E55" s="1" t="s">
        <v>363</v>
      </c>
      <c r="F55" s="55" t="s">
        <v>986</v>
      </c>
      <c r="G55" s="1" t="s">
        <v>364</v>
      </c>
      <c r="H55" s="1" t="s">
        <v>364</v>
      </c>
      <c r="I55" s="1" t="s">
        <v>364</v>
      </c>
      <c r="J55" s="1" t="s">
        <v>364</v>
      </c>
      <c r="K55" s="1" t="s">
        <v>364</v>
      </c>
      <c r="L55" s="1" t="s">
        <v>181</v>
      </c>
      <c r="M55" s="1" t="s">
        <v>24</v>
      </c>
      <c r="N55" s="1" t="s">
        <v>365</v>
      </c>
      <c r="O55" s="60"/>
      <c r="U55" t="str">
        <f t="shared" si="1"/>
        <v>ㄧㆷ</v>
      </c>
      <c r="V55">
        <f t="shared" si="2"/>
        <v>2</v>
      </c>
      <c r="W55" s="20" t="str">
        <f t="shared" si="6"/>
        <v>ㄧ</v>
      </c>
      <c r="X55" s="20" t="str">
        <f t="shared" si="6"/>
        <v>ㆷ</v>
      </c>
      <c r="Y55" s="20" t="str">
        <f t="shared" si="6"/>
        <v/>
      </c>
      <c r="Z55" s="20" t="str">
        <f t="shared" si="6"/>
        <v/>
      </c>
      <c r="AA55" s="20" t="str">
        <f t="shared" si="6"/>
        <v/>
      </c>
      <c r="AC55" s="61" t="str">
        <f t="shared" si="7"/>
        <v>ㄧㄏ</v>
      </c>
      <c r="AD55" s="57" t="str" cm="1">
        <f t="array" ref="AD55" xml:space="preserve"> IF(W55="", "", INDEX($S$2:$S$46, MATCH(TRUE, EXACT(W55,$R$2:$R$46),0)))</f>
        <v>ㄧ</v>
      </c>
      <c r="AE55" s="57" t="str" cm="1">
        <f t="array" ref="AE55" xml:space="preserve"> IF(X55="", "", INDEX($S$2:$S$46, MATCH(TRUE, EXACT(X55,$R$2:$R$46),0)))</f>
        <v>ㄏ</v>
      </c>
      <c r="AF55" s="57" t="str" cm="1">
        <f t="array" ref="AF55" xml:space="preserve"> IF(Y55="", "", INDEX($S$2:$S$46, MATCH(TRUE, EXACT(Y55,$R$2:$R$46),0)))</f>
        <v/>
      </c>
      <c r="AG55" s="57" t="str" cm="1">
        <f t="array" ref="AG55" xml:space="preserve"> IF(Z55="", "", INDEX($S$2:$S$46, MATCH(TRUE, EXACT(Z55,$R$2:$R$46),0)))</f>
        <v/>
      </c>
      <c r="AH55" s="57" t="str" cm="1">
        <f t="array" ref="AH55" xml:space="preserve"> IF(AA55="", "", INDEX($S$2:$S$46, MATCH(TRUE, EXACT(AA55,$R$2:$R$46),0)))</f>
        <v/>
      </c>
    </row>
    <row r="56" spans="1:36" ht="29.25">
      <c r="A56" s="1">
        <v>59</v>
      </c>
      <c r="B56" s="3" t="s">
        <v>368</v>
      </c>
      <c r="C56" s="3" t="s">
        <v>366</v>
      </c>
      <c r="D56" s="1" t="s">
        <v>367</v>
      </c>
      <c r="E56" s="1" t="s">
        <v>369</v>
      </c>
      <c r="F56" s="55" t="s">
        <v>369</v>
      </c>
      <c r="G56" s="1" t="s">
        <v>367</v>
      </c>
      <c r="H56" s="1" t="s">
        <v>367</v>
      </c>
      <c r="I56" s="1" t="s">
        <v>367</v>
      </c>
      <c r="J56" s="1" t="s">
        <v>367</v>
      </c>
      <c r="K56" s="1" t="s">
        <v>367</v>
      </c>
      <c r="L56" s="1" t="s">
        <v>188</v>
      </c>
      <c r="M56" s="1" t="s">
        <v>17</v>
      </c>
      <c r="N56" s="1" t="s">
        <v>370</v>
      </c>
      <c r="O56" s="60"/>
      <c r="U56" t="str">
        <f t="shared" si="1"/>
        <v>ㄧㄨ</v>
      </c>
      <c r="V56">
        <f t="shared" si="2"/>
        <v>2</v>
      </c>
      <c r="W56" s="20" t="str">
        <f t="shared" si="6"/>
        <v>ㄧ</v>
      </c>
      <c r="X56" s="20" t="str">
        <f t="shared" si="6"/>
        <v>ㄨ</v>
      </c>
      <c r="Y56" s="20" t="str">
        <f t="shared" si="6"/>
        <v/>
      </c>
      <c r="Z56" s="20" t="str">
        <f t="shared" si="6"/>
        <v/>
      </c>
      <c r="AA56" s="20" t="str">
        <f t="shared" si="6"/>
        <v/>
      </c>
      <c r="AC56" s="61" t="str">
        <f t="shared" si="7"/>
        <v>ㄧㄨ</v>
      </c>
      <c r="AD56" s="57" t="str" cm="1">
        <f t="array" ref="AD56" xml:space="preserve"> IF(W56="", "", INDEX($S$2:$S$46, MATCH(TRUE, EXACT(W56,$R$2:$R$46),0)))</f>
        <v>ㄧ</v>
      </c>
      <c r="AE56" s="57" t="str" cm="1">
        <f t="array" ref="AE56" xml:space="preserve"> IF(X56="", "", INDEX($S$2:$S$46, MATCH(TRUE, EXACT(X56,$R$2:$R$46),0)))</f>
        <v>ㄨ</v>
      </c>
      <c r="AF56" s="57" t="str" cm="1">
        <f t="array" ref="AF56" xml:space="preserve"> IF(Y56="", "", INDEX($S$2:$S$46, MATCH(TRUE, EXACT(Y56,$R$2:$R$46),0)))</f>
        <v/>
      </c>
      <c r="AG56" s="57" t="str" cm="1">
        <f t="array" ref="AG56" xml:space="preserve"> IF(Z56="", "", INDEX($S$2:$S$46, MATCH(TRUE, EXACT(Z56,$R$2:$R$46),0)))</f>
        <v/>
      </c>
      <c r="AH56" s="57" t="str" cm="1">
        <f t="array" ref="AH56" xml:space="preserve"> IF(AA56="", "", INDEX($S$2:$S$46, MATCH(TRUE, EXACT(AA56,$R$2:$R$46),0)))</f>
        <v/>
      </c>
    </row>
    <row r="57" spans="1:36" ht="29.25">
      <c r="A57" s="1">
        <v>61</v>
      </c>
      <c r="B57" s="8" t="s">
        <v>373</v>
      </c>
      <c r="C57" s="3" t="s">
        <v>371</v>
      </c>
      <c r="D57" s="1" t="s">
        <v>372</v>
      </c>
      <c r="E57" s="1" t="s">
        <v>374</v>
      </c>
      <c r="F57" s="55" t="s">
        <v>948</v>
      </c>
      <c r="G57" s="1" t="s">
        <v>375</v>
      </c>
      <c r="H57" s="1" t="s">
        <v>375</v>
      </c>
      <c r="I57" s="1" t="s">
        <v>375</v>
      </c>
      <c r="J57" s="1" t="s">
        <v>376</v>
      </c>
      <c r="K57" s="1" t="s">
        <v>377</v>
      </c>
      <c r="L57" s="1" t="s">
        <v>195</v>
      </c>
      <c r="M57" s="1" t="s">
        <v>17</v>
      </c>
      <c r="N57" s="1" t="s">
        <v>378</v>
      </c>
      <c r="O57" s="60"/>
      <c r="U57" t="str">
        <f t="shared" si="1"/>
        <v>ㆥ</v>
      </c>
      <c r="V57">
        <f t="shared" si="2"/>
        <v>1</v>
      </c>
      <c r="W57" s="20" t="str">
        <f t="shared" si="6"/>
        <v>ㆥ</v>
      </c>
      <c r="X57" s="20" t="str">
        <f t="shared" si="6"/>
        <v/>
      </c>
      <c r="Y57" s="20" t="str">
        <f t="shared" si="6"/>
        <v/>
      </c>
      <c r="Z57" s="20" t="str">
        <f t="shared" si="6"/>
        <v/>
      </c>
      <c r="AA57" s="20" t="str">
        <f t="shared" si="6"/>
        <v/>
      </c>
      <c r="AC57" s="61" t="str">
        <f t="shared" si="7"/>
        <v>⁰ㄝ</v>
      </c>
      <c r="AD57" s="57" t="str" cm="1">
        <f t="array" ref="AD57" xml:space="preserve"> IF(W57="", "", INDEX($S$2:$S$46, MATCH(TRUE, EXACT(W57,$R$2:$R$46),0)))</f>
        <v>⁰ㄝ</v>
      </c>
      <c r="AE57" s="57" t="str" cm="1">
        <f t="array" ref="AE57" xml:space="preserve"> IF(X57="", "", INDEX($S$2:$S$46, MATCH(TRUE, EXACT(X57,$R$2:$R$46),0)))</f>
        <v/>
      </c>
      <c r="AF57" s="57" t="str" cm="1">
        <f t="array" ref="AF57" xml:space="preserve"> IF(Y57="", "", INDEX($S$2:$S$46, MATCH(TRUE, EXACT(Y57,$R$2:$R$46),0)))</f>
        <v/>
      </c>
      <c r="AG57" s="57" t="str" cm="1">
        <f t="array" ref="AG57" xml:space="preserve"> IF(Z57="", "", INDEX($S$2:$S$46, MATCH(TRUE, EXACT(Z57,$R$2:$R$46),0)))</f>
        <v/>
      </c>
      <c r="AH57" s="57" t="str" cm="1">
        <f t="array" ref="AH57" xml:space="preserve"> IF(AA57="", "", INDEX($S$2:$S$46, MATCH(TRUE, EXACT(AA57,$R$2:$R$46),0)))</f>
        <v/>
      </c>
    </row>
    <row r="58" spans="1:36" ht="29.25">
      <c r="A58" s="1">
        <v>62</v>
      </c>
      <c r="B58" s="8" t="s">
        <v>373</v>
      </c>
      <c r="C58" s="10" t="s">
        <v>379</v>
      </c>
      <c r="D58" s="1" t="s">
        <v>380</v>
      </c>
      <c r="E58" s="1" t="s">
        <v>381</v>
      </c>
      <c r="F58" s="55" t="s">
        <v>940</v>
      </c>
      <c r="G58" s="1" t="s">
        <v>382</v>
      </c>
      <c r="H58" s="1" t="s">
        <v>383</v>
      </c>
      <c r="I58" s="1" t="s">
        <v>383</v>
      </c>
      <c r="J58" s="1" t="s">
        <v>384</v>
      </c>
      <c r="K58" s="1" t="s">
        <v>385</v>
      </c>
      <c r="L58" s="1" t="s">
        <v>195</v>
      </c>
      <c r="M58" s="1" t="s">
        <v>24</v>
      </c>
      <c r="N58" s="1" t="s">
        <v>386</v>
      </c>
      <c r="O58" s="60"/>
      <c r="U58" t="str">
        <f t="shared" si="1"/>
        <v>ㆥㆷ</v>
      </c>
      <c r="V58">
        <f t="shared" si="2"/>
        <v>2</v>
      </c>
      <c r="W58" s="20" t="str">
        <f t="shared" si="6"/>
        <v>ㆥ</v>
      </c>
      <c r="X58" s="20" t="str">
        <f t="shared" si="6"/>
        <v>ㆷ</v>
      </c>
      <c r="Y58" s="20" t="str">
        <f t="shared" si="6"/>
        <v/>
      </c>
      <c r="Z58" s="20" t="str">
        <f t="shared" si="6"/>
        <v/>
      </c>
      <c r="AA58" s="20" t="str">
        <f t="shared" si="6"/>
        <v/>
      </c>
      <c r="AC58" s="61" t="str">
        <f t="shared" si="7"/>
        <v>⁰ㄝㄏ</v>
      </c>
      <c r="AD58" s="57" t="str" cm="1">
        <f t="array" ref="AD58" xml:space="preserve"> IF(W58="", "", INDEX($S$2:$S$46, MATCH(TRUE, EXACT(W58,$R$2:$R$46),0)))</f>
        <v>⁰ㄝ</v>
      </c>
      <c r="AE58" s="57" t="str" cm="1">
        <f t="array" ref="AE58" xml:space="preserve"> IF(X58="", "", INDEX($S$2:$S$46, MATCH(TRUE, EXACT(X58,$R$2:$R$46),0)))</f>
        <v>ㄏ</v>
      </c>
      <c r="AF58" s="57" t="str" cm="1">
        <f t="array" ref="AF58" xml:space="preserve"> IF(Y58="", "", INDEX($S$2:$S$46, MATCH(TRUE, EXACT(Y58,$R$2:$R$46),0)))</f>
        <v/>
      </c>
      <c r="AG58" s="57" t="str" cm="1">
        <f t="array" ref="AG58" xml:space="preserve"> IF(Z58="", "", INDEX($S$2:$S$46, MATCH(TRUE, EXACT(Z58,$R$2:$R$46),0)))</f>
        <v/>
      </c>
      <c r="AH58" s="57" t="str" cm="1">
        <f t="array" ref="AH58" xml:space="preserve"> IF(AA58="", "", INDEX($S$2:$S$46, MATCH(TRUE, EXACT(AA58,$R$2:$R$46),0)))</f>
        <v/>
      </c>
    </row>
    <row r="59" spans="1:36" ht="29.25">
      <c r="A59" s="1">
        <v>63</v>
      </c>
      <c r="B59" s="4" t="s">
        <v>389</v>
      </c>
      <c r="C59" s="5" t="s">
        <v>387</v>
      </c>
      <c r="D59" s="1" t="s">
        <v>388</v>
      </c>
      <c r="E59" s="1" t="s">
        <v>390</v>
      </c>
      <c r="F59" s="55" t="s">
        <v>946</v>
      </c>
      <c r="G59" s="1" t="s">
        <v>391</v>
      </c>
      <c r="H59" s="1" t="s">
        <v>391</v>
      </c>
      <c r="I59" s="1" t="s">
        <v>391</v>
      </c>
      <c r="J59" s="1" t="s">
        <v>392</v>
      </c>
      <c r="K59" s="1" t="s">
        <v>393</v>
      </c>
      <c r="L59" s="1" t="s">
        <v>395</v>
      </c>
      <c r="M59" s="1" t="s">
        <v>17</v>
      </c>
      <c r="N59" s="1" t="s">
        <v>394</v>
      </c>
      <c r="O59" s="60"/>
      <c r="U59" t="str">
        <f t="shared" si="1"/>
        <v>ㄨㆪ</v>
      </c>
      <c r="V59">
        <f t="shared" si="2"/>
        <v>2</v>
      </c>
      <c r="W59" s="20" t="str">
        <f t="shared" si="6"/>
        <v>ㄨ</v>
      </c>
      <c r="X59" s="20" t="str">
        <f t="shared" si="6"/>
        <v>ㆪ</v>
      </c>
      <c r="Y59" s="20" t="str">
        <f t="shared" si="6"/>
        <v/>
      </c>
      <c r="Z59" s="20" t="str">
        <f t="shared" si="6"/>
        <v/>
      </c>
      <c r="AA59" s="20" t="str">
        <f t="shared" si="6"/>
        <v/>
      </c>
      <c r="AC59" s="61" t="str">
        <f t="shared" si="7"/>
        <v>⁰ㄨㄧ</v>
      </c>
      <c r="AD59" s="57" t="s">
        <v>926</v>
      </c>
      <c r="AE59" s="57" t="s">
        <v>339</v>
      </c>
      <c r="AF59" s="57" t="s">
        <v>359</v>
      </c>
      <c r="AG59" s="57" t="str" cm="1">
        <f t="array" ref="AG59" xml:space="preserve"> IF(Z59="", "", INDEX($S$2:$S$46, MATCH(TRUE, EXACT(Z59,$R$2:$R$46),0)))</f>
        <v/>
      </c>
      <c r="AH59" s="57" t="str" cm="1">
        <f t="array" ref="AH59" xml:space="preserve"> IF(AA59="", "", INDEX($S$2:$S$46, MATCH(TRUE, EXACT(AA59,$R$2:$R$46),0)))</f>
        <v/>
      </c>
    </row>
    <row r="60" spans="1:36" ht="29.25">
      <c r="A60" s="1">
        <v>65</v>
      </c>
      <c r="B60" s="5" t="s">
        <v>398</v>
      </c>
      <c r="C60" s="3" t="s">
        <v>396</v>
      </c>
      <c r="D60" s="1" t="s">
        <v>397</v>
      </c>
      <c r="E60" s="1" t="s">
        <v>399</v>
      </c>
      <c r="F60" s="55" t="s">
        <v>399</v>
      </c>
      <c r="G60" s="1" t="s">
        <v>397</v>
      </c>
      <c r="H60" s="1" t="s">
        <v>397</v>
      </c>
      <c r="I60" s="1" t="s">
        <v>400</v>
      </c>
      <c r="J60" s="1" t="s">
        <v>397</v>
      </c>
      <c r="K60" s="1" t="s">
        <v>397</v>
      </c>
      <c r="L60" s="1" t="s">
        <v>201</v>
      </c>
      <c r="M60" s="1" t="s">
        <v>17</v>
      </c>
      <c r="N60" s="1" t="s">
        <v>401</v>
      </c>
      <c r="O60" s="60"/>
      <c r="U60" t="str">
        <f t="shared" si="1"/>
        <v>ㄧㄜ</v>
      </c>
      <c r="V60">
        <f t="shared" si="2"/>
        <v>2</v>
      </c>
      <c r="W60" s="20" t="str">
        <f t="shared" si="6"/>
        <v>ㄧ</v>
      </c>
      <c r="X60" s="20" t="str">
        <f t="shared" si="6"/>
        <v>ㄜ</v>
      </c>
      <c r="Y60" s="20" t="str">
        <f t="shared" si="6"/>
        <v/>
      </c>
      <c r="Z60" s="20" t="str">
        <f t="shared" si="6"/>
        <v/>
      </c>
      <c r="AA60" s="20" t="str">
        <f t="shared" si="6"/>
        <v/>
      </c>
      <c r="AC60" s="61" t="str">
        <f t="shared" si="7"/>
        <v>ㄧㄜ</v>
      </c>
      <c r="AD60" s="57" t="str" cm="1">
        <f t="array" ref="AD60" xml:space="preserve"> IF(W60="", "", INDEX($S$2:$S$46, MATCH(TRUE, EXACT(W60,$R$2:$R$46),0)))</f>
        <v>ㄧ</v>
      </c>
      <c r="AE60" s="57" t="str" cm="1">
        <f t="array" ref="AE60" xml:space="preserve"> IF(X60="", "", INDEX($S$2:$S$46, MATCH(TRUE, EXACT(X60,$R$2:$R$46),0)))</f>
        <v>ㄜ</v>
      </c>
      <c r="AF60" s="57" t="str" cm="1">
        <f t="array" ref="AF60" xml:space="preserve"> IF(Y60="", "", INDEX($S$2:$S$46, MATCH(TRUE, EXACT(Y60,$R$2:$R$46),0)))</f>
        <v/>
      </c>
      <c r="AG60" s="57" t="str" cm="1">
        <f t="array" ref="AG60" xml:space="preserve"> IF(Z60="", "", INDEX($S$2:$S$46, MATCH(TRUE, EXACT(Z60,$R$2:$R$46),0)))</f>
        <v/>
      </c>
      <c r="AH60" s="57" t="str" cm="1">
        <f t="array" ref="AH60" xml:space="preserve"> IF(AA60="", "", INDEX($S$2:$S$46, MATCH(TRUE, EXACT(AA60,$R$2:$R$46),0)))</f>
        <v/>
      </c>
    </row>
    <row r="61" spans="1:36" ht="29.25">
      <c r="A61" s="1">
        <v>66</v>
      </c>
      <c r="B61" s="3" t="s">
        <v>398</v>
      </c>
      <c r="C61" s="4" t="s">
        <v>402</v>
      </c>
      <c r="D61" s="1" t="s">
        <v>403</v>
      </c>
      <c r="E61" s="1" t="s">
        <v>404</v>
      </c>
      <c r="F61" s="55" t="s">
        <v>987</v>
      </c>
      <c r="G61" s="1" t="s">
        <v>405</v>
      </c>
      <c r="H61" s="1" t="s">
        <v>405</v>
      </c>
      <c r="I61" s="1" t="s">
        <v>406</v>
      </c>
      <c r="J61" s="1" t="s">
        <v>405</v>
      </c>
      <c r="K61" s="1" t="s">
        <v>405</v>
      </c>
      <c r="L61" s="1" t="s">
        <v>201</v>
      </c>
      <c r="M61" s="1" t="s">
        <v>24</v>
      </c>
      <c r="N61" s="1" t="s">
        <v>407</v>
      </c>
      <c r="O61" s="60"/>
      <c r="U61" t="str">
        <f t="shared" si="1"/>
        <v>ㄧㄜㆷ</v>
      </c>
      <c r="V61">
        <f t="shared" si="2"/>
        <v>3</v>
      </c>
      <c r="W61" s="20" t="str">
        <f t="shared" si="6"/>
        <v>ㄧ</v>
      </c>
      <c r="X61" s="20" t="str">
        <f t="shared" si="6"/>
        <v>ㄜ</v>
      </c>
      <c r="Y61" s="20" t="str">
        <f t="shared" si="6"/>
        <v>ㆷ</v>
      </c>
      <c r="Z61" s="20" t="str">
        <f t="shared" si="6"/>
        <v/>
      </c>
      <c r="AA61" s="20" t="str">
        <f t="shared" si="6"/>
        <v/>
      </c>
      <c r="AC61" s="61" t="str">
        <f t="shared" si="7"/>
        <v>ㄧㄜㄏ</v>
      </c>
      <c r="AD61" s="57" t="str" cm="1">
        <f t="array" ref="AD61" xml:space="preserve"> IF(W61="", "", INDEX($S$2:$S$46, MATCH(TRUE, EXACT(W61,$R$2:$R$46),0)))</f>
        <v>ㄧ</v>
      </c>
      <c r="AE61" s="57" t="str" cm="1">
        <f t="array" ref="AE61" xml:space="preserve"> IF(X61="", "", INDEX($S$2:$S$46, MATCH(TRUE, EXACT(X61,$R$2:$R$46),0)))</f>
        <v>ㄜ</v>
      </c>
      <c r="AF61" s="57" t="str" cm="1">
        <f t="array" ref="AF61" xml:space="preserve"> IF(Y61="", "", INDEX($S$2:$S$46, MATCH(TRUE, EXACT(Y61,$R$2:$R$46),0)))</f>
        <v>ㄏ</v>
      </c>
      <c r="AG61" s="57" t="str" cm="1">
        <f t="array" ref="AG61" xml:space="preserve"> IF(Z61="", "", INDEX($S$2:$S$46, MATCH(TRUE, EXACT(Z61,$R$2:$R$46),0)))</f>
        <v/>
      </c>
      <c r="AH61" s="57" t="str" cm="1">
        <f t="array" ref="AH61" xml:space="preserve"> IF(AA61="", "", INDEX($S$2:$S$46, MATCH(TRUE, EXACT(AA61,$R$2:$R$46),0)))</f>
        <v/>
      </c>
    </row>
    <row r="62" spans="1:36" ht="29.25">
      <c r="A62" s="1">
        <v>67</v>
      </c>
      <c r="B62" s="3" t="s">
        <v>410</v>
      </c>
      <c r="C62" s="3" t="s">
        <v>408</v>
      </c>
      <c r="D62" s="1" t="s">
        <v>409</v>
      </c>
      <c r="E62" s="1" t="s">
        <v>411</v>
      </c>
      <c r="F62" s="55" t="s">
        <v>949</v>
      </c>
      <c r="G62" s="1" t="s">
        <v>412</v>
      </c>
      <c r="H62" s="1" t="s">
        <v>412</v>
      </c>
      <c r="I62" s="1" t="s">
        <v>412</v>
      </c>
      <c r="J62" s="1" t="s">
        <v>413</v>
      </c>
      <c r="K62" s="1" t="s">
        <v>414</v>
      </c>
      <c r="L62" s="1" t="s">
        <v>207</v>
      </c>
      <c r="M62" s="1" t="s">
        <v>17</v>
      </c>
      <c r="N62" s="1" t="s">
        <v>415</v>
      </c>
      <c r="O62" s="60"/>
      <c r="U62" t="str">
        <f t="shared" si="1"/>
        <v>ㆪ</v>
      </c>
      <c r="V62">
        <f t="shared" si="2"/>
        <v>1</v>
      </c>
      <c r="W62" s="20" t="str">
        <f t="shared" si="6"/>
        <v>ㆪ</v>
      </c>
      <c r="X62" s="20" t="str">
        <f t="shared" si="6"/>
        <v/>
      </c>
      <c r="Y62" s="20" t="str">
        <f t="shared" si="6"/>
        <v/>
      </c>
      <c r="Z62" s="20" t="str">
        <f t="shared" si="6"/>
        <v/>
      </c>
      <c r="AA62" s="20" t="str">
        <f t="shared" si="6"/>
        <v/>
      </c>
      <c r="AC62" s="61" t="str">
        <f t="shared" si="7"/>
        <v>⁰ㄧ</v>
      </c>
      <c r="AD62" s="57" t="str" cm="1">
        <f t="array" ref="AD62" xml:space="preserve"> IF(W62="", "", INDEX($S$2:$S$46, MATCH(TRUE, EXACT(W62,$R$2:$R$46),0)))</f>
        <v>⁰ㄧ</v>
      </c>
      <c r="AE62" s="57" t="str" cm="1">
        <f t="array" ref="AE62" xml:space="preserve"> IF(X62="", "", INDEX($S$2:$S$46, MATCH(TRUE, EXACT(X62,$R$2:$R$46),0)))</f>
        <v/>
      </c>
      <c r="AF62" s="57" t="str" cm="1">
        <f t="array" ref="AF62" xml:space="preserve"> IF(Y62="", "", INDEX($S$2:$S$46, MATCH(TRUE, EXACT(Y62,$R$2:$R$46),0)))</f>
        <v/>
      </c>
      <c r="AG62" s="57" t="str" cm="1">
        <f t="array" ref="AG62" xml:space="preserve"> IF(Z62="", "", INDEX($S$2:$S$46, MATCH(TRUE, EXACT(Z62,$R$2:$R$46),0)))</f>
        <v/>
      </c>
      <c r="AH62" s="57" t="str" cm="1">
        <f t="array" ref="AH62" xml:space="preserve"> IF(AA62="", "", INDEX($S$2:$S$46, MATCH(TRUE, EXACT(AA62,$R$2:$R$46),0)))</f>
        <v/>
      </c>
      <c r="AJ62" t="s">
        <v>926</v>
      </c>
    </row>
    <row r="63" spans="1:36" ht="29.25">
      <c r="A63" s="1">
        <v>68</v>
      </c>
      <c r="B63" s="3" t="s">
        <v>410</v>
      </c>
      <c r="C63" s="4" t="s">
        <v>416</v>
      </c>
      <c r="D63" s="1" t="s">
        <v>417</v>
      </c>
      <c r="E63" s="1" t="s">
        <v>418</v>
      </c>
      <c r="F63" s="55" t="s">
        <v>988</v>
      </c>
      <c r="G63" s="1" t="s">
        <v>419</v>
      </c>
      <c r="H63" s="1" t="s">
        <v>420</v>
      </c>
      <c r="I63" s="1" t="s">
        <v>420</v>
      </c>
      <c r="J63" s="1" t="s">
        <v>421</v>
      </c>
      <c r="K63" s="1" t="s">
        <v>422</v>
      </c>
      <c r="L63" s="1" t="s">
        <v>207</v>
      </c>
      <c r="M63" s="1" t="s">
        <v>24</v>
      </c>
      <c r="N63" s="1" t="s">
        <v>423</v>
      </c>
      <c r="O63" s="60"/>
      <c r="U63" t="str">
        <f t="shared" si="1"/>
        <v>ㆪㆷ</v>
      </c>
      <c r="V63">
        <f t="shared" si="2"/>
        <v>2</v>
      </c>
      <c r="W63" s="20" t="str">
        <f t="shared" si="6"/>
        <v>ㆪ</v>
      </c>
      <c r="X63" s="20" t="str">
        <f t="shared" si="6"/>
        <v>ㆷ</v>
      </c>
      <c r="Y63" s="20" t="str">
        <f t="shared" si="6"/>
        <v/>
      </c>
      <c r="Z63" s="20" t="str">
        <f t="shared" si="6"/>
        <v/>
      </c>
      <c r="AA63" s="20" t="str">
        <f t="shared" si="6"/>
        <v/>
      </c>
      <c r="AC63" s="61" t="str">
        <f t="shared" si="7"/>
        <v>⁰ㄧㄏ</v>
      </c>
      <c r="AD63" s="57" t="str" cm="1">
        <f t="array" ref="AD63" xml:space="preserve"> IF(W63="", "", INDEX($S$2:$S$46, MATCH(TRUE, EXACT(W63,$R$2:$R$46),0)))</f>
        <v>⁰ㄧ</v>
      </c>
      <c r="AE63" s="57" t="str" cm="1">
        <f t="array" ref="AE63" xml:space="preserve"> IF(X63="", "", INDEX($S$2:$S$46, MATCH(TRUE, EXACT(X63,$R$2:$R$46),0)))</f>
        <v>ㄏ</v>
      </c>
      <c r="AF63" s="57" t="str" cm="1">
        <f t="array" ref="AF63" xml:space="preserve"> IF(Y63="", "", INDEX($S$2:$S$46, MATCH(TRUE, EXACT(Y63,$R$2:$R$46),0)))</f>
        <v/>
      </c>
      <c r="AG63" s="57" t="str" cm="1">
        <f t="array" ref="AG63" xml:space="preserve"> IF(Z63="", "", INDEX($S$2:$S$46, MATCH(TRUE, EXACT(Z63,$R$2:$R$46),0)))</f>
        <v/>
      </c>
      <c r="AH63" s="57" t="str" cm="1">
        <f t="array" ref="AH63" xml:space="preserve"> IF(AA63="", "", INDEX($S$2:$S$46, MATCH(TRUE, EXACT(AA63,$R$2:$R$46),0)))</f>
        <v/>
      </c>
    </row>
    <row r="64" spans="1:36" ht="29.25">
      <c r="A64" s="1">
        <v>69</v>
      </c>
      <c r="B64" s="6" t="s">
        <v>426</v>
      </c>
      <c r="C64" s="7" t="s">
        <v>424</v>
      </c>
      <c r="D64" s="1" t="s">
        <v>425</v>
      </c>
      <c r="E64" s="1" t="s">
        <v>427</v>
      </c>
      <c r="F64" s="55" t="s">
        <v>989</v>
      </c>
      <c r="G64" s="1" t="s">
        <v>428</v>
      </c>
      <c r="H64" s="1" t="s">
        <v>428</v>
      </c>
      <c r="I64" s="1" t="s">
        <v>431</v>
      </c>
      <c r="J64" s="1" t="s">
        <v>429</v>
      </c>
      <c r="K64" s="1" t="s">
        <v>430</v>
      </c>
      <c r="L64" s="1" t="s">
        <v>213</v>
      </c>
      <c r="M64" s="1" t="s">
        <v>17</v>
      </c>
      <c r="N64" s="1" t="s">
        <v>432</v>
      </c>
      <c r="O64" s="60"/>
      <c r="U64" t="str">
        <f t="shared" si="1"/>
        <v>ㄧㆧ</v>
      </c>
      <c r="V64">
        <f t="shared" si="2"/>
        <v>2</v>
      </c>
      <c r="W64" s="20" t="str">
        <f t="shared" si="6"/>
        <v>ㄧ</v>
      </c>
      <c r="X64" s="20" t="str">
        <f t="shared" si="6"/>
        <v>ㆧ</v>
      </c>
      <c r="Y64" s="20" t="str">
        <f t="shared" si="6"/>
        <v/>
      </c>
      <c r="Z64" s="20" t="str">
        <f t="shared" si="6"/>
        <v/>
      </c>
      <c r="AA64" s="20" t="str">
        <f t="shared" si="6"/>
        <v/>
      </c>
      <c r="AC64" s="61" t="str">
        <f t="shared" si="7"/>
        <v>⁰ㄧㄛ</v>
      </c>
      <c r="AD64" s="57" t="s">
        <v>926</v>
      </c>
      <c r="AE64" s="57" t="s">
        <v>359</v>
      </c>
      <c r="AF64" s="57" t="s">
        <v>904</v>
      </c>
      <c r="AG64" s="57" t="str" cm="1">
        <f t="array" ref="AG64" xml:space="preserve"> IF(Z64="", "", INDEX($S$2:$S$46, MATCH(TRUE, EXACT(Z64,$R$2:$R$46),0)))</f>
        <v/>
      </c>
      <c r="AH64" s="57" t="str" cm="1">
        <f t="array" ref="AH64" xml:space="preserve"> IF(AA64="", "", INDEX($S$2:$S$46, MATCH(TRUE, EXACT(AA64,$R$2:$R$46),0)))</f>
        <v/>
      </c>
    </row>
    <row r="65" spans="1:34" ht="29.25">
      <c r="A65" s="1">
        <v>71</v>
      </c>
      <c r="B65" s="3" t="s">
        <v>435</v>
      </c>
      <c r="C65" s="3" t="s">
        <v>433</v>
      </c>
      <c r="D65" s="1" t="s">
        <v>434</v>
      </c>
      <c r="E65" s="1" t="s">
        <v>436</v>
      </c>
      <c r="F65" s="55" t="s">
        <v>990</v>
      </c>
      <c r="G65" s="1" t="s">
        <v>437</v>
      </c>
      <c r="H65" s="1" t="s">
        <v>438</v>
      </c>
      <c r="I65" s="1" t="s">
        <v>437</v>
      </c>
      <c r="J65" s="1" t="s">
        <v>439</v>
      </c>
      <c r="K65" s="1" t="s">
        <v>440</v>
      </c>
      <c r="L65" s="1" t="s">
        <v>220</v>
      </c>
      <c r="M65" s="1" t="s">
        <v>17</v>
      </c>
      <c r="N65" s="1" t="s">
        <v>441</v>
      </c>
      <c r="O65" s="60"/>
      <c r="U65" t="str">
        <f t="shared" si="1"/>
        <v>ㄧㆩ</v>
      </c>
      <c r="V65">
        <f t="shared" si="2"/>
        <v>2</v>
      </c>
      <c r="W65" s="20" t="str">
        <f t="shared" si="6"/>
        <v>ㄧ</v>
      </c>
      <c r="X65" s="20" t="str">
        <f t="shared" si="6"/>
        <v>ㆩ</v>
      </c>
      <c r="Y65" s="20" t="str">
        <f t="shared" si="6"/>
        <v/>
      </c>
      <c r="Z65" s="20" t="str">
        <f t="shared" si="6"/>
        <v/>
      </c>
      <c r="AA65" s="20" t="str">
        <f t="shared" si="6"/>
        <v/>
      </c>
      <c r="AC65" s="61" t="str">
        <f t="shared" si="7"/>
        <v>⁰ㄧㄚ</v>
      </c>
      <c r="AD65" s="57" t="s">
        <v>926</v>
      </c>
      <c r="AE65" s="57" t="s">
        <v>359</v>
      </c>
      <c r="AF65" s="62" t="s">
        <v>905</v>
      </c>
      <c r="AG65" s="57" t="str" cm="1">
        <f t="array" ref="AG65" xml:space="preserve"> IF(Z65="", "", INDEX($S$2:$S$46, MATCH(TRUE, EXACT(Z65,$R$2:$R$46),0)))</f>
        <v/>
      </c>
      <c r="AH65" s="57" t="str" cm="1">
        <f t="array" ref="AH65" xml:space="preserve"> IF(AA65="", "", INDEX($S$2:$S$46, MATCH(TRUE, EXACT(AA65,$R$2:$R$46),0)))</f>
        <v/>
      </c>
    </row>
    <row r="66" spans="1:34" ht="29.25">
      <c r="A66" s="1">
        <v>73</v>
      </c>
      <c r="B66" s="3" t="s">
        <v>444</v>
      </c>
      <c r="C66" s="3" t="s">
        <v>442</v>
      </c>
      <c r="D66" s="1" t="s">
        <v>443</v>
      </c>
      <c r="E66" s="1" t="s">
        <v>445</v>
      </c>
      <c r="F66" s="55" t="s">
        <v>945</v>
      </c>
      <c r="G66" s="1" t="s">
        <v>446</v>
      </c>
      <c r="H66" s="1" t="s">
        <v>446</v>
      </c>
      <c r="I66" s="1" t="s">
        <v>446</v>
      </c>
      <c r="J66" s="1" t="s">
        <v>447</v>
      </c>
      <c r="K66" s="1" t="s">
        <v>448</v>
      </c>
      <c r="L66" s="1" t="s">
        <v>226</v>
      </c>
      <c r="M66" s="1" t="s">
        <v>17</v>
      </c>
      <c r="N66" s="1" t="s">
        <v>449</v>
      </c>
      <c r="O66" s="60"/>
      <c r="U66" t="str">
        <f t="shared" si="1"/>
        <v>ㄨㆩ</v>
      </c>
      <c r="V66">
        <f t="shared" si="2"/>
        <v>2</v>
      </c>
      <c r="W66" s="20" t="str">
        <f t="shared" si="6"/>
        <v>ㄨ</v>
      </c>
      <c r="X66" s="20" t="str">
        <f t="shared" si="6"/>
        <v>ㆩ</v>
      </c>
      <c r="Y66" s="20" t="str">
        <f t="shared" si="6"/>
        <v/>
      </c>
      <c r="Z66" s="20" t="str">
        <f t="shared" si="6"/>
        <v/>
      </c>
      <c r="AA66" s="20" t="str">
        <f t="shared" si="6"/>
        <v/>
      </c>
      <c r="AC66" s="61" t="str">
        <f t="shared" si="7"/>
        <v>⁰ㄨㄚ</v>
      </c>
      <c r="AD66" s="57" t="s">
        <v>926</v>
      </c>
      <c r="AE66" s="57" t="s">
        <v>339</v>
      </c>
      <c r="AF66" s="62" t="s">
        <v>905</v>
      </c>
      <c r="AG66" s="57" t="str" cm="1">
        <f t="array" ref="AG66" xml:space="preserve"> IF(Z66="", "", INDEX($S$2:$S$46, MATCH(TRUE, EXACT(Z66,$R$2:$R$46),0)))</f>
        <v/>
      </c>
      <c r="AH66" s="57" t="str" cm="1">
        <f t="array" ref="AH66" xml:space="preserve"> IF(AA66="", "", INDEX($S$2:$S$46, MATCH(TRUE, EXACT(AA66,$R$2:$R$46),0)))</f>
        <v/>
      </c>
    </row>
    <row r="67" spans="1:34" ht="29.25">
      <c r="A67" s="1">
        <v>75</v>
      </c>
      <c r="B67" s="3" t="s">
        <v>452</v>
      </c>
      <c r="C67" s="3" t="s">
        <v>450</v>
      </c>
      <c r="D67" s="1" t="s">
        <v>451</v>
      </c>
      <c r="E67" s="1" t="s">
        <v>453</v>
      </c>
      <c r="F67" s="55" t="s">
        <v>900</v>
      </c>
      <c r="G67" s="1" t="s">
        <v>454</v>
      </c>
      <c r="H67" s="1" t="s">
        <v>454</v>
      </c>
      <c r="I67" s="1" t="s">
        <v>454</v>
      </c>
      <c r="J67" s="1" t="s">
        <v>454</v>
      </c>
      <c r="K67" s="1" t="s">
        <v>454</v>
      </c>
      <c r="L67" s="1" t="s">
        <v>232</v>
      </c>
      <c r="M67" s="1" t="s">
        <v>17</v>
      </c>
      <c r="N67" s="1" t="s">
        <v>455</v>
      </c>
      <c r="O67" s="60"/>
      <c r="U67" t="str">
        <f t="shared" ref="U67:U85" si="8">E67</f>
        <v>ㆭ</v>
      </c>
      <c r="V67">
        <f t="shared" ref="V67:V85" si="9" xml:space="preserve"> LEN(U67)</f>
        <v>1</v>
      </c>
      <c r="W67" s="20" t="str">
        <f t="shared" ref="W67:AA85" si="10" xml:space="preserve"> MID($U67,W$1,1)</f>
        <v>ㆭ</v>
      </c>
      <c r="X67" s="20" t="str">
        <f t="shared" si="10"/>
        <v/>
      </c>
      <c r="Y67" s="20" t="str">
        <f t="shared" si="10"/>
        <v/>
      </c>
      <c r="Z67" s="20" t="str">
        <f t="shared" si="10"/>
        <v/>
      </c>
      <c r="AA67" s="20" t="str">
        <f t="shared" si="10"/>
        <v/>
      </c>
      <c r="AC67" s="61" t="str">
        <f t="shared" si="7"/>
        <v>ㄥ</v>
      </c>
      <c r="AD67" s="57" t="str" cm="1">
        <f t="array" ref="AD67" xml:space="preserve"> IF(W67="", "", INDEX($S$2:$S$46, MATCH(TRUE, EXACT(W67,$R$2:$R$46),0)))</f>
        <v>ㄥ</v>
      </c>
      <c r="AE67" s="57" t="str" cm="1">
        <f t="array" ref="AE67" xml:space="preserve"> IF(X67="", "", INDEX($S$2:$S$46, MATCH(TRUE, EXACT(X67,$R$2:$R$46),0)))</f>
        <v/>
      </c>
      <c r="AF67" s="57" t="str" cm="1">
        <f t="array" ref="AF67" xml:space="preserve"> IF(Y67="", "", INDEX($S$2:$S$46, MATCH(TRUE, EXACT(Y67,$R$2:$R$46),0)))</f>
        <v/>
      </c>
      <c r="AG67" s="57" t="str" cm="1">
        <f t="array" ref="AG67" xml:space="preserve"> IF(Z67="", "", INDEX($S$2:$S$46, MATCH(TRUE, EXACT(Z67,$R$2:$R$46),0)))</f>
        <v/>
      </c>
      <c r="AH67" s="57" t="str" cm="1">
        <f t="array" ref="AH67" xml:space="preserve"> IF(AA67="", "", INDEX($S$2:$S$46, MATCH(TRUE, EXACT(AA67,$R$2:$R$46),0)))</f>
        <v/>
      </c>
    </row>
    <row r="68" spans="1:34" ht="29.25">
      <c r="A68" s="1">
        <v>77</v>
      </c>
      <c r="B68" s="3" t="s">
        <v>457</v>
      </c>
      <c r="C68" s="3" t="s">
        <v>456</v>
      </c>
      <c r="D68" s="1" t="s">
        <v>62</v>
      </c>
      <c r="E68" s="1" t="s">
        <v>166</v>
      </c>
      <c r="F68" s="55" t="s">
        <v>60</v>
      </c>
      <c r="G68" s="1" t="s">
        <v>62</v>
      </c>
      <c r="H68" s="1" t="s">
        <v>62</v>
      </c>
      <c r="I68" s="1" t="s">
        <v>62</v>
      </c>
      <c r="J68" s="1" t="s">
        <v>62</v>
      </c>
      <c r="K68" s="1" t="s">
        <v>62</v>
      </c>
      <c r="L68" s="1" t="s">
        <v>238</v>
      </c>
      <c r="M68" s="1" t="s">
        <v>17</v>
      </c>
      <c r="N68" s="1" t="s">
        <v>458</v>
      </c>
      <c r="O68" s="60"/>
      <c r="U68" t="str">
        <f t="shared" si="8"/>
        <v>ㆤ</v>
      </c>
      <c r="V68">
        <f t="shared" si="9"/>
        <v>1</v>
      </c>
      <c r="W68" s="20" t="str">
        <f t="shared" si="10"/>
        <v>ㆤ</v>
      </c>
      <c r="X68" s="20" t="str">
        <f t="shared" si="10"/>
        <v/>
      </c>
      <c r="Y68" s="20" t="str">
        <f t="shared" si="10"/>
        <v/>
      </c>
      <c r="Z68" s="20" t="str">
        <f t="shared" si="10"/>
        <v/>
      </c>
      <c r="AA68" s="20" t="str">
        <f t="shared" si="10"/>
        <v/>
      </c>
      <c r="AC68" s="61" t="str">
        <f t="shared" si="7"/>
        <v>ㄝ</v>
      </c>
      <c r="AD68" s="57" t="str" cm="1">
        <f t="array" ref="AD68" xml:space="preserve"> IF(W68="", "", INDEX($S$2:$S$46, MATCH(TRUE, EXACT(W68,$R$2:$R$46),0)))</f>
        <v>ㄝ</v>
      </c>
      <c r="AE68" s="57" t="str" cm="1">
        <f t="array" ref="AE68" xml:space="preserve"> IF(X68="", "", INDEX($S$2:$S$46, MATCH(TRUE, EXACT(X68,$R$2:$R$46),0)))</f>
        <v/>
      </c>
      <c r="AF68" s="57" t="str" cm="1">
        <f t="array" ref="AF68" xml:space="preserve"> IF(Y68="", "", INDEX($S$2:$S$46, MATCH(TRUE, EXACT(Y68,$R$2:$R$46),0)))</f>
        <v/>
      </c>
      <c r="AG68" s="57" t="str" cm="1">
        <f t="array" ref="AG68" xml:space="preserve"> IF(Z68="", "", INDEX($S$2:$S$46, MATCH(TRUE, EXACT(Z68,$R$2:$R$46),0)))</f>
        <v/>
      </c>
      <c r="AH68" s="57" t="str" cm="1">
        <f t="array" ref="AH68" xml:space="preserve"> IF(AA68="", "", INDEX($S$2:$S$46, MATCH(TRUE, EXACT(AA68,$R$2:$R$46),0)))</f>
        <v/>
      </c>
    </row>
    <row r="69" spans="1:34" ht="29.25">
      <c r="A69" s="1">
        <v>78</v>
      </c>
      <c r="B69" s="3" t="s">
        <v>457</v>
      </c>
      <c r="C69" s="3" t="s">
        <v>459</v>
      </c>
      <c r="D69" s="1" t="s">
        <v>460</v>
      </c>
      <c r="E69" s="1" t="s">
        <v>461</v>
      </c>
      <c r="F69" s="55" t="s">
        <v>964</v>
      </c>
      <c r="G69" s="1" t="s">
        <v>70</v>
      </c>
      <c r="H69" s="1" t="s">
        <v>70</v>
      </c>
      <c r="I69" s="1" t="s">
        <v>70</v>
      </c>
      <c r="J69" s="1" t="s">
        <v>70</v>
      </c>
      <c r="K69" s="1" t="s">
        <v>70</v>
      </c>
      <c r="L69" s="1" t="s">
        <v>238</v>
      </c>
      <c r="M69" s="1" t="s">
        <v>24</v>
      </c>
      <c r="N69" s="1" t="s">
        <v>462</v>
      </c>
      <c r="O69" s="60"/>
      <c r="U69" t="str">
        <f t="shared" si="8"/>
        <v>ㆤㆷ</v>
      </c>
      <c r="V69">
        <f t="shared" si="9"/>
        <v>2</v>
      </c>
      <c r="W69" s="20" t="str">
        <f t="shared" si="10"/>
        <v>ㆤ</v>
      </c>
      <c r="X69" s="20" t="str">
        <f t="shared" si="10"/>
        <v>ㆷ</v>
      </c>
      <c r="Y69" s="20" t="str">
        <f t="shared" si="10"/>
        <v/>
      </c>
      <c r="Z69" s="20" t="str">
        <f t="shared" si="10"/>
        <v/>
      </c>
      <c r="AA69" s="20" t="str">
        <f t="shared" si="10"/>
        <v/>
      </c>
      <c r="AC69" s="61" t="str">
        <f t="shared" si="7"/>
        <v>ㄝㄏ</v>
      </c>
      <c r="AD69" s="57" t="str" cm="1">
        <f t="array" ref="AD69" xml:space="preserve"> IF(W69="", "", INDEX($S$2:$S$46, MATCH(TRUE, EXACT(W69,$R$2:$R$46),0)))</f>
        <v>ㄝ</v>
      </c>
      <c r="AE69" s="57" t="str" cm="1">
        <f t="array" ref="AE69" xml:space="preserve"> IF(X69="", "", INDEX($S$2:$S$46, MATCH(TRUE, EXACT(X69,$R$2:$R$46),0)))</f>
        <v>ㄏ</v>
      </c>
      <c r="AF69" s="57" t="str" cm="1">
        <f t="array" ref="AF69" xml:space="preserve"> IF(Y69="", "", INDEX($S$2:$S$46, MATCH(TRUE, EXACT(Y69,$R$2:$R$46),0)))</f>
        <v/>
      </c>
      <c r="AG69" s="57" t="str" cm="1">
        <f t="array" ref="AG69" xml:space="preserve"> IF(Z69="", "", INDEX($S$2:$S$46, MATCH(TRUE, EXACT(Z69,$R$2:$R$46),0)))</f>
        <v/>
      </c>
      <c r="AH69" s="57" t="str" cm="1">
        <f t="array" ref="AH69" xml:space="preserve"> IF(AA69="", "", INDEX($S$2:$S$46, MATCH(TRUE, EXACT(AA69,$R$2:$R$46),0)))</f>
        <v/>
      </c>
    </row>
    <row r="70" spans="1:34" ht="29.25">
      <c r="A70" s="1">
        <v>79</v>
      </c>
      <c r="B70" s="6" t="s">
        <v>465</v>
      </c>
      <c r="C70" s="6" t="s">
        <v>463</v>
      </c>
      <c r="D70" s="1" t="s">
        <v>464</v>
      </c>
      <c r="E70" s="1" t="s">
        <v>466</v>
      </c>
      <c r="F70" s="55" t="s">
        <v>939</v>
      </c>
      <c r="G70" s="1" t="s">
        <v>467</v>
      </c>
      <c r="H70" s="1" t="s">
        <v>467</v>
      </c>
      <c r="I70" s="1" t="s">
        <v>467</v>
      </c>
      <c r="J70" s="1" t="s">
        <v>468</v>
      </c>
      <c r="K70" s="1" t="s">
        <v>469</v>
      </c>
      <c r="L70" s="1" t="s">
        <v>245</v>
      </c>
      <c r="M70" s="1" t="s">
        <v>17</v>
      </c>
      <c r="N70" s="1" t="s">
        <v>470</v>
      </c>
      <c r="O70" s="60"/>
      <c r="U70" t="str">
        <f t="shared" si="8"/>
        <v>ㆮ</v>
      </c>
      <c r="V70">
        <f t="shared" si="9"/>
        <v>1</v>
      </c>
      <c r="W70" s="20" t="str">
        <f t="shared" si="10"/>
        <v>ㆮ</v>
      </c>
      <c r="X70" s="20" t="str">
        <f t="shared" si="10"/>
        <v/>
      </c>
      <c r="Y70" s="20" t="str">
        <f t="shared" si="10"/>
        <v/>
      </c>
      <c r="Z70" s="20" t="str">
        <f t="shared" si="10"/>
        <v/>
      </c>
      <c r="AA70" s="20" t="str">
        <f t="shared" si="10"/>
        <v/>
      </c>
      <c r="AC70" s="61" t="str">
        <f t="shared" si="7"/>
        <v>⁰ㄞ</v>
      </c>
      <c r="AD70" s="57" t="str" cm="1">
        <f t="array" ref="AD70" xml:space="preserve"> IF(W70="", "", INDEX($S$2:$S$46, MATCH(TRUE, EXACT(W70,$R$2:$R$46),0)))</f>
        <v>⁰ㄞ</v>
      </c>
      <c r="AE70" s="57" t="str" cm="1">
        <f t="array" ref="AE70" xml:space="preserve"> IF(X70="", "", INDEX($S$2:$S$46, MATCH(TRUE, EXACT(X70,$R$2:$R$46),0)))</f>
        <v/>
      </c>
      <c r="AF70" s="57" t="str" cm="1">
        <f t="array" ref="AF70" xml:space="preserve"> IF(Y70="", "", INDEX($S$2:$S$46, MATCH(TRUE, EXACT(Y70,$R$2:$R$46),0)))</f>
        <v/>
      </c>
      <c r="AG70" s="57" t="str" cm="1">
        <f t="array" ref="AG70" xml:space="preserve"> IF(Z70="", "", INDEX($S$2:$S$46, MATCH(TRUE, EXACT(Z70,$R$2:$R$46),0)))</f>
        <v/>
      </c>
      <c r="AH70" s="57" t="str" cm="1">
        <f t="array" ref="AH70" xml:space="preserve"> IF(AA70="", "", INDEX($S$2:$S$46, MATCH(TRUE, EXACT(AA70,$R$2:$R$46),0)))</f>
        <v/>
      </c>
    </row>
    <row r="71" spans="1:34" ht="29.25">
      <c r="A71" s="1">
        <v>81</v>
      </c>
      <c r="B71" s="11" t="s">
        <v>473</v>
      </c>
      <c r="C71" s="6" t="s">
        <v>471</v>
      </c>
      <c r="D71" s="1" t="s">
        <v>472</v>
      </c>
      <c r="E71" s="1" t="s">
        <v>474</v>
      </c>
      <c r="F71" s="55" t="s">
        <v>950</v>
      </c>
      <c r="G71" s="1" t="s">
        <v>475</v>
      </c>
      <c r="H71" s="1" t="s">
        <v>476</v>
      </c>
      <c r="I71" s="1" t="s">
        <v>475</v>
      </c>
      <c r="J71" s="1" t="s">
        <v>477</v>
      </c>
      <c r="K71" s="1" t="s">
        <v>478</v>
      </c>
      <c r="L71" s="1" t="s">
        <v>252</v>
      </c>
      <c r="M71" s="1" t="s">
        <v>17</v>
      </c>
      <c r="N71" s="1" t="s">
        <v>479</v>
      </c>
      <c r="O71" s="60"/>
      <c r="U71" t="str">
        <f t="shared" si="8"/>
        <v>ㆧ</v>
      </c>
      <c r="V71">
        <f t="shared" si="9"/>
        <v>1</v>
      </c>
      <c r="W71" s="20" t="str">
        <f t="shared" si="10"/>
        <v>ㆧ</v>
      </c>
      <c r="X71" s="20" t="str">
        <f t="shared" si="10"/>
        <v/>
      </c>
      <c r="Y71" s="20" t="str">
        <f t="shared" si="10"/>
        <v/>
      </c>
      <c r="Z71" s="20" t="str">
        <f t="shared" si="10"/>
        <v/>
      </c>
      <c r="AA71" s="20" t="str">
        <f t="shared" si="10"/>
        <v/>
      </c>
      <c r="AC71" s="61" t="str">
        <f t="shared" si="7"/>
        <v>⁰ㄛ</v>
      </c>
      <c r="AD71" s="57" t="str" cm="1">
        <f t="array" ref="AD71" xml:space="preserve"> IF(W71="", "", INDEX($S$2:$S$46, MATCH(TRUE, EXACT(W71,$R$2:$R$46),0)))</f>
        <v>⁰ㄛ</v>
      </c>
      <c r="AE71" s="57" t="str" cm="1">
        <f t="array" ref="AE71" xml:space="preserve"> IF(X71="", "", INDEX($S$2:$S$46, MATCH(TRUE, EXACT(X71,$R$2:$R$46),0)))</f>
        <v/>
      </c>
      <c r="AF71" s="57" t="str" cm="1">
        <f t="array" ref="AF71" xml:space="preserve"> IF(Y71="", "", INDEX($S$2:$S$46, MATCH(TRUE, EXACT(Y71,$R$2:$R$46),0)))</f>
        <v/>
      </c>
      <c r="AG71" s="57" t="str" cm="1">
        <f t="array" ref="AG71" xml:space="preserve"> IF(Z71="", "", INDEX($S$2:$S$46, MATCH(TRUE, EXACT(Z71,$R$2:$R$46),0)))</f>
        <v/>
      </c>
      <c r="AH71" s="57" t="str" cm="1">
        <f t="array" ref="AH71" xml:space="preserve"> IF(AA71="", "", INDEX($S$2:$S$46, MATCH(TRUE, EXACT(AA71,$R$2:$R$46),0)))</f>
        <v/>
      </c>
    </row>
    <row r="72" spans="1:34" ht="29.25">
      <c r="A72" s="1">
        <v>83</v>
      </c>
      <c r="B72" s="3" t="s">
        <v>480</v>
      </c>
      <c r="C72" s="3" t="s">
        <v>480</v>
      </c>
      <c r="D72" s="1" t="s">
        <v>481</v>
      </c>
      <c r="E72" s="1" t="s">
        <v>482</v>
      </c>
      <c r="F72" s="55" t="s">
        <v>654</v>
      </c>
      <c r="G72" s="1" t="s">
        <v>483</v>
      </c>
      <c r="H72" s="1" t="s">
        <v>483</v>
      </c>
      <c r="I72" s="1" t="s">
        <v>483</v>
      </c>
      <c r="J72" s="1" t="s">
        <v>483</v>
      </c>
      <c r="K72" s="1" t="s">
        <v>483</v>
      </c>
      <c r="L72" s="1" t="s">
        <v>259</v>
      </c>
      <c r="M72" s="1" t="s">
        <v>17</v>
      </c>
      <c r="N72" s="1" t="s">
        <v>484</v>
      </c>
      <c r="O72" s="60"/>
      <c r="U72" t="str">
        <f t="shared" si="8"/>
        <v>ㆬ</v>
      </c>
      <c r="V72">
        <f t="shared" si="9"/>
        <v>1</v>
      </c>
      <c r="W72" s="20" t="str">
        <f t="shared" si="10"/>
        <v>ㆬ</v>
      </c>
      <c r="X72" s="20" t="str">
        <f t="shared" si="10"/>
        <v/>
      </c>
      <c r="Y72" s="20" t="str">
        <f t="shared" si="10"/>
        <v/>
      </c>
      <c r="Z72" s="20" t="str">
        <f t="shared" si="10"/>
        <v/>
      </c>
      <c r="AA72" s="20" t="str">
        <f t="shared" si="10"/>
        <v/>
      </c>
      <c r="AC72" s="61" t="str">
        <f t="shared" si="7"/>
        <v>ㄇ</v>
      </c>
      <c r="AD72" s="57" t="str" cm="1">
        <f t="array" ref="AD72" xml:space="preserve"> IF(W72="", "", INDEX($S$2:$S$46, MATCH(TRUE, EXACT(W72,$R$2:$R$46),0)))</f>
        <v>ㄇ</v>
      </c>
      <c r="AE72" s="57" t="str" cm="1">
        <f t="array" ref="AE72" xml:space="preserve"> IF(X72="", "", INDEX($S$2:$S$46, MATCH(TRUE, EXACT(X72,$R$2:$R$46),0)))</f>
        <v/>
      </c>
      <c r="AF72" s="57" t="str" cm="1">
        <f t="array" ref="AF72" xml:space="preserve"> IF(Y72="", "", INDEX($S$2:$S$46, MATCH(TRUE, EXACT(Y72,$R$2:$R$46),0)))</f>
        <v/>
      </c>
      <c r="AG72" s="57" t="str" cm="1">
        <f t="array" ref="AG72" xml:space="preserve"> IF(Z72="", "", INDEX($S$2:$S$46, MATCH(TRUE, EXACT(Z72,$R$2:$R$46),0)))</f>
        <v/>
      </c>
      <c r="AH72" s="57" t="str" cm="1">
        <f t="array" ref="AH72" xml:space="preserve"> IF(AA72="", "", INDEX($S$2:$S$46, MATCH(TRUE, EXACT(AA72,$R$2:$R$46),0)))</f>
        <v/>
      </c>
    </row>
    <row r="73" spans="1:34" ht="29.25">
      <c r="A73" s="1">
        <v>85</v>
      </c>
      <c r="B73" s="5" t="s">
        <v>487</v>
      </c>
      <c r="C73" s="6" t="s">
        <v>485</v>
      </c>
      <c r="D73" s="1" t="s">
        <v>486</v>
      </c>
      <c r="E73" s="1" t="s">
        <v>488</v>
      </c>
      <c r="F73" s="55" t="s">
        <v>488</v>
      </c>
      <c r="G73" s="1" t="s">
        <v>489</v>
      </c>
      <c r="H73" s="1" t="s">
        <v>489</v>
      </c>
      <c r="I73" s="1" t="s">
        <v>489</v>
      </c>
      <c r="J73" s="1" t="s">
        <v>490</v>
      </c>
      <c r="K73" s="1" t="s">
        <v>489</v>
      </c>
      <c r="L73" s="1" t="s">
        <v>265</v>
      </c>
      <c r="M73" s="1" t="s">
        <v>17</v>
      </c>
      <c r="N73" s="1" t="s">
        <v>491</v>
      </c>
      <c r="O73" s="60"/>
      <c r="U73" t="str">
        <f t="shared" si="8"/>
        <v>ㄨㄤ</v>
      </c>
      <c r="V73">
        <f t="shared" si="9"/>
        <v>2</v>
      </c>
      <c r="W73" s="20" t="str">
        <f t="shared" si="10"/>
        <v>ㄨ</v>
      </c>
      <c r="X73" s="20" t="str">
        <f t="shared" si="10"/>
        <v>ㄤ</v>
      </c>
      <c r="Y73" s="20" t="str">
        <f t="shared" si="10"/>
        <v/>
      </c>
      <c r="Z73" s="20" t="str">
        <f t="shared" si="10"/>
        <v/>
      </c>
      <c r="AA73" s="20" t="str">
        <f t="shared" si="10"/>
        <v/>
      </c>
      <c r="AC73" s="61" t="str">
        <f t="shared" si="7"/>
        <v>ㄨㄤ</v>
      </c>
      <c r="AD73" s="57" t="str" cm="1">
        <f t="array" ref="AD73" xml:space="preserve"> IF(W73="", "", INDEX($S$2:$S$46, MATCH(TRUE, EXACT(W73,$R$2:$R$46),0)))</f>
        <v>ㄨ</v>
      </c>
      <c r="AE73" s="57" t="str" cm="1">
        <f t="array" ref="AE73" xml:space="preserve"> IF(X73="", "", INDEX($S$2:$S$46, MATCH(TRUE, EXACT(X73,$R$2:$R$46),0)))</f>
        <v>ㄤ</v>
      </c>
      <c r="AF73" s="57" t="str" cm="1">
        <f t="array" ref="AF73" xml:space="preserve"> IF(Y73="", "", INDEX($S$2:$S$46, MATCH(TRUE, EXACT(Y73,$R$2:$R$46),0)))</f>
        <v/>
      </c>
      <c r="AG73" s="57" t="str" cm="1">
        <f t="array" ref="AG73" xml:space="preserve"> IF(Z73="", "", INDEX($S$2:$S$46, MATCH(TRUE, EXACT(Z73,$R$2:$R$46),0)))</f>
        <v/>
      </c>
      <c r="AH73" s="57" t="str" cm="1">
        <f t="array" ref="AH73" xml:space="preserve"> IF(AA73="", "", INDEX($S$2:$S$46, MATCH(TRUE, EXACT(AA73,$R$2:$R$46),0)))</f>
        <v/>
      </c>
    </row>
    <row r="74" spans="1:34" ht="29.25">
      <c r="A74" s="1">
        <v>86</v>
      </c>
      <c r="B74" s="5" t="s">
        <v>487</v>
      </c>
      <c r="C74" s="6" t="s">
        <v>492</v>
      </c>
      <c r="D74" s="1" t="s">
        <v>493</v>
      </c>
      <c r="E74" s="1" t="s">
        <v>494</v>
      </c>
      <c r="F74" s="55" t="s">
        <v>991</v>
      </c>
      <c r="G74" s="1" t="s">
        <v>495</v>
      </c>
      <c r="H74" s="1" t="s">
        <v>495</v>
      </c>
      <c r="I74" s="1" t="s">
        <v>495</v>
      </c>
      <c r="J74" s="1" t="s">
        <v>496</v>
      </c>
      <c r="K74" s="1" t="s">
        <v>495</v>
      </c>
      <c r="L74" s="1" t="s">
        <v>265</v>
      </c>
      <c r="M74" s="1" t="s">
        <v>24</v>
      </c>
      <c r="N74" s="1" t="s">
        <v>497</v>
      </c>
      <c r="O74" s="60"/>
      <c r="U74" t="str">
        <f t="shared" si="8"/>
        <v>ㄨㄚㆻ</v>
      </c>
      <c r="V74">
        <f t="shared" si="9"/>
        <v>3</v>
      </c>
      <c r="W74" s="20" t="str">
        <f t="shared" si="10"/>
        <v>ㄨ</v>
      </c>
      <c r="X74" s="20" t="str">
        <f t="shared" si="10"/>
        <v>ㄚ</v>
      </c>
      <c r="Y74" s="20" t="str">
        <f t="shared" si="10"/>
        <v>ㆻ</v>
      </c>
      <c r="Z74" s="20" t="str">
        <f t="shared" si="10"/>
        <v/>
      </c>
      <c r="AA74" s="20" t="str">
        <f t="shared" si="10"/>
        <v/>
      </c>
      <c r="AC74" s="61" t="str">
        <f t="shared" si="7"/>
        <v>ㄨㄚㄍ</v>
      </c>
      <c r="AD74" s="57" t="str" cm="1">
        <f t="array" ref="AD74" xml:space="preserve"> IF(W74="", "", INDEX($S$2:$S$46, MATCH(TRUE, EXACT(W74,$R$2:$R$46),0)))</f>
        <v>ㄨ</v>
      </c>
      <c r="AE74" s="57" t="str" cm="1">
        <f t="array" ref="AE74" xml:space="preserve"> IF(X74="", "", INDEX($S$2:$S$46, MATCH(TRUE, EXACT(X74,$R$2:$R$46),0)))</f>
        <v>ㄚ</v>
      </c>
      <c r="AF74" s="57" t="str" cm="1">
        <f t="array" ref="AF74" xml:space="preserve"> IF(Y74="", "", INDEX($S$2:$S$46, MATCH(TRUE, EXACT(Y74,$R$2:$R$46),0)))</f>
        <v>ㄍ</v>
      </c>
      <c r="AG74" s="57" t="str" cm="1">
        <f t="array" ref="AG74" xml:space="preserve"> IF(Z74="", "", INDEX($S$2:$S$46, MATCH(TRUE, EXACT(Z74,$R$2:$R$46),0)))</f>
        <v/>
      </c>
      <c r="AH74" s="57" t="str" cm="1">
        <f t="array" ref="AH74" xml:space="preserve"> IF(AA74="", "", INDEX($S$2:$S$46, MATCH(TRUE, EXACT(AA74,$R$2:$R$46),0)))</f>
        <v/>
      </c>
    </row>
    <row r="75" spans="1:34" ht="29.25">
      <c r="A75" s="1">
        <v>87</v>
      </c>
      <c r="B75" s="7" t="s">
        <v>500</v>
      </c>
      <c r="C75" s="3" t="s">
        <v>498</v>
      </c>
      <c r="D75" s="1" t="s">
        <v>499</v>
      </c>
      <c r="E75" s="1" t="s">
        <v>501</v>
      </c>
      <c r="F75" s="55" t="s">
        <v>937</v>
      </c>
      <c r="G75" s="1" t="s">
        <v>502</v>
      </c>
      <c r="H75" s="1" t="s">
        <v>502</v>
      </c>
      <c r="I75" s="1" t="s">
        <v>502</v>
      </c>
      <c r="J75" s="1" t="s">
        <v>503</v>
      </c>
      <c r="K75" s="1" t="s">
        <v>504</v>
      </c>
      <c r="L75" s="1" t="s">
        <v>272</v>
      </c>
      <c r="M75" s="1" t="s">
        <v>17</v>
      </c>
      <c r="N75" s="1" t="s">
        <v>505</v>
      </c>
      <c r="O75" s="60"/>
      <c r="U75" t="str">
        <f t="shared" si="8"/>
        <v>ㄨㆮ</v>
      </c>
      <c r="V75">
        <f t="shared" si="9"/>
        <v>2</v>
      </c>
      <c r="W75" s="20" t="str">
        <f t="shared" si="10"/>
        <v>ㄨ</v>
      </c>
      <c r="X75" s="20" t="str">
        <f t="shared" si="10"/>
        <v>ㆮ</v>
      </c>
      <c r="Y75" s="20" t="str">
        <f t="shared" si="10"/>
        <v/>
      </c>
      <c r="Z75" s="20" t="str">
        <f t="shared" si="10"/>
        <v/>
      </c>
      <c r="AA75" s="20" t="str">
        <f t="shared" si="10"/>
        <v/>
      </c>
      <c r="AC75" s="61" t="str">
        <f t="shared" si="7"/>
        <v>⁰ㄨㄞ</v>
      </c>
      <c r="AD75" s="57" t="s">
        <v>926</v>
      </c>
      <c r="AE75" s="57" t="str" cm="1">
        <f t="array" ref="AE75" xml:space="preserve"> IF(W75="", "", INDEX($S$2:$S$46, MATCH(TRUE, EXACT(W75,$R$2:$R$46),0)))</f>
        <v>ㄨ</v>
      </c>
      <c r="AF75" s="57" t="s">
        <v>199</v>
      </c>
      <c r="AG75" s="57" t="str" cm="1">
        <f t="array" ref="AG75" xml:space="preserve"> IF(Y75="", "", INDEX($S$2:$S$46, MATCH(TRUE, EXACT(Y75,$R$2:$R$46),0)))</f>
        <v/>
      </c>
      <c r="AH75" s="57" t="str" cm="1">
        <f t="array" ref="AH75" xml:space="preserve"> IF(AA75="", "", INDEX($S$2:$S$46, MATCH(TRUE, EXACT(AA75,$R$2:$R$46),0)))</f>
        <v/>
      </c>
    </row>
    <row r="76" spans="1:34" ht="29.25">
      <c r="A76" s="1">
        <v>88</v>
      </c>
      <c r="B76" s="7" t="s">
        <v>500</v>
      </c>
      <c r="C76" s="9" t="s">
        <v>506</v>
      </c>
      <c r="D76" s="1" t="s">
        <v>507</v>
      </c>
      <c r="E76" s="1" t="s">
        <v>508</v>
      </c>
      <c r="F76" s="55" t="s">
        <v>933</v>
      </c>
      <c r="G76" s="1" t="s">
        <v>509</v>
      </c>
      <c r="H76" s="1" t="s">
        <v>510</v>
      </c>
      <c r="I76" s="1" t="s">
        <v>510</v>
      </c>
      <c r="J76" s="1" t="s">
        <v>511</v>
      </c>
      <c r="K76" s="1" t="s">
        <v>512</v>
      </c>
      <c r="L76" s="1" t="s">
        <v>272</v>
      </c>
      <c r="M76" s="1" t="s">
        <v>24</v>
      </c>
      <c r="N76" s="1" t="s">
        <v>513</v>
      </c>
      <c r="O76" s="60"/>
      <c r="U76" t="str">
        <f t="shared" si="8"/>
        <v>ㄨㆮㆷ</v>
      </c>
      <c r="V76">
        <f t="shared" si="9"/>
        <v>3</v>
      </c>
      <c r="W76" s="20" t="str">
        <f t="shared" si="10"/>
        <v>ㄨ</v>
      </c>
      <c r="X76" s="20" t="str">
        <f t="shared" si="10"/>
        <v>ㆮ</v>
      </c>
      <c r="Y76" s="20" t="str">
        <f t="shared" si="10"/>
        <v>ㆷ</v>
      </c>
      <c r="Z76" s="20" t="str">
        <f t="shared" si="10"/>
        <v/>
      </c>
      <c r="AA76" s="20" t="str">
        <f t="shared" si="10"/>
        <v/>
      </c>
      <c r="AC76" s="61" t="str">
        <f t="shared" si="7"/>
        <v>⁰ㄨㄞㄏ</v>
      </c>
      <c r="AD76" s="57" t="s">
        <v>926</v>
      </c>
      <c r="AE76" s="57" t="str" cm="1">
        <f t="array" ref="AE76" xml:space="preserve"> IF(W76="", "", INDEX($S$2:$S$46, MATCH(TRUE, EXACT(W76,$R$2:$R$46),0)))</f>
        <v>ㄨ</v>
      </c>
      <c r="AF76" s="57" t="s">
        <v>199</v>
      </c>
      <c r="AG76" s="57" t="str" cm="1">
        <f t="array" ref="AG76" xml:space="preserve"> IF(Y76="", "", INDEX($S$2:$S$46, MATCH(TRUE, EXACT(Y76,$R$2:$R$46),0)))</f>
        <v>ㄏ</v>
      </c>
      <c r="AH76" s="57" t="str" cm="1">
        <f t="array" ref="AH76" xml:space="preserve"> IF(AA76="", "", INDEX($S$2:$S$46, MATCH(TRUE, EXACT(AA76,$R$2:$R$46),0)))</f>
        <v/>
      </c>
    </row>
    <row r="77" spans="1:34" ht="39">
      <c r="A77" s="1">
        <v>89</v>
      </c>
      <c r="B77" s="12" t="s">
        <v>515</v>
      </c>
      <c r="C77" s="3" t="s">
        <v>579</v>
      </c>
      <c r="D77" s="1" t="s">
        <v>514</v>
      </c>
      <c r="E77" s="1" t="s">
        <v>516</v>
      </c>
      <c r="F77" s="55" t="s">
        <v>992</v>
      </c>
      <c r="G77" s="1" t="s">
        <v>517</v>
      </c>
      <c r="H77" s="1" t="s">
        <v>517</v>
      </c>
      <c r="I77" s="1" t="s">
        <v>517</v>
      </c>
      <c r="J77" s="1" t="s">
        <v>518</v>
      </c>
      <c r="K77" s="1" t="s">
        <v>519</v>
      </c>
      <c r="L77" s="1" t="s">
        <v>278</v>
      </c>
      <c r="M77" s="1" t="s">
        <v>17</v>
      </c>
      <c r="N77" s="1" t="s">
        <v>520</v>
      </c>
      <c r="O77" s="60"/>
      <c r="U77" t="str">
        <f t="shared" si="8"/>
        <v>ㄨㆥ</v>
      </c>
      <c r="V77">
        <f t="shared" si="9"/>
        <v>2</v>
      </c>
      <c r="W77" s="20" t="str">
        <f t="shared" si="10"/>
        <v>ㄨ</v>
      </c>
      <c r="X77" s="20" t="str">
        <f t="shared" si="10"/>
        <v>ㆥ</v>
      </c>
      <c r="Y77" s="20" t="str">
        <f t="shared" si="10"/>
        <v/>
      </c>
      <c r="Z77" s="20" t="str">
        <f t="shared" si="10"/>
        <v/>
      </c>
      <c r="AA77" s="20" t="str">
        <f t="shared" si="10"/>
        <v/>
      </c>
      <c r="AC77" s="61" t="str">
        <f t="shared" si="7"/>
        <v>⁰ㄨㄝ</v>
      </c>
      <c r="AD77" s="57" t="s">
        <v>926</v>
      </c>
      <c r="AE77" s="57" t="s">
        <v>339</v>
      </c>
      <c r="AF77" s="57" t="s">
        <v>60</v>
      </c>
      <c r="AG77" s="57" t="str" cm="1">
        <f t="array" ref="AG77" xml:space="preserve"> IF(Z77="", "", INDEX($S$2:$S$46, MATCH(TRUE, EXACT(Z77,$R$2:$R$46),0)))</f>
        <v/>
      </c>
      <c r="AH77" s="57" t="str" cm="1">
        <f t="array" ref="AH77" xml:space="preserve"> IF(AA77="", "", INDEX($S$2:$S$46, MATCH(TRUE, EXACT(AA77,$R$2:$R$46),0)))</f>
        <v/>
      </c>
    </row>
    <row r="78" spans="1:34" ht="29.25">
      <c r="A78" s="1">
        <v>91</v>
      </c>
      <c r="B78" s="11" t="s">
        <v>523</v>
      </c>
      <c r="C78" s="5" t="s">
        <v>521</v>
      </c>
      <c r="D78" s="1" t="s">
        <v>522</v>
      </c>
      <c r="E78" s="1" t="s">
        <v>524</v>
      </c>
      <c r="F78" s="55" t="s">
        <v>935</v>
      </c>
      <c r="G78" s="1" t="s">
        <v>525</v>
      </c>
      <c r="H78" s="1" t="s">
        <v>525</v>
      </c>
      <c r="I78" s="1" t="s">
        <v>525</v>
      </c>
      <c r="J78" s="1" t="s">
        <v>526</v>
      </c>
      <c r="K78" s="1" t="s">
        <v>527</v>
      </c>
      <c r="L78" s="1" t="s">
        <v>285</v>
      </c>
      <c r="M78" s="1" t="s">
        <v>17</v>
      </c>
      <c r="N78" s="1" t="s">
        <v>528</v>
      </c>
      <c r="O78" s="60"/>
      <c r="U78" t="str">
        <f t="shared" si="8"/>
        <v>ㄧㆯ</v>
      </c>
      <c r="V78">
        <f t="shared" si="9"/>
        <v>2</v>
      </c>
      <c r="W78" s="20" t="str">
        <f t="shared" si="10"/>
        <v>ㄧ</v>
      </c>
      <c r="X78" s="20" t="str">
        <f t="shared" si="10"/>
        <v>ㆯ</v>
      </c>
      <c r="Y78" s="20" t="str">
        <f t="shared" si="10"/>
        <v/>
      </c>
      <c r="Z78" s="20" t="str">
        <f t="shared" si="10"/>
        <v/>
      </c>
      <c r="AA78" s="20" t="str">
        <f t="shared" si="10"/>
        <v/>
      </c>
      <c r="AC78" s="61" t="str">
        <f t="shared" si="7"/>
        <v>⁰ㄧㄠ</v>
      </c>
      <c r="AD78" s="57" t="s">
        <v>926</v>
      </c>
      <c r="AE78" s="57" t="s">
        <v>928</v>
      </c>
      <c r="AF78" s="57" t="s">
        <v>927</v>
      </c>
      <c r="AG78" s="57" t="str" cm="1">
        <f t="array" ref="AG78" xml:space="preserve"> IF(Z78="", "", INDEX($S$2:$S$46, MATCH(TRUE, EXACT(Z78,$R$2:$R$46),0)))</f>
        <v/>
      </c>
      <c r="AH78" s="57" t="str" cm="1">
        <f t="array" ref="AH78" xml:space="preserve"> IF(AA78="", "", INDEX($S$2:$S$46, MATCH(TRUE, EXACT(AA78,$R$2:$R$46),0)))</f>
        <v/>
      </c>
    </row>
    <row r="79" spans="1:34" ht="39">
      <c r="A79" s="1">
        <v>92</v>
      </c>
      <c r="B79" s="3" t="s">
        <v>523</v>
      </c>
      <c r="C79" s="3" t="s">
        <v>579</v>
      </c>
      <c r="D79" s="1" t="s">
        <v>529</v>
      </c>
      <c r="E79" s="1" t="s">
        <v>530</v>
      </c>
      <c r="F79" s="55" t="s">
        <v>993</v>
      </c>
      <c r="G79" s="1" t="s">
        <v>531</v>
      </c>
      <c r="H79" s="1" t="s">
        <v>532</v>
      </c>
      <c r="I79" s="1" t="s">
        <v>532</v>
      </c>
      <c r="J79" s="1" t="s">
        <v>533</v>
      </c>
      <c r="K79" s="1" t="s">
        <v>534</v>
      </c>
      <c r="L79" s="1" t="s">
        <v>285</v>
      </c>
      <c r="M79" s="1" t="s">
        <v>24</v>
      </c>
      <c r="N79" s="1" t="s">
        <v>535</v>
      </c>
      <c r="O79" s="60"/>
      <c r="U79" t="str">
        <f t="shared" si="8"/>
        <v>ㄧㆯㆷ</v>
      </c>
      <c r="V79">
        <f t="shared" si="9"/>
        <v>3</v>
      </c>
      <c r="W79" s="20" t="str">
        <f t="shared" si="10"/>
        <v>ㄧ</v>
      </c>
      <c r="X79" s="20" t="str">
        <f t="shared" si="10"/>
        <v>ㆯ</v>
      </c>
      <c r="Y79" s="20" t="str">
        <f t="shared" si="10"/>
        <v>ㆷ</v>
      </c>
      <c r="Z79" s="20" t="str">
        <f t="shared" si="10"/>
        <v/>
      </c>
      <c r="AA79" s="20" t="str">
        <f t="shared" si="10"/>
        <v/>
      </c>
      <c r="AC79" s="61" t="str">
        <f t="shared" si="7"/>
        <v>⁰ㄧㄠㄏ</v>
      </c>
      <c r="AD79" s="57" t="s">
        <v>926</v>
      </c>
      <c r="AE79" s="57" t="s">
        <v>928</v>
      </c>
      <c r="AF79" s="57" t="s">
        <v>927</v>
      </c>
      <c r="AG79" s="57" t="s">
        <v>652</v>
      </c>
      <c r="AH79" s="57" t="str" cm="1">
        <f t="array" ref="AH79" xml:space="preserve"> IF(AA79="", "", INDEX($S$2:$S$46, MATCH(TRUE, EXACT(AA79,$R$2:$R$46),0)))</f>
        <v/>
      </c>
    </row>
    <row r="80" spans="1:34" ht="29.25">
      <c r="A80" s="1">
        <v>93</v>
      </c>
      <c r="B80" s="13" t="s">
        <v>538</v>
      </c>
      <c r="C80" s="5" t="s">
        <v>536</v>
      </c>
      <c r="D80" s="1" t="s">
        <v>537</v>
      </c>
      <c r="E80" s="1" t="s">
        <v>539</v>
      </c>
      <c r="F80" s="55" t="s">
        <v>955</v>
      </c>
      <c r="G80" s="1" t="s">
        <v>540</v>
      </c>
      <c r="H80" s="1" t="s">
        <v>540</v>
      </c>
      <c r="I80" s="1" t="s">
        <v>541</v>
      </c>
      <c r="J80" s="1" t="s">
        <v>540</v>
      </c>
      <c r="K80" s="1" t="s">
        <v>540</v>
      </c>
      <c r="L80" s="1" t="s">
        <v>292</v>
      </c>
      <c r="M80" s="1" t="s">
        <v>17</v>
      </c>
      <c r="N80" s="1" t="s">
        <v>542</v>
      </c>
      <c r="O80" s="60"/>
      <c r="U80" t="str">
        <f t="shared" si="8"/>
        <v>ㆱ</v>
      </c>
      <c r="V80">
        <f t="shared" si="9"/>
        <v>1</v>
      </c>
      <c r="W80" s="20" t="str">
        <f t="shared" si="10"/>
        <v>ㆱ</v>
      </c>
      <c r="X80" s="20" t="str">
        <f t="shared" si="10"/>
        <v/>
      </c>
      <c r="Y80" s="20" t="str">
        <f t="shared" si="10"/>
        <v/>
      </c>
      <c r="Z80" s="20" t="str">
        <f t="shared" si="10"/>
        <v/>
      </c>
      <c r="AA80" s="20" t="str">
        <f t="shared" si="10"/>
        <v/>
      </c>
      <c r="AC80" s="61" t="str">
        <f t="shared" si="7"/>
        <v>ㄛㄇ</v>
      </c>
      <c r="AD80" s="57" t="str" cm="1">
        <f t="array" ref="AD80" xml:space="preserve"> IF(W80="", "", INDEX($S$2:$S$46, MATCH(TRUE, EXACT(W80,$R$2:$R$46),0)))</f>
        <v>ㄛㄇ</v>
      </c>
      <c r="AE80" s="57" t="str" cm="1">
        <f t="array" ref="AE80" xml:space="preserve"> IF(X80="", "", INDEX($S$2:$S$46, MATCH(TRUE, EXACT(X80,$R$2:$R$46),0)))</f>
        <v/>
      </c>
      <c r="AF80" s="57" t="str" cm="1">
        <f t="array" ref="AF80" xml:space="preserve"> IF(Y80="", "", INDEX($S$2:$S$46, MATCH(TRUE, EXACT(Y80,$R$2:$R$46),0)))</f>
        <v/>
      </c>
      <c r="AG80" s="57" t="str" cm="1">
        <f t="array" ref="AG80" xml:space="preserve"> IF(Z80="", "", INDEX($S$2:$S$46, MATCH(TRUE, EXACT(Z80,$R$2:$R$46),0)))</f>
        <v/>
      </c>
      <c r="AH80" s="57" t="str" cm="1">
        <f t="array" ref="AH80" xml:space="preserve"> IF(AA80="", "", INDEX($S$2:$S$46, MATCH(TRUE, EXACT(AA80,$R$2:$R$46),0)))</f>
        <v/>
      </c>
    </row>
    <row r="81" spans="1:34" ht="29.25">
      <c r="A81" s="1">
        <v>94</v>
      </c>
      <c r="B81" s="13" t="s">
        <v>538</v>
      </c>
      <c r="C81" s="3" t="s">
        <v>543</v>
      </c>
      <c r="D81" s="1" t="s">
        <v>544</v>
      </c>
      <c r="E81" s="1" t="s">
        <v>545</v>
      </c>
      <c r="F81" s="55" t="s">
        <v>994</v>
      </c>
      <c r="G81" s="1" t="s">
        <v>546</v>
      </c>
      <c r="H81" s="1" t="s">
        <v>546</v>
      </c>
      <c r="I81" s="1" t="s">
        <v>547</v>
      </c>
      <c r="J81" s="1" t="s">
        <v>546</v>
      </c>
      <c r="K81" s="1" t="s">
        <v>546</v>
      </c>
      <c r="L81" s="1" t="s">
        <v>292</v>
      </c>
      <c r="M81" s="1" t="s">
        <v>24</v>
      </c>
      <c r="N81" s="1" t="s">
        <v>548</v>
      </c>
      <c r="O81" s="60"/>
      <c r="U81" t="str">
        <f t="shared" si="8"/>
        <v>ㆦㆴ</v>
      </c>
      <c r="V81">
        <f t="shared" si="9"/>
        <v>2</v>
      </c>
      <c r="W81" s="20" t="str">
        <f t="shared" si="10"/>
        <v>ㆦ</v>
      </c>
      <c r="X81" s="20" t="str">
        <f t="shared" si="10"/>
        <v>ㆴ</v>
      </c>
      <c r="Y81" s="20" t="str">
        <f t="shared" si="10"/>
        <v/>
      </c>
      <c r="Z81" s="20" t="str">
        <f t="shared" si="10"/>
        <v/>
      </c>
      <c r="AA81" s="20" t="str">
        <f t="shared" si="10"/>
        <v/>
      </c>
      <c r="AC81" s="61" t="str">
        <f t="shared" si="7"/>
        <v>ㄛㄅ</v>
      </c>
      <c r="AD81" s="57" t="str" cm="1">
        <f t="array" ref="AD81" xml:space="preserve"> IF(W81="", "", INDEX($S$2:$S$46, MATCH(TRUE, EXACT(W81,$R$2:$R$46),0)))</f>
        <v>ㄛ</v>
      </c>
      <c r="AE81" s="57" t="str" cm="1">
        <f t="array" ref="AE81" xml:space="preserve"> IF(X81="", "", INDEX($S$2:$S$46, MATCH(TRUE, EXACT(X81,$R$2:$R$46),0)))</f>
        <v>ㄅ</v>
      </c>
      <c r="AF81" s="57" t="str" cm="1">
        <f t="array" ref="AF81" xml:space="preserve"> IF(Y81="", "", INDEX($S$2:$S$46, MATCH(TRUE, EXACT(Y81,$R$2:$R$46),0)))</f>
        <v/>
      </c>
      <c r="AG81" s="57" t="str" cm="1">
        <f t="array" ref="AG81" xml:space="preserve"> IF(Z81="", "", INDEX($S$2:$S$46, MATCH(TRUE, EXACT(Z81,$R$2:$R$46),0)))</f>
        <v/>
      </c>
      <c r="AH81" s="57" t="str" cm="1">
        <f t="array" ref="AH81" xml:space="preserve"> IF(AA81="", "", INDEX($S$2:$S$46, MATCH(TRUE, EXACT(AA81,$R$2:$R$46),0)))</f>
        <v/>
      </c>
    </row>
    <row r="82" spans="1:34" ht="29.25">
      <c r="A82" s="1">
        <v>95</v>
      </c>
      <c r="B82" s="13" t="s">
        <v>551</v>
      </c>
      <c r="C82" s="9" t="s">
        <v>549</v>
      </c>
      <c r="D82" s="1" t="s">
        <v>550</v>
      </c>
      <c r="E82" s="1" t="s">
        <v>552</v>
      </c>
      <c r="F82" s="55" t="s">
        <v>995</v>
      </c>
      <c r="G82" s="1" t="s">
        <v>553</v>
      </c>
      <c r="H82" s="1" t="s">
        <v>553</v>
      </c>
      <c r="I82" s="1" t="s">
        <v>553</v>
      </c>
      <c r="J82" s="1" t="s">
        <v>554</v>
      </c>
      <c r="K82" s="1" t="s">
        <v>555</v>
      </c>
      <c r="L82" s="1" t="s">
        <v>298</v>
      </c>
      <c r="M82" s="1" t="s">
        <v>17</v>
      </c>
      <c r="N82" s="1" t="s">
        <v>556</v>
      </c>
      <c r="O82" s="60"/>
      <c r="U82" t="str">
        <f t="shared" si="8"/>
        <v>ㆯ</v>
      </c>
      <c r="V82">
        <f t="shared" si="9"/>
        <v>1</v>
      </c>
      <c r="W82" s="20" t="str">
        <f t="shared" si="10"/>
        <v>ㆯ</v>
      </c>
      <c r="X82" s="20" t="str">
        <f t="shared" si="10"/>
        <v/>
      </c>
      <c r="Y82" s="20" t="str">
        <f t="shared" si="10"/>
        <v/>
      </c>
      <c r="Z82" s="20" t="str">
        <f t="shared" si="10"/>
        <v/>
      </c>
      <c r="AA82" s="20" t="str">
        <f t="shared" si="10"/>
        <v/>
      </c>
      <c r="AC82" s="61" t="str">
        <f t="shared" si="7"/>
        <v>⁰ㄠ</v>
      </c>
      <c r="AD82" s="57" t="s">
        <v>926</v>
      </c>
      <c r="AE82" s="57" t="s">
        <v>927</v>
      </c>
      <c r="AF82" s="57" t="str" cm="1">
        <f t="array" ref="AF82" xml:space="preserve"> IF(Y82="", "", INDEX($S$2:$S$46, MATCH(TRUE, EXACT(Y82,$R$2:$R$46),0)))</f>
        <v/>
      </c>
      <c r="AG82" s="57" t="str" cm="1">
        <f t="array" ref="AG82" xml:space="preserve"> IF(Z82="", "", INDEX($S$2:$S$46, MATCH(TRUE, EXACT(Z82,$R$2:$R$46),0)))</f>
        <v/>
      </c>
      <c r="AH82" s="57" t="str" cm="1">
        <f t="array" ref="AH82" xml:space="preserve"> IF(AA82="", "", INDEX($S$2:$S$46, MATCH(TRUE, EXACT(AA82,$R$2:$R$46),0)))</f>
        <v/>
      </c>
    </row>
    <row r="83" spans="1:34" ht="29.25">
      <c r="A83" s="1">
        <v>97</v>
      </c>
      <c r="B83" s="12" t="s">
        <v>559</v>
      </c>
      <c r="C83" s="3" t="s">
        <v>557</v>
      </c>
      <c r="D83" s="1" t="s">
        <v>558</v>
      </c>
      <c r="E83" s="1" t="s">
        <v>474</v>
      </c>
      <c r="F83" s="55" t="s">
        <v>950</v>
      </c>
      <c r="G83" s="1" t="s">
        <v>476</v>
      </c>
      <c r="H83" s="1" t="s">
        <v>476</v>
      </c>
      <c r="I83" s="1" t="s">
        <v>561</v>
      </c>
      <c r="J83" s="1" t="s">
        <v>560</v>
      </c>
      <c r="K83" s="1" t="s">
        <v>478</v>
      </c>
      <c r="L83" s="1" t="s">
        <v>304</v>
      </c>
      <c r="M83" s="1" t="s">
        <v>17</v>
      </c>
      <c r="N83" s="1" t="s">
        <v>562</v>
      </c>
      <c r="O83" s="60"/>
      <c r="U83" t="str">
        <f t="shared" si="8"/>
        <v>ㆧ</v>
      </c>
      <c r="V83">
        <f t="shared" si="9"/>
        <v>1</v>
      </c>
      <c r="W83" s="20" t="str">
        <f t="shared" si="10"/>
        <v>ㆧ</v>
      </c>
      <c r="X83" s="20" t="str">
        <f t="shared" si="10"/>
        <v/>
      </c>
      <c r="Y83" s="20" t="str">
        <f t="shared" si="10"/>
        <v/>
      </c>
      <c r="Z83" s="20" t="str">
        <f t="shared" si="10"/>
        <v/>
      </c>
      <c r="AA83" s="20" t="str">
        <f t="shared" si="10"/>
        <v/>
      </c>
      <c r="AC83" s="61" t="str">
        <f t="shared" si="7"/>
        <v>⁰ㄛ</v>
      </c>
      <c r="AD83" s="57" t="str" cm="1">
        <f t="array" ref="AD83" xml:space="preserve"> IF(W83="", "", INDEX($S$2:$S$46, MATCH(TRUE, EXACT(W83,$R$2:$R$46),0)))</f>
        <v>⁰ㄛ</v>
      </c>
      <c r="AE83" s="57" t="str" cm="1">
        <f t="array" ref="AE83" xml:space="preserve"> IF(X83="", "", INDEX($S$2:$S$46, MATCH(TRUE, EXACT(X83,$R$2:$R$46),0)))</f>
        <v/>
      </c>
      <c r="AF83" s="57" t="str" cm="1">
        <f t="array" ref="AF83" xml:space="preserve"> IF(Y83="", "", INDEX($S$2:$S$46, MATCH(TRUE, EXACT(Y83,$R$2:$R$46),0)))</f>
        <v/>
      </c>
      <c r="AG83" s="57" t="str" cm="1">
        <f t="array" ref="AG83" xml:space="preserve"> IF(Z83="", "", INDEX($S$2:$S$46, MATCH(TRUE, EXACT(Z83,$R$2:$R$46),0)))</f>
        <v/>
      </c>
      <c r="AH83" s="57" t="str" cm="1">
        <f t="array" ref="AH83" xml:space="preserve"> IF(AA83="", "", INDEX($S$2:$S$46, MATCH(TRUE, EXACT(AA83,$R$2:$R$46),0)))</f>
        <v/>
      </c>
    </row>
    <row r="84" spans="1:34" ht="39">
      <c r="A84" s="1">
        <v>98</v>
      </c>
      <c r="B84" s="12" t="s">
        <v>559</v>
      </c>
      <c r="C84" s="3" t="s">
        <v>579</v>
      </c>
      <c r="D84" s="1" t="s">
        <v>563</v>
      </c>
      <c r="E84" s="1" t="s">
        <v>564</v>
      </c>
      <c r="F84" s="1" t="str" cm="1">
        <f t="array" ref="F84" xml:space="preserve"> INDEX($S$2:$S$42, MATCH(TRUE, EXACT(H84, $Q$2:$Q$42),0))</f>
        <v>⁰ㄛㄏ</v>
      </c>
      <c r="G84" s="1" t="s">
        <v>565</v>
      </c>
      <c r="H84" s="1" t="s">
        <v>566</v>
      </c>
      <c r="I84" s="1" t="s">
        <v>517</v>
      </c>
      <c r="J84" s="1" t="s">
        <v>567</v>
      </c>
      <c r="K84" s="1" t="s">
        <v>568</v>
      </c>
      <c r="L84" s="1" t="s">
        <v>304</v>
      </c>
      <c r="M84" s="1" t="s">
        <v>24</v>
      </c>
      <c r="N84" s="1" t="s">
        <v>569</v>
      </c>
      <c r="O84" s="60"/>
      <c r="U84" t="str">
        <f t="shared" si="8"/>
        <v>ㆧㆷ</v>
      </c>
      <c r="V84">
        <f t="shared" si="9"/>
        <v>2</v>
      </c>
      <c r="W84" s="20" t="str">
        <f t="shared" si="10"/>
        <v>ㆧ</v>
      </c>
      <c r="X84" s="20" t="str">
        <f t="shared" si="10"/>
        <v>ㆷ</v>
      </c>
      <c r="Y84" s="20" t="str">
        <f t="shared" si="10"/>
        <v/>
      </c>
      <c r="Z84" s="20" t="str">
        <f t="shared" si="10"/>
        <v/>
      </c>
      <c r="AA84" s="20" t="str">
        <f t="shared" si="10"/>
        <v/>
      </c>
      <c r="AC84" s="61" t="str">
        <f t="shared" si="7"/>
        <v>⁰ㄛㄏ</v>
      </c>
      <c r="AD84" s="57" t="str" cm="1">
        <f t="array" ref="AD84" xml:space="preserve"> IF(W84="", "", INDEX($S$2:$S$46, MATCH(TRUE, EXACT(W84,$R$2:$R$46),0)))</f>
        <v>⁰ㄛ</v>
      </c>
      <c r="AE84" s="57" t="str" cm="1">
        <f t="array" ref="AE84" xml:space="preserve"> IF(X84="", "", INDEX($S$2:$S$46, MATCH(TRUE, EXACT(X84,$R$2:$R$46),0)))</f>
        <v>ㄏ</v>
      </c>
      <c r="AF84" s="57" t="str" cm="1">
        <f t="array" ref="AF84" xml:space="preserve"> IF(Y84="", "", INDEX($S$2:$S$46, MATCH(TRUE, EXACT(Y84,$R$2:$R$46),0)))</f>
        <v/>
      </c>
      <c r="AG84" s="57" t="str" cm="1">
        <f t="array" ref="AG84" xml:space="preserve"> IF(Z84="", "", INDEX($S$2:$S$46, MATCH(TRUE, EXACT(Z84,$R$2:$R$46),0)))</f>
        <v/>
      </c>
      <c r="AH84" s="57" t="str" cm="1">
        <f t="array" ref="AH84" xml:space="preserve"> IF(AA84="", "", INDEX($S$2:$S$46, MATCH(TRUE, EXACT(AA84,$R$2:$R$46),0)))</f>
        <v/>
      </c>
    </row>
    <row r="85" spans="1:34" ht="29.25">
      <c r="A85" s="1">
        <v>99</v>
      </c>
      <c r="B85" s="12" t="s">
        <v>572</v>
      </c>
      <c r="C85" s="3" t="s">
        <v>570</v>
      </c>
      <c r="D85" s="1" t="s">
        <v>571</v>
      </c>
      <c r="E85" s="1" t="s">
        <v>573</v>
      </c>
      <c r="F85" s="1" t="str" cm="1">
        <f t="array" ref="F85" xml:space="preserve"> INDEX($S$2:$S$42, MATCH(TRUE, EXACT(H85, $Q$2:$Q$42),0))</f>
        <v>⁰ㄧㆫ</v>
      </c>
      <c r="G85" s="1" t="s">
        <v>574</v>
      </c>
      <c r="H85" s="1" t="s">
        <v>574</v>
      </c>
      <c r="I85" s="1" t="s">
        <v>574</v>
      </c>
      <c r="J85" s="1" t="s">
        <v>575</v>
      </c>
      <c r="K85" s="1" t="s">
        <v>576</v>
      </c>
      <c r="L85" s="1" t="s">
        <v>312</v>
      </c>
      <c r="M85" s="1" t="s">
        <v>17</v>
      </c>
      <c r="N85" s="1" t="s">
        <v>577</v>
      </c>
      <c r="O85" s="60"/>
      <c r="U85" t="str">
        <f t="shared" si="8"/>
        <v>ㄧㆫ</v>
      </c>
      <c r="V85">
        <f t="shared" si="9"/>
        <v>2</v>
      </c>
      <c r="W85" s="20" t="str">
        <f t="shared" si="10"/>
        <v>ㄧ</v>
      </c>
      <c r="X85" s="20" t="str">
        <f t="shared" si="10"/>
        <v>ㆫ</v>
      </c>
      <c r="Y85" s="20" t="str">
        <f t="shared" si="10"/>
        <v/>
      </c>
      <c r="Z85" s="20" t="str">
        <f t="shared" si="10"/>
        <v/>
      </c>
      <c r="AA85" s="20" t="str">
        <f t="shared" si="10"/>
        <v/>
      </c>
      <c r="AC85" s="61" t="str">
        <f t="shared" si="7"/>
        <v>⁰ㄧㄨ</v>
      </c>
      <c r="AD85" s="57" t="s">
        <v>926</v>
      </c>
      <c r="AE85" s="57" t="s">
        <v>928</v>
      </c>
      <c r="AF85" s="57" t="s">
        <v>339</v>
      </c>
      <c r="AG85" s="57" t="str" cm="1">
        <f t="array" ref="AG85" xml:space="preserve"> IF(Z85="", "", INDEX($S$2:$S$46, MATCH(TRUE, EXACT(Z85,$R$2:$R$46),0)))</f>
        <v/>
      </c>
      <c r="AH85" s="57" t="str" cm="1">
        <f t="array" ref="AH85" xml:space="preserve"> IF(AA85="", "", INDEX($S$2:$S$46, MATCH(TRUE, EXACT(AA85,$R$2:$R$46),0)))</f>
        <v/>
      </c>
    </row>
    <row r="86" spans="1:34">
      <c r="AD86"/>
      <c r="AE86"/>
      <c r="AF86"/>
      <c r="AG86"/>
      <c r="AH86"/>
    </row>
    <row r="87" spans="1:34">
      <c r="AD87"/>
      <c r="AE87"/>
      <c r="AF87"/>
      <c r="AG87"/>
      <c r="AH87"/>
    </row>
    <row r="88" spans="1:34">
      <c r="AD88"/>
      <c r="AE88"/>
      <c r="AF88"/>
      <c r="AG88"/>
      <c r="AH88"/>
    </row>
    <row r="89" spans="1:34">
      <c r="AD89"/>
      <c r="AE89"/>
      <c r="AF89"/>
      <c r="AG89"/>
      <c r="AH89"/>
    </row>
    <row r="90" spans="1:34">
      <c r="AD90"/>
      <c r="AE90"/>
      <c r="AF90"/>
      <c r="AG90"/>
      <c r="AH90"/>
    </row>
    <row r="91" spans="1:34">
      <c r="AD91"/>
      <c r="AE91"/>
      <c r="AF91"/>
      <c r="AG91"/>
      <c r="AH91"/>
    </row>
    <row r="92" spans="1:34">
      <c r="AD92"/>
      <c r="AE92"/>
      <c r="AF92"/>
      <c r="AG92"/>
      <c r="AH92"/>
    </row>
    <row r="93" spans="1:34">
      <c r="AD93"/>
      <c r="AE93"/>
      <c r="AF93"/>
      <c r="AG93"/>
      <c r="AH93"/>
    </row>
    <row r="94" spans="1:34">
      <c r="AD94"/>
      <c r="AE94"/>
      <c r="AF94"/>
      <c r="AG94"/>
      <c r="AH94"/>
    </row>
    <row r="95" spans="1:34">
      <c r="AD95"/>
      <c r="AE95"/>
      <c r="AF95"/>
      <c r="AG95"/>
      <c r="AH95"/>
    </row>
    <row r="96" spans="1:34">
      <c r="AD96"/>
      <c r="AE96"/>
      <c r="AF96"/>
      <c r="AG96"/>
      <c r="AH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</sheetData>
  <phoneticPr fontId="3" type="noConversion"/>
  <conditionalFormatting sqref="S2:S46">
    <cfRule type="expression" dxfId="1" priority="2">
      <formula>$R2&lt;&gt;$S2</formula>
    </cfRule>
  </conditionalFormatting>
  <conditionalFormatting sqref="F2:F85">
    <cfRule type="expression" dxfId="0" priority="1">
      <formula>$E2&lt;&gt;$F2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P21"/>
  <sheetViews>
    <sheetView workbookViewId="0">
      <selection activeCell="R17" sqref="R17"/>
    </sheetView>
  </sheetViews>
  <sheetFormatPr defaultRowHeight="25.5"/>
  <cols>
    <col min="1" max="1" width="7.58203125" customWidth="1"/>
    <col min="7" max="8" width="9.83203125" style="20" customWidth="1"/>
    <col min="9" max="14" width="12.1640625" customWidth="1"/>
  </cols>
  <sheetData>
    <row r="1" spans="1:16">
      <c r="A1" s="2" t="s">
        <v>0</v>
      </c>
      <c r="B1" s="2" t="s">
        <v>698</v>
      </c>
      <c r="C1" s="2" t="s">
        <v>697</v>
      </c>
      <c r="D1" s="2" t="s">
        <v>754</v>
      </c>
      <c r="E1" s="2" t="s">
        <v>695</v>
      </c>
      <c r="F1" s="2" t="s">
        <v>696</v>
      </c>
      <c r="G1" s="2" t="s">
        <v>701</v>
      </c>
      <c r="H1" s="2" t="s">
        <v>753</v>
      </c>
      <c r="I1" s="2" t="s">
        <v>755</v>
      </c>
      <c r="J1" s="2" t="s">
        <v>756</v>
      </c>
      <c r="K1" s="2" t="s">
        <v>758</v>
      </c>
      <c r="L1" s="2" t="s">
        <v>700</v>
      </c>
      <c r="M1" s="2" t="s">
        <v>757</v>
      </c>
      <c r="N1" s="2" t="s">
        <v>699</v>
      </c>
    </row>
    <row r="2" spans="1:16">
      <c r="A2" s="1">
        <v>1</v>
      </c>
      <c r="B2" s="1" t="s">
        <v>705</v>
      </c>
      <c r="C2" s="1" t="s">
        <v>702</v>
      </c>
      <c r="D2" s="1" t="s">
        <v>703</v>
      </c>
      <c r="E2" s="1">
        <v>44</v>
      </c>
      <c r="F2" s="1">
        <v>55</v>
      </c>
      <c r="G2" s="14">
        <v>1</v>
      </c>
      <c r="H2" s="14">
        <v>1</v>
      </c>
      <c r="I2" s="1" t="s">
        <v>704</v>
      </c>
      <c r="J2" s="1" t="s">
        <v>347</v>
      </c>
      <c r="K2" s="1"/>
      <c r="L2" s="1" t="s">
        <v>349</v>
      </c>
      <c r="M2" s="1" t="s">
        <v>707</v>
      </c>
      <c r="N2" s="1" t="s">
        <v>706</v>
      </c>
    </row>
    <row r="3" spans="1:16">
      <c r="A3" s="1">
        <v>2</v>
      </c>
      <c r="B3" s="1" t="s">
        <v>711</v>
      </c>
      <c r="C3" s="1" t="s">
        <v>708</v>
      </c>
      <c r="D3" s="1" t="s">
        <v>709</v>
      </c>
      <c r="E3" s="1">
        <v>22</v>
      </c>
      <c r="F3" s="1">
        <v>33</v>
      </c>
      <c r="G3" s="14">
        <v>7</v>
      </c>
      <c r="H3" s="14">
        <v>6</v>
      </c>
      <c r="I3" s="1" t="s">
        <v>710</v>
      </c>
      <c r="J3" s="1" t="s">
        <v>713</v>
      </c>
      <c r="K3" s="1" t="s">
        <v>759</v>
      </c>
      <c r="L3" s="1" t="s">
        <v>714</v>
      </c>
      <c r="M3" s="1" t="s">
        <v>715</v>
      </c>
      <c r="N3" s="1" t="s">
        <v>712</v>
      </c>
    </row>
    <row r="4" spans="1:16">
      <c r="A4" s="1">
        <v>3</v>
      </c>
      <c r="B4" s="1" t="s">
        <v>719</v>
      </c>
      <c r="C4" s="1" t="s">
        <v>716</v>
      </c>
      <c r="D4" s="1" t="s">
        <v>717</v>
      </c>
      <c r="E4" s="1">
        <v>21</v>
      </c>
      <c r="F4" s="1">
        <v>31</v>
      </c>
      <c r="G4" s="14">
        <v>3</v>
      </c>
      <c r="H4" s="14">
        <v>5</v>
      </c>
      <c r="I4" s="1" t="s">
        <v>718</v>
      </c>
      <c r="J4" s="1" t="s">
        <v>721</v>
      </c>
      <c r="K4" s="1"/>
      <c r="L4" s="1" t="s">
        <v>722</v>
      </c>
      <c r="M4" s="1" t="s">
        <v>723</v>
      </c>
      <c r="N4" s="1" t="s">
        <v>720</v>
      </c>
    </row>
    <row r="5" spans="1:16">
      <c r="A5" s="1">
        <v>4</v>
      </c>
      <c r="B5" s="1" t="s">
        <v>727</v>
      </c>
      <c r="C5" s="1" t="s">
        <v>724</v>
      </c>
      <c r="D5" s="1" t="s">
        <v>725</v>
      </c>
      <c r="E5" s="1">
        <v>53</v>
      </c>
      <c r="F5" s="1">
        <v>51</v>
      </c>
      <c r="G5" s="14">
        <v>2</v>
      </c>
      <c r="H5" s="14">
        <v>3</v>
      </c>
      <c r="I5" s="1" t="s">
        <v>726</v>
      </c>
      <c r="J5" s="1" t="s">
        <v>729</v>
      </c>
      <c r="K5" s="1" t="s">
        <v>760</v>
      </c>
      <c r="L5" s="1" t="s">
        <v>730</v>
      </c>
      <c r="M5" s="1" t="s">
        <v>731</v>
      </c>
      <c r="N5" s="1" t="s">
        <v>728</v>
      </c>
    </row>
    <row r="6" spans="1:16">
      <c r="A6" s="1">
        <v>5</v>
      </c>
      <c r="B6" s="1" t="s">
        <v>735</v>
      </c>
      <c r="C6" s="1" t="s">
        <v>732</v>
      </c>
      <c r="D6" s="1" t="s">
        <v>733</v>
      </c>
      <c r="E6" s="1">
        <v>13</v>
      </c>
      <c r="F6" s="1">
        <v>24</v>
      </c>
      <c r="G6" s="14">
        <v>5</v>
      </c>
      <c r="H6" s="14">
        <v>2</v>
      </c>
      <c r="I6" s="1" t="s">
        <v>734</v>
      </c>
      <c r="J6" s="1" t="s">
        <v>737</v>
      </c>
      <c r="K6" s="1"/>
      <c r="L6" s="1" t="s">
        <v>738</v>
      </c>
      <c r="M6" s="1" t="s">
        <v>739</v>
      </c>
      <c r="N6" s="1" t="s">
        <v>736</v>
      </c>
    </row>
    <row r="7" spans="1:16">
      <c r="A7" s="1">
        <v>6</v>
      </c>
      <c r="B7" s="1" t="s">
        <v>743</v>
      </c>
      <c r="C7" s="1" t="s">
        <v>740</v>
      </c>
      <c r="D7" s="1" t="s">
        <v>741</v>
      </c>
      <c r="E7" s="1">
        <v>32</v>
      </c>
      <c r="F7" s="1">
        <v>30</v>
      </c>
      <c r="G7" s="14">
        <v>4</v>
      </c>
      <c r="H7" s="14">
        <v>7</v>
      </c>
      <c r="I7" s="1" t="s">
        <v>742</v>
      </c>
      <c r="J7" s="1" t="s">
        <v>867</v>
      </c>
      <c r="K7" s="1"/>
      <c r="L7" s="1" t="s">
        <v>745</v>
      </c>
      <c r="M7" s="1" t="s">
        <v>707</v>
      </c>
      <c r="N7" s="1" t="s">
        <v>744</v>
      </c>
    </row>
    <row r="8" spans="1:16">
      <c r="A8" s="1">
        <v>7</v>
      </c>
      <c r="B8" s="1" t="s">
        <v>749</v>
      </c>
      <c r="C8" s="1" t="s">
        <v>746</v>
      </c>
      <c r="D8" s="1" t="s">
        <v>747</v>
      </c>
      <c r="E8" s="1">
        <v>121</v>
      </c>
      <c r="F8" s="1">
        <v>50</v>
      </c>
      <c r="G8" s="14">
        <v>8</v>
      </c>
      <c r="H8" s="14">
        <v>8</v>
      </c>
      <c r="I8" s="1" t="s">
        <v>748</v>
      </c>
      <c r="J8" s="1" t="s">
        <v>868</v>
      </c>
      <c r="K8" s="1"/>
      <c r="L8" s="1" t="s">
        <v>751</v>
      </c>
      <c r="M8" s="1" t="s">
        <v>752</v>
      </c>
      <c r="N8" s="1" t="s">
        <v>750</v>
      </c>
    </row>
    <row r="10" spans="1:16">
      <c r="J10" s="20" t="s">
        <v>871</v>
      </c>
      <c r="P10" t="s">
        <v>870</v>
      </c>
    </row>
    <row r="11" spans="1:16">
      <c r="G11" s="53" t="s">
        <v>866</v>
      </c>
      <c r="H11" s="53" t="s">
        <v>761</v>
      </c>
      <c r="I11" s="53" t="s">
        <v>863</v>
      </c>
      <c r="J11" s="53" t="s">
        <v>849</v>
      </c>
      <c r="K11" s="53" t="s">
        <v>864</v>
      </c>
      <c r="L11" s="53" t="s">
        <v>850</v>
      </c>
      <c r="M11" s="53" t="s">
        <v>865</v>
      </c>
      <c r="N11" s="53" t="s">
        <v>851</v>
      </c>
      <c r="P11" s="53" t="s">
        <v>849</v>
      </c>
    </row>
    <row r="12" spans="1:16">
      <c r="G12" s="14" t="s">
        <v>855</v>
      </c>
      <c r="H12" s="1">
        <v>1</v>
      </c>
      <c r="I12" s="1"/>
      <c r="J12" s="14" t="str">
        <f xml:space="preserve"> IFERROR( _xlfn.CONCAT("a"), "")</f>
        <v>a</v>
      </c>
      <c r="K12" s="1"/>
      <c r="L12" s="1" t="str">
        <f xml:space="preserve"> IFERROR( _xlfn.CONCAT("ㄚ"), "")</f>
        <v>ㄚ</v>
      </c>
      <c r="M12" s="1" t="s">
        <v>759</v>
      </c>
      <c r="N12" s="49" t="str">
        <f t="shared" ref="N12:N14" si="0" xml:space="preserve"> IFERROR( _xlfn.CONCAT("a", _xlfn.UNICHAR(HEX2DEC(RIGHT(M12,4)))), "")</f>
        <v>ā</v>
      </c>
      <c r="P12" s="54" t="str">
        <f xml:space="preserve"> IFERROR( _xlfn.CONCAT("a"), "")</f>
        <v>a</v>
      </c>
    </row>
    <row r="13" spans="1:16">
      <c r="G13" s="14" t="s">
        <v>856</v>
      </c>
      <c r="H13" s="1">
        <v>2</v>
      </c>
      <c r="I13" s="1" t="s">
        <v>760</v>
      </c>
      <c r="J13" s="14" t="str">
        <f xml:space="preserve"> IFERROR( _xlfn.CONCAT("a", _xlfn.UNICHAR(HEX2DEC(RIGHT($I13,4)))), "")</f>
        <v>á</v>
      </c>
      <c r="K13" s="1" t="s">
        <v>845</v>
      </c>
      <c r="L13" s="1" t="str">
        <f t="shared" ref="L13:L18" si="1" xml:space="preserve"> IFERROR( _xlfn.CONCAT("ㄚ", _xlfn.UNICHAR(HEX2DEC(RIGHT(K13,4)))), "")</f>
        <v>ㄚ̀</v>
      </c>
      <c r="M13" s="1" t="s">
        <v>853</v>
      </c>
      <c r="N13" s="49" t="str">
        <f t="shared" si="0"/>
        <v>ǎ</v>
      </c>
      <c r="P13" s="54" t="str">
        <f xml:space="preserve"> IFERROR( _xlfn.CONCAT("a", _xlfn.UNICHAR(HEX2DEC(RIGHT($I13,4)))), "")</f>
        <v>á</v>
      </c>
    </row>
    <row r="14" spans="1:16">
      <c r="G14" s="14" t="s">
        <v>857</v>
      </c>
      <c r="H14" s="1">
        <v>3</v>
      </c>
      <c r="I14" s="1" t="s">
        <v>845</v>
      </c>
      <c r="J14" s="14" t="str">
        <f t="shared" ref="J14:J21" si="2" xml:space="preserve"> IFERROR( _xlfn.CONCAT("a", _xlfn.UNICHAR(HEX2DEC(RIGHT($I14,4)))), "")</f>
        <v>à</v>
      </c>
      <c r="K14" s="1" t="s">
        <v>846</v>
      </c>
      <c r="L14" s="1" t="str">
        <f t="shared" si="1"/>
        <v>ㄚ˪</v>
      </c>
      <c r="M14" s="1" t="s">
        <v>845</v>
      </c>
      <c r="N14" s="49" t="str">
        <f t="shared" si="0"/>
        <v>à</v>
      </c>
      <c r="P14" s="54" t="str">
        <f t="shared" ref="P14:P21" si="3" xml:space="preserve"> IFERROR( _xlfn.CONCAT("a", _xlfn.UNICHAR(HEX2DEC(RIGHT($I14,4)))), "")</f>
        <v>à</v>
      </c>
    </row>
    <row r="15" spans="1:16">
      <c r="G15" s="14" t="s">
        <v>858</v>
      </c>
      <c r="H15" s="1">
        <v>4</v>
      </c>
      <c r="I15" s="1"/>
      <c r="J15" s="14" t="str">
        <f t="shared" si="2"/>
        <v/>
      </c>
      <c r="K15" s="1"/>
      <c r="L15" s="1" t="str">
        <f xml:space="preserve"> IFERROR( _xlfn.CONCAT("ㄚ", "ㆷ"), "")</f>
        <v>ㄚㆷ</v>
      </c>
      <c r="M15" s="1" t="s">
        <v>862</v>
      </c>
      <c r="N15" s="49" t="str">
        <f xml:space="preserve"> IFERROR( _xlfn.CONCAT("a", _xlfn.UNICHAR(HEX2DEC(RIGHT(M15,4))), "h"), "")</f>
        <v>āh</v>
      </c>
      <c r="P15" s="54" t="str">
        <f t="shared" si="3"/>
        <v/>
      </c>
    </row>
    <row r="16" spans="1:16">
      <c r="G16" s="14" t="s">
        <v>859</v>
      </c>
      <c r="H16" s="1">
        <v>5</v>
      </c>
      <c r="I16" s="1" t="s">
        <v>853</v>
      </c>
      <c r="J16" s="14" t="str">
        <f t="shared" si="2"/>
        <v>ǎ</v>
      </c>
      <c r="K16" s="1" t="s">
        <v>847</v>
      </c>
      <c r="L16" s="1" t="str">
        <f t="shared" si="1"/>
        <v>ㄚ́</v>
      </c>
      <c r="M16" s="1" t="s">
        <v>847</v>
      </c>
      <c r="N16" s="49" t="str">
        <f t="shared" ref="N16:N17" si="4" xml:space="preserve"> IFERROR( _xlfn.CONCAT("a", _xlfn.UNICHAR(HEX2DEC(RIGHT(M16,4)))), "")</f>
        <v>á</v>
      </c>
      <c r="P16" s="54" t="str">
        <f t="shared" si="3"/>
        <v>ǎ</v>
      </c>
    </row>
    <row r="17" spans="7:16">
      <c r="G17" s="14" t="s">
        <v>856</v>
      </c>
      <c r="H17" s="50">
        <v>6</v>
      </c>
      <c r="I17" s="50" t="s">
        <v>847</v>
      </c>
      <c r="J17" s="14" t="str">
        <f t="shared" si="2"/>
        <v>á</v>
      </c>
      <c r="K17" s="51" t="s">
        <v>845</v>
      </c>
      <c r="L17" s="51" t="str">
        <f t="shared" si="1"/>
        <v>ㄚ̀</v>
      </c>
      <c r="M17" s="51" t="s">
        <v>853</v>
      </c>
      <c r="N17" s="52" t="str">
        <f t="shared" si="4"/>
        <v>ǎ</v>
      </c>
      <c r="P17" s="54" t="str">
        <f t="shared" si="3"/>
        <v>á</v>
      </c>
    </row>
    <row r="18" spans="7:16">
      <c r="G18" s="14" t="s">
        <v>860</v>
      </c>
      <c r="H18" s="1">
        <v>7</v>
      </c>
      <c r="I18" s="1" t="s">
        <v>759</v>
      </c>
      <c r="J18" s="14" t="str">
        <f t="shared" si="2"/>
        <v>ā</v>
      </c>
      <c r="K18" s="1" t="s">
        <v>848</v>
      </c>
      <c r="L18" s="1" t="str">
        <f t="shared" si="1"/>
        <v>ㄚ˫</v>
      </c>
      <c r="M18" s="1" t="s">
        <v>852</v>
      </c>
      <c r="N18" s="49" t="str">
        <f t="shared" ref="N18" si="5" xml:space="preserve"> IFERROR( _xlfn.CONCAT("a", _xlfn.UNICHAR(HEX2DEC(RIGHT(M18,4)))), "")</f>
        <v>â</v>
      </c>
      <c r="P18" s="54" t="str">
        <f t="shared" si="3"/>
        <v>ā</v>
      </c>
    </row>
    <row r="19" spans="7:16">
      <c r="G19" s="14" t="s">
        <v>861</v>
      </c>
      <c r="H19" s="1">
        <v>8</v>
      </c>
      <c r="I19" s="1" t="s">
        <v>869</v>
      </c>
      <c r="J19" s="14" t="str">
        <f t="shared" si="2"/>
        <v>a̍</v>
      </c>
      <c r="K19" s="1" t="s">
        <v>844</v>
      </c>
      <c r="L19" s="1" t="str">
        <f xml:space="preserve"> IFERROR( _xlfn.CONCAT("ㄚ", "ㆷ", _xlfn.UNICHAR(HEX2DEC(RIGHT(K19,4)))), "")</f>
        <v>ㄚㆷ˙</v>
      </c>
      <c r="M19" s="1" t="s">
        <v>847</v>
      </c>
      <c r="N19" s="49" t="str">
        <f xml:space="preserve"> IFERROR( _xlfn.CONCAT("a", _xlfn.UNICHAR(HEX2DEC(RIGHT(M19,4))), "h"), "")</f>
        <v>áh</v>
      </c>
      <c r="P19" s="54" t="str">
        <f t="shared" si="3"/>
        <v>a̍</v>
      </c>
    </row>
    <row r="20" spans="7:16">
      <c r="G20" s="14" t="s">
        <v>854</v>
      </c>
      <c r="H20" s="1">
        <v>9</v>
      </c>
      <c r="I20" s="1" t="s">
        <v>763</v>
      </c>
      <c r="J20" s="14" t="str">
        <f t="shared" si="2"/>
        <v>a̋</v>
      </c>
      <c r="K20" s="1"/>
      <c r="L20" s="1"/>
      <c r="M20" s="1"/>
      <c r="N20" s="1"/>
      <c r="P20" s="54" t="str">
        <f t="shared" si="3"/>
        <v>a̋</v>
      </c>
    </row>
    <row r="21" spans="7:16">
      <c r="G21" s="14" t="s">
        <v>854</v>
      </c>
      <c r="H21" s="1">
        <v>0</v>
      </c>
      <c r="I21" s="1" t="s">
        <v>762</v>
      </c>
      <c r="J21" s="14" t="str">
        <f t="shared" si="2"/>
        <v>å</v>
      </c>
      <c r="K21" s="1" t="s">
        <v>762</v>
      </c>
      <c r="L21" s="1" t="str">
        <f xml:space="preserve"> IFERROR( _xlfn.CONCAT("ㄚ", _xlfn.UNICHAR(HEX2DEC(RIGHT(K21,4)))), "")</f>
        <v>ㄚ̊</v>
      </c>
      <c r="M21" s="1"/>
      <c r="N21" s="1"/>
      <c r="P21" s="54" t="str">
        <f t="shared" si="3"/>
        <v>å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764</v>
      </c>
      <c r="C2" s="21" t="s">
        <v>765</v>
      </c>
      <c r="D2" s="22" t="s">
        <v>766</v>
      </c>
      <c r="E2" s="22" t="s">
        <v>767</v>
      </c>
      <c r="F2" s="21" t="s">
        <v>768</v>
      </c>
      <c r="G2" s="21" t="s">
        <v>769</v>
      </c>
      <c r="H2" s="23" t="s">
        <v>770</v>
      </c>
      <c r="I2" s="21" t="s">
        <v>771</v>
      </c>
      <c r="J2" s="21" t="s">
        <v>772</v>
      </c>
      <c r="K2" s="21" t="s">
        <v>773</v>
      </c>
      <c r="L2" s="23" t="s">
        <v>774</v>
      </c>
      <c r="M2" s="24" t="s">
        <v>775</v>
      </c>
      <c r="N2" s="22" t="s">
        <v>776</v>
      </c>
      <c r="O2" s="21" t="s">
        <v>777</v>
      </c>
      <c r="P2" s="21" t="s">
        <v>778</v>
      </c>
      <c r="Q2" s="21" t="s">
        <v>779</v>
      </c>
      <c r="R2" s="21" t="s">
        <v>4</v>
      </c>
      <c r="S2" s="21" t="s">
        <v>780</v>
      </c>
    </row>
    <row r="3" spans="2:19" ht="57.75">
      <c r="B3" s="25">
        <v>0</v>
      </c>
      <c r="C3" s="25">
        <v>9</v>
      </c>
      <c r="D3" s="26" t="s">
        <v>781</v>
      </c>
      <c r="E3" s="26" t="s">
        <v>782</v>
      </c>
      <c r="F3" s="27">
        <v>20</v>
      </c>
      <c r="G3" s="28" t="s">
        <v>783</v>
      </c>
      <c r="H3" s="29" t="s">
        <v>784</v>
      </c>
      <c r="I3" s="30" t="s">
        <v>785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786</v>
      </c>
      <c r="P3" s="36" t="str">
        <f xml:space="preserve"> _xlfn.CONCAT("ㄚ", "ㆷ", _xlfn.UNICHAR(HEX2DEC(RIGHT("U+02D9",4))))</f>
        <v>ㄚㆷ˙</v>
      </c>
      <c r="Q3" s="35" t="s">
        <v>50</v>
      </c>
      <c r="R3" s="35" t="s">
        <v>787</v>
      </c>
      <c r="S3" s="35" t="s">
        <v>788</v>
      </c>
    </row>
    <row r="4" spans="2:19" ht="57.75">
      <c r="B4" s="25">
        <v>1</v>
      </c>
      <c r="C4" s="25">
        <v>1</v>
      </c>
      <c r="D4" s="26" t="s">
        <v>702</v>
      </c>
      <c r="E4" s="26" t="s">
        <v>789</v>
      </c>
      <c r="F4" s="27">
        <v>44</v>
      </c>
      <c r="G4" s="28" t="s">
        <v>790</v>
      </c>
      <c r="H4" s="29" t="s">
        <v>791</v>
      </c>
      <c r="I4" s="30" t="s">
        <v>792</v>
      </c>
      <c r="J4" s="31" t="str">
        <f xml:space="preserve"> IFERROR( _xlfn.CONCAT("a", _xlfn.UNICHAR(HEX2DEC(RIGHT(I4,4)))), "")</f>
        <v>ā</v>
      </c>
      <c r="K4" s="32" t="s">
        <v>793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794</v>
      </c>
      <c r="R4" s="35" t="s">
        <v>795</v>
      </c>
      <c r="S4" s="35" t="s">
        <v>796</v>
      </c>
    </row>
    <row r="5" spans="2:19" ht="57.75">
      <c r="B5" s="37">
        <v>2</v>
      </c>
      <c r="C5" s="37">
        <v>5</v>
      </c>
      <c r="D5" s="38" t="s">
        <v>732</v>
      </c>
      <c r="E5" s="38" t="s">
        <v>797</v>
      </c>
      <c r="F5" s="39">
        <v>13</v>
      </c>
      <c r="G5" s="40" t="s">
        <v>798</v>
      </c>
      <c r="H5" s="41" t="s">
        <v>799</v>
      </c>
      <c r="I5" s="42" t="s">
        <v>800</v>
      </c>
      <c r="J5" s="43" t="str">
        <f xml:space="preserve"> IFERROR( _xlfn.CONCAT("a", _xlfn.UNICHAR(HEX2DEC(RIGHT(I5,4)))), "")</f>
        <v>á</v>
      </c>
      <c r="K5" s="44" t="s">
        <v>801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800</v>
      </c>
      <c r="P5" s="48" t="str">
        <f xml:space="preserve"> _xlfn.CONCAT("ㄚ ",_xlfn.UNICHAR(HEX2DEC(RIGHT(O5,4))))</f>
        <v>ㄚ ́</v>
      </c>
      <c r="Q5" s="47" t="s">
        <v>802</v>
      </c>
      <c r="R5" s="47" t="s">
        <v>803</v>
      </c>
      <c r="S5" s="47" t="s">
        <v>804</v>
      </c>
    </row>
    <row r="6" spans="2:19" ht="57.75">
      <c r="B6" s="25">
        <v>3</v>
      </c>
      <c r="C6" s="25">
        <v>4</v>
      </c>
      <c r="D6" s="26" t="s">
        <v>805</v>
      </c>
      <c r="E6" s="26" t="s">
        <v>806</v>
      </c>
      <c r="F6" s="27">
        <v>53</v>
      </c>
      <c r="G6" s="28" t="s">
        <v>807</v>
      </c>
      <c r="H6" s="29" t="s">
        <v>808</v>
      </c>
      <c r="I6" s="30" t="s">
        <v>809</v>
      </c>
      <c r="J6" s="31" t="str">
        <f xml:space="preserve"> IFERROR( _xlfn.CONCAT("a", _xlfn.UNICHAR(HEX2DEC(RIGHT(I6,4)))), "")</f>
        <v>ǎ</v>
      </c>
      <c r="K6" s="32" t="s">
        <v>810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811</v>
      </c>
      <c r="P6" s="36" t="str">
        <f xml:space="preserve"> _xlfn.CONCAT("ㄚ ",_xlfn.UNICHAR(HEX2DEC(RIGHT(O6,4))))</f>
        <v>ㄚ ̀</v>
      </c>
      <c r="Q6" s="35" t="s">
        <v>32</v>
      </c>
      <c r="R6" s="35" t="s">
        <v>812</v>
      </c>
      <c r="S6" s="35" t="s">
        <v>813</v>
      </c>
    </row>
    <row r="7" spans="2:19" ht="57.75">
      <c r="B7" s="37">
        <v>4</v>
      </c>
      <c r="C7" s="37">
        <v>99</v>
      </c>
      <c r="D7" s="38" t="s">
        <v>814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707</v>
      </c>
      <c r="R7" s="47"/>
      <c r="S7" s="47"/>
    </row>
    <row r="8" spans="2:19" ht="57.75">
      <c r="B8" s="25">
        <v>5</v>
      </c>
      <c r="C8" s="25">
        <v>3</v>
      </c>
      <c r="D8" s="26" t="s">
        <v>716</v>
      </c>
      <c r="E8" s="26" t="s">
        <v>815</v>
      </c>
      <c r="F8" s="27">
        <v>21</v>
      </c>
      <c r="G8" s="28" t="s">
        <v>816</v>
      </c>
      <c r="H8" s="29" t="s">
        <v>817</v>
      </c>
      <c r="I8" s="30" t="s">
        <v>811</v>
      </c>
      <c r="J8" s="31" t="str">
        <f xml:space="preserve"> IFERROR( _xlfn.CONCAT("a", _xlfn.UNICHAR(HEX2DEC(RIGHT(I8,4)))), "")</f>
        <v>à</v>
      </c>
      <c r="K8" s="32" t="s">
        <v>818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819</v>
      </c>
      <c r="P8" s="36" t="str">
        <f xml:space="preserve"> _xlfn.CONCAT("ㄚ",_xlfn.UNICHAR(HEX2DEC(RIGHT(O8,4))))</f>
        <v>ㄚ˪</v>
      </c>
      <c r="Q8" s="35" t="s">
        <v>26</v>
      </c>
      <c r="R8" s="35" t="s">
        <v>820</v>
      </c>
      <c r="S8" s="35" t="s">
        <v>821</v>
      </c>
    </row>
    <row r="9" spans="2:19" ht="57.75">
      <c r="B9" s="37">
        <v>6</v>
      </c>
      <c r="C9" s="37">
        <v>2</v>
      </c>
      <c r="D9" s="38" t="s">
        <v>708</v>
      </c>
      <c r="E9" s="38" t="s">
        <v>822</v>
      </c>
      <c r="F9" s="39">
        <v>22</v>
      </c>
      <c r="G9" s="40" t="s">
        <v>823</v>
      </c>
      <c r="H9" s="41" t="s">
        <v>824</v>
      </c>
      <c r="I9" s="42" t="s">
        <v>825</v>
      </c>
      <c r="J9" s="43" t="str">
        <f xml:space="preserve"> IFERROR( _xlfn.CONCAT("a", _xlfn.UNICHAR(HEX2DEC(RIGHT(I9,4)))), "")</f>
        <v>â</v>
      </c>
      <c r="K9" s="44" t="s">
        <v>826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827</v>
      </c>
      <c r="P9" s="48" t="str">
        <f xml:space="preserve"> _xlfn.CONCAT("ㄚ",_xlfn.UNICHAR(HEX2DEC(RIGHT(O9,4))))</f>
        <v>ㄚ˫</v>
      </c>
      <c r="Q9" s="47" t="s">
        <v>828</v>
      </c>
      <c r="R9" s="47" t="s">
        <v>829</v>
      </c>
      <c r="S9" s="47" t="s">
        <v>830</v>
      </c>
    </row>
    <row r="10" spans="2:19" ht="57.75">
      <c r="B10" s="25">
        <v>7</v>
      </c>
      <c r="C10" s="25">
        <v>7</v>
      </c>
      <c r="D10" s="26" t="s">
        <v>740</v>
      </c>
      <c r="E10" s="26" t="s">
        <v>831</v>
      </c>
      <c r="F10" s="27">
        <v>32</v>
      </c>
      <c r="G10" s="28" t="s">
        <v>832</v>
      </c>
      <c r="H10" s="29" t="s">
        <v>833</v>
      </c>
      <c r="I10" s="30" t="s">
        <v>792</v>
      </c>
      <c r="J10" s="31" t="str">
        <f xml:space="preserve"> IFERROR( _xlfn.CONCAT("a", _xlfn.UNICHAR(HEX2DEC(RIGHT(I10,4))), "h"), "")</f>
        <v>āh</v>
      </c>
      <c r="K10" s="32" t="s">
        <v>834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744</v>
      </c>
      <c r="R10" s="35" t="s">
        <v>835</v>
      </c>
      <c r="S10" s="35" t="s">
        <v>836</v>
      </c>
    </row>
    <row r="11" spans="2:19" ht="57.75">
      <c r="B11" s="37">
        <v>8</v>
      </c>
      <c r="C11" s="37">
        <v>8</v>
      </c>
      <c r="D11" s="38" t="s">
        <v>746</v>
      </c>
      <c r="E11" s="38" t="s">
        <v>837</v>
      </c>
      <c r="F11" s="39">
        <v>121</v>
      </c>
      <c r="G11" s="40" t="s">
        <v>838</v>
      </c>
      <c r="H11" s="41" t="s">
        <v>839</v>
      </c>
      <c r="I11" s="42" t="s">
        <v>800</v>
      </c>
      <c r="J11" s="43" t="str">
        <f xml:space="preserve"> IFERROR( _xlfn.CONCAT("a", _xlfn.UNICHAR(HEX2DEC(RIGHT(I11,4))), "h"), "")</f>
        <v>áh</v>
      </c>
      <c r="K11" s="44" t="s">
        <v>840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841</v>
      </c>
      <c r="P11" s="48" t="str">
        <f xml:space="preserve"> _xlfn.CONCAT("ㄚ", "ㆷ", _xlfn.UNICHAR(HEX2DEC(RIGHT(O11,4))))</f>
        <v>ㄚㆷ˙</v>
      </c>
      <c r="Q11" s="47" t="s">
        <v>840</v>
      </c>
      <c r="R11" s="47" t="s">
        <v>842</v>
      </c>
      <c r="S11" s="47" t="s">
        <v>843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【聲】聲母對照表</vt:lpstr>
      <vt:lpstr>【韻】韻母對照表</vt:lpstr>
      <vt:lpstr>【調】聲調對照表</vt:lpstr>
      <vt:lpstr>舊版聲調對照表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2026-05-24T04:44:17Z</dcterms:modified>
</cp:coreProperties>
</file>