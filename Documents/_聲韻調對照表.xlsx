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"/>
    </mc:Choice>
  </mc:AlternateContent>
  <xr:revisionPtr revIDLastSave="0" documentId="13_ncr:1_{6BC5C7D4-EE24-4511-B9E3-0C0C40002741}" xr6:coauthVersionLast="47" xr6:coauthVersionMax="47" xr10:uidLastSave="{00000000-0000-0000-0000-000000000000}"/>
  <bookViews>
    <workbookView xWindow="-67320" yWindow="-120" windowWidth="29040" windowHeight="15720" tabRatio="877" activeTab="3" xr2:uid="{7E808FC4-FD7B-4D2F-8735-FF65DCE8E5C1}"/>
  </bookViews>
  <sheets>
    <sheet name="聲表" sheetId="1" r:id="rId1"/>
    <sheet name="韻表" sheetId="29" r:id="rId2"/>
    <sheet name="調表" sheetId="19" r:id="rId3"/>
    <sheet name="音調符號" sheetId="35" r:id="rId4"/>
    <sheet name="台羅國際音標對照表" sheetId="30" r:id="rId5"/>
    <sheet name="台羅韻母列表" sheetId="26" r:id="rId6"/>
    <sheet name="台羅韻母清單" sheetId="27" r:id="rId7"/>
    <sheet name="【聲】排序表" sheetId="34" r:id="rId8"/>
    <sheet name="【十五音】韻母對照表" sheetId="2" r:id="rId9"/>
    <sheet name="IPA音節表" sheetId="16" r:id="rId10"/>
    <sheet name="對照表【工作稿】 " sheetId="33" r:id="rId11"/>
  </sheets>
  <definedNames>
    <definedName name="_xlnm._FilterDatabase" localSheetId="4" hidden="1">台羅國際音標對照表!$B$1:$C$109</definedName>
    <definedName name="_xlnm._FilterDatabase" localSheetId="10" hidden="1">'對照表【工作稿】 '!$B$1:$O$87</definedName>
    <definedName name="_xlnm._FilterDatabase" localSheetId="1" hidden="1">韻表!$C$1:$L$87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35" l="1"/>
  <c r="F13" i="35"/>
  <c r="O12" i="35"/>
  <c r="F12" i="35"/>
  <c r="O11" i="35"/>
  <c r="L11" i="35"/>
  <c r="F11" i="35"/>
  <c r="O10" i="35"/>
  <c r="L10" i="35"/>
  <c r="F10" i="35"/>
  <c r="O9" i="35"/>
  <c r="L9" i="35"/>
  <c r="F9" i="35"/>
  <c r="O8" i="35"/>
  <c r="L8" i="35"/>
  <c r="F8" i="35"/>
  <c r="O7" i="35"/>
  <c r="L7" i="35"/>
  <c r="F7" i="35"/>
  <c r="O6" i="35"/>
  <c r="L6" i="35"/>
  <c r="F6" i="35"/>
  <c r="O5" i="35"/>
  <c r="L5" i="35"/>
  <c r="F5" i="35"/>
  <c r="O4" i="35"/>
  <c r="L4" i="35"/>
  <c r="F4" i="35"/>
  <c r="A3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" i="34"/>
  <c r="G11" i="34"/>
  <c r="G7" i="34"/>
  <c r="G3" i="3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  <c r="Q87" i="33"/>
  <c r="P87" i="33"/>
  <c r="N87" i="33"/>
  <c r="J87" i="33"/>
  <c r="Q86" i="33"/>
  <c r="P86" i="33"/>
  <c r="N86" i="33"/>
  <c r="J86" i="33"/>
  <c r="Q85" i="33"/>
  <c r="P85" i="33"/>
  <c r="N85" i="33"/>
  <c r="J85" i="33"/>
  <c r="Q84" i="33"/>
  <c r="P84" i="33"/>
  <c r="N84" i="33"/>
  <c r="J84" i="33"/>
  <c r="Q83" i="33"/>
  <c r="P83" i="33"/>
  <c r="N83" i="33"/>
  <c r="J83" i="33"/>
  <c r="Q82" i="33"/>
  <c r="P82" i="33"/>
  <c r="N82" i="33"/>
  <c r="J82" i="33"/>
  <c r="Q81" i="33"/>
  <c r="P81" i="33"/>
  <c r="N81" i="33"/>
  <c r="J81" i="33"/>
  <c r="Q80" i="33"/>
  <c r="P80" i="33"/>
  <c r="N80" i="33"/>
  <c r="J80" i="33"/>
  <c r="Q79" i="33"/>
  <c r="P79" i="33"/>
  <c r="N79" i="33"/>
  <c r="J79" i="33"/>
  <c r="Q78" i="33"/>
  <c r="P78" i="33"/>
  <c r="N78" i="33"/>
  <c r="J78" i="33"/>
  <c r="Q77" i="33"/>
  <c r="P77" i="33"/>
  <c r="N77" i="33"/>
  <c r="J77" i="33"/>
  <c r="Q76" i="33"/>
  <c r="P76" i="33"/>
  <c r="N76" i="33"/>
  <c r="J76" i="33"/>
  <c r="Q75" i="33"/>
  <c r="P75" i="33"/>
  <c r="N75" i="33"/>
  <c r="J75" i="33"/>
  <c r="Q74" i="33"/>
  <c r="P74" i="33"/>
  <c r="N74" i="33"/>
  <c r="J74" i="33"/>
  <c r="Q73" i="33"/>
  <c r="P73" i="33"/>
  <c r="N73" i="33"/>
  <c r="J73" i="33"/>
  <c r="Q72" i="33"/>
  <c r="P72" i="33"/>
  <c r="N72" i="33"/>
  <c r="J72" i="33"/>
  <c r="Q71" i="33"/>
  <c r="P71" i="33"/>
  <c r="N71" i="33"/>
  <c r="J71" i="33"/>
  <c r="Q70" i="33"/>
  <c r="P70" i="33"/>
  <c r="N70" i="33"/>
  <c r="J70" i="33"/>
  <c r="Q69" i="33"/>
  <c r="P69" i="33"/>
  <c r="N69" i="33"/>
  <c r="J69" i="33"/>
  <c r="Q68" i="33"/>
  <c r="P68" i="33"/>
  <c r="N68" i="33"/>
  <c r="J68" i="33"/>
  <c r="Q67" i="33"/>
  <c r="P67" i="33"/>
  <c r="N67" i="33"/>
  <c r="J67" i="33"/>
  <c r="Q66" i="33"/>
  <c r="P66" i="33"/>
  <c r="N66" i="33"/>
  <c r="J66" i="33"/>
  <c r="Q65" i="33"/>
  <c r="P65" i="33"/>
  <c r="N65" i="33"/>
  <c r="J65" i="33"/>
  <c r="Q64" i="33"/>
  <c r="P64" i="33"/>
  <c r="N64" i="33"/>
  <c r="J64" i="33"/>
  <c r="Q63" i="33"/>
  <c r="P63" i="33"/>
  <c r="N63" i="33"/>
  <c r="J63" i="33"/>
  <c r="Q62" i="33"/>
  <c r="P62" i="33"/>
  <c r="N62" i="33"/>
  <c r="J62" i="33"/>
  <c r="Q61" i="33"/>
  <c r="P61" i="33"/>
  <c r="N61" i="33"/>
  <c r="J61" i="33"/>
  <c r="Q60" i="33"/>
  <c r="P60" i="33"/>
  <c r="N60" i="33"/>
  <c r="J60" i="33"/>
  <c r="Q59" i="33"/>
  <c r="P59" i="33"/>
  <c r="N59" i="33"/>
  <c r="J59" i="33"/>
  <c r="N58" i="33"/>
  <c r="J58" i="33"/>
  <c r="N57" i="33"/>
  <c r="J57" i="33"/>
  <c r="N56" i="33"/>
  <c r="J56" i="33"/>
  <c r="N55" i="33"/>
  <c r="J55" i="33"/>
  <c r="Q54" i="33"/>
  <c r="P54" i="33"/>
  <c r="N54" i="33"/>
  <c r="J54" i="33"/>
  <c r="Q53" i="33"/>
  <c r="P53" i="33"/>
  <c r="S53" i="33" s="1"/>
  <c r="N53" i="33"/>
  <c r="J53" i="33"/>
  <c r="B53" i="33"/>
  <c r="B54" i="33" s="1"/>
  <c r="Q52" i="33"/>
  <c r="P52" i="33"/>
  <c r="S52" i="33" s="1"/>
  <c r="N52" i="33"/>
  <c r="J52" i="33"/>
  <c r="B52" i="33"/>
  <c r="Q51" i="33"/>
  <c r="P51" i="33"/>
  <c r="N51" i="33"/>
  <c r="J51" i="33"/>
  <c r="Q50" i="33"/>
  <c r="P50" i="33"/>
  <c r="U50" i="33" s="1"/>
  <c r="V50" i="33" s="1"/>
  <c r="N50" i="33"/>
  <c r="J50" i="33"/>
  <c r="Q49" i="33"/>
  <c r="P49" i="33"/>
  <c r="N49" i="33"/>
  <c r="J49" i="33"/>
  <c r="Q48" i="33"/>
  <c r="P48" i="33"/>
  <c r="U48" i="33" s="1"/>
  <c r="V48" i="33" s="1"/>
  <c r="N48" i="33"/>
  <c r="J48" i="33"/>
  <c r="Q47" i="33"/>
  <c r="P47" i="33"/>
  <c r="N47" i="33"/>
  <c r="J47" i="33"/>
  <c r="Q46" i="33"/>
  <c r="P46" i="33"/>
  <c r="U46" i="33" s="1"/>
  <c r="V46" i="33" s="1"/>
  <c r="N46" i="33"/>
  <c r="J46" i="33"/>
  <c r="Q45" i="33"/>
  <c r="P45" i="33"/>
  <c r="N45" i="33"/>
  <c r="J45" i="33"/>
  <c r="Q44" i="33"/>
  <c r="P44" i="33"/>
  <c r="U44" i="33" s="1"/>
  <c r="V44" i="33" s="1"/>
  <c r="N44" i="33"/>
  <c r="J44" i="33"/>
  <c r="Q43" i="33"/>
  <c r="P43" i="33"/>
  <c r="N43" i="33"/>
  <c r="J43" i="33"/>
  <c r="Q42" i="33"/>
  <c r="P42" i="33"/>
  <c r="S42" i="33" s="1"/>
  <c r="N42" i="33"/>
  <c r="J42" i="33"/>
  <c r="Q41" i="33"/>
  <c r="P41" i="33"/>
  <c r="N41" i="33"/>
  <c r="J41" i="33"/>
  <c r="Q40" i="33"/>
  <c r="P40" i="33"/>
  <c r="U40" i="33" s="1"/>
  <c r="V40" i="33" s="1"/>
  <c r="N40" i="33"/>
  <c r="J40" i="33"/>
  <c r="Q39" i="33"/>
  <c r="P39" i="33"/>
  <c r="N39" i="33"/>
  <c r="J39" i="33"/>
  <c r="Q38" i="33"/>
  <c r="P38" i="33"/>
  <c r="S38" i="33" s="1"/>
  <c r="N38" i="33"/>
  <c r="J38" i="33"/>
  <c r="B38" i="33"/>
  <c r="Q37" i="33"/>
  <c r="P37" i="33"/>
  <c r="N37" i="33"/>
  <c r="J37" i="33"/>
  <c r="B37" i="33"/>
  <c r="Q36" i="33"/>
  <c r="P36" i="33"/>
  <c r="U36" i="33" s="1"/>
  <c r="V36" i="33" s="1"/>
  <c r="N36" i="33"/>
  <c r="J36" i="33"/>
  <c r="Q35" i="33"/>
  <c r="P35" i="33"/>
  <c r="S35" i="33" s="1"/>
  <c r="N35" i="33"/>
  <c r="J35" i="33"/>
  <c r="Q34" i="33"/>
  <c r="P34" i="33"/>
  <c r="U34" i="33" s="1"/>
  <c r="V34" i="33" s="1"/>
  <c r="N34" i="33"/>
  <c r="J34" i="33"/>
  <c r="Q33" i="33"/>
  <c r="P33" i="33"/>
  <c r="U33" i="33" s="1"/>
  <c r="N33" i="33"/>
  <c r="J33" i="33"/>
  <c r="Q32" i="33"/>
  <c r="P32" i="33"/>
  <c r="U32" i="33" s="1"/>
  <c r="V32" i="33" s="1"/>
  <c r="N32" i="33"/>
  <c r="J32" i="33"/>
  <c r="B32" i="33"/>
  <c r="B33" i="33" s="1"/>
  <c r="Q31" i="33"/>
  <c r="P31" i="33"/>
  <c r="N31" i="33"/>
  <c r="J31" i="33"/>
  <c r="Q30" i="33"/>
  <c r="P30" i="33"/>
  <c r="N30" i="33"/>
  <c r="J30" i="33"/>
  <c r="Q29" i="33"/>
  <c r="P29" i="33"/>
  <c r="N29" i="33"/>
  <c r="J29" i="33"/>
  <c r="Q28" i="33"/>
  <c r="P28" i="33"/>
  <c r="N28" i="33"/>
  <c r="J28" i="33"/>
  <c r="Q27" i="33"/>
  <c r="P27" i="33"/>
  <c r="U27" i="33" s="1"/>
  <c r="N27" i="33"/>
  <c r="J27" i="33"/>
  <c r="B27" i="33"/>
  <c r="Q26" i="33"/>
  <c r="P26" i="33"/>
  <c r="N26" i="33"/>
  <c r="J26" i="33"/>
  <c r="Q25" i="33"/>
  <c r="P25" i="33"/>
  <c r="N25" i="33"/>
  <c r="J25" i="33"/>
  <c r="Q24" i="33"/>
  <c r="P24" i="33"/>
  <c r="N24" i="33"/>
  <c r="J24" i="33"/>
  <c r="Q23" i="33"/>
  <c r="P23" i="33"/>
  <c r="N23" i="33"/>
  <c r="J23" i="33"/>
  <c r="Q22" i="33"/>
  <c r="P22" i="33"/>
  <c r="N22" i="33"/>
  <c r="J22" i="33"/>
  <c r="B22" i="33"/>
  <c r="Q21" i="33"/>
  <c r="P21" i="33"/>
  <c r="S21" i="33" s="1"/>
  <c r="N21" i="33"/>
  <c r="J21" i="33"/>
  <c r="B21" i="33"/>
  <c r="Q20" i="33"/>
  <c r="P20" i="33"/>
  <c r="N20" i="33"/>
  <c r="J20" i="33"/>
  <c r="Q19" i="33"/>
  <c r="P19" i="33"/>
  <c r="S19" i="33" s="1"/>
  <c r="N19" i="33"/>
  <c r="J19" i="33"/>
  <c r="B19" i="33"/>
  <c r="Q18" i="33"/>
  <c r="P18" i="33"/>
  <c r="N18" i="33"/>
  <c r="J18" i="33"/>
  <c r="Q17" i="33"/>
  <c r="P17" i="33"/>
  <c r="S17" i="33" s="1"/>
  <c r="N17" i="33"/>
  <c r="J17" i="33"/>
  <c r="Q16" i="33"/>
  <c r="P16" i="33"/>
  <c r="N16" i="33"/>
  <c r="J16" i="33"/>
  <c r="Q15" i="33"/>
  <c r="P15" i="33"/>
  <c r="S15" i="33" s="1"/>
  <c r="N15" i="33"/>
  <c r="J15" i="33"/>
  <c r="Q14" i="33"/>
  <c r="P14" i="33"/>
  <c r="N14" i="33"/>
  <c r="J14" i="33"/>
  <c r="B14" i="33"/>
  <c r="Q13" i="33"/>
  <c r="P13" i="33"/>
  <c r="U13" i="33" s="1"/>
  <c r="V13" i="33" s="1"/>
  <c r="N13" i="33"/>
  <c r="J13" i="33"/>
  <c r="B13" i="33"/>
  <c r="AJ12" i="33"/>
  <c r="AU12" i="33" s="1"/>
  <c r="AI12" i="33"/>
  <c r="AT12" i="33" s="1"/>
  <c r="AH12" i="33"/>
  <c r="AS12" i="33" s="1"/>
  <c r="AG12" i="33"/>
  <c r="AR12" i="33" s="1"/>
  <c r="AF12" i="33"/>
  <c r="AQ12" i="33" s="1"/>
  <c r="AE12" i="33"/>
  <c r="AP12" i="33" s="1"/>
  <c r="AD12" i="33"/>
  <c r="AO12" i="33" s="1"/>
  <c r="AC12" i="33"/>
  <c r="AN12" i="33" s="1"/>
  <c r="AB12" i="33"/>
  <c r="AM12" i="33" s="1"/>
  <c r="AA12" i="33"/>
  <c r="AL12" i="33" s="1"/>
  <c r="Q12" i="33"/>
  <c r="P12" i="33"/>
  <c r="S12" i="33" s="1"/>
  <c r="N12" i="33"/>
  <c r="J12" i="33"/>
  <c r="AJ11" i="33"/>
  <c r="AU11" i="33" s="1"/>
  <c r="AI11" i="33"/>
  <c r="AT11" i="33" s="1"/>
  <c r="AH11" i="33"/>
  <c r="AS11" i="33" s="1"/>
  <c r="AG11" i="33"/>
  <c r="AR11" i="33" s="1"/>
  <c r="AF11" i="33"/>
  <c r="AQ11" i="33" s="1"/>
  <c r="AE11" i="33"/>
  <c r="AP11" i="33" s="1"/>
  <c r="AD11" i="33"/>
  <c r="AO11" i="33" s="1"/>
  <c r="AC11" i="33"/>
  <c r="AN11" i="33" s="1"/>
  <c r="AB11" i="33"/>
  <c r="AM11" i="33" s="1"/>
  <c r="AA11" i="33"/>
  <c r="AL11" i="33" s="1"/>
  <c r="Q11" i="33"/>
  <c r="P11" i="33"/>
  <c r="S11" i="33" s="1"/>
  <c r="N11" i="33"/>
  <c r="J11" i="33"/>
  <c r="AJ10" i="33"/>
  <c r="AU10" i="33" s="1"/>
  <c r="AI10" i="33"/>
  <c r="AT10" i="33" s="1"/>
  <c r="AH10" i="33"/>
  <c r="AS10" i="33" s="1"/>
  <c r="AG10" i="33"/>
  <c r="AR10" i="33" s="1"/>
  <c r="AF10" i="33"/>
  <c r="AQ10" i="33" s="1"/>
  <c r="AE10" i="33"/>
  <c r="AP10" i="33" s="1"/>
  <c r="AD10" i="33"/>
  <c r="AO10" i="33" s="1"/>
  <c r="AC10" i="33"/>
  <c r="AN10" i="33" s="1"/>
  <c r="AB10" i="33"/>
  <c r="AM10" i="33" s="1"/>
  <c r="AA10" i="33"/>
  <c r="AL10" i="33" s="1"/>
  <c r="Q10" i="33"/>
  <c r="P10" i="33"/>
  <c r="S10" i="33" s="1"/>
  <c r="N10" i="33"/>
  <c r="J10" i="33"/>
  <c r="AJ9" i="33"/>
  <c r="AU9" i="33" s="1"/>
  <c r="AI9" i="33"/>
  <c r="AT9" i="33" s="1"/>
  <c r="AH9" i="33"/>
  <c r="AS9" i="33" s="1"/>
  <c r="AG9" i="33"/>
  <c r="AR9" i="33" s="1"/>
  <c r="AF9" i="33"/>
  <c r="AQ9" i="33" s="1"/>
  <c r="AE9" i="33"/>
  <c r="AP9" i="33" s="1"/>
  <c r="AD9" i="33"/>
  <c r="AO9" i="33" s="1"/>
  <c r="AC9" i="33"/>
  <c r="AN9" i="33" s="1"/>
  <c r="AB9" i="33"/>
  <c r="AM9" i="33" s="1"/>
  <c r="AA9" i="33"/>
  <c r="AL9" i="33" s="1"/>
  <c r="Q9" i="33"/>
  <c r="P9" i="33"/>
  <c r="U9" i="33" s="1"/>
  <c r="V9" i="33" s="1"/>
  <c r="N9" i="33"/>
  <c r="J9" i="33"/>
  <c r="AJ8" i="33"/>
  <c r="AU8" i="33" s="1"/>
  <c r="AI8" i="33"/>
  <c r="AT8" i="33" s="1"/>
  <c r="AH8" i="33"/>
  <c r="AS8" i="33" s="1"/>
  <c r="AG8" i="33"/>
  <c r="AR8" i="33" s="1"/>
  <c r="AF8" i="33"/>
  <c r="AQ8" i="33" s="1"/>
  <c r="AE8" i="33"/>
  <c r="AP8" i="33" s="1"/>
  <c r="AD8" i="33"/>
  <c r="AO8" i="33" s="1"/>
  <c r="AC8" i="33"/>
  <c r="AN8" i="33" s="1"/>
  <c r="AB8" i="33"/>
  <c r="AM8" i="33" s="1"/>
  <c r="AA8" i="33"/>
  <c r="AL8" i="33" s="1"/>
  <c r="Q8" i="33"/>
  <c r="P8" i="33"/>
  <c r="S8" i="33" s="1"/>
  <c r="N8" i="33"/>
  <c r="J8" i="33"/>
  <c r="Q7" i="33"/>
  <c r="P7" i="33"/>
  <c r="S7" i="33" s="1"/>
  <c r="N7" i="33"/>
  <c r="J7" i="33"/>
  <c r="B7" i="33"/>
  <c r="Q6" i="33"/>
  <c r="P6" i="33"/>
  <c r="U6" i="33" s="1"/>
  <c r="V6" i="33" s="1"/>
  <c r="N6" i="33"/>
  <c r="J6" i="33"/>
  <c r="Q5" i="33"/>
  <c r="P5" i="33"/>
  <c r="N5" i="33"/>
  <c r="J5" i="33"/>
  <c r="Q4" i="33"/>
  <c r="P4" i="33"/>
  <c r="U4" i="33" s="1"/>
  <c r="V4" i="33" s="1"/>
  <c r="N4" i="33"/>
  <c r="J4" i="33"/>
  <c r="AJ3" i="33"/>
  <c r="AU3" i="33" s="1"/>
  <c r="AI3" i="33"/>
  <c r="AT3" i="33" s="1"/>
  <c r="AH3" i="33"/>
  <c r="AS3" i="33" s="1"/>
  <c r="AG3" i="33"/>
  <c r="AR3" i="33" s="1"/>
  <c r="AF3" i="33"/>
  <c r="AQ3" i="33" s="1"/>
  <c r="AE3" i="33"/>
  <c r="AP3" i="33" s="1"/>
  <c r="AD3" i="33"/>
  <c r="AO3" i="33" s="1"/>
  <c r="AC3" i="33"/>
  <c r="AN3" i="33" s="1"/>
  <c r="AB3" i="33"/>
  <c r="AM3" i="33" s="1"/>
  <c r="AA3" i="33"/>
  <c r="AL3" i="33" s="1"/>
  <c r="Q3" i="33"/>
  <c r="P3" i="33"/>
  <c r="U3" i="33" s="1"/>
  <c r="N3" i="33"/>
  <c r="J3" i="33"/>
  <c r="AJ2" i="33"/>
  <c r="AU2" i="33" s="1"/>
  <c r="AI2" i="33"/>
  <c r="AT2" i="33" s="1"/>
  <c r="AH2" i="33"/>
  <c r="AS2" i="33" s="1"/>
  <c r="AG2" i="33"/>
  <c r="AR2" i="33" s="1"/>
  <c r="AF2" i="33"/>
  <c r="AQ2" i="33" s="1"/>
  <c r="AE2" i="33"/>
  <c r="AP2" i="33" s="1"/>
  <c r="AD2" i="33"/>
  <c r="AO2" i="33" s="1"/>
  <c r="AC2" i="33"/>
  <c r="AN2" i="33" s="1"/>
  <c r="AB2" i="33"/>
  <c r="AM2" i="33" s="1"/>
  <c r="AA2" i="33"/>
  <c r="AL2" i="33" s="1"/>
  <c r="Q2" i="33"/>
  <c r="P2" i="33"/>
  <c r="N2" i="33"/>
  <c r="J2" i="33"/>
  <c r="C22" i="29"/>
  <c r="C21" i="29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6" i="27"/>
  <c r="A28" i="30"/>
  <c r="A29" i="30"/>
  <c r="A63" i="30"/>
  <c r="A56" i="30"/>
  <c r="A55" i="30"/>
  <c r="A52" i="30"/>
  <c r="A19" i="30"/>
  <c r="A18" i="30"/>
  <c r="A7" i="30"/>
  <c r="C53" i="29"/>
  <c r="C54" i="29" s="1"/>
  <c r="C52" i="29"/>
  <c r="C38" i="29"/>
  <c r="C37" i="29"/>
  <c r="C32" i="29"/>
  <c r="C33" i="29" s="1"/>
  <c r="C27" i="29"/>
  <c r="C19" i="29"/>
  <c r="C14" i="29"/>
  <c r="C13" i="29"/>
  <c r="C7" i="29"/>
  <c r="U52" i="33" l="1"/>
  <c r="V52" i="33" s="1"/>
  <c r="X52" i="33" s="1"/>
  <c r="U15" i="33"/>
  <c r="V15" i="33" s="1"/>
  <c r="X15" i="33" s="1"/>
  <c r="U42" i="33"/>
  <c r="V42" i="33" s="1"/>
  <c r="X42" i="33" s="1"/>
  <c r="S46" i="33"/>
  <c r="X46" i="33" s="1"/>
  <c r="S4" i="33"/>
  <c r="X4" i="33" s="1"/>
  <c r="S44" i="33"/>
  <c r="X44" i="33" s="1"/>
  <c r="U17" i="33"/>
  <c r="V17" i="33" s="1"/>
  <c r="X17" i="33" s="1"/>
  <c r="U38" i="33"/>
  <c r="V38" i="33" s="1"/>
  <c r="X38" i="33" s="1"/>
  <c r="S40" i="33"/>
  <c r="X40" i="33" s="1"/>
  <c r="S13" i="33"/>
  <c r="X13" i="33" s="1"/>
  <c r="U19" i="33"/>
  <c r="V19" i="33" s="1"/>
  <c r="X19" i="33" s="1"/>
  <c r="S50" i="33"/>
  <c r="X50" i="33" s="1"/>
  <c r="S48" i="33"/>
  <c r="X48" i="33" s="1"/>
  <c r="S6" i="33"/>
  <c r="X6" i="33" s="1"/>
  <c r="U8" i="33"/>
  <c r="V8" i="33" s="1"/>
  <c r="X8" i="33" s="1"/>
  <c r="U12" i="33"/>
  <c r="V12" i="33" s="1"/>
  <c r="X12" i="33" s="1"/>
  <c r="U21" i="33"/>
  <c r="V21" i="33" s="1"/>
  <c r="X21" i="33" s="1"/>
  <c r="S23" i="33"/>
  <c r="S25" i="33"/>
  <c r="S54" i="33"/>
  <c r="S59" i="33"/>
  <c r="S61" i="33"/>
  <c r="S63" i="33"/>
  <c r="S65" i="33"/>
  <c r="S67" i="33"/>
  <c r="S69" i="33"/>
  <c r="S71" i="33"/>
  <c r="S73" i="33"/>
  <c r="S75" i="33"/>
  <c r="S77" i="33"/>
  <c r="S79" i="33"/>
  <c r="S81" i="33"/>
  <c r="S83" i="33"/>
  <c r="S85" i="33"/>
  <c r="S87" i="33"/>
  <c r="U23" i="33"/>
  <c r="V23" i="33" s="1"/>
  <c r="U25" i="33"/>
  <c r="V25" i="33" s="1"/>
  <c r="S27" i="33"/>
  <c r="S29" i="33"/>
  <c r="S31" i="33"/>
  <c r="U54" i="33"/>
  <c r="V54" i="33" s="1"/>
  <c r="U59" i="33"/>
  <c r="V59" i="33" s="1"/>
  <c r="U61" i="33"/>
  <c r="V61" i="33" s="1"/>
  <c r="U63" i="33"/>
  <c r="V63" i="33" s="1"/>
  <c r="U65" i="33"/>
  <c r="V65" i="33" s="1"/>
  <c r="U67" i="33"/>
  <c r="V67" i="33" s="1"/>
  <c r="U69" i="33"/>
  <c r="V69" i="33" s="1"/>
  <c r="U71" i="33"/>
  <c r="V71" i="33" s="1"/>
  <c r="U73" i="33"/>
  <c r="V73" i="33" s="1"/>
  <c r="U75" i="33"/>
  <c r="V75" i="33" s="1"/>
  <c r="U77" i="33"/>
  <c r="V77" i="33" s="1"/>
  <c r="U79" i="33"/>
  <c r="V79" i="33" s="1"/>
  <c r="U81" i="33"/>
  <c r="V81" i="33" s="1"/>
  <c r="U83" i="33"/>
  <c r="V83" i="33" s="1"/>
  <c r="U85" i="33"/>
  <c r="V85" i="33" s="1"/>
  <c r="U87" i="33"/>
  <c r="V87" i="33" s="1"/>
  <c r="S3" i="33"/>
  <c r="U29" i="33"/>
  <c r="V29" i="33" s="1"/>
  <c r="V27" i="33"/>
  <c r="S33" i="33"/>
  <c r="V3" i="33"/>
  <c r="U35" i="33"/>
  <c r="V35" i="33" s="1"/>
  <c r="X35" i="33" s="1"/>
  <c r="S37" i="33"/>
  <c r="S14" i="33"/>
  <c r="S16" i="33"/>
  <c r="S18" i="33"/>
  <c r="V33" i="33"/>
  <c r="U37" i="33"/>
  <c r="V37" i="33" s="1"/>
  <c r="S39" i="33"/>
  <c r="S41" i="33"/>
  <c r="S43" i="33"/>
  <c r="S45" i="33"/>
  <c r="S47" i="33"/>
  <c r="S49" i="33"/>
  <c r="S51" i="33"/>
  <c r="S2" i="33"/>
  <c r="S5" i="33"/>
  <c r="U14" i="33"/>
  <c r="V14" i="33" s="1"/>
  <c r="U16" i="33"/>
  <c r="V16" i="33" s="1"/>
  <c r="U18" i="33"/>
  <c r="V18" i="33" s="1"/>
  <c r="S20" i="33"/>
  <c r="U39" i="33"/>
  <c r="V39" i="33" s="1"/>
  <c r="U41" i="33"/>
  <c r="V41" i="33" s="1"/>
  <c r="U43" i="33"/>
  <c r="V43" i="33" s="1"/>
  <c r="U45" i="33"/>
  <c r="V45" i="33" s="1"/>
  <c r="U47" i="33"/>
  <c r="V47" i="33" s="1"/>
  <c r="U49" i="33"/>
  <c r="V49" i="33" s="1"/>
  <c r="U51" i="33"/>
  <c r="V51" i="33" s="1"/>
  <c r="U2" i="33"/>
  <c r="V2" i="33" s="1"/>
  <c r="U5" i="33"/>
  <c r="V5" i="33" s="1"/>
  <c r="U20" i="33"/>
  <c r="V20" i="33" s="1"/>
  <c r="U31" i="33"/>
  <c r="V31" i="33" s="1"/>
  <c r="U7" i="33"/>
  <c r="V7" i="33" s="1"/>
  <c r="X7" i="33" s="1"/>
  <c r="U10" i="33"/>
  <c r="V10" i="33" s="1"/>
  <c r="X10" i="33" s="1"/>
  <c r="S22" i="33"/>
  <c r="S24" i="33"/>
  <c r="S26" i="33"/>
  <c r="U53" i="33"/>
  <c r="V53" i="33" s="1"/>
  <c r="X53" i="33" s="1"/>
  <c r="S60" i="33"/>
  <c r="S62" i="33"/>
  <c r="S64" i="33"/>
  <c r="S66" i="33"/>
  <c r="S68" i="33"/>
  <c r="S70" i="33"/>
  <c r="S72" i="33"/>
  <c r="S74" i="33"/>
  <c r="S76" i="33"/>
  <c r="S78" i="33"/>
  <c r="S80" i="33"/>
  <c r="S82" i="33"/>
  <c r="S84" i="33"/>
  <c r="S86" i="33"/>
  <c r="U11" i="33"/>
  <c r="V11" i="33" s="1"/>
  <c r="X11" i="33" s="1"/>
  <c r="U22" i="33"/>
  <c r="V22" i="33" s="1"/>
  <c r="U24" i="33"/>
  <c r="V24" i="33" s="1"/>
  <c r="U26" i="33"/>
  <c r="V26" i="33" s="1"/>
  <c r="S28" i="33"/>
  <c r="S30" i="33"/>
  <c r="U60" i="33"/>
  <c r="V60" i="33" s="1"/>
  <c r="U62" i="33"/>
  <c r="V62" i="33" s="1"/>
  <c r="U64" i="33"/>
  <c r="V64" i="33" s="1"/>
  <c r="U66" i="33"/>
  <c r="V66" i="33" s="1"/>
  <c r="U68" i="33"/>
  <c r="V68" i="33" s="1"/>
  <c r="U70" i="33"/>
  <c r="V70" i="33" s="1"/>
  <c r="U72" i="33"/>
  <c r="V72" i="33" s="1"/>
  <c r="U74" i="33"/>
  <c r="V74" i="33" s="1"/>
  <c r="U76" i="33"/>
  <c r="V76" i="33" s="1"/>
  <c r="U78" i="33"/>
  <c r="V78" i="33" s="1"/>
  <c r="U80" i="33"/>
  <c r="V80" i="33" s="1"/>
  <c r="U82" i="33"/>
  <c r="V82" i="33" s="1"/>
  <c r="U84" i="33"/>
  <c r="V84" i="33" s="1"/>
  <c r="U86" i="33"/>
  <c r="V86" i="33" s="1"/>
  <c r="U28" i="33"/>
  <c r="V28" i="33" s="1"/>
  <c r="U30" i="33"/>
  <c r="V30" i="33" s="1"/>
  <c r="S32" i="33"/>
  <c r="X32" i="33" s="1"/>
  <c r="S9" i="33"/>
  <c r="X9" i="33" s="1"/>
  <c r="S34" i="33"/>
  <c r="X34" i="33" s="1"/>
  <c r="S36" i="33"/>
  <c r="X36" i="33" s="1"/>
  <c r="X59" i="33" l="1"/>
  <c r="X79" i="33"/>
  <c r="X45" i="33"/>
  <c r="X43" i="33"/>
  <c r="X47" i="33"/>
  <c r="X5" i="33"/>
  <c r="X65" i="33"/>
  <c r="X81" i="33"/>
  <c r="X31" i="33"/>
  <c r="X61" i="33"/>
  <c r="X86" i="33"/>
  <c r="X26" i="33"/>
  <c r="X80" i="33"/>
  <c r="X77" i="33"/>
  <c r="X18" i="33"/>
  <c r="X16" i="33"/>
  <c r="X33" i="33"/>
  <c r="X66" i="33"/>
  <c r="X49" i="33"/>
  <c r="X20" i="33"/>
  <c r="X22" i="33"/>
  <c r="X37" i="33"/>
  <c r="X41" i="33"/>
  <c r="X75" i="33"/>
  <c r="X84" i="33"/>
  <c r="X23" i="33"/>
  <c r="X78" i="33"/>
  <c r="X71" i="33"/>
  <c r="X24" i="33"/>
  <c r="X82" i="33"/>
  <c r="X30" i="33"/>
  <c r="X73" i="33"/>
  <c r="X28" i="33"/>
  <c r="X27" i="33"/>
  <c r="X76" i="33"/>
  <c r="X51" i="33"/>
  <c r="X68" i="33"/>
  <c r="X60" i="33"/>
  <c r="X54" i="33"/>
  <c r="X14" i="33"/>
  <c r="X3" i="33"/>
  <c r="X39" i="33"/>
  <c r="X87" i="33"/>
  <c r="X25" i="33"/>
  <c r="X29" i="33"/>
  <c r="X63" i="33"/>
  <c r="X2" i="33"/>
  <c r="X70" i="33"/>
  <c r="X64" i="33"/>
  <c r="X72" i="33"/>
  <c r="X69" i="33"/>
  <c r="X67" i="33"/>
  <c r="X62" i="33"/>
  <c r="X85" i="33"/>
  <c r="X74" i="33"/>
  <c r="X83" i="33"/>
  <c r="T2" i="27" l="1"/>
  <c r="S2" i="27"/>
  <c r="R2" i="27"/>
  <c r="Q2" i="27"/>
  <c r="P2" i="27"/>
  <c r="O2" i="27"/>
  <c r="N2" i="27"/>
  <c r="M2" i="27"/>
  <c r="L2" i="27"/>
  <c r="K2" i="27"/>
  <c r="T1" i="27" a="1"/>
  <c r="T1" i="27" s="1"/>
  <c r="S1" i="27" a="1"/>
  <c r="S1" i="27" s="1"/>
  <c r="R1" i="27" a="1"/>
  <c r="R1" i="27" s="1"/>
  <c r="Q1" i="27" a="1"/>
  <c r="Q1" i="27" s="1"/>
  <c r="P1" i="27" a="1"/>
  <c r="P1" i="27" s="1"/>
  <c r="O1" i="27" a="1"/>
  <c r="O1" i="27" s="1"/>
  <c r="N1" i="27" a="1"/>
  <c r="N1" i="27" s="1"/>
  <c r="M1" i="27" a="1"/>
  <c r="M1" i="27" s="1"/>
  <c r="L1" i="27" a="1"/>
  <c r="L1" i="27" s="1"/>
  <c r="K1" i="27" a="1"/>
  <c r="K1" i="27" s="1"/>
  <c r="D2" i="26"/>
  <c r="E2" i="26"/>
  <c r="F2" i="26"/>
  <c r="G2" i="26"/>
  <c r="H2" i="26"/>
  <c r="I2" i="26"/>
  <c r="J2" i="26"/>
  <c r="K2" i="26"/>
  <c r="L2" i="26"/>
  <c r="C2" i="26"/>
  <c r="D1" i="26" a="1"/>
  <c r="D1" i="26" s="1"/>
  <c r="E1" i="26" a="1"/>
  <c r="E1" i="26" s="1"/>
  <c r="F1" i="26" a="1"/>
  <c r="F1" i="26" s="1"/>
  <c r="G1" i="26" a="1"/>
  <c r="G1" i="26" s="1"/>
  <c r="H1" i="26" a="1"/>
  <c r="H1" i="26" s="1"/>
  <c r="I1" i="26" a="1"/>
  <c r="I1" i="26" s="1"/>
  <c r="J1" i="26" a="1"/>
  <c r="J1" i="26" s="1"/>
  <c r="K1" i="26" a="1"/>
  <c r="K1" i="26" s="1"/>
  <c r="L1" i="26" a="1"/>
  <c r="L1" i="26" s="1"/>
  <c r="C1" i="26" a="1"/>
  <c r="C1" i="26" s="1"/>
  <c r="D23" i="19" l="1"/>
  <c r="D2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0" authorId="0" shapeId="0" xr:uid="{1D7AAAD7-F3EC-4912-ADB0-F1A88870CF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C35" authorId="0" shapeId="0" xr:uid="{1014577B-EFDE-46B9-A7D0-628F1A2C07A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C40" authorId="0" shapeId="0" xr:uid="{CA67D988-AC78-4959-8898-0FC275986DC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C45" authorId="0" shapeId="0" xr:uid="{721B643D-89F2-4C35-9A86-39B3EA4B2E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C46" authorId="0" shapeId="0" xr:uid="{6AEE6345-609F-4343-8C07-E5D90D4CA0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C59" authorId="0" shapeId="0" xr:uid="{FEF2A91D-E892-4E65-B24B-E4C881B498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C60" authorId="0" shapeId="0" xr:uid="{3704319E-72BA-4620-92E4-60FDAE98A5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7" authorId="0" shapeId="0" xr:uid="{1224F632-875D-4559-B695-CF453234540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42" authorId="0" shapeId="0" xr:uid="{4A355965-0809-4924-81AA-93EF79D42C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7" authorId="0" shapeId="0" xr:uid="{68ED1FEA-639A-4D19-B0FC-7ED2ADFA7A1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53" authorId="0" shapeId="0" xr:uid="{A852D937-C249-42C6-BF10-AA7CD80F4A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54" authorId="0" shapeId="0" xr:uid="{D1CB8D59-0199-40EE-999D-E232189757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70" authorId="0" shapeId="0" xr:uid="{376C8D0F-A3F6-4C8B-ACA9-3543CDB31B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71" authorId="0" shapeId="0" xr:uid="{85B6A74F-3BB9-454F-A9B1-1733BED5BB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0" authorId="0" shapeId="0" xr:uid="{B106109B-5E1B-4D14-A9F6-3AF639D6A66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5" authorId="0" shapeId="0" xr:uid="{6C1E903F-A129-4ECA-A336-422AD674C9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0" authorId="0" shapeId="0" xr:uid="{0C30ED16-462F-423A-A936-44D618E199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5" authorId="0" shapeId="0" xr:uid="{B64C949A-3DF6-47AC-9E98-52159071F3A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6" authorId="0" shapeId="0" xr:uid="{75D57F2C-64F8-46B5-BC2A-8DC6715ADE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59" authorId="0" shapeId="0" xr:uid="{22B92070-5C6C-4426-BC57-6ED66A17140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0" authorId="0" shapeId="0" xr:uid="{4DED81EA-B3A5-4676-A4C2-7BD67A127D2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<sst xmlns="http://schemas.openxmlformats.org/spreadsheetml/2006/main" count="4964" uniqueCount="2044">
  <si>
    <t>識別號</t>
  </si>
  <si>
    <t>漢字例</t>
  </si>
  <si>
    <t>國際音標</t>
  </si>
  <si>
    <t>十五音</t>
  </si>
  <si>
    <t>方音符號</t>
  </si>
  <si>
    <t>台語音標</t>
  </si>
  <si>
    <t>台羅拼音</t>
  </si>
  <si>
    <t>白話字</t>
  </si>
  <si>
    <t>閩拼方案</t>
  </si>
  <si>
    <t>注音二式</t>
  </si>
  <si>
    <t>1</t>
  </si>
  <si>
    <t>汾</t>
  </si>
  <si>
    <t>un</t>
  </si>
  <si>
    <t>君</t>
  </si>
  <si>
    <t>ㄨㄣ</t>
  </si>
  <si>
    <t>君舒</t>
  </si>
  <si>
    <t>2</t>
  </si>
  <si>
    <t>不</t>
  </si>
  <si>
    <t>ㄨㆵ</t>
  </si>
  <si>
    <t>ut</t>
  </si>
  <si>
    <t>君促</t>
  </si>
  <si>
    <t>3</t>
  </si>
  <si>
    <t>掀</t>
  </si>
  <si>
    <t>ian</t>
  </si>
  <si>
    <t>堅</t>
  </si>
  <si>
    <t>ㄧㄢ</t>
  </si>
  <si>
    <t>堅舒</t>
  </si>
  <si>
    <t>4</t>
  </si>
  <si>
    <t>別</t>
  </si>
  <si>
    <t>ㄧㄚㆵ</t>
  </si>
  <si>
    <t>iat</t>
  </si>
  <si>
    <t>堅促</t>
  </si>
  <si>
    <t>5</t>
  </si>
  <si>
    <t>深</t>
  </si>
  <si>
    <t>im</t>
  </si>
  <si>
    <t>金</t>
  </si>
  <si>
    <t>ㄧㆬ</t>
  </si>
  <si>
    <t>金舒</t>
  </si>
  <si>
    <t>6</t>
  </si>
  <si>
    <t>蟄</t>
  </si>
  <si>
    <t>ip̚</t>
  </si>
  <si>
    <t>一ㆴ</t>
  </si>
  <si>
    <t>ip</t>
  </si>
  <si>
    <t>金促</t>
  </si>
  <si>
    <t>7</t>
  </si>
  <si>
    <t>歸</t>
  </si>
  <si>
    <t>ui</t>
  </si>
  <si>
    <t>規</t>
  </si>
  <si>
    <t>ㄨㄧ</t>
  </si>
  <si>
    <t>規舒</t>
  </si>
  <si>
    <t>9</t>
  </si>
  <si>
    <t>家</t>
  </si>
  <si>
    <t>ɛ</t>
  </si>
  <si>
    <t>嘉</t>
  </si>
  <si>
    <t>ㄝ</t>
  </si>
  <si>
    <t>ee</t>
  </si>
  <si>
    <t>e</t>
  </si>
  <si>
    <t>嘉舒</t>
  </si>
  <si>
    <t>10</t>
  </si>
  <si>
    <t>八</t>
  </si>
  <si>
    <t>eeh</t>
  </si>
  <si>
    <t>eh</t>
  </si>
  <si>
    <t>嘉促</t>
  </si>
  <si>
    <t>11</t>
  </si>
  <si>
    <t>蘭</t>
  </si>
  <si>
    <t>an</t>
  </si>
  <si>
    <t>干</t>
  </si>
  <si>
    <t>ㄢ</t>
  </si>
  <si>
    <t>干舒</t>
  </si>
  <si>
    <t>12</t>
  </si>
  <si>
    <t>識</t>
  </si>
  <si>
    <t>at̚</t>
  </si>
  <si>
    <t>ㄚㆵ</t>
  </si>
  <si>
    <t>at</t>
  </si>
  <si>
    <t>干促</t>
  </si>
  <si>
    <t>13</t>
  </si>
  <si>
    <t>風</t>
  </si>
  <si>
    <t>ɔŋ</t>
  </si>
  <si>
    <t>公</t>
  </si>
  <si>
    <t>ㆲ</t>
  </si>
  <si>
    <t>ong</t>
  </si>
  <si>
    <t>公舒</t>
  </si>
  <si>
    <t>14</t>
  </si>
  <si>
    <t>福</t>
  </si>
  <si>
    <t>ɔk̚</t>
  </si>
  <si>
    <t>ㆦㆻ</t>
  </si>
  <si>
    <t>ok</t>
  </si>
  <si>
    <t>公促</t>
  </si>
  <si>
    <t>15</t>
  </si>
  <si>
    <t>怪</t>
  </si>
  <si>
    <t>uai</t>
  </si>
  <si>
    <t>乖</t>
  </si>
  <si>
    <t>ㄨㄞ</t>
  </si>
  <si>
    <t>oai</t>
  </si>
  <si>
    <t>乖舒</t>
  </si>
  <si>
    <t>8</t>
  </si>
  <si>
    <t>16</t>
  </si>
  <si>
    <t>uaih</t>
  </si>
  <si>
    <t>oaih</t>
  </si>
  <si>
    <t>乖促</t>
  </si>
  <si>
    <t>17</t>
  </si>
  <si>
    <t>情</t>
  </si>
  <si>
    <t>iŋ</t>
  </si>
  <si>
    <t>經</t>
  </si>
  <si>
    <t>ㄧㄥ</t>
  </si>
  <si>
    <t>ing</t>
  </si>
  <si>
    <t>eng</t>
  </si>
  <si>
    <t>經舒</t>
  </si>
  <si>
    <t>18</t>
  </si>
  <si>
    <t>益</t>
  </si>
  <si>
    <t>ㄧㆻ</t>
  </si>
  <si>
    <t>ik</t>
  </si>
  <si>
    <t>ek</t>
  </si>
  <si>
    <t>經促</t>
  </si>
  <si>
    <t>19</t>
  </si>
  <si>
    <t>猿</t>
  </si>
  <si>
    <t>uan</t>
  </si>
  <si>
    <t>觀</t>
  </si>
  <si>
    <t>ㄨㄢ</t>
  </si>
  <si>
    <t>oan</t>
  </si>
  <si>
    <t>觀舒</t>
  </si>
  <si>
    <t>20</t>
  </si>
  <si>
    <t>說</t>
  </si>
  <si>
    <t>uat̚</t>
  </si>
  <si>
    <t>ㄨㄚㆵ</t>
  </si>
  <si>
    <t>uat</t>
  </si>
  <si>
    <t>oat</t>
  </si>
  <si>
    <t>觀促</t>
  </si>
  <si>
    <t>21</t>
  </si>
  <si>
    <t>捕</t>
  </si>
  <si>
    <t>沽</t>
  </si>
  <si>
    <t>oo</t>
  </si>
  <si>
    <t>o͘</t>
  </si>
  <si>
    <t>沽舒</t>
  </si>
  <si>
    <t>23</t>
  </si>
  <si>
    <t>遙</t>
  </si>
  <si>
    <t>iau</t>
  </si>
  <si>
    <t>嬌</t>
  </si>
  <si>
    <t>ㄧㄠ</t>
  </si>
  <si>
    <t>iao</t>
  </si>
  <si>
    <t>嬌舒</t>
  </si>
  <si>
    <t>24</t>
  </si>
  <si>
    <t>噭</t>
  </si>
  <si>
    <t>iauh</t>
  </si>
  <si>
    <t>iaoh</t>
  </si>
  <si>
    <t>嬌促</t>
  </si>
  <si>
    <t>25</t>
  </si>
  <si>
    <t>遞</t>
  </si>
  <si>
    <t>稽</t>
  </si>
  <si>
    <t>ㆤ</t>
  </si>
  <si>
    <t>稽舒</t>
  </si>
  <si>
    <t>27</t>
  </si>
  <si>
    <t>中</t>
  </si>
  <si>
    <t>恭</t>
  </si>
  <si>
    <t>ㄧㆲ</t>
  </si>
  <si>
    <t>iong</t>
  </si>
  <si>
    <t>恭舒</t>
  </si>
  <si>
    <t>28</t>
  </si>
  <si>
    <t>俗</t>
  </si>
  <si>
    <t>ㄧㆦㆻ</t>
  </si>
  <si>
    <t>iok</t>
  </si>
  <si>
    <t>恭促</t>
  </si>
  <si>
    <t>29</t>
  </si>
  <si>
    <t>果</t>
  </si>
  <si>
    <t>o</t>
  </si>
  <si>
    <t>高</t>
  </si>
  <si>
    <t>ㄜ</t>
  </si>
  <si>
    <t>or</t>
  </si>
  <si>
    <t>高舒</t>
  </si>
  <si>
    <t>30</t>
  </si>
  <si>
    <t>卜</t>
  </si>
  <si>
    <t>oh</t>
  </si>
  <si>
    <t>orh</t>
  </si>
  <si>
    <t>高促</t>
  </si>
  <si>
    <t>31</t>
  </si>
  <si>
    <t>埃</t>
  </si>
  <si>
    <t>ai</t>
  </si>
  <si>
    <t>皆</t>
  </si>
  <si>
    <t>ㄞ</t>
  </si>
  <si>
    <t>皆舒</t>
  </si>
  <si>
    <t>33</t>
  </si>
  <si>
    <t>恩</t>
  </si>
  <si>
    <t>in</t>
  </si>
  <si>
    <t>巾</t>
  </si>
  <si>
    <t>ㄧㄣ</t>
  </si>
  <si>
    <t>巾舒</t>
  </si>
  <si>
    <t>34</t>
  </si>
  <si>
    <t>一</t>
  </si>
  <si>
    <t>it̚</t>
  </si>
  <si>
    <t>ㄧㆵ</t>
  </si>
  <si>
    <t>it</t>
  </si>
  <si>
    <t>巾促</t>
  </si>
  <si>
    <t>35</t>
  </si>
  <si>
    <t>將</t>
  </si>
  <si>
    <t>姜</t>
  </si>
  <si>
    <t>iang</t>
  </si>
  <si>
    <t>姜舒</t>
  </si>
  <si>
    <t>36</t>
  </si>
  <si>
    <t>爆</t>
  </si>
  <si>
    <t>iak</t>
  </si>
  <si>
    <t>姜促</t>
  </si>
  <si>
    <t>37</t>
  </si>
  <si>
    <t>堪</t>
  </si>
  <si>
    <t>am</t>
  </si>
  <si>
    <t>甘</t>
  </si>
  <si>
    <t>ㆰ</t>
  </si>
  <si>
    <t>甘舒</t>
  </si>
  <si>
    <t>38</t>
  </si>
  <si>
    <t>答</t>
  </si>
  <si>
    <t>ap̚</t>
  </si>
  <si>
    <t>ㄚㆴ</t>
  </si>
  <si>
    <t>ap</t>
  </si>
  <si>
    <t>甘促</t>
  </si>
  <si>
    <t>39</t>
  </si>
  <si>
    <t>花</t>
  </si>
  <si>
    <t>ua</t>
  </si>
  <si>
    <t>瓜</t>
  </si>
  <si>
    <t>ㄨㄚ</t>
  </si>
  <si>
    <t>oa</t>
  </si>
  <si>
    <t>瓜舒</t>
  </si>
  <si>
    <t>40</t>
  </si>
  <si>
    <t>缽</t>
  </si>
  <si>
    <t>uah</t>
  </si>
  <si>
    <t>oah</t>
  </si>
  <si>
    <t>瓜促</t>
  </si>
  <si>
    <t>41</t>
  </si>
  <si>
    <t>邦</t>
  </si>
  <si>
    <t>aŋ</t>
  </si>
  <si>
    <t>江</t>
  </si>
  <si>
    <t>ang</t>
  </si>
  <si>
    <t>江舒</t>
  </si>
  <si>
    <t>42</t>
  </si>
  <si>
    <t>角</t>
  </si>
  <si>
    <t>ak̚</t>
  </si>
  <si>
    <t>ㄚㆻ</t>
  </si>
  <si>
    <t>ak</t>
  </si>
  <si>
    <t>江促</t>
  </si>
  <si>
    <t>43</t>
  </si>
  <si>
    <t>尖</t>
  </si>
  <si>
    <t>iam</t>
  </si>
  <si>
    <t>兼</t>
  </si>
  <si>
    <t>ㄧㆰ</t>
  </si>
  <si>
    <t>兼舒</t>
  </si>
  <si>
    <t>22</t>
  </si>
  <si>
    <t>44</t>
  </si>
  <si>
    <t>接</t>
  </si>
  <si>
    <t>ㄧㄚㆴ</t>
  </si>
  <si>
    <t>iap</t>
  </si>
  <si>
    <t>兼促</t>
  </si>
  <si>
    <t>45</t>
  </si>
  <si>
    <t>鬧</t>
  </si>
  <si>
    <t>au</t>
  </si>
  <si>
    <t>交</t>
  </si>
  <si>
    <t>ㄠ</t>
  </si>
  <si>
    <t>ao</t>
  </si>
  <si>
    <t>交舒</t>
  </si>
  <si>
    <t>46</t>
  </si>
  <si>
    <t>暴</t>
  </si>
  <si>
    <t>auh</t>
  </si>
  <si>
    <t>aoh</t>
  </si>
  <si>
    <t>交促</t>
  </si>
  <si>
    <t>47</t>
  </si>
  <si>
    <t>名</t>
  </si>
  <si>
    <t>ia</t>
  </si>
  <si>
    <t>迦</t>
  </si>
  <si>
    <t>ㄧㄚ</t>
  </si>
  <si>
    <t>迦舒</t>
  </si>
  <si>
    <t>48</t>
  </si>
  <si>
    <t>壁</t>
  </si>
  <si>
    <t>iah</t>
  </si>
  <si>
    <t>迦促</t>
  </si>
  <si>
    <t>49</t>
  </si>
  <si>
    <t>話</t>
  </si>
  <si>
    <t>檜</t>
  </si>
  <si>
    <t>ㄨㆤ</t>
  </si>
  <si>
    <t>ue</t>
  </si>
  <si>
    <t>oe</t>
  </si>
  <si>
    <t>檜舒</t>
  </si>
  <si>
    <t>50</t>
  </si>
  <si>
    <t>拔</t>
  </si>
  <si>
    <t>ueh</t>
  </si>
  <si>
    <t>oeh</t>
  </si>
  <si>
    <t>檜促</t>
  </si>
  <si>
    <t>聽</t>
  </si>
  <si>
    <t>ã</t>
  </si>
  <si>
    <t>監</t>
  </si>
  <si>
    <t>ㆩ</t>
  </si>
  <si>
    <t>ann</t>
  </si>
  <si>
    <t>aⁿ</t>
  </si>
  <si>
    <t>na</t>
  </si>
  <si>
    <t>監舒</t>
  </si>
  <si>
    <t>26</t>
  </si>
  <si>
    <t>含</t>
  </si>
  <si>
    <t>annh</t>
  </si>
  <si>
    <t>nah</t>
  </si>
  <si>
    <t>監促</t>
  </si>
  <si>
    <t>夫</t>
  </si>
  <si>
    <t>u</t>
  </si>
  <si>
    <t>艍</t>
  </si>
  <si>
    <t>ㄨ</t>
  </si>
  <si>
    <t>艍舒</t>
  </si>
  <si>
    <t>勃</t>
  </si>
  <si>
    <t>uh</t>
  </si>
  <si>
    <t>艍促</t>
  </si>
  <si>
    <t>些</t>
  </si>
  <si>
    <t>a</t>
  </si>
  <si>
    <t>膠</t>
  </si>
  <si>
    <t>ㄚ</t>
  </si>
  <si>
    <t>膠舒</t>
  </si>
  <si>
    <t>百</t>
  </si>
  <si>
    <t>ah</t>
  </si>
  <si>
    <t>膠促</t>
  </si>
  <si>
    <t>爾</t>
  </si>
  <si>
    <t>i</t>
  </si>
  <si>
    <t>居</t>
  </si>
  <si>
    <t>ㄧ</t>
  </si>
  <si>
    <t>居舒</t>
  </si>
  <si>
    <t>逼</t>
  </si>
  <si>
    <t>ih</t>
  </si>
  <si>
    <t>居促</t>
  </si>
  <si>
    <t>油</t>
  </si>
  <si>
    <t>iu</t>
  </si>
  <si>
    <t>丩</t>
  </si>
  <si>
    <t>ㄧㄨ</t>
  </si>
  <si>
    <t>丩舒</t>
  </si>
  <si>
    <t>爭</t>
  </si>
  <si>
    <t>更</t>
  </si>
  <si>
    <t>ㆥ</t>
  </si>
  <si>
    <t>enn</t>
  </si>
  <si>
    <t>eⁿ</t>
  </si>
  <si>
    <t>ne</t>
  </si>
  <si>
    <t>更舒</t>
  </si>
  <si>
    <t>挾</t>
  </si>
  <si>
    <t>ennh</t>
  </si>
  <si>
    <t>更促</t>
  </si>
  <si>
    <t>荒</t>
  </si>
  <si>
    <t>褌</t>
  </si>
  <si>
    <t>ㄨㆪ</t>
  </si>
  <si>
    <t>uinn</t>
  </si>
  <si>
    <t>uiⁿ</t>
  </si>
  <si>
    <t>nui</t>
  </si>
  <si>
    <t>褌舒</t>
  </si>
  <si>
    <t>32</t>
  </si>
  <si>
    <t>少</t>
  </si>
  <si>
    <t>io</t>
  </si>
  <si>
    <t>茄</t>
  </si>
  <si>
    <t>ㄧㄜ</t>
  </si>
  <si>
    <t>ior</t>
  </si>
  <si>
    <t>茄舒</t>
  </si>
  <si>
    <t>著</t>
  </si>
  <si>
    <t>ioh</t>
  </si>
  <si>
    <t>iorh</t>
  </si>
  <si>
    <t>茄促</t>
  </si>
  <si>
    <t>庚</t>
  </si>
  <si>
    <t>ĩ</t>
  </si>
  <si>
    <t>梔</t>
  </si>
  <si>
    <t>ㆪ</t>
  </si>
  <si>
    <t>inn</t>
  </si>
  <si>
    <t>iⁿ</t>
  </si>
  <si>
    <t>ni</t>
  </si>
  <si>
    <t>梔舒</t>
  </si>
  <si>
    <t>欷</t>
  </si>
  <si>
    <t>innh</t>
  </si>
  <si>
    <t>nih</t>
  </si>
  <si>
    <t>梔促</t>
  </si>
  <si>
    <t>腔</t>
  </si>
  <si>
    <t>薑</t>
  </si>
  <si>
    <t>ㄧㆧ</t>
  </si>
  <si>
    <t>ionn</t>
  </si>
  <si>
    <t>薑舒</t>
  </si>
  <si>
    <t>且</t>
  </si>
  <si>
    <t>驚</t>
  </si>
  <si>
    <t>ㄧㆩ</t>
  </si>
  <si>
    <t>iann</t>
  </si>
  <si>
    <t>iannh</t>
  </si>
  <si>
    <t>iaⁿ</t>
  </si>
  <si>
    <t>nia</t>
  </si>
  <si>
    <t>驚舒</t>
  </si>
  <si>
    <t>肝</t>
  </si>
  <si>
    <t>官</t>
  </si>
  <si>
    <t>ㄨㆩ</t>
  </si>
  <si>
    <t>uann</t>
  </si>
  <si>
    <t>oaⁿ</t>
  </si>
  <si>
    <t>nua</t>
  </si>
  <si>
    <t>官舒</t>
  </si>
  <si>
    <t>床</t>
  </si>
  <si>
    <t>ŋ̍</t>
  </si>
  <si>
    <t>鋼</t>
  </si>
  <si>
    <t>ㆭ</t>
  </si>
  <si>
    <t>ng</t>
  </si>
  <si>
    <t>鋼舒</t>
  </si>
  <si>
    <t>會</t>
  </si>
  <si>
    <t>伽</t>
  </si>
  <si>
    <t>伽舒</t>
  </si>
  <si>
    <t>伯</t>
  </si>
  <si>
    <t>伽促</t>
  </si>
  <si>
    <t>挨</t>
  </si>
  <si>
    <t>閒</t>
  </si>
  <si>
    <t>ㆮ</t>
  </si>
  <si>
    <t>ainn</t>
  </si>
  <si>
    <t>aiⁿ</t>
  </si>
  <si>
    <t>nai</t>
  </si>
  <si>
    <t>閒舒</t>
  </si>
  <si>
    <t>張</t>
  </si>
  <si>
    <t>姑</t>
  </si>
  <si>
    <t>ㆧ</t>
  </si>
  <si>
    <t>oonn</t>
  </si>
  <si>
    <t>onn</t>
  </si>
  <si>
    <t>noo</t>
  </si>
  <si>
    <t>姑舒</t>
  </si>
  <si>
    <t>姆</t>
  </si>
  <si>
    <t>m̩</t>
  </si>
  <si>
    <t>ㆬ</t>
  </si>
  <si>
    <t>m</t>
  </si>
  <si>
    <t>姆舒</t>
  </si>
  <si>
    <t>闖</t>
  </si>
  <si>
    <t>uaŋ</t>
  </si>
  <si>
    <t>光</t>
  </si>
  <si>
    <t>uang</t>
  </si>
  <si>
    <t>oang</t>
  </si>
  <si>
    <t>光舒</t>
  </si>
  <si>
    <t>伏</t>
  </si>
  <si>
    <t>ㄨㄚㆻ</t>
  </si>
  <si>
    <t>uak</t>
  </si>
  <si>
    <t>光促</t>
  </si>
  <si>
    <t>檨</t>
  </si>
  <si>
    <t>閂</t>
  </si>
  <si>
    <t>ㄨㆮ</t>
  </si>
  <si>
    <t>uainn</t>
  </si>
  <si>
    <t>oaiⁿ</t>
  </si>
  <si>
    <t>nuai</t>
  </si>
  <si>
    <t>閂舒</t>
  </si>
  <si>
    <t>蹶</t>
  </si>
  <si>
    <t>uainnh</t>
  </si>
  <si>
    <t>閂促</t>
  </si>
  <si>
    <t>糜</t>
  </si>
  <si>
    <t>ㄨㆥ</t>
  </si>
  <si>
    <t>uenn</t>
  </si>
  <si>
    <t>糜舒</t>
  </si>
  <si>
    <t>鳥</t>
  </si>
  <si>
    <t>嘄</t>
  </si>
  <si>
    <t>ㄧㆯ</t>
  </si>
  <si>
    <t>iaunn</t>
  </si>
  <si>
    <t>iauⁿ</t>
  </si>
  <si>
    <t>niao</t>
  </si>
  <si>
    <t>嘄舒</t>
  </si>
  <si>
    <t>iaunnh</t>
  </si>
  <si>
    <t>嘄促</t>
  </si>
  <si>
    <t>丼</t>
  </si>
  <si>
    <t>ɔm</t>
  </si>
  <si>
    <t>箴</t>
  </si>
  <si>
    <t>ㆱ</t>
  </si>
  <si>
    <t>om</t>
  </si>
  <si>
    <t>oom</t>
  </si>
  <si>
    <t>箴舒</t>
  </si>
  <si>
    <t>吷</t>
  </si>
  <si>
    <t>ɔp̚</t>
  </si>
  <si>
    <t>ㆦㆴ</t>
  </si>
  <si>
    <t>op</t>
  </si>
  <si>
    <t>oop</t>
  </si>
  <si>
    <t>箴促</t>
  </si>
  <si>
    <t>懸</t>
  </si>
  <si>
    <t>爻</t>
  </si>
  <si>
    <t>ㆯ</t>
  </si>
  <si>
    <t>aunn</t>
  </si>
  <si>
    <t>爻舒</t>
  </si>
  <si>
    <t>呼</t>
  </si>
  <si>
    <t>扛</t>
  </si>
  <si>
    <t>扛舒</t>
  </si>
  <si>
    <t>onnh</t>
  </si>
  <si>
    <t>扛促</t>
  </si>
  <si>
    <t>香</t>
  </si>
  <si>
    <t>牛</t>
  </si>
  <si>
    <t>ㄧㆫ</t>
  </si>
  <si>
    <t>iunn</t>
  </si>
  <si>
    <t>iuⁿ</t>
  </si>
  <si>
    <t>niu</t>
  </si>
  <si>
    <t>牛舒</t>
  </si>
  <si>
    <t>十五音序</t>
    <phoneticPr fontId="3" type="noConversion"/>
  </si>
  <si>
    <r>
      <rPr>
        <sz val="24"/>
        <color theme="1"/>
        <rFont val="Noto Sans TC Medium"/>
        <family val="2"/>
        <charset val="136"/>
      </rPr>
      <t>◯</t>
    </r>
  </si>
  <si>
    <t>備註</t>
  </si>
  <si>
    <t>理</t>
  </si>
  <si>
    <t>l</t>
  </si>
  <si>
    <t>柳</t>
  </si>
  <si>
    <t>ㄌ</t>
  </si>
  <si>
    <t>比</t>
  </si>
  <si>
    <t>p</t>
  </si>
  <si>
    <t>邊</t>
  </si>
  <si>
    <t>ㄅ</t>
  </si>
  <si>
    <t>b</t>
  </si>
  <si>
    <t>己</t>
  </si>
  <si>
    <t>k</t>
  </si>
  <si>
    <t>求</t>
  </si>
  <si>
    <t>ㄍ</t>
  </si>
  <si>
    <t>g</t>
  </si>
  <si>
    <t>起</t>
  </si>
  <si>
    <t>kʰ</t>
  </si>
  <si>
    <t>去</t>
  </si>
  <si>
    <t>ㄎ</t>
  </si>
  <si>
    <t>kh</t>
  </si>
  <si>
    <t>底</t>
  </si>
  <si>
    <t>t</t>
  </si>
  <si>
    <t>地</t>
  </si>
  <si>
    <t>ㄉ</t>
  </si>
  <si>
    <t>d</t>
  </si>
  <si>
    <t>鄙</t>
  </si>
  <si>
    <t>pʰ</t>
  </si>
  <si>
    <t>頗</t>
  </si>
  <si>
    <t>ㄆ</t>
  </si>
  <si>
    <t>ph</t>
  </si>
  <si>
    <t>恥</t>
  </si>
  <si>
    <t>tʰ</t>
  </si>
  <si>
    <t>他</t>
  </si>
  <si>
    <t>ㄊ</t>
  </si>
  <si>
    <t>th</t>
  </si>
  <si>
    <t>阻</t>
  </si>
  <si>
    <t>ʦ</t>
  </si>
  <si>
    <t>曾</t>
  </si>
  <si>
    <t>ㄗ</t>
  </si>
  <si>
    <t>z</t>
  </si>
  <si>
    <t>ts</t>
  </si>
  <si>
    <t>ch</t>
  </si>
  <si>
    <t>熱</t>
  </si>
  <si>
    <t>ʣ</t>
  </si>
  <si>
    <t>入</t>
  </si>
  <si>
    <t>ㆡ</t>
  </si>
  <si>
    <t>j</t>
  </si>
  <si>
    <t>zz</t>
  </si>
  <si>
    <t>詞</t>
  </si>
  <si>
    <t>s</t>
  </si>
  <si>
    <t>時</t>
  </si>
  <si>
    <t>以</t>
  </si>
  <si>
    <t>英</t>
  </si>
  <si>
    <t>Ø</t>
  </si>
  <si>
    <t>美</t>
  </si>
  <si>
    <t>門</t>
  </si>
  <si>
    <t>ㆠ</t>
  </si>
  <si>
    <t>bb</t>
  </si>
  <si>
    <t>禦</t>
  </si>
  <si>
    <t>ɡ</t>
  </si>
  <si>
    <t>語</t>
  </si>
  <si>
    <t>ㆣ</t>
  </si>
  <si>
    <t>gg</t>
  </si>
  <si>
    <t>取</t>
  </si>
  <si>
    <t>ʦʰ</t>
  </si>
  <si>
    <t>出</t>
  </si>
  <si>
    <t>c</t>
  </si>
  <si>
    <t>tsh</t>
  </si>
  <si>
    <t>chh</t>
  </si>
  <si>
    <t>喜</t>
  </si>
  <si>
    <t>h</t>
  </si>
  <si>
    <t>ㄏ</t>
  </si>
  <si>
    <t>毛</t>
  </si>
  <si>
    <t>ㄇ</t>
  </si>
  <si>
    <t>bbn</t>
  </si>
  <si>
    <t xml:space="preserve">b/m 本不分，此處分門/毛 </t>
  </si>
  <si>
    <t>耐</t>
  </si>
  <si>
    <t>n</t>
  </si>
  <si>
    <t>ㄋ</t>
  </si>
  <si>
    <t>ln</t>
  </si>
  <si>
    <t xml:space="preserve">l/n 本不分，此處分柳/耐 </t>
  </si>
  <si>
    <t>雅</t>
  </si>
  <si>
    <t>ŋ</t>
  </si>
  <si>
    <t>ㄫ</t>
  </si>
  <si>
    <t>ggn</t>
  </si>
  <si>
    <t xml:space="preserve">g/ng 本不分，此處分語/雅 </t>
  </si>
  <si>
    <t>ʥ</t>
  </si>
  <si>
    <t>ㆢ</t>
  </si>
  <si>
    <t>ji</t>
  </si>
  <si>
    <t>zzi</t>
  </si>
  <si>
    <t>止</t>
  </si>
  <si>
    <t>ʨ</t>
  </si>
  <si>
    <t>ㄐ</t>
  </si>
  <si>
    <t>zi</t>
  </si>
  <si>
    <t>tsi</t>
  </si>
  <si>
    <t>chi</t>
  </si>
  <si>
    <t>測</t>
  </si>
  <si>
    <t>ʨʰ</t>
  </si>
  <si>
    <t>ㄑ</t>
  </si>
  <si>
    <t>ci</t>
  </si>
  <si>
    <t>tshi</t>
  </si>
  <si>
    <t>chhi</t>
  </si>
  <si>
    <t>惜</t>
  </si>
  <si>
    <t>ɕ</t>
  </si>
  <si>
    <t>ㄒ</t>
  </si>
  <si>
    <t>si</t>
  </si>
  <si>
    <t>ㆢ = ㆡㄧ</t>
    <phoneticPr fontId="3" type="noConversion"/>
  </si>
  <si>
    <t>ㄐ = ㄗㄧ</t>
    <phoneticPr fontId="3" type="noConversion"/>
  </si>
  <si>
    <t>ㄙ</t>
    <phoneticPr fontId="3" type="noConversion"/>
  </si>
  <si>
    <t>ㄒ = ㄙㄧ</t>
    <phoneticPr fontId="3" type="noConversion"/>
  </si>
  <si>
    <t>ㄘ</t>
    <phoneticPr fontId="3" type="noConversion"/>
  </si>
  <si>
    <t>ㄑ = ㄘㄧ</t>
    <phoneticPr fontId="3" type="noConversion"/>
  </si>
  <si>
    <t>鍵盤按鍵</t>
  </si>
  <si>
    <t/>
  </si>
  <si>
    <t>_</t>
  </si>
  <si>
    <t>/</t>
  </si>
  <si>
    <t>]</t>
  </si>
  <si>
    <t>閩拼調號</t>
    <phoneticPr fontId="3" type="noConversion"/>
  </si>
  <si>
    <t>台語音標</t>
    <phoneticPr fontId="3" type="noConversion"/>
  </si>
  <si>
    <t>U+0304</t>
  </si>
  <si>
    <t>U+0301</t>
  </si>
  <si>
    <t>調號</t>
  </si>
  <si>
    <t>U+030A</t>
  </si>
  <si>
    <t>U+030B</t>
  </si>
  <si>
    <t>U+0300</t>
    <phoneticPr fontId="3" type="noConversion"/>
  </si>
  <si>
    <t>U+0301</t>
    <phoneticPr fontId="3" type="noConversion"/>
  </si>
  <si>
    <t>台羅拼音</t>
    <phoneticPr fontId="3" type="noConversion"/>
  </si>
  <si>
    <t>方音符號</t>
    <phoneticPr fontId="3" type="noConversion"/>
  </si>
  <si>
    <t>閩拼方案</t>
    <phoneticPr fontId="3" type="noConversion"/>
  </si>
  <si>
    <t>U+0302</t>
    <phoneticPr fontId="3" type="noConversion"/>
  </si>
  <si>
    <t>U+030C</t>
    <phoneticPr fontId="3" type="noConversion"/>
  </si>
  <si>
    <t>輕聲</t>
    <phoneticPr fontId="3" type="noConversion"/>
  </si>
  <si>
    <t>上平</t>
    <phoneticPr fontId="3" type="noConversion"/>
  </si>
  <si>
    <t>上聲</t>
    <phoneticPr fontId="3" type="noConversion"/>
  </si>
  <si>
    <t>上去</t>
    <phoneticPr fontId="3" type="noConversion"/>
  </si>
  <si>
    <t>上入</t>
    <phoneticPr fontId="3" type="noConversion"/>
  </si>
  <si>
    <t>下平</t>
    <phoneticPr fontId="3" type="noConversion"/>
  </si>
  <si>
    <t>下入</t>
    <phoneticPr fontId="3" type="noConversion"/>
  </si>
  <si>
    <t>下去</t>
    <phoneticPr fontId="3" type="noConversion"/>
  </si>
  <si>
    <t>U+0304</t>
    <phoneticPr fontId="3" type="noConversion"/>
  </si>
  <si>
    <t>台羅調符編碼</t>
    <phoneticPr fontId="3" type="noConversion"/>
  </si>
  <si>
    <t>調名</t>
    <phoneticPr fontId="3" type="noConversion"/>
  </si>
  <si>
    <t>U+030D</t>
    <phoneticPr fontId="3" type="noConversion"/>
  </si>
  <si>
    <t>aunnh</t>
  </si>
  <si>
    <t>iãʔ</t>
  </si>
  <si>
    <t>ɔ̃ʔ</t>
  </si>
  <si>
    <t>auʔ</t>
  </si>
  <si>
    <t>iuh</t>
  </si>
  <si>
    <t>ãʔ</t>
  </si>
  <si>
    <t>ŋ̍ʔ</t>
  </si>
  <si>
    <t>ngh</t>
  </si>
  <si>
    <t>ɔ̃</t>
  </si>
  <si>
    <t>ɔʔ</t>
  </si>
  <si>
    <t>ooh</t>
  </si>
  <si>
    <t>uaʔ</t>
  </si>
  <si>
    <t>ueʔ</t>
  </si>
  <si>
    <t>aʔ</t>
  </si>
  <si>
    <t>eʔ</t>
  </si>
  <si>
    <t>ir</t>
  </si>
  <si>
    <t>er</t>
  </si>
  <si>
    <t>iʔ</t>
  </si>
  <si>
    <t>m̩ʔ</t>
  </si>
  <si>
    <t>mh</t>
  </si>
  <si>
    <t>ɔ</t>
  </si>
  <si>
    <t>uʔ</t>
  </si>
  <si>
    <t>iooh</t>
  </si>
  <si>
    <t>ioo</t>
  </si>
  <si>
    <t>白話字</t>
    <phoneticPr fontId="3" type="noConversion"/>
  </si>
  <si>
    <t>台語注音二式</t>
    <phoneticPr fontId="3" type="noConversion"/>
  </si>
  <si>
    <t>十五音</t>
    <phoneticPr fontId="3" type="noConversion"/>
  </si>
  <si>
    <t>國際音標</t>
    <phoneticPr fontId="3" type="noConversion"/>
  </si>
  <si>
    <t>ɔp̚</t>
    <phoneticPr fontId="3" type="noConversion"/>
  </si>
  <si>
    <t>ɛʔ</t>
  </si>
  <si>
    <t>iook</t>
  </si>
  <si>
    <t>序號</t>
    <phoneticPr fontId="3" type="noConversion"/>
  </si>
  <si>
    <t>字長</t>
    <phoneticPr fontId="3" type="noConversion"/>
  </si>
  <si>
    <t>ahⁿ</t>
  </si>
  <si>
    <t>oaihⁿ</t>
  </si>
  <si>
    <t>ɔ̃ʔ</t>
    <phoneticPr fontId="3" type="noConversion"/>
  </si>
  <si>
    <t>ɔ̃</t>
    <phoneticPr fontId="3" type="noConversion"/>
  </si>
  <si>
    <t>ㄝㆷ</t>
    <phoneticPr fontId="3" type="noConversion"/>
  </si>
  <si>
    <t>ㄨㄞㆷ</t>
    <phoneticPr fontId="3" type="noConversion"/>
  </si>
  <si>
    <t>ㆦ</t>
    <phoneticPr fontId="3" type="noConversion"/>
  </si>
  <si>
    <t>ㄧㄠㆷ</t>
    <phoneticPr fontId="3" type="noConversion"/>
  </si>
  <si>
    <t>ㄜㆷ</t>
    <phoneticPr fontId="3" type="noConversion"/>
  </si>
  <si>
    <t>ㄧㄤ</t>
    <phoneticPr fontId="3" type="noConversion"/>
  </si>
  <si>
    <t>ㄧㄚㆻ</t>
    <phoneticPr fontId="3" type="noConversion"/>
  </si>
  <si>
    <t>ㄨㄚㆷ</t>
    <phoneticPr fontId="3" type="noConversion"/>
  </si>
  <si>
    <t>ㄤ</t>
    <phoneticPr fontId="3" type="noConversion"/>
  </si>
  <si>
    <t>ㄠㆷ</t>
    <phoneticPr fontId="3" type="noConversion"/>
  </si>
  <si>
    <t>ㄧㄚㆷ</t>
    <phoneticPr fontId="3" type="noConversion"/>
  </si>
  <si>
    <t>ㄨㆤㆷ</t>
    <phoneticPr fontId="3" type="noConversion"/>
  </si>
  <si>
    <t>ㆩㆷ</t>
    <phoneticPr fontId="3" type="noConversion"/>
  </si>
  <si>
    <t>ㄨㆷ</t>
    <phoneticPr fontId="3" type="noConversion"/>
  </si>
  <si>
    <t>ㄚㆷ</t>
    <phoneticPr fontId="3" type="noConversion"/>
  </si>
  <si>
    <t>ㄧㆷ</t>
    <phoneticPr fontId="3" type="noConversion"/>
  </si>
  <si>
    <t>ㆥㆷ</t>
    <phoneticPr fontId="3" type="noConversion"/>
  </si>
  <si>
    <t>ㄧㄜㆷ</t>
    <phoneticPr fontId="3" type="noConversion"/>
  </si>
  <si>
    <t>ㆪㆷ</t>
    <phoneticPr fontId="3" type="noConversion"/>
  </si>
  <si>
    <t>ㆤㆷ</t>
    <phoneticPr fontId="3" type="noConversion"/>
  </si>
  <si>
    <t>ㆧ</t>
    <phoneticPr fontId="3" type="noConversion"/>
  </si>
  <si>
    <t>ㄨㄤ</t>
    <phoneticPr fontId="3" type="noConversion"/>
  </si>
  <si>
    <t>ㄨㆮㆷ</t>
    <phoneticPr fontId="3" type="noConversion"/>
  </si>
  <si>
    <t>ㄧㆯㆷ</t>
    <phoneticPr fontId="3" type="noConversion"/>
  </si>
  <si>
    <t>ㆧㆷ</t>
    <phoneticPr fontId="3" type="noConversion"/>
  </si>
  <si>
    <t>uaiʔ</t>
  </si>
  <si>
    <t>ã</t>
  </si>
  <si>
    <t>ĩʔ</t>
  </si>
  <si>
    <t>aɪ</t>
  </si>
  <si>
    <t>ẽ</t>
  </si>
  <si>
    <t>ɪŋ</t>
  </si>
  <si>
    <t>ɪaʊ</t>
  </si>
  <si>
    <t>ɪaʊʔ</t>
  </si>
  <si>
    <t>ɪɔŋ</t>
  </si>
  <si>
    <t>ɪɔk̚</t>
  </si>
  <si>
    <t>ɪaŋ</t>
  </si>
  <si>
    <t>ɪak̚</t>
  </si>
  <si>
    <t>aʊ</t>
  </si>
  <si>
    <t>aʊʔ</t>
  </si>
  <si>
    <t>ɪa</t>
  </si>
  <si>
    <t>ip</t>
    <phoneticPr fontId="3" type="noConversion"/>
  </si>
  <si>
    <t>e</t>
    <phoneticPr fontId="3" type="noConversion"/>
  </si>
  <si>
    <t>an</t>
    <phoneticPr fontId="3" type="noConversion"/>
  </si>
  <si>
    <t>ok</t>
    <phoneticPr fontId="3" type="noConversion"/>
  </si>
  <si>
    <t>uaih</t>
    <phoneticPr fontId="3" type="noConversion"/>
  </si>
  <si>
    <t>ik</t>
    <phoneticPr fontId="3" type="noConversion"/>
  </si>
  <si>
    <t>it</t>
    <phoneticPr fontId="3" type="noConversion"/>
  </si>
  <si>
    <t>nah</t>
    <phoneticPr fontId="3" type="noConversion"/>
  </si>
  <si>
    <t>uai</t>
    <phoneticPr fontId="3" type="noConversion"/>
  </si>
  <si>
    <t>uan</t>
    <phoneticPr fontId="3" type="noConversion"/>
  </si>
  <si>
    <t>o</t>
    <phoneticPr fontId="3" type="noConversion"/>
  </si>
  <si>
    <t>in</t>
    <phoneticPr fontId="3" type="noConversion"/>
  </si>
  <si>
    <t>am</t>
    <phoneticPr fontId="3" type="noConversion"/>
  </si>
  <si>
    <t>ua</t>
    <phoneticPr fontId="3" type="noConversion"/>
  </si>
  <si>
    <t>ue</t>
    <phoneticPr fontId="3" type="noConversion"/>
  </si>
  <si>
    <t>u</t>
    <phoneticPr fontId="3" type="noConversion"/>
  </si>
  <si>
    <t>a</t>
    <phoneticPr fontId="3" type="noConversion"/>
  </si>
  <si>
    <t>i</t>
    <phoneticPr fontId="3" type="noConversion"/>
  </si>
  <si>
    <t>uang</t>
    <phoneticPr fontId="3" type="noConversion"/>
  </si>
  <si>
    <t>eeh</t>
    <phoneticPr fontId="3" type="noConversion"/>
  </si>
  <si>
    <t>ee</t>
    <phoneticPr fontId="3" type="noConversion"/>
  </si>
  <si>
    <t>innh</t>
    <phoneticPr fontId="3" type="noConversion"/>
  </si>
  <si>
    <t>uainnh</t>
    <phoneticPr fontId="3" type="noConversion"/>
  </si>
  <si>
    <t>onnh</t>
    <phoneticPr fontId="3" type="noConversion"/>
  </si>
  <si>
    <t>ueʔ</t>
    <phoneticPr fontId="3" type="noConversion"/>
  </si>
  <si>
    <t>;</t>
    <phoneticPr fontId="3" type="noConversion"/>
  </si>
  <si>
    <t>\</t>
    <phoneticPr fontId="3" type="noConversion"/>
  </si>
  <si>
    <t>[</t>
    <phoneticPr fontId="3" type="noConversion"/>
  </si>
  <si>
    <t>-</t>
    <phoneticPr fontId="3" type="noConversion"/>
  </si>
  <si>
    <t>一</t>
    <phoneticPr fontId="3" type="noConversion"/>
  </si>
  <si>
    <t>ㄚㆷ</t>
  </si>
  <si>
    <t>search()</t>
    <phoneticPr fontId="3" type="noConversion"/>
  </si>
  <si>
    <t>響度優先次第： a &gt; oo &gt; (e = o) &gt; (i = u)〈低元音 &gt; 高元音 &gt; 無擦通音 &gt; 擦音 &gt; 塞音〉</t>
  </si>
  <si>
    <t>標調字母</t>
    <phoneticPr fontId="3" type="noConversion"/>
  </si>
  <si>
    <t>n</t>
    <phoneticPr fontId="3" type="noConversion"/>
  </si>
  <si>
    <t>m</t>
    <phoneticPr fontId="3" type="noConversion"/>
  </si>
  <si>
    <t>U+0300</t>
  </si>
  <si>
    <t>U+030D</t>
  </si>
  <si>
    <t>聲韻調類</t>
    <phoneticPr fontId="3" type="noConversion"/>
  </si>
  <si>
    <t>韻-鼻</t>
    <phoneticPr fontId="3" type="noConversion"/>
  </si>
  <si>
    <t>ㆩㆷ</t>
  </si>
  <si>
    <t>ㆭㆷ</t>
    <phoneticPr fontId="3" type="noConversion"/>
  </si>
  <si>
    <t>ㆦㆷ</t>
    <phoneticPr fontId="3" type="noConversion"/>
  </si>
  <si>
    <t>ㄥ</t>
  </si>
  <si>
    <t>ㆦ</t>
  </si>
  <si>
    <t>音節表</t>
  </si>
  <si>
    <t>ʦ/ʨ</t>
  </si>
  <si>
    <t>ʦʰ/ʨʰ</t>
  </si>
  <si>
    <t>ʣ/ʥ</t>
  </si>
  <si>
    <t>s/ɕ</t>
  </si>
  <si>
    <t>ha</t>
  </si>
  <si>
    <t>pa</t>
  </si>
  <si>
    <t>pha</t>
  </si>
  <si>
    <t>ba</t>
  </si>
  <si>
    <t>ma</t>
  </si>
  <si>
    <t>ta</t>
  </si>
  <si>
    <t>tha</t>
  </si>
  <si>
    <t>la</t>
  </si>
  <si>
    <t>tsa</t>
  </si>
  <si>
    <t>tsha</t>
  </si>
  <si>
    <t>sa</t>
  </si>
  <si>
    <t>ka</t>
  </si>
  <si>
    <t>kha</t>
  </si>
  <si>
    <t>ga</t>
  </si>
  <si>
    <t>nga</t>
  </si>
  <si>
    <t>hann</t>
  </si>
  <si>
    <t>phann</t>
  </si>
  <si>
    <t>tann</t>
  </si>
  <si>
    <t>thann</t>
  </si>
  <si>
    <t>tsann</t>
  </si>
  <si>
    <t>tshann</t>
  </si>
  <si>
    <t>sann</t>
  </si>
  <si>
    <t>kann</t>
  </si>
  <si>
    <t>khann</t>
  </si>
  <si>
    <t>hah</t>
  </si>
  <si>
    <t>pah</t>
  </si>
  <si>
    <t>phah</t>
  </si>
  <si>
    <t>bah</t>
  </si>
  <si>
    <t>mah</t>
  </si>
  <si>
    <t>tah</t>
  </si>
  <si>
    <t>thah</t>
  </si>
  <si>
    <t>lah</t>
  </si>
  <si>
    <t>tsah</t>
  </si>
  <si>
    <t>tshah</t>
  </si>
  <si>
    <t>sah</t>
  </si>
  <si>
    <t>kah</t>
  </si>
  <si>
    <t>khah</t>
  </si>
  <si>
    <t>hannh</t>
  </si>
  <si>
    <t>sannh</t>
  </si>
  <si>
    <t>ham</t>
  </si>
  <si>
    <t>tam</t>
  </si>
  <si>
    <t>tham</t>
  </si>
  <si>
    <t>lam</t>
  </si>
  <si>
    <t>tsam</t>
  </si>
  <si>
    <t>tsham</t>
  </si>
  <si>
    <t>sam</t>
  </si>
  <si>
    <t>kam</t>
  </si>
  <si>
    <t>kham</t>
  </si>
  <si>
    <t>gam</t>
  </si>
  <si>
    <t>han</t>
  </si>
  <si>
    <t>pan</t>
  </si>
  <si>
    <t>phan</t>
  </si>
  <si>
    <t>ban</t>
  </si>
  <si>
    <t>tan</t>
  </si>
  <si>
    <t>than</t>
  </si>
  <si>
    <t>lan</t>
  </si>
  <si>
    <t>tsan</t>
  </si>
  <si>
    <t>tshan</t>
  </si>
  <si>
    <t>san</t>
  </si>
  <si>
    <t>kan</t>
  </si>
  <si>
    <t>khan</t>
  </si>
  <si>
    <t>gan</t>
  </si>
  <si>
    <t>hang</t>
  </si>
  <si>
    <t>pang</t>
  </si>
  <si>
    <t>phang</t>
  </si>
  <si>
    <t>bang</t>
  </si>
  <si>
    <t>tang</t>
  </si>
  <si>
    <t>thang</t>
  </si>
  <si>
    <t>lang</t>
  </si>
  <si>
    <t>tsang</t>
  </si>
  <si>
    <t>tshang</t>
  </si>
  <si>
    <t>sang</t>
  </si>
  <si>
    <t>kang</t>
  </si>
  <si>
    <t>khang</t>
  </si>
  <si>
    <t>gang</t>
  </si>
  <si>
    <t>hap</t>
  </si>
  <si>
    <t>tap</t>
  </si>
  <si>
    <t>thap</t>
  </si>
  <si>
    <t>lap</t>
  </si>
  <si>
    <t>tsap</t>
  </si>
  <si>
    <t>tshap</t>
  </si>
  <si>
    <t>sap</t>
  </si>
  <si>
    <t>kap</t>
  </si>
  <si>
    <t>khap</t>
  </si>
  <si>
    <t>hat</t>
  </si>
  <si>
    <t>pat</t>
  </si>
  <si>
    <t>phat</t>
  </si>
  <si>
    <t>bat</t>
  </si>
  <si>
    <t>tat</t>
  </si>
  <si>
    <t>that</t>
  </si>
  <si>
    <t>lat</t>
  </si>
  <si>
    <t>tsat</t>
  </si>
  <si>
    <t>tshat</t>
  </si>
  <si>
    <t>sat</t>
  </si>
  <si>
    <t>kat</t>
  </si>
  <si>
    <t>khat</t>
  </si>
  <si>
    <t>hak</t>
  </si>
  <si>
    <t>pak</t>
  </si>
  <si>
    <t>phak</t>
  </si>
  <si>
    <t>bak</t>
  </si>
  <si>
    <t>tak</t>
  </si>
  <si>
    <t>thak</t>
  </si>
  <si>
    <t>lak</t>
  </si>
  <si>
    <t>tsak</t>
  </si>
  <si>
    <t>tshak</t>
  </si>
  <si>
    <t>sak</t>
  </si>
  <si>
    <t>kak</t>
  </si>
  <si>
    <t>khak</t>
  </si>
  <si>
    <t>gak</t>
  </si>
  <si>
    <t>hai</t>
  </si>
  <si>
    <t>pai</t>
  </si>
  <si>
    <t>phai</t>
  </si>
  <si>
    <t>bai</t>
  </si>
  <si>
    <t>mai</t>
  </si>
  <si>
    <t>tai</t>
  </si>
  <si>
    <t>thai</t>
  </si>
  <si>
    <t>lai</t>
  </si>
  <si>
    <t>tsai</t>
  </si>
  <si>
    <t>tshai</t>
  </si>
  <si>
    <t>sai</t>
  </si>
  <si>
    <t>kai</t>
  </si>
  <si>
    <t>khai</t>
  </si>
  <si>
    <t>gai</t>
  </si>
  <si>
    <t>ngai</t>
  </si>
  <si>
    <t>ãɪ</t>
  </si>
  <si>
    <t>hainn</t>
  </si>
  <si>
    <t>phainn</t>
  </si>
  <si>
    <t>tainn</t>
  </si>
  <si>
    <t>tsainn</t>
  </si>
  <si>
    <t>kainn</t>
  </si>
  <si>
    <t>khainn</t>
  </si>
  <si>
    <t>aɪʔ</t>
  </si>
  <si>
    <t>aih</t>
  </si>
  <si>
    <t>haih</t>
  </si>
  <si>
    <t>laih</t>
  </si>
  <si>
    <t>saih</t>
  </si>
  <si>
    <t>hau</t>
  </si>
  <si>
    <t>pau</t>
  </si>
  <si>
    <t>phau</t>
  </si>
  <si>
    <t>bau</t>
  </si>
  <si>
    <t>mau</t>
  </si>
  <si>
    <t>tau</t>
  </si>
  <si>
    <t>thau</t>
  </si>
  <si>
    <t>nau</t>
  </si>
  <si>
    <t>lau</t>
  </si>
  <si>
    <t>tsau</t>
  </si>
  <si>
    <t>tshau</t>
  </si>
  <si>
    <t>sau</t>
  </si>
  <si>
    <t>kau</t>
  </si>
  <si>
    <t>khau</t>
  </si>
  <si>
    <t>gau</t>
  </si>
  <si>
    <t>ngau</t>
  </si>
  <si>
    <t>phauh</t>
  </si>
  <si>
    <t>mauh</t>
  </si>
  <si>
    <t>tauh</t>
  </si>
  <si>
    <t>nauh</t>
  </si>
  <si>
    <t>lauh</t>
  </si>
  <si>
    <t>tshauh</t>
  </si>
  <si>
    <t>kauh</t>
  </si>
  <si>
    <t>ngauh</t>
  </si>
  <si>
    <t>he</t>
  </si>
  <si>
    <t>pe</t>
  </si>
  <si>
    <t>phe</t>
  </si>
  <si>
    <t>be</t>
  </si>
  <si>
    <t>me</t>
  </si>
  <si>
    <t>te</t>
  </si>
  <si>
    <t>the</t>
  </si>
  <si>
    <t>le</t>
  </si>
  <si>
    <t>tse</t>
  </si>
  <si>
    <t>tshe</t>
  </si>
  <si>
    <t>se</t>
  </si>
  <si>
    <t>ke</t>
  </si>
  <si>
    <t>khe</t>
  </si>
  <si>
    <t>ge</t>
  </si>
  <si>
    <t>nge</t>
  </si>
  <si>
    <t>henn</t>
  </si>
  <si>
    <t>penn</t>
  </si>
  <si>
    <t>phenn</t>
  </si>
  <si>
    <t>tenn</t>
  </si>
  <si>
    <t>thenn</t>
  </si>
  <si>
    <t>tsenn</t>
  </si>
  <si>
    <t>tshenn</t>
  </si>
  <si>
    <t>senn</t>
  </si>
  <si>
    <t>kenn</t>
  </si>
  <si>
    <t>khenn</t>
  </si>
  <si>
    <t>heh</t>
  </si>
  <si>
    <t>peh</t>
  </si>
  <si>
    <t>pheh</t>
  </si>
  <si>
    <t>beh</t>
  </si>
  <si>
    <t>meh</t>
  </si>
  <si>
    <t>teh</t>
  </si>
  <si>
    <t>theh</t>
  </si>
  <si>
    <t>neh</t>
  </si>
  <si>
    <t>leh</t>
  </si>
  <si>
    <t>tseh</t>
  </si>
  <si>
    <t>tsheh</t>
  </si>
  <si>
    <t>seh</t>
  </si>
  <si>
    <t>keh</t>
  </si>
  <si>
    <t>kheh</t>
  </si>
  <si>
    <t>geh</t>
  </si>
  <si>
    <t>ngeh</t>
  </si>
  <si>
    <t>ẽʔ</t>
  </si>
  <si>
    <t>hennh</t>
  </si>
  <si>
    <t>khennh</t>
  </si>
  <si>
    <t>hi</t>
  </si>
  <si>
    <t>pi</t>
  </si>
  <si>
    <t>phi</t>
  </si>
  <si>
    <t>bi</t>
  </si>
  <si>
    <t>mi</t>
  </si>
  <si>
    <t>ti</t>
  </si>
  <si>
    <t>thi</t>
  </si>
  <si>
    <t>li</t>
  </si>
  <si>
    <t>ki</t>
  </si>
  <si>
    <t>khi</t>
  </si>
  <si>
    <t>gi</t>
  </si>
  <si>
    <t>ngi</t>
  </si>
  <si>
    <t>hinn</t>
  </si>
  <si>
    <t>pinn</t>
  </si>
  <si>
    <t>phinn</t>
  </si>
  <si>
    <t>tinn</t>
  </si>
  <si>
    <t>thinn</t>
  </si>
  <si>
    <t>tsinn</t>
  </si>
  <si>
    <t>tshinn</t>
  </si>
  <si>
    <t>sinn</t>
  </si>
  <si>
    <t>kinn</t>
  </si>
  <si>
    <t>khinn</t>
  </si>
  <si>
    <t>pih</t>
  </si>
  <si>
    <t>phih</t>
  </si>
  <si>
    <t>bih</t>
  </si>
  <si>
    <t>mih</t>
  </si>
  <si>
    <t>tih</t>
  </si>
  <si>
    <t>thih</t>
  </si>
  <si>
    <t>lih</t>
  </si>
  <si>
    <t>tsih</t>
  </si>
  <si>
    <t>tshih</t>
  </si>
  <si>
    <t>sih</t>
  </si>
  <si>
    <t>kih</t>
  </si>
  <si>
    <t>khih</t>
  </si>
  <si>
    <t>him</t>
  </si>
  <si>
    <t>tim</t>
  </si>
  <si>
    <t>thim</t>
  </si>
  <si>
    <t>lim</t>
  </si>
  <si>
    <t>tsim</t>
  </si>
  <si>
    <t>tshim</t>
  </si>
  <si>
    <t>jim</t>
  </si>
  <si>
    <t>sim</t>
  </si>
  <si>
    <t>kim</t>
  </si>
  <si>
    <t>khim</t>
  </si>
  <si>
    <t>gim</t>
  </si>
  <si>
    <t>hin</t>
  </si>
  <si>
    <t>pin</t>
  </si>
  <si>
    <t>phin</t>
  </si>
  <si>
    <t>bin</t>
  </si>
  <si>
    <t>tin</t>
  </si>
  <si>
    <t>thin</t>
  </si>
  <si>
    <t>lin</t>
  </si>
  <si>
    <t>tsin</t>
  </si>
  <si>
    <t>tshin</t>
  </si>
  <si>
    <t>jin</t>
  </si>
  <si>
    <t>sin</t>
  </si>
  <si>
    <t>kin</t>
  </si>
  <si>
    <t>khin</t>
  </si>
  <si>
    <t>gin</t>
  </si>
  <si>
    <t>hing</t>
  </si>
  <si>
    <t>ping</t>
  </si>
  <si>
    <t>phing</t>
  </si>
  <si>
    <t>bing</t>
  </si>
  <si>
    <t>ting</t>
  </si>
  <si>
    <t>thing</t>
  </si>
  <si>
    <t>ling</t>
  </si>
  <si>
    <t>tsing</t>
  </si>
  <si>
    <t>tshing</t>
  </si>
  <si>
    <t>sing</t>
  </si>
  <si>
    <t>king</t>
  </si>
  <si>
    <t>khing</t>
  </si>
  <si>
    <t>ging</t>
  </si>
  <si>
    <t>hip</t>
  </si>
  <si>
    <t>lip</t>
  </si>
  <si>
    <t>tsip</t>
  </si>
  <si>
    <t>tship</t>
  </si>
  <si>
    <t>jip</t>
  </si>
  <si>
    <t>sip</t>
  </si>
  <si>
    <t>kip</t>
  </si>
  <si>
    <t>khip</t>
  </si>
  <si>
    <t>hit</t>
  </si>
  <si>
    <t>pit</t>
  </si>
  <si>
    <t>phit</t>
  </si>
  <si>
    <t>bit</t>
  </si>
  <si>
    <t>tit</t>
  </si>
  <si>
    <t>thit</t>
  </si>
  <si>
    <t>lit</t>
  </si>
  <si>
    <t>tsit</t>
  </si>
  <si>
    <t>tshit</t>
  </si>
  <si>
    <t>jit</t>
  </si>
  <si>
    <t>sit</t>
  </si>
  <si>
    <t>kit</t>
  </si>
  <si>
    <t>khit</t>
  </si>
  <si>
    <t>ik̚/ɪək̚</t>
  </si>
  <si>
    <t>hik</t>
  </si>
  <si>
    <t>pik</t>
  </si>
  <si>
    <t>phik</t>
  </si>
  <si>
    <t>bik</t>
  </si>
  <si>
    <t>tik</t>
  </si>
  <si>
    <t>thik</t>
  </si>
  <si>
    <t>lik</t>
  </si>
  <si>
    <t>tsik</t>
  </si>
  <si>
    <t>tshik</t>
  </si>
  <si>
    <t>jik</t>
  </si>
  <si>
    <t>sik</t>
  </si>
  <si>
    <t>kik</t>
  </si>
  <si>
    <t>khik</t>
  </si>
  <si>
    <t>gik</t>
  </si>
  <si>
    <t>hia</t>
  </si>
  <si>
    <t>mia</t>
  </si>
  <si>
    <t>tia</t>
  </si>
  <si>
    <t>lia</t>
  </si>
  <si>
    <t>tsia</t>
  </si>
  <si>
    <t>tshia</t>
  </si>
  <si>
    <t>jia</t>
  </si>
  <si>
    <t>sia</t>
  </si>
  <si>
    <t>kia</t>
  </si>
  <si>
    <t>khia</t>
  </si>
  <si>
    <t>gia</t>
  </si>
  <si>
    <t>ngia</t>
  </si>
  <si>
    <t>iã</t>
  </si>
  <si>
    <t>hiann</t>
  </si>
  <si>
    <t>piann</t>
  </si>
  <si>
    <t>phiann</t>
  </si>
  <si>
    <t>tiann</t>
  </si>
  <si>
    <t>thiann</t>
  </si>
  <si>
    <t>tsiann</t>
  </si>
  <si>
    <t>tshiann</t>
  </si>
  <si>
    <t>siann</t>
  </si>
  <si>
    <t>kiann</t>
  </si>
  <si>
    <t>khiann</t>
  </si>
  <si>
    <t>ɪaʔ</t>
  </si>
  <si>
    <t>hiah</t>
  </si>
  <si>
    <t>piah</t>
  </si>
  <si>
    <t>phiah</t>
  </si>
  <si>
    <t>tiah</t>
  </si>
  <si>
    <t>thiah</t>
  </si>
  <si>
    <t>liah</t>
  </si>
  <si>
    <t>tsiah</t>
  </si>
  <si>
    <t>tshiah</t>
  </si>
  <si>
    <t>jiah</t>
  </si>
  <si>
    <t>siah</t>
  </si>
  <si>
    <t>kiah</t>
  </si>
  <si>
    <t>khiah</t>
  </si>
  <si>
    <t>giah</t>
  </si>
  <si>
    <t>hiannh</t>
  </si>
  <si>
    <t>siannh</t>
  </si>
  <si>
    <t>ɪam</t>
  </si>
  <si>
    <t>hiam</t>
  </si>
  <si>
    <t>tiam</t>
  </si>
  <si>
    <t>thiam</t>
  </si>
  <si>
    <t>liam</t>
  </si>
  <si>
    <t>tsiam</t>
  </si>
  <si>
    <t>tshiam</t>
  </si>
  <si>
    <t>jiam</t>
  </si>
  <si>
    <t>siam</t>
  </si>
  <si>
    <t>kiam</t>
  </si>
  <si>
    <t>khiam</t>
  </si>
  <si>
    <t>giam</t>
  </si>
  <si>
    <t>ɪan/en</t>
  </si>
  <si>
    <t>hian</t>
  </si>
  <si>
    <t>pian</t>
  </si>
  <si>
    <t>phian</t>
  </si>
  <si>
    <t>bian</t>
  </si>
  <si>
    <t>tian</t>
  </si>
  <si>
    <t>thian</t>
  </si>
  <si>
    <t>lian</t>
  </si>
  <si>
    <t>tsian</t>
  </si>
  <si>
    <t>tshian</t>
  </si>
  <si>
    <t>jian</t>
  </si>
  <si>
    <t>sian</t>
  </si>
  <si>
    <t>kian</t>
  </si>
  <si>
    <t>khian</t>
  </si>
  <si>
    <t>gian</t>
  </si>
  <si>
    <t>hiang</t>
  </si>
  <si>
    <t>piang</t>
  </si>
  <si>
    <t>phiang</t>
  </si>
  <si>
    <t>liang</t>
  </si>
  <si>
    <t>tsiang</t>
  </si>
  <si>
    <t>tshiang</t>
  </si>
  <si>
    <t>jiang</t>
  </si>
  <si>
    <t>siang</t>
  </si>
  <si>
    <t>kiang</t>
  </si>
  <si>
    <t>khiang</t>
  </si>
  <si>
    <t>giang</t>
  </si>
  <si>
    <t>ɪap̚</t>
  </si>
  <si>
    <t>hiap</t>
  </si>
  <si>
    <t>tiap</t>
  </si>
  <si>
    <t>thiap</t>
  </si>
  <si>
    <t>liap</t>
  </si>
  <si>
    <t>tsiap</t>
  </si>
  <si>
    <t>tshiap</t>
  </si>
  <si>
    <t>jiap</t>
  </si>
  <si>
    <t>siap</t>
  </si>
  <si>
    <t>kiap</t>
  </si>
  <si>
    <t>khiap</t>
  </si>
  <si>
    <t>giap</t>
  </si>
  <si>
    <t>ɪat̚/ɪet̚</t>
  </si>
  <si>
    <t>hiat</t>
  </si>
  <si>
    <t>piat</t>
  </si>
  <si>
    <t>phiat</t>
  </si>
  <si>
    <t>biat</t>
  </si>
  <si>
    <t>tiat</t>
  </si>
  <si>
    <t>thiat</t>
  </si>
  <si>
    <t>liat</t>
  </si>
  <si>
    <t>tsiat</t>
  </si>
  <si>
    <t>tshiat</t>
  </si>
  <si>
    <t>jiat</t>
  </si>
  <si>
    <t>siat</t>
  </si>
  <si>
    <t>kiat</t>
  </si>
  <si>
    <t>khiat</t>
  </si>
  <si>
    <t>giat</t>
  </si>
  <si>
    <t>piak</t>
  </si>
  <si>
    <t>phiak</t>
  </si>
  <si>
    <t>tiak</t>
  </si>
  <si>
    <t>tshiak</t>
  </si>
  <si>
    <t>siak</t>
  </si>
  <si>
    <t>khiak</t>
  </si>
  <si>
    <t>ɪau</t>
  </si>
  <si>
    <t>hiau</t>
  </si>
  <si>
    <t>piau</t>
  </si>
  <si>
    <t>phiau</t>
  </si>
  <si>
    <t>biau</t>
  </si>
  <si>
    <t>miau</t>
  </si>
  <si>
    <t>tiau</t>
  </si>
  <si>
    <t>thiau</t>
  </si>
  <si>
    <t>niau</t>
  </si>
  <si>
    <t>liau</t>
  </si>
  <si>
    <t>tsiau</t>
  </si>
  <si>
    <t>tshiau</t>
  </si>
  <si>
    <t>jiau</t>
  </si>
  <si>
    <t>siau</t>
  </si>
  <si>
    <t>kiau</t>
  </si>
  <si>
    <t>khiau</t>
  </si>
  <si>
    <t>giau</t>
  </si>
  <si>
    <t>ngiau</t>
  </si>
  <si>
    <t>ɪãu</t>
  </si>
  <si>
    <t>ɪauʔ</t>
  </si>
  <si>
    <t>hiauh</t>
  </si>
  <si>
    <t>khiauh</t>
  </si>
  <si>
    <t>ngiauh</t>
  </si>
  <si>
    <t>ɪə/ɪo</t>
  </si>
  <si>
    <t>hio</t>
  </si>
  <si>
    <t>pio</t>
  </si>
  <si>
    <t>phio</t>
  </si>
  <si>
    <t>bio</t>
  </si>
  <si>
    <t>tio</t>
  </si>
  <si>
    <t>thio</t>
  </si>
  <si>
    <t>lio</t>
  </si>
  <si>
    <t>tsio</t>
  </si>
  <si>
    <t>tshio</t>
  </si>
  <si>
    <t>jio</t>
  </si>
  <si>
    <t>sio</t>
  </si>
  <si>
    <t>kio</t>
  </si>
  <si>
    <t>khio</t>
  </si>
  <si>
    <t>gio</t>
  </si>
  <si>
    <t>ɪɔ̃</t>
  </si>
  <si>
    <t>hionn</t>
  </si>
  <si>
    <t>tionn</t>
  </si>
  <si>
    <t>tsionn</t>
  </si>
  <si>
    <t>tshionn</t>
  </si>
  <si>
    <t>sionn</t>
  </si>
  <si>
    <t>kionn</t>
  </si>
  <si>
    <t>khionn</t>
  </si>
  <si>
    <t>ɪəʔ/ɪoʔ</t>
  </si>
  <si>
    <t>hioh</t>
  </si>
  <si>
    <t>tioh</t>
  </si>
  <si>
    <t>lioh</t>
  </si>
  <si>
    <t>tsioh</t>
  </si>
  <si>
    <t>tshioh</t>
  </si>
  <si>
    <t>sioh</t>
  </si>
  <si>
    <t>kioh</t>
  </si>
  <si>
    <t>khioh</t>
  </si>
  <si>
    <t>gioh</t>
  </si>
  <si>
    <t>hiong</t>
  </si>
  <si>
    <t>tiong</t>
  </si>
  <si>
    <t>thiong</t>
  </si>
  <si>
    <t>liong</t>
  </si>
  <si>
    <t>tsiong</t>
  </si>
  <si>
    <t>tshiong</t>
  </si>
  <si>
    <t>jiong</t>
  </si>
  <si>
    <t>siong</t>
  </si>
  <si>
    <t>kiong</t>
  </si>
  <si>
    <t>khiong</t>
  </si>
  <si>
    <t>giong</t>
  </si>
  <si>
    <t>hiok</t>
  </si>
  <si>
    <t>tiok</t>
  </si>
  <si>
    <t>thiok</t>
  </si>
  <si>
    <t>liok</t>
  </si>
  <si>
    <t>tsiok</t>
  </si>
  <si>
    <t>tshiok</t>
  </si>
  <si>
    <t>jiok</t>
  </si>
  <si>
    <t>siok</t>
  </si>
  <si>
    <t>kiok</t>
  </si>
  <si>
    <t>khiok</t>
  </si>
  <si>
    <t>giok</t>
  </si>
  <si>
    <t>hiu</t>
  </si>
  <si>
    <t>piu</t>
  </si>
  <si>
    <t>biu</t>
  </si>
  <si>
    <t>tiu</t>
  </si>
  <si>
    <t>thiu</t>
  </si>
  <si>
    <t>liu</t>
  </si>
  <si>
    <t>tsiu</t>
  </si>
  <si>
    <t>tshiu</t>
  </si>
  <si>
    <t>jiu</t>
  </si>
  <si>
    <t>siu</t>
  </si>
  <si>
    <t>kiu</t>
  </si>
  <si>
    <t>khiu</t>
  </si>
  <si>
    <t>giu</t>
  </si>
  <si>
    <t>ngiu</t>
  </si>
  <si>
    <t>iũ</t>
  </si>
  <si>
    <t>hiunn</t>
  </si>
  <si>
    <t>tiunn</t>
  </si>
  <si>
    <t>tsiunn</t>
  </si>
  <si>
    <t>tshiunn</t>
  </si>
  <si>
    <t>siunn</t>
  </si>
  <si>
    <t>kiunn</t>
  </si>
  <si>
    <t>khiunn</t>
  </si>
  <si>
    <t>iũʔ</t>
  </si>
  <si>
    <t>iunnh</t>
  </si>
  <si>
    <t>hiunnh</t>
  </si>
  <si>
    <t>ə/o</t>
  </si>
  <si>
    <t>ho</t>
  </si>
  <si>
    <t>po</t>
  </si>
  <si>
    <t>pho</t>
  </si>
  <si>
    <t>bo</t>
  </si>
  <si>
    <t>to</t>
  </si>
  <si>
    <t>tho</t>
  </si>
  <si>
    <t>lo</t>
  </si>
  <si>
    <t>tso</t>
  </si>
  <si>
    <t>tsho</t>
  </si>
  <si>
    <t>so</t>
  </si>
  <si>
    <t>ko</t>
  </si>
  <si>
    <t>kho</t>
  </si>
  <si>
    <t>go</t>
  </si>
  <si>
    <t>hoo</t>
  </si>
  <si>
    <t>poo</t>
  </si>
  <si>
    <t>phoo</t>
  </si>
  <si>
    <t>boo</t>
  </si>
  <si>
    <t>moo</t>
  </si>
  <si>
    <t>too</t>
  </si>
  <si>
    <t>thoo</t>
  </si>
  <si>
    <t>loo</t>
  </si>
  <si>
    <t>tsoo</t>
  </si>
  <si>
    <t>tshoo</t>
  </si>
  <si>
    <t>soo</t>
  </si>
  <si>
    <t>koo</t>
  </si>
  <si>
    <t>khoo</t>
  </si>
  <si>
    <t>goo</t>
  </si>
  <si>
    <t>ngoo</t>
  </si>
  <si>
    <t>honn</t>
  </si>
  <si>
    <t>konn</t>
  </si>
  <si>
    <t>əʔ/oʔ</t>
  </si>
  <si>
    <t>hoh</t>
  </si>
  <si>
    <t>poh</t>
  </si>
  <si>
    <t>phoh</t>
  </si>
  <si>
    <t>boh</t>
  </si>
  <si>
    <t>toh</t>
  </si>
  <si>
    <t>thoh</t>
  </si>
  <si>
    <t>loh</t>
  </si>
  <si>
    <t>tsoh</t>
  </si>
  <si>
    <t>tshoh</t>
  </si>
  <si>
    <t>soh</t>
  </si>
  <si>
    <t>koh</t>
  </si>
  <si>
    <t>hooh</t>
  </si>
  <si>
    <t>mooh</t>
  </si>
  <si>
    <t>tooh</t>
  </si>
  <si>
    <t>looh</t>
  </si>
  <si>
    <t>kooh</t>
  </si>
  <si>
    <t>honnh</t>
  </si>
  <si>
    <t>tom</t>
  </si>
  <si>
    <t>som</t>
  </si>
  <si>
    <t>hong</t>
  </si>
  <si>
    <t>pong</t>
  </si>
  <si>
    <t>phong</t>
  </si>
  <si>
    <t>bong</t>
  </si>
  <si>
    <t>tong</t>
  </si>
  <si>
    <t>thong</t>
  </si>
  <si>
    <t>long</t>
  </si>
  <si>
    <t>tsong</t>
  </si>
  <si>
    <t>tshong</t>
  </si>
  <si>
    <t>song</t>
  </si>
  <si>
    <t>kong</t>
  </si>
  <si>
    <t>khong</t>
  </si>
  <si>
    <t>gong</t>
  </si>
  <si>
    <t>hop</t>
  </si>
  <si>
    <t>lop</t>
  </si>
  <si>
    <t>kop</t>
  </si>
  <si>
    <t>hok</t>
  </si>
  <si>
    <t>pok</t>
  </si>
  <si>
    <t>phok</t>
  </si>
  <si>
    <t>bok</t>
  </si>
  <si>
    <t>tok</t>
  </si>
  <si>
    <t>thok</t>
  </si>
  <si>
    <t>lok</t>
  </si>
  <si>
    <t>tsok</t>
  </si>
  <si>
    <t>tshok</t>
  </si>
  <si>
    <t>sok</t>
  </si>
  <si>
    <t>kok</t>
  </si>
  <si>
    <t>khok</t>
  </si>
  <si>
    <t>gok</t>
  </si>
  <si>
    <t>hu</t>
  </si>
  <si>
    <t>pu</t>
  </si>
  <si>
    <t>phu</t>
  </si>
  <si>
    <t>bu</t>
  </si>
  <si>
    <t>tu</t>
  </si>
  <si>
    <t>thu</t>
  </si>
  <si>
    <t>lu</t>
  </si>
  <si>
    <t>tsu</t>
  </si>
  <si>
    <t>tshu</t>
  </si>
  <si>
    <t>ju</t>
  </si>
  <si>
    <t>su</t>
  </si>
  <si>
    <t>ku</t>
  </si>
  <si>
    <t>khu</t>
  </si>
  <si>
    <t>gu</t>
  </si>
  <si>
    <t>puh</t>
  </si>
  <si>
    <t>phuh</t>
  </si>
  <si>
    <t>buh</t>
  </si>
  <si>
    <t>tuh</t>
  </si>
  <si>
    <t>thuh</t>
  </si>
  <si>
    <t>luh</t>
  </si>
  <si>
    <t>tsuh</t>
  </si>
  <si>
    <t>tshuh</t>
  </si>
  <si>
    <t>suh</t>
  </si>
  <si>
    <t>khuh</t>
  </si>
  <si>
    <t>hun</t>
  </si>
  <si>
    <t>pun</t>
  </si>
  <si>
    <t>phun</t>
  </si>
  <si>
    <t>bun</t>
  </si>
  <si>
    <t>tun</t>
  </si>
  <si>
    <t>thun</t>
  </si>
  <si>
    <t>lun</t>
  </si>
  <si>
    <t>tsun</t>
  </si>
  <si>
    <t>tshun</t>
  </si>
  <si>
    <t>jun</t>
  </si>
  <si>
    <t>sun</t>
  </si>
  <si>
    <t>kun</t>
  </si>
  <si>
    <t>khun</t>
  </si>
  <si>
    <t>gun</t>
  </si>
  <si>
    <t>ut̚</t>
  </si>
  <si>
    <t>hut</t>
  </si>
  <si>
    <t>put</t>
  </si>
  <si>
    <t>phut</t>
  </si>
  <si>
    <t>but</t>
  </si>
  <si>
    <t>tut</t>
  </si>
  <si>
    <t>thut</t>
  </si>
  <si>
    <t>lut</t>
  </si>
  <si>
    <t>tsut</t>
  </si>
  <si>
    <t>tshut</t>
  </si>
  <si>
    <t>sut</t>
  </si>
  <si>
    <t>kut</t>
  </si>
  <si>
    <t>khut</t>
  </si>
  <si>
    <t>hua</t>
  </si>
  <si>
    <t>pua</t>
  </si>
  <si>
    <t>phua</t>
  </si>
  <si>
    <t>bua</t>
  </si>
  <si>
    <t>mua</t>
  </si>
  <si>
    <t>tua</t>
  </si>
  <si>
    <t>thua</t>
  </si>
  <si>
    <t>lua</t>
  </si>
  <si>
    <t>tsua</t>
  </si>
  <si>
    <t>tshua</t>
  </si>
  <si>
    <t>jua</t>
  </si>
  <si>
    <t>sua</t>
  </si>
  <si>
    <t>kua</t>
  </si>
  <si>
    <t>khua</t>
  </si>
  <si>
    <t>gua</t>
  </si>
  <si>
    <t>uã</t>
  </si>
  <si>
    <t>huann</t>
  </si>
  <si>
    <t>puann</t>
  </si>
  <si>
    <t>phuann</t>
  </si>
  <si>
    <t>tuann</t>
  </si>
  <si>
    <t>thuann</t>
  </si>
  <si>
    <t>tsuann</t>
  </si>
  <si>
    <t>tshuann</t>
  </si>
  <si>
    <t>suann</t>
  </si>
  <si>
    <t>kuann</t>
  </si>
  <si>
    <t>khuann</t>
  </si>
  <si>
    <t>huah</t>
  </si>
  <si>
    <t>puah</t>
  </si>
  <si>
    <t>phuah</t>
  </si>
  <si>
    <t>buah</t>
  </si>
  <si>
    <t>tuah</t>
  </si>
  <si>
    <t>thuah</t>
  </si>
  <si>
    <t>luah</t>
  </si>
  <si>
    <t>tsuah</t>
  </si>
  <si>
    <t>tshuah</t>
  </si>
  <si>
    <t>juah</t>
  </si>
  <si>
    <t>suah</t>
  </si>
  <si>
    <t>kuah</t>
  </si>
  <si>
    <t>khuah</t>
  </si>
  <si>
    <t>huan</t>
  </si>
  <si>
    <t>puan</t>
  </si>
  <si>
    <t>phuan</t>
  </si>
  <si>
    <t>buan</t>
  </si>
  <si>
    <t>tuan</t>
  </si>
  <si>
    <t>thuan</t>
  </si>
  <si>
    <t>luan</t>
  </si>
  <si>
    <t>tsuan</t>
  </si>
  <si>
    <t>tshuan</t>
  </si>
  <si>
    <t>suan</t>
  </si>
  <si>
    <t>kuan</t>
  </si>
  <si>
    <t>khuan</t>
  </si>
  <si>
    <t>guan</t>
  </si>
  <si>
    <t>huang</t>
  </si>
  <si>
    <t>tshuang</t>
  </si>
  <si>
    <t>huat</t>
  </si>
  <si>
    <t>puat</t>
  </si>
  <si>
    <t>phuat</t>
  </si>
  <si>
    <t>buat</t>
  </si>
  <si>
    <t>tuat</t>
  </si>
  <si>
    <t>thuat</t>
  </si>
  <si>
    <t>luat</t>
  </si>
  <si>
    <t>tsuat</t>
  </si>
  <si>
    <t>suat</t>
  </si>
  <si>
    <t>kuat</t>
  </si>
  <si>
    <t>khuat</t>
  </si>
  <si>
    <t>guat</t>
  </si>
  <si>
    <t>huai</t>
  </si>
  <si>
    <t>suai</t>
  </si>
  <si>
    <t>kuai</t>
  </si>
  <si>
    <t>khuai</t>
  </si>
  <si>
    <t>uãi</t>
  </si>
  <si>
    <t>huainn</t>
  </si>
  <si>
    <t>tsuainn</t>
  </si>
  <si>
    <t>suainn</t>
  </si>
  <si>
    <t>kuainn</t>
  </si>
  <si>
    <t>buaih</t>
  </si>
  <si>
    <t>luaih</t>
  </si>
  <si>
    <t>tshuaih</t>
  </si>
  <si>
    <t>kuaih</t>
  </si>
  <si>
    <t>uãiʔ</t>
  </si>
  <si>
    <t>kuainnh</t>
  </si>
  <si>
    <t>hue</t>
  </si>
  <si>
    <t>pue</t>
  </si>
  <si>
    <t>phue</t>
  </si>
  <si>
    <t>bue</t>
  </si>
  <si>
    <t>mue</t>
  </si>
  <si>
    <t>tue</t>
  </si>
  <si>
    <t>thue</t>
  </si>
  <si>
    <t>lue</t>
  </si>
  <si>
    <t>tsue</t>
  </si>
  <si>
    <t>tshue</t>
  </si>
  <si>
    <t>jue</t>
  </si>
  <si>
    <t>sue</t>
  </si>
  <si>
    <t>kue</t>
  </si>
  <si>
    <t>khue</t>
  </si>
  <si>
    <t>gue</t>
  </si>
  <si>
    <t>hueh</t>
  </si>
  <si>
    <t>pueh</t>
  </si>
  <si>
    <t>phueh</t>
  </si>
  <si>
    <t>bueh</t>
  </si>
  <si>
    <t>thueh</t>
  </si>
  <si>
    <t>lueh</t>
  </si>
  <si>
    <t>tsueh</t>
  </si>
  <si>
    <t>tshueh</t>
  </si>
  <si>
    <t>sueh</t>
  </si>
  <si>
    <t>kueh</t>
  </si>
  <si>
    <t>khueh</t>
  </si>
  <si>
    <t>gueh</t>
  </si>
  <si>
    <t>ngueh</t>
  </si>
  <si>
    <t>hui</t>
  </si>
  <si>
    <t>pui</t>
  </si>
  <si>
    <t>phui</t>
  </si>
  <si>
    <t>bui</t>
  </si>
  <si>
    <t>mui</t>
  </si>
  <si>
    <t>tui</t>
  </si>
  <si>
    <t>thui</t>
  </si>
  <si>
    <t>lui</t>
  </si>
  <si>
    <t>tsui</t>
  </si>
  <si>
    <t>tshui</t>
  </si>
  <si>
    <t>sui</t>
  </si>
  <si>
    <t>kui</t>
  </si>
  <si>
    <t>khui</t>
  </si>
  <si>
    <t>gui</t>
  </si>
  <si>
    <t>uĩ</t>
  </si>
  <si>
    <t>huinn</t>
  </si>
  <si>
    <t>puinn</t>
  </si>
  <si>
    <t>tsuinn</t>
  </si>
  <si>
    <t>tshuinn</t>
  </si>
  <si>
    <t>suinn</t>
  </si>
  <si>
    <t>kuinn</t>
  </si>
  <si>
    <t>uiʔ</t>
  </si>
  <si>
    <t>uih</t>
  </si>
  <si>
    <t>huih</t>
  </si>
  <si>
    <t>kuih</t>
  </si>
  <si>
    <t>hm</t>
  </si>
  <si>
    <t>hmh</t>
  </si>
  <si>
    <t>hng</t>
  </si>
  <si>
    <t>png</t>
  </si>
  <si>
    <t>mng</t>
  </si>
  <si>
    <t>tng</t>
  </si>
  <si>
    <t>thng</t>
  </si>
  <si>
    <t>nng</t>
  </si>
  <si>
    <t>tsng</t>
  </si>
  <si>
    <t>tshng</t>
  </si>
  <si>
    <t>sng</t>
  </si>
  <si>
    <t>kng</t>
  </si>
  <si>
    <t>khng</t>
  </si>
  <si>
    <t>hngh</t>
  </si>
  <si>
    <t>phngh</t>
  </si>
  <si>
    <t>mngh</t>
  </si>
  <si>
    <t>tshngh</t>
  </si>
  <si>
    <t>sngh</t>
  </si>
  <si>
    <t>khngh</t>
  </si>
  <si>
    <t>om</t>
    <phoneticPr fontId="3" type="noConversion"/>
  </si>
  <si>
    <t>aih</t>
    <phoneticPr fontId="3" type="noConversion"/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</si>
  <si>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Microsoft JhengHei"/>
        <family val="2"/>
        <charset val="136"/>
      </rPr>
      <t>ㆷ</t>
    </r>
    <phoneticPr fontId="3" type="noConversion"/>
  </si>
  <si>
    <t>ennh</t>
    <phoneticPr fontId="3" type="noConversion"/>
  </si>
  <si>
    <t>iannh</t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</si>
  <si>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ㆩㆷ</t>
    </r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</si>
  <si>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ㆫㆷ</t>
    </r>
    <phoneticPr fontId="3" type="noConversion"/>
  </si>
  <si>
    <t>ㄨㄧㆷ</t>
    <phoneticPr fontId="3" type="noConversion"/>
  </si>
  <si>
    <t>ㆬㆷ</t>
    <phoneticPr fontId="3" type="noConversion"/>
  </si>
  <si>
    <t>iunnh</t>
    <phoneticPr fontId="3" type="noConversion"/>
  </si>
  <si>
    <t>niuh</t>
  </si>
  <si>
    <t>niuh</t>
    <phoneticPr fontId="3" type="noConversion"/>
  </si>
  <si>
    <t>ooh</t>
    <phoneticPr fontId="3" type="noConversion"/>
  </si>
  <si>
    <t>uih</t>
    <phoneticPr fontId="3" type="noConversion"/>
  </si>
  <si>
    <t>mh</t>
    <phoneticPr fontId="3" type="noConversion"/>
  </si>
  <si>
    <t>姆促</t>
  </si>
  <si>
    <t>褌促</t>
  </si>
  <si>
    <t>鋼促</t>
  </si>
  <si>
    <t>ngh</t>
    <phoneticPr fontId="3" type="noConversion"/>
  </si>
  <si>
    <t>沽促</t>
  </si>
  <si>
    <t>牛促</t>
  </si>
  <si>
    <t>皆促</t>
  </si>
  <si>
    <t>ㄤ</t>
  </si>
  <si>
    <t>ㆤㆷ</t>
  </si>
  <si>
    <t>ㄧㆷ</t>
  </si>
  <si>
    <t>ㄧㄚㆷ</t>
  </si>
  <si>
    <t>ㄧㄤ</t>
  </si>
  <si>
    <t>ㄧㄚㆻ</t>
  </si>
  <si>
    <t>ㄧㄠㆷ</t>
  </si>
  <si>
    <t>ㄧㄜㆷ</t>
  </si>
  <si>
    <t>ㄜㆷ</t>
  </si>
  <si>
    <t>ㆧㆷ</t>
  </si>
  <si>
    <t>ㄨㆷ</t>
  </si>
  <si>
    <t>ㄨㄚㆷ</t>
  </si>
  <si>
    <t>ㄨㄤ</t>
  </si>
  <si>
    <t>ㄨㄞㆷ</t>
  </si>
  <si>
    <t>ㄨㆮㆷ</t>
  </si>
  <si>
    <t>ㄨㆤㆷ</t>
  </si>
  <si>
    <t>oⁿ</t>
    <phoneticPr fontId="21" type="noConversion"/>
  </si>
  <si>
    <t>閩拼調符編碼</t>
  </si>
  <si>
    <t>台語注音</t>
  </si>
  <si>
    <t>ㄖ</t>
  </si>
  <si>
    <t>ㄙ</t>
  </si>
  <si>
    <t>ㄪ</t>
  </si>
  <si>
    <t>ㄘ</t>
  </si>
  <si>
    <t xml:space="preserve">⁰ㄫ </t>
  </si>
  <si>
    <t>ㄨㄉ</t>
  </si>
  <si>
    <t>ㄧㄚㄉ</t>
  </si>
  <si>
    <t>ㄧㄇ</t>
  </si>
  <si>
    <t>ㄧㄅ</t>
  </si>
  <si>
    <t>ㄝㄏ</t>
  </si>
  <si>
    <t>ㄚㄉ</t>
  </si>
  <si>
    <t>ㄛㄥ</t>
  </si>
  <si>
    <t>ㄛㄍ</t>
  </si>
  <si>
    <t>ㄨㄞㄏ</t>
  </si>
  <si>
    <t>ㄧㄍ</t>
  </si>
  <si>
    <t>ㄨㄚㄉ</t>
  </si>
  <si>
    <t>ㄛ</t>
  </si>
  <si>
    <t>ㄧㄠㄏ</t>
  </si>
  <si>
    <t>ㄧㄛㄥ</t>
  </si>
  <si>
    <t>ㄧㄛㄍ</t>
  </si>
  <si>
    <t>ㄜㄏ</t>
  </si>
  <si>
    <t>ㄧㄉ</t>
  </si>
  <si>
    <t>ㄧㄚㄍ</t>
  </si>
  <si>
    <t>ㄚㄇ</t>
  </si>
  <si>
    <t>ㄚㄅ</t>
  </si>
  <si>
    <t>ㄨㄚㄏ</t>
  </si>
  <si>
    <t>ㄚㄍ</t>
  </si>
  <si>
    <t>ㄧㄚㄇ</t>
  </si>
  <si>
    <t>ㄧㄚㄅ</t>
  </si>
  <si>
    <t>ㄠㄏ</t>
  </si>
  <si>
    <t>ㄧㄚㄏ</t>
  </si>
  <si>
    <t>ㄨㄝ</t>
  </si>
  <si>
    <t>ㄨㄝㄏ</t>
  </si>
  <si>
    <t>⁰ㄚ</t>
  </si>
  <si>
    <t>⁰ㄚㄏ</t>
  </si>
  <si>
    <t>ㄨㄏ</t>
  </si>
  <si>
    <t>ㄚㄏ</t>
  </si>
  <si>
    <t>ㄧㄏ</t>
  </si>
  <si>
    <t>⁰ㄝ</t>
  </si>
  <si>
    <t>⁰ㄝㄏ</t>
  </si>
  <si>
    <t>⁰ㄨㄧ</t>
  </si>
  <si>
    <t>ㄧㄜㄏ</t>
  </si>
  <si>
    <t>⁰ㄧ</t>
  </si>
  <si>
    <t>⁰ㄧㄏ</t>
  </si>
  <si>
    <t>⁰ㄧㄛ</t>
  </si>
  <si>
    <t>⁰ㄧㄚ</t>
  </si>
  <si>
    <t>⁰ㄨㄚ</t>
  </si>
  <si>
    <t>⁰ㄞ</t>
  </si>
  <si>
    <t>⁰ㄛ</t>
  </si>
  <si>
    <t>ㄨㄚㄍ</t>
  </si>
  <si>
    <t>⁰ㄨㄞ</t>
  </si>
  <si>
    <t>⁰ㄨㄞㄏ</t>
  </si>
  <si>
    <t>⁰ㄨㄝ</t>
  </si>
  <si>
    <t>⁰ㄧㄠ</t>
  </si>
  <si>
    <t>⁰ㄧㄠㄏ</t>
  </si>
  <si>
    <t>ㄛㄇ</t>
  </si>
  <si>
    <t>ㄛㄅ</t>
  </si>
  <si>
    <t>⁰ㄠ</t>
  </si>
  <si>
    <t>⁰ㄛㄏ</t>
  </si>
  <si>
    <t>⁰ㄧㆫ</t>
  </si>
  <si>
    <t>b</t>
    <phoneticPr fontId="3" type="noConversion"/>
  </si>
  <si>
    <t>p</t>
    <phoneticPr fontId="3" type="noConversion"/>
  </si>
  <si>
    <t>bb</t>
    <phoneticPr fontId="3" type="noConversion"/>
  </si>
  <si>
    <t>d</t>
    <phoneticPr fontId="3" type="noConversion"/>
  </si>
  <si>
    <t>t</t>
    <phoneticPr fontId="3" type="noConversion"/>
  </si>
  <si>
    <t>ln</t>
    <phoneticPr fontId="3" type="noConversion"/>
  </si>
  <si>
    <t>l</t>
    <phoneticPr fontId="3" type="noConversion"/>
  </si>
  <si>
    <t>g</t>
    <phoneticPr fontId="3" type="noConversion"/>
  </si>
  <si>
    <t>k</t>
    <phoneticPr fontId="3" type="noConversion"/>
  </si>
  <si>
    <t>gg</t>
    <phoneticPr fontId="3" type="noConversion"/>
  </si>
  <si>
    <t>h</t>
    <phoneticPr fontId="3" type="noConversion"/>
  </si>
  <si>
    <t>z</t>
    <phoneticPr fontId="3" type="noConversion"/>
  </si>
  <si>
    <t>c</t>
    <phoneticPr fontId="3" type="noConversion"/>
  </si>
  <si>
    <t>s</t>
    <phoneticPr fontId="3" type="noConversion"/>
  </si>
  <si>
    <t>zz</t>
    <phoneticPr fontId="3" type="noConversion"/>
  </si>
  <si>
    <t>jji</t>
    <phoneticPr fontId="3" type="noConversion"/>
  </si>
  <si>
    <t>ji</t>
    <phoneticPr fontId="3" type="noConversion"/>
  </si>
  <si>
    <t>chi</t>
    <phoneticPr fontId="3" type="noConversion"/>
  </si>
  <si>
    <t>shi</t>
    <phoneticPr fontId="3" type="noConversion"/>
  </si>
  <si>
    <t>ng</t>
    <phoneticPr fontId="3" type="noConversion"/>
  </si>
  <si>
    <t>s1</t>
    <phoneticPr fontId="3" type="noConversion"/>
  </si>
  <si>
    <t>s2</t>
    <phoneticPr fontId="3" type="noConversion"/>
  </si>
  <si>
    <t>ㄐ</t>
    <phoneticPr fontId="3" type="noConversion"/>
  </si>
  <si>
    <t>ㄑ</t>
    <phoneticPr fontId="3" type="noConversion"/>
  </si>
  <si>
    <t>ㄒ</t>
    <phoneticPr fontId="3" type="noConversion"/>
  </si>
  <si>
    <t>s3</t>
    <phoneticPr fontId="3" type="noConversion"/>
  </si>
  <si>
    <t>bbn</t>
    <phoneticPr fontId="3" type="noConversion"/>
  </si>
  <si>
    <t>ggn</t>
    <phoneticPr fontId="3" type="noConversion"/>
  </si>
  <si>
    <t>zzi</t>
    <phoneticPr fontId="3" type="noConversion"/>
  </si>
  <si>
    <t>zi</t>
    <phoneticPr fontId="3" type="noConversion"/>
  </si>
  <si>
    <t>ci</t>
    <phoneticPr fontId="3" type="noConversion"/>
  </si>
  <si>
    <t>si</t>
    <phoneticPr fontId="3" type="noConversion"/>
  </si>
  <si>
    <t>◯</t>
  </si>
  <si>
    <t>iuh</t>
    <phoneticPr fontId="3" type="noConversion"/>
  </si>
  <si>
    <t>neh</t>
    <phoneticPr fontId="3" type="noConversion"/>
  </si>
  <si>
    <t>niah</t>
    <phoneticPr fontId="3" type="noConversion"/>
  </si>
  <si>
    <t>aʊ</t>
    <phoneticPr fontId="3" type="noConversion"/>
  </si>
  <si>
    <t>ɪaʊ</t>
    <phoneticPr fontId="3" type="noConversion"/>
  </si>
  <si>
    <t>ẽ</t>
    <phoneticPr fontId="3" type="noConversion"/>
  </si>
  <si>
    <t>eʔ</t>
    <phoneticPr fontId="3" type="noConversion"/>
  </si>
  <si>
    <t>ẽʔ</t>
    <phoneticPr fontId="3" type="noConversion"/>
  </si>
  <si>
    <t>ĩ</t>
    <phoneticPr fontId="3" type="noConversion"/>
  </si>
  <si>
    <t>iʔ</t>
    <phoneticPr fontId="3" type="noConversion"/>
  </si>
  <si>
    <t>im</t>
    <phoneticPr fontId="3" type="noConversion"/>
  </si>
  <si>
    <t>iŋ</t>
    <phoneticPr fontId="3" type="noConversion"/>
  </si>
  <si>
    <t>ip̚</t>
    <phoneticPr fontId="3" type="noConversion"/>
  </si>
  <si>
    <t>it̚</t>
    <phoneticPr fontId="3" type="noConversion"/>
  </si>
  <si>
    <t>ɪɔ̃</t>
    <phoneticPr fontId="3" type="noConversion"/>
  </si>
  <si>
    <t>ɪɔŋ</t>
    <phoneticPr fontId="3" type="noConversion"/>
  </si>
  <si>
    <t>ɪɔk̚</t>
    <phoneticPr fontId="3" type="noConversion"/>
  </si>
  <si>
    <t>ɔ</t>
    <phoneticPr fontId="3" type="noConversion"/>
  </si>
  <si>
    <t>ɔʔ</t>
    <phoneticPr fontId="3" type="noConversion"/>
  </si>
  <si>
    <t>ɔm</t>
    <phoneticPr fontId="3" type="noConversion"/>
  </si>
  <si>
    <t>ɔŋ</t>
    <phoneticPr fontId="3" type="noConversion"/>
  </si>
  <si>
    <t>ɔk̚</t>
    <phoneticPr fontId="3" type="noConversion"/>
  </si>
  <si>
    <t>uʔ</t>
    <phoneticPr fontId="3" type="noConversion"/>
  </si>
  <si>
    <t>un</t>
    <phoneticPr fontId="3" type="noConversion"/>
  </si>
  <si>
    <t>ut̚</t>
    <phoneticPr fontId="3" type="noConversion"/>
  </si>
  <si>
    <t>ui</t>
    <phoneticPr fontId="3" type="noConversion"/>
  </si>
  <si>
    <t>uĩ</t>
    <phoneticPr fontId="3" type="noConversion"/>
  </si>
  <si>
    <t>uiʔ</t>
    <phoneticPr fontId="3" type="noConversion"/>
  </si>
  <si>
    <t>m̩</t>
    <phoneticPr fontId="3" type="noConversion"/>
  </si>
  <si>
    <t>ã</t>
    <phoneticPr fontId="3" type="noConversion"/>
  </si>
  <si>
    <t>aʔ</t>
    <phoneticPr fontId="3" type="noConversion"/>
  </si>
  <si>
    <t>ãʔ</t>
    <phoneticPr fontId="3" type="noConversion"/>
  </si>
  <si>
    <t>aŋ</t>
    <phoneticPr fontId="3" type="noConversion"/>
  </si>
  <si>
    <t>aɪ</t>
    <phoneticPr fontId="3" type="noConversion"/>
  </si>
  <si>
    <t>ãɪ</t>
    <phoneticPr fontId="3" type="noConversion"/>
  </si>
  <si>
    <t>aɪʔ</t>
    <phoneticPr fontId="3" type="noConversion"/>
  </si>
  <si>
    <t>auʔ</t>
    <phoneticPr fontId="3" type="noConversion"/>
  </si>
  <si>
    <t>ɪa</t>
    <phoneticPr fontId="3" type="noConversion"/>
  </si>
  <si>
    <t>ɪam</t>
    <phoneticPr fontId="3" type="noConversion"/>
  </si>
  <si>
    <t>ɪaŋ</t>
    <phoneticPr fontId="3" type="noConversion"/>
  </si>
  <si>
    <t>ɪap̚</t>
    <phoneticPr fontId="3" type="noConversion"/>
  </si>
  <si>
    <t>ɪak̚</t>
    <phoneticPr fontId="3" type="noConversion"/>
  </si>
  <si>
    <t>uã</t>
    <phoneticPr fontId="3" type="noConversion"/>
  </si>
  <si>
    <t>uaʔ</t>
    <phoneticPr fontId="3" type="noConversion"/>
  </si>
  <si>
    <t>uaŋ</t>
    <phoneticPr fontId="3" type="noConversion"/>
  </si>
  <si>
    <t>uat̚</t>
    <phoneticPr fontId="3" type="noConversion"/>
  </si>
  <si>
    <t>uãi</t>
    <phoneticPr fontId="3" type="noConversion"/>
  </si>
  <si>
    <t>uaiʔ</t>
    <phoneticPr fontId="3" type="noConversion"/>
  </si>
  <si>
    <t>uãiʔ</t>
    <phoneticPr fontId="3" type="noConversion"/>
  </si>
  <si>
    <t>ɛ</t>
    <phoneticPr fontId="3" type="noConversion"/>
  </si>
  <si>
    <t>ik̚</t>
    <phoneticPr fontId="3" type="noConversion"/>
  </si>
  <si>
    <t>ɪan</t>
    <phoneticPr fontId="3" type="noConversion"/>
  </si>
  <si>
    <t>ɪat̚</t>
    <phoneticPr fontId="3" type="noConversion"/>
  </si>
  <si>
    <t>ə</t>
    <phoneticPr fontId="3" type="noConversion"/>
  </si>
  <si>
    <t>əʔ</t>
    <phoneticPr fontId="3" type="noConversion"/>
  </si>
  <si>
    <t>ɪə</t>
    <phoneticPr fontId="3" type="noConversion"/>
  </si>
  <si>
    <t>ɪəʔ</t>
    <phoneticPr fontId="3" type="noConversion"/>
  </si>
  <si>
    <t>eng</t>
    <phoneticPr fontId="3" type="noConversion"/>
  </si>
  <si>
    <t>ek</t>
    <phoneticPr fontId="3" type="noConversion"/>
  </si>
  <si>
    <t>ㄝ</t>
    <phoneticPr fontId="3" type="noConversion"/>
  </si>
  <si>
    <t>ㄝㆭ</t>
    <phoneticPr fontId="3" type="noConversion"/>
  </si>
  <si>
    <t>ㄚㆻ</t>
    <phoneticPr fontId="3" type="noConversion"/>
  </si>
  <si>
    <t>ㄝㆻ</t>
    <phoneticPr fontId="3" type="noConversion"/>
  </si>
  <si>
    <t>台語注音</t>
    <phoneticPr fontId="3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</si>
  <si>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3" type="noConversion"/>
  </si>
  <si>
    <t>ㄝㄥ</t>
    <phoneticPr fontId="3" type="noConversion"/>
  </si>
  <si>
    <t>ㄝㄍ</t>
    <phoneticPr fontId="3" type="noConversion"/>
  </si>
  <si>
    <t>⁰ㄧㄚㄏ</t>
  </si>
  <si>
    <t>⁰ㄧㄨ</t>
  </si>
  <si>
    <t>⁰ㄧㄨㄏ</t>
  </si>
  <si>
    <t>ㄛㄏ</t>
  </si>
  <si>
    <t>ㄨㄧㄏ</t>
  </si>
  <si>
    <t>ㄇㄏ</t>
  </si>
  <si>
    <t>ㄥㄏ</t>
  </si>
  <si>
    <t>ɪã</t>
  </si>
  <si>
    <t>ɪãʔ</t>
  </si>
  <si>
    <t>ɪãʊ</t>
  </si>
  <si>
    <t>ɪu</t>
  </si>
  <si>
    <t>ɪũ</t>
  </si>
  <si>
    <t>ɪũʔ</t>
  </si>
  <si>
    <t>ə</t>
  </si>
  <si>
    <t>əʔ</t>
  </si>
  <si>
    <t>十五音識別碼</t>
    <phoneticPr fontId="3" type="noConversion"/>
  </si>
  <si>
    <t>漢字例</t>
    <phoneticPr fontId="3" type="noConversion"/>
  </si>
  <si>
    <t>jj</t>
    <phoneticPr fontId="3" type="noConversion"/>
  </si>
  <si>
    <t>j</t>
    <phoneticPr fontId="3" type="noConversion"/>
  </si>
  <si>
    <t>ch</t>
    <phoneticPr fontId="3" type="noConversion"/>
  </si>
  <si>
    <t>sh</t>
    <phoneticPr fontId="3" type="noConversion"/>
  </si>
  <si>
    <t>iek</t>
    <phoneticPr fontId="3" type="noConversion"/>
  </si>
  <si>
    <t>Ø</t>
    <phoneticPr fontId="3" type="noConversion"/>
  </si>
  <si>
    <t>高音調</t>
    <phoneticPr fontId="3" type="noConversion"/>
  </si>
  <si>
    <t>中音調</t>
    <phoneticPr fontId="3" type="noConversion"/>
  </si>
  <si>
    <t>低音調</t>
    <phoneticPr fontId="3" type="noConversion"/>
  </si>
  <si>
    <t>調性</t>
    <phoneticPr fontId="3" type="noConversion"/>
  </si>
  <si>
    <t>高降調</t>
    <phoneticPr fontId="3" type="noConversion"/>
  </si>
  <si>
    <t>低升調</t>
    <phoneticPr fontId="3" type="noConversion"/>
  </si>
  <si>
    <t>高促調</t>
    <phoneticPr fontId="3" type="noConversion"/>
  </si>
  <si>
    <t>低促調</t>
    <phoneticPr fontId="3" type="noConversion"/>
  </si>
  <si>
    <t>調值</t>
    <phoneticPr fontId="3" type="noConversion"/>
  </si>
  <si>
    <t>上標值</t>
    <phoneticPr fontId="3" type="noConversion"/>
  </si>
  <si>
    <t>oonnh</t>
    <phoneticPr fontId="3" type="noConversion"/>
  </si>
  <si>
    <t>姑促</t>
    <phoneticPr fontId="3" type="noConversion"/>
  </si>
  <si>
    <t>乎</t>
    <phoneticPr fontId="3" type="noConversion"/>
  </si>
  <si>
    <t>閩拼二式</t>
    <phoneticPr fontId="3" type="noConversion"/>
  </si>
  <si>
    <t>韻腹</t>
  </si>
  <si>
    <t>陰聲韻</t>
  </si>
  <si>
    <t>陽聲韻</t>
  </si>
  <si>
    <t>入聲韻</t>
  </si>
  <si>
    <t>[m]</t>
  </si>
  <si>
    <t>[n]</t>
  </si>
  <si>
    <t>[ŋ]</t>
  </si>
  <si>
    <t>[p̚]</t>
  </si>
  <si>
    <t>[t̚]</t>
  </si>
  <si>
    <t>[k̚]</t>
  </si>
  <si>
    <t>[ʔ]</t>
  </si>
  <si>
    <t>ainnh</t>
  </si>
  <si>
    <t>erh</t>
  </si>
  <si>
    <t>irm</t>
  </si>
  <si>
    <t>irn</t>
  </si>
  <si>
    <t>irng</t>
  </si>
  <si>
    <t>irp</t>
  </si>
  <si>
    <t>irt</t>
  </si>
  <si>
    <t>irk</t>
  </si>
  <si>
    <t>irh</t>
  </si>
  <si>
    <t>uee</t>
  </si>
  <si>
    <t>ueeh</t>
  </si>
  <si>
    <t>irinn</t>
  </si>
  <si>
    <t>ere</t>
  </si>
  <si>
    <t>ereh</t>
  </si>
  <si>
    <t>－</t>
  </si>
  <si>
    <t>iɔ</t>
  </si>
  <si>
    <t>ɯ</t>
  </si>
  <si>
    <t>uɛ</t>
  </si>
  <si>
    <t>ɯi</t>
  </si>
  <si>
    <t>əe</t>
  </si>
  <si>
    <t>韻腹</t>
    <phoneticPr fontId="3" type="noConversion"/>
  </si>
  <si>
    <t>韻母類別</t>
    <phoneticPr fontId="3" type="noConversion"/>
  </si>
  <si>
    <t>陰聲韻</t>
    <phoneticPr fontId="3" type="noConversion"/>
  </si>
  <si>
    <t>陽聲韻</t>
    <phoneticPr fontId="3" type="noConversion"/>
  </si>
  <si>
    <t>入聲韻</t>
    <phoneticPr fontId="3" type="noConversion"/>
  </si>
  <si>
    <t>韻母拼音</t>
    <phoneticPr fontId="3" type="noConversion"/>
  </si>
  <si>
    <t>韻腹序列</t>
    <phoneticPr fontId="3" type="noConversion"/>
  </si>
  <si>
    <t>清單序號</t>
    <phoneticPr fontId="3" type="noConversion"/>
  </si>
  <si>
    <t>ionn</t>
    <phoneticPr fontId="3" type="noConversion"/>
  </si>
  <si>
    <t>ioonn</t>
    <phoneticPr fontId="3" type="noConversion"/>
  </si>
  <si>
    <t>nioo</t>
    <phoneticPr fontId="3" type="noConversion"/>
  </si>
  <si>
    <t>ioⁿ</t>
    <phoneticPr fontId="3" type="noConversion"/>
  </si>
  <si>
    <t>ㄧㆧ</t>
    <phoneticPr fontId="3" type="noConversion"/>
  </si>
  <si>
    <t>⁰ㄧㄛ</t>
    <phoneticPr fontId="3" type="noConversion"/>
  </si>
  <si>
    <t>腔</t>
    <phoneticPr fontId="3" type="noConversion"/>
  </si>
  <si>
    <t>薑舒</t>
    <phoneticPr fontId="3" type="noConversion"/>
  </si>
  <si>
    <t>韻-鼻</t>
  </si>
  <si>
    <t>一ㆴ</t>
    <phoneticPr fontId="3" type="noConversion"/>
  </si>
  <si>
    <t>ㄧㄅ</t>
    <phoneticPr fontId="3" type="noConversion"/>
  </si>
  <si>
    <t>蟄</t>
    <phoneticPr fontId="3" type="noConversion"/>
  </si>
  <si>
    <t>金促</t>
    <phoneticPr fontId="3" type="noConversion"/>
  </si>
  <si>
    <t>ㄧㆵ</t>
    <phoneticPr fontId="3" type="noConversion"/>
  </si>
  <si>
    <t>ㄧㄉ</t>
    <phoneticPr fontId="3" type="noConversion"/>
  </si>
  <si>
    <t>巾促</t>
    <phoneticPr fontId="3" type="noConversion"/>
  </si>
  <si>
    <t>ainnh</t>
    <phoneticPr fontId="3" type="noConversion"/>
  </si>
  <si>
    <t>附註</t>
    <phoneticPr fontId="3" type="noConversion"/>
  </si>
  <si>
    <t>aunnh</t>
    <phoneticPr fontId="3" type="noConversion"/>
  </si>
  <si>
    <r>
      <rPr>
        <b/>
        <sz val="14"/>
        <color rgb="FF000000"/>
        <rFont val="微軟正黑體"/>
        <family val="2"/>
        <charset val="136"/>
      </rPr>
      <t>序號</t>
    </r>
    <phoneticPr fontId="3" type="noConversion"/>
  </si>
  <si>
    <r>
      <rPr>
        <b/>
        <sz val="14"/>
        <color rgb="FF000000"/>
        <rFont val="微軟正黑體"/>
        <family val="2"/>
        <charset val="136"/>
      </rPr>
      <t>國際音標</t>
    </r>
    <phoneticPr fontId="3" type="noConversion"/>
  </si>
  <si>
    <r>
      <rPr>
        <b/>
        <sz val="14"/>
        <color rgb="FF000000"/>
        <rFont val="微軟正黑體"/>
        <family val="2"/>
        <charset val="136"/>
      </rPr>
      <t>台羅拼音</t>
    </r>
    <phoneticPr fontId="3" type="noConversion"/>
  </si>
  <si>
    <r>
      <t>a</t>
    </r>
    <r>
      <rPr>
        <b/>
        <sz val="14"/>
        <color rgb="FFC00000"/>
        <rFont val="Noto Sans"/>
        <family val="2"/>
      </rPr>
      <t>ɪ</t>
    </r>
    <phoneticPr fontId="3" type="noConversion"/>
  </si>
  <si>
    <r>
      <t>a</t>
    </r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ʔ</t>
    </r>
    <phoneticPr fontId="3" type="noConversion"/>
  </si>
  <si>
    <r>
      <t>ã</t>
    </r>
    <r>
      <rPr>
        <b/>
        <sz val="14"/>
        <color rgb="FFC00000"/>
        <rFont val="Noto Sans"/>
        <family val="2"/>
      </rPr>
      <t>ɪ</t>
    </r>
    <phoneticPr fontId="3" type="noConversion"/>
  </si>
  <si>
    <r>
      <t>a</t>
    </r>
    <r>
      <rPr>
        <b/>
        <sz val="14"/>
        <color rgb="FFC00000"/>
        <rFont val="Noto Sans"/>
        <family val="2"/>
      </rPr>
      <t>ŋ</t>
    </r>
    <phoneticPr fontId="3" type="noConversion"/>
  </si>
  <si>
    <r>
      <rPr>
        <b/>
        <sz val="14"/>
        <color rgb="FFC00000"/>
        <rFont val="Noto Sans"/>
        <family val="2"/>
      </rPr>
      <t>ɛ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</si>
  <si>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</si>
  <si>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ak̚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</si>
  <si>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am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</si>
  <si>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an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</si>
  <si>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</t>
    </r>
    <r>
      <rPr>
        <b/>
        <sz val="14"/>
        <color rgb="FFC00000"/>
        <rFont val="Noto Sans"/>
        <family val="2"/>
      </rPr>
      <t>ŋ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</si>
  <si>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ap̚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</si>
  <si>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at̚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</si>
  <si>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a</t>
    </r>
    <r>
      <rPr>
        <b/>
        <sz val="14"/>
        <color rgb="FFC00000"/>
        <rFont val="Noto Sans"/>
        <family val="2"/>
      </rPr>
      <t>ʊ</t>
    </r>
    <phoneticPr fontId="3" type="noConversion"/>
  </si>
  <si>
    <r>
      <t>i</t>
    </r>
    <r>
      <rPr>
        <b/>
        <sz val="14"/>
        <color rgb="FFC00000"/>
        <rFont val="Noto Sans"/>
        <family val="2"/>
      </rPr>
      <t>ŋ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</si>
  <si>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ə</t>
    </r>
    <phoneticPr fontId="3" type="noConversion"/>
  </si>
  <si>
    <r>
      <rPr>
        <b/>
        <sz val="14"/>
        <color rgb="FFC00000"/>
        <rFont val="Noto Sans"/>
        <family val="2"/>
      </rPr>
      <t>ɪ</t>
    </r>
    <r>
      <rPr>
        <b/>
        <sz val="14"/>
        <color rgb="FFC00000"/>
        <rFont val="Charis Medium"/>
      </rPr>
      <t>əʔ</t>
    </r>
    <phoneticPr fontId="3" type="noConversion"/>
  </si>
  <si>
    <r>
      <rPr>
        <b/>
        <sz val="14"/>
        <color rgb="FFC00000"/>
        <rFont val="Noto Sans"/>
        <family val="2"/>
      </rPr>
      <t>ɪɔ</t>
    </r>
    <r>
      <rPr>
        <b/>
        <sz val="14"/>
        <color rgb="FFC00000"/>
        <rFont val="Charis Medium"/>
      </rPr>
      <t>k̚</t>
    </r>
    <phoneticPr fontId="3" type="noConversion"/>
  </si>
  <si>
    <r>
      <rPr>
        <b/>
        <sz val="14"/>
        <color rgb="FFC00000"/>
        <rFont val="Noto Sans"/>
        <family val="2"/>
      </rPr>
      <t>ɪɔŋ</t>
    </r>
    <phoneticPr fontId="3" type="noConversion"/>
  </si>
  <si>
    <r>
      <rPr>
        <b/>
        <sz val="14"/>
        <color rgb="FFC00000"/>
        <rFont val="Noto Sans"/>
        <family val="2"/>
      </rPr>
      <t>ɪɔ</t>
    </r>
    <r>
      <rPr>
        <b/>
        <sz val="14"/>
        <color rgb="FFC00000"/>
        <rFont val="Charis Medium"/>
      </rPr>
      <t>̃</t>
    </r>
    <phoneticPr fontId="3" type="noConversion"/>
  </si>
  <si>
    <r>
      <rPr>
        <b/>
        <sz val="14"/>
        <color rgb="FFC00000"/>
        <rFont val="Noto Sans"/>
        <family val="2"/>
      </rPr>
      <t>ŋ</t>
    </r>
    <r>
      <rPr>
        <b/>
        <sz val="14"/>
        <color rgb="FFC00000"/>
        <rFont val="Charis Medium"/>
      </rPr>
      <t>̍</t>
    </r>
  </si>
  <si>
    <r>
      <rPr>
        <b/>
        <sz val="14"/>
        <color rgb="FFC00000"/>
        <rFont val="Noto Sans"/>
        <family val="2"/>
      </rPr>
      <t>ŋ</t>
    </r>
    <r>
      <rPr>
        <b/>
        <sz val="14"/>
        <color rgb="FFC00000"/>
        <rFont val="Charis Medium"/>
      </rPr>
      <t>̍ʔ</t>
    </r>
  </si>
  <si>
    <r>
      <rPr>
        <b/>
        <sz val="14"/>
        <color rgb="FFC00000"/>
        <rFont val="Noto Sans"/>
        <family val="2"/>
      </rPr>
      <t>ɔ</t>
    </r>
    <r>
      <rPr>
        <b/>
        <sz val="14"/>
        <color rgb="FFC00000"/>
        <rFont val="Charis Medium"/>
      </rPr>
      <t>k̚</t>
    </r>
    <phoneticPr fontId="3" type="noConversion"/>
  </si>
  <si>
    <r>
      <rPr>
        <b/>
        <sz val="14"/>
        <color rgb="FFC00000"/>
        <rFont val="Noto Sans"/>
        <family val="2"/>
      </rPr>
      <t>ɔ</t>
    </r>
    <r>
      <rPr>
        <b/>
        <sz val="14"/>
        <color rgb="FFC00000"/>
        <rFont val="Charis Medium"/>
      </rPr>
      <t>m</t>
    </r>
    <phoneticPr fontId="3" type="noConversion"/>
  </si>
  <si>
    <r>
      <rPr>
        <b/>
        <sz val="14"/>
        <color rgb="FFC00000"/>
        <rFont val="Noto Sans"/>
        <family val="2"/>
      </rPr>
      <t>ɔŋ</t>
    </r>
    <phoneticPr fontId="3" type="noConversion"/>
  </si>
  <si>
    <r>
      <rPr>
        <b/>
        <sz val="14"/>
        <color rgb="FFC00000"/>
        <rFont val="Noto Sans"/>
        <family val="2"/>
      </rPr>
      <t>ɔ</t>
    </r>
    <r>
      <rPr>
        <b/>
        <sz val="14"/>
        <color rgb="FFC00000"/>
        <rFont val="Charis Medium"/>
      </rPr>
      <t>̃</t>
    </r>
    <phoneticPr fontId="3" type="noConversion"/>
  </si>
  <si>
    <r>
      <rPr>
        <b/>
        <sz val="14"/>
        <color rgb="FFC00000"/>
        <rFont val="Noto Sans"/>
        <family val="2"/>
      </rPr>
      <t>ɔ</t>
    </r>
    <r>
      <rPr>
        <b/>
        <sz val="14"/>
        <color rgb="FFC00000"/>
        <rFont val="Charis Medium"/>
      </rPr>
      <t>̃ʔ</t>
    </r>
    <phoneticPr fontId="3" type="noConversion"/>
  </si>
  <si>
    <r>
      <rPr>
        <b/>
        <sz val="14"/>
        <color rgb="FFC00000"/>
        <rFont val="Noto Sans"/>
        <family val="2"/>
      </rPr>
      <t>ɔ</t>
    </r>
    <phoneticPr fontId="3" type="noConversion"/>
  </si>
  <si>
    <r>
      <rPr>
        <b/>
        <sz val="14"/>
        <color rgb="FFC00000"/>
        <rFont val="Noto Sans"/>
        <family val="2"/>
      </rPr>
      <t>ɔ</t>
    </r>
    <r>
      <rPr>
        <b/>
        <sz val="14"/>
        <color rgb="FFC00000"/>
        <rFont val="Charis Medium"/>
      </rPr>
      <t>ʔ</t>
    </r>
    <phoneticPr fontId="3" type="noConversion"/>
  </si>
  <si>
    <r>
      <rPr>
        <b/>
        <sz val="14"/>
        <color rgb="FFC00000"/>
        <rFont val="Noto Sans"/>
        <family val="2"/>
      </rPr>
      <t>ɔ</t>
    </r>
    <r>
      <rPr>
        <b/>
        <sz val="14"/>
        <color rgb="FFC00000"/>
        <rFont val="Charis Medium"/>
      </rPr>
      <t>p̚</t>
    </r>
    <phoneticPr fontId="3" type="noConversion"/>
  </si>
  <si>
    <r>
      <t>ua</t>
    </r>
    <r>
      <rPr>
        <b/>
        <sz val="14"/>
        <color rgb="FFC00000"/>
        <rFont val="Noto Sans"/>
        <family val="2"/>
      </rPr>
      <t>ŋ</t>
    </r>
    <phoneticPr fontId="3" type="noConversion"/>
  </si>
  <si>
    <t>aunn</t>
    <phoneticPr fontId="3" type="noConversion"/>
  </si>
  <si>
    <t>ioo</t>
    <phoneticPr fontId="3" type="noConversion"/>
  </si>
  <si>
    <t>ɪɔ</t>
    <phoneticPr fontId="3" type="noConversion"/>
  </si>
  <si>
    <t>iooh</t>
    <phoneticPr fontId="3" type="noConversion"/>
  </si>
  <si>
    <t>ɯm</t>
  </si>
  <si>
    <t>ɯn</t>
  </si>
  <si>
    <t>ɯŋ</t>
  </si>
  <si>
    <t>ɯp̚</t>
  </si>
  <si>
    <t>ɯt̚</t>
  </si>
  <si>
    <t>ɯk̚</t>
  </si>
  <si>
    <t>ɯʔ</t>
  </si>
  <si>
    <t>ɯĩ</t>
  </si>
  <si>
    <t>uɛʔ</t>
  </si>
  <si>
    <t>əeʔ</t>
  </si>
  <si>
    <t>ãɪʔ</t>
  </si>
  <si>
    <t>aʊ̃</t>
  </si>
  <si>
    <t>aʊ̃ʔ</t>
  </si>
  <si>
    <t>ɪk</t>
  </si>
  <si>
    <t>ɪɔʔ</t>
  </si>
  <si>
    <t>ɪuʔ</t>
  </si>
  <si>
    <t xml:space="preserve">ah </t>
  </si>
  <si>
    <t xml:space="preserve">ai </t>
  </si>
  <si>
    <t xml:space="preserve">ak </t>
  </si>
  <si>
    <t xml:space="preserve">am </t>
  </si>
  <si>
    <t xml:space="preserve">an </t>
  </si>
  <si>
    <t xml:space="preserve">annh </t>
  </si>
  <si>
    <t xml:space="preserve">ap </t>
  </si>
  <si>
    <t xml:space="preserve">at </t>
  </si>
  <si>
    <t xml:space="preserve">au </t>
  </si>
  <si>
    <t xml:space="preserve">eh </t>
  </si>
  <si>
    <t xml:space="preserve">ia </t>
  </si>
  <si>
    <t xml:space="preserve">iah </t>
  </si>
  <si>
    <t xml:space="preserve">iak </t>
  </si>
  <si>
    <t xml:space="preserve">iam </t>
  </si>
  <si>
    <t xml:space="preserve">ian </t>
  </si>
  <si>
    <t xml:space="preserve">iat </t>
  </si>
  <si>
    <t xml:space="preserve">iau </t>
  </si>
  <si>
    <t xml:space="preserve">iaunn </t>
  </si>
  <si>
    <t xml:space="preserve">ih </t>
  </si>
  <si>
    <t xml:space="preserve">im </t>
  </si>
  <si>
    <t xml:space="preserve">in </t>
  </si>
  <si>
    <t xml:space="preserve">ing </t>
  </si>
  <si>
    <t xml:space="preserve">inn </t>
  </si>
  <si>
    <t xml:space="preserve">ioh </t>
  </si>
  <si>
    <t xml:space="preserve">iok </t>
  </si>
  <si>
    <t xml:space="preserve">iong </t>
  </si>
  <si>
    <t xml:space="preserve">iu </t>
  </si>
  <si>
    <t xml:space="preserve">iunn </t>
  </si>
  <si>
    <t xml:space="preserve">ng </t>
  </si>
  <si>
    <t xml:space="preserve">oh </t>
  </si>
  <si>
    <t xml:space="preserve">ok </t>
  </si>
  <si>
    <t xml:space="preserve">om </t>
  </si>
  <si>
    <t xml:space="preserve">ong </t>
  </si>
  <si>
    <t xml:space="preserve">onn </t>
  </si>
  <si>
    <t xml:space="preserve">oo </t>
  </si>
  <si>
    <t xml:space="preserve">op </t>
  </si>
  <si>
    <t xml:space="preserve">ua </t>
  </si>
  <si>
    <t xml:space="preserve">uah </t>
  </si>
  <si>
    <t xml:space="preserve">uai </t>
  </si>
  <si>
    <t xml:space="preserve">uainn </t>
  </si>
  <si>
    <t xml:space="preserve">uan </t>
  </si>
  <si>
    <t xml:space="preserve">uann </t>
  </si>
  <si>
    <t xml:space="preserve">uat </t>
  </si>
  <si>
    <t xml:space="preserve">ue </t>
  </si>
  <si>
    <t xml:space="preserve">ueh </t>
  </si>
  <si>
    <t xml:space="preserve">uh </t>
  </si>
  <si>
    <t xml:space="preserve">ui </t>
  </si>
  <si>
    <t xml:space="preserve">ut </t>
  </si>
  <si>
    <t>uinn</t>
    <phoneticPr fontId="3" type="noConversion"/>
  </si>
  <si>
    <t>ehⁿ</t>
    <phoneticPr fontId="3" type="noConversion"/>
  </si>
  <si>
    <t>iahⁿ</t>
    <phoneticPr fontId="3" type="noConversion"/>
  </si>
  <si>
    <t>iuhⁿ</t>
    <phoneticPr fontId="3" type="noConversion"/>
  </si>
  <si>
    <t>ohⁿ</t>
    <phoneticPr fontId="3" type="noConversion"/>
  </si>
  <si>
    <t>o͘h</t>
    <phoneticPr fontId="3" type="noConversion"/>
  </si>
  <si>
    <t xml:space="preserve">ennh </t>
    <phoneticPr fontId="3" type="noConversion"/>
  </si>
  <si>
    <t xml:space="preserve">iannh </t>
    <phoneticPr fontId="3" type="noConversion"/>
  </si>
  <si>
    <t xml:space="preserve">ik </t>
    <phoneticPr fontId="3" type="noConversion"/>
  </si>
  <si>
    <t xml:space="preserve">ip </t>
    <phoneticPr fontId="3" type="noConversion"/>
  </si>
  <si>
    <t xml:space="preserve">it </t>
    <phoneticPr fontId="3" type="noConversion"/>
  </si>
  <si>
    <t xml:space="preserve">mh </t>
    <phoneticPr fontId="3" type="noConversion"/>
  </si>
  <si>
    <t xml:space="preserve">ooh </t>
    <phoneticPr fontId="3" type="noConversion"/>
  </si>
  <si>
    <t>ook</t>
    <phoneticPr fontId="3" type="noConversion"/>
  </si>
  <si>
    <t xml:space="preserve">onn </t>
    <phoneticPr fontId="21" type="noConversion"/>
  </si>
  <si>
    <t>oonn</t>
    <phoneticPr fontId="21" type="noConversion"/>
  </si>
  <si>
    <t>noo</t>
    <phoneticPr fontId="21" type="noConversion"/>
  </si>
  <si>
    <t>nui</t>
    <phoneticPr fontId="3" type="noConversion"/>
  </si>
  <si>
    <t>uann</t>
    <phoneticPr fontId="3" type="noConversion"/>
  </si>
  <si>
    <t>ㄞㆷ</t>
    <phoneticPr fontId="3" type="noConversion"/>
  </si>
  <si>
    <r>
      <rPr>
        <sz val="18"/>
        <color rgb="FF000000"/>
        <rFont val="霞鶩文楷 TC Medium"/>
        <family val="1"/>
        <charset val="136"/>
      </rPr>
      <t>ㄞㄏ</t>
    </r>
    <phoneticPr fontId="3" type="noConversion"/>
  </si>
  <si>
    <t>ㄧㆩㆷ</t>
    <phoneticPr fontId="3" type="noConversion"/>
  </si>
  <si>
    <t>ㄧㆫㆷ</t>
    <phoneticPr fontId="3" type="noConversion"/>
  </si>
  <si>
    <t>驚促</t>
  </si>
  <si>
    <t>乎</t>
  </si>
  <si>
    <t>鴉</t>
    <phoneticPr fontId="3" type="noConversion"/>
  </si>
  <si>
    <t>哀</t>
    <phoneticPr fontId="3" type="noConversion"/>
  </si>
  <si>
    <t>背</t>
    <phoneticPr fontId="3" type="noConversion"/>
  </si>
  <si>
    <t>達</t>
    <phoneticPr fontId="3" type="noConversion"/>
  </si>
  <si>
    <t>軋</t>
    <phoneticPr fontId="3" type="noConversion"/>
  </si>
  <si>
    <t>會</t>
    <phoneticPr fontId="3" type="noConversion"/>
  </si>
  <si>
    <t>家</t>
    <phoneticPr fontId="3" type="noConversion"/>
  </si>
  <si>
    <t>井</t>
    <phoneticPr fontId="3" type="noConversion"/>
  </si>
  <si>
    <t>喀</t>
    <phoneticPr fontId="3" type="noConversion"/>
  </si>
  <si>
    <t>離</t>
    <phoneticPr fontId="3" type="noConversion"/>
  </si>
  <si>
    <t>擗</t>
    <phoneticPr fontId="3" type="noConversion"/>
  </si>
  <si>
    <t>雙</t>
    <phoneticPr fontId="3" type="noConversion"/>
  </si>
  <si>
    <t>結</t>
    <phoneticPr fontId="3" type="noConversion"/>
  </si>
  <si>
    <t>蟯</t>
    <phoneticPr fontId="3" type="noConversion"/>
  </si>
  <si>
    <t>𥍉</t>
    <phoneticPr fontId="3" type="noConversion"/>
  </si>
  <si>
    <t>根</t>
    <phoneticPr fontId="3" type="noConversion"/>
  </si>
  <si>
    <t>挕</t>
    <phoneticPr fontId="3" type="noConversion"/>
  </si>
  <si>
    <t>后</t>
    <phoneticPr fontId="3" type="noConversion"/>
  </si>
  <si>
    <t>入</t>
    <phoneticPr fontId="3" type="noConversion"/>
  </si>
  <si>
    <t>摁</t>
    <phoneticPr fontId="3" type="noConversion"/>
  </si>
  <si>
    <t>鶴</t>
    <phoneticPr fontId="3" type="noConversion"/>
  </si>
  <si>
    <t>姑舒</t>
    <phoneticPr fontId="3" type="noConversion"/>
  </si>
  <si>
    <t>扛停用，以姑代</t>
    <phoneticPr fontId="3" type="noConversion"/>
  </si>
  <si>
    <t>化</t>
    <phoneticPr fontId="3" type="noConversion"/>
  </si>
  <si>
    <t>刷</t>
    <phoneticPr fontId="3" type="noConversion"/>
  </si>
  <si>
    <t>浡</t>
    <phoneticPr fontId="3" type="noConversion"/>
  </si>
  <si>
    <t>刮</t>
    <phoneticPr fontId="3" type="noConversion"/>
  </si>
  <si>
    <t>君</t>
    <phoneticPr fontId="3" type="noConversion"/>
  </si>
  <si>
    <t>規促</t>
    <phoneticPr fontId="3" type="noConversion"/>
  </si>
  <si>
    <t>零聲母</t>
    <phoneticPr fontId="3" type="noConversion"/>
  </si>
  <si>
    <t>鼻音</t>
    <phoneticPr fontId="3" type="noConversion"/>
  </si>
  <si>
    <t>濁音</t>
    <phoneticPr fontId="3" type="noConversion"/>
  </si>
  <si>
    <t>清音</t>
    <phoneticPr fontId="3" type="noConversion"/>
  </si>
  <si>
    <t>清音+送氣</t>
    <phoneticPr fontId="3" type="noConversion"/>
  </si>
  <si>
    <t>kh</t>
    <phoneticPr fontId="3" type="noConversion"/>
  </si>
  <si>
    <t>ph</t>
    <phoneticPr fontId="3" type="noConversion"/>
  </si>
  <si>
    <t>th</t>
    <phoneticPr fontId="3" type="noConversion"/>
  </si>
  <si>
    <t>ts</t>
    <phoneticPr fontId="3" type="noConversion"/>
  </si>
  <si>
    <t>tsh</t>
    <phoneticPr fontId="3" type="noConversion"/>
  </si>
  <si>
    <t>tsi</t>
    <phoneticPr fontId="3" type="noConversion"/>
  </si>
  <si>
    <t>tshi</t>
    <phoneticPr fontId="3" type="noConversion"/>
  </si>
  <si>
    <t>ʔ</t>
  </si>
  <si>
    <t>漢字例</t>
    <phoneticPr fontId="3" type="noConversion"/>
  </si>
  <si>
    <t>Ø</t>
    <phoneticPr fontId="3" type="noConversion"/>
  </si>
  <si>
    <t>台羅調號</t>
    <phoneticPr fontId="3" type="noConversion"/>
  </si>
  <si>
    <t>ā</t>
  </si>
  <si>
    <t>â</t>
  </si>
  <si>
    <t>à</t>
  </si>
  <si>
    <t>ǎ</t>
  </si>
  <si>
    <t>á</t>
  </si>
  <si>
    <t>āh</t>
  </si>
  <si>
    <t>áh</t>
  </si>
  <si>
    <t>a̍h</t>
  </si>
  <si>
    <t>鍵盤按鍵</t>
    <phoneticPr fontId="3" type="noConversion"/>
  </si>
  <si>
    <t>3ʔ</t>
    <phoneticPr fontId="21" type="noConversion"/>
  </si>
  <si>
    <t>4ʔ</t>
    <phoneticPr fontId="21" type="noConversion"/>
  </si>
  <si>
    <t>陰平</t>
  </si>
  <si>
    <t>陰去</t>
  </si>
  <si>
    <t>陰聲</t>
  </si>
  <si>
    <t>陰入</t>
  </si>
  <si>
    <t>陽去</t>
  </si>
  <si>
    <t>陽平</t>
  </si>
  <si>
    <t>陽入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</si>
</sst>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8">
    <font>
      <sz val="16"/>
      <color theme="1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rgb="FFFF0000"/>
      <name val="Noto Sans TC Medium"/>
      <family val="2"/>
      <charset val="136"/>
    </font>
    <font>
      <sz val="9"/>
      <name val="Noto Sans TC Medium"/>
      <family val="2"/>
      <charset val="136"/>
    </font>
    <font>
      <sz val="24"/>
      <color theme="1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1"/>
      <family val="1"/>
      <charset val="136"/>
    </font>
    <font>
      <sz val="24"/>
      <color theme="1"/>
      <name val="吳守禮細明台語破音02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theme="1"/>
      <name val="吳守禮細明台語破音04"/>
      <family val="1"/>
      <charset val="136"/>
    </font>
    <font>
      <sz val="24"/>
      <color theme="1"/>
      <name val="吳守禮細明台語破音05"/>
      <family val="1"/>
      <charset val="136"/>
    </font>
    <font>
      <sz val="24"/>
      <color theme="1"/>
      <name val="吳守禮細明台語破音06"/>
      <family val="1"/>
      <charset val="136"/>
    </font>
    <font>
      <sz val="24"/>
      <color rgb="FFFF0000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2"/>
      <family val="1"/>
      <charset val="136"/>
    </font>
    <font>
      <sz val="24"/>
      <color rgb="FFFF0000"/>
      <name val="吳守禮細明台語破音01"/>
      <family val="1"/>
      <charset val="136"/>
    </font>
    <font>
      <sz val="24"/>
      <color rgb="FFFF0000"/>
      <name val="吳守禮細明台語破音04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theme="1"/>
      <name val="Noto Sans TC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6"/>
      <color theme="0" tint="-0.14999847407452621"/>
      <name val="Noto Sans TC Medium"/>
      <family val="2"/>
    </font>
    <font>
      <sz val="12"/>
      <color theme="1"/>
      <name val="Noto Sans TC SemiBold"/>
      <family val="2"/>
      <charset val="136"/>
    </font>
    <font>
      <b/>
      <sz val="18"/>
      <color rgb="FF000000"/>
      <name val="Noto Sans"/>
      <family val="2"/>
    </font>
    <font>
      <sz val="18"/>
      <color rgb="FF000000"/>
      <name val="Noto Sans"/>
      <family val="2"/>
    </font>
    <font>
      <sz val="18"/>
      <color rgb="FFFF0000"/>
      <name val="Noto Sans"/>
      <family val="2"/>
    </font>
    <font>
      <sz val="16"/>
      <color theme="1"/>
      <name val="Noto Sans TC SemiBold"/>
      <family val="2"/>
      <charset val="136"/>
    </font>
    <font>
      <b/>
      <sz val="18"/>
      <color rgb="FF000000"/>
      <name val="微軟正黑體"/>
      <family val="2"/>
      <charset val="136"/>
    </font>
    <font>
      <sz val="16"/>
      <color theme="1"/>
      <name val="Segoe UI"/>
      <family val="2"/>
    </font>
    <font>
      <sz val="18"/>
      <color theme="1"/>
      <name val="Segoe UI"/>
      <family val="2"/>
    </font>
    <font>
      <sz val="18"/>
      <color theme="1"/>
      <name val="Noto Sans TC Medium"/>
      <family val="2"/>
      <charset val="136"/>
    </font>
    <font>
      <sz val="16"/>
      <color rgb="FFFF0000"/>
      <name val="Segoe UI"/>
      <family val="2"/>
    </font>
    <font>
      <sz val="16"/>
      <color theme="1"/>
      <name val="新細明體"/>
      <family val="2"/>
      <charset val="136"/>
      <scheme val="minor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sz val="12"/>
      <color theme="3" tint="0.499984740745262"/>
      <name val="Segoe UI"/>
      <family val="2"/>
    </font>
    <font>
      <sz val="18"/>
      <color rgb="FF000000"/>
      <name val="細明體"/>
      <family val="2"/>
      <charset val="136"/>
    </font>
    <font>
      <sz val="18"/>
      <color rgb="FFFF0000"/>
      <name val="微軟正黑體"/>
      <family val="2"/>
      <charset val="136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FF0000"/>
      <name val="細明體"/>
      <family val="2"/>
      <charset val="136"/>
    </font>
    <font>
      <sz val="18"/>
      <color rgb="FFFF0000"/>
      <name val="Microsoft JhengHei"/>
      <family val="2"/>
    </font>
    <font>
      <sz val="18"/>
      <color rgb="FFFF0000"/>
      <name val="Microsoft JhengHei"/>
      <family val="2"/>
      <charset val="136"/>
    </font>
    <font>
      <sz val="18"/>
      <color rgb="FFFF0000"/>
      <name val="Noto Sans TC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8"/>
      <color rgb="FFFF0000"/>
      <name val="Microsoft JhengHei U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FF0000"/>
      <name val="細明體"/>
      <family val="1"/>
      <charset val="254"/>
    </font>
    <font>
      <sz val="16"/>
      <color theme="4"/>
      <name val="Noto Sans TC Medium"/>
      <family val="2"/>
      <charset val="136"/>
    </font>
    <font>
      <sz val="16"/>
      <color theme="4"/>
      <name val="Noto Sans TC Medium"/>
      <family val="2"/>
    </font>
    <font>
      <b/>
      <sz val="16"/>
      <color theme="3" tint="0.499984740745262"/>
      <name val="Noto Sans TC Medium"/>
      <family val="2"/>
      <charset val="136"/>
    </font>
    <font>
      <b/>
      <sz val="18"/>
      <color theme="1"/>
      <name val="Charis SIL"/>
    </font>
    <font>
      <sz val="18"/>
      <color rgb="FF000000"/>
      <name val="細明體"/>
      <family val="1"/>
      <charset val="136"/>
    </font>
    <font>
      <sz val="16"/>
      <color rgb="FFC00000"/>
      <name val="Noto Sans TC Medium"/>
      <family val="2"/>
      <charset val="136"/>
    </font>
    <font>
      <sz val="16"/>
      <color theme="8" tint="0.79998168889431442"/>
      <name val="Noto Sans TC Medium"/>
      <family val="2"/>
      <charset val="136"/>
    </font>
    <font>
      <sz val="16"/>
      <color rgb="FFFFFFCC"/>
      <name val="Noto Sans TC Medium"/>
      <family val="2"/>
      <charset val="136"/>
    </font>
    <font>
      <sz val="16"/>
      <color theme="3" tint="0.749992370372631"/>
      <name val="Noto Sans TC Medium"/>
      <family val="2"/>
      <charset val="136"/>
    </font>
    <font>
      <sz val="16"/>
      <color theme="3" tint="0.249977111117893"/>
      <name val="Noto Sans TC Medium"/>
      <family val="2"/>
    </font>
    <font>
      <b/>
      <sz val="14"/>
      <color rgb="FF000000"/>
      <name val="Charis Medium"/>
    </font>
    <font>
      <b/>
      <sz val="14"/>
      <color rgb="FF000000"/>
      <name val="微軟正黑體"/>
      <family val="2"/>
      <charset val="136"/>
    </font>
    <font>
      <sz val="14"/>
      <color theme="1"/>
      <name val="Charis Medium"/>
    </font>
    <font>
      <sz val="14"/>
      <color rgb="FF000000"/>
      <name val="Charis Medium"/>
    </font>
    <font>
      <b/>
      <sz val="14"/>
      <color rgb="FFC00000"/>
      <name val="Charis Medium"/>
    </font>
    <font>
      <sz val="14"/>
      <color theme="8"/>
      <name val="Charis Medium"/>
    </font>
    <font>
      <b/>
      <sz val="14"/>
      <color rgb="FFC00000"/>
      <name val="Noto Sans"/>
      <family val="2"/>
    </font>
    <font>
      <b/>
      <sz val="18"/>
      <color rgb="FFFF0000"/>
      <name val="Noto Sans"/>
      <family val="2"/>
    </font>
    <font>
      <sz val="18"/>
      <name val="Noto Sans"/>
      <family val="2"/>
    </font>
    <font>
      <sz val="18"/>
      <color rgb="FF000000"/>
      <name val="霞鶩文楷 TC Medium"/>
      <family val="1"/>
      <charset val="136"/>
    </font>
    <font>
      <sz val="18"/>
      <color rgb="FFFF0000"/>
      <name val="霞鶩文楷 TC Medium"/>
      <family val="1"/>
      <charset val="136"/>
    </font>
    <font>
      <sz val="18"/>
      <name val="霞鶩文楷 TC Medium"/>
      <family val="1"/>
      <charset val="136"/>
    </font>
    <font>
      <sz val="36"/>
      <color rgb="FF000000"/>
      <name val="字咍源流明體 台羅方音 B"/>
      <family val="1"/>
      <charset val="136"/>
    </font>
    <font>
      <sz val="36"/>
      <color rgb="FFFF0000"/>
      <name val="字咍源流明體 台羅方音 B"/>
      <family val="1"/>
      <charset val="136"/>
    </font>
    <font>
      <sz val="24"/>
      <color theme="1"/>
      <name val="Noto Sans TC Medium"/>
      <family val="2"/>
    </font>
    <font>
      <sz val="24"/>
      <color rgb="FFFF0000"/>
      <name val="Noto Sans TC Medium"/>
      <family val="2"/>
    </font>
    <font>
      <sz val="24"/>
      <color theme="2"/>
      <name val="Noto Sans TC Medium"/>
      <family val="2"/>
    </font>
    <font>
      <sz val="24"/>
      <color theme="2"/>
      <name val="Noto Sans TC Medium"/>
      <family val="2"/>
      <charset val="136"/>
    </font>
    <font>
      <sz val="16"/>
      <color theme="2"/>
      <name val="Noto Sans TC Medium"/>
      <family val="2"/>
      <charset val="136"/>
    </font>
    <font>
      <sz val="24"/>
      <color rgb="FFFF0000"/>
      <name val="Noto Sans TC Medium"/>
      <family val="2"/>
      <charset val="136"/>
    </font>
    <font>
      <sz val="16"/>
      <color theme="8" tint="0.39997558519241921"/>
      <name val="Noto Sans TC Medium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1" fillId="0" borderId="0">
      <alignment vertical="center"/>
    </xf>
  </cellStyleXfs>
  <cellXfs count="196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0" xfId="4" applyFont="1">
      <alignment vertical="center"/>
    </xf>
    <xf numFmtId="0" fontId="1" fillId="0" borderId="0" xfId="4">
      <alignment vertical="center"/>
    </xf>
    <xf numFmtId="0" fontId="26" fillId="3" borderId="4" xfId="4" applyFont="1" applyFill="1" applyBorder="1" applyAlignment="1">
      <alignment horizontal="center" vertical="center" wrapText="1"/>
    </xf>
    <xf numFmtId="0" fontId="26" fillId="3" borderId="0" xfId="4" applyFont="1" applyFill="1" applyAlignment="1">
      <alignment horizontal="center" vertical="center" wrapText="1"/>
    </xf>
    <xf numFmtId="0" fontId="27" fillId="3" borderId="4" xfId="4" applyFont="1" applyFill="1" applyBorder="1" applyAlignment="1">
      <alignment horizontal="center" vertical="center" wrapText="1"/>
    </xf>
    <xf numFmtId="0" fontId="27" fillId="3" borderId="0" xfId="4" applyFont="1" applyFill="1" applyAlignment="1">
      <alignment horizontal="center" vertical="center" wrapText="1"/>
    </xf>
    <xf numFmtId="0" fontId="29" fillId="0" borderId="0" xfId="4" applyFont="1">
      <alignment vertical="center"/>
    </xf>
    <xf numFmtId="0" fontId="27" fillId="3" borderId="4" xfId="4" applyFont="1" applyFill="1" applyBorder="1" applyAlignment="1">
      <alignment horizontal="left" vertical="center" wrapText="1" indent="1"/>
    </xf>
    <xf numFmtId="0" fontId="30" fillId="3" borderId="4" xfId="4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27" fillId="3" borderId="0" xfId="4" applyFont="1" applyFill="1" applyAlignment="1">
      <alignment horizontal="left" vertical="center" wrapText="1" indent="1"/>
    </xf>
    <xf numFmtId="0" fontId="0" fillId="6" borderId="1" xfId="0" applyFill="1" applyBorder="1" applyAlignment="1">
      <alignment horizontal="center" vertical="center"/>
    </xf>
    <xf numFmtId="0" fontId="33" fillId="5" borderId="1" xfId="0" quotePrefix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left" vertical="center" indent="2"/>
    </xf>
    <xf numFmtId="0" fontId="31" fillId="0" borderId="0" xfId="4" applyFont="1">
      <alignment vertical="center"/>
    </xf>
    <xf numFmtId="0" fontId="35" fillId="0" borderId="0" xfId="4" applyFont="1">
      <alignment vertical="center"/>
    </xf>
    <xf numFmtId="0" fontId="31" fillId="0" borderId="0" xfId="4" applyFont="1" applyAlignment="1">
      <alignment horizontal="center" vertical="center"/>
    </xf>
    <xf numFmtId="0" fontId="35" fillId="0" borderId="0" xfId="4" applyFont="1" applyAlignment="1">
      <alignment horizontal="left" vertical="center"/>
    </xf>
    <xf numFmtId="0" fontId="34" fillId="0" borderId="0" xfId="4" applyFont="1" applyAlignment="1">
      <alignment horizontal="center" vertical="center"/>
    </xf>
    <xf numFmtId="0" fontId="36" fillId="3" borderId="4" xfId="4" applyFont="1" applyFill="1" applyBorder="1" applyAlignment="1">
      <alignment horizontal="center" vertical="center" wrapText="1"/>
    </xf>
    <xf numFmtId="0" fontId="37" fillId="3" borderId="4" xfId="4" applyFont="1" applyFill="1" applyBorder="1" applyAlignment="1">
      <alignment horizontal="center" vertical="center" wrapText="1"/>
    </xf>
    <xf numFmtId="0" fontId="32" fillId="0" borderId="0" xfId="4" applyFont="1">
      <alignment vertical="center"/>
    </xf>
    <xf numFmtId="0" fontId="38" fillId="0" borderId="0" xfId="4" applyFont="1">
      <alignment vertical="center"/>
    </xf>
    <xf numFmtId="0" fontId="39" fillId="0" borderId="0" xfId="4" applyFont="1" applyAlignment="1">
      <alignment horizontal="center" vertical="center"/>
    </xf>
    <xf numFmtId="0" fontId="32" fillId="0" borderId="0" xfId="4" applyFont="1" applyAlignment="1">
      <alignment horizontal="center" vertical="center"/>
    </xf>
    <xf numFmtId="0" fontId="40" fillId="0" borderId="0" xfId="4" applyFont="1">
      <alignment vertical="center"/>
    </xf>
    <xf numFmtId="0" fontId="41" fillId="0" borderId="0" xfId="4" applyFont="1" applyAlignment="1">
      <alignment horizontal="center" vertical="center"/>
    </xf>
    <xf numFmtId="0" fontId="42" fillId="3" borderId="4" xfId="4" applyFont="1" applyFill="1" applyBorder="1" applyAlignment="1">
      <alignment horizontal="left" vertical="center" wrapText="1" indent="1"/>
    </xf>
    <xf numFmtId="0" fontId="0" fillId="6" borderId="0" xfId="0" applyFill="1">
      <alignment vertical="center"/>
    </xf>
    <xf numFmtId="0" fontId="44" fillId="6" borderId="4" xfId="4" applyFont="1" applyFill="1" applyBorder="1" applyAlignment="1">
      <alignment horizontal="left" vertical="center" wrapText="1" indent="1"/>
    </xf>
    <xf numFmtId="0" fontId="30" fillId="6" borderId="4" xfId="4" applyFont="1" applyFill="1" applyBorder="1" applyAlignment="1">
      <alignment horizontal="center" vertical="center" wrapText="1"/>
    </xf>
    <xf numFmtId="0" fontId="45" fillId="6" borderId="4" xfId="4" applyFont="1" applyFill="1" applyBorder="1" applyAlignment="1">
      <alignment horizontal="left" vertical="center" wrapText="1" indent="1"/>
    </xf>
    <xf numFmtId="0" fontId="31" fillId="0" borderId="0" xfId="4" applyFont="1" applyAlignment="1">
      <alignment horizontal="left" vertical="center"/>
    </xf>
    <xf numFmtId="0" fontId="47" fillId="4" borderId="4" xfId="4" applyFont="1" applyFill="1" applyBorder="1" applyAlignment="1">
      <alignment horizontal="left" vertical="center" wrapText="1" indent="1"/>
    </xf>
    <xf numFmtId="0" fontId="46" fillId="4" borderId="4" xfId="4" applyFont="1" applyFill="1" applyBorder="1" applyAlignment="1">
      <alignment horizontal="left" vertical="center" wrapText="1" indent="1"/>
    </xf>
    <xf numFmtId="0" fontId="43" fillId="4" borderId="4" xfId="4" applyFont="1" applyFill="1" applyBorder="1" applyAlignment="1">
      <alignment horizontal="center" vertical="center" wrapText="1"/>
    </xf>
    <xf numFmtId="0" fontId="49" fillId="4" borderId="4" xfId="4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23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24" fillId="7" borderId="1" xfId="0" applyFont="1" applyFill="1" applyBorder="1">
      <alignment vertical="center"/>
    </xf>
    <xf numFmtId="0" fontId="23" fillId="7" borderId="1" xfId="0" applyFont="1" applyFill="1" applyBorder="1" applyAlignment="1">
      <alignment horizontal="left" vertical="center" indent="2"/>
    </xf>
    <xf numFmtId="0" fontId="17" fillId="6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11" xfId="0" applyFill="1" applyBorder="1">
      <alignment vertical="center"/>
    </xf>
    <xf numFmtId="0" fontId="0" fillId="8" borderId="6" xfId="0" applyFill="1" applyBorder="1">
      <alignment vertical="center"/>
    </xf>
    <xf numFmtId="0" fontId="32" fillId="0" borderId="0" xfId="0" applyFont="1" applyAlignment="1">
      <alignment horizontal="center" vertical="center"/>
    </xf>
    <xf numFmtId="0" fontId="30" fillId="3" borderId="12" xfId="4" applyFont="1" applyFill="1" applyBorder="1" applyAlignment="1">
      <alignment horizontal="center" vertical="center" wrapText="1"/>
    </xf>
    <xf numFmtId="0" fontId="27" fillId="3" borderId="12" xfId="4" applyFont="1" applyFill="1" applyBorder="1" applyAlignment="1">
      <alignment horizontal="left" vertical="center" wrapText="1" indent="1"/>
    </xf>
    <xf numFmtId="0" fontId="53" fillId="4" borderId="4" xfId="4" applyFont="1" applyFill="1" applyBorder="1" applyAlignment="1">
      <alignment horizontal="left" vertical="center" wrapText="1" indent="1"/>
    </xf>
    <xf numFmtId="0" fontId="43" fillId="4" borderId="4" xfId="4" applyFont="1" applyFill="1" applyBorder="1" applyAlignment="1">
      <alignment horizontal="left" vertical="center" wrapText="1" indent="1"/>
    </xf>
    <xf numFmtId="0" fontId="54" fillId="3" borderId="4" xfId="4" applyFont="1" applyFill="1" applyBorder="1" applyAlignment="1">
      <alignment horizontal="left" vertical="center" wrapText="1" indent="1"/>
    </xf>
    <xf numFmtId="0" fontId="56" fillId="4" borderId="4" xfId="4" applyFont="1" applyFill="1" applyBorder="1" applyAlignment="1">
      <alignment horizontal="left" vertical="center" wrapText="1" indent="1"/>
    </xf>
    <xf numFmtId="0" fontId="0" fillId="8" borderId="2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7" xfId="0" applyFill="1" applyBorder="1">
      <alignment vertical="center"/>
    </xf>
    <xf numFmtId="0" fontId="0" fillId="6" borderId="9" xfId="0" applyFill="1" applyBorder="1">
      <alignment vertical="center"/>
    </xf>
    <xf numFmtId="0" fontId="58" fillId="2" borderId="1" xfId="0" applyFont="1" applyFill="1" applyBorder="1" applyAlignment="1">
      <alignment horizontal="center" vertical="center"/>
    </xf>
    <xf numFmtId="0" fontId="58" fillId="2" borderId="11" xfId="0" applyFont="1" applyFill="1" applyBorder="1">
      <alignment vertical="center"/>
    </xf>
    <xf numFmtId="0" fontId="58" fillId="2" borderId="13" xfId="0" applyFont="1" applyFill="1" applyBorder="1">
      <alignment vertical="center"/>
    </xf>
    <xf numFmtId="0" fontId="60" fillId="6" borderId="1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left" vertical="center" indent="2"/>
    </xf>
    <xf numFmtId="0" fontId="0" fillId="0" borderId="3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0" fillId="7" borderId="2" xfId="0" applyFill="1" applyBorder="1" applyAlignment="1">
      <alignment horizontal="left" vertical="center" indent="4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4" fillId="3" borderId="4" xfId="4" applyFont="1" applyFill="1" applyBorder="1" applyAlignment="1">
      <alignment horizontal="center" vertical="center" wrapText="1"/>
    </xf>
    <xf numFmtId="0" fontId="61" fillId="3" borderId="4" xfId="4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7" borderId="0" xfId="0" applyFill="1">
      <alignment vertical="center"/>
    </xf>
    <xf numFmtId="0" fontId="0" fillId="0" borderId="11" xfId="0" applyBorder="1">
      <alignment vertical="center"/>
    </xf>
    <xf numFmtId="0" fontId="0" fillId="0" borderId="6" xfId="0" applyBorder="1">
      <alignment vertical="center"/>
    </xf>
    <xf numFmtId="0" fontId="62" fillId="7" borderId="1" xfId="0" applyFont="1" applyFill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0" fontId="0" fillId="11" borderId="9" xfId="0" applyFill="1" applyBorder="1">
      <alignment vertical="center"/>
    </xf>
    <xf numFmtId="0" fontId="65" fillId="0" borderId="15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66" fillId="12" borderId="15" xfId="0" applyFont="1" applyFill="1" applyBorder="1" applyAlignment="1">
      <alignment horizontal="center" vertical="center"/>
    </xf>
    <xf numFmtId="0" fontId="67" fillId="3" borderId="12" xfId="4" applyFont="1" applyFill="1" applyBorder="1" applyAlignment="1">
      <alignment horizontal="center" vertical="center" wrapText="1"/>
    </xf>
    <xf numFmtId="0" fontId="67" fillId="6" borderId="4" xfId="4" applyFont="1" applyFill="1" applyBorder="1" applyAlignment="1">
      <alignment horizontal="center" vertical="center" wrapText="1"/>
    </xf>
    <xf numFmtId="0" fontId="69" fillId="0" borderId="0" xfId="4" applyFont="1">
      <alignment vertical="center"/>
    </xf>
    <xf numFmtId="0" fontId="70" fillId="3" borderId="12" xfId="4" applyFont="1" applyFill="1" applyBorder="1" applyAlignment="1">
      <alignment horizontal="left" vertical="center" wrapText="1" indent="1"/>
    </xf>
    <xf numFmtId="0" fontId="71" fillId="6" borderId="4" xfId="4" applyFont="1" applyFill="1" applyBorder="1" applyAlignment="1">
      <alignment horizontal="left" vertical="center" wrapText="1" indent="1"/>
    </xf>
    <xf numFmtId="0" fontId="72" fillId="6" borderId="4" xfId="4" applyFont="1" applyFill="1" applyBorder="1" applyAlignment="1">
      <alignment horizontal="left" vertical="center" wrapText="1" indent="1"/>
    </xf>
    <xf numFmtId="0" fontId="73" fillId="6" borderId="4" xfId="4" applyFont="1" applyFill="1" applyBorder="1" applyAlignment="1">
      <alignment horizontal="left" vertical="center" wrapText="1" indent="1"/>
    </xf>
    <xf numFmtId="0" fontId="70" fillId="3" borderId="16" xfId="4" applyFont="1" applyFill="1" applyBorder="1" applyAlignment="1">
      <alignment horizontal="left" vertical="center" wrapText="1" indent="1"/>
    </xf>
    <xf numFmtId="0" fontId="71" fillId="6" borderId="17" xfId="4" applyFont="1" applyFill="1" applyBorder="1" applyAlignment="1">
      <alignment horizontal="left" vertical="center" wrapText="1" indent="1"/>
    </xf>
    <xf numFmtId="0" fontId="72" fillId="6" borderId="17" xfId="4" applyFont="1" applyFill="1" applyBorder="1" applyAlignment="1">
      <alignment horizontal="left" vertical="center" wrapText="1" indent="1"/>
    </xf>
    <xf numFmtId="0" fontId="27" fillId="13" borderId="4" xfId="4" applyFont="1" applyFill="1" applyBorder="1" applyAlignment="1">
      <alignment horizontal="left" vertical="center" wrapText="1" indent="1"/>
    </xf>
    <xf numFmtId="0" fontId="28" fillId="13" borderId="4" xfId="4" applyFont="1" applyFill="1" applyBorder="1" applyAlignment="1">
      <alignment horizontal="left" vertical="center" wrapText="1" indent="1"/>
    </xf>
    <xf numFmtId="0" fontId="28" fillId="14" borderId="4" xfId="4" applyFont="1" applyFill="1" applyBorder="1" applyAlignment="1">
      <alignment horizontal="left" vertical="center" wrapText="1" indent="1"/>
    </xf>
    <xf numFmtId="0" fontId="75" fillId="13" borderId="4" xfId="4" applyFont="1" applyFill="1" applyBorder="1" applyAlignment="1">
      <alignment horizontal="left" vertical="center" wrapText="1" indent="1"/>
    </xf>
    <xf numFmtId="0" fontId="75" fillId="14" borderId="4" xfId="4" applyFont="1" applyFill="1" applyBorder="1" applyAlignment="1">
      <alignment horizontal="left" vertical="center" wrapText="1" indent="1"/>
    </xf>
    <xf numFmtId="0" fontId="74" fillId="13" borderId="4" xfId="4" applyFont="1" applyFill="1" applyBorder="1" applyAlignment="1">
      <alignment horizontal="left" vertical="center" wrapText="1" indent="1"/>
    </xf>
    <xf numFmtId="0" fontId="76" fillId="3" borderId="4" xfId="4" applyFont="1" applyFill="1" applyBorder="1" applyAlignment="1">
      <alignment horizontal="left" vertical="center" wrapText="1" indent="1"/>
    </xf>
    <xf numFmtId="0" fontId="77" fillId="4" borderId="4" xfId="4" applyFont="1" applyFill="1" applyBorder="1" applyAlignment="1">
      <alignment horizontal="left" vertical="center" wrapText="1" indent="1"/>
    </xf>
    <xf numFmtId="0" fontId="76" fillId="13" borderId="4" xfId="4" applyFont="1" applyFill="1" applyBorder="1" applyAlignment="1">
      <alignment horizontal="left" vertical="center" wrapText="1" indent="1"/>
    </xf>
    <xf numFmtId="0" fontId="77" fillId="13" borderId="4" xfId="4" applyFont="1" applyFill="1" applyBorder="1" applyAlignment="1">
      <alignment horizontal="left" vertical="center" wrapText="1" indent="1"/>
    </xf>
    <xf numFmtId="0" fontId="78" fillId="13" borderId="4" xfId="4" applyFont="1" applyFill="1" applyBorder="1" applyAlignment="1">
      <alignment horizontal="left" vertical="center" wrapText="1" indent="1"/>
    </xf>
    <xf numFmtId="0" fontId="79" fillId="3" borderId="0" xfId="4" applyFont="1" applyFill="1" applyAlignment="1">
      <alignment horizontal="center" vertical="center" wrapText="1"/>
    </xf>
    <xf numFmtId="0" fontId="80" fillId="3" borderId="0" xfId="4" applyFont="1" applyFill="1" applyAlignment="1">
      <alignment horizontal="center" vertical="center" wrapText="1"/>
    </xf>
    <xf numFmtId="0" fontId="42" fillId="3" borderId="0" xfId="4" applyFont="1" applyFill="1" applyAlignment="1">
      <alignment horizontal="left" vertical="center" wrapText="1" indent="1"/>
    </xf>
    <xf numFmtId="0" fontId="30" fillId="3" borderId="18" xfId="4" applyFont="1" applyFill="1" applyBorder="1" applyAlignment="1">
      <alignment horizontal="center" vertical="center" wrapText="1"/>
    </xf>
    <xf numFmtId="0" fontId="59" fillId="2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2" fillId="9" borderId="1" xfId="0" applyFont="1" applyFill="1" applyBorder="1">
      <alignment vertical="center"/>
    </xf>
    <xf numFmtId="0" fontId="6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0" fontId="57" fillId="2" borderId="1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87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19" fillId="0" borderId="0" xfId="0" applyFont="1" applyFill="1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left" vertical="center" indent="2"/>
    </xf>
    <xf numFmtId="0" fontId="5" fillId="0" borderId="19" xfId="0" applyFont="1" applyFill="1" applyBorder="1" applyAlignment="1">
      <alignment horizontal="center" vertical="center"/>
    </xf>
    <xf numFmtId="0" fontId="0" fillId="6" borderId="19" xfId="0" applyFill="1" applyBorder="1">
      <alignment vertical="center"/>
    </xf>
    <xf numFmtId="0" fontId="81" fillId="0" borderId="19" xfId="0" applyFont="1" applyBorder="1" applyAlignment="1">
      <alignment horizontal="left" vertical="center" indent="2"/>
    </xf>
    <xf numFmtId="0" fontId="82" fillId="0" borderId="19" xfId="0" applyFont="1" applyBorder="1" applyAlignment="1">
      <alignment horizontal="left" vertical="center" indent="2"/>
    </xf>
    <xf numFmtId="0" fontId="2" fillId="4" borderId="19" xfId="0" applyFont="1" applyFill="1" applyBorder="1">
      <alignment vertical="center"/>
    </xf>
    <xf numFmtId="0" fontId="17" fillId="14" borderId="19" xfId="0" applyFont="1" applyFill="1" applyBorder="1">
      <alignment vertical="center"/>
    </xf>
    <xf numFmtId="0" fontId="8" fillId="0" borderId="19" xfId="0" applyFont="1" applyFill="1" applyBorder="1" applyAlignment="1">
      <alignment horizontal="center" vertical="center"/>
    </xf>
    <xf numFmtId="0" fontId="17" fillId="6" borderId="19" xfId="0" applyFont="1" applyFill="1" applyBorder="1">
      <alignment vertical="center"/>
    </xf>
    <xf numFmtId="0" fontId="86" fillId="0" borderId="19" xfId="0" applyFont="1" applyBorder="1" applyAlignment="1">
      <alignment horizontal="left" vertical="center" indent="2"/>
    </xf>
    <xf numFmtId="0" fontId="86" fillId="4" borderId="19" xfId="0" applyFont="1" applyFill="1" applyBorder="1" applyAlignment="1">
      <alignment horizontal="left" vertical="center" indent="2"/>
    </xf>
    <xf numFmtId="0" fontId="18" fillId="0" borderId="19" xfId="0" applyFont="1" applyFill="1" applyBorder="1" applyAlignment="1">
      <alignment horizontal="center" vertical="center"/>
    </xf>
    <xf numFmtId="0" fontId="0" fillId="0" borderId="20" xfId="0" applyBorder="1">
      <alignment vertical="center"/>
    </xf>
    <xf numFmtId="0" fontId="17" fillId="0" borderId="20" xfId="0" applyFont="1" applyBorder="1">
      <alignment vertical="center"/>
    </xf>
    <xf numFmtId="0" fontId="0" fillId="0" borderId="21" xfId="0" applyBorder="1">
      <alignment vertical="center"/>
    </xf>
    <xf numFmtId="0" fontId="87" fillId="0" borderId="21" xfId="0" applyFont="1" applyBorder="1">
      <alignment vertical="center"/>
    </xf>
    <xf numFmtId="0" fontId="2" fillId="0" borderId="21" xfId="0" applyFont="1" applyBorder="1">
      <alignment vertical="center"/>
    </xf>
    <xf numFmtId="0" fontId="19" fillId="0" borderId="21" xfId="0" applyFont="1" applyBorder="1">
      <alignment vertical="center"/>
    </xf>
    <xf numFmtId="0" fontId="58" fillId="2" borderId="22" xfId="0" applyFont="1" applyFill="1" applyBorder="1" applyAlignment="1">
      <alignment horizontal="center" vertical="center"/>
    </xf>
    <xf numFmtId="0" fontId="58" fillId="2" borderId="23" xfId="0" applyFont="1" applyFill="1" applyBorder="1" applyAlignment="1">
      <alignment horizontal="center" vertical="center"/>
    </xf>
    <xf numFmtId="0" fontId="58" fillId="2" borderId="24" xfId="0" applyFont="1" applyFill="1" applyBorder="1" applyAlignment="1">
      <alignment horizontal="center" vertical="center"/>
    </xf>
    <xf numFmtId="0" fontId="17" fillId="0" borderId="25" xfId="0" applyFont="1" applyBorder="1">
      <alignment vertical="center"/>
    </xf>
    <xf numFmtId="0" fontId="85" fillId="0" borderId="26" xfId="0" applyFont="1" applyBorder="1">
      <alignment vertical="center"/>
    </xf>
    <xf numFmtId="0" fontId="0" fillId="0" borderId="26" xfId="0" applyBorder="1" applyAlignment="1">
      <alignment horizontal="left" vertical="center" indent="2"/>
    </xf>
    <xf numFmtId="0" fontId="5" fillId="0" borderId="26" xfId="0" applyFont="1" applyFill="1" applyBorder="1" applyAlignment="1">
      <alignment horizontal="center" vertical="center"/>
    </xf>
    <xf numFmtId="0" fontId="85" fillId="6" borderId="26" xfId="0" applyFont="1" applyFill="1" applyBorder="1">
      <alignment vertical="center"/>
    </xf>
    <xf numFmtId="0" fontId="83" fillId="0" borderId="26" xfId="0" applyFont="1" applyBorder="1" applyAlignment="1">
      <alignment horizontal="left" vertical="center" indent="2"/>
    </xf>
    <xf numFmtId="0" fontId="84" fillId="0" borderId="26" xfId="0" applyFont="1" applyBorder="1" applyAlignment="1">
      <alignment horizontal="left" vertical="center" indent="2"/>
    </xf>
    <xf numFmtId="0" fontId="81" fillId="0" borderId="26" xfId="0" applyFont="1" applyBorder="1" applyAlignment="1">
      <alignment horizontal="left" vertical="center" indent="2"/>
    </xf>
    <xf numFmtId="0" fontId="0" fillId="0" borderId="27" xfId="0" applyBorder="1">
      <alignment vertical="center"/>
    </xf>
  </cellXfs>
  <cellStyles count="5">
    <cellStyle name="一般" xfId="0" builtinId="0"/>
    <cellStyle name="一般 2" xfId="3" xr:uid="{A038E3EC-A179-46A7-BFF6-73E593261D7C}"/>
    <cellStyle name="一般 3" xfId="1" xr:uid="{0D0E4F11-2A76-4046-877C-929132571B97}"/>
    <cellStyle name="一般 4" xfId="4" xr:uid="{E932D2E5-AF16-4FFA-AB0C-5F7E179E4D03}"/>
    <cellStyle name="一般 5" xfId="2" xr:uid="{8C9CBB70-72B8-491C-A1A5-535BA1FE1D69}"/>
  </cellStyles>
  <dxfs count="9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8"/>
        <name val="Charis SIL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alignment horizontal="left" vertical="center" textRotation="0" wrapText="0" indent="2" justifyLastLine="0" shrinkToFit="0" readingOrder="0"/>
    </dxf>
    <dxf>
      <border diagonalUp="0" diagonalDown="0">
        <left style="thin">
          <color theme="2" tint="-9.9978637043366805E-2"/>
        </left>
        <right/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alignment horizontal="left" vertical="center" textRotation="0" wrapText="0" indent="2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border outline="0">
        <top style="thin">
          <color theme="2" tint="-9.9978637043366805E-2"/>
        </top>
      </border>
    </dxf>
    <dxf>
      <border outline="0">
        <bottom style="thin">
          <color theme="2" tint="-9.9978637043366805E-2"/>
        </bottom>
      </border>
    </dxf>
    <dxf>
      <border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numFmt numFmtId="0" formatCode="General"/>
    </dxf>
    <dxf>
      <border outline="0">
        <left style="medium">
          <color rgb="FFDEE2E6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haris Medium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haris Medium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haris Medium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strike val="0"/>
        <outline val="0"/>
        <shadow val="0"/>
        <u val="none"/>
        <vertAlign val="baseline"/>
        <sz val="14"/>
        <name val="Charis Medium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haris Medium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8"/>
        <name val="霞鶩文楷 TC Medium"/>
        <family val="1"/>
        <charset val="136"/>
        <scheme val="none"/>
      </font>
      <numFmt numFmtId="0" formatCode="General"/>
      <border outline="0">
        <left style="medium">
          <color rgb="FFDEE2E6"/>
        </left>
      </border>
    </dxf>
    <dxf>
      <font>
        <strike val="0"/>
        <outline val="0"/>
        <shadow val="0"/>
        <u val="none"/>
        <vertAlign val="baseline"/>
        <sz val="18"/>
        <name val="霞鶩文楷 TC Medium"/>
        <family val="1"/>
        <charset val="136"/>
        <scheme val="none"/>
      </font>
      <fill>
        <patternFill patternType="solid">
          <fgColor indexed="64"/>
          <bgColor theme="0"/>
        </patternFill>
      </fill>
      <border outline="0">
        <left style="medium">
          <color rgb="FFDEE2E6"/>
        </left>
        <right style="medium">
          <color rgb="FFDEE2E6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字咍源流明體 台羅方音 B"/>
        <family val="1"/>
        <charset val="136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24C8E4-9F8D-4169-9EE8-55777C6B793E}" name="聲表" displayName="聲表" ref="A1:M23" totalsRowShown="0" headerRowDxfId="9" dataDxfId="10" headerRowBorderDxfId="25" tableBorderDxfId="26" totalsRowBorderDxfId="24">
  <autoFilter ref="A1:M23" xr:uid="{A324C8E4-9F8D-4169-9EE8-55777C6B793E}"/>
  <tableColumns count="13">
    <tableColumn id="1" xr3:uid="{4C7D70E7-9A1E-4CAC-9DC5-BB1A80174A44}" name="序號" dataDxfId="23"/>
    <tableColumn id="2" xr3:uid="{D1CF8F84-6C89-484D-9AC5-BF09AE901DBE}" name="台羅拼音" dataDxfId="22"/>
    <tableColumn id="3" xr3:uid="{22885F83-8699-4550-AA3B-E707ABB1E342}" name="國際音標" dataDxfId="21"/>
    <tableColumn id="4" xr3:uid="{454AAB4B-612C-42ED-96BC-BD68C3295FB1}" name="漢字例" dataDxfId="20">
      <calculatedColumnFormula>_xlfn.XLOOKUP(B2,聲母對照表[台羅拼音],聲母對照表[漢字例])</calculatedColumnFormula>
    </tableColumn>
    <tableColumn id="5" xr3:uid="{6AE0744D-860E-45BC-9F64-D0D71308CE94}" name="台語音標" dataDxfId="19"/>
    <tableColumn id="6" xr3:uid="{67BFDE45-5EE6-4E9E-9860-C891F37D6733}" name="白話字" dataDxfId="18"/>
    <tableColumn id="7" xr3:uid="{26C37371-216B-4451-AE42-4995C6DD7586}" name="閩拼方案" dataDxfId="17"/>
    <tableColumn id="8" xr3:uid="{D8A2E60F-4CC7-4108-8517-A1E3610A522B}" name="閩拼二式" dataDxfId="16"/>
    <tableColumn id="9" xr3:uid="{82F69243-A376-4EFE-8588-9FA7655BE07B}" name="注音二式" dataDxfId="15"/>
    <tableColumn id="10" xr3:uid="{900FA3B4-A244-4DF1-91B3-EAE760BA7AFE}" name="方音符號" dataDxfId="14"/>
    <tableColumn id="11" xr3:uid="{F6AECD71-38ED-4048-91C3-9419F9A84C0C}" name="台語注音" dataDxfId="13"/>
    <tableColumn id="12" xr3:uid="{ECF94F0B-C41E-4DA8-9311-E0D06BE1642E}" name="十五音" dataDxfId="12"/>
    <tableColumn id="13" xr3:uid="{9F470F15-D943-4F9A-926A-A5034FE0DD95}" name="備註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C1FCAB-FFCF-4AFA-97F8-CD92288218E1}" name="韻表" displayName="韻表" ref="A1:L87" totalsRowShown="0" headerRowDxfId="87" tableBorderDxfId="86" headerRowCellStyle="一般 4">
  <autoFilter ref="A1:L87" xr:uid="{C40E26AF-4D3B-4E1A-8080-AAAFDBD9F514}"/>
  <tableColumns count="12">
    <tableColumn id="1" xr3:uid="{A5B17A29-226F-4EDF-A1CE-2E1CCA6FBDC0}" name="序號" dataDxfId="85" dataCellStyle="一般 4">
      <calculatedColumnFormula xml:space="preserve"> ROW() - 3</calculatedColumnFormula>
    </tableColumn>
    <tableColumn id="3" xr3:uid="{6FA9370C-6CC8-4D58-95FF-C88F1ED1E315}" name="台羅拼音" dataDxfId="84" dataCellStyle="一般 4"/>
    <tableColumn id="2" xr3:uid="{6360A55C-25EA-4FDB-8B5C-1AF90143202C}" name="國際音標" dataDxfId="83" dataCellStyle="一般 4"/>
    <tableColumn id="14" xr3:uid="{34E9CDC0-C745-4BC9-B2F0-2135373AF3E2}" name="漢字例" dataDxfId="82" dataCellStyle="一般 4"/>
    <tableColumn id="4" xr3:uid="{1F4FD8B7-1437-4EFD-AF22-38EB46B446B7}" name="台語音標" dataDxfId="81" dataCellStyle="一般 4"/>
    <tableColumn id="7" xr3:uid="{79325829-140C-4A54-A774-8767C61954C4}" name="白話字" dataDxfId="80" dataCellStyle="一般 4"/>
    <tableColumn id="6" xr3:uid="{EF9A0806-0109-4189-A6B2-FEE5E774F898}" name="閩拼方案" dataDxfId="79" dataCellStyle="一般 4"/>
    <tableColumn id="5" xr3:uid="{E87F746D-E2B9-4B06-984F-7A0A3671A842}" name="台語注音二式" dataDxfId="78" dataCellStyle="一般 4"/>
    <tableColumn id="8" xr3:uid="{27311547-370A-4988-A0CC-0C27D2688479}" name="方音符號" dataDxfId="77"/>
    <tableColumn id="13" xr3:uid="{9AE35ED6-7C63-490B-AFE0-860696A07448}" name="台語注音" dataDxfId="76"/>
    <tableColumn id="9" xr3:uid="{85688317-1DD7-41AD-A3DF-ADDBEB6D7846}" name="十五音" dataDxfId="75" dataCellStyle="一般 4"/>
    <tableColumn id="10" xr3:uid="{4C4FEC53-11A6-422D-B5C7-88FBD483E6CB}" name="附註" dataDxfId="74" dataCellStyle="一般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48E2C-CD3D-4ED2-BDC8-5AB53B6728E4}" name="調表" displayName="調表" ref="A1:I8" totalsRowShown="0" headerRowDxfId="93" headerRowBorderDxfId="92" tableBorderDxfId="91" totalsRowBorderDxfId="90">
  <autoFilter ref="A1:I8" xr:uid="{9C448E2C-CD3D-4ED2-BDC8-5AB53B6728E4}"/>
  <tableColumns count="9">
    <tableColumn id="1" xr3:uid="{B46EBE00-929F-433A-8CEB-034D0DC6906D}" name="序號" dataDxfId="89"/>
    <tableColumn id="4" xr3:uid="{D8F89D5C-E6DC-463B-9685-6EF0D4474D7D}" name="調性" dataDxfId="4"/>
    <tableColumn id="3" xr3:uid="{6CD4E8D7-7EEB-4B3B-8880-1CDF2A3935FB}" name="調值" dataDxfId="3"/>
    <tableColumn id="2" xr3:uid="{0DCBA03B-CD89-497B-A3E4-4BC82EA25A2B}" name="調名" dataDxfId="5"/>
    <tableColumn id="11" xr3:uid="{3BBB1D84-BC25-4466-AD94-217316ACBC14}" name="鍵盤按鍵" dataDxfId="6"/>
    <tableColumn id="12" xr3:uid="{3129550C-0300-4FFF-8A1F-7D3D10C61B7A}" name="閩拼調號" dataDxfId="33"/>
    <tableColumn id="9" xr3:uid="{096D159D-6004-4E03-ABF1-3B8DF0B4C5E8}" name="閩拼方案" dataDxfId="88"/>
    <tableColumn id="7" xr3:uid="{86A0BE39-DEE8-4157-829F-97A8B9AE7B11}" name="台羅拼音" dataDxfId="8"/>
    <tableColumn id="6" xr3:uid="{2ADB8177-FEA4-4F0B-A85D-19BFCA65A11C}" name="台羅調號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D697C5-7651-43C2-B769-73C63DE0A430}" name="上標對照表8" displayName="上標對照表8" ref="N3:O13" totalsRowShown="0" headerRowDxfId="32" headerRowBorderDxfId="30" tableBorderDxfId="31" totalsRowBorderDxfId="29">
  <autoFilter ref="N3:O13" xr:uid="{05BDFC42-94AA-4826-923D-BD9331E1250D}"/>
  <tableColumns count="2">
    <tableColumn id="1" xr3:uid="{95DCE879-0E4A-4444-8069-D484209F9551}" name="調號" dataDxfId="28"/>
    <tableColumn id="2" xr3:uid="{D61128C5-C9D2-4031-8DA9-B4754B6756D3}" name="上標值" dataDxfId="27">
      <calculatedColumnFormula>IFERROR(_xlfn.UNICHAR(CHOOSE($N4+1,8304,185,178,179,8308,8309,8310,8311,8312,8313)),"")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CCEC06-7820-4F0D-9D7F-2B00C9E3542B}" name="台羅國際音標對照表" displayName="台羅國際音標對照表" ref="A1:C109" totalsRowShown="0" headerRowDxfId="73" dataDxfId="72" tableBorderDxfId="71" headerRowCellStyle="一般 4">
  <autoFilter ref="A1:C109" xr:uid="{C40E26AF-4D3B-4E1A-8080-AAAFDBD9F514}"/>
  <tableColumns count="3">
    <tableColumn id="1" xr3:uid="{2D5D0516-73A0-4920-81D3-F64280BA7099}" name="序號" dataDxfId="70" dataCellStyle="一般 4">
      <calculatedColumnFormula xml:space="preserve"> ROW() - 3</calculatedColumnFormula>
    </tableColumn>
    <tableColumn id="2" xr3:uid="{C7E609F0-5CFA-4410-B510-B94FEC26D1A9}" name="國際音標" dataDxfId="69" dataCellStyle="一般 4"/>
    <tableColumn id="3" xr3:uid="{DE2A1903-AF27-4274-895D-0F56A726F859}" name="台羅拼音" dataDxfId="68" dataCellStyle="一般 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527B81-BE0C-4989-8113-79F20236AB33}" name="聲母對照表" displayName="聲母對照表" ref="A1:P23" totalsRowShown="0" headerRowDxfId="51" tableBorderDxfId="50">
  <autoFilter ref="A1:P23" xr:uid="{50527B81-BE0C-4989-8113-79F20236AB33}"/>
  <tableColumns count="16">
    <tableColumn id="2" xr3:uid="{78D5AE39-C891-435E-8D14-C962F474118F}" name="序號" dataDxfId="49">
      <calculatedColumnFormula xml:space="preserve"> ROW()-1</calculatedColumnFormula>
    </tableColumn>
    <tableColumn id="4" xr3:uid="{F9A38440-D11D-45B8-BE95-B6BB0AAAF1E3}" name="台羅拼音" dataDxfId="48"/>
    <tableColumn id="3" xr3:uid="{1335DAED-BD1E-4CE0-98A0-285C07AE05B4}" name="國際音標" dataDxfId="47"/>
    <tableColumn id="5" xr3:uid="{AF657621-3918-4D23-BBFD-13EBF0B27858}" name="台語音標" dataDxfId="46"/>
    <tableColumn id="6" xr3:uid="{C16CB252-C9A4-4CB2-8FDD-82813173CF4D}" name="注音二式" dataDxfId="45"/>
    <tableColumn id="7" xr3:uid="{0D7F03C3-8C58-42B2-B097-C3B2A5C37034}" name="閩拼方案" dataDxfId="44"/>
    <tableColumn id="17" xr3:uid="{C2732E98-04B3-463A-9A21-D0D1EFA2D23A}" name="閩拼二式" dataDxfId="43"/>
    <tableColumn id="8" xr3:uid="{9540CBC9-4FE3-4DE8-90B0-B77F1C52414A}" name="白話字" dataDxfId="42"/>
    <tableColumn id="9" xr3:uid="{D9050C95-564C-4861-B1AE-AA03A7C3DE41}" name="方音符號" dataDxfId="41"/>
    <tableColumn id="10" xr3:uid="{05251E82-C5E0-4833-BDD6-FE5DF5B1D381}" name="台語注音" dataDxfId="40"/>
    <tableColumn id="11" xr3:uid="{315B1262-49A6-4891-8C01-10EC91043A3B}" name="十五音" dataDxfId="39"/>
    <tableColumn id="12" xr3:uid="{DEEC4CA6-6FC2-4991-B54A-56DAB27197B0}" name="漢字例" dataDxfId="38"/>
    <tableColumn id="13" xr3:uid="{C6123364-B523-47FE-9684-7560414EF39F}" name="備註" dataDxfId="37"/>
    <tableColumn id="14" xr3:uid="{6018D2E9-8064-40AC-887E-308DB4B54742}" name="s1" dataDxfId="36"/>
    <tableColumn id="15" xr3:uid="{C1ACEDB0-215C-486F-8C7A-D83ECFA591EB}" name="s2" dataDxfId="35"/>
    <tableColumn id="16" xr3:uid="{E9B4DE26-B82C-4445-854F-C1B5EF3E2F79}" name="s3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1D6042-E56E-409A-81A3-1723503924FC}" name="韻母對照表69" displayName="韻母對照表69" ref="A1:N87" totalsRowShown="0" headerRowDxfId="67" tableBorderDxfId="66" headerRowCellStyle="一般 4">
  <autoFilter ref="A1:N87" xr:uid="{C40E26AF-4D3B-4E1A-8080-AAAFDBD9F514}"/>
  <tableColumns count="14">
    <tableColumn id="1" xr3:uid="{F1A6379C-527E-4C90-AABA-5C339C64B7A9}" name="序號" dataDxfId="65" dataCellStyle="一般 4">
      <calculatedColumnFormula xml:space="preserve"> ROW() - 3</calculatedColumnFormula>
    </tableColumn>
    <tableColumn id="2" xr3:uid="{21623DF2-2277-4A76-AB73-21E21B104986}" name="國際音標" dataDxfId="64" dataCellStyle="一般 4"/>
    <tableColumn id="3" xr3:uid="{B4CDD06B-FB19-4B26-8CF8-D973C101DFCA}" name="台羅拼音" dataDxfId="63" dataCellStyle="一般 4"/>
    <tableColumn id="4" xr3:uid="{37207BCE-7DBE-4156-9330-34F57702D07B}" name="台語音標" dataDxfId="62" dataCellStyle="一般 4"/>
    <tableColumn id="7" xr3:uid="{50C5D5A0-5167-474C-9BD1-F805789B992A}" name="白話字" dataDxfId="61" dataCellStyle="一般 4"/>
    <tableColumn id="5" xr3:uid="{6B1E2C97-A3E4-4F11-B951-66ACC893568C}" name="台語注音二式" dataDxfId="60" dataCellStyle="一般 4"/>
    <tableColumn id="6" xr3:uid="{48BAFF5C-2E43-4252-882E-6CC18379D108}" name="閩拼方案" dataDxfId="59" dataCellStyle="一般 4"/>
    <tableColumn id="8" xr3:uid="{C0953F16-27B7-4A8E-8750-D3E3205DCDFD}" name="方音符號" dataDxfId="58"/>
    <tableColumn id="13" xr3:uid="{0CE4735D-249E-4C44-838B-E00870967EFB}" name="台語注音" dataDxfId="57"/>
    <tableColumn id="9" xr3:uid="{458F87F2-DD6B-41C9-941B-F04B631D7754}" name="十五音" dataDxfId="56" dataCellStyle="一般 4">
      <calculatedColumnFormula xml:space="preserve"> LEFT(韻母對照表69[[#This Row],[十五音識別碼]],1)</calculatedColumnFormula>
    </tableColumn>
    <tableColumn id="14" xr3:uid="{919DB632-5BFA-4200-B94A-2B8D1F04415A}" name="漢字例" dataDxfId="55" dataCellStyle="一般 4"/>
    <tableColumn id="12" xr3:uid="{842A58A2-02BF-4E74-8BD5-61A09EB744EE}" name="十五音識別碼" dataDxfId="54" dataCellStyle="一般 4"/>
    <tableColumn id="10" xr3:uid="{DB92B282-CEAD-470A-819D-5365A33632C4}" name="聲韻調類" dataDxfId="53" dataCellStyle="一般 4"/>
    <tableColumn id="11" xr3:uid="{4B310307-8F0C-4B19-9481-495E4DCA8CB4}" name="字長" dataDxfId="52" dataCellStyle="一般 4">
      <calculatedColumnFormula xml:space="preserve"> LEN(D2)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8012-85E3-4410-BF6F-8322F40DAF24}">
  <dimension ref="A1:Y23"/>
  <sheetViews>
    <sheetView showGridLines="0" workbookViewId="0">
      <pane ySplit="1" topLeftCell="A12" activePane="bottomLeft" state="frozen"/>
      <selection pane="bottomLeft" activeCell="G22" sqref="G22"/>
    </sheetView>
  </sheetViews>
  <sheetFormatPr defaultRowHeight="25.5"/>
  <cols>
    <col min="1" max="1" width="6.4140625" customWidth="1"/>
    <col min="2" max="3" width="9.1640625" customWidth="1"/>
    <col min="4" max="4" width="8.5" customWidth="1"/>
    <col min="5" max="5" width="9.1640625" customWidth="1"/>
    <col min="7" max="12" width="9.1640625" customWidth="1"/>
    <col min="13" max="13" width="23.08203125" bestFit="1" customWidth="1"/>
    <col min="14" max="14" width="8.75" style="161" customWidth="1"/>
  </cols>
  <sheetData>
    <row r="1" spans="1:14">
      <c r="A1" s="184" t="s">
        <v>654</v>
      </c>
      <c r="B1" s="185" t="s">
        <v>6</v>
      </c>
      <c r="C1" s="185" t="s">
        <v>2</v>
      </c>
      <c r="D1" s="185" t="s">
        <v>2023</v>
      </c>
      <c r="E1" s="185" t="s">
        <v>5</v>
      </c>
      <c r="F1" s="185" t="s">
        <v>7</v>
      </c>
      <c r="G1" s="185" t="s">
        <v>8</v>
      </c>
      <c r="H1" s="185" t="s">
        <v>1796</v>
      </c>
      <c r="I1" s="185" t="s">
        <v>9</v>
      </c>
      <c r="J1" s="185" t="s">
        <v>4</v>
      </c>
      <c r="K1" s="185" t="s">
        <v>1599</v>
      </c>
      <c r="L1" s="185" t="s">
        <v>649</v>
      </c>
      <c r="M1" s="186" t="s">
        <v>480</v>
      </c>
      <c r="N1" s="160"/>
    </row>
    <row r="2" spans="1:14" ht="39">
      <c r="A2" s="178">
        <v>1</v>
      </c>
      <c r="B2" s="165" t="s">
        <v>486</v>
      </c>
      <c r="C2" s="166" t="s">
        <v>486</v>
      </c>
      <c r="D2" s="167" t="str">
        <f>_xlfn.XLOOKUP(B2,聲母對照表[台羅拼音],聲母對照表[漢字例])</f>
        <v>比</v>
      </c>
      <c r="E2" s="165" t="s">
        <v>486</v>
      </c>
      <c r="F2" s="165" t="s">
        <v>486</v>
      </c>
      <c r="G2" s="165" t="s">
        <v>489</v>
      </c>
      <c r="H2" s="165" t="s">
        <v>489</v>
      </c>
      <c r="I2" s="168" t="s">
        <v>489</v>
      </c>
      <c r="J2" s="169" t="s">
        <v>488</v>
      </c>
      <c r="K2" s="169" t="s">
        <v>488</v>
      </c>
      <c r="L2" s="169" t="s">
        <v>487</v>
      </c>
      <c r="M2" s="180" t="s">
        <v>2013</v>
      </c>
    </row>
    <row r="3" spans="1:14" ht="39">
      <c r="A3" s="178">
        <v>2</v>
      </c>
      <c r="B3" s="165" t="s">
        <v>489</v>
      </c>
      <c r="C3" s="166" t="s">
        <v>489</v>
      </c>
      <c r="D3" s="167" t="str">
        <f>_xlfn.XLOOKUP(B3,聲母對照表[台羅拼音],聲母對照表[漢字例])</f>
        <v>美</v>
      </c>
      <c r="E3" s="165" t="s">
        <v>489</v>
      </c>
      <c r="F3" s="165" t="s">
        <v>489</v>
      </c>
      <c r="G3" s="165" t="s">
        <v>537</v>
      </c>
      <c r="H3" s="165" t="s">
        <v>537</v>
      </c>
      <c r="I3" s="168" t="s">
        <v>537</v>
      </c>
      <c r="J3" s="169" t="s">
        <v>536</v>
      </c>
      <c r="K3" s="170" t="s">
        <v>1602</v>
      </c>
      <c r="L3" s="169" t="s">
        <v>535</v>
      </c>
      <c r="M3" s="181" t="s">
        <v>2012</v>
      </c>
      <c r="N3" s="162"/>
    </row>
    <row r="4" spans="1:14" ht="39">
      <c r="A4" s="178">
        <v>3</v>
      </c>
      <c r="B4" s="165" t="s">
        <v>509</v>
      </c>
      <c r="C4" s="166" t="s">
        <v>506</v>
      </c>
      <c r="D4" s="167" t="str">
        <f>_xlfn.XLOOKUP(B4,聲母對照表[台羅拼音],聲母對照表[漢字例])</f>
        <v>鄙</v>
      </c>
      <c r="E4" s="165" t="s">
        <v>509</v>
      </c>
      <c r="F4" s="165" t="s">
        <v>509</v>
      </c>
      <c r="G4" s="165" t="s">
        <v>486</v>
      </c>
      <c r="H4" s="165" t="s">
        <v>486</v>
      </c>
      <c r="I4" s="168" t="s">
        <v>486</v>
      </c>
      <c r="J4" s="169" t="s">
        <v>508</v>
      </c>
      <c r="K4" s="169" t="s">
        <v>508</v>
      </c>
      <c r="L4" s="169" t="s">
        <v>507</v>
      </c>
      <c r="M4" s="180" t="s">
        <v>2014</v>
      </c>
    </row>
    <row r="5" spans="1:14" ht="39">
      <c r="A5" s="178">
        <v>4</v>
      </c>
      <c r="B5" s="165" t="s">
        <v>413</v>
      </c>
      <c r="C5" s="166" t="s">
        <v>413</v>
      </c>
      <c r="D5" s="167" t="str">
        <f>_xlfn.XLOOKUP(B5,聲母對照表[台羅拼音],聲母對照表[漢字例])</f>
        <v>毛</v>
      </c>
      <c r="E5" s="165" t="s">
        <v>413</v>
      </c>
      <c r="F5" s="165" t="s">
        <v>413</v>
      </c>
      <c r="G5" s="165" t="s">
        <v>554</v>
      </c>
      <c r="H5" s="171" t="s">
        <v>735</v>
      </c>
      <c r="I5" s="168" t="s">
        <v>413</v>
      </c>
      <c r="J5" s="169" t="s">
        <v>553</v>
      </c>
      <c r="K5" s="169" t="s">
        <v>553</v>
      </c>
      <c r="L5" s="169" t="s">
        <v>552</v>
      </c>
      <c r="M5" s="182" t="s">
        <v>2011</v>
      </c>
      <c r="N5" s="163"/>
    </row>
    <row r="6" spans="1:14" ht="39">
      <c r="A6" s="178">
        <v>5</v>
      </c>
      <c r="B6" s="165" t="s">
        <v>501</v>
      </c>
      <c r="C6" s="166" t="s">
        <v>501</v>
      </c>
      <c r="D6" s="167" t="str">
        <f>_xlfn.XLOOKUP(B6,聲母對照表[台羅拼音],聲母對照表[漢字例])</f>
        <v>底</v>
      </c>
      <c r="E6" s="165" t="s">
        <v>501</v>
      </c>
      <c r="F6" s="165" t="s">
        <v>501</v>
      </c>
      <c r="G6" s="165" t="s">
        <v>504</v>
      </c>
      <c r="H6" s="165" t="s">
        <v>504</v>
      </c>
      <c r="I6" s="168" t="s">
        <v>504</v>
      </c>
      <c r="J6" s="169" t="s">
        <v>503</v>
      </c>
      <c r="K6" s="169" t="s">
        <v>503</v>
      </c>
      <c r="L6" s="169" t="s">
        <v>502</v>
      </c>
      <c r="M6" s="180"/>
    </row>
    <row r="7" spans="1:14" ht="39">
      <c r="A7" s="178">
        <v>6</v>
      </c>
      <c r="B7" s="165" t="s">
        <v>514</v>
      </c>
      <c r="C7" s="166" t="s">
        <v>511</v>
      </c>
      <c r="D7" s="167" t="str">
        <f>_xlfn.XLOOKUP(B7,聲母對照表[台羅拼音],聲母對照表[漢字例])</f>
        <v>恥</v>
      </c>
      <c r="E7" s="165" t="s">
        <v>514</v>
      </c>
      <c r="F7" s="165" t="s">
        <v>514</v>
      </c>
      <c r="G7" s="165" t="s">
        <v>501</v>
      </c>
      <c r="H7" s="165" t="s">
        <v>501</v>
      </c>
      <c r="I7" s="168" t="s">
        <v>501</v>
      </c>
      <c r="J7" s="169" t="s">
        <v>513</v>
      </c>
      <c r="K7" s="169" t="s">
        <v>513</v>
      </c>
      <c r="L7" s="169" t="s">
        <v>512</v>
      </c>
      <c r="M7" s="180" t="s">
        <v>2014</v>
      </c>
    </row>
    <row r="8" spans="1:14" ht="39">
      <c r="A8" s="178">
        <v>7</v>
      </c>
      <c r="B8" s="165" t="s">
        <v>557</v>
      </c>
      <c r="C8" s="166" t="s">
        <v>557</v>
      </c>
      <c r="D8" s="167" t="str">
        <f>_xlfn.XLOOKUP(B8,聲母對照表[台羅拼音],聲母對照表[漢字例])</f>
        <v>耐</v>
      </c>
      <c r="E8" s="165" t="s">
        <v>557</v>
      </c>
      <c r="F8" s="165" t="s">
        <v>557</v>
      </c>
      <c r="G8" s="165" t="s">
        <v>559</v>
      </c>
      <c r="H8" s="171" t="s">
        <v>734</v>
      </c>
      <c r="I8" s="168" t="s">
        <v>557</v>
      </c>
      <c r="J8" s="169" t="s">
        <v>558</v>
      </c>
      <c r="K8" s="169" t="s">
        <v>558</v>
      </c>
      <c r="L8" s="169" t="s">
        <v>556</v>
      </c>
      <c r="M8" s="182" t="s">
        <v>2011</v>
      </c>
      <c r="N8" s="163"/>
    </row>
    <row r="9" spans="1:14" ht="39">
      <c r="A9" s="178">
        <v>8</v>
      </c>
      <c r="B9" s="165" t="s">
        <v>482</v>
      </c>
      <c r="C9" s="166" t="s">
        <v>482</v>
      </c>
      <c r="D9" s="167" t="str">
        <f>_xlfn.XLOOKUP(B9,聲母對照表[台羅拼音],聲母對照表[漢字例])</f>
        <v>理</v>
      </c>
      <c r="E9" s="165" t="s">
        <v>482</v>
      </c>
      <c r="F9" s="165" t="s">
        <v>482</v>
      </c>
      <c r="G9" s="165" t="s">
        <v>482</v>
      </c>
      <c r="H9" s="165" t="s">
        <v>482</v>
      </c>
      <c r="I9" s="168" t="s">
        <v>482</v>
      </c>
      <c r="J9" s="169" t="s">
        <v>484</v>
      </c>
      <c r="K9" s="169" t="s">
        <v>484</v>
      </c>
      <c r="L9" s="169" t="s">
        <v>483</v>
      </c>
      <c r="M9" s="180"/>
    </row>
    <row r="10" spans="1:14" ht="39">
      <c r="A10" s="178">
        <v>9</v>
      </c>
      <c r="B10" s="165" t="s">
        <v>491</v>
      </c>
      <c r="C10" s="166" t="s">
        <v>491</v>
      </c>
      <c r="D10" s="167" t="str">
        <f>_xlfn.XLOOKUP(B10,聲母對照表[台羅拼音],聲母對照表[漢字例])</f>
        <v>己</v>
      </c>
      <c r="E10" s="165" t="s">
        <v>491</v>
      </c>
      <c r="F10" s="165" t="s">
        <v>491</v>
      </c>
      <c r="G10" s="165" t="s">
        <v>494</v>
      </c>
      <c r="H10" s="165" t="s">
        <v>494</v>
      </c>
      <c r="I10" s="168" t="s">
        <v>494</v>
      </c>
      <c r="J10" s="169" t="s">
        <v>493</v>
      </c>
      <c r="K10" s="169" t="s">
        <v>493</v>
      </c>
      <c r="L10" s="169" t="s">
        <v>492</v>
      </c>
      <c r="M10" s="180"/>
    </row>
    <row r="11" spans="1:14" ht="39">
      <c r="A11" s="178">
        <v>10</v>
      </c>
      <c r="B11" s="165" t="s">
        <v>494</v>
      </c>
      <c r="C11" s="166" t="s">
        <v>539</v>
      </c>
      <c r="D11" s="167" t="str">
        <f>_xlfn.XLOOKUP(B11,聲母對照表[台羅拼音],聲母對照表[漢字例])</f>
        <v>禦</v>
      </c>
      <c r="E11" s="165" t="s">
        <v>494</v>
      </c>
      <c r="F11" s="165" t="s">
        <v>494</v>
      </c>
      <c r="G11" s="165" t="s">
        <v>542</v>
      </c>
      <c r="H11" s="165" t="s">
        <v>542</v>
      </c>
      <c r="I11" s="168" t="s">
        <v>542</v>
      </c>
      <c r="J11" s="169" t="s">
        <v>541</v>
      </c>
      <c r="K11" s="170" t="s">
        <v>563</v>
      </c>
      <c r="L11" s="169" t="s">
        <v>540</v>
      </c>
      <c r="M11" s="181" t="s">
        <v>2012</v>
      </c>
      <c r="N11" s="162"/>
    </row>
    <row r="12" spans="1:14" ht="39">
      <c r="A12" s="178">
        <v>11</v>
      </c>
      <c r="B12" s="165" t="s">
        <v>499</v>
      </c>
      <c r="C12" s="166" t="s">
        <v>496</v>
      </c>
      <c r="D12" s="167" t="str">
        <f>_xlfn.XLOOKUP(B12,聲母對照表[台羅拼音],聲母對照表[漢字例])</f>
        <v>起</v>
      </c>
      <c r="E12" s="165" t="s">
        <v>499</v>
      </c>
      <c r="F12" s="165" t="s">
        <v>499</v>
      </c>
      <c r="G12" s="165" t="s">
        <v>491</v>
      </c>
      <c r="H12" s="165" t="s">
        <v>491</v>
      </c>
      <c r="I12" s="168" t="s">
        <v>491</v>
      </c>
      <c r="J12" s="169" t="s">
        <v>498</v>
      </c>
      <c r="K12" s="169" t="s">
        <v>498</v>
      </c>
      <c r="L12" s="169" t="s">
        <v>497</v>
      </c>
      <c r="M12" s="180" t="s">
        <v>2014</v>
      </c>
    </row>
    <row r="13" spans="1:14" ht="39">
      <c r="A13" s="178">
        <v>12</v>
      </c>
      <c r="B13" s="165" t="s">
        <v>389</v>
      </c>
      <c r="C13" s="166" t="s">
        <v>562</v>
      </c>
      <c r="D13" s="167" t="str">
        <f>_xlfn.XLOOKUP(B13,聲母對照表[台羅拼音],聲母對照表[漢字例])</f>
        <v>雅</v>
      </c>
      <c r="E13" s="165" t="s">
        <v>389</v>
      </c>
      <c r="F13" s="165" t="s">
        <v>389</v>
      </c>
      <c r="G13" s="165" t="s">
        <v>564</v>
      </c>
      <c r="H13" s="171" t="s">
        <v>1679</v>
      </c>
      <c r="I13" s="168" t="s">
        <v>389</v>
      </c>
      <c r="J13" s="169" t="s">
        <v>563</v>
      </c>
      <c r="K13" s="170" t="s">
        <v>1604</v>
      </c>
      <c r="L13" s="169" t="s">
        <v>561</v>
      </c>
      <c r="M13" s="182" t="s">
        <v>2011</v>
      </c>
      <c r="N13" s="163"/>
    </row>
    <row r="14" spans="1:14" ht="39">
      <c r="A14" s="178">
        <v>13</v>
      </c>
      <c r="B14" s="165" t="s">
        <v>550</v>
      </c>
      <c r="C14" s="166" t="s">
        <v>550</v>
      </c>
      <c r="D14" s="167" t="str">
        <f>_xlfn.XLOOKUP(B14,聲母對照表[台羅拼音],聲母對照表[漢字例])</f>
        <v>喜</v>
      </c>
      <c r="E14" s="165" t="s">
        <v>550</v>
      </c>
      <c r="F14" s="165" t="s">
        <v>550</v>
      </c>
      <c r="G14" s="165" t="s">
        <v>550</v>
      </c>
      <c r="H14" s="165" t="s">
        <v>550</v>
      </c>
      <c r="I14" s="168" t="s">
        <v>550</v>
      </c>
      <c r="J14" s="169" t="s">
        <v>551</v>
      </c>
      <c r="K14" s="169" t="s">
        <v>551</v>
      </c>
      <c r="L14" s="169" t="s">
        <v>549</v>
      </c>
      <c r="M14" s="180"/>
    </row>
    <row r="15" spans="1:14" ht="39">
      <c r="A15" s="178">
        <v>14</v>
      </c>
      <c r="B15" s="172" t="s">
        <v>574</v>
      </c>
      <c r="C15" s="166" t="s">
        <v>571</v>
      </c>
      <c r="D15" s="173" t="str">
        <f>_xlfn.XLOOKUP(B15,聲母對照表[台羅拼音],聲母對照表[漢字例])</f>
        <v>止</v>
      </c>
      <c r="E15" s="172" t="s">
        <v>573</v>
      </c>
      <c r="F15" s="172" t="s">
        <v>575</v>
      </c>
      <c r="G15" s="172" t="s">
        <v>573</v>
      </c>
      <c r="H15" s="172" t="s">
        <v>573</v>
      </c>
      <c r="I15" s="174" t="s">
        <v>1778</v>
      </c>
      <c r="J15" s="175" t="s">
        <v>1682</v>
      </c>
      <c r="K15" s="175" t="s">
        <v>572</v>
      </c>
      <c r="L15" s="169" t="s">
        <v>517</v>
      </c>
      <c r="M15" s="183" t="s">
        <v>587</v>
      </c>
      <c r="N15" s="164"/>
    </row>
    <row r="16" spans="1:14" ht="39">
      <c r="A16" s="178">
        <v>15</v>
      </c>
      <c r="B16" s="172" t="s">
        <v>568</v>
      </c>
      <c r="C16" s="166" t="s">
        <v>566</v>
      </c>
      <c r="D16" s="167" t="str">
        <f>_xlfn.XLOOKUP(B16,聲母對照表[台羅拼音],聲母對照表[漢字例])</f>
        <v>熱</v>
      </c>
      <c r="E16" s="172" t="s">
        <v>568</v>
      </c>
      <c r="F16" s="172" t="s">
        <v>568</v>
      </c>
      <c r="G16" s="172" t="s">
        <v>569</v>
      </c>
      <c r="H16" s="172" t="s">
        <v>569</v>
      </c>
      <c r="I16" s="174" t="s">
        <v>1777</v>
      </c>
      <c r="J16" s="175" t="s">
        <v>567</v>
      </c>
      <c r="K16" s="176" t="s">
        <v>1600</v>
      </c>
      <c r="L16" s="169" t="s">
        <v>524</v>
      </c>
      <c r="M16" s="183" t="s">
        <v>586</v>
      </c>
      <c r="N16" s="164"/>
    </row>
    <row r="17" spans="1:14" ht="39">
      <c r="A17" s="178">
        <v>16</v>
      </c>
      <c r="B17" s="172" t="s">
        <v>580</v>
      </c>
      <c r="C17" s="166" t="s">
        <v>577</v>
      </c>
      <c r="D17" s="167" t="str">
        <f>_xlfn.XLOOKUP(B17,聲母對照表[台羅拼音],聲母對照表[漢字例])</f>
        <v>測</v>
      </c>
      <c r="E17" s="172" t="s">
        <v>579</v>
      </c>
      <c r="F17" s="172" t="s">
        <v>581</v>
      </c>
      <c r="G17" s="172" t="s">
        <v>579</v>
      </c>
      <c r="H17" s="172" t="s">
        <v>579</v>
      </c>
      <c r="I17" s="174" t="s">
        <v>1779</v>
      </c>
      <c r="J17" s="175" t="s">
        <v>1683</v>
      </c>
      <c r="K17" s="175" t="s">
        <v>578</v>
      </c>
      <c r="L17" s="169" t="s">
        <v>545</v>
      </c>
      <c r="M17" s="183" t="s">
        <v>591</v>
      </c>
      <c r="N17" s="164"/>
    </row>
    <row r="18" spans="1:14" ht="39">
      <c r="A18" s="178">
        <v>17</v>
      </c>
      <c r="B18" s="172" t="s">
        <v>585</v>
      </c>
      <c r="C18" s="166" t="s">
        <v>583</v>
      </c>
      <c r="D18" s="167" t="str">
        <f>_xlfn.XLOOKUP(B18,聲母對照表[台羅拼音],聲母對照表[漢字例])</f>
        <v>惜</v>
      </c>
      <c r="E18" s="172" t="s">
        <v>585</v>
      </c>
      <c r="F18" s="172" t="s">
        <v>585</v>
      </c>
      <c r="G18" s="172" t="s">
        <v>585</v>
      </c>
      <c r="H18" s="172" t="s">
        <v>585</v>
      </c>
      <c r="I18" s="174" t="s">
        <v>1780</v>
      </c>
      <c r="J18" s="175" t="s">
        <v>1684</v>
      </c>
      <c r="K18" s="175" t="s">
        <v>584</v>
      </c>
      <c r="L18" s="169" t="s">
        <v>530</v>
      </c>
      <c r="M18" s="183" t="s">
        <v>589</v>
      </c>
      <c r="N18" s="164"/>
    </row>
    <row r="19" spans="1:14" ht="39">
      <c r="A19" s="178">
        <v>18</v>
      </c>
      <c r="B19" s="165" t="s">
        <v>520</v>
      </c>
      <c r="C19" s="166" t="s">
        <v>516</v>
      </c>
      <c r="D19" s="177" t="str">
        <f>_xlfn.XLOOKUP(B19,聲母對照表[台羅拼音],聲母對照表[漢字例])</f>
        <v>阻</v>
      </c>
      <c r="E19" s="165" t="s">
        <v>519</v>
      </c>
      <c r="F19" s="165" t="s">
        <v>521</v>
      </c>
      <c r="G19" s="165" t="s">
        <v>519</v>
      </c>
      <c r="H19" s="165" t="s">
        <v>519</v>
      </c>
      <c r="I19" s="168" t="s">
        <v>519</v>
      </c>
      <c r="J19" s="169" t="s">
        <v>518</v>
      </c>
      <c r="K19" s="169" t="s">
        <v>518</v>
      </c>
      <c r="L19" s="169" t="s">
        <v>517</v>
      </c>
      <c r="M19" s="180"/>
    </row>
    <row r="20" spans="1:14" ht="39">
      <c r="A20" s="179">
        <v>19</v>
      </c>
      <c r="B20" s="165" t="s">
        <v>526</v>
      </c>
      <c r="C20" s="166" t="s">
        <v>523</v>
      </c>
      <c r="D20" s="177" t="str">
        <f>_xlfn.XLOOKUP(B20,聲母對照表[台羅拼音],聲母對照表[漢字例])</f>
        <v>熱</v>
      </c>
      <c r="E20" s="165" t="s">
        <v>526</v>
      </c>
      <c r="F20" s="165" t="s">
        <v>526</v>
      </c>
      <c r="G20" s="165" t="s">
        <v>527</v>
      </c>
      <c r="H20" s="165" t="s">
        <v>527</v>
      </c>
      <c r="I20" s="168" t="s">
        <v>527</v>
      </c>
      <c r="J20" s="169" t="s">
        <v>525</v>
      </c>
      <c r="K20" s="170" t="s">
        <v>1600</v>
      </c>
      <c r="L20" s="169" t="s">
        <v>524</v>
      </c>
      <c r="M20" s="181" t="s">
        <v>2012</v>
      </c>
      <c r="N20" s="162"/>
    </row>
    <row r="21" spans="1:14" ht="39">
      <c r="A21" s="179">
        <v>20</v>
      </c>
      <c r="B21" s="165" t="s">
        <v>547</v>
      </c>
      <c r="C21" s="166" t="s">
        <v>544</v>
      </c>
      <c r="D21" s="177" t="str">
        <f>_xlfn.XLOOKUP(B21,聲母對照表[台羅拼音],聲母對照表[漢字例])</f>
        <v>取</v>
      </c>
      <c r="E21" s="165" t="s">
        <v>546</v>
      </c>
      <c r="F21" s="165" t="s">
        <v>548</v>
      </c>
      <c r="G21" s="165" t="s">
        <v>546</v>
      </c>
      <c r="H21" s="165" t="s">
        <v>546</v>
      </c>
      <c r="I21" s="168" t="s">
        <v>546</v>
      </c>
      <c r="J21" s="169" t="s">
        <v>590</v>
      </c>
      <c r="K21" s="169" t="s">
        <v>1603</v>
      </c>
      <c r="L21" s="169" t="s">
        <v>545</v>
      </c>
      <c r="M21" s="180" t="s">
        <v>2014</v>
      </c>
    </row>
    <row r="22" spans="1:14" ht="39">
      <c r="A22" s="179">
        <v>21</v>
      </c>
      <c r="B22" s="165" t="s">
        <v>529</v>
      </c>
      <c r="C22" s="166" t="s">
        <v>529</v>
      </c>
      <c r="D22" s="177" t="str">
        <f>_xlfn.XLOOKUP(B22,聲母對照表[台羅拼音],聲母對照表[漢字例])</f>
        <v>詞</v>
      </c>
      <c r="E22" s="165" t="s">
        <v>529</v>
      </c>
      <c r="F22" s="165" t="s">
        <v>529</v>
      </c>
      <c r="G22" s="165" t="s">
        <v>529</v>
      </c>
      <c r="H22" s="165" t="s">
        <v>529</v>
      </c>
      <c r="I22" s="168" t="s">
        <v>529</v>
      </c>
      <c r="J22" s="169" t="s">
        <v>588</v>
      </c>
      <c r="K22" s="169" t="s">
        <v>1601</v>
      </c>
      <c r="L22" s="169" t="s">
        <v>530</v>
      </c>
      <c r="M22" s="180"/>
    </row>
    <row r="23" spans="1:14" ht="39">
      <c r="A23" s="187">
        <v>22</v>
      </c>
      <c r="B23" s="188" t="s">
        <v>533</v>
      </c>
      <c r="C23" s="189" t="s">
        <v>2022</v>
      </c>
      <c r="D23" s="190" t="str">
        <f>_xlfn.XLOOKUP(B23,聲母對照表[台羅拼音],聲母對照表[漢字例])</f>
        <v>以</v>
      </c>
      <c r="E23" s="188" t="s">
        <v>533</v>
      </c>
      <c r="F23" s="188" t="s">
        <v>533</v>
      </c>
      <c r="G23" s="188" t="s">
        <v>533</v>
      </c>
      <c r="H23" s="188"/>
      <c r="I23" s="191" t="s">
        <v>533</v>
      </c>
      <c r="J23" s="192" t="s">
        <v>533</v>
      </c>
      <c r="K23" s="193" t="s">
        <v>533</v>
      </c>
      <c r="L23" s="194" t="s">
        <v>532</v>
      </c>
      <c r="M23" s="195" t="s">
        <v>2010</v>
      </c>
    </row>
  </sheetData>
  <sortState xmlns:xlrd2="http://schemas.microsoft.com/office/spreadsheetml/2017/richdata2" ref="O2:AE23">
    <sortCondition ref="AC12:AC23"/>
  </sortState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8BC3-9EEB-41B1-AD2E-63584CAF39CE}">
  <dimension ref="A1:M87"/>
  <sheetViews>
    <sheetView showGridLines="0" workbookViewId="0">
      <pane xSplit="7" ySplit="1" topLeftCell="H10" activePane="bottomRight" state="frozen"/>
      <selection pane="topRight" activeCell="H1" sqref="H1"/>
      <selection pane="bottomLeft" activeCell="A2" sqref="A2"/>
      <selection pane="bottomRight" activeCell="D12" sqref="D12"/>
    </sheetView>
  </sheetViews>
  <sheetFormatPr defaultRowHeight="25.5" outlineLevelCol="1"/>
  <cols>
    <col min="1" max="1" width="5.83203125" style="15" customWidth="1"/>
    <col min="2" max="3" width="10.25" style="15" customWidth="1"/>
    <col min="5" max="5" width="10.25" style="15" customWidth="1"/>
    <col min="6" max="8" width="10.25" style="15" customWidth="1" outlineLevel="1"/>
    <col min="9" max="9" width="10.33203125" style="15" customWidth="1" outlineLevel="1"/>
    <col min="10" max="11" width="10.33203125" customWidth="1"/>
    <col min="12" max="12" width="25.08203125" style="15" customWidth="1"/>
    <col min="13" max="13" width="28.5" customWidth="1"/>
    <col min="14" max="14" width="10.25" style="15" customWidth="1"/>
    <col min="15" max="15" width="5.83203125" style="15" customWidth="1"/>
    <col min="16" max="16384" width="8.6640625" style="15"/>
  </cols>
  <sheetData>
    <row r="1" spans="1:13" ht="48.75" thickBot="1">
      <c r="A1" s="65" t="s">
        <v>654</v>
      </c>
      <c r="B1" s="47" t="s">
        <v>606</v>
      </c>
      <c r="C1" s="47" t="s">
        <v>650</v>
      </c>
      <c r="D1" s="22" t="s">
        <v>1776</v>
      </c>
      <c r="E1" s="22" t="s">
        <v>598</v>
      </c>
      <c r="F1" s="22" t="s">
        <v>647</v>
      </c>
      <c r="G1" s="22" t="s">
        <v>608</v>
      </c>
      <c r="H1" s="22" t="s">
        <v>648</v>
      </c>
      <c r="I1" s="22" t="s">
        <v>607</v>
      </c>
      <c r="J1" s="22" t="s">
        <v>1756</v>
      </c>
      <c r="K1" s="22" t="s">
        <v>649</v>
      </c>
      <c r="L1" s="128" t="s">
        <v>1853</v>
      </c>
      <c r="M1" s="15"/>
    </row>
    <row r="2" spans="1:13" ht="66" thickBot="1">
      <c r="A2" s="66">
        <v>1</v>
      </c>
      <c r="B2" s="48" t="s">
        <v>305</v>
      </c>
      <c r="C2" s="46" t="s">
        <v>716</v>
      </c>
      <c r="D2" s="125" t="s">
        <v>1981</v>
      </c>
      <c r="E2" s="117" t="s">
        <v>305</v>
      </c>
      <c r="F2" s="117" t="s">
        <v>305</v>
      </c>
      <c r="G2" s="117" t="s">
        <v>305</v>
      </c>
      <c r="H2" s="117" t="s">
        <v>305</v>
      </c>
      <c r="I2" s="122" t="s">
        <v>307</v>
      </c>
      <c r="J2" s="120" t="s">
        <v>307</v>
      </c>
      <c r="K2" s="18" t="s">
        <v>308</v>
      </c>
      <c r="L2" s="25"/>
      <c r="M2" s="15"/>
    </row>
    <row r="3" spans="1:13" ht="66" thickBot="1">
      <c r="A3" s="66">
        <v>2</v>
      </c>
      <c r="B3" s="48" t="s">
        <v>310</v>
      </c>
      <c r="C3" s="46" t="s">
        <v>1723</v>
      </c>
      <c r="D3" s="125" t="s">
        <v>309</v>
      </c>
      <c r="E3" s="117" t="s">
        <v>1908</v>
      </c>
      <c r="F3" s="117" t="s">
        <v>1908</v>
      </c>
      <c r="G3" s="117" t="s">
        <v>310</v>
      </c>
      <c r="H3" s="117" t="s">
        <v>310</v>
      </c>
      <c r="I3" s="122" t="s">
        <v>730</v>
      </c>
      <c r="J3" s="121" t="s">
        <v>1636</v>
      </c>
      <c r="K3" s="18" t="s">
        <v>311</v>
      </c>
      <c r="L3" s="25"/>
      <c r="M3" s="15"/>
    </row>
    <row r="4" spans="1:13" ht="66" thickBot="1">
      <c r="A4" s="66">
        <v>3</v>
      </c>
      <c r="B4" s="48" t="s">
        <v>176</v>
      </c>
      <c r="C4" s="46" t="s">
        <v>1726</v>
      </c>
      <c r="D4" s="125" t="s">
        <v>1982</v>
      </c>
      <c r="E4" s="117" t="s">
        <v>1909</v>
      </c>
      <c r="F4" s="117" t="s">
        <v>1909</v>
      </c>
      <c r="G4" s="117" t="s">
        <v>176</v>
      </c>
      <c r="H4" s="117" t="s">
        <v>176</v>
      </c>
      <c r="I4" s="122" t="s">
        <v>178</v>
      </c>
      <c r="J4" s="120" t="s">
        <v>178</v>
      </c>
      <c r="K4" s="18" t="s">
        <v>179</v>
      </c>
      <c r="L4" s="25"/>
      <c r="M4" s="15"/>
    </row>
    <row r="5" spans="1:13" ht="66" thickBot="1">
      <c r="A5" s="66">
        <v>4</v>
      </c>
      <c r="B5" s="48" t="s">
        <v>1560</v>
      </c>
      <c r="C5" s="46" t="s">
        <v>1728</v>
      </c>
      <c r="D5" s="125" t="s">
        <v>1692</v>
      </c>
      <c r="E5" s="117" t="s">
        <v>1560</v>
      </c>
      <c r="F5" s="117" t="s">
        <v>1560</v>
      </c>
      <c r="G5" s="117" t="s">
        <v>1560</v>
      </c>
      <c r="H5" s="117" t="s">
        <v>1560</v>
      </c>
      <c r="I5" s="124" t="s">
        <v>1975</v>
      </c>
      <c r="J5" s="121" t="s">
        <v>1976</v>
      </c>
      <c r="K5" s="53" t="s">
        <v>1580</v>
      </c>
      <c r="L5" s="25"/>
      <c r="M5" s="15"/>
    </row>
    <row r="6" spans="1:13" ht="66" thickBot="1">
      <c r="A6" s="66">
        <v>5</v>
      </c>
      <c r="B6" s="48" t="s">
        <v>399</v>
      </c>
      <c r="C6" s="46" t="s">
        <v>1727</v>
      </c>
      <c r="D6" s="125" t="s">
        <v>1983</v>
      </c>
      <c r="E6" s="117" t="s">
        <v>399</v>
      </c>
      <c r="F6" s="117" t="s">
        <v>400</v>
      </c>
      <c r="G6" s="117" t="s">
        <v>401</v>
      </c>
      <c r="H6" s="117" t="s">
        <v>399</v>
      </c>
      <c r="I6" s="122" t="s">
        <v>398</v>
      </c>
      <c r="J6" s="121" t="s">
        <v>1647</v>
      </c>
      <c r="K6" s="18" t="s">
        <v>402</v>
      </c>
      <c r="L6" s="25"/>
      <c r="M6" s="15"/>
    </row>
    <row r="7" spans="1:13" ht="66" thickBot="1">
      <c r="A7" s="66">
        <v>6</v>
      </c>
      <c r="B7" s="48" t="s">
        <v>235</v>
      </c>
      <c r="C7" s="46" t="str">
        <f>_xlfn.CONCAT("a","k",_xlfn.UNICHAR(794))</f>
        <v>ak̚</v>
      </c>
      <c r="D7" s="125" t="s">
        <v>232</v>
      </c>
      <c r="E7" s="117" t="s">
        <v>1910</v>
      </c>
      <c r="F7" s="117" t="s">
        <v>1910</v>
      </c>
      <c r="G7" s="117" t="s">
        <v>235</v>
      </c>
      <c r="H7" s="117" t="s">
        <v>235</v>
      </c>
      <c r="I7" s="122" t="s">
        <v>1754</v>
      </c>
      <c r="J7" s="121" t="s">
        <v>1626</v>
      </c>
      <c r="K7" s="18" t="s">
        <v>236</v>
      </c>
      <c r="L7" s="25"/>
      <c r="M7" s="15"/>
    </row>
    <row r="8" spans="1:13" ht="66" thickBot="1">
      <c r="A8" s="66">
        <v>7</v>
      </c>
      <c r="B8" s="48" t="s">
        <v>203</v>
      </c>
      <c r="C8" s="46" t="s">
        <v>712</v>
      </c>
      <c r="D8" s="125" t="s">
        <v>202</v>
      </c>
      <c r="E8" s="117" t="s">
        <v>1911</v>
      </c>
      <c r="F8" s="117" t="s">
        <v>1911</v>
      </c>
      <c r="G8" s="117" t="s">
        <v>203</v>
      </c>
      <c r="H8" s="117" t="s">
        <v>203</v>
      </c>
      <c r="I8" s="122" t="s">
        <v>205</v>
      </c>
      <c r="J8" s="121" t="s">
        <v>1623</v>
      </c>
      <c r="K8" s="18" t="s">
        <v>206</v>
      </c>
      <c r="L8" s="25"/>
      <c r="M8" s="15"/>
    </row>
    <row r="9" spans="1:13" ht="66" thickBot="1">
      <c r="A9" s="66">
        <v>8</v>
      </c>
      <c r="B9" s="48" t="s">
        <v>65</v>
      </c>
      <c r="C9" s="46" t="s">
        <v>702</v>
      </c>
      <c r="D9" s="125" t="s">
        <v>64</v>
      </c>
      <c r="E9" s="117" t="s">
        <v>1912</v>
      </c>
      <c r="F9" s="117" t="s">
        <v>1912</v>
      </c>
      <c r="G9" s="117" t="s">
        <v>65</v>
      </c>
      <c r="H9" s="117" t="s">
        <v>65</v>
      </c>
      <c r="I9" s="122" t="s">
        <v>67</v>
      </c>
      <c r="J9" s="120" t="s">
        <v>67</v>
      </c>
      <c r="K9" s="18" t="s">
        <v>68</v>
      </c>
      <c r="L9" s="25"/>
      <c r="M9" s="15"/>
    </row>
    <row r="10" spans="1:13" ht="66" thickBot="1">
      <c r="A10" s="66">
        <v>9</v>
      </c>
      <c r="B10" s="48" t="s">
        <v>229</v>
      </c>
      <c r="C10" s="46" t="s">
        <v>1725</v>
      </c>
      <c r="D10" s="125" t="s">
        <v>226</v>
      </c>
      <c r="E10" s="117" t="s">
        <v>229</v>
      </c>
      <c r="F10" s="117" t="s">
        <v>229</v>
      </c>
      <c r="G10" s="117" t="s">
        <v>229</v>
      </c>
      <c r="H10" s="117" t="s">
        <v>229</v>
      </c>
      <c r="I10" s="122" t="s">
        <v>1581</v>
      </c>
      <c r="J10" s="120" t="s">
        <v>1581</v>
      </c>
      <c r="K10" s="18" t="s">
        <v>230</v>
      </c>
      <c r="L10" s="25"/>
      <c r="M10" s="15"/>
    </row>
    <row r="11" spans="1:13" ht="66" thickBot="1">
      <c r="A11" s="66">
        <v>10</v>
      </c>
      <c r="B11" s="48" t="s">
        <v>287</v>
      </c>
      <c r="C11" s="46" t="s">
        <v>1722</v>
      </c>
      <c r="D11" s="125" t="s">
        <v>283</v>
      </c>
      <c r="E11" s="117" t="s">
        <v>287</v>
      </c>
      <c r="F11" s="117" t="s">
        <v>288</v>
      </c>
      <c r="G11" s="117" t="s">
        <v>289</v>
      </c>
      <c r="H11" s="117" t="s">
        <v>287</v>
      </c>
      <c r="I11" s="122" t="s">
        <v>286</v>
      </c>
      <c r="J11" s="121" t="s">
        <v>1633</v>
      </c>
      <c r="K11" s="18" t="s">
        <v>290</v>
      </c>
      <c r="L11" s="25"/>
      <c r="M11" s="15"/>
    </row>
    <row r="12" spans="1:13" ht="66" thickBot="1">
      <c r="A12" s="66">
        <v>11</v>
      </c>
      <c r="B12" s="48" t="s">
        <v>293</v>
      </c>
      <c r="C12" s="46" t="s">
        <v>1724</v>
      </c>
      <c r="D12" s="125" t="s">
        <v>292</v>
      </c>
      <c r="E12" s="117" t="s">
        <v>1913</v>
      </c>
      <c r="F12" s="117" t="s">
        <v>656</v>
      </c>
      <c r="G12" s="117" t="s">
        <v>707</v>
      </c>
      <c r="H12" s="117" t="s">
        <v>293</v>
      </c>
      <c r="I12" s="122" t="s">
        <v>740</v>
      </c>
      <c r="J12" s="121" t="s">
        <v>1634</v>
      </c>
      <c r="K12" s="18" t="s">
        <v>295</v>
      </c>
      <c r="L12" s="25"/>
      <c r="M12" s="15"/>
    </row>
    <row r="13" spans="1:13" ht="66" thickBot="1">
      <c r="A13" s="66">
        <v>12</v>
      </c>
      <c r="B13" s="48" t="s">
        <v>211</v>
      </c>
      <c r="C13" s="46" t="str">
        <f>_xlfn.CONCAT("a","p",_xlfn.UNICHAR(794))</f>
        <v>ap̚</v>
      </c>
      <c r="D13" s="125" t="s">
        <v>208</v>
      </c>
      <c r="E13" s="117" t="s">
        <v>1914</v>
      </c>
      <c r="F13" s="117" t="s">
        <v>1914</v>
      </c>
      <c r="G13" s="117" t="s">
        <v>211</v>
      </c>
      <c r="H13" s="117" t="s">
        <v>211</v>
      </c>
      <c r="I13" s="122" t="s">
        <v>210</v>
      </c>
      <c r="J13" s="121" t="s">
        <v>1624</v>
      </c>
      <c r="K13" s="18" t="s">
        <v>212</v>
      </c>
      <c r="L13" s="25"/>
      <c r="M13" s="15"/>
    </row>
    <row r="14" spans="1:13" ht="66" thickBot="1">
      <c r="A14" s="66">
        <v>13</v>
      </c>
      <c r="B14" s="48" t="s">
        <v>73</v>
      </c>
      <c r="C14" s="46" t="str">
        <f>_xlfn.CONCAT("a","t",_xlfn.UNICHAR(794))</f>
        <v>at̚</v>
      </c>
      <c r="D14" s="125" t="s">
        <v>1984</v>
      </c>
      <c r="E14" s="117" t="s">
        <v>1915</v>
      </c>
      <c r="F14" s="117" t="s">
        <v>1915</v>
      </c>
      <c r="G14" s="117" t="s">
        <v>73</v>
      </c>
      <c r="H14" s="117" t="s">
        <v>73</v>
      </c>
      <c r="I14" s="122" t="s">
        <v>72</v>
      </c>
      <c r="J14" s="121" t="s">
        <v>1610</v>
      </c>
      <c r="K14" s="18" t="s">
        <v>74</v>
      </c>
      <c r="L14" s="25"/>
      <c r="M14" s="15"/>
    </row>
    <row r="15" spans="1:13" ht="66" thickBot="1">
      <c r="A15" s="66">
        <v>14</v>
      </c>
      <c r="B15" s="48" t="s">
        <v>251</v>
      </c>
      <c r="C15" s="46" t="s">
        <v>1696</v>
      </c>
      <c r="D15" s="125" t="s">
        <v>250</v>
      </c>
      <c r="E15" s="117" t="s">
        <v>1916</v>
      </c>
      <c r="F15" s="117" t="s">
        <v>1916</v>
      </c>
      <c r="G15" s="119" t="s">
        <v>254</v>
      </c>
      <c r="H15" s="117" t="s">
        <v>251</v>
      </c>
      <c r="I15" s="122" t="s">
        <v>253</v>
      </c>
      <c r="J15" s="120" t="s">
        <v>253</v>
      </c>
      <c r="K15" s="18" t="s">
        <v>255</v>
      </c>
      <c r="L15" s="25"/>
      <c r="M15" s="15"/>
    </row>
    <row r="16" spans="1:13" ht="66" thickBot="1">
      <c r="A16" s="66">
        <v>15</v>
      </c>
      <c r="B16" s="48" t="s">
        <v>258</v>
      </c>
      <c r="C16" s="46" t="s">
        <v>1729</v>
      </c>
      <c r="D16" s="125" t="s">
        <v>1985</v>
      </c>
      <c r="E16" s="117" t="s">
        <v>258</v>
      </c>
      <c r="F16" s="117" t="s">
        <v>258</v>
      </c>
      <c r="G16" s="119" t="s">
        <v>259</v>
      </c>
      <c r="H16" s="117" t="s">
        <v>258</v>
      </c>
      <c r="I16" s="122" t="s">
        <v>669</v>
      </c>
      <c r="J16" s="121" t="s">
        <v>1629</v>
      </c>
      <c r="K16" s="18" t="s">
        <v>260</v>
      </c>
      <c r="L16" s="25"/>
      <c r="M16" s="15"/>
    </row>
    <row r="17" spans="1:13" ht="66" thickBot="1">
      <c r="A17" s="66">
        <v>16</v>
      </c>
      <c r="B17" s="48" t="s">
        <v>56</v>
      </c>
      <c r="C17" s="46" t="s">
        <v>701</v>
      </c>
      <c r="D17" s="125" t="s">
        <v>1986</v>
      </c>
      <c r="E17" s="117" t="s">
        <v>56</v>
      </c>
      <c r="F17" s="117" t="s">
        <v>56</v>
      </c>
      <c r="G17" s="117" t="s">
        <v>56</v>
      </c>
      <c r="H17" s="117" t="s">
        <v>56</v>
      </c>
      <c r="I17" s="122" t="s">
        <v>149</v>
      </c>
      <c r="J17" s="121" t="s">
        <v>54</v>
      </c>
      <c r="K17" s="18" t="s">
        <v>150</v>
      </c>
      <c r="L17" s="25"/>
      <c r="M17" s="15"/>
    </row>
    <row r="18" spans="1:13" ht="66" thickBot="1">
      <c r="A18" s="66">
        <v>17</v>
      </c>
      <c r="B18" s="48" t="s">
        <v>720</v>
      </c>
      <c r="C18" s="46" t="s">
        <v>1742</v>
      </c>
      <c r="D18" s="126" t="s">
        <v>1987</v>
      </c>
      <c r="E18" s="118" t="s">
        <v>720</v>
      </c>
      <c r="F18" s="118"/>
      <c r="G18" s="118"/>
      <c r="H18" s="118"/>
      <c r="I18" s="123" t="s">
        <v>1752</v>
      </c>
      <c r="J18" s="121" t="s">
        <v>54</v>
      </c>
      <c r="K18" s="18" t="s">
        <v>57</v>
      </c>
      <c r="L18" s="25"/>
      <c r="M18" s="15"/>
    </row>
    <row r="19" spans="1:13" ht="66" thickBot="1">
      <c r="A19" s="66">
        <v>18</v>
      </c>
      <c r="B19" s="48" t="s">
        <v>719</v>
      </c>
      <c r="C19" s="46" t="str">
        <f xml:space="preserve"> _xlfn.CONCAT(C18, "ʔ")</f>
        <v>ɛʔ</v>
      </c>
      <c r="D19" s="126" t="s">
        <v>59</v>
      </c>
      <c r="E19" s="118" t="s">
        <v>719</v>
      </c>
      <c r="F19" s="118"/>
      <c r="G19" s="118"/>
      <c r="H19" s="118"/>
      <c r="I19" s="123" t="s">
        <v>660</v>
      </c>
      <c r="J19" s="121" t="s">
        <v>1609</v>
      </c>
      <c r="K19" s="18" t="s">
        <v>62</v>
      </c>
      <c r="L19" s="25"/>
      <c r="M19" s="15"/>
    </row>
    <row r="20" spans="1:13" ht="66" thickBot="1">
      <c r="A20" s="66">
        <v>19</v>
      </c>
      <c r="B20" s="48" t="s">
        <v>61</v>
      </c>
      <c r="C20" s="46" t="s">
        <v>1699</v>
      </c>
      <c r="D20" s="125" t="s">
        <v>394</v>
      </c>
      <c r="E20" s="117" t="s">
        <v>1917</v>
      </c>
      <c r="F20" s="117" t="s">
        <v>61</v>
      </c>
      <c r="G20" s="117" t="s">
        <v>61</v>
      </c>
      <c r="H20" s="117" t="s">
        <v>61</v>
      </c>
      <c r="I20" s="122" t="s">
        <v>1582</v>
      </c>
      <c r="J20" s="121" t="s">
        <v>1609</v>
      </c>
      <c r="K20" s="18" t="s">
        <v>395</v>
      </c>
      <c r="L20" s="25"/>
      <c r="M20" s="15"/>
    </row>
    <row r="21" spans="1:13" ht="66" thickBot="1">
      <c r="A21" s="66">
        <v>20</v>
      </c>
      <c r="B21" s="48" t="s">
        <v>1751</v>
      </c>
      <c r="C21" s="46" t="str">
        <f xml:space="preserve"> _xlfn.CONCAT("ɛ",, "k")</f>
        <v>ɛk</v>
      </c>
      <c r="D21" s="125" t="s">
        <v>1692</v>
      </c>
      <c r="E21" s="118"/>
      <c r="F21" s="118"/>
      <c r="G21" s="118"/>
      <c r="H21" s="118"/>
      <c r="I21" s="123" t="s">
        <v>1755</v>
      </c>
      <c r="J21" s="121" t="s">
        <v>1759</v>
      </c>
      <c r="K21" s="52" t="s">
        <v>113</v>
      </c>
      <c r="L21" s="25"/>
      <c r="M21" s="15"/>
    </row>
    <row r="22" spans="1:13" ht="66" thickBot="1">
      <c r="A22" s="66">
        <v>21</v>
      </c>
      <c r="B22" s="48" t="s">
        <v>1750</v>
      </c>
      <c r="C22" s="46" t="str">
        <f xml:space="preserve"> _xlfn.CONCAT("ɛ", "ŋ")</f>
        <v>ɛŋ</v>
      </c>
      <c r="D22" s="125" t="s">
        <v>1692</v>
      </c>
      <c r="E22" s="118"/>
      <c r="F22" s="118"/>
      <c r="G22" s="118"/>
      <c r="H22" s="118"/>
      <c r="I22" s="123" t="s">
        <v>1753</v>
      </c>
      <c r="J22" s="121" t="s">
        <v>1758</v>
      </c>
      <c r="K22" s="52" t="s">
        <v>107</v>
      </c>
      <c r="L22" s="25"/>
      <c r="M22" s="15"/>
    </row>
    <row r="23" spans="1:13" ht="66" thickBot="1">
      <c r="A23" s="66">
        <v>22</v>
      </c>
      <c r="B23" s="48" t="s">
        <v>328</v>
      </c>
      <c r="C23" s="46" t="s">
        <v>1698</v>
      </c>
      <c r="D23" s="125" t="s">
        <v>1988</v>
      </c>
      <c r="E23" s="117" t="s">
        <v>328</v>
      </c>
      <c r="F23" s="117" t="s">
        <v>329</v>
      </c>
      <c r="G23" s="117" t="s">
        <v>330</v>
      </c>
      <c r="H23" s="117" t="s">
        <v>328</v>
      </c>
      <c r="I23" s="122" t="s">
        <v>327</v>
      </c>
      <c r="J23" s="121" t="s">
        <v>1638</v>
      </c>
      <c r="K23" s="18" t="s">
        <v>331</v>
      </c>
      <c r="L23" s="25"/>
      <c r="M23" s="15"/>
    </row>
    <row r="24" spans="1:13" ht="66" thickBot="1">
      <c r="A24" s="66">
        <v>23</v>
      </c>
      <c r="B24" s="48" t="s">
        <v>333</v>
      </c>
      <c r="C24" s="46" t="s">
        <v>1700</v>
      </c>
      <c r="D24" s="125" t="s">
        <v>1989</v>
      </c>
      <c r="E24" s="117" t="s">
        <v>1962</v>
      </c>
      <c r="F24" s="117" t="s">
        <v>1957</v>
      </c>
      <c r="G24" s="117" t="s">
        <v>1694</v>
      </c>
      <c r="H24" s="117" t="s">
        <v>1562</v>
      </c>
      <c r="I24" s="124" t="s">
        <v>676</v>
      </c>
      <c r="J24" s="121" t="s">
        <v>1639</v>
      </c>
      <c r="K24" s="52" t="s">
        <v>334</v>
      </c>
      <c r="L24" s="25"/>
      <c r="M24" s="15"/>
    </row>
    <row r="25" spans="1:13" ht="66" thickBot="1">
      <c r="A25" s="66">
        <v>24</v>
      </c>
      <c r="B25" s="48" t="s">
        <v>313</v>
      </c>
      <c r="C25" s="46" t="s">
        <v>717</v>
      </c>
      <c r="D25" s="125" t="s">
        <v>1990</v>
      </c>
      <c r="E25" s="117" t="s">
        <v>313</v>
      </c>
      <c r="F25" s="117" t="s">
        <v>313</v>
      </c>
      <c r="G25" s="117" t="s">
        <v>313</v>
      </c>
      <c r="H25" s="117" t="s">
        <v>313</v>
      </c>
      <c r="I25" s="122" t="s">
        <v>315</v>
      </c>
      <c r="J25" s="120" t="s">
        <v>315</v>
      </c>
      <c r="K25" s="18" t="s">
        <v>316</v>
      </c>
      <c r="L25" s="25"/>
      <c r="M25" s="15"/>
    </row>
    <row r="26" spans="1:13" ht="66" thickBot="1">
      <c r="A26" s="66">
        <v>25</v>
      </c>
      <c r="B26" s="48" t="s">
        <v>263</v>
      </c>
      <c r="C26" s="46" t="s">
        <v>1730</v>
      </c>
      <c r="D26" s="125" t="s">
        <v>262</v>
      </c>
      <c r="E26" s="117" t="s">
        <v>1918</v>
      </c>
      <c r="F26" s="117" t="s">
        <v>263</v>
      </c>
      <c r="G26" s="117" t="s">
        <v>263</v>
      </c>
      <c r="H26" s="117" t="s">
        <v>263</v>
      </c>
      <c r="I26" s="122" t="s">
        <v>265</v>
      </c>
      <c r="J26" s="120" t="s">
        <v>265</v>
      </c>
      <c r="K26" s="18" t="s">
        <v>266</v>
      </c>
      <c r="L26" s="25"/>
      <c r="M26" s="15"/>
    </row>
    <row r="27" spans="1:13" ht="66" thickBot="1">
      <c r="A27" s="66">
        <v>26</v>
      </c>
      <c r="B27" s="48" t="s">
        <v>269</v>
      </c>
      <c r="C27" s="46" t="str">
        <f xml:space="preserve"> _xlfn.CONCAT(C26, "ʔ")</f>
        <v>ɪaʔ</v>
      </c>
      <c r="D27" s="125" t="s">
        <v>268</v>
      </c>
      <c r="E27" s="117" t="s">
        <v>1919</v>
      </c>
      <c r="F27" s="117" t="s">
        <v>269</v>
      </c>
      <c r="G27" s="117" t="s">
        <v>269</v>
      </c>
      <c r="H27" s="117" t="s">
        <v>269</v>
      </c>
      <c r="I27" s="122" t="s">
        <v>1584</v>
      </c>
      <c r="J27" s="121" t="s">
        <v>1630</v>
      </c>
      <c r="K27" s="18" t="s">
        <v>270</v>
      </c>
      <c r="L27" s="25"/>
      <c r="M27" s="15"/>
    </row>
    <row r="28" spans="1:13" ht="66" thickBot="1">
      <c r="A28" s="66">
        <v>27</v>
      </c>
      <c r="B28" s="48" t="s">
        <v>199</v>
      </c>
      <c r="C28" s="46" t="s">
        <v>1734</v>
      </c>
      <c r="D28" s="125" t="s">
        <v>1991</v>
      </c>
      <c r="E28" s="117" t="s">
        <v>1920</v>
      </c>
      <c r="F28" s="117" t="s">
        <v>199</v>
      </c>
      <c r="G28" s="117" t="s">
        <v>199</v>
      </c>
      <c r="H28" s="117" t="s">
        <v>199</v>
      </c>
      <c r="I28" s="122" t="s">
        <v>1586</v>
      </c>
      <c r="J28" s="121" t="s">
        <v>1622</v>
      </c>
      <c r="K28" s="18" t="s">
        <v>200</v>
      </c>
      <c r="L28" s="25"/>
      <c r="M28" s="15"/>
    </row>
    <row r="29" spans="1:13" ht="66" thickBot="1">
      <c r="A29" s="66">
        <v>28</v>
      </c>
      <c r="B29" s="48" t="s">
        <v>239</v>
      </c>
      <c r="C29" s="46" t="s">
        <v>1731</v>
      </c>
      <c r="D29" s="125" t="s">
        <v>238</v>
      </c>
      <c r="E29" s="117" t="s">
        <v>1921</v>
      </c>
      <c r="F29" s="117" t="s">
        <v>239</v>
      </c>
      <c r="G29" s="117" t="s">
        <v>239</v>
      </c>
      <c r="H29" s="117" t="s">
        <v>239</v>
      </c>
      <c r="I29" s="122" t="s">
        <v>241</v>
      </c>
      <c r="J29" s="121" t="s">
        <v>1627</v>
      </c>
      <c r="K29" s="18" t="s">
        <v>242</v>
      </c>
      <c r="L29" s="25"/>
      <c r="M29" s="15"/>
    </row>
    <row r="30" spans="1:13" ht="66" thickBot="1">
      <c r="A30" s="66">
        <v>29</v>
      </c>
      <c r="B30" s="48" t="s">
        <v>23</v>
      </c>
      <c r="C30" s="46" t="s">
        <v>1744</v>
      </c>
      <c r="D30" s="125" t="s">
        <v>22</v>
      </c>
      <c r="E30" s="117" t="s">
        <v>1922</v>
      </c>
      <c r="F30" s="117" t="s">
        <v>23</v>
      </c>
      <c r="G30" s="117" t="s">
        <v>23</v>
      </c>
      <c r="H30" s="117" t="s">
        <v>23</v>
      </c>
      <c r="I30" s="122" t="s">
        <v>25</v>
      </c>
      <c r="J30" s="120" t="s">
        <v>25</v>
      </c>
      <c r="K30" s="18" t="s">
        <v>26</v>
      </c>
      <c r="L30" s="25"/>
      <c r="M30" s="15"/>
    </row>
    <row r="31" spans="1:13" ht="66" thickBot="1">
      <c r="A31" s="66">
        <v>30</v>
      </c>
      <c r="B31" s="48" t="s">
        <v>195</v>
      </c>
      <c r="C31" s="46" t="s">
        <v>1732</v>
      </c>
      <c r="D31" s="125" t="s">
        <v>1992</v>
      </c>
      <c r="E31" s="117" t="s">
        <v>195</v>
      </c>
      <c r="F31" s="117" t="s">
        <v>195</v>
      </c>
      <c r="G31" s="117" t="s">
        <v>195</v>
      </c>
      <c r="H31" s="117" t="s">
        <v>195</v>
      </c>
      <c r="I31" s="122" t="s">
        <v>1585</v>
      </c>
      <c r="J31" s="120" t="s">
        <v>1585</v>
      </c>
      <c r="K31" s="18" t="s">
        <v>196</v>
      </c>
      <c r="L31" s="25"/>
      <c r="M31" s="15"/>
    </row>
    <row r="32" spans="1:13" ht="66" thickBot="1">
      <c r="A32" s="66">
        <v>31</v>
      </c>
      <c r="B32" s="48" t="s">
        <v>373</v>
      </c>
      <c r="C32" s="46" t="str">
        <f>_xlfn.CONCAT("ɪ", "a", _xlfn.UNICHAR(771), "")</f>
        <v>ɪã</v>
      </c>
      <c r="D32" s="125" t="s">
        <v>283</v>
      </c>
      <c r="E32" s="117" t="s">
        <v>373</v>
      </c>
      <c r="F32" s="117" t="s">
        <v>375</v>
      </c>
      <c r="G32" s="117" t="s">
        <v>376</v>
      </c>
      <c r="H32" s="117" t="s">
        <v>373</v>
      </c>
      <c r="I32" s="122" t="s">
        <v>372</v>
      </c>
      <c r="J32" s="121" t="s">
        <v>1645</v>
      </c>
      <c r="K32" s="18" t="s">
        <v>377</v>
      </c>
      <c r="L32" s="25"/>
      <c r="M32" s="15"/>
    </row>
    <row r="33" spans="1:13" ht="66" thickBot="1">
      <c r="A33" s="66">
        <v>32</v>
      </c>
      <c r="B33" s="48" t="s">
        <v>374</v>
      </c>
      <c r="C33" s="46" t="str">
        <f xml:space="preserve"> _xlfn.CONCAT(C32, "ʔ")</f>
        <v>ɪãʔ</v>
      </c>
      <c r="D33" s="125" t="s">
        <v>1692</v>
      </c>
      <c r="E33" s="117" t="s">
        <v>1963</v>
      </c>
      <c r="F33" s="117" t="s">
        <v>1958</v>
      </c>
      <c r="G33" s="117" t="s">
        <v>1695</v>
      </c>
      <c r="H33" s="117" t="s">
        <v>1563</v>
      </c>
      <c r="I33" s="124" t="s">
        <v>1977</v>
      </c>
      <c r="J33" s="121" t="s">
        <v>1760</v>
      </c>
      <c r="K33" s="18" t="s">
        <v>1979</v>
      </c>
      <c r="L33" s="25"/>
      <c r="M33" s="15"/>
    </row>
    <row r="34" spans="1:13" ht="66" thickBot="1">
      <c r="A34" s="66">
        <v>33</v>
      </c>
      <c r="B34" s="48" t="s">
        <v>247</v>
      </c>
      <c r="C34" s="46" t="s">
        <v>1733</v>
      </c>
      <c r="D34" s="125" t="s">
        <v>245</v>
      </c>
      <c r="E34" s="117" t="s">
        <v>247</v>
      </c>
      <c r="F34" s="117" t="s">
        <v>247</v>
      </c>
      <c r="G34" s="117" t="s">
        <v>247</v>
      </c>
      <c r="H34" s="117" t="s">
        <v>247</v>
      </c>
      <c r="I34" s="122" t="s">
        <v>246</v>
      </c>
      <c r="J34" s="121" t="s">
        <v>1628</v>
      </c>
      <c r="K34" s="18" t="s">
        <v>248</v>
      </c>
      <c r="L34" s="25"/>
      <c r="M34" s="15"/>
    </row>
    <row r="35" spans="1:13" ht="66" thickBot="1">
      <c r="A35" s="66">
        <v>34</v>
      </c>
      <c r="B35" s="48" t="s">
        <v>30</v>
      </c>
      <c r="C35" s="46" t="s">
        <v>1745</v>
      </c>
      <c r="D35" s="125" t="s">
        <v>1993</v>
      </c>
      <c r="E35" s="117" t="s">
        <v>1923</v>
      </c>
      <c r="F35" s="117" t="s">
        <v>30</v>
      </c>
      <c r="G35" s="117" t="s">
        <v>30</v>
      </c>
      <c r="H35" s="117" t="s">
        <v>30</v>
      </c>
      <c r="I35" s="122" t="s">
        <v>29</v>
      </c>
      <c r="J35" s="121" t="s">
        <v>1606</v>
      </c>
      <c r="K35" s="18" t="s">
        <v>31</v>
      </c>
      <c r="L35" s="25"/>
      <c r="M35" s="15"/>
    </row>
    <row r="36" spans="1:13" ht="66" thickBot="1">
      <c r="A36" s="66">
        <v>35</v>
      </c>
      <c r="B36" s="48" t="s">
        <v>136</v>
      </c>
      <c r="C36" s="46" t="s">
        <v>1697</v>
      </c>
      <c r="D36" s="125" t="s">
        <v>135</v>
      </c>
      <c r="E36" s="117" t="s">
        <v>1924</v>
      </c>
      <c r="F36" s="117" t="s">
        <v>136</v>
      </c>
      <c r="G36" s="117" t="s">
        <v>139</v>
      </c>
      <c r="H36" s="117" t="s">
        <v>136</v>
      </c>
      <c r="I36" s="122" t="s">
        <v>138</v>
      </c>
      <c r="J36" s="120" t="s">
        <v>138</v>
      </c>
      <c r="K36" s="18" t="s">
        <v>140</v>
      </c>
      <c r="L36" s="25"/>
      <c r="M36" s="15"/>
    </row>
    <row r="37" spans="1:13" ht="66" thickBot="1">
      <c r="A37" s="66">
        <v>36</v>
      </c>
      <c r="B37" s="48" t="s">
        <v>143</v>
      </c>
      <c r="C37" s="46" t="str">
        <f xml:space="preserve"> _xlfn.CONCAT(C36, "ʔ")</f>
        <v>ɪaʊʔ</v>
      </c>
      <c r="D37" s="125" t="s">
        <v>1994</v>
      </c>
      <c r="E37" s="117" t="s">
        <v>143</v>
      </c>
      <c r="F37" s="117" t="s">
        <v>143</v>
      </c>
      <c r="G37" s="117" t="s">
        <v>144</v>
      </c>
      <c r="H37" s="117" t="s">
        <v>143</v>
      </c>
      <c r="I37" s="122" t="s">
        <v>1587</v>
      </c>
      <c r="J37" s="121" t="s">
        <v>1617</v>
      </c>
      <c r="K37" s="18" t="s">
        <v>145</v>
      </c>
      <c r="L37" s="25"/>
      <c r="M37" s="15"/>
    </row>
    <row r="38" spans="1:13" ht="66" thickBot="1">
      <c r="A38" s="66">
        <v>37</v>
      </c>
      <c r="B38" s="48" t="s">
        <v>442</v>
      </c>
      <c r="C38" s="46" t="str">
        <f>_xlfn.CONCAT("ɪ", "a", _xlfn.UNICHAR(771), "ʊ")</f>
        <v>ɪãʊ</v>
      </c>
      <c r="D38" s="125" t="s">
        <v>1692</v>
      </c>
      <c r="E38" s="117" t="s">
        <v>1925</v>
      </c>
      <c r="F38" s="117" t="s">
        <v>443</v>
      </c>
      <c r="G38" s="117" t="s">
        <v>444</v>
      </c>
      <c r="H38" s="117" t="s">
        <v>442</v>
      </c>
      <c r="I38" s="122" t="s">
        <v>441</v>
      </c>
      <c r="J38" s="121" t="s">
        <v>1653</v>
      </c>
      <c r="K38" s="18" t="s">
        <v>445</v>
      </c>
      <c r="L38" s="25"/>
      <c r="M38" s="15"/>
    </row>
    <row r="39" spans="1:13" ht="66" thickBot="1">
      <c r="A39" s="66">
        <v>38</v>
      </c>
      <c r="B39" s="48" t="s">
        <v>318</v>
      </c>
      <c r="C39" s="46" t="s">
        <v>1702</v>
      </c>
      <c r="D39" s="125" t="s">
        <v>1995</v>
      </c>
      <c r="E39" s="117" t="s">
        <v>1926</v>
      </c>
      <c r="F39" s="117" t="s">
        <v>318</v>
      </c>
      <c r="G39" s="117" t="s">
        <v>318</v>
      </c>
      <c r="H39" s="117" t="s">
        <v>318</v>
      </c>
      <c r="I39" s="122" t="s">
        <v>1583</v>
      </c>
      <c r="J39" s="121" t="s">
        <v>1637</v>
      </c>
      <c r="K39" s="18" t="s">
        <v>319</v>
      </c>
      <c r="L39" s="25"/>
      <c r="M39" s="15"/>
    </row>
    <row r="40" spans="1:13" ht="66" thickBot="1">
      <c r="A40" s="66">
        <v>39</v>
      </c>
      <c r="B40" s="48" t="s">
        <v>111</v>
      </c>
      <c r="C40" s="46" t="s">
        <v>1743</v>
      </c>
      <c r="D40" s="125" t="s">
        <v>109</v>
      </c>
      <c r="E40" s="117" t="s">
        <v>1964</v>
      </c>
      <c r="F40" s="117" t="s">
        <v>1751</v>
      </c>
      <c r="G40" s="117" t="s">
        <v>705</v>
      </c>
      <c r="H40" s="117" t="s">
        <v>1781</v>
      </c>
      <c r="I40" s="122" t="s">
        <v>110</v>
      </c>
      <c r="J40" s="121" t="s">
        <v>1614</v>
      </c>
      <c r="K40" s="18" t="s">
        <v>113</v>
      </c>
      <c r="L40" s="25"/>
      <c r="M40" s="15"/>
    </row>
    <row r="41" spans="1:13" ht="66" thickBot="1">
      <c r="A41" s="66">
        <v>40</v>
      </c>
      <c r="B41" s="48" t="s">
        <v>34</v>
      </c>
      <c r="C41" s="46" t="s">
        <v>1703</v>
      </c>
      <c r="D41" s="125" t="s">
        <v>33</v>
      </c>
      <c r="E41" s="117" t="s">
        <v>1927</v>
      </c>
      <c r="F41" s="117" t="s">
        <v>34</v>
      </c>
      <c r="G41" s="117" t="s">
        <v>34</v>
      </c>
      <c r="H41" s="117" t="s">
        <v>34</v>
      </c>
      <c r="I41" s="122" t="s">
        <v>36</v>
      </c>
      <c r="J41" s="121" t="s">
        <v>1607</v>
      </c>
      <c r="K41" s="18" t="s">
        <v>37</v>
      </c>
      <c r="L41" s="25"/>
      <c r="M41" s="15"/>
    </row>
    <row r="42" spans="1:13" ht="66" thickBot="1">
      <c r="A42" s="66">
        <v>41</v>
      </c>
      <c r="B42" s="48" t="s">
        <v>182</v>
      </c>
      <c r="C42" s="46" t="s">
        <v>711</v>
      </c>
      <c r="D42" s="125" t="s">
        <v>1996</v>
      </c>
      <c r="E42" s="117" t="s">
        <v>1928</v>
      </c>
      <c r="F42" s="117" t="s">
        <v>182</v>
      </c>
      <c r="G42" s="117" t="s">
        <v>182</v>
      </c>
      <c r="H42" s="117" t="s">
        <v>182</v>
      </c>
      <c r="I42" s="122" t="s">
        <v>184</v>
      </c>
      <c r="J42" s="120" t="s">
        <v>184</v>
      </c>
      <c r="K42" s="18" t="s">
        <v>185</v>
      </c>
      <c r="L42" s="25"/>
      <c r="M42" s="15"/>
    </row>
    <row r="43" spans="1:13" ht="66" thickBot="1">
      <c r="A43" s="66">
        <v>42</v>
      </c>
      <c r="B43" s="48" t="s">
        <v>105</v>
      </c>
      <c r="C43" s="46" t="s">
        <v>1704</v>
      </c>
      <c r="D43" s="125" t="s">
        <v>101</v>
      </c>
      <c r="E43" s="117" t="s">
        <v>1929</v>
      </c>
      <c r="F43" s="117" t="s">
        <v>106</v>
      </c>
      <c r="G43" s="117" t="s">
        <v>105</v>
      </c>
      <c r="H43" s="117" t="s">
        <v>105</v>
      </c>
      <c r="I43" s="122" t="s">
        <v>104</v>
      </c>
      <c r="J43" s="120" t="s">
        <v>104</v>
      </c>
      <c r="K43" s="18" t="s">
        <v>107</v>
      </c>
      <c r="L43" s="25"/>
      <c r="M43" s="15"/>
    </row>
    <row r="44" spans="1:13" ht="66" thickBot="1">
      <c r="A44" s="66">
        <v>43</v>
      </c>
      <c r="B44" s="48" t="s">
        <v>357</v>
      </c>
      <c r="C44" s="46" t="s">
        <v>1701</v>
      </c>
      <c r="D44" s="125" t="s">
        <v>1997</v>
      </c>
      <c r="E44" s="117" t="s">
        <v>1930</v>
      </c>
      <c r="F44" s="117" t="s">
        <v>358</v>
      </c>
      <c r="G44" s="117" t="s">
        <v>359</v>
      </c>
      <c r="H44" s="117" t="s">
        <v>357</v>
      </c>
      <c r="I44" s="122" t="s">
        <v>356</v>
      </c>
      <c r="J44" s="121" t="s">
        <v>1642</v>
      </c>
      <c r="K44" s="18" t="s">
        <v>360</v>
      </c>
      <c r="L44" s="25"/>
      <c r="M44" s="15"/>
    </row>
    <row r="45" spans="1:13" ht="66" thickBot="1">
      <c r="A45" s="66">
        <v>44</v>
      </c>
      <c r="B45" s="48" t="s">
        <v>344</v>
      </c>
      <c r="C45" s="46" t="s">
        <v>1748</v>
      </c>
      <c r="D45" s="125" t="s">
        <v>1998</v>
      </c>
      <c r="E45" s="117" t="s">
        <v>344</v>
      </c>
      <c r="F45" s="117" t="s">
        <v>344</v>
      </c>
      <c r="G45" s="117" t="s">
        <v>344</v>
      </c>
      <c r="H45" s="117" t="s">
        <v>347</v>
      </c>
      <c r="I45" s="122" t="s">
        <v>346</v>
      </c>
      <c r="J45" s="120" t="s">
        <v>346</v>
      </c>
      <c r="K45" s="18" t="s">
        <v>348</v>
      </c>
      <c r="L45" s="25"/>
      <c r="M45" s="15"/>
    </row>
    <row r="46" spans="1:13" ht="66" thickBot="1">
      <c r="A46" s="66">
        <v>45</v>
      </c>
      <c r="B46" s="48" t="s">
        <v>350</v>
      </c>
      <c r="C46" s="46" t="s">
        <v>1749</v>
      </c>
      <c r="D46" s="125" t="s">
        <v>349</v>
      </c>
      <c r="E46" s="117" t="s">
        <v>1931</v>
      </c>
      <c r="F46" s="117" t="s">
        <v>350</v>
      </c>
      <c r="G46" s="117" t="s">
        <v>350</v>
      </c>
      <c r="H46" s="117" t="s">
        <v>351</v>
      </c>
      <c r="I46" s="122" t="s">
        <v>1588</v>
      </c>
      <c r="J46" s="121" t="s">
        <v>1641</v>
      </c>
      <c r="K46" s="18" t="s">
        <v>352</v>
      </c>
      <c r="L46" s="25"/>
      <c r="M46" s="15"/>
    </row>
    <row r="47" spans="1:13" ht="66" thickBot="1">
      <c r="A47" s="66">
        <v>46</v>
      </c>
      <c r="B47" s="48" t="s">
        <v>160</v>
      </c>
      <c r="C47" s="46" t="s">
        <v>1709</v>
      </c>
      <c r="D47" s="125" t="s">
        <v>158</v>
      </c>
      <c r="E47" s="117" t="s">
        <v>1932</v>
      </c>
      <c r="F47" s="117" t="s">
        <v>160</v>
      </c>
      <c r="G47" s="117" t="s">
        <v>160</v>
      </c>
      <c r="H47" s="117" t="s">
        <v>653</v>
      </c>
      <c r="I47" s="122" t="s">
        <v>159</v>
      </c>
      <c r="J47" s="121" t="s">
        <v>1619</v>
      </c>
      <c r="K47" s="18" t="s">
        <v>161</v>
      </c>
      <c r="L47" s="25"/>
      <c r="M47" s="15"/>
    </row>
    <row r="48" spans="1:13" ht="66" thickBot="1">
      <c r="A48" s="66">
        <v>47</v>
      </c>
      <c r="B48" s="48" t="s">
        <v>155</v>
      </c>
      <c r="C48" s="46" t="s">
        <v>1708</v>
      </c>
      <c r="D48" s="125" t="s">
        <v>152</v>
      </c>
      <c r="E48" s="117" t="s">
        <v>1933</v>
      </c>
      <c r="F48" s="117" t="s">
        <v>155</v>
      </c>
      <c r="G48" s="117" t="s">
        <v>155</v>
      </c>
      <c r="H48" s="117" t="s">
        <v>155</v>
      </c>
      <c r="I48" s="122" t="s">
        <v>154</v>
      </c>
      <c r="J48" s="121" t="s">
        <v>1618</v>
      </c>
      <c r="K48" s="18" t="s">
        <v>156</v>
      </c>
      <c r="L48" s="25"/>
      <c r="M48" s="15"/>
    </row>
    <row r="49" spans="1:13" ht="66" thickBot="1">
      <c r="A49" s="66">
        <v>48</v>
      </c>
      <c r="B49" s="48" t="s">
        <v>1836</v>
      </c>
      <c r="C49" s="46" t="s">
        <v>1707</v>
      </c>
      <c r="D49" s="125" t="s">
        <v>1692</v>
      </c>
      <c r="E49" s="117" t="s">
        <v>1836</v>
      </c>
      <c r="F49" s="117" t="s">
        <v>1839</v>
      </c>
      <c r="G49" s="117" t="s">
        <v>1838</v>
      </c>
      <c r="H49" s="117" t="s">
        <v>1837</v>
      </c>
      <c r="I49" s="122" t="s">
        <v>1840</v>
      </c>
      <c r="J49" s="121" t="s">
        <v>1841</v>
      </c>
      <c r="K49" s="18" t="s">
        <v>369</v>
      </c>
      <c r="L49" s="25"/>
      <c r="M49" s="15"/>
    </row>
    <row r="50" spans="1:13" ht="66" thickBot="1">
      <c r="A50" s="66">
        <v>49</v>
      </c>
      <c r="B50" s="48" t="s">
        <v>700</v>
      </c>
      <c r="C50" s="46" t="s">
        <v>1705</v>
      </c>
      <c r="D50" s="125" t="s">
        <v>1999</v>
      </c>
      <c r="E50" s="117" t="s">
        <v>1965</v>
      </c>
      <c r="F50" s="117" t="s">
        <v>700</v>
      </c>
      <c r="G50" s="117" t="s">
        <v>700</v>
      </c>
      <c r="H50" s="117" t="s">
        <v>700</v>
      </c>
      <c r="I50" s="122" t="s">
        <v>1845</v>
      </c>
      <c r="J50" s="120" t="s">
        <v>1846</v>
      </c>
      <c r="K50" s="18" t="s">
        <v>43</v>
      </c>
      <c r="L50" s="25"/>
      <c r="M50" s="15"/>
    </row>
    <row r="51" spans="1:13" ht="66" thickBot="1">
      <c r="A51" s="66">
        <v>50</v>
      </c>
      <c r="B51" s="48" t="s">
        <v>706</v>
      </c>
      <c r="C51" s="46" t="s">
        <v>1706</v>
      </c>
      <c r="D51" s="125" t="s">
        <v>187</v>
      </c>
      <c r="E51" s="117" t="s">
        <v>1966</v>
      </c>
      <c r="F51" s="117" t="s">
        <v>706</v>
      </c>
      <c r="G51" s="117" t="s">
        <v>706</v>
      </c>
      <c r="H51" s="117" t="s">
        <v>706</v>
      </c>
      <c r="I51" s="122" t="s">
        <v>1849</v>
      </c>
      <c r="J51" s="120" t="s">
        <v>1850</v>
      </c>
      <c r="K51" s="18" t="s">
        <v>191</v>
      </c>
      <c r="L51" s="25"/>
      <c r="M51" s="15"/>
    </row>
    <row r="52" spans="1:13" ht="66" thickBot="1">
      <c r="A52" s="66">
        <v>51</v>
      </c>
      <c r="B52" s="48" t="s">
        <v>321</v>
      </c>
      <c r="C52" s="46" t="str">
        <f>_xlfn.CONCAT("ɪ", "u")</f>
        <v>ɪu</v>
      </c>
      <c r="D52" s="125" t="s">
        <v>320</v>
      </c>
      <c r="E52" s="117" t="s">
        <v>1934</v>
      </c>
      <c r="F52" s="117" t="s">
        <v>321</v>
      </c>
      <c r="G52" s="117" t="s">
        <v>321</v>
      </c>
      <c r="H52" s="117" t="s">
        <v>321</v>
      </c>
      <c r="I52" s="122" t="s">
        <v>323</v>
      </c>
      <c r="J52" s="120" t="s">
        <v>323</v>
      </c>
      <c r="K52" s="18" t="s">
        <v>324</v>
      </c>
      <c r="L52" s="25"/>
      <c r="M52" s="15"/>
    </row>
    <row r="53" spans="1:13" ht="66" thickBot="1">
      <c r="A53" s="66">
        <v>52</v>
      </c>
      <c r="B53" s="48" t="s">
        <v>474</v>
      </c>
      <c r="C53" s="46" t="str">
        <f>_xlfn.CONCAT("ɪ", "u", _xlfn.UNICHAR(771), "")</f>
        <v>ɪũ</v>
      </c>
      <c r="D53" s="125" t="s">
        <v>471</v>
      </c>
      <c r="E53" s="117" t="s">
        <v>1935</v>
      </c>
      <c r="F53" s="117" t="s">
        <v>475</v>
      </c>
      <c r="G53" s="117" t="s">
        <v>476</v>
      </c>
      <c r="H53" s="117" t="s">
        <v>474</v>
      </c>
      <c r="I53" s="122" t="s">
        <v>473</v>
      </c>
      <c r="J53" s="121" t="s">
        <v>1761</v>
      </c>
      <c r="K53" s="18" t="s">
        <v>477</v>
      </c>
      <c r="L53" s="25"/>
      <c r="M53" s="15"/>
    </row>
    <row r="54" spans="1:13" ht="66" thickBot="1">
      <c r="A54" s="66">
        <v>53</v>
      </c>
      <c r="B54" s="48" t="s">
        <v>1273</v>
      </c>
      <c r="C54" s="46" t="str">
        <f xml:space="preserve"> _xlfn.CONCAT(LEFT(C53,1), MID(C53,2,1), _xlfn.UNICHAR(771), "ʔ")</f>
        <v>ɪũʔ</v>
      </c>
      <c r="D54" s="125" t="s">
        <v>1692</v>
      </c>
      <c r="E54" s="117" t="s">
        <v>1568</v>
      </c>
      <c r="F54" s="117" t="s">
        <v>1959</v>
      </c>
      <c r="G54" s="117" t="s">
        <v>1570</v>
      </c>
      <c r="H54" s="117" t="s">
        <v>1568</v>
      </c>
      <c r="I54" s="124" t="s">
        <v>1978</v>
      </c>
      <c r="J54" s="121" t="s">
        <v>1762</v>
      </c>
      <c r="K54" s="53" t="s">
        <v>1579</v>
      </c>
      <c r="L54" s="25"/>
      <c r="M54" s="15"/>
    </row>
    <row r="55" spans="1:13" ht="66" thickBot="1">
      <c r="A55" s="66">
        <v>54</v>
      </c>
      <c r="B55" s="48" t="s">
        <v>413</v>
      </c>
      <c r="C55" s="46" t="s">
        <v>1721</v>
      </c>
      <c r="D55" s="125" t="s">
        <v>410</v>
      </c>
      <c r="E55" s="117" t="s">
        <v>413</v>
      </c>
      <c r="F55" s="117" t="s">
        <v>413</v>
      </c>
      <c r="G55" s="117" t="s">
        <v>413</v>
      </c>
      <c r="H55" s="117" t="s">
        <v>413</v>
      </c>
      <c r="I55" s="124" t="s">
        <v>412</v>
      </c>
      <c r="J55" s="121" t="s">
        <v>553</v>
      </c>
      <c r="K55" s="18" t="s">
        <v>414</v>
      </c>
      <c r="M55" s="15"/>
    </row>
    <row r="56" spans="1:13" ht="66" thickBot="1">
      <c r="A56" s="66">
        <v>55</v>
      </c>
      <c r="B56" s="48" t="s">
        <v>642</v>
      </c>
      <c r="C56" s="46" t="s">
        <v>641</v>
      </c>
      <c r="D56" s="125" t="s">
        <v>2000</v>
      </c>
      <c r="E56" s="117" t="s">
        <v>1967</v>
      </c>
      <c r="F56" s="117" t="s">
        <v>1573</v>
      </c>
      <c r="G56" s="117" t="s">
        <v>1573</v>
      </c>
      <c r="H56" s="117" t="s">
        <v>1573</v>
      </c>
      <c r="I56" s="124" t="s">
        <v>1567</v>
      </c>
      <c r="J56" s="121" t="s">
        <v>1765</v>
      </c>
      <c r="K56" s="52" t="s">
        <v>1574</v>
      </c>
      <c r="M56" s="15"/>
    </row>
    <row r="57" spans="1:13" ht="66" thickBot="1">
      <c r="A57" s="66">
        <v>56</v>
      </c>
      <c r="B57" s="48" t="s">
        <v>389</v>
      </c>
      <c r="C57" s="46" t="s">
        <v>386</v>
      </c>
      <c r="D57" s="125" t="s">
        <v>385</v>
      </c>
      <c r="E57" s="117" t="s">
        <v>1936</v>
      </c>
      <c r="F57" s="117" t="s">
        <v>389</v>
      </c>
      <c r="G57" s="117" t="s">
        <v>389</v>
      </c>
      <c r="H57" s="117" t="s">
        <v>389</v>
      </c>
      <c r="I57" s="124" t="s">
        <v>388</v>
      </c>
      <c r="J57" s="121" t="s">
        <v>743</v>
      </c>
      <c r="K57" s="18" t="s">
        <v>390</v>
      </c>
      <c r="M57" s="15"/>
    </row>
    <row r="58" spans="1:13" ht="66" thickBot="1">
      <c r="A58" s="66">
        <v>57</v>
      </c>
      <c r="B58" s="48" t="s">
        <v>630</v>
      </c>
      <c r="C58" s="46" t="s">
        <v>629</v>
      </c>
      <c r="D58" s="125" t="s">
        <v>1692</v>
      </c>
      <c r="E58" s="117" t="s">
        <v>1577</v>
      </c>
      <c r="F58" s="117" t="s">
        <v>1577</v>
      </c>
      <c r="G58" s="117" t="s">
        <v>1577</v>
      </c>
      <c r="H58" s="117" t="s">
        <v>1577</v>
      </c>
      <c r="I58" s="124" t="s">
        <v>741</v>
      </c>
      <c r="J58" s="121" t="s">
        <v>1766</v>
      </c>
      <c r="K58" s="52" t="s">
        <v>1576</v>
      </c>
      <c r="M58" s="15"/>
    </row>
    <row r="59" spans="1:13" ht="66" thickBot="1">
      <c r="A59" s="66">
        <v>58</v>
      </c>
      <c r="B59" s="48" t="s">
        <v>164</v>
      </c>
      <c r="C59" s="46" t="s">
        <v>1746</v>
      </c>
      <c r="D59" s="125" t="s">
        <v>163</v>
      </c>
      <c r="E59" s="117" t="s">
        <v>164</v>
      </c>
      <c r="F59" s="117" t="s">
        <v>164</v>
      </c>
      <c r="G59" s="117" t="s">
        <v>164</v>
      </c>
      <c r="H59" s="117" t="s">
        <v>167</v>
      </c>
      <c r="I59" s="124" t="s">
        <v>166</v>
      </c>
      <c r="J59" s="120" t="s">
        <v>166</v>
      </c>
      <c r="K59" s="18" t="s">
        <v>168</v>
      </c>
      <c r="L59" s="25"/>
      <c r="M59" s="15"/>
    </row>
    <row r="60" spans="1:13" ht="66" thickBot="1">
      <c r="A60" s="66">
        <v>59</v>
      </c>
      <c r="B60" s="48" t="s">
        <v>171</v>
      </c>
      <c r="C60" s="46" t="s">
        <v>1747</v>
      </c>
      <c r="D60" s="125" t="s">
        <v>2001</v>
      </c>
      <c r="E60" s="117" t="s">
        <v>1937</v>
      </c>
      <c r="F60" s="117" t="s">
        <v>171</v>
      </c>
      <c r="G60" s="117" t="s">
        <v>171</v>
      </c>
      <c r="H60" s="117" t="s">
        <v>172</v>
      </c>
      <c r="I60" s="124" t="s">
        <v>1589</v>
      </c>
      <c r="J60" s="121" t="s">
        <v>1620</v>
      </c>
      <c r="K60" s="18" t="s">
        <v>173</v>
      </c>
      <c r="L60" s="25"/>
      <c r="M60" s="15"/>
    </row>
    <row r="61" spans="1:13" ht="66" thickBot="1">
      <c r="A61" s="66">
        <v>60</v>
      </c>
      <c r="B61" s="48" t="s">
        <v>86</v>
      </c>
      <c r="C61" s="46" t="s">
        <v>1714</v>
      </c>
      <c r="D61" s="125" t="s">
        <v>83</v>
      </c>
      <c r="E61" s="117" t="s">
        <v>1938</v>
      </c>
      <c r="F61" s="117" t="s">
        <v>86</v>
      </c>
      <c r="G61" s="117" t="s">
        <v>703</v>
      </c>
      <c r="H61" s="117" t="s">
        <v>1969</v>
      </c>
      <c r="I61" s="124" t="s">
        <v>85</v>
      </c>
      <c r="J61" s="121" t="s">
        <v>1612</v>
      </c>
      <c r="K61" s="18" t="s">
        <v>87</v>
      </c>
      <c r="L61" s="25"/>
      <c r="M61" s="15"/>
    </row>
    <row r="62" spans="1:13" ht="66" thickBot="1">
      <c r="A62" s="66">
        <v>61</v>
      </c>
      <c r="B62" s="48" t="s">
        <v>452</v>
      </c>
      <c r="C62" s="46" t="s">
        <v>1712</v>
      </c>
      <c r="D62" s="125" t="s">
        <v>448</v>
      </c>
      <c r="E62" s="117" t="s">
        <v>1939</v>
      </c>
      <c r="F62" s="117" t="s">
        <v>452</v>
      </c>
      <c r="G62" s="117" t="s">
        <v>452</v>
      </c>
      <c r="H62" s="117" t="s">
        <v>453</v>
      </c>
      <c r="I62" s="124" t="s">
        <v>451</v>
      </c>
      <c r="J62" s="121" t="s">
        <v>1655</v>
      </c>
      <c r="K62" s="18" t="s">
        <v>454</v>
      </c>
      <c r="L62" s="25"/>
      <c r="M62" s="15"/>
    </row>
    <row r="63" spans="1:13" ht="66" thickBot="1">
      <c r="A63" s="66">
        <v>62</v>
      </c>
      <c r="B63" s="48" t="s">
        <v>80</v>
      </c>
      <c r="C63" s="46" t="s">
        <v>1713</v>
      </c>
      <c r="D63" s="125" t="s">
        <v>76</v>
      </c>
      <c r="E63" s="117" t="s">
        <v>1940</v>
      </c>
      <c r="F63" s="117" t="s">
        <v>80</v>
      </c>
      <c r="G63" s="117" t="s">
        <v>80</v>
      </c>
      <c r="H63" s="117" t="s">
        <v>80</v>
      </c>
      <c r="I63" s="124" t="s">
        <v>79</v>
      </c>
      <c r="J63" s="121" t="s">
        <v>1611</v>
      </c>
      <c r="K63" s="18" t="s">
        <v>81</v>
      </c>
      <c r="L63" s="25"/>
      <c r="M63" s="15"/>
    </row>
    <row r="64" spans="1:13" ht="66" thickBot="1">
      <c r="A64" s="66">
        <v>63</v>
      </c>
      <c r="B64" s="48" t="s">
        <v>407</v>
      </c>
      <c r="C64" s="46" t="s">
        <v>659</v>
      </c>
      <c r="D64" s="125" t="s">
        <v>1692</v>
      </c>
      <c r="E64" s="117" t="s">
        <v>1970</v>
      </c>
      <c r="F64" s="117" t="s">
        <v>1597</v>
      </c>
      <c r="G64" s="117" t="s">
        <v>1972</v>
      </c>
      <c r="H64" s="117" t="s">
        <v>1971</v>
      </c>
      <c r="I64" s="124" t="s">
        <v>405</v>
      </c>
      <c r="J64" s="121" t="s">
        <v>1648</v>
      </c>
      <c r="K64" s="90" t="s">
        <v>2002</v>
      </c>
      <c r="L64" s="127" t="s">
        <v>2003</v>
      </c>
      <c r="M64" s="15"/>
    </row>
    <row r="65" spans="1:13" ht="66" thickBot="1">
      <c r="A65" s="66">
        <v>64</v>
      </c>
      <c r="B65" s="48" t="s">
        <v>469</v>
      </c>
      <c r="C65" s="46" t="s">
        <v>658</v>
      </c>
      <c r="D65" s="125" t="s">
        <v>1980</v>
      </c>
      <c r="E65" s="117" t="s">
        <v>723</v>
      </c>
      <c r="F65" s="117" t="s">
        <v>1960</v>
      </c>
      <c r="G65" s="117" t="s">
        <v>1570</v>
      </c>
      <c r="H65" s="117" t="s">
        <v>1793</v>
      </c>
      <c r="I65" s="124" t="s">
        <v>1590</v>
      </c>
      <c r="J65" s="121" t="s">
        <v>1658</v>
      </c>
      <c r="K65" s="90" t="s">
        <v>1794</v>
      </c>
      <c r="L65" s="127" t="s">
        <v>2003</v>
      </c>
      <c r="M65" s="15"/>
    </row>
    <row r="66" spans="1:13" ht="66" thickBot="1">
      <c r="A66" s="66">
        <v>65</v>
      </c>
      <c r="B66" s="48" t="s">
        <v>131</v>
      </c>
      <c r="C66" s="46" t="s">
        <v>1710</v>
      </c>
      <c r="D66" s="125" t="s">
        <v>129</v>
      </c>
      <c r="E66" s="117" t="s">
        <v>1942</v>
      </c>
      <c r="F66" s="117" t="s">
        <v>132</v>
      </c>
      <c r="G66" s="117" t="s">
        <v>131</v>
      </c>
      <c r="H66" s="117" t="s">
        <v>131</v>
      </c>
      <c r="I66" s="124" t="s">
        <v>744</v>
      </c>
      <c r="J66" s="120" t="s">
        <v>1616</v>
      </c>
      <c r="K66" s="18" t="s">
        <v>133</v>
      </c>
      <c r="L66" s="25"/>
      <c r="M66" s="15"/>
    </row>
    <row r="67" spans="1:13" ht="66" thickBot="1">
      <c r="A67" s="66">
        <v>66</v>
      </c>
      <c r="B67" s="48" t="s">
        <v>633</v>
      </c>
      <c r="C67" s="46" t="s">
        <v>1711</v>
      </c>
      <c r="D67" s="125" t="s">
        <v>1692</v>
      </c>
      <c r="E67" s="117" t="s">
        <v>1968</v>
      </c>
      <c r="F67" s="117" t="s">
        <v>1961</v>
      </c>
      <c r="G67" s="117" t="s">
        <v>1571</v>
      </c>
      <c r="H67" s="117" t="s">
        <v>1571</v>
      </c>
      <c r="I67" s="124" t="s">
        <v>742</v>
      </c>
      <c r="J67" s="121" t="s">
        <v>1763</v>
      </c>
      <c r="K67" s="53" t="s">
        <v>1578</v>
      </c>
      <c r="L67" s="25"/>
      <c r="M67" s="15"/>
    </row>
    <row r="68" spans="1:13" ht="66" thickBot="1">
      <c r="A68" s="66">
        <v>67</v>
      </c>
      <c r="B68" s="48" t="s">
        <v>458</v>
      </c>
      <c r="C68" s="46" t="s">
        <v>651</v>
      </c>
      <c r="D68" s="125" t="s">
        <v>1692</v>
      </c>
      <c r="E68" s="117" t="s">
        <v>1943</v>
      </c>
      <c r="F68" s="117" t="s">
        <v>458</v>
      </c>
      <c r="G68" s="117" t="s">
        <v>458</v>
      </c>
      <c r="H68" s="119" t="s">
        <v>459</v>
      </c>
      <c r="I68" s="122" t="s">
        <v>457</v>
      </c>
      <c r="J68" s="121" t="s">
        <v>1656</v>
      </c>
      <c r="K68" s="18" t="s">
        <v>460</v>
      </c>
      <c r="L68" s="25"/>
      <c r="M68" s="15"/>
    </row>
    <row r="69" spans="1:13" ht="66" thickBot="1">
      <c r="A69" s="66">
        <v>68</v>
      </c>
      <c r="B69" s="48" t="s">
        <v>297</v>
      </c>
      <c r="C69" s="46" t="s">
        <v>715</v>
      </c>
      <c r="D69" s="125" t="s">
        <v>296</v>
      </c>
      <c r="E69" s="117" t="s">
        <v>297</v>
      </c>
      <c r="F69" s="117" t="s">
        <v>297</v>
      </c>
      <c r="G69" s="117" t="s">
        <v>297</v>
      </c>
      <c r="H69" s="117" t="s">
        <v>297</v>
      </c>
      <c r="I69" s="122" t="s">
        <v>299</v>
      </c>
      <c r="J69" s="120" t="s">
        <v>299</v>
      </c>
      <c r="K69" s="18" t="s">
        <v>300</v>
      </c>
      <c r="L69" s="25"/>
      <c r="M69" s="15"/>
    </row>
    <row r="70" spans="1:13" ht="66" thickBot="1">
      <c r="A70" s="66">
        <v>69</v>
      </c>
      <c r="B70" s="48" t="s">
        <v>215</v>
      </c>
      <c r="C70" s="46" t="s">
        <v>713</v>
      </c>
      <c r="D70" s="125" t="s">
        <v>2004</v>
      </c>
      <c r="E70" s="117" t="s">
        <v>1944</v>
      </c>
      <c r="F70" s="117" t="s">
        <v>218</v>
      </c>
      <c r="G70" s="117" t="s">
        <v>215</v>
      </c>
      <c r="H70" s="117" t="s">
        <v>215</v>
      </c>
      <c r="I70" s="122" t="s">
        <v>217</v>
      </c>
      <c r="J70" s="120" t="s">
        <v>217</v>
      </c>
      <c r="K70" s="18" t="s">
        <v>219</v>
      </c>
      <c r="L70" s="25"/>
      <c r="M70" s="15"/>
    </row>
    <row r="71" spans="1:13" ht="66" thickBot="1">
      <c r="A71" s="66">
        <v>70</v>
      </c>
      <c r="B71" s="48" t="s">
        <v>222</v>
      </c>
      <c r="C71" s="46" t="s">
        <v>1736</v>
      </c>
      <c r="D71" s="125" t="s">
        <v>221</v>
      </c>
      <c r="E71" s="117" t="s">
        <v>1945</v>
      </c>
      <c r="F71" s="117" t="s">
        <v>223</v>
      </c>
      <c r="G71" s="117" t="s">
        <v>222</v>
      </c>
      <c r="H71" s="117" t="s">
        <v>222</v>
      </c>
      <c r="I71" s="122" t="s">
        <v>1592</v>
      </c>
      <c r="J71" s="121" t="s">
        <v>1625</v>
      </c>
      <c r="K71" s="18" t="s">
        <v>224</v>
      </c>
      <c r="L71" s="25"/>
      <c r="M71" s="15"/>
    </row>
    <row r="72" spans="1:13" ht="66" thickBot="1">
      <c r="A72" s="66">
        <v>71</v>
      </c>
      <c r="B72" s="48" t="s">
        <v>90</v>
      </c>
      <c r="C72" s="46" t="s">
        <v>708</v>
      </c>
      <c r="D72" s="125" t="s">
        <v>89</v>
      </c>
      <c r="E72" s="117" t="s">
        <v>1946</v>
      </c>
      <c r="F72" s="117" t="s">
        <v>93</v>
      </c>
      <c r="G72" s="117" t="s">
        <v>90</v>
      </c>
      <c r="H72" s="117" t="s">
        <v>90</v>
      </c>
      <c r="I72" s="122" t="s">
        <v>92</v>
      </c>
      <c r="J72" s="120" t="s">
        <v>92</v>
      </c>
      <c r="K72" s="18" t="s">
        <v>94</v>
      </c>
      <c r="L72" s="25"/>
      <c r="M72" s="15"/>
    </row>
    <row r="73" spans="1:13" ht="66" thickBot="1">
      <c r="A73" s="66">
        <v>72</v>
      </c>
      <c r="B73" s="48" t="s">
        <v>97</v>
      </c>
      <c r="C73" s="46" t="s">
        <v>1740</v>
      </c>
      <c r="D73" s="125" t="s">
        <v>1692</v>
      </c>
      <c r="E73" s="117" t="s">
        <v>704</v>
      </c>
      <c r="F73" s="117" t="s">
        <v>98</v>
      </c>
      <c r="G73" s="117" t="s">
        <v>704</v>
      </c>
      <c r="H73" s="118" t="s">
        <v>704</v>
      </c>
      <c r="I73" s="122" t="s">
        <v>1594</v>
      </c>
      <c r="J73" s="121" t="s">
        <v>1613</v>
      </c>
      <c r="K73" s="18" t="s">
        <v>99</v>
      </c>
      <c r="L73" s="25"/>
      <c r="M73" s="15"/>
    </row>
    <row r="74" spans="1:13" ht="66" thickBot="1">
      <c r="A74" s="66">
        <v>73</v>
      </c>
      <c r="B74" s="48" t="s">
        <v>428</v>
      </c>
      <c r="C74" s="46" t="s">
        <v>1739</v>
      </c>
      <c r="D74" s="125" t="s">
        <v>425</v>
      </c>
      <c r="E74" s="117" t="s">
        <v>1947</v>
      </c>
      <c r="F74" s="117" t="s">
        <v>429</v>
      </c>
      <c r="G74" s="117" t="s">
        <v>430</v>
      </c>
      <c r="H74" s="117" t="s">
        <v>428</v>
      </c>
      <c r="I74" s="122" t="s">
        <v>427</v>
      </c>
      <c r="J74" s="121" t="s">
        <v>1650</v>
      </c>
      <c r="K74" s="18" t="s">
        <v>431</v>
      </c>
      <c r="L74" s="25"/>
      <c r="M74" s="15"/>
    </row>
    <row r="75" spans="1:13" ht="66" thickBot="1">
      <c r="A75" s="66">
        <v>74</v>
      </c>
      <c r="B75" s="48" t="s">
        <v>433</v>
      </c>
      <c r="C75" s="46" t="s">
        <v>1741</v>
      </c>
      <c r="D75" s="125" t="s">
        <v>1692</v>
      </c>
      <c r="E75" s="117" t="s">
        <v>722</v>
      </c>
      <c r="F75" s="117" t="s">
        <v>657</v>
      </c>
      <c r="G75" s="117" t="s">
        <v>722</v>
      </c>
      <c r="H75" s="117" t="s">
        <v>722</v>
      </c>
      <c r="I75" s="122" t="s">
        <v>1595</v>
      </c>
      <c r="J75" s="121" t="s">
        <v>1651</v>
      </c>
      <c r="K75" s="18" t="s">
        <v>434</v>
      </c>
      <c r="L75" s="25"/>
      <c r="M75" s="15"/>
    </row>
    <row r="76" spans="1:13" ht="66" thickBot="1">
      <c r="A76" s="66">
        <v>75</v>
      </c>
      <c r="B76" s="48" t="s">
        <v>116</v>
      </c>
      <c r="C76" s="46" t="s">
        <v>709</v>
      </c>
      <c r="D76" s="125" t="s">
        <v>115</v>
      </c>
      <c r="E76" s="117" t="s">
        <v>1948</v>
      </c>
      <c r="F76" s="117" t="s">
        <v>119</v>
      </c>
      <c r="G76" s="117" t="s">
        <v>116</v>
      </c>
      <c r="H76" s="117" t="s">
        <v>116</v>
      </c>
      <c r="I76" s="122" t="s">
        <v>118</v>
      </c>
      <c r="J76" s="120" t="s">
        <v>118</v>
      </c>
      <c r="K76" s="18" t="s">
        <v>120</v>
      </c>
      <c r="L76" s="25"/>
      <c r="M76" s="15"/>
    </row>
    <row r="77" spans="1:13" ht="66" thickBot="1">
      <c r="A77" s="66">
        <v>76</v>
      </c>
      <c r="B77" s="48" t="s">
        <v>418</v>
      </c>
      <c r="C77" s="46" t="s">
        <v>1737</v>
      </c>
      <c r="D77" s="125" t="s">
        <v>415</v>
      </c>
      <c r="E77" s="117" t="s">
        <v>718</v>
      </c>
      <c r="F77" s="117" t="s">
        <v>419</v>
      </c>
      <c r="G77" s="117" t="s">
        <v>718</v>
      </c>
      <c r="H77" s="117" t="s">
        <v>718</v>
      </c>
      <c r="I77" s="122" t="s">
        <v>1593</v>
      </c>
      <c r="J77" s="120" t="s">
        <v>1593</v>
      </c>
      <c r="K77" s="18" t="s">
        <v>420</v>
      </c>
      <c r="L77" s="25"/>
      <c r="M77" s="15"/>
    </row>
    <row r="78" spans="1:13" ht="66" thickBot="1">
      <c r="A78" s="66">
        <v>77</v>
      </c>
      <c r="B78" s="48" t="s">
        <v>381</v>
      </c>
      <c r="C78" s="46" t="s">
        <v>1735</v>
      </c>
      <c r="D78" s="125" t="s">
        <v>378</v>
      </c>
      <c r="E78" s="117" t="s">
        <v>1949</v>
      </c>
      <c r="F78" s="117" t="s">
        <v>382</v>
      </c>
      <c r="G78" s="117" t="s">
        <v>383</v>
      </c>
      <c r="H78" s="117" t="s">
        <v>1974</v>
      </c>
      <c r="I78" s="122" t="s">
        <v>380</v>
      </c>
      <c r="J78" s="121" t="s">
        <v>1646</v>
      </c>
      <c r="K78" s="18" t="s">
        <v>384</v>
      </c>
      <c r="L78" s="25"/>
      <c r="M78" s="15"/>
    </row>
    <row r="79" spans="1:13" ht="66" thickBot="1">
      <c r="A79" s="66">
        <v>78</v>
      </c>
      <c r="B79" s="48" t="s">
        <v>125</v>
      </c>
      <c r="C79" s="46" t="s">
        <v>1738</v>
      </c>
      <c r="D79" s="125" t="s">
        <v>2005</v>
      </c>
      <c r="E79" s="117" t="s">
        <v>1950</v>
      </c>
      <c r="F79" s="117" t="s">
        <v>126</v>
      </c>
      <c r="G79" s="117" t="s">
        <v>125</v>
      </c>
      <c r="H79" s="117" t="s">
        <v>125</v>
      </c>
      <c r="I79" s="122" t="s">
        <v>124</v>
      </c>
      <c r="J79" s="121" t="s">
        <v>1615</v>
      </c>
      <c r="K79" s="18" t="s">
        <v>127</v>
      </c>
      <c r="L79" s="25"/>
      <c r="M79" s="15"/>
    </row>
    <row r="80" spans="1:13" ht="66" thickBot="1">
      <c r="A80" s="66">
        <v>79</v>
      </c>
      <c r="B80" s="48" t="s">
        <v>275</v>
      </c>
      <c r="C80" s="46" t="s">
        <v>714</v>
      </c>
      <c r="D80" s="125" t="s">
        <v>272</v>
      </c>
      <c r="E80" s="117" t="s">
        <v>1951</v>
      </c>
      <c r="F80" s="117" t="s">
        <v>276</v>
      </c>
      <c r="G80" s="117" t="s">
        <v>275</v>
      </c>
      <c r="H80" s="117" t="s">
        <v>275</v>
      </c>
      <c r="I80" s="122" t="s">
        <v>274</v>
      </c>
      <c r="J80" s="120" t="s">
        <v>1631</v>
      </c>
      <c r="K80" s="18" t="s">
        <v>277</v>
      </c>
      <c r="L80" s="25"/>
      <c r="M80" s="15"/>
    </row>
    <row r="81" spans="1:13" ht="66" thickBot="1">
      <c r="A81" s="66">
        <v>80</v>
      </c>
      <c r="B81" s="48" t="s">
        <v>280</v>
      </c>
      <c r="C81" s="46" t="s">
        <v>724</v>
      </c>
      <c r="D81" s="125" t="s">
        <v>279</v>
      </c>
      <c r="E81" s="117" t="s">
        <v>1952</v>
      </c>
      <c r="F81" s="117" t="s">
        <v>281</v>
      </c>
      <c r="G81" s="117" t="s">
        <v>280</v>
      </c>
      <c r="H81" s="117" t="s">
        <v>280</v>
      </c>
      <c r="I81" s="122" t="s">
        <v>1596</v>
      </c>
      <c r="J81" s="121" t="s">
        <v>1632</v>
      </c>
      <c r="K81" s="18" t="s">
        <v>282</v>
      </c>
      <c r="L81" s="25"/>
      <c r="M81" s="15"/>
    </row>
    <row r="82" spans="1:13" ht="66" thickBot="1">
      <c r="A82" s="66">
        <v>81</v>
      </c>
      <c r="B82" s="48" t="s">
        <v>302</v>
      </c>
      <c r="C82" s="46" t="s">
        <v>1715</v>
      </c>
      <c r="D82" s="125" t="s">
        <v>2006</v>
      </c>
      <c r="E82" s="117" t="s">
        <v>1953</v>
      </c>
      <c r="F82" s="117" t="s">
        <v>302</v>
      </c>
      <c r="G82" s="117" t="s">
        <v>302</v>
      </c>
      <c r="H82" s="117" t="s">
        <v>302</v>
      </c>
      <c r="I82" s="122" t="s">
        <v>1591</v>
      </c>
      <c r="J82" s="120" t="s">
        <v>1635</v>
      </c>
      <c r="K82" s="18" t="s">
        <v>303</v>
      </c>
      <c r="L82" s="25"/>
      <c r="M82" s="15"/>
    </row>
    <row r="83" spans="1:13" ht="66" thickBot="1">
      <c r="A83" s="66">
        <v>82</v>
      </c>
      <c r="B83" s="48" t="s">
        <v>46</v>
      </c>
      <c r="C83" s="46" t="s">
        <v>1718</v>
      </c>
      <c r="D83" s="125" t="s">
        <v>45</v>
      </c>
      <c r="E83" s="117" t="s">
        <v>1954</v>
      </c>
      <c r="F83" s="117" t="s">
        <v>46</v>
      </c>
      <c r="G83" s="117" t="s">
        <v>46</v>
      </c>
      <c r="H83" s="117" t="s">
        <v>1718</v>
      </c>
      <c r="I83" s="122" t="s">
        <v>48</v>
      </c>
      <c r="J83" s="120" t="s">
        <v>48</v>
      </c>
      <c r="K83" s="18" t="s">
        <v>49</v>
      </c>
      <c r="L83" s="25"/>
      <c r="M83" s="15"/>
    </row>
    <row r="84" spans="1:13" ht="66" thickBot="1">
      <c r="A84" s="66">
        <v>83</v>
      </c>
      <c r="B84" s="48" t="s">
        <v>1537</v>
      </c>
      <c r="C84" s="46" t="s">
        <v>1720</v>
      </c>
      <c r="D84" s="126" t="s">
        <v>2007</v>
      </c>
      <c r="E84" s="117" t="s">
        <v>1572</v>
      </c>
      <c r="F84" s="117" t="s">
        <v>1572</v>
      </c>
      <c r="G84" s="117" t="s">
        <v>1572</v>
      </c>
      <c r="H84" s="117" t="s">
        <v>1572</v>
      </c>
      <c r="I84" s="124" t="s">
        <v>1566</v>
      </c>
      <c r="J84" s="121" t="s">
        <v>1764</v>
      </c>
      <c r="K84" s="52" t="s">
        <v>2009</v>
      </c>
      <c r="L84" s="25"/>
      <c r="M84" s="15"/>
    </row>
    <row r="85" spans="1:13" ht="66" thickBot="1">
      <c r="A85" s="66">
        <v>84</v>
      </c>
      <c r="B85" s="48" t="s">
        <v>338</v>
      </c>
      <c r="C85" s="46" t="s">
        <v>1719</v>
      </c>
      <c r="D85" s="125" t="s">
        <v>1692</v>
      </c>
      <c r="E85" s="117" t="s">
        <v>1956</v>
      </c>
      <c r="F85" s="117" t="s">
        <v>339</v>
      </c>
      <c r="G85" s="117" t="s">
        <v>1973</v>
      </c>
      <c r="H85" s="117" t="s">
        <v>1956</v>
      </c>
      <c r="I85" s="122" t="s">
        <v>337</v>
      </c>
      <c r="J85" s="121" t="s">
        <v>1640</v>
      </c>
      <c r="K85" s="18" t="s">
        <v>341</v>
      </c>
      <c r="L85" s="25"/>
      <c r="M85" s="15"/>
    </row>
    <row r="86" spans="1:13" ht="66" thickBot="1">
      <c r="A86" s="66">
        <v>85</v>
      </c>
      <c r="B86" s="48" t="s">
        <v>12</v>
      </c>
      <c r="C86" s="46" t="s">
        <v>1716</v>
      </c>
      <c r="D86" s="125" t="s">
        <v>2008</v>
      </c>
      <c r="E86" s="117" t="s">
        <v>12</v>
      </c>
      <c r="F86" s="117" t="s">
        <v>12</v>
      </c>
      <c r="G86" s="117" t="s">
        <v>12</v>
      </c>
      <c r="H86" s="117" t="s">
        <v>12</v>
      </c>
      <c r="I86" s="122" t="s">
        <v>14</v>
      </c>
      <c r="J86" s="120" t="s">
        <v>14</v>
      </c>
      <c r="K86" s="18" t="s">
        <v>15</v>
      </c>
      <c r="L86" s="25"/>
      <c r="M86" s="15"/>
    </row>
    <row r="87" spans="1:13" ht="66" thickBot="1">
      <c r="A87" s="66">
        <v>86</v>
      </c>
      <c r="B87" s="48" t="s">
        <v>19</v>
      </c>
      <c r="C87" s="46" t="s">
        <v>1717</v>
      </c>
      <c r="D87" s="125" t="s">
        <v>17</v>
      </c>
      <c r="E87" s="117" t="s">
        <v>1955</v>
      </c>
      <c r="F87" s="117" t="s">
        <v>19</v>
      </c>
      <c r="G87" s="117" t="s">
        <v>19</v>
      </c>
      <c r="H87" s="117" t="s">
        <v>19</v>
      </c>
      <c r="I87" s="122" t="s">
        <v>18</v>
      </c>
      <c r="J87" s="121" t="s">
        <v>1605</v>
      </c>
      <c r="K87" s="18" t="s">
        <v>20</v>
      </c>
      <c r="L87" s="25"/>
      <c r="M87" s="15"/>
    </row>
  </sheetData>
  <phoneticPr fontId="3" type="noConversion"/>
  <conditionalFormatting sqref="E2:H2 E5 H5 F5:G6 E10 H10 F10:G12 E16:E22 H16:H22 G16:G65 F16:F87 E25:E31 H25:H31 E34:E37 H34:H37 H39:H42 E45:E48 H45:H52 E55:E63 H55:H65 G68:H69 G82:H84 G86:H87">
    <cfRule type="expression" dxfId="2" priority="8">
      <formula>$F2&lt;&gt;$B2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C6B9-E1AD-4791-BA27-C166B65963CB}">
  <dimension ref="A1:R23"/>
  <sheetViews>
    <sheetView showGridLines="0" workbookViewId="0">
      <selection activeCell="H2" sqref="H2:H8"/>
    </sheetView>
  </sheetViews>
  <sheetFormatPr defaultRowHeight="25.5"/>
  <cols>
    <col min="1" max="1" width="7.6640625" style="12" bestFit="1" customWidth="1"/>
    <col min="2" max="3" width="8.1640625" style="12" customWidth="1"/>
    <col min="4" max="4" width="8.1640625" style="12" bestFit="1" customWidth="1"/>
    <col min="7" max="7" width="10.25" style="12" customWidth="1"/>
    <col min="8" max="10" width="10.25" customWidth="1"/>
    <col min="11" max="11" width="10.25" style="12" customWidth="1"/>
    <col min="13" max="15" width="10.6640625" style="12" customWidth="1"/>
  </cols>
  <sheetData>
    <row r="1" spans="1:18" s="15" customFormat="1" ht="30" customHeight="1">
      <c r="A1" s="84" t="s">
        <v>654</v>
      </c>
      <c r="B1" s="85" t="s">
        <v>1786</v>
      </c>
      <c r="C1" s="85" t="s">
        <v>1791</v>
      </c>
      <c r="D1" s="85" t="s">
        <v>621</v>
      </c>
      <c r="E1" s="85" t="s">
        <v>2034</v>
      </c>
      <c r="F1" s="86" t="s">
        <v>597</v>
      </c>
      <c r="G1" s="85" t="s">
        <v>608</v>
      </c>
      <c r="H1" s="85" t="s">
        <v>606</v>
      </c>
      <c r="I1" s="85" t="s">
        <v>2025</v>
      </c>
      <c r="J1" s="42"/>
      <c r="K1" s="42"/>
      <c r="L1" s="42"/>
      <c r="M1" s="42"/>
      <c r="N1" s="42"/>
      <c r="O1" s="42"/>
      <c r="P1" s="42"/>
      <c r="Q1" s="42"/>
      <c r="R1" s="42"/>
    </row>
    <row r="2" spans="1:18" ht="34.5">
      <c r="A2" s="81">
        <v>1</v>
      </c>
      <c r="B2" s="6" t="s">
        <v>1783</v>
      </c>
      <c r="C2" s="158">
        <v>44</v>
      </c>
      <c r="D2" s="6" t="s">
        <v>2037</v>
      </c>
      <c r="E2" s="27" t="s">
        <v>725</v>
      </c>
      <c r="F2" s="83">
        <v>1</v>
      </c>
      <c r="G2" s="80" t="s">
        <v>2026</v>
      </c>
      <c r="H2" s="79" t="s">
        <v>305</v>
      </c>
      <c r="I2" s="26">
        <v>1</v>
      </c>
      <c r="K2"/>
      <c r="M2"/>
      <c r="N2"/>
      <c r="O2"/>
    </row>
    <row r="3" spans="1:18" ht="34.5">
      <c r="A3" s="81">
        <v>2</v>
      </c>
      <c r="B3" s="6" t="s">
        <v>1784</v>
      </c>
      <c r="C3" s="158">
        <v>33</v>
      </c>
      <c r="D3" s="6" t="s">
        <v>2041</v>
      </c>
      <c r="E3" s="27" t="s">
        <v>728</v>
      </c>
      <c r="F3" s="83">
        <v>6</v>
      </c>
      <c r="G3" s="80" t="s">
        <v>2027</v>
      </c>
      <c r="H3" s="79" t="s">
        <v>2026</v>
      </c>
      <c r="I3" s="26">
        <v>7</v>
      </c>
      <c r="K3"/>
      <c r="M3"/>
      <c r="N3"/>
      <c r="O3"/>
    </row>
    <row r="4" spans="1:18" ht="34.5">
      <c r="A4" s="81">
        <v>3</v>
      </c>
      <c r="B4" s="6" t="s">
        <v>1785</v>
      </c>
      <c r="C4" s="158">
        <v>21</v>
      </c>
      <c r="D4" s="6" t="s">
        <v>2038</v>
      </c>
      <c r="E4" s="28" t="s">
        <v>594</v>
      </c>
      <c r="F4" s="83">
        <v>5</v>
      </c>
      <c r="G4" s="80" t="s">
        <v>2028</v>
      </c>
      <c r="H4" s="79" t="s">
        <v>2028</v>
      </c>
      <c r="I4" s="26">
        <v>3</v>
      </c>
      <c r="K4"/>
      <c r="M4"/>
      <c r="N4"/>
      <c r="O4"/>
    </row>
    <row r="5" spans="1:18" ht="34.5">
      <c r="A5" s="81">
        <v>4</v>
      </c>
      <c r="B5" s="6" t="s">
        <v>1787</v>
      </c>
      <c r="C5" s="158">
        <v>53</v>
      </c>
      <c r="D5" s="6" t="s">
        <v>2039</v>
      </c>
      <c r="E5" s="28" t="s">
        <v>726</v>
      </c>
      <c r="F5" s="83">
        <v>3</v>
      </c>
      <c r="G5" s="80" t="s">
        <v>2029</v>
      </c>
      <c r="H5" s="79" t="s">
        <v>2030</v>
      </c>
      <c r="I5" s="26">
        <v>2</v>
      </c>
      <c r="K5"/>
      <c r="M5"/>
      <c r="N5"/>
      <c r="O5"/>
    </row>
    <row r="6" spans="1:18" ht="34.5">
      <c r="A6" s="81">
        <v>5</v>
      </c>
      <c r="B6" s="6" t="s">
        <v>1788</v>
      </c>
      <c r="C6" s="158">
        <v>24</v>
      </c>
      <c r="D6" s="6" t="s">
        <v>2042</v>
      </c>
      <c r="E6" s="28" t="s">
        <v>595</v>
      </c>
      <c r="F6" s="83">
        <v>2</v>
      </c>
      <c r="G6" s="80" t="s">
        <v>2030</v>
      </c>
      <c r="H6" s="79" t="s">
        <v>2029</v>
      </c>
      <c r="I6" s="26">
        <v>5</v>
      </c>
      <c r="K6"/>
      <c r="M6"/>
      <c r="N6"/>
      <c r="O6"/>
    </row>
    <row r="7" spans="1:18" ht="34.5">
      <c r="A7" s="81">
        <v>6</v>
      </c>
      <c r="B7" s="6" t="s">
        <v>1790</v>
      </c>
      <c r="C7" s="158" t="s">
        <v>2035</v>
      </c>
      <c r="D7" s="6" t="s">
        <v>2040</v>
      </c>
      <c r="E7" s="28" t="s">
        <v>727</v>
      </c>
      <c r="F7" s="83">
        <v>7</v>
      </c>
      <c r="G7" s="80" t="s">
        <v>2031</v>
      </c>
      <c r="H7" s="79" t="s">
        <v>310</v>
      </c>
      <c r="I7" s="26">
        <v>4</v>
      </c>
      <c r="K7"/>
      <c r="M7"/>
      <c r="N7"/>
      <c r="O7"/>
    </row>
    <row r="8" spans="1:18" ht="34.5">
      <c r="A8" s="81">
        <v>7</v>
      </c>
      <c r="B8" s="6" t="s">
        <v>1789</v>
      </c>
      <c r="C8" s="158" t="s">
        <v>2036</v>
      </c>
      <c r="D8" s="6" t="s">
        <v>2043</v>
      </c>
      <c r="E8" s="28" t="s">
        <v>596</v>
      </c>
      <c r="F8" s="83">
        <v>8</v>
      </c>
      <c r="G8" s="80" t="s">
        <v>2032</v>
      </c>
      <c r="H8" s="79" t="s">
        <v>2033</v>
      </c>
      <c r="I8" s="26">
        <v>8</v>
      </c>
      <c r="K8"/>
      <c r="M8"/>
      <c r="N8"/>
      <c r="O8"/>
    </row>
    <row r="13" spans="1:18">
      <c r="B13"/>
      <c r="C13"/>
      <c r="G13"/>
      <c r="K13"/>
      <c r="M13"/>
      <c r="N13"/>
      <c r="O13"/>
    </row>
    <row r="21" spans="1:15">
      <c r="A21"/>
    </row>
    <row r="22" spans="1:15">
      <c r="A22"/>
      <c r="B22"/>
      <c r="C22"/>
      <c r="D22" t="str">
        <f xml:space="preserve"> IFERROR( _xlfn.CONCAT("l", "u", _xlfn.UNICHAR(HEX2DEC(RIGHT(#REF!,4))), "n"), "")</f>
        <v/>
      </c>
      <c r="G22"/>
      <c r="K22"/>
      <c r="M22"/>
      <c r="N22"/>
      <c r="O22"/>
    </row>
    <row r="23" spans="1:15">
      <c r="A23"/>
      <c r="B23"/>
      <c r="C23"/>
      <c r="D23" t="str">
        <f xml:space="preserve"> IFERROR( _xlfn.CONCAT("l", "u", _xlfn.UNICHAR(HEX2DEC(RIGHT(#REF!,4))), "n"), "")</f>
        <v/>
      </c>
      <c r="G23"/>
      <c r="K23"/>
      <c r="M23"/>
      <c r="N23"/>
      <c r="O23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954F-6F44-4D46-AB4F-85E8FBFF93E2}">
  <dimension ref="B1:AX39"/>
  <sheetViews>
    <sheetView tabSelected="1" workbookViewId="0">
      <selection activeCell="O17" sqref="O17"/>
    </sheetView>
  </sheetViews>
  <sheetFormatPr defaultRowHeight="25.5"/>
  <cols>
    <col min="1" max="1" width="1.58203125" customWidth="1"/>
    <col min="2" max="3" width="7.33203125" customWidth="1"/>
    <col min="4" max="4" width="8.1640625" bestFit="1" customWidth="1"/>
    <col min="5" max="5" width="11.83203125" bestFit="1" customWidth="1"/>
    <col min="6" max="6" width="8.1640625" bestFit="1" customWidth="1"/>
    <col min="7" max="9" width="5.58203125" customWidth="1"/>
    <col min="10" max="10" width="8.1640625" bestFit="1" customWidth="1"/>
    <col min="11" max="11" width="11.83203125" bestFit="1" customWidth="1"/>
    <col min="12" max="12" width="8.1640625" bestFit="1" customWidth="1"/>
    <col min="13" max="13" width="5.58203125" customWidth="1"/>
  </cols>
  <sheetData>
    <row r="1" spans="2:50" s="15" customFormat="1" ht="30" customHeight="1">
      <c r="B1" s="49" t="s">
        <v>732</v>
      </c>
      <c r="D1" s="14"/>
      <c r="E1" s="14"/>
      <c r="Z1" s="31"/>
      <c r="AB1" s="34"/>
      <c r="AD1" s="38"/>
      <c r="AE1" s="38">
        <v>1</v>
      </c>
      <c r="AF1" s="38">
        <v>2</v>
      </c>
      <c r="AG1" s="38">
        <v>3</v>
      </c>
      <c r="AH1" s="38">
        <v>4</v>
      </c>
      <c r="AI1" s="38">
        <v>5</v>
      </c>
      <c r="AJ1" s="38">
        <v>6</v>
      </c>
      <c r="AK1" s="38">
        <v>7</v>
      </c>
      <c r="AL1" s="38">
        <v>8</v>
      </c>
      <c r="AM1" s="38">
        <v>9</v>
      </c>
      <c r="AN1" s="38">
        <v>9</v>
      </c>
      <c r="AO1" s="38"/>
      <c r="AP1" s="42"/>
      <c r="AQ1" s="42"/>
      <c r="AR1" s="42"/>
      <c r="AS1" s="42"/>
      <c r="AT1" s="42"/>
      <c r="AU1" s="42"/>
      <c r="AV1" s="42"/>
      <c r="AW1" s="42"/>
      <c r="AX1" s="42"/>
    </row>
    <row r="3" spans="2:50">
      <c r="B3" s="13" t="s">
        <v>601</v>
      </c>
      <c r="C3" s="13" t="s">
        <v>621</v>
      </c>
      <c r="D3" s="13" t="s">
        <v>592</v>
      </c>
      <c r="E3" s="13" t="s">
        <v>620</v>
      </c>
      <c r="F3" s="13" t="s">
        <v>606</v>
      </c>
      <c r="H3" s="13" t="s">
        <v>601</v>
      </c>
      <c r="I3" s="13" t="s">
        <v>621</v>
      </c>
      <c r="J3" s="13" t="s">
        <v>592</v>
      </c>
      <c r="K3" s="13" t="s">
        <v>1598</v>
      </c>
      <c r="L3" s="13" t="s">
        <v>8</v>
      </c>
      <c r="N3" s="84" t="s">
        <v>601</v>
      </c>
      <c r="O3" s="86" t="s">
        <v>1792</v>
      </c>
    </row>
    <row r="4" spans="2:50" ht="30">
      <c r="B4" s="6">
        <v>1</v>
      </c>
      <c r="C4" s="6" t="s">
        <v>612</v>
      </c>
      <c r="D4" s="27" t="s">
        <v>725</v>
      </c>
      <c r="E4" s="54"/>
      <c r="F4" s="26" t="str">
        <f xml:space="preserve"> IFERROR( _xlfn.CONCAT("a"), "")</f>
        <v>a</v>
      </c>
      <c r="H4" s="6">
        <v>1</v>
      </c>
      <c r="I4" s="6" t="s">
        <v>612</v>
      </c>
      <c r="J4" s="27" t="s">
        <v>725</v>
      </c>
      <c r="K4" s="56" t="s">
        <v>599</v>
      </c>
      <c r="L4" s="30" t="str">
        <f t="shared" ref="L4:L9" si="0" xml:space="preserve"> IFERROR( _xlfn.CONCAT("a", _xlfn.UNICHAR(HEX2DEC(RIGHT(K4,4)))), "")</f>
        <v>ā</v>
      </c>
      <c r="N4" s="81">
        <v>1</v>
      </c>
      <c r="O4" s="87" t="str">
        <f>IFERROR(_xlfn.UNICHAR(CHOOSE($N4+1,8304,185,178,179,8308,8309,8310,8311,8312,8313)),"")</f>
        <v>¹</v>
      </c>
    </row>
    <row r="5" spans="2:50" ht="30">
      <c r="B5" s="6">
        <v>2</v>
      </c>
      <c r="C5" s="6" t="s">
        <v>613</v>
      </c>
      <c r="D5" s="28" t="s">
        <v>726</v>
      </c>
      <c r="E5" s="54" t="s">
        <v>600</v>
      </c>
      <c r="F5" s="26" t="str">
        <f xml:space="preserve"> IFERROR( _xlfn.CONCAT("a", _xlfn.UNICHAR(HEX2DEC(RIGHT($E5,4)))), "")</f>
        <v>á</v>
      </c>
      <c r="H5" s="6">
        <v>2</v>
      </c>
      <c r="I5" s="6" t="s">
        <v>616</v>
      </c>
      <c r="J5" s="28" t="s">
        <v>595</v>
      </c>
      <c r="K5" s="56" t="s">
        <v>605</v>
      </c>
      <c r="L5" s="30" t="str">
        <f t="shared" si="0"/>
        <v>á</v>
      </c>
      <c r="N5" s="81">
        <v>2</v>
      </c>
      <c r="O5" s="87" t="str">
        <f>IFERROR(_xlfn.UNICHAR(CHOOSE($N5+1,8304,185,178,179,8308,8309,8310,8311,8312,8313)),"")</f>
        <v>²</v>
      </c>
    </row>
    <row r="6" spans="2:50" ht="30">
      <c r="B6" s="6">
        <v>3</v>
      </c>
      <c r="C6" s="6" t="s">
        <v>614</v>
      </c>
      <c r="D6" s="28" t="s">
        <v>594</v>
      </c>
      <c r="E6" s="54" t="s">
        <v>604</v>
      </c>
      <c r="F6" s="26" t="str">
        <f xml:space="preserve"> IFERROR( _xlfn.CONCAT("a", _xlfn.UNICHAR(HEX2DEC(RIGHT($E6,4)))), "")</f>
        <v>à</v>
      </c>
      <c r="H6" s="6">
        <v>3</v>
      </c>
      <c r="I6" s="6" t="s">
        <v>613</v>
      </c>
      <c r="J6" s="28" t="s">
        <v>726</v>
      </c>
      <c r="K6" s="56" t="s">
        <v>610</v>
      </c>
      <c r="L6" s="30" t="str">
        <f t="shared" si="0"/>
        <v>ǎ</v>
      </c>
      <c r="N6" s="81">
        <v>3</v>
      </c>
      <c r="O6" s="87" t="str">
        <f>IFERROR(_xlfn.UNICHAR(CHOOSE($N6+1,8304,185,178,179,8308,8309,8310,8311,8312,8313)),"")</f>
        <v>³</v>
      </c>
    </row>
    <row r="7" spans="2:50" ht="30">
      <c r="B7" s="6">
        <v>4</v>
      </c>
      <c r="C7" s="6" t="s">
        <v>615</v>
      </c>
      <c r="D7" s="28" t="s">
        <v>727</v>
      </c>
      <c r="E7" s="54"/>
      <c r="F7" s="26" t="str">
        <f xml:space="preserve"> IFERROR( _xlfn.CONCAT("a", "h"), "")</f>
        <v>ah</v>
      </c>
      <c r="H7" s="29">
        <v>4</v>
      </c>
      <c r="I7" s="29" t="s">
        <v>613</v>
      </c>
      <c r="J7" s="28"/>
      <c r="K7" s="57" t="s">
        <v>610</v>
      </c>
      <c r="L7" s="58" t="str">
        <f t="shared" si="0"/>
        <v>ǎ</v>
      </c>
      <c r="N7" s="81">
        <v>4</v>
      </c>
      <c r="O7" s="87" t="str">
        <f>IFERROR(_xlfn.UNICHAR(CHOOSE($N7+1,8304,185,178,179,8308,8309,8310,8311,8312,8313)),"")</f>
        <v>⁴</v>
      </c>
    </row>
    <row r="8" spans="2:50" ht="30">
      <c r="B8" s="6">
        <v>5</v>
      </c>
      <c r="C8" s="6" t="s">
        <v>616</v>
      </c>
      <c r="D8" s="28" t="s">
        <v>595</v>
      </c>
      <c r="E8" s="54" t="s">
        <v>610</v>
      </c>
      <c r="F8" s="26" t="str">
        <f xml:space="preserve"> IFERROR( _xlfn.CONCAT("a", _xlfn.UNICHAR(HEX2DEC(RIGHT($E8,4)))), "")</f>
        <v>ǎ</v>
      </c>
      <c r="H8" s="6">
        <v>5</v>
      </c>
      <c r="I8" s="6" t="s">
        <v>614</v>
      </c>
      <c r="J8" s="28" t="s">
        <v>594</v>
      </c>
      <c r="K8" s="56" t="s">
        <v>604</v>
      </c>
      <c r="L8" s="30" t="str">
        <f t="shared" si="0"/>
        <v>à</v>
      </c>
      <c r="N8" s="81">
        <v>5</v>
      </c>
      <c r="O8" s="87" t="str">
        <f>IFERROR(_xlfn.UNICHAR(CHOOSE($N8+1,8304,185,178,179,8308,8309,8310,8311,8312,8313)),"")</f>
        <v>⁵</v>
      </c>
    </row>
    <row r="9" spans="2:50" ht="30">
      <c r="B9" s="29">
        <v>6</v>
      </c>
      <c r="C9" s="6" t="s">
        <v>613</v>
      </c>
      <c r="D9" s="28"/>
      <c r="E9" s="55" t="s">
        <v>605</v>
      </c>
      <c r="F9" s="26" t="str">
        <f xml:space="preserve"> IFERROR( _xlfn.CONCAT("a", _xlfn.UNICHAR(HEX2DEC(RIGHT($E9,4)))), "")</f>
        <v>á</v>
      </c>
      <c r="H9" s="6">
        <v>6</v>
      </c>
      <c r="I9" s="6" t="s">
        <v>618</v>
      </c>
      <c r="J9" s="27" t="s">
        <v>728</v>
      </c>
      <c r="K9" s="56" t="s">
        <v>609</v>
      </c>
      <c r="L9" s="30" t="str">
        <f t="shared" si="0"/>
        <v>â</v>
      </c>
      <c r="N9" s="82">
        <v>6</v>
      </c>
      <c r="O9" s="87" t="str">
        <f>IFERROR(_xlfn.UNICHAR(CHOOSE($N9+1,8304,185,178,179,8308,8309,8310,8311,8312,8313)),"")</f>
        <v>⁶</v>
      </c>
    </row>
    <row r="10" spans="2:50" ht="30">
      <c r="B10" s="6">
        <v>7</v>
      </c>
      <c r="C10" s="6" t="s">
        <v>618</v>
      </c>
      <c r="D10" s="27" t="s">
        <v>728</v>
      </c>
      <c r="E10" s="54" t="s">
        <v>599</v>
      </c>
      <c r="F10" s="26" t="str">
        <f xml:space="preserve"> IFERROR( _xlfn.CONCAT("a", _xlfn.UNICHAR(HEX2DEC(RIGHT($E10,4)))), "")</f>
        <v>ā</v>
      </c>
      <c r="H10" s="6">
        <v>7</v>
      </c>
      <c r="I10" s="6" t="s">
        <v>615</v>
      </c>
      <c r="J10" s="28" t="s">
        <v>727</v>
      </c>
      <c r="K10" s="56" t="s">
        <v>619</v>
      </c>
      <c r="L10" s="30" t="str">
        <f xml:space="preserve"> IFERROR( _xlfn.CONCAT("a", _xlfn.UNICHAR(HEX2DEC(RIGHT(K10,4))), "h"), "")</f>
        <v>āh</v>
      </c>
      <c r="N10" s="81">
        <v>7</v>
      </c>
      <c r="O10" s="87" t="str">
        <f>IFERROR(_xlfn.UNICHAR(CHOOSE($N10+1,8304,185,178,179,8308,8309,8310,8311,8312,8313)),"")</f>
        <v>⁷</v>
      </c>
    </row>
    <row r="11" spans="2:50" ht="30">
      <c r="B11" s="6">
        <v>8</v>
      </c>
      <c r="C11" s="6" t="s">
        <v>617</v>
      </c>
      <c r="D11" s="28" t="s">
        <v>596</v>
      </c>
      <c r="E11" s="54" t="s">
        <v>622</v>
      </c>
      <c r="F11" s="26" t="str">
        <f xml:space="preserve"> IFERROR( _xlfn.CONCAT("a", _xlfn.UNICHAR(HEX2DEC(RIGHT($E11,4))), "h"), "")</f>
        <v>a̍h</v>
      </c>
      <c r="H11" s="6">
        <v>8</v>
      </c>
      <c r="I11" s="6" t="s">
        <v>617</v>
      </c>
      <c r="J11" s="28" t="s">
        <v>596</v>
      </c>
      <c r="K11" s="56" t="s">
        <v>605</v>
      </c>
      <c r="L11" s="30" t="str">
        <f xml:space="preserve"> IFERROR( _xlfn.CONCAT("a", _xlfn.UNICHAR(HEX2DEC(RIGHT(K11,4))), "h"), "")</f>
        <v>áh</v>
      </c>
      <c r="N11" s="81">
        <v>8</v>
      </c>
      <c r="O11" s="87" t="str">
        <f t="shared" ref="O11:O13" si="1">IFERROR(_xlfn.UNICHAR(CHOOSE($N11+1,8304,185,178,179,8308,8309,8310,8311,8312,8313)),"")</f>
        <v>⁸</v>
      </c>
    </row>
    <row r="12" spans="2:50" ht="30">
      <c r="B12" s="6">
        <v>9</v>
      </c>
      <c r="C12" s="6" t="s">
        <v>611</v>
      </c>
      <c r="D12" s="28"/>
      <c r="E12" s="54" t="s">
        <v>603</v>
      </c>
      <c r="F12" s="26" t="str">
        <f xml:space="preserve"> IFERROR( _xlfn.CONCAT("a", _xlfn.UNICHAR(HEX2DEC(RIGHT($E12,4)))), "")</f>
        <v>a̋</v>
      </c>
      <c r="H12" s="6">
        <v>9</v>
      </c>
      <c r="I12" s="6" t="s">
        <v>611</v>
      </c>
      <c r="J12" s="28"/>
      <c r="K12" s="56"/>
      <c r="L12" s="30"/>
      <c r="N12" s="81">
        <v>9</v>
      </c>
      <c r="O12" s="87" t="str">
        <f t="shared" si="1"/>
        <v>⁹</v>
      </c>
    </row>
    <row r="13" spans="2:50" ht="30">
      <c r="B13" s="6">
        <v>0</v>
      </c>
      <c r="C13" s="6" t="s">
        <v>611</v>
      </c>
      <c r="D13" s="28"/>
      <c r="E13" s="54" t="s">
        <v>602</v>
      </c>
      <c r="F13" s="26" t="str">
        <f xml:space="preserve"> IFERROR( _xlfn.CONCAT("a", _xlfn.UNICHAR(HEX2DEC(RIGHT($E13,4)))), "")</f>
        <v>å</v>
      </c>
      <c r="H13" s="6">
        <v>0</v>
      </c>
      <c r="I13" s="6" t="s">
        <v>611</v>
      </c>
      <c r="J13" s="28"/>
      <c r="K13" s="56"/>
      <c r="L13" s="30"/>
      <c r="N13" s="88">
        <v>0</v>
      </c>
      <c r="O13" s="89" t="str">
        <f t="shared" si="1"/>
        <v>⁰</v>
      </c>
    </row>
    <row r="38" spans="6:13">
      <c r="F38" s="12"/>
      <c r="G38" s="12"/>
      <c r="H38" s="12"/>
      <c r="I38" s="12"/>
      <c r="J38" s="12"/>
      <c r="K38" s="12"/>
      <c r="L38" s="12"/>
      <c r="M38" s="12"/>
    </row>
    <row r="39" spans="6:13">
      <c r="F39" s="12"/>
      <c r="G39" s="12"/>
      <c r="H39" s="12"/>
      <c r="I39" s="12"/>
      <c r="J39" s="12"/>
      <c r="K39" s="12"/>
      <c r="L39" s="12"/>
      <c r="M39" s="12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0942-CB13-4DF1-B9E8-82FD89BD4298}">
  <dimension ref="A1:C109"/>
  <sheetViews>
    <sheetView showGridLines="0" workbookViewId="0">
      <pane ySplit="1" topLeftCell="A2" activePane="bottomLeft" state="frozen"/>
      <selection pane="bottomLeft" activeCell="G29" sqref="G29"/>
    </sheetView>
  </sheetViews>
  <sheetFormatPr defaultRowHeight="32.25"/>
  <cols>
    <col min="1" max="1" width="5.83203125" style="106" customWidth="1"/>
    <col min="2" max="3" width="10.25" style="106" customWidth="1"/>
    <col min="4" max="16384" width="8.6640625" style="106"/>
  </cols>
  <sheetData>
    <row r="1" spans="1:3" ht="33" thickBot="1">
      <c r="A1" s="104" t="s">
        <v>1855</v>
      </c>
      <c r="B1" s="105" t="s">
        <v>1856</v>
      </c>
      <c r="C1" s="105" t="s">
        <v>1857</v>
      </c>
    </row>
    <row r="2" spans="1:3" ht="33" thickBot="1">
      <c r="A2" s="107">
        <v>1</v>
      </c>
      <c r="B2" s="108" t="s">
        <v>716</v>
      </c>
      <c r="C2" s="109" t="s">
        <v>305</v>
      </c>
    </row>
    <row r="3" spans="1:3" ht="33" thickBot="1">
      <c r="A3" s="107">
        <v>2</v>
      </c>
      <c r="B3" s="108" t="s">
        <v>1723</v>
      </c>
      <c r="C3" s="109" t="s">
        <v>310</v>
      </c>
    </row>
    <row r="4" spans="1:3" ht="33" thickBot="1">
      <c r="A4" s="107">
        <v>3</v>
      </c>
      <c r="B4" s="108" t="s">
        <v>1858</v>
      </c>
      <c r="C4" s="109" t="s">
        <v>176</v>
      </c>
    </row>
    <row r="5" spans="1:3" ht="33" thickBot="1">
      <c r="A5" s="107">
        <v>4</v>
      </c>
      <c r="B5" s="108" t="s">
        <v>1859</v>
      </c>
      <c r="C5" s="109" t="s">
        <v>882</v>
      </c>
    </row>
    <row r="6" spans="1:3" ht="33" thickBot="1">
      <c r="A6" s="107">
        <v>5</v>
      </c>
      <c r="B6" s="108" t="s">
        <v>1860</v>
      </c>
      <c r="C6" s="109" t="s">
        <v>399</v>
      </c>
    </row>
    <row r="7" spans="1:3" ht="33" thickBot="1">
      <c r="A7" s="107">
        <f xml:space="preserve"> ROW() - 3</f>
        <v>4</v>
      </c>
      <c r="B7" s="108" t="s">
        <v>1902</v>
      </c>
      <c r="C7" s="109" t="s">
        <v>1852</v>
      </c>
    </row>
    <row r="8" spans="1:3" ht="33" thickBot="1">
      <c r="A8" s="107">
        <v>6</v>
      </c>
      <c r="B8" s="108" t="s">
        <v>233</v>
      </c>
      <c r="C8" s="109" t="s">
        <v>235</v>
      </c>
    </row>
    <row r="9" spans="1:3" ht="33" thickBot="1">
      <c r="A9" s="107">
        <v>7</v>
      </c>
      <c r="B9" s="108" t="s">
        <v>712</v>
      </c>
      <c r="C9" s="109" t="s">
        <v>203</v>
      </c>
    </row>
    <row r="10" spans="1:3" ht="33" thickBot="1">
      <c r="A10" s="107">
        <v>8</v>
      </c>
      <c r="B10" s="108" t="s">
        <v>702</v>
      </c>
      <c r="C10" s="109" t="s">
        <v>65</v>
      </c>
    </row>
    <row r="11" spans="1:3" ht="33" thickBot="1">
      <c r="A11" s="107">
        <v>9</v>
      </c>
      <c r="B11" s="108" t="s">
        <v>1861</v>
      </c>
      <c r="C11" s="109" t="s">
        <v>229</v>
      </c>
    </row>
    <row r="12" spans="1:3" ht="33" thickBot="1">
      <c r="A12" s="107">
        <v>10</v>
      </c>
      <c r="B12" s="108" t="s">
        <v>284</v>
      </c>
      <c r="C12" s="109" t="s">
        <v>287</v>
      </c>
    </row>
    <row r="13" spans="1:3" ht="33" thickBot="1">
      <c r="A13" s="107">
        <v>11</v>
      </c>
      <c r="B13" s="108" t="s">
        <v>1724</v>
      </c>
      <c r="C13" s="109" t="s">
        <v>293</v>
      </c>
    </row>
    <row r="14" spans="1:3" ht="33" thickBot="1">
      <c r="A14" s="107">
        <v>12</v>
      </c>
      <c r="B14" s="108" t="s">
        <v>209</v>
      </c>
      <c r="C14" s="109" t="s">
        <v>211</v>
      </c>
    </row>
    <row r="15" spans="1:3" ht="33" thickBot="1">
      <c r="A15" s="107">
        <v>13</v>
      </c>
      <c r="B15" s="108" t="s">
        <v>71</v>
      </c>
      <c r="C15" s="109" t="s">
        <v>73</v>
      </c>
    </row>
    <row r="16" spans="1:3" ht="33" thickBot="1">
      <c r="A16" s="107">
        <v>14</v>
      </c>
      <c r="B16" s="108" t="s">
        <v>697</v>
      </c>
      <c r="C16" s="109" t="s">
        <v>251</v>
      </c>
    </row>
    <row r="17" spans="1:3" ht="33" thickBot="1">
      <c r="A17" s="107">
        <v>15</v>
      </c>
      <c r="B17" s="108" t="s">
        <v>698</v>
      </c>
      <c r="C17" s="109" t="s">
        <v>258</v>
      </c>
    </row>
    <row r="18" spans="1:3" ht="33" thickBot="1">
      <c r="A18" s="107">
        <f xml:space="preserve"> ROW() - 3</f>
        <v>15</v>
      </c>
      <c r="B18" s="108" t="s">
        <v>1903</v>
      </c>
      <c r="C18" s="109" t="s">
        <v>1888</v>
      </c>
    </row>
    <row r="19" spans="1:3" ht="33" thickBot="1">
      <c r="A19" s="107">
        <f xml:space="preserve"> ROW() - 3</f>
        <v>16</v>
      </c>
      <c r="B19" s="108" t="s">
        <v>1904</v>
      </c>
      <c r="C19" s="109" t="s">
        <v>1854</v>
      </c>
    </row>
    <row r="20" spans="1:3" ht="33" thickBot="1">
      <c r="A20" s="107">
        <v>16</v>
      </c>
      <c r="B20" s="108" t="s">
        <v>701</v>
      </c>
      <c r="C20" s="109" t="s">
        <v>56</v>
      </c>
    </row>
    <row r="21" spans="1:3" ht="33" thickBot="1">
      <c r="A21" s="107">
        <v>17</v>
      </c>
      <c r="B21" s="108" t="s">
        <v>1862</v>
      </c>
      <c r="C21" s="109" t="s">
        <v>720</v>
      </c>
    </row>
    <row r="22" spans="1:3" ht="33" thickBot="1">
      <c r="A22" s="107">
        <v>18</v>
      </c>
      <c r="B22" s="108" t="s">
        <v>652</v>
      </c>
      <c r="C22" s="109" t="s">
        <v>719</v>
      </c>
    </row>
    <row r="23" spans="1:3" ht="33" thickBot="1">
      <c r="A23" s="107">
        <v>19</v>
      </c>
      <c r="B23" s="108" t="s">
        <v>1699</v>
      </c>
      <c r="C23" s="109" t="s">
        <v>61</v>
      </c>
    </row>
    <row r="24" spans="1:3" ht="33" thickBot="1">
      <c r="A24" s="107">
        <v>20</v>
      </c>
      <c r="B24" s="108" t="s">
        <v>1905</v>
      </c>
      <c r="C24" s="109" t="s">
        <v>1751</v>
      </c>
    </row>
    <row r="25" spans="1:3" ht="33" thickBot="1">
      <c r="A25" s="107">
        <v>21</v>
      </c>
      <c r="B25" s="108" t="s">
        <v>690</v>
      </c>
      <c r="C25" s="109" t="s">
        <v>1750</v>
      </c>
    </row>
    <row r="26" spans="1:3" ht="33" thickBot="1">
      <c r="A26" s="107">
        <v>22</v>
      </c>
      <c r="B26" s="108" t="s">
        <v>1698</v>
      </c>
      <c r="C26" s="109" t="s">
        <v>328</v>
      </c>
    </row>
    <row r="27" spans="1:3" ht="33" thickBot="1">
      <c r="A27" s="107">
        <v>23</v>
      </c>
      <c r="B27" s="108" t="s">
        <v>1700</v>
      </c>
      <c r="C27" s="109" t="s">
        <v>333</v>
      </c>
    </row>
    <row r="28" spans="1:3" ht="33" thickBot="1">
      <c r="A28" s="107">
        <f t="shared" ref="A28:A29" si="0" xml:space="preserve"> ROW() - 3</f>
        <v>25</v>
      </c>
      <c r="B28" s="108" t="s">
        <v>1746</v>
      </c>
      <c r="C28" s="113" t="s">
        <v>639</v>
      </c>
    </row>
    <row r="29" spans="1:3" ht="33" thickBot="1">
      <c r="A29" s="107">
        <f t="shared" si="0"/>
        <v>26</v>
      </c>
      <c r="B29" s="108" t="s">
        <v>1774</v>
      </c>
      <c r="C29" s="113" t="s">
        <v>1809</v>
      </c>
    </row>
    <row r="30" spans="1:3" ht="33" thickBot="1">
      <c r="A30" s="111">
        <v>107</v>
      </c>
      <c r="B30" s="112" t="s">
        <v>1827</v>
      </c>
      <c r="C30" s="113" t="s">
        <v>1820</v>
      </c>
    </row>
    <row r="31" spans="1:3" ht="33" thickBot="1">
      <c r="A31" s="111">
        <v>108</v>
      </c>
      <c r="B31" s="112" t="s">
        <v>1901</v>
      </c>
      <c r="C31" s="113" t="s">
        <v>1821</v>
      </c>
    </row>
    <row r="32" spans="1:3" ht="33" thickBot="1">
      <c r="A32" s="107">
        <v>24</v>
      </c>
      <c r="B32" s="108" t="s">
        <v>717</v>
      </c>
      <c r="C32" s="109" t="s">
        <v>313</v>
      </c>
    </row>
    <row r="33" spans="1:3" ht="33" thickBot="1">
      <c r="A33" s="107">
        <v>25</v>
      </c>
      <c r="B33" s="108" t="s">
        <v>1863</v>
      </c>
      <c r="C33" s="109" t="s">
        <v>263</v>
      </c>
    </row>
    <row r="34" spans="1:3" ht="33" thickBot="1">
      <c r="A34" s="107">
        <v>26</v>
      </c>
      <c r="B34" s="108" t="s">
        <v>1085</v>
      </c>
      <c r="C34" s="109" t="s">
        <v>269</v>
      </c>
    </row>
    <row r="35" spans="1:3" ht="33" thickBot="1">
      <c r="A35" s="107">
        <v>27</v>
      </c>
      <c r="B35" s="108" t="s">
        <v>1864</v>
      </c>
      <c r="C35" s="109" t="s">
        <v>199</v>
      </c>
    </row>
    <row r="36" spans="1:3" ht="33" thickBot="1">
      <c r="A36" s="107">
        <v>28</v>
      </c>
      <c r="B36" s="108" t="s">
        <v>1865</v>
      </c>
      <c r="C36" s="109" t="s">
        <v>239</v>
      </c>
    </row>
    <row r="37" spans="1:3" ht="33" thickBot="1">
      <c r="A37" s="107">
        <v>29</v>
      </c>
      <c r="B37" s="108" t="s">
        <v>1866</v>
      </c>
      <c r="C37" s="109" t="s">
        <v>23</v>
      </c>
    </row>
    <row r="38" spans="1:3" ht="33" thickBot="1">
      <c r="A38" s="107">
        <v>30</v>
      </c>
      <c r="B38" s="108" t="s">
        <v>1867</v>
      </c>
      <c r="C38" s="109" t="s">
        <v>195</v>
      </c>
    </row>
    <row r="39" spans="1:3" ht="33" thickBot="1">
      <c r="A39" s="107">
        <v>31</v>
      </c>
      <c r="B39" s="108" t="s">
        <v>1767</v>
      </c>
      <c r="C39" s="109" t="s">
        <v>373</v>
      </c>
    </row>
    <row r="40" spans="1:3" ht="33" thickBot="1">
      <c r="A40" s="107">
        <v>32</v>
      </c>
      <c r="B40" s="108" t="s">
        <v>1768</v>
      </c>
      <c r="C40" s="109" t="s">
        <v>374</v>
      </c>
    </row>
    <row r="41" spans="1:3" ht="33" thickBot="1">
      <c r="A41" s="107">
        <v>33</v>
      </c>
      <c r="B41" s="108" t="s">
        <v>1868</v>
      </c>
      <c r="C41" s="109" t="s">
        <v>247</v>
      </c>
    </row>
    <row r="42" spans="1:3" ht="33" thickBot="1">
      <c r="A42" s="107">
        <v>34</v>
      </c>
      <c r="B42" s="108" t="s">
        <v>1869</v>
      </c>
      <c r="C42" s="109" t="s">
        <v>30</v>
      </c>
    </row>
    <row r="43" spans="1:3" ht="33" thickBot="1">
      <c r="A43" s="107">
        <v>35</v>
      </c>
      <c r="B43" s="108" t="s">
        <v>1870</v>
      </c>
      <c r="C43" s="109" t="s">
        <v>136</v>
      </c>
    </row>
    <row r="44" spans="1:3" ht="33" thickBot="1">
      <c r="A44" s="107">
        <v>36</v>
      </c>
      <c r="B44" s="108" t="s">
        <v>692</v>
      </c>
      <c r="C44" s="109" t="s">
        <v>143</v>
      </c>
    </row>
    <row r="45" spans="1:3" ht="33" thickBot="1">
      <c r="A45" s="107">
        <v>37</v>
      </c>
      <c r="B45" s="108" t="s">
        <v>1769</v>
      </c>
      <c r="C45" s="109" t="s">
        <v>442</v>
      </c>
    </row>
    <row r="46" spans="1:3" ht="33" thickBot="1">
      <c r="A46" s="107">
        <v>38</v>
      </c>
      <c r="B46" s="108" t="s">
        <v>1702</v>
      </c>
      <c r="C46" s="109" t="s">
        <v>318</v>
      </c>
    </row>
    <row r="47" spans="1:3" ht="33" thickBot="1">
      <c r="A47" s="107">
        <v>39</v>
      </c>
      <c r="B47" s="108" t="s">
        <v>1743</v>
      </c>
      <c r="C47" s="109" t="s">
        <v>111</v>
      </c>
    </row>
    <row r="48" spans="1:3" ht="33" thickBot="1">
      <c r="A48" s="107">
        <v>40</v>
      </c>
      <c r="B48" s="108" t="s">
        <v>1703</v>
      </c>
      <c r="C48" s="109" t="s">
        <v>34</v>
      </c>
    </row>
    <row r="49" spans="1:3" ht="33" thickBot="1">
      <c r="A49" s="107">
        <v>41</v>
      </c>
      <c r="B49" s="108" t="s">
        <v>711</v>
      </c>
      <c r="C49" s="109" t="s">
        <v>182</v>
      </c>
    </row>
    <row r="50" spans="1:3" ht="33" thickBot="1">
      <c r="A50" s="107">
        <v>42</v>
      </c>
      <c r="B50" s="108" t="s">
        <v>1871</v>
      </c>
      <c r="C50" s="109" t="s">
        <v>105</v>
      </c>
    </row>
    <row r="51" spans="1:3" ht="33" thickBot="1">
      <c r="A51" s="107">
        <v>43</v>
      </c>
      <c r="B51" s="108" t="s">
        <v>1701</v>
      </c>
      <c r="C51" s="109" t="s">
        <v>357</v>
      </c>
    </row>
    <row r="52" spans="1:3" ht="33" thickBot="1">
      <c r="A52" s="107">
        <f xml:space="preserve"> ROW() - 3</f>
        <v>49</v>
      </c>
      <c r="B52" s="108" t="s">
        <v>687</v>
      </c>
      <c r="C52" s="109" t="s">
        <v>721</v>
      </c>
    </row>
    <row r="53" spans="1:3" ht="33" thickBot="1">
      <c r="A53" s="107">
        <v>44</v>
      </c>
      <c r="B53" s="108" t="s">
        <v>1872</v>
      </c>
      <c r="C53" s="109" t="s">
        <v>344</v>
      </c>
    </row>
    <row r="54" spans="1:3" ht="33" thickBot="1">
      <c r="A54" s="107">
        <v>45</v>
      </c>
      <c r="B54" s="108" t="s">
        <v>1873</v>
      </c>
      <c r="C54" s="109" t="s">
        <v>350</v>
      </c>
    </row>
    <row r="55" spans="1:3" ht="33" thickBot="1">
      <c r="A55" s="107">
        <f xml:space="preserve"> ROW() - 3</f>
        <v>52</v>
      </c>
      <c r="B55" s="110" t="s">
        <v>1890</v>
      </c>
      <c r="C55" s="109" t="s">
        <v>1889</v>
      </c>
    </row>
    <row r="56" spans="1:3" ht="33" thickBot="1">
      <c r="A56" s="107">
        <f xml:space="preserve"> ROW() - 3</f>
        <v>53</v>
      </c>
      <c r="B56" s="108" t="s">
        <v>1906</v>
      </c>
      <c r="C56" s="109" t="s">
        <v>1891</v>
      </c>
    </row>
    <row r="57" spans="1:3" ht="33" thickBot="1">
      <c r="A57" s="107">
        <v>48</v>
      </c>
      <c r="B57" s="108" t="s">
        <v>1876</v>
      </c>
      <c r="C57" s="109" t="s">
        <v>1836</v>
      </c>
    </row>
    <row r="58" spans="1:3" ht="33" thickBot="1">
      <c r="A58" s="107">
        <v>46</v>
      </c>
      <c r="B58" s="108" t="s">
        <v>1874</v>
      </c>
      <c r="C58" s="109" t="s">
        <v>160</v>
      </c>
    </row>
    <row r="59" spans="1:3" ht="33" thickBot="1">
      <c r="A59" s="107">
        <v>47</v>
      </c>
      <c r="B59" s="108" t="s">
        <v>1875</v>
      </c>
      <c r="C59" s="109" t="s">
        <v>155</v>
      </c>
    </row>
    <row r="60" spans="1:3" ht="33" thickBot="1">
      <c r="A60" s="107">
        <v>49</v>
      </c>
      <c r="B60" s="108" t="s">
        <v>1705</v>
      </c>
      <c r="C60" s="109" t="s">
        <v>700</v>
      </c>
    </row>
    <row r="61" spans="1:3" ht="33" thickBot="1">
      <c r="A61" s="107">
        <v>50</v>
      </c>
      <c r="B61" s="108" t="s">
        <v>1706</v>
      </c>
      <c r="C61" s="109" t="s">
        <v>706</v>
      </c>
    </row>
    <row r="62" spans="1:3" ht="33" thickBot="1">
      <c r="A62" s="107">
        <v>51</v>
      </c>
      <c r="B62" s="108" t="s">
        <v>1770</v>
      </c>
      <c r="C62" s="109" t="s">
        <v>321</v>
      </c>
    </row>
    <row r="63" spans="1:3" ht="33" thickBot="1">
      <c r="A63" s="107">
        <f xml:space="preserve"> ROW() - 3</f>
        <v>60</v>
      </c>
      <c r="B63" s="108" t="s">
        <v>1907</v>
      </c>
      <c r="C63" s="109" t="s">
        <v>1693</v>
      </c>
    </row>
    <row r="64" spans="1:3" ht="33" thickBot="1">
      <c r="A64" s="107">
        <v>52</v>
      </c>
      <c r="B64" s="108" t="s">
        <v>1771</v>
      </c>
      <c r="C64" s="109" t="s">
        <v>474</v>
      </c>
    </row>
    <row r="65" spans="1:3" ht="33" thickBot="1">
      <c r="A65" s="107">
        <v>53</v>
      </c>
      <c r="B65" s="108" t="s">
        <v>1772</v>
      </c>
      <c r="C65" s="109" t="s">
        <v>1273</v>
      </c>
    </row>
    <row r="66" spans="1:3" ht="33" thickBot="1">
      <c r="A66" s="107">
        <v>54</v>
      </c>
      <c r="B66" s="108" t="s">
        <v>1721</v>
      </c>
      <c r="C66" s="109" t="s">
        <v>413</v>
      </c>
    </row>
    <row r="67" spans="1:3" ht="33" thickBot="1">
      <c r="A67" s="107">
        <v>55</v>
      </c>
      <c r="B67" s="108" t="s">
        <v>641</v>
      </c>
      <c r="C67" s="109" t="s">
        <v>642</v>
      </c>
    </row>
    <row r="68" spans="1:3" ht="33" thickBot="1">
      <c r="A68" s="107">
        <v>56</v>
      </c>
      <c r="B68" s="108" t="s">
        <v>1877</v>
      </c>
      <c r="C68" s="109" t="s">
        <v>389</v>
      </c>
    </row>
    <row r="69" spans="1:3" ht="33" thickBot="1">
      <c r="A69" s="107">
        <v>57</v>
      </c>
      <c r="B69" s="108" t="s">
        <v>1878</v>
      </c>
      <c r="C69" s="109" t="s">
        <v>630</v>
      </c>
    </row>
    <row r="70" spans="1:3" ht="33" thickBot="1">
      <c r="A70" s="107">
        <v>58</v>
      </c>
      <c r="B70" s="108" t="s">
        <v>1746</v>
      </c>
      <c r="C70" s="109" t="s">
        <v>164</v>
      </c>
    </row>
    <row r="71" spans="1:3" ht="33" thickBot="1">
      <c r="A71" s="107">
        <v>59</v>
      </c>
      <c r="B71" s="108" t="s">
        <v>1747</v>
      </c>
      <c r="C71" s="109" t="s">
        <v>171</v>
      </c>
    </row>
    <row r="72" spans="1:3" ht="33" thickBot="1">
      <c r="A72" s="107">
        <v>60</v>
      </c>
      <c r="B72" s="108" t="s">
        <v>1879</v>
      </c>
      <c r="C72" s="109" t="s">
        <v>86</v>
      </c>
    </row>
    <row r="73" spans="1:3" ht="33" thickBot="1">
      <c r="A73" s="107">
        <v>61</v>
      </c>
      <c r="B73" s="108" t="s">
        <v>1880</v>
      </c>
      <c r="C73" s="109" t="s">
        <v>452</v>
      </c>
    </row>
    <row r="74" spans="1:3" ht="33" thickBot="1">
      <c r="A74" s="107">
        <v>62</v>
      </c>
      <c r="B74" s="108" t="s">
        <v>1881</v>
      </c>
      <c r="C74" s="109" t="s">
        <v>80</v>
      </c>
    </row>
    <row r="75" spans="1:3" ht="33" thickBot="1">
      <c r="A75" s="107">
        <v>63</v>
      </c>
      <c r="B75" s="108" t="s">
        <v>1882</v>
      </c>
      <c r="C75" s="109" t="s">
        <v>407</v>
      </c>
    </row>
    <row r="76" spans="1:3" ht="33" thickBot="1">
      <c r="A76" s="107">
        <v>64</v>
      </c>
      <c r="B76" s="108" t="s">
        <v>1883</v>
      </c>
      <c r="C76" s="109" t="s">
        <v>469</v>
      </c>
    </row>
    <row r="77" spans="1:3" ht="33" thickBot="1">
      <c r="A77" s="107">
        <v>65</v>
      </c>
      <c r="B77" s="108" t="s">
        <v>1884</v>
      </c>
      <c r="C77" s="109" t="s">
        <v>131</v>
      </c>
    </row>
    <row r="78" spans="1:3" ht="33" thickBot="1">
      <c r="A78" s="107">
        <v>66</v>
      </c>
      <c r="B78" s="108" t="s">
        <v>1885</v>
      </c>
      <c r="C78" s="109" t="s">
        <v>633</v>
      </c>
    </row>
    <row r="79" spans="1:3" ht="33" thickBot="1">
      <c r="A79" s="107">
        <v>67</v>
      </c>
      <c r="B79" s="108" t="s">
        <v>1886</v>
      </c>
      <c r="C79" s="109" t="s">
        <v>458</v>
      </c>
    </row>
    <row r="80" spans="1:3" ht="33" thickBot="1">
      <c r="A80" s="107">
        <v>68</v>
      </c>
      <c r="B80" s="108" t="s">
        <v>715</v>
      </c>
      <c r="C80" s="109" t="s">
        <v>297</v>
      </c>
    </row>
    <row r="81" spans="1:3" ht="33" thickBot="1">
      <c r="A81" s="107">
        <v>81</v>
      </c>
      <c r="B81" s="108" t="s">
        <v>1715</v>
      </c>
      <c r="C81" s="109" t="s">
        <v>302</v>
      </c>
    </row>
    <row r="82" spans="1:3" ht="33" thickBot="1">
      <c r="A82" s="107">
        <v>69</v>
      </c>
      <c r="B82" s="108" t="s">
        <v>713</v>
      </c>
      <c r="C82" s="109" t="s">
        <v>215</v>
      </c>
    </row>
    <row r="83" spans="1:3" ht="33" thickBot="1">
      <c r="A83" s="107">
        <v>70</v>
      </c>
      <c r="B83" s="108" t="s">
        <v>1736</v>
      </c>
      <c r="C83" s="109" t="s">
        <v>222</v>
      </c>
    </row>
    <row r="84" spans="1:3" ht="33" thickBot="1">
      <c r="A84" s="107">
        <v>71</v>
      </c>
      <c r="B84" s="108" t="s">
        <v>708</v>
      </c>
      <c r="C84" s="109" t="s">
        <v>90</v>
      </c>
    </row>
    <row r="85" spans="1:3" ht="33" thickBot="1">
      <c r="A85" s="107">
        <v>72</v>
      </c>
      <c r="B85" s="108" t="s">
        <v>1740</v>
      </c>
      <c r="C85" s="109" t="s">
        <v>97</v>
      </c>
    </row>
    <row r="86" spans="1:3" ht="33" thickBot="1">
      <c r="A86" s="107">
        <v>73</v>
      </c>
      <c r="B86" s="108" t="s">
        <v>1739</v>
      </c>
      <c r="C86" s="109" t="s">
        <v>428</v>
      </c>
    </row>
    <row r="87" spans="1:3" ht="33" thickBot="1">
      <c r="A87" s="107">
        <v>74</v>
      </c>
      <c r="B87" s="108" t="s">
        <v>1741</v>
      </c>
      <c r="C87" s="109" t="s">
        <v>433</v>
      </c>
    </row>
    <row r="88" spans="1:3" ht="33" thickBot="1">
      <c r="A88" s="107">
        <v>75</v>
      </c>
      <c r="B88" s="108" t="s">
        <v>709</v>
      </c>
      <c r="C88" s="109" t="s">
        <v>116</v>
      </c>
    </row>
    <row r="89" spans="1:3" ht="33" thickBot="1">
      <c r="A89" s="107">
        <v>76</v>
      </c>
      <c r="B89" s="108" t="s">
        <v>1887</v>
      </c>
      <c r="C89" s="109" t="s">
        <v>418</v>
      </c>
    </row>
    <row r="90" spans="1:3" ht="33" thickBot="1">
      <c r="A90" s="107">
        <v>77</v>
      </c>
      <c r="B90" s="108" t="s">
        <v>1735</v>
      </c>
      <c r="C90" s="109" t="s">
        <v>381</v>
      </c>
    </row>
    <row r="91" spans="1:3" ht="33" thickBot="1">
      <c r="A91" s="107">
        <v>78</v>
      </c>
      <c r="B91" s="108" t="s">
        <v>1738</v>
      </c>
      <c r="C91" s="109" t="s">
        <v>125</v>
      </c>
    </row>
    <row r="92" spans="1:3" ht="33" thickBot="1">
      <c r="A92" s="107">
        <v>79</v>
      </c>
      <c r="B92" s="108" t="s">
        <v>714</v>
      </c>
      <c r="C92" s="109" t="s">
        <v>275</v>
      </c>
    </row>
    <row r="93" spans="1:3" ht="33" thickBot="1">
      <c r="A93" s="107">
        <v>80</v>
      </c>
      <c r="B93" s="108" t="s">
        <v>724</v>
      </c>
      <c r="C93" s="109" t="s">
        <v>280</v>
      </c>
    </row>
    <row r="94" spans="1:3" ht="33" thickBot="1">
      <c r="A94" s="111">
        <v>105</v>
      </c>
      <c r="B94" s="112" t="s">
        <v>1825</v>
      </c>
      <c r="C94" s="113" t="s">
        <v>1817</v>
      </c>
    </row>
    <row r="95" spans="1:3" ht="33" thickBot="1">
      <c r="A95" s="111">
        <v>106</v>
      </c>
      <c r="B95" s="112" t="s">
        <v>1900</v>
      </c>
      <c r="C95" s="113" t="s">
        <v>1818</v>
      </c>
    </row>
    <row r="96" spans="1:3" ht="33" thickBot="1">
      <c r="A96" s="107">
        <v>82</v>
      </c>
      <c r="B96" s="108" t="s">
        <v>1718</v>
      </c>
      <c r="C96" s="109" t="s">
        <v>46</v>
      </c>
    </row>
    <row r="97" spans="1:3" ht="33" thickBot="1">
      <c r="A97" s="107">
        <v>83</v>
      </c>
      <c r="B97" s="108" t="s">
        <v>1720</v>
      </c>
      <c r="C97" s="109" t="s">
        <v>1537</v>
      </c>
    </row>
    <row r="98" spans="1:3" ht="33" thickBot="1">
      <c r="A98" s="107">
        <v>84</v>
      </c>
      <c r="B98" s="108" t="s">
        <v>1719</v>
      </c>
      <c r="C98" s="109" t="s">
        <v>338</v>
      </c>
    </row>
    <row r="99" spans="1:3" ht="33" thickBot="1">
      <c r="A99" s="107">
        <v>85</v>
      </c>
      <c r="B99" s="108" t="s">
        <v>1716</v>
      </c>
      <c r="C99" s="109" t="s">
        <v>12</v>
      </c>
    </row>
    <row r="100" spans="1:3" ht="33" thickBot="1">
      <c r="A100" s="107">
        <v>86</v>
      </c>
      <c r="B100" s="108" t="s">
        <v>1717</v>
      </c>
      <c r="C100" s="109" t="s">
        <v>19</v>
      </c>
    </row>
    <row r="101" spans="1:3" ht="33" thickBot="1">
      <c r="A101" s="111">
        <v>96</v>
      </c>
      <c r="B101" s="112" t="s">
        <v>1824</v>
      </c>
      <c r="C101" s="113" t="s">
        <v>638</v>
      </c>
    </row>
    <row r="102" spans="1:3" ht="33" thickBot="1">
      <c r="A102" s="111">
        <v>103</v>
      </c>
      <c r="B102" s="112" t="s">
        <v>1898</v>
      </c>
      <c r="C102" s="113" t="s">
        <v>1816</v>
      </c>
    </row>
    <row r="103" spans="1:3" ht="33" thickBot="1">
      <c r="A103" s="111">
        <v>97</v>
      </c>
      <c r="B103" s="112" t="s">
        <v>1892</v>
      </c>
      <c r="C103" s="113" t="s">
        <v>1810</v>
      </c>
    </row>
    <row r="104" spans="1:3" ht="33" thickBot="1">
      <c r="A104" s="111">
        <v>98</v>
      </c>
      <c r="B104" s="112" t="s">
        <v>1893</v>
      </c>
      <c r="C104" s="113" t="s">
        <v>1811</v>
      </c>
    </row>
    <row r="105" spans="1:3" ht="33" thickBot="1">
      <c r="A105" s="111">
        <v>99</v>
      </c>
      <c r="B105" s="112" t="s">
        <v>1894</v>
      </c>
      <c r="C105" s="113" t="s">
        <v>1812</v>
      </c>
    </row>
    <row r="106" spans="1:3" ht="33" thickBot="1">
      <c r="A106" s="111">
        <v>100</v>
      </c>
      <c r="B106" s="112" t="s">
        <v>1895</v>
      </c>
      <c r="C106" s="113" t="s">
        <v>1813</v>
      </c>
    </row>
    <row r="107" spans="1:3" ht="33" thickBot="1">
      <c r="A107" s="111">
        <v>101</v>
      </c>
      <c r="B107" s="112" t="s">
        <v>1896</v>
      </c>
      <c r="C107" s="113" t="s">
        <v>1814</v>
      </c>
    </row>
    <row r="108" spans="1:3" ht="33" thickBot="1">
      <c r="A108" s="111">
        <v>102</v>
      </c>
      <c r="B108" s="112" t="s">
        <v>1897</v>
      </c>
      <c r="C108" s="113" t="s">
        <v>1815</v>
      </c>
    </row>
    <row r="109" spans="1:3">
      <c r="A109" s="111">
        <v>104</v>
      </c>
      <c r="B109" s="112" t="s">
        <v>1899</v>
      </c>
      <c r="C109" s="113" t="s">
        <v>1819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4E8B-7D18-4202-B755-53FA0A832134}">
  <dimension ref="B1:L30"/>
  <sheetViews>
    <sheetView workbookViewId="0">
      <selection activeCell="R11" sqref="R11"/>
    </sheetView>
  </sheetViews>
  <sheetFormatPr defaultRowHeight="25.5"/>
  <sheetData>
    <row r="1" spans="2:12">
      <c r="C1" s="98" cm="1">
        <f t="array" ref="C1" xml:space="preserve"> COLUMN() - COLUMN($B:$B)</f>
        <v>1</v>
      </c>
      <c r="D1" s="98" cm="1">
        <f t="array" ref="D1" xml:space="preserve"> COLUMN() - COLUMN($B:$B)</f>
        <v>2</v>
      </c>
      <c r="E1" s="98" cm="1">
        <f t="array" ref="E1" xml:space="preserve"> COLUMN() - COLUMN($B:$B)</f>
        <v>3</v>
      </c>
      <c r="F1" s="98" cm="1">
        <f t="array" ref="F1" xml:space="preserve"> COLUMN() - COLUMN($B:$B)</f>
        <v>4</v>
      </c>
      <c r="G1" s="98" cm="1">
        <f t="array" ref="G1" xml:space="preserve"> COLUMN() - COLUMN($B:$B)</f>
        <v>5</v>
      </c>
      <c r="H1" s="98" cm="1">
        <f t="array" ref="H1" xml:space="preserve"> COLUMN() - COLUMN($B:$B)</f>
        <v>6</v>
      </c>
      <c r="I1" s="98" cm="1">
        <f t="array" ref="I1" xml:space="preserve"> COLUMN() - COLUMN($B:$B)</f>
        <v>7</v>
      </c>
      <c r="J1" s="98" cm="1">
        <f t="array" ref="J1" xml:space="preserve"> COLUMN() - COLUMN($B:$B)</f>
        <v>8</v>
      </c>
      <c r="K1" s="98" cm="1">
        <f t="array" ref="K1" xml:space="preserve"> COLUMN() - COLUMN($B:$B)</f>
        <v>9</v>
      </c>
      <c r="L1" s="98" cm="1">
        <f t="array" ref="L1" xml:space="preserve"> COLUMN() - COLUMN($B:$B)</f>
        <v>10</v>
      </c>
    </row>
    <row r="2" spans="2:12">
      <c r="C2" s="99">
        <f xml:space="preserve"> COLUMN()</f>
        <v>3</v>
      </c>
      <c r="D2" s="99">
        <f t="shared" ref="D2:L2" si="0" xml:space="preserve"> COLUMN()</f>
        <v>4</v>
      </c>
      <c r="E2" s="99">
        <f t="shared" si="0"/>
        <v>5</v>
      </c>
      <c r="F2" s="99">
        <f t="shared" si="0"/>
        <v>6</v>
      </c>
      <c r="G2" s="99">
        <f t="shared" si="0"/>
        <v>7</v>
      </c>
      <c r="H2" s="99">
        <f t="shared" si="0"/>
        <v>8</v>
      </c>
      <c r="I2" s="99">
        <f t="shared" si="0"/>
        <v>9</v>
      </c>
      <c r="J2" s="99">
        <f t="shared" si="0"/>
        <v>10</v>
      </c>
      <c r="K2" s="99">
        <f t="shared" si="0"/>
        <v>11</v>
      </c>
      <c r="L2" s="99">
        <f t="shared" si="0"/>
        <v>12</v>
      </c>
    </row>
    <row r="4" spans="2:12">
      <c r="B4" s="149" t="s">
        <v>1797</v>
      </c>
      <c r="C4" s="151" t="s">
        <v>1798</v>
      </c>
      <c r="D4" s="152"/>
      <c r="E4" s="155" t="s">
        <v>1799</v>
      </c>
      <c r="F4" s="156"/>
      <c r="G4" s="157"/>
      <c r="H4" s="155" t="s">
        <v>1800</v>
      </c>
      <c r="I4" s="156"/>
      <c r="J4" s="156"/>
      <c r="K4" s="156"/>
      <c r="L4" s="157"/>
    </row>
    <row r="5" spans="2:12">
      <c r="B5" s="150"/>
      <c r="C5" s="153"/>
      <c r="D5" s="154"/>
      <c r="E5" s="92" t="s">
        <v>1801</v>
      </c>
      <c r="F5" s="92" t="s">
        <v>1802</v>
      </c>
      <c r="G5" s="92" t="s">
        <v>1803</v>
      </c>
      <c r="H5" s="92" t="s">
        <v>1804</v>
      </c>
      <c r="I5" s="92" t="s">
        <v>1805</v>
      </c>
      <c r="J5" s="92" t="s">
        <v>1806</v>
      </c>
      <c r="K5" s="155" t="s">
        <v>1807</v>
      </c>
      <c r="L5" s="157"/>
    </row>
    <row r="6" spans="2:12">
      <c r="B6" s="97" t="s">
        <v>305</v>
      </c>
      <c r="C6" s="93" t="s">
        <v>305</v>
      </c>
      <c r="D6" s="93" t="s">
        <v>287</v>
      </c>
      <c r="E6" s="93" t="s">
        <v>203</v>
      </c>
      <c r="F6" s="93" t="s">
        <v>65</v>
      </c>
      <c r="G6" s="93" t="s">
        <v>229</v>
      </c>
      <c r="H6" s="93" t="s">
        <v>211</v>
      </c>
      <c r="I6" s="93" t="s">
        <v>73</v>
      </c>
      <c r="J6" s="93" t="s">
        <v>235</v>
      </c>
      <c r="K6" s="93" t="s">
        <v>310</v>
      </c>
      <c r="L6" s="93" t="s">
        <v>293</v>
      </c>
    </row>
    <row r="7" spans="2:12">
      <c r="B7" s="97" t="s">
        <v>688</v>
      </c>
      <c r="C7" s="93" t="s">
        <v>176</v>
      </c>
      <c r="D7" s="93" t="s">
        <v>399</v>
      </c>
      <c r="E7" s="93"/>
      <c r="F7" s="93"/>
      <c r="G7" s="93"/>
      <c r="H7" s="93"/>
      <c r="I7" s="93"/>
      <c r="J7" s="93"/>
      <c r="K7" s="93" t="s">
        <v>882</v>
      </c>
      <c r="L7" s="93" t="s">
        <v>1808</v>
      </c>
    </row>
    <row r="8" spans="2:12">
      <c r="B8" s="97" t="s">
        <v>697</v>
      </c>
      <c r="C8" s="93" t="s">
        <v>251</v>
      </c>
      <c r="D8" s="93"/>
      <c r="E8" s="93"/>
      <c r="F8" s="93"/>
      <c r="G8" s="93"/>
      <c r="H8" s="93"/>
      <c r="I8" s="93"/>
      <c r="J8" s="93"/>
      <c r="K8" s="93" t="s">
        <v>258</v>
      </c>
      <c r="L8" s="93" t="s">
        <v>623</v>
      </c>
    </row>
    <row r="9" spans="2:12">
      <c r="B9" s="97" t="s">
        <v>52</v>
      </c>
      <c r="C9" s="93" t="s">
        <v>55</v>
      </c>
      <c r="D9" s="93"/>
      <c r="E9" s="93"/>
      <c r="F9" s="93"/>
      <c r="G9" s="93" t="s">
        <v>106</v>
      </c>
      <c r="H9" s="93"/>
      <c r="I9" s="93"/>
      <c r="J9" s="93" t="s">
        <v>112</v>
      </c>
      <c r="K9" s="93" t="s">
        <v>60</v>
      </c>
      <c r="L9" s="93"/>
    </row>
    <row r="10" spans="2:12">
      <c r="B10" s="97" t="s">
        <v>56</v>
      </c>
      <c r="C10" s="93" t="s">
        <v>56</v>
      </c>
      <c r="D10" s="93" t="s">
        <v>328</v>
      </c>
      <c r="E10" s="93"/>
      <c r="F10" s="93"/>
      <c r="G10" s="93"/>
      <c r="H10" s="93"/>
      <c r="I10" s="93"/>
      <c r="J10" s="93"/>
      <c r="K10" s="93" t="s">
        <v>61</v>
      </c>
      <c r="L10" s="93" t="s">
        <v>333</v>
      </c>
    </row>
    <row r="11" spans="2:12">
      <c r="B11" s="97" t="s">
        <v>313</v>
      </c>
      <c r="C11" s="93" t="s">
        <v>313</v>
      </c>
      <c r="D11" s="93" t="s">
        <v>357</v>
      </c>
      <c r="E11" s="93" t="s">
        <v>34</v>
      </c>
      <c r="F11" s="93" t="s">
        <v>182</v>
      </c>
      <c r="G11" s="93" t="s">
        <v>105</v>
      </c>
      <c r="H11" s="93" t="s">
        <v>42</v>
      </c>
      <c r="I11" s="93" t="s">
        <v>190</v>
      </c>
      <c r="J11" s="93" t="s">
        <v>111</v>
      </c>
      <c r="K11" s="93" t="s">
        <v>318</v>
      </c>
      <c r="L11" s="93" t="s">
        <v>362</v>
      </c>
    </row>
    <row r="12" spans="2:12">
      <c r="B12" s="97" t="s">
        <v>699</v>
      </c>
      <c r="C12" s="93" t="s">
        <v>263</v>
      </c>
      <c r="D12" s="93" t="s">
        <v>373</v>
      </c>
      <c r="E12" s="93" t="s">
        <v>239</v>
      </c>
      <c r="F12" s="93" t="s">
        <v>23</v>
      </c>
      <c r="G12" s="93" t="s">
        <v>195</v>
      </c>
      <c r="H12" s="93" t="s">
        <v>247</v>
      </c>
      <c r="I12" s="93" t="s">
        <v>30</v>
      </c>
      <c r="J12" s="93" t="s">
        <v>199</v>
      </c>
      <c r="K12" s="93" t="s">
        <v>269</v>
      </c>
      <c r="L12" s="93" t="s">
        <v>374</v>
      </c>
    </row>
    <row r="13" spans="2:12">
      <c r="B13" s="97" t="s">
        <v>691</v>
      </c>
      <c r="C13" s="93" t="s">
        <v>136</v>
      </c>
      <c r="D13" s="93" t="s">
        <v>442</v>
      </c>
      <c r="E13" s="93"/>
      <c r="F13" s="93"/>
      <c r="G13" s="93"/>
      <c r="H13" s="93"/>
      <c r="I13" s="93"/>
      <c r="J13" s="93"/>
      <c r="K13" s="93" t="s">
        <v>143</v>
      </c>
      <c r="L13" s="93"/>
    </row>
    <row r="14" spans="2:12">
      <c r="B14" s="97" t="s">
        <v>344</v>
      </c>
      <c r="C14" s="93" t="s">
        <v>344</v>
      </c>
      <c r="D14" s="93"/>
      <c r="E14" s="93"/>
      <c r="F14" s="93"/>
      <c r="G14" s="93"/>
      <c r="H14" s="93"/>
      <c r="I14" s="93"/>
      <c r="J14" s="93"/>
      <c r="K14" s="93" t="s">
        <v>350</v>
      </c>
      <c r="L14" s="93"/>
    </row>
    <row r="15" spans="2:12">
      <c r="B15" s="97" t="s">
        <v>1823</v>
      </c>
      <c r="C15" s="93" t="s">
        <v>646</v>
      </c>
      <c r="D15" s="93" t="s">
        <v>368</v>
      </c>
      <c r="E15" s="93"/>
      <c r="F15" s="93"/>
      <c r="G15" s="93" t="s">
        <v>155</v>
      </c>
      <c r="H15" s="93"/>
      <c r="I15" s="93"/>
      <c r="J15" s="93" t="s">
        <v>160</v>
      </c>
      <c r="K15" s="93" t="s">
        <v>645</v>
      </c>
      <c r="L15" s="93"/>
    </row>
    <row r="16" spans="2:12">
      <c r="B16" s="97" t="s">
        <v>321</v>
      </c>
      <c r="C16" s="93" t="s">
        <v>321</v>
      </c>
      <c r="D16" s="93" t="s">
        <v>474</v>
      </c>
      <c r="E16" s="93"/>
      <c r="F16" s="93"/>
      <c r="G16" s="93"/>
      <c r="H16" s="93"/>
      <c r="I16" s="93"/>
      <c r="J16" s="93"/>
      <c r="K16" s="93" t="s">
        <v>627</v>
      </c>
      <c r="L16" s="93" t="s">
        <v>1273</v>
      </c>
    </row>
    <row r="17" spans="2:12">
      <c r="B17" s="97" t="s">
        <v>1773</v>
      </c>
      <c r="C17" s="93" t="s">
        <v>639</v>
      </c>
      <c r="D17" s="93"/>
      <c r="E17" s="93"/>
      <c r="F17" s="93"/>
      <c r="G17" s="93"/>
      <c r="H17" s="93"/>
      <c r="I17" s="93"/>
      <c r="J17" s="93"/>
      <c r="K17" s="93" t="s">
        <v>1809</v>
      </c>
      <c r="L17" s="93"/>
    </row>
    <row r="18" spans="2:12">
      <c r="B18" s="97" t="s">
        <v>164</v>
      </c>
      <c r="C18" s="93" t="s">
        <v>164</v>
      </c>
      <c r="D18" s="93"/>
      <c r="E18" s="93"/>
      <c r="F18" s="93"/>
      <c r="G18" s="93"/>
      <c r="H18" s="93"/>
      <c r="I18" s="93"/>
      <c r="J18" s="93"/>
      <c r="K18" s="93" t="s">
        <v>171</v>
      </c>
      <c r="L18" s="93"/>
    </row>
    <row r="19" spans="2:12">
      <c r="B19" s="97" t="s">
        <v>643</v>
      </c>
      <c r="C19" s="93" t="s">
        <v>131</v>
      </c>
      <c r="D19" s="93" t="s">
        <v>407</v>
      </c>
      <c r="E19" s="93" t="s">
        <v>452</v>
      </c>
      <c r="F19" s="93"/>
      <c r="G19" s="93" t="s">
        <v>80</v>
      </c>
      <c r="H19" s="93" t="s">
        <v>458</v>
      </c>
      <c r="I19" s="93"/>
      <c r="J19" s="93" t="s">
        <v>86</v>
      </c>
      <c r="K19" s="93" t="s">
        <v>633</v>
      </c>
      <c r="L19" s="93" t="s">
        <v>469</v>
      </c>
    </row>
    <row r="20" spans="2:12">
      <c r="B20" s="97" t="s">
        <v>1824</v>
      </c>
      <c r="C20" s="93" t="s">
        <v>638</v>
      </c>
      <c r="D20" s="93"/>
      <c r="E20" s="93" t="s">
        <v>1810</v>
      </c>
      <c r="F20" s="93" t="s">
        <v>1811</v>
      </c>
      <c r="G20" s="93" t="s">
        <v>1812</v>
      </c>
      <c r="H20" s="93" t="s">
        <v>1813</v>
      </c>
      <c r="I20" s="93" t="s">
        <v>1814</v>
      </c>
      <c r="J20" s="93" t="s">
        <v>1815</v>
      </c>
      <c r="K20" s="93" t="s">
        <v>1816</v>
      </c>
      <c r="L20" s="93"/>
    </row>
    <row r="21" spans="2:12">
      <c r="B21" s="97" t="s">
        <v>297</v>
      </c>
      <c r="C21" s="93" t="s">
        <v>297</v>
      </c>
      <c r="D21" s="93"/>
      <c r="E21" s="93"/>
      <c r="F21" s="93" t="s">
        <v>12</v>
      </c>
      <c r="G21" s="93"/>
      <c r="H21" s="93"/>
      <c r="I21" s="93" t="s">
        <v>19</v>
      </c>
      <c r="J21" s="93"/>
      <c r="K21" s="93" t="s">
        <v>302</v>
      </c>
      <c r="L21" s="93"/>
    </row>
    <row r="22" spans="2:12">
      <c r="B22" s="97" t="s">
        <v>215</v>
      </c>
      <c r="C22" s="93" t="s">
        <v>215</v>
      </c>
      <c r="D22" s="93" t="s">
        <v>381</v>
      </c>
      <c r="E22" s="93"/>
      <c r="F22" s="93" t="s">
        <v>116</v>
      </c>
      <c r="G22" s="93" t="s">
        <v>418</v>
      </c>
      <c r="H22" s="93"/>
      <c r="I22" s="93" t="s">
        <v>125</v>
      </c>
      <c r="J22" s="93"/>
      <c r="K22" s="93" t="s">
        <v>222</v>
      </c>
      <c r="L22" s="93"/>
    </row>
    <row r="23" spans="2:12">
      <c r="B23" s="97" t="s">
        <v>90</v>
      </c>
      <c r="C23" s="93" t="s">
        <v>90</v>
      </c>
      <c r="D23" s="93" t="s">
        <v>428</v>
      </c>
      <c r="E23" s="93"/>
      <c r="F23" s="93"/>
      <c r="G23" s="93"/>
      <c r="H23" s="93"/>
      <c r="I23" s="93"/>
      <c r="J23" s="93"/>
      <c r="K23" s="93"/>
      <c r="L23" s="93"/>
    </row>
    <row r="24" spans="2:12">
      <c r="B24" s="97" t="s">
        <v>1825</v>
      </c>
      <c r="C24" s="93" t="s">
        <v>1817</v>
      </c>
      <c r="D24" s="93"/>
      <c r="E24" s="93"/>
      <c r="F24" s="93"/>
      <c r="G24" s="93"/>
      <c r="H24" s="93"/>
      <c r="I24" s="93"/>
      <c r="J24" s="93"/>
      <c r="K24" s="93" t="s">
        <v>1818</v>
      </c>
      <c r="L24" s="93"/>
    </row>
    <row r="25" spans="2:12">
      <c r="B25" s="97" t="s">
        <v>275</v>
      </c>
      <c r="C25" s="93" t="s">
        <v>275</v>
      </c>
      <c r="D25" s="93"/>
      <c r="E25" s="93"/>
      <c r="F25" s="93"/>
      <c r="G25" s="93"/>
      <c r="H25" s="93"/>
      <c r="I25" s="93"/>
      <c r="J25" s="93"/>
      <c r="K25" s="93" t="s">
        <v>280</v>
      </c>
      <c r="L25" s="93"/>
    </row>
    <row r="26" spans="2:12">
      <c r="B26" s="97" t="s">
        <v>46</v>
      </c>
      <c r="C26" s="93" t="s">
        <v>46</v>
      </c>
      <c r="D26" s="93"/>
      <c r="E26" s="93"/>
      <c r="F26" s="93"/>
      <c r="G26" s="93"/>
      <c r="H26" s="93"/>
      <c r="I26" s="93"/>
      <c r="J26" s="93"/>
      <c r="K26" s="93"/>
      <c r="L26" s="93"/>
    </row>
    <row r="27" spans="2:12">
      <c r="B27" s="97" t="s">
        <v>1826</v>
      </c>
      <c r="C27" s="93"/>
      <c r="D27" s="93" t="s">
        <v>1819</v>
      </c>
      <c r="E27" s="93"/>
      <c r="F27" s="93"/>
      <c r="G27" s="93"/>
      <c r="H27" s="93"/>
      <c r="I27" s="93"/>
      <c r="J27" s="93"/>
      <c r="K27" s="93"/>
      <c r="L27" s="93"/>
    </row>
    <row r="28" spans="2:12">
      <c r="B28" s="97" t="s">
        <v>1827</v>
      </c>
      <c r="C28" s="93" t="s">
        <v>1820</v>
      </c>
      <c r="D28" s="93"/>
      <c r="E28" s="93"/>
      <c r="F28" s="93"/>
      <c r="G28" s="93"/>
      <c r="H28" s="93"/>
      <c r="I28" s="93"/>
      <c r="J28" s="93"/>
      <c r="K28" s="93" t="s">
        <v>1821</v>
      </c>
      <c r="L28" s="93"/>
    </row>
    <row r="29" spans="2:12">
      <c r="B29" s="97" t="s">
        <v>411</v>
      </c>
      <c r="C29" s="93" t="s">
        <v>413</v>
      </c>
      <c r="D29" s="93"/>
      <c r="E29" s="93" t="s">
        <v>1822</v>
      </c>
      <c r="F29" s="93"/>
      <c r="G29" s="93"/>
      <c r="H29" s="93"/>
      <c r="I29" s="93"/>
      <c r="J29" s="93"/>
      <c r="K29" s="93" t="s">
        <v>642</v>
      </c>
      <c r="L29" s="93"/>
    </row>
    <row r="30" spans="2:12">
      <c r="B30" s="97" t="s">
        <v>386</v>
      </c>
      <c r="C30" s="93" t="s">
        <v>389</v>
      </c>
      <c r="D30" s="93"/>
      <c r="E30" s="93" t="s">
        <v>1822</v>
      </c>
      <c r="F30" s="93"/>
      <c r="G30" s="93"/>
      <c r="H30" s="93"/>
      <c r="I30" s="93"/>
      <c r="J30" s="93"/>
      <c r="K30" s="93" t="s">
        <v>630</v>
      </c>
      <c r="L30" s="93"/>
    </row>
  </sheetData>
  <mergeCells count="5">
    <mergeCell ref="B4:B5"/>
    <mergeCell ref="C4:D5"/>
    <mergeCell ref="E4:G4"/>
    <mergeCell ref="H4:L4"/>
    <mergeCell ref="K5:L5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CCAE-BFEE-4E48-9DA8-7E442DFADE98}">
  <dimension ref="B1:V108"/>
  <sheetViews>
    <sheetView showGridLines="0" topLeftCell="A97" workbookViewId="0">
      <selection activeCell="H113" sqref="H113"/>
    </sheetView>
  </sheetViews>
  <sheetFormatPr defaultRowHeight="25.5"/>
  <sheetData>
    <row r="1" spans="2:22">
      <c r="K1" s="98" cm="1">
        <f t="array" ref="K1" xml:space="preserve"> COLUMN() - COLUMN($J:$J)</f>
        <v>1</v>
      </c>
      <c r="L1" s="98" cm="1">
        <f t="array" ref="L1" xml:space="preserve"> COLUMN() - COLUMN($J:$J)</f>
        <v>2</v>
      </c>
      <c r="M1" s="98" cm="1">
        <f t="array" ref="M1" xml:space="preserve"> COLUMN() - COLUMN($J:$J)</f>
        <v>3</v>
      </c>
      <c r="N1" s="98" cm="1">
        <f t="array" ref="N1" xml:space="preserve"> COLUMN() - COLUMN($J:$J)</f>
        <v>4</v>
      </c>
      <c r="O1" s="98" cm="1">
        <f t="array" ref="O1" xml:space="preserve"> COLUMN() - COLUMN($J:$J)</f>
        <v>5</v>
      </c>
      <c r="P1" s="98" cm="1">
        <f t="array" ref="P1" xml:space="preserve"> COLUMN() - COLUMN($J:$J)</f>
        <v>6</v>
      </c>
      <c r="Q1" s="98" cm="1">
        <f t="array" ref="Q1" xml:space="preserve"> COLUMN() - COLUMN($J:$J)</f>
        <v>7</v>
      </c>
      <c r="R1" s="98" cm="1">
        <f t="array" ref="R1" xml:space="preserve"> COLUMN() - COLUMN($J:$J)</f>
        <v>8</v>
      </c>
      <c r="S1" s="98" cm="1">
        <f t="array" ref="S1" xml:space="preserve"> COLUMN() - COLUMN($J:$J)</f>
        <v>9</v>
      </c>
      <c r="T1" s="98" cm="1">
        <f t="array" ref="T1" xml:space="preserve"> COLUMN() - COLUMN($J:$J)</f>
        <v>10</v>
      </c>
    </row>
    <row r="2" spans="2:22">
      <c r="K2" s="99">
        <f xml:space="preserve"> COLUMN()</f>
        <v>11</v>
      </c>
      <c r="L2" s="99">
        <f t="shared" ref="L2:T2" si="0" xml:space="preserve"> COLUMN()</f>
        <v>12</v>
      </c>
      <c r="M2" s="99">
        <f t="shared" si="0"/>
        <v>13</v>
      </c>
      <c r="N2" s="99">
        <f t="shared" si="0"/>
        <v>14</v>
      </c>
      <c r="O2" s="99">
        <f t="shared" si="0"/>
        <v>15</v>
      </c>
      <c r="P2" s="99">
        <f t="shared" si="0"/>
        <v>16</v>
      </c>
      <c r="Q2" s="99">
        <f t="shared" si="0"/>
        <v>17</v>
      </c>
      <c r="R2" s="99">
        <f t="shared" si="0"/>
        <v>18</v>
      </c>
      <c r="S2" s="99">
        <f t="shared" si="0"/>
        <v>19</v>
      </c>
      <c r="T2" s="99">
        <f t="shared" si="0"/>
        <v>20</v>
      </c>
    </row>
    <row r="4" spans="2:22">
      <c r="J4" s="149" t="s">
        <v>1797</v>
      </c>
      <c r="K4" s="151" t="s">
        <v>1798</v>
      </c>
      <c r="L4" s="152"/>
      <c r="M4" s="155" t="s">
        <v>1799</v>
      </c>
      <c r="N4" s="156"/>
      <c r="O4" s="157"/>
      <c r="P4" s="155" t="s">
        <v>1800</v>
      </c>
      <c r="Q4" s="156"/>
      <c r="R4" s="156"/>
      <c r="S4" s="156"/>
      <c r="T4" s="157"/>
    </row>
    <row r="5" spans="2:22">
      <c r="B5" s="103" t="s">
        <v>1835</v>
      </c>
      <c r="C5" s="103" t="s">
        <v>1833</v>
      </c>
      <c r="D5" s="103" t="s">
        <v>650</v>
      </c>
      <c r="E5" s="103" t="s">
        <v>1828</v>
      </c>
      <c r="F5" s="103" t="s">
        <v>1829</v>
      </c>
      <c r="H5" s="100" t="s">
        <v>1834</v>
      </c>
      <c r="J5" s="150"/>
      <c r="K5" s="153"/>
      <c r="L5" s="154"/>
      <c r="M5" s="92" t="s">
        <v>1801</v>
      </c>
      <c r="N5" s="92" t="s">
        <v>1802</v>
      </c>
      <c r="O5" s="92" t="s">
        <v>1803</v>
      </c>
      <c r="P5" s="92" t="s">
        <v>1804</v>
      </c>
      <c r="Q5" s="92" t="s">
        <v>1805</v>
      </c>
      <c r="R5" s="92" t="s">
        <v>1806</v>
      </c>
      <c r="S5" s="155" t="s">
        <v>1807</v>
      </c>
      <c r="T5" s="157"/>
      <c r="V5" s="94" t="s">
        <v>1829</v>
      </c>
    </row>
    <row r="6" spans="2:22">
      <c r="B6" s="101">
        <v>1</v>
      </c>
      <c r="C6" s="102" t="s">
        <v>305</v>
      </c>
      <c r="D6" s="102" t="str">
        <f>_xlfn.XLOOKUP(C6, 台羅國際音標對照表[台羅拼音], 台羅國際音標對照表[國際音標], "N/A")</f>
        <v>a</v>
      </c>
      <c r="E6" s="102" t="s">
        <v>305</v>
      </c>
      <c r="F6" s="102" t="s">
        <v>1798</v>
      </c>
      <c r="H6" s="97" t="s">
        <v>305</v>
      </c>
      <c r="J6" s="97" t="s">
        <v>305</v>
      </c>
      <c r="K6" s="93" t="s">
        <v>305</v>
      </c>
      <c r="L6" s="93" t="s">
        <v>287</v>
      </c>
      <c r="M6" s="93" t="s">
        <v>203</v>
      </c>
      <c r="N6" s="93" t="s">
        <v>65</v>
      </c>
      <c r="O6" s="93" t="s">
        <v>229</v>
      </c>
      <c r="P6" s="93" t="s">
        <v>211</v>
      </c>
      <c r="Q6" s="93" t="s">
        <v>73</v>
      </c>
      <c r="R6" s="93" t="s">
        <v>235</v>
      </c>
      <c r="S6" s="93" t="s">
        <v>310</v>
      </c>
      <c r="T6" s="93" t="s">
        <v>293</v>
      </c>
      <c r="V6" s="24" t="s">
        <v>1830</v>
      </c>
    </row>
    <row r="7" spans="2:22">
      <c r="B7" s="101">
        <v>2</v>
      </c>
      <c r="C7" s="102" t="s">
        <v>287</v>
      </c>
      <c r="D7" s="102" t="str">
        <f>_xlfn.XLOOKUP(C7, 台羅國際音標對照表[台羅拼音], 台羅國際音標對照表[國際音標], "N/A")</f>
        <v>ã</v>
      </c>
      <c r="E7" s="102" t="s">
        <v>305</v>
      </c>
      <c r="F7" s="102" t="s">
        <v>1798</v>
      </c>
      <c r="H7" s="97" t="s">
        <v>688</v>
      </c>
      <c r="J7" s="97" t="s">
        <v>688</v>
      </c>
      <c r="K7" s="93" t="s">
        <v>176</v>
      </c>
      <c r="L7" s="93" t="s">
        <v>399</v>
      </c>
      <c r="M7" s="93"/>
      <c r="N7" s="93"/>
      <c r="O7" s="93"/>
      <c r="P7" s="93"/>
      <c r="Q7" s="93"/>
      <c r="R7" s="93"/>
      <c r="S7" s="93" t="s">
        <v>882</v>
      </c>
      <c r="T7" s="93" t="s">
        <v>1808</v>
      </c>
      <c r="V7" s="95" t="s">
        <v>1831</v>
      </c>
    </row>
    <row r="8" spans="2:22">
      <c r="B8" s="101">
        <v>3</v>
      </c>
      <c r="C8" s="102" t="s">
        <v>203</v>
      </c>
      <c r="D8" s="102" t="str">
        <f>_xlfn.XLOOKUP(C8, 台羅國際音標對照表[台羅拼音], 台羅國際音標對照表[國際音標], "N/A")</f>
        <v>am</v>
      </c>
      <c r="E8" s="102" t="s">
        <v>305</v>
      </c>
      <c r="F8" s="102" t="s">
        <v>1799</v>
      </c>
      <c r="H8" s="97" t="s">
        <v>697</v>
      </c>
      <c r="J8" s="97" t="s">
        <v>697</v>
      </c>
      <c r="K8" s="93" t="s">
        <v>251</v>
      </c>
      <c r="L8" s="93"/>
      <c r="M8" s="93"/>
      <c r="N8" s="93"/>
      <c r="O8" s="93"/>
      <c r="P8" s="93"/>
      <c r="Q8" s="93"/>
      <c r="R8" s="93"/>
      <c r="S8" s="93" t="s">
        <v>258</v>
      </c>
      <c r="T8" s="93" t="s">
        <v>623</v>
      </c>
      <c r="V8" s="96" t="s">
        <v>1832</v>
      </c>
    </row>
    <row r="9" spans="2:22">
      <c r="B9" s="101">
        <v>4</v>
      </c>
      <c r="C9" s="102" t="s">
        <v>65</v>
      </c>
      <c r="D9" s="102" t="str">
        <f>_xlfn.XLOOKUP(C9, 台羅國際音標對照表[台羅拼音], 台羅國際音標對照表[國際音標], "N/A")</f>
        <v>an</v>
      </c>
      <c r="E9" s="102" t="s">
        <v>305</v>
      </c>
      <c r="F9" s="102" t="s">
        <v>1799</v>
      </c>
      <c r="H9" s="97" t="s">
        <v>52</v>
      </c>
      <c r="J9" s="97" t="s">
        <v>52</v>
      </c>
      <c r="K9" s="93" t="s">
        <v>55</v>
      </c>
      <c r="L9" s="93"/>
      <c r="M9" s="93"/>
      <c r="N9" s="93"/>
      <c r="O9" s="93" t="s">
        <v>106</v>
      </c>
      <c r="P9" s="93"/>
      <c r="Q9" s="93"/>
      <c r="R9" s="93" t="s">
        <v>112</v>
      </c>
      <c r="S9" s="93" t="s">
        <v>60</v>
      </c>
      <c r="T9" s="93"/>
    </row>
    <row r="10" spans="2:22">
      <c r="B10" s="101">
        <v>5</v>
      </c>
      <c r="C10" s="102" t="s">
        <v>229</v>
      </c>
      <c r="D10" s="102" t="str">
        <f>_xlfn.XLOOKUP(C10, 台羅國際音標對照表[台羅拼音], 台羅國際音標對照表[國際音標], "N/A")</f>
        <v>aŋ</v>
      </c>
      <c r="E10" s="102" t="s">
        <v>305</v>
      </c>
      <c r="F10" s="102" t="s">
        <v>1799</v>
      </c>
      <c r="H10" s="97" t="s">
        <v>56</v>
      </c>
      <c r="J10" s="97" t="s">
        <v>56</v>
      </c>
      <c r="K10" s="93" t="s">
        <v>56</v>
      </c>
      <c r="L10" s="93" t="s">
        <v>328</v>
      </c>
      <c r="M10" s="93"/>
      <c r="N10" s="93"/>
      <c r="O10" s="93"/>
      <c r="P10" s="93"/>
      <c r="Q10" s="93"/>
      <c r="R10" s="93"/>
      <c r="S10" s="93" t="s">
        <v>61</v>
      </c>
      <c r="T10" s="93" t="s">
        <v>333</v>
      </c>
    </row>
    <row r="11" spans="2:22">
      <c r="B11" s="101">
        <v>6</v>
      </c>
      <c r="C11" s="102" t="s">
        <v>211</v>
      </c>
      <c r="D11" s="102" t="str">
        <f>_xlfn.XLOOKUP(C11, 台羅國際音標對照表[台羅拼音], 台羅國際音標對照表[國際音標], "N/A")</f>
        <v>ap̚</v>
      </c>
      <c r="E11" s="102" t="s">
        <v>305</v>
      </c>
      <c r="F11" s="102" t="s">
        <v>1800</v>
      </c>
      <c r="H11" s="97" t="s">
        <v>313</v>
      </c>
      <c r="J11" s="97" t="s">
        <v>313</v>
      </c>
      <c r="K11" s="93" t="s">
        <v>313</v>
      </c>
      <c r="L11" s="93" t="s">
        <v>357</v>
      </c>
      <c r="M11" s="93" t="s">
        <v>34</v>
      </c>
      <c r="N11" s="93" t="s">
        <v>182</v>
      </c>
      <c r="O11" s="93" t="s">
        <v>105</v>
      </c>
      <c r="P11" s="93" t="s">
        <v>42</v>
      </c>
      <c r="Q11" s="93" t="s">
        <v>190</v>
      </c>
      <c r="R11" s="93" t="s">
        <v>111</v>
      </c>
      <c r="S11" s="93" t="s">
        <v>318</v>
      </c>
      <c r="T11" s="93" t="s">
        <v>362</v>
      </c>
    </row>
    <row r="12" spans="2:22">
      <c r="B12" s="101">
        <v>7</v>
      </c>
      <c r="C12" s="102" t="s">
        <v>73</v>
      </c>
      <c r="D12" s="102" t="str">
        <f>_xlfn.XLOOKUP(C12, 台羅國際音標對照表[台羅拼音], 台羅國際音標對照表[國際音標], "N/A")</f>
        <v>at̚</v>
      </c>
      <c r="E12" s="102" t="s">
        <v>305</v>
      </c>
      <c r="F12" s="102" t="s">
        <v>1800</v>
      </c>
      <c r="H12" s="97" t="s">
        <v>699</v>
      </c>
      <c r="J12" s="97" t="s">
        <v>699</v>
      </c>
      <c r="K12" s="93" t="s">
        <v>263</v>
      </c>
      <c r="L12" s="93" t="s">
        <v>373</v>
      </c>
      <c r="M12" s="93" t="s">
        <v>239</v>
      </c>
      <c r="N12" s="93" t="s">
        <v>23</v>
      </c>
      <c r="O12" s="93" t="s">
        <v>195</v>
      </c>
      <c r="P12" s="93" t="s">
        <v>247</v>
      </c>
      <c r="Q12" s="93" t="s">
        <v>30</v>
      </c>
      <c r="R12" s="93" t="s">
        <v>199</v>
      </c>
      <c r="S12" s="93" t="s">
        <v>269</v>
      </c>
      <c r="T12" s="93" t="s">
        <v>374</v>
      </c>
    </row>
    <row r="13" spans="2:22">
      <c r="B13" s="101">
        <v>8</v>
      </c>
      <c r="C13" s="102" t="s">
        <v>235</v>
      </c>
      <c r="D13" s="102" t="str">
        <f>_xlfn.XLOOKUP(C13, 台羅國際音標對照表[台羅拼音], 台羅國際音標對照表[國際音標], "N/A")</f>
        <v>ak̚</v>
      </c>
      <c r="E13" s="102" t="s">
        <v>305</v>
      </c>
      <c r="F13" s="102" t="s">
        <v>1800</v>
      </c>
      <c r="H13" s="97" t="s">
        <v>691</v>
      </c>
      <c r="J13" s="97" t="s">
        <v>691</v>
      </c>
      <c r="K13" s="93" t="s">
        <v>136</v>
      </c>
      <c r="L13" s="93" t="s">
        <v>442</v>
      </c>
      <c r="M13" s="93"/>
      <c r="N13" s="93"/>
      <c r="O13" s="93"/>
      <c r="P13" s="93"/>
      <c r="Q13" s="93"/>
      <c r="R13" s="93"/>
      <c r="S13" s="93" t="s">
        <v>143</v>
      </c>
      <c r="T13" s="93"/>
    </row>
    <row r="14" spans="2:22">
      <c r="B14" s="101">
        <v>9</v>
      </c>
      <c r="C14" s="102" t="s">
        <v>310</v>
      </c>
      <c r="D14" s="102" t="str">
        <f>_xlfn.XLOOKUP(C14, 台羅國際音標對照表[台羅拼音], 台羅國際音標對照表[國際音標], "N/A")</f>
        <v>aʔ</v>
      </c>
      <c r="E14" s="102" t="s">
        <v>305</v>
      </c>
      <c r="F14" s="102" t="s">
        <v>1800</v>
      </c>
      <c r="H14" s="97" t="s">
        <v>344</v>
      </c>
      <c r="J14" s="97" t="s">
        <v>344</v>
      </c>
      <c r="K14" s="93" t="s">
        <v>344</v>
      </c>
      <c r="L14" s="93"/>
      <c r="M14" s="93"/>
      <c r="N14" s="93"/>
      <c r="O14" s="93"/>
      <c r="P14" s="93"/>
      <c r="Q14" s="93"/>
      <c r="R14" s="93"/>
      <c r="S14" s="93" t="s">
        <v>350</v>
      </c>
      <c r="T14" s="93"/>
    </row>
    <row r="15" spans="2:22">
      <c r="B15" s="101">
        <v>10</v>
      </c>
      <c r="C15" s="102" t="s">
        <v>293</v>
      </c>
      <c r="D15" s="102" t="str">
        <f>_xlfn.XLOOKUP(C15, 台羅國際音標對照表[台羅拼音], 台羅國際音標對照表[國際音標], "N/A")</f>
        <v>ãʔ</v>
      </c>
      <c r="E15" s="102" t="s">
        <v>305</v>
      </c>
      <c r="F15" s="102" t="s">
        <v>1800</v>
      </c>
      <c r="H15" s="97" t="s">
        <v>1823</v>
      </c>
      <c r="J15" s="97" t="s">
        <v>1823</v>
      </c>
      <c r="K15" s="93" t="s">
        <v>646</v>
      </c>
      <c r="L15" s="93" t="s">
        <v>368</v>
      </c>
      <c r="M15" s="93"/>
      <c r="N15" s="93"/>
      <c r="O15" s="93" t="s">
        <v>155</v>
      </c>
      <c r="P15" s="93"/>
      <c r="Q15" s="93"/>
      <c r="R15" s="93" t="s">
        <v>160</v>
      </c>
      <c r="S15" s="93" t="s">
        <v>645</v>
      </c>
      <c r="T15" s="93"/>
    </row>
    <row r="16" spans="2:22">
      <c r="B16" s="101">
        <v>11</v>
      </c>
      <c r="C16" s="102" t="s">
        <v>176</v>
      </c>
      <c r="D16" s="102" t="str">
        <f>_xlfn.XLOOKUP(C16, 台羅國際音標對照表[台羅拼音], 台羅國際音標對照表[國際音標], "N/A")</f>
        <v>aɪ</v>
      </c>
      <c r="E16" s="102" t="s">
        <v>688</v>
      </c>
      <c r="F16" s="102" t="s">
        <v>1798</v>
      </c>
      <c r="H16" s="97" t="s">
        <v>321</v>
      </c>
      <c r="J16" s="97" t="s">
        <v>321</v>
      </c>
      <c r="K16" s="93" t="s">
        <v>321</v>
      </c>
      <c r="L16" s="93" t="s">
        <v>474</v>
      </c>
      <c r="M16" s="93"/>
      <c r="N16" s="93"/>
      <c r="O16" s="93"/>
      <c r="P16" s="93"/>
      <c r="Q16" s="93"/>
      <c r="R16" s="93"/>
      <c r="S16" s="93" t="s">
        <v>627</v>
      </c>
      <c r="T16" s="93" t="s">
        <v>1273</v>
      </c>
    </row>
    <row r="17" spans="2:20">
      <c r="B17" s="101">
        <v>12</v>
      </c>
      <c r="C17" s="102" t="s">
        <v>399</v>
      </c>
      <c r="D17" s="102" t="str">
        <f>_xlfn.XLOOKUP(C17, 台羅國際音標對照表[台羅拼音], 台羅國際音標對照表[國際音標], "N/A")</f>
        <v>ãɪ</v>
      </c>
      <c r="E17" s="102" t="s">
        <v>688</v>
      </c>
      <c r="F17" s="102" t="s">
        <v>1798</v>
      </c>
      <c r="H17" s="97" t="s">
        <v>1773</v>
      </c>
      <c r="J17" s="97" t="s">
        <v>1773</v>
      </c>
      <c r="K17" s="93" t="s">
        <v>639</v>
      </c>
      <c r="L17" s="93"/>
      <c r="M17" s="93"/>
      <c r="N17" s="93"/>
      <c r="O17" s="93"/>
      <c r="P17" s="93"/>
      <c r="Q17" s="93"/>
      <c r="R17" s="93"/>
      <c r="S17" s="93" t="s">
        <v>1809</v>
      </c>
      <c r="T17" s="93"/>
    </row>
    <row r="18" spans="2:20">
      <c r="B18" s="101">
        <v>13</v>
      </c>
      <c r="C18" s="102" t="s">
        <v>882</v>
      </c>
      <c r="D18" s="102" t="str">
        <f>_xlfn.XLOOKUP(C18, 台羅國際音標對照表[台羅拼音], 台羅國際音標對照表[國際音標], "N/A")</f>
        <v>aɪʔ</v>
      </c>
      <c r="E18" s="102" t="s">
        <v>688</v>
      </c>
      <c r="F18" s="102" t="s">
        <v>1800</v>
      </c>
      <c r="H18" s="97" t="s">
        <v>164</v>
      </c>
      <c r="J18" s="97" t="s">
        <v>164</v>
      </c>
      <c r="K18" s="93" t="s">
        <v>164</v>
      </c>
      <c r="L18" s="93"/>
      <c r="M18" s="93"/>
      <c r="N18" s="93"/>
      <c r="O18" s="93"/>
      <c r="P18" s="93"/>
      <c r="Q18" s="93"/>
      <c r="R18" s="93"/>
      <c r="S18" s="93" t="s">
        <v>171</v>
      </c>
      <c r="T18" s="93"/>
    </row>
    <row r="19" spans="2:20">
      <c r="B19" s="101">
        <v>14</v>
      </c>
      <c r="C19" s="102" t="s">
        <v>1808</v>
      </c>
      <c r="D19" s="102" t="str">
        <f>_xlfn.XLOOKUP(C19, 台羅國際音標對照表[台羅拼音], 台羅國際音標對照表[國際音標], "N/A")</f>
        <v>ãɪʔ</v>
      </c>
      <c r="E19" s="102" t="s">
        <v>688</v>
      </c>
      <c r="F19" s="102" t="s">
        <v>1800</v>
      </c>
      <c r="H19" s="97" t="s">
        <v>643</v>
      </c>
      <c r="J19" s="97" t="s">
        <v>643</v>
      </c>
      <c r="K19" s="93" t="s">
        <v>131</v>
      </c>
      <c r="L19" s="93" t="s">
        <v>407</v>
      </c>
      <c r="M19" s="93" t="s">
        <v>452</v>
      </c>
      <c r="N19" s="93"/>
      <c r="O19" s="93" t="s">
        <v>80</v>
      </c>
      <c r="P19" s="93" t="s">
        <v>458</v>
      </c>
      <c r="Q19" s="93"/>
      <c r="R19" s="93" t="s">
        <v>86</v>
      </c>
      <c r="S19" s="93" t="s">
        <v>633</v>
      </c>
      <c r="T19" s="93" t="s">
        <v>469</v>
      </c>
    </row>
    <row r="20" spans="2:20">
      <c r="B20" s="101">
        <v>15</v>
      </c>
      <c r="C20" s="102" t="s">
        <v>251</v>
      </c>
      <c r="D20" s="102" t="str">
        <f>_xlfn.XLOOKUP(C20, 台羅國際音標對照表[台羅拼音], 台羅國際音標對照表[國際音標], "N/A")</f>
        <v>aʊ</v>
      </c>
      <c r="E20" s="102" t="s">
        <v>697</v>
      </c>
      <c r="F20" s="102" t="s">
        <v>1798</v>
      </c>
      <c r="H20" s="97" t="s">
        <v>1824</v>
      </c>
      <c r="J20" s="97" t="s">
        <v>1824</v>
      </c>
      <c r="K20" s="93" t="s">
        <v>638</v>
      </c>
      <c r="L20" s="93"/>
      <c r="M20" s="93" t="s">
        <v>1810</v>
      </c>
      <c r="N20" s="93" t="s">
        <v>1811</v>
      </c>
      <c r="O20" s="93" t="s">
        <v>1812</v>
      </c>
      <c r="P20" s="93" t="s">
        <v>1813</v>
      </c>
      <c r="Q20" s="93" t="s">
        <v>1814</v>
      </c>
      <c r="R20" s="93" t="s">
        <v>1815</v>
      </c>
      <c r="S20" s="93" t="s">
        <v>1816</v>
      </c>
      <c r="T20" s="93"/>
    </row>
    <row r="21" spans="2:20">
      <c r="B21" s="101">
        <v>16</v>
      </c>
      <c r="C21" s="102" t="s">
        <v>258</v>
      </c>
      <c r="D21" s="102" t="str">
        <f>_xlfn.XLOOKUP(C21, 台羅國際音標對照表[台羅拼音], 台羅國際音標對照表[國際音標], "N/A")</f>
        <v>aʊʔ</v>
      </c>
      <c r="E21" s="102" t="s">
        <v>697</v>
      </c>
      <c r="F21" s="102" t="s">
        <v>1800</v>
      </c>
      <c r="H21" s="97" t="s">
        <v>297</v>
      </c>
      <c r="J21" s="97" t="s">
        <v>297</v>
      </c>
      <c r="K21" s="93" t="s">
        <v>297</v>
      </c>
      <c r="L21" s="93"/>
      <c r="M21" s="93"/>
      <c r="N21" s="93" t="s">
        <v>12</v>
      </c>
      <c r="O21" s="93"/>
      <c r="P21" s="93"/>
      <c r="Q21" s="93" t="s">
        <v>19</v>
      </c>
      <c r="R21" s="93"/>
      <c r="S21" s="93" t="s">
        <v>302</v>
      </c>
      <c r="T21" s="93"/>
    </row>
    <row r="22" spans="2:20">
      <c r="B22" s="101">
        <v>17</v>
      </c>
      <c r="C22" s="102" t="s">
        <v>623</v>
      </c>
      <c r="D22" s="102" t="str">
        <f>_xlfn.XLOOKUP(C22, 台羅國際音標對照表[台羅拼音], 台羅國際音標對照表[國際音標], "N/A")</f>
        <v>aʊ̃ʔ</v>
      </c>
      <c r="E22" s="102" t="s">
        <v>697</v>
      </c>
      <c r="F22" s="102" t="s">
        <v>1800</v>
      </c>
      <c r="H22" s="97" t="s">
        <v>215</v>
      </c>
      <c r="J22" s="97" t="s">
        <v>215</v>
      </c>
      <c r="K22" s="93" t="s">
        <v>215</v>
      </c>
      <c r="L22" s="93" t="s">
        <v>381</v>
      </c>
      <c r="M22" s="93"/>
      <c r="N22" s="93" t="s">
        <v>116</v>
      </c>
      <c r="O22" s="93" t="s">
        <v>418</v>
      </c>
      <c r="P22" s="93"/>
      <c r="Q22" s="93" t="s">
        <v>125</v>
      </c>
      <c r="R22" s="93"/>
      <c r="S22" s="93" t="s">
        <v>222</v>
      </c>
      <c r="T22" s="93"/>
    </row>
    <row r="23" spans="2:20">
      <c r="B23" s="101">
        <v>18</v>
      </c>
      <c r="C23" s="102" t="s">
        <v>55</v>
      </c>
      <c r="D23" s="102" t="str">
        <f>_xlfn.XLOOKUP(C23, 台羅國際音標對照表[台羅拼音], 台羅國際音標對照表[國際音標], "N/A")</f>
        <v>ɛ</v>
      </c>
      <c r="E23" s="102" t="s">
        <v>52</v>
      </c>
      <c r="F23" s="102" t="s">
        <v>1798</v>
      </c>
      <c r="H23" s="97" t="s">
        <v>90</v>
      </c>
      <c r="J23" s="97" t="s">
        <v>90</v>
      </c>
      <c r="K23" s="93" t="s">
        <v>90</v>
      </c>
      <c r="L23" s="93" t="s">
        <v>428</v>
      </c>
      <c r="M23" s="93"/>
      <c r="N23" s="93"/>
      <c r="O23" s="93"/>
      <c r="P23" s="93"/>
      <c r="Q23" s="93"/>
      <c r="R23" s="93"/>
      <c r="S23" s="93"/>
      <c r="T23" s="93"/>
    </row>
    <row r="24" spans="2:20">
      <c r="B24" s="101">
        <v>19</v>
      </c>
      <c r="C24" s="102" t="s">
        <v>106</v>
      </c>
      <c r="D24" s="102" t="str">
        <f>_xlfn.XLOOKUP(C24, 台羅國際音標對照表[台羅拼音], 台羅國際音標對照表[國際音標], "N/A")</f>
        <v>ɪŋ</v>
      </c>
      <c r="E24" s="102" t="s">
        <v>52</v>
      </c>
      <c r="F24" s="102" t="s">
        <v>1799</v>
      </c>
      <c r="H24" s="97" t="s">
        <v>1825</v>
      </c>
      <c r="J24" s="97" t="s">
        <v>1825</v>
      </c>
      <c r="K24" s="93" t="s">
        <v>1817</v>
      </c>
      <c r="L24" s="93"/>
      <c r="M24" s="93"/>
      <c r="N24" s="93"/>
      <c r="O24" s="93"/>
      <c r="P24" s="93"/>
      <c r="Q24" s="93"/>
      <c r="R24" s="93"/>
      <c r="S24" s="93" t="s">
        <v>1818</v>
      </c>
      <c r="T24" s="93"/>
    </row>
    <row r="25" spans="2:20">
      <c r="B25" s="101">
        <v>20</v>
      </c>
      <c r="C25" s="102" t="s">
        <v>112</v>
      </c>
      <c r="D25" s="102" t="str">
        <f>_xlfn.XLOOKUP(C25, 台羅國際音標對照表[台羅拼音], 台羅國際音標對照表[國際音標], "N/A")</f>
        <v>ɪk</v>
      </c>
      <c r="E25" s="102" t="s">
        <v>52</v>
      </c>
      <c r="F25" s="102" t="s">
        <v>1800</v>
      </c>
      <c r="H25" s="97" t="s">
        <v>275</v>
      </c>
      <c r="J25" s="97" t="s">
        <v>275</v>
      </c>
      <c r="K25" s="93" t="s">
        <v>275</v>
      </c>
      <c r="L25" s="93"/>
      <c r="M25" s="93"/>
      <c r="N25" s="93"/>
      <c r="O25" s="93"/>
      <c r="P25" s="93"/>
      <c r="Q25" s="93"/>
      <c r="R25" s="93"/>
      <c r="S25" s="93" t="s">
        <v>280</v>
      </c>
      <c r="T25" s="93"/>
    </row>
    <row r="26" spans="2:20">
      <c r="B26" s="101">
        <v>21</v>
      </c>
      <c r="C26" s="102" t="s">
        <v>60</v>
      </c>
      <c r="D26" s="102" t="str">
        <f>_xlfn.XLOOKUP(C26, 台羅國際音標對照表[台羅拼音], 台羅國際音標對照表[國際音標], "N/A")</f>
        <v>ɛʔ</v>
      </c>
      <c r="E26" s="102" t="s">
        <v>52</v>
      </c>
      <c r="F26" s="102" t="s">
        <v>1800</v>
      </c>
      <c r="H26" s="97" t="s">
        <v>46</v>
      </c>
      <c r="J26" s="97" t="s">
        <v>46</v>
      </c>
      <c r="K26" s="93" t="s">
        <v>46</v>
      </c>
      <c r="L26" s="93"/>
      <c r="M26" s="93"/>
      <c r="N26" s="93"/>
      <c r="O26" s="93"/>
      <c r="P26" s="93"/>
      <c r="Q26" s="93"/>
      <c r="R26" s="93"/>
      <c r="S26" s="93"/>
      <c r="T26" s="93"/>
    </row>
    <row r="27" spans="2:20">
      <c r="B27" s="101">
        <v>22</v>
      </c>
      <c r="C27" s="102" t="s">
        <v>56</v>
      </c>
      <c r="D27" s="102" t="str">
        <f>_xlfn.XLOOKUP(C27, 台羅國際音標對照表[台羅拼音], 台羅國際音標對照表[國際音標], "N/A")</f>
        <v>e</v>
      </c>
      <c r="E27" s="102" t="s">
        <v>56</v>
      </c>
      <c r="F27" s="102" t="s">
        <v>1798</v>
      </c>
      <c r="H27" s="97" t="s">
        <v>1826</v>
      </c>
      <c r="J27" s="97" t="s">
        <v>1826</v>
      </c>
      <c r="K27" s="93"/>
      <c r="L27" s="93" t="s">
        <v>1819</v>
      </c>
      <c r="M27" s="93"/>
      <c r="N27" s="93"/>
      <c r="O27" s="93"/>
      <c r="P27" s="93"/>
      <c r="Q27" s="93"/>
      <c r="R27" s="93"/>
      <c r="S27" s="93"/>
      <c r="T27" s="93"/>
    </row>
    <row r="28" spans="2:20">
      <c r="B28" s="101">
        <v>23</v>
      </c>
      <c r="C28" s="102" t="s">
        <v>328</v>
      </c>
      <c r="D28" s="102" t="str">
        <f>_xlfn.XLOOKUP(C28, 台羅國際音標對照表[台羅拼音], 台羅國際音標對照表[國際音標], "N/A")</f>
        <v>ẽ</v>
      </c>
      <c r="E28" s="102" t="s">
        <v>56</v>
      </c>
      <c r="F28" s="102" t="s">
        <v>1798</v>
      </c>
      <c r="H28" s="97" t="s">
        <v>1827</v>
      </c>
      <c r="J28" s="97" t="s">
        <v>1827</v>
      </c>
      <c r="K28" s="93" t="s">
        <v>1820</v>
      </c>
      <c r="L28" s="93"/>
      <c r="M28" s="93"/>
      <c r="N28" s="93"/>
      <c r="O28" s="93"/>
      <c r="P28" s="93"/>
      <c r="Q28" s="93"/>
      <c r="R28" s="93"/>
      <c r="S28" s="93" t="s">
        <v>1821</v>
      </c>
      <c r="T28" s="93"/>
    </row>
    <row r="29" spans="2:20">
      <c r="B29" s="101">
        <v>24</v>
      </c>
      <c r="C29" s="102" t="s">
        <v>61</v>
      </c>
      <c r="D29" s="102" t="str">
        <f>_xlfn.XLOOKUP(C29, 台羅國際音標對照表[台羅拼音], 台羅國際音標對照表[國際音標], "N/A")</f>
        <v>eʔ</v>
      </c>
      <c r="E29" s="102" t="s">
        <v>56</v>
      </c>
      <c r="F29" s="102" t="s">
        <v>1800</v>
      </c>
      <c r="H29" s="97" t="s">
        <v>411</v>
      </c>
      <c r="J29" s="97" t="s">
        <v>411</v>
      </c>
      <c r="K29" s="93" t="s">
        <v>413</v>
      </c>
      <c r="L29" s="93"/>
      <c r="M29" s="93" t="s">
        <v>1822</v>
      </c>
      <c r="N29" s="93"/>
      <c r="O29" s="93"/>
      <c r="P29" s="93"/>
      <c r="Q29" s="93"/>
      <c r="R29" s="93"/>
      <c r="S29" s="93" t="s">
        <v>642</v>
      </c>
      <c r="T29" s="93"/>
    </row>
    <row r="30" spans="2:20">
      <c r="B30" s="101">
        <v>25</v>
      </c>
      <c r="C30" s="102" t="s">
        <v>333</v>
      </c>
      <c r="D30" s="102" t="str">
        <f>_xlfn.XLOOKUP(C30, 台羅國際音標對照表[台羅拼音], 台羅國際音標對照表[國際音標], "N/A")</f>
        <v>ẽʔ</v>
      </c>
      <c r="E30" s="102" t="s">
        <v>56</v>
      </c>
      <c r="F30" s="102" t="s">
        <v>1800</v>
      </c>
      <c r="H30" s="97" t="s">
        <v>386</v>
      </c>
      <c r="J30" s="97" t="s">
        <v>386</v>
      </c>
      <c r="K30" s="93" t="s">
        <v>389</v>
      </c>
      <c r="L30" s="93"/>
      <c r="M30" s="93" t="s">
        <v>1822</v>
      </c>
      <c r="N30" s="93"/>
      <c r="O30" s="93"/>
      <c r="P30" s="93"/>
      <c r="Q30" s="93"/>
      <c r="R30" s="93"/>
      <c r="S30" s="93" t="s">
        <v>630</v>
      </c>
      <c r="T30" s="93"/>
    </row>
    <row r="31" spans="2:20">
      <c r="B31" s="101">
        <v>26</v>
      </c>
      <c r="C31" s="102" t="s">
        <v>313</v>
      </c>
      <c r="D31" s="102" t="str">
        <f>_xlfn.XLOOKUP(C31, 台羅國際音標對照表[台羅拼音], 台羅國際音標對照表[國際音標], "N/A")</f>
        <v>i</v>
      </c>
      <c r="E31" s="102" t="s">
        <v>313</v>
      </c>
      <c r="F31" s="102" t="s">
        <v>1798</v>
      </c>
    </row>
    <row r="32" spans="2:20">
      <c r="B32" s="101">
        <v>27</v>
      </c>
      <c r="C32" s="102" t="s">
        <v>357</v>
      </c>
      <c r="D32" s="102" t="str">
        <f>_xlfn.XLOOKUP(C32, 台羅國際音標對照表[台羅拼音], 台羅國際音標對照表[國際音標], "N/A")</f>
        <v>ĩ</v>
      </c>
      <c r="E32" s="102" t="s">
        <v>313</v>
      </c>
      <c r="F32" s="102" t="s">
        <v>1798</v>
      </c>
    </row>
    <row r="33" spans="2:6">
      <c r="B33" s="101">
        <v>28</v>
      </c>
      <c r="C33" s="102" t="s">
        <v>34</v>
      </c>
      <c r="D33" s="102" t="str">
        <f>_xlfn.XLOOKUP(C33, 台羅國際音標對照表[台羅拼音], 台羅國際音標對照表[國際音標], "N/A")</f>
        <v>im</v>
      </c>
      <c r="E33" s="102" t="s">
        <v>313</v>
      </c>
      <c r="F33" s="102" t="s">
        <v>1799</v>
      </c>
    </row>
    <row r="34" spans="2:6">
      <c r="B34" s="101">
        <v>29</v>
      </c>
      <c r="C34" s="102" t="s">
        <v>182</v>
      </c>
      <c r="D34" s="102" t="str">
        <f>_xlfn.XLOOKUP(C34, 台羅國際音標對照表[台羅拼音], 台羅國際音標對照表[國際音標], "N/A")</f>
        <v>in</v>
      </c>
      <c r="E34" s="102" t="s">
        <v>313</v>
      </c>
      <c r="F34" s="102" t="s">
        <v>1799</v>
      </c>
    </row>
    <row r="35" spans="2:6">
      <c r="B35" s="101">
        <v>30</v>
      </c>
      <c r="C35" s="102" t="s">
        <v>105</v>
      </c>
      <c r="D35" s="102" t="str">
        <f>_xlfn.XLOOKUP(C35, 台羅國際音標對照表[台羅拼音], 台羅國際音標對照表[國際音標], "N/A")</f>
        <v>iŋ</v>
      </c>
      <c r="E35" s="102" t="s">
        <v>313</v>
      </c>
      <c r="F35" s="102" t="s">
        <v>1799</v>
      </c>
    </row>
    <row r="36" spans="2:6">
      <c r="B36" s="101">
        <v>31</v>
      </c>
      <c r="C36" s="102" t="s">
        <v>42</v>
      </c>
      <c r="D36" s="102" t="str">
        <f>_xlfn.XLOOKUP(C36, 台羅國際音標對照表[台羅拼音], 台羅國際音標對照表[國際音標], "N/A")</f>
        <v>ip̚</v>
      </c>
      <c r="E36" s="102" t="s">
        <v>313</v>
      </c>
      <c r="F36" s="102" t="s">
        <v>1800</v>
      </c>
    </row>
    <row r="37" spans="2:6">
      <c r="B37" s="101">
        <v>32</v>
      </c>
      <c r="C37" s="102" t="s">
        <v>190</v>
      </c>
      <c r="D37" s="102" t="str">
        <f>_xlfn.XLOOKUP(C37, 台羅國際音標對照表[台羅拼音], 台羅國際音標對照表[國際音標], "N/A")</f>
        <v>it̚</v>
      </c>
      <c r="E37" s="102" t="s">
        <v>313</v>
      </c>
      <c r="F37" s="102" t="s">
        <v>1800</v>
      </c>
    </row>
    <row r="38" spans="2:6">
      <c r="B38" s="101">
        <v>33</v>
      </c>
      <c r="C38" s="102" t="s">
        <v>111</v>
      </c>
      <c r="D38" s="102" t="str">
        <f>_xlfn.XLOOKUP(C38, 台羅國際音標對照表[台羅拼音], 台羅國際音標對照表[國際音標], "N/A")</f>
        <v>ik̚</v>
      </c>
      <c r="E38" s="102" t="s">
        <v>313</v>
      </c>
      <c r="F38" s="102" t="s">
        <v>1800</v>
      </c>
    </row>
    <row r="39" spans="2:6">
      <c r="B39" s="101">
        <v>34</v>
      </c>
      <c r="C39" s="102" t="s">
        <v>318</v>
      </c>
      <c r="D39" s="102" t="str">
        <f>_xlfn.XLOOKUP(C39, 台羅國際音標對照表[台羅拼音], 台羅國際音標對照表[國際音標], "N/A")</f>
        <v>iʔ</v>
      </c>
      <c r="E39" s="102" t="s">
        <v>313</v>
      </c>
      <c r="F39" s="102" t="s">
        <v>1800</v>
      </c>
    </row>
    <row r="40" spans="2:6">
      <c r="B40" s="101">
        <v>35</v>
      </c>
      <c r="C40" s="102" t="s">
        <v>362</v>
      </c>
      <c r="D40" s="102" t="str">
        <f>_xlfn.XLOOKUP(C40, 台羅國際音標對照表[台羅拼音], 台羅國際音標對照表[國際音標], "N/A")</f>
        <v>ĩʔ</v>
      </c>
      <c r="E40" s="102" t="s">
        <v>313</v>
      </c>
      <c r="F40" s="102" t="s">
        <v>1800</v>
      </c>
    </row>
    <row r="41" spans="2:6">
      <c r="B41" s="101">
        <v>36</v>
      </c>
      <c r="C41" s="102" t="s">
        <v>263</v>
      </c>
      <c r="D41" s="102" t="str">
        <f>_xlfn.XLOOKUP(C41, 台羅國際音標對照表[台羅拼音], 台羅國際音標對照表[國際音標], "N/A")</f>
        <v>ɪa</v>
      </c>
      <c r="E41" s="102" t="s">
        <v>699</v>
      </c>
      <c r="F41" s="102" t="s">
        <v>1798</v>
      </c>
    </row>
    <row r="42" spans="2:6">
      <c r="B42" s="101">
        <v>37</v>
      </c>
      <c r="C42" s="102" t="s">
        <v>373</v>
      </c>
      <c r="D42" s="102" t="str">
        <f>_xlfn.XLOOKUP(C42, 台羅國際音標對照表[台羅拼音], 台羅國際音標對照表[國際音標], "N/A")</f>
        <v>ɪã</v>
      </c>
      <c r="E42" s="102" t="s">
        <v>699</v>
      </c>
      <c r="F42" s="102" t="s">
        <v>1798</v>
      </c>
    </row>
    <row r="43" spans="2:6">
      <c r="B43" s="101">
        <v>38</v>
      </c>
      <c r="C43" s="102" t="s">
        <v>239</v>
      </c>
      <c r="D43" s="102" t="str">
        <f>_xlfn.XLOOKUP(C43, 台羅國際音標對照表[台羅拼音], 台羅國際音標對照表[國際音標], "N/A")</f>
        <v>ɪam</v>
      </c>
      <c r="E43" s="102" t="s">
        <v>699</v>
      </c>
      <c r="F43" s="102" t="s">
        <v>1799</v>
      </c>
    </row>
    <row r="44" spans="2:6">
      <c r="B44" s="101">
        <v>39</v>
      </c>
      <c r="C44" s="102" t="s">
        <v>23</v>
      </c>
      <c r="D44" s="102" t="str">
        <f>_xlfn.XLOOKUP(C44, 台羅國際音標對照表[台羅拼音], 台羅國際音標對照表[國際音標], "N/A")</f>
        <v>ɪan</v>
      </c>
      <c r="E44" s="102" t="s">
        <v>699</v>
      </c>
      <c r="F44" s="102" t="s">
        <v>1799</v>
      </c>
    </row>
    <row r="45" spans="2:6">
      <c r="B45" s="101">
        <v>40</v>
      </c>
      <c r="C45" s="102" t="s">
        <v>195</v>
      </c>
      <c r="D45" s="102" t="str">
        <f>_xlfn.XLOOKUP(C45, 台羅國際音標對照表[台羅拼音], 台羅國際音標對照表[國際音標], "N/A")</f>
        <v>ɪaŋ</v>
      </c>
      <c r="E45" s="102" t="s">
        <v>699</v>
      </c>
      <c r="F45" s="102" t="s">
        <v>1799</v>
      </c>
    </row>
    <row r="46" spans="2:6">
      <c r="B46" s="101">
        <v>41</v>
      </c>
      <c r="C46" s="102" t="s">
        <v>247</v>
      </c>
      <c r="D46" s="102" t="str">
        <f>_xlfn.XLOOKUP(C46, 台羅國際音標對照表[台羅拼音], 台羅國際音標對照表[國際音標], "N/A")</f>
        <v>ɪap̚</v>
      </c>
      <c r="E46" s="102" t="s">
        <v>699</v>
      </c>
      <c r="F46" s="102" t="s">
        <v>1800</v>
      </c>
    </row>
    <row r="47" spans="2:6">
      <c r="B47" s="101">
        <v>42</v>
      </c>
      <c r="C47" s="102" t="s">
        <v>30</v>
      </c>
      <c r="D47" s="102" t="str">
        <f>_xlfn.XLOOKUP(C47, 台羅國際音標對照表[台羅拼音], 台羅國際音標對照表[國際音標], "N/A")</f>
        <v>ɪat̚</v>
      </c>
      <c r="E47" s="102" t="s">
        <v>699</v>
      </c>
      <c r="F47" s="102" t="s">
        <v>1800</v>
      </c>
    </row>
    <row r="48" spans="2:6">
      <c r="B48" s="101">
        <v>43</v>
      </c>
      <c r="C48" s="102" t="s">
        <v>199</v>
      </c>
      <c r="D48" s="102" t="str">
        <f>_xlfn.XLOOKUP(C48, 台羅國際音標對照表[台羅拼音], 台羅國際音標對照表[國際音標], "N/A")</f>
        <v>ɪak̚</v>
      </c>
      <c r="E48" s="102" t="s">
        <v>699</v>
      </c>
      <c r="F48" s="102" t="s">
        <v>1800</v>
      </c>
    </row>
    <row r="49" spans="2:6">
      <c r="B49" s="101">
        <v>44</v>
      </c>
      <c r="C49" s="102" t="s">
        <v>269</v>
      </c>
      <c r="D49" s="102" t="str">
        <f>_xlfn.XLOOKUP(C49, 台羅國際音標對照表[台羅拼音], 台羅國際音標對照表[國際音標], "N/A")</f>
        <v>ɪaʔ</v>
      </c>
      <c r="E49" s="102" t="s">
        <v>699</v>
      </c>
      <c r="F49" s="102" t="s">
        <v>1800</v>
      </c>
    </row>
    <row r="50" spans="2:6">
      <c r="B50" s="101">
        <v>45</v>
      </c>
      <c r="C50" s="102" t="s">
        <v>374</v>
      </c>
      <c r="D50" s="102" t="str">
        <f>_xlfn.XLOOKUP(C50, 台羅國際音標對照表[台羅拼音], 台羅國際音標對照表[國際音標], "N/A")</f>
        <v>ɪãʔ</v>
      </c>
      <c r="E50" s="102" t="s">
        <v>699</v>
      </c>
      <c r="F50" s="102" t="s">
        <v>1800</v>
      </c>
    </row>
    <row r="51" spans="2:6">
      <c r="B51" s="101">
        <v>46</v>
      </c>
      <c r="C51" s="102" t="s">
        <v>136</v>
      </c>
      <c r="D51" s="102" t="str">
        <f>_xlfn.XLOOKUP(C51, 台羅國際音標對照表[台羅拼音], 台羅國際音標對照表[國際音標], "N/A")</f>
        <v>ɪaʊ</v>
      </c>
      <c r="E51" s="102" t="s">
        <v>691</v>
      </c>
      <c r="F51" s="102" t="s">
        <v>1798</v>
      </c>
    </row>
    <row r="52" spans="2:6">
      <c r="B52" s="101">
        <v>47</v>
      </c>
      <c r="C52" s="102" t="s">
        <v>442</v>
      </c>
      <c r="D52" s="102" t="str">
        <f>_xlfn.XLOOKUP(C52, 台羅國際音標對照表[台羅拼音], 台羅國際音標對照表[國際音標], "N/A")</f>
        <v>ɪãʊ</v>
      </c>
      <c r="E52" s="102" t="s">
        <v>691</v>
      </c>
      <c r="F52" s="102" t="s">
        <v>1798</v>
      </c>
    </row>
    <row r="53" spans="2:6">
      <c r="B53" s="101">
        <v>48</v>
      </c>
      <c r="C53" s="102" t="s">
        <v>143</v>
      </c>
      <c r="D53" s="102" t="str">
        <f>_xlfn.XLOOKUP(C53, 台羅國際音標對照表[台羅拼音], 台羅國際音標對照表[國際音標], "N/A")</f>
        <v>ɪaʊʔ</v>
      </c>
      <c r="E53" s="102" t="s">
        <v>691</v>
      </c>
      <c r="F53" s="102" t="s">
        <v>1800</v>
      </c>
    </row>
    <row r="54" spans="2:6">
      <c r="B54" s="101">
        <v>49</v>
      </c>
      <c r="C54" s="102" t="s">
        <v>344</v>
      </c>
      <c r="D54" s="102" t="str">
        <f>_xlfn.XLOOKUP(C54, 台羅國際音標對照表[台羅拼音], 台羅國際音標對照表[國際音標], "N/A")</f>
        <v>ɪə</v>
      </c>
      <c r="E54" s="102" t="s">
        <v>344</v>
      </c>
      <c r="F54" s="102" t="s">
        <v>1798</v>
      </c>
    </row>
    <row r="55" spans="2:6">
      <c r="B55" s="101">
        <v>50</v>
      </c>
      <c r="C55" s="102" t="s">
        <v>350</v>
      </c>
      <c r="D55" s="102" t="str">
        <f>_xlfn.XLOOKUP(C55, 台羅國際音標對照表[台羅拼音], 台羅國際音標對照表[國際音標], "N/A")</f>
        <v>ɪəʔ</v>
      </c>
      <c r="E55" s="102" t="s">
        <v>344</v>
      </c>
      <c r="F55" s="102" t="s">
        <v>1800</v>
      </c>
    </row>
    <row r="56" spans="2:6">
      <c r="B56" s="101">
        <v>51</v>
      </c>
      <c r="C56" s="102" t="s">
        <v>646</v>
      </c>
      <c r="D56" s="102" t="str">
        <f>_xlfn.XLOOKUP(C56, 台羅國際音標對照表[台羅拼音], 台羅國際音標對照表[國際音標], "N/A")</f>
        <v>ɪɔ</v>
      </c>
      <c r="E56" s="102" t="s">
        <v>1823</v>
      </c>
      <c r="F56" s="102" t="s">
        <v>1798</v>
      </c>
    </row>
    <row r="57" spans="2:6">
      <c r="B57" s="101">
        <v>52</v>
      </c>
      <c r="C57" s="102" t="s">
        <v>368</v>
      </c>
      <c r="D57" s="102" t="str">
        <f>_xlfn.XLOOKUP(C57, 台羅國際音標對照表[台羅拼音], 台羅國際音標對照表[國際音標], "N/A")</f>
        <v>ɪɔ̃</v>
      </c>
      <c r="E57" s="102" t="s">
        <v>1823</v>
      </c>
      <c r="F57" s="102" t="s">
        <v>1798</v>
      </c>
    </row>
    <row r="58" spans="2:6">
      <c r="B58" s="101">
        <v>53</v>
      </c>
      <c r="C58" s="102" t="s">
        <v>155</v>
      </c>
      <c r="D58" s="102" t="str">
        <f>_xlfn.XLOOKUP(C58, 台羅國際音標對照表[台羅拼音], 台羅國際音標對照表[國際音標], "N/A")</f>
        <v>ɪɔŋ</v>
      </c>
      <c r="E58" s="102" t="s">
        <v>1823</v>
      </c>
      <c r="F58" s="102" t="s">
        <v>1799</v>
      </c>
    </row>
    <row r="59" spans="2:6">
      <c r="B59" s="101">
        <v>54</v>
      </c>
      <c r="C59" s="102" t="s">
        <v>160</v>
      </c>
      <c r="D59" s="102" t="str">
        <f>_xlfn.XLOOKUP(C59, 台羅國際音標對照表[台羅拼音], 台羅國際音標對照表[國際音標], "N/A")</f>
        <v>ɪɔk̚</v>
      </c>
      <c r="E59" s="102" t="s">
        <v>1823</v>
      </c>
      <c r="F59" s="102" t="s">
        <v>1800</v>
      </c>
    </row>
    <row r="60" spans="2:6">
      <c r="B60" s="101">
        <v>55</v>
      </c>
      <c r="C60" s="102" t="s">
        <v>645</v>
      </c>
      <c r="D60" s="102" t="str">
        <f>_xlfn.XLOOKUP(C60, 台羅國際音標對照表[台羅拼音], 台羅國際音標對照表[國際音標], "N/A")</f>
        <v>ɪɔʔ</v>
      </c>
      <c r="E60" s="102" t="s">
        <v>1823</v>
      </c>
      <c r="F60" s="102" t="s">
        <v>1800</v>
      </c>
    </row>
    <row r="61" spans="2:6">
      <c r="B61" s="101">
        <v>56</v>
      </c>
      <c r="C61" s="102" t="s">
        <v>321</v>
      </c>
      <c r="D61" s="102" t="str">
        <f>_xlfn.XLOOKUP(C61, 台羅國際音標對照表[台羅拼音], 台羅國際音標對照表[國際音標], "N/A")</f>
        <v>ɪu</v>
      </c>
      <c r="E61" s="102" t="s">
        <v>321</v>
      </c>
      <c r="F61" s="102" t="s">
        <v>1798</v>
      </c>
    </row>
    <row r="62" spans="2:6">
      <c r="B62" s="101">
        <v>57</v>
      </c>
      <c r="C62" s="102" t="s">
        <v>474</v>
      </c>
      <c r="D62" s="102" t="str">
        <f>_xlfn.XLOOKUP(C62, 台羅國際音標對照表[台羅拼音], 台羅國際音標對照表[國際音標], "N/A")</f>
        <v>ɪũ</v>
      </c>
      <c r="E62" s="102" t="s">
        <v>321</v>
      </c>
      <c r="F62" s="102" t="s">
        <v>1798</v>
      </c>
    </row>
    <row r="63" spans="2:6">
      <c r="B63" s="101">
        <v>58</v>
      </c>
      <c r="C63" s="102" t="s">
        <v>627</v>
      </c>
      <c r="D63" s="102" t="str">
        <f>_xlfn.XLOOKUP(C63, 台羅國際音標對照表[台羅拼音], 台羅國際音標對照表[國際音標], "N/A")</f>
        <v>ɪuʔ</v>
      </c>
      <c r="E63" s="102" t="s">
        <v>321</v>
      </c>
      <c r="F63" s="102" t="s">
        <v>1800</v>
      </c>
    </row>
    <row r="64" spans="2:6">
      <c r="B64" s="101">
        <v>59</v>
      </c>
      <c r="C64" s="102" t="s">
        <v>1273</v>
      </c>
      <c r="D64" s="102" t="str">
        <f>_xlfn.XLOOKUP(C64, 台羅國際音標對照表[台羅拼音], 台羅國際音標對照表[國際音標], "N/A")</f>
        <v>ɪũʔ</v>
      </c>
      <c r="E64" s="102" t="s">
        <v>321</v>
      </c>
      <c r="F64" s="102" t="s">
        <v>1800</v>
      </c>
    </row>
    <row r="65" spans="2:6">
      <c r="B65" s="101">
        <v>60</v>
      </c>
      <c r="C65" s="102" t="s">
        <v>639</v>
      </c>
      <c r="D65" s="102" t="str">
        <f>_xlfn.XLOOKUP(C65, 台羅國際音標對照表[台羅拼音], 台羅國際音標對照表[國際音標], "N/A")</f>
        <v>ə</v>
      </c>
      <c r="E65" s="102" t="s">
        <v>1773</v>
      </c>
      <c r="F65" s="102" t="s">
        <v>1798</v>
      </c>
    </row>
    <row r="66" spans="2:6">
      <c r="B66" s="101">
        <v>61</v>
      </c>
      <c r="C66" s="102" t="s">
        <v>1809</v>
      </c>
      <c r="D66" s="102" t="str">
        <f>_xlfn.XLOOKUP(C66, 台羅國際音標對照表[台羅拼音], 台羅國際音標對照表[國際音標], "N/A")</f>
        <v>əʔ</v>
      </c>
      <c r="E66" s="102" t="s">
        <v>1773</v>
      </c>
      <c r="F66" s="102" t="s">
        <v>1800</v>
      </c>
    </row>
    <row r="67" spans="2:6">
      <c r="B67" s="101">
        <v>62</v>
      </c>
      <c r="C67" s="102" t="s">
        <v>164</v>
      </c>
      <c r="D67" s="102" t="str">
        <f>_xlfn.XLOOKUP(C67, 台羅國際音標對照表[台羅拼音], 台羅國際音標對照表[國際音標], "N/A")</f>
        <v>ə</v>
      </c>
      <c r="E67" s="102" t="s">
        <v>164</v>
      </c>
      <c r="F67" s="102" t="s">
        <v>1798</v>
      </c>
    </row>
    <row r="68" spans="2:6">
      <c r="B68" s="101">
        <v>63</v>
      </c>
      <c r="C68" s="102" t="s">
        <v>171</v>
      </c>
      <c r="D68" s="102" t="str">
        <f>_xlfn.XLOOKUP(C68, 台羅國際音標對照表[台羅拼音], 台羅國際音標對照表[國際音標], "N/A")</f>
        <v>əʔ</v>
      </c>
      <c r="E68" s="102" t="s">
        <v>164</v>
      </c>
      <c r="F68" s="102" t="s">
        <v>1800</v>
      </c>
    </row>
    <row r="69" spans="2:6">
      <c r="B69" s="101">
        <v>64</v>
      </c>
      <c r="C69" s="102" t="s">
        <v>131</v>
      </c>
      <c r="D69" s="102" t="str">
        <f>_xlfn.XLOOKUP(C69, 台羅國際音標對照表[台羅拼音], 台羅國際音標對照表[國際音標], "N/A")</f>
        <v>ɔ</v>
      </c>
      <c r="E69" s="102" t="s">
        <v>643</v>
      </c>
      <c r="F69" s="102" t="s">
        <v>1798</v>
      </c>
    </row>
    <row r="70" spans="2:6">
      <c r="B70" s="101">
        <v>65</v>
      </c>
      <c r="C70" s="102" t="s">
        <v>407</v>
      </c>
      <c r="D70" s="102" t="str">
        <f>_xlfn.XLOOKUP(C70, 台羅國際音標對照表[台羅拼音], 台羅國際音標對照表[國際音標], "N/A")</f>
        <v>ɔ̃</v>
      </c>
      <c r="E70" s="102" t="s">
        <v>643</v>
      </c>
      <c r="F70" s="102" t="s">
        <v>1798</v>
      </c>
    </row>
    <row r="71" spans="2:6">
      <c r="B71" s="101">
        <v>66</v>
      </c>
      <c r="C71" s="102" t="s">
        <v>452</v>
      </c>
      <c r="D71" s="102" t="str">
        <f>_xlfn.XLOOKUP(C71, 台羅國際音標對照表[台羅拼音], 台羅國際音標對照表[國際音標], "N/A")</f>
        <v>ɔm</v>
      </c>
      <c r="E71" s="102" t="s">
        <v>643</v>
      </c>
      <c r="F71" s="102" t="s">
        <v>1799</v>
      </c>
    </row>
    <row r="72" spans="2:6">
      <c r="B72" s="101">
        <v>67</v>
      </c>
      <c r="C72" s="102" t="s">
        <v>80</v>
      </c>
      <c r="D72" s="102" t="str">
        <f>_xlfn.XLOOKUP(C72, 台羅國際音標對照表[台羅拼音], 台羅國際音標對照表[國際音標], "N/A")</f>
        <v>ɔŋ</v>
      </c>
      <c r="E72" s="102" t="s">
        <v>643</v>
      </c>
      <c r="F72" s="102" t="s">
        <v>1799</v>
      </c>
    </row>
    <row r="73" spans="2:6">
      <c r="B73" s="101">
        <v>68</v>
      </c>
      <c r="C73" s="102" t="s">
        <v>458</v>
      </c>
      <c r="D73" s="102" t="str">
        <f>_xlfn.XLOOKUP(C73, 台羅國際音標對照表[台羅拼音], 台羅國際音標對照表[國際音標], "N/A")</f>
        <v>ɔp̚</v>
      </c>
      <c r="E73" s="102" t="s">
        <v>643</v>
      </c>
      <c r="F73" s="102" t="s">
        <v>1800</v>
      </c>
    </row>
    <row r="74" spans="2:6">
      <c r="B74" s="101">
        <v>69</v>
      </c>
      <c r="C74" s="102" t="s">
        <v>86</v>
      </c>
      <c r="D74" s="102" t="str">
        <f>_xlfn.XLOOKUP(C74, 台羅國際音標對照表[台羅拼音], 台羅國際音標對照表[國際音標], "N/A")</f>
        <v>ɔk̚</v>
      </c>
      <c r="E74" s="102" t="s">
        <v>643</v>
      </c>
      <c r="F74" s="102" t="s">
        <v>1800</v>
      </c>
    </row>
    <row r="75" spans="2:6">
      <c r="B75" s="101">
        <v>70</v>
      </c>
      <c r="C75" s="102" t="s">
        <v>633</v>
      </c>
      <c r="D75" s="102" t="str">
        <f>_xlfn.XLOOKUP(C75, 台羅國際音標對照表[台羅拼音], 台羅國際音標對照表[國際音標], "N/A")</f>
        <v>ɔʔ</v>
      </c>
      <c r="E75" s="102" t="s">
        <v>643</v>
      </c>
      <c r="F75" s="102" t="s">
        <v>1800</v>
      </c>
    </row>
    <row r="76" spans="2:6">
      <c r="B76" s="101">
        <v>71</v>
      </c>
      <c r="C76" s="102" t="s">
        <v>469</v>
      </c>
      <c r="D76" s="102" t="str">
        <f>_xlfn.XLOOKUP(C76, 台羅國際音標對照表[台羅拼音], 台羅國際音標對照表[國際音標], "N/A")</f>
        <v>ɔ̃ʔ</v>
      </c>
      <c r="E76" s="102" t="s">
        <v>643</v>
      </c>
      <c r="F76" s="102" t="s">
        <v>1800</v>
      </c>
    </row>
    <row r="77" spans="2:6">
      <c r="B77" s="101">
        <v>72</v>
      </c>
      <c r="C77" s="102" t="s">
        <v>638</v>
      </c>
      <c r="D77" s="102" t="str">
        <f>_xlfn.XLOOKUP(C77, 台羅國際音標對照表[台羅拼音], 台羅國際音標對照表[國際音標], "N/A")</f>
        <v>ɯ</v>
      </c>
      <c r="E77" s="102" t="s">
        <v>1824</v>
      </c>
      <c r="F77" s="102" t="s">
        <v>1798</v>
      </c>
    </row>
    <row r="78" spans="2:6">
      <c r="B78" s="101">
        <v>73</v>
      </c>
      <c r="C78" s="102" t="s">
        <v>1810</v>
      </c>
      <c r="D78" s="102" t="str">
        <f>_xlfn.XLOOKUP(C78, 台羅國際音標對照表[台羅拼音], 台羅國際音標對照表[國際音標], "N/A")</f>
        <v>ɯm</v>
      </c>
      <c r="E78" s="102" t="s">
        <v>1824</v>
      </c>
      <c r="F78" s="102" t="s">
        <v>1799</v>
      </c>
    </row>
    <row r="79" spans="2:6">
      <c r="B79" s="101">
        <v>74</v>
      </c>
      <c r="C79" s="102" t="s">
        <v>1811</v>
      </c>
      <c r="D79" s="102" t="str">
        <f>_xlfn.XLOOKUP(C79, 台羅國際音標對照表[台羅拼音], 台羅國際音標對照表[國際音標], "N/A")</f>
        <v>ɯn</v>
      </c>
      <c r="E79" s="102" t="s">
        <v>1824</v>
      </c>
      <c r="F79" s="102" t="s">
        <v>1799</v>
      </c>
    </row>
    <row r="80" spans="2:6">
      <c r="B80" s="101">
        <v>75</v>
      </c>
      <c r="C80" s="102" t="s">
        <v>1812</v>
      </c>
      <c r="D80" s="102" t="str">
        <f>_xlfn.XLOOKUP(C80, 台羅國際音標對照表[台羅拼音], 台羅國際音標對照表[國際音標], "N/A")</f>
        <v>ɯŋ</v>
      </c>
      <c r="E80" s="102" t="s">
        <v>1824</v>
      </c>
      <c r="F80" s="102" t="s">
        <v>1799</v>
      </c>
    </row>
    <row r="81" spans="2:6">
      <c r="B81" s="101">
        <v>76</v>
      </c>
      <c r="C81" s="102" t="s">
        <v>1813</v>
      </c>
      <c r="D81" s="102" t="str">
        <f>_xlfn.XLOOKUP(C81, 台羅國際音標對照表[台羅拼音], 台羅國際音標對照表[國際音標], "N/A")</f>
        <v>ɯp̚</v>
      </c>
      <c r="E81" s="102" t="s">
        <v>1824</v>
      </c>
      <c r="F81" s="102" t="s">
        <v>1800</v>
      </c>
    </row>
    <row r="82" spans="2:6">
      <c r="B82" s="101">
        <v>77</v>
      </c>
      <c r="C82" s="102" t="s">
        <v>1814</v>
      </c>
      <c r="D82" s="102" t="str">
        <f>_xlfn.XLOOKUP(C82, 台羅國際音標對照表[台羅拼音], 台羅國際音標對照表[國際音標], "N/A")</f>
        <v>ɯt̚</v>
      </c>
      <c r="E82" s="102" t="s">
        <v>1824</v>
      </c>
      <c r="F82" s="102" t="s">
        <v>1800</v>
      </c>
    </row>
    <row r="83" spans="2:6">
      <c r="B83" s="101">
        <v>78</v>
      </c>
      <c r="C83" s="102" t="s">
        <v>1815</v>
      </c>
      <c r="D83" s="102" t="str">
        <f>_xlfn.XLOOKUP(C83, 台羅國際音標對照表[台羅拼音], 台羅國際音標對照表[國際音標], "N/A")</f>
        <v>ɯk̚</v>
      </c>
      <c r="E83" s="102" t="s">
        <v>1824</v>
      </c>
      <c r="F83" s="102" t="s">
        <v>1800</v>
      </c>
    </row>
    <row r="84" spans="2:6">
      <c r="B84" s="101">
        <v>79</v>
      </c>
      <c r="C84" s="102" t="s">
        <v>1816</v>
      </c>
      <c r="D84" s="102" t="str">
        <f>_xlfn.XLOOKUP(C84, 台羅國際音標對照表[台羅拼音], 台羅國際音標對照表[國際音標], "N/A")</f>
        <v>ɯʔ</v>
      </c>
      <c r="E84" s="102" t="s">
        <v>1824</v>
      </c>
      <c r="F84" s="102" t="s">
        <v>1800</v>
      </c>
    </row>
    <row r="85" spans="2:6">
      <c r="B85" s="101">
        <v>80</v>
      </c>
      <c r="C85" s="102" t="s">
        <v>297</v>
      </c>
      <c r="D85" s="102" t="str">
        <f>_xlfn.XLOOKUP(C85, 台羅國際音標對照表[台羅拼音], 台羅國際音標對照表[國際音標], "N/A")</f>
        <v>u</v>
      </c>
      <c r="E85" s="102" t="s">
        <v>297</v>
      </c>
      <c r="F85" s="102" t="s">
        <v>1798</v>
      </c>
    </row>
    <row r="86" spans="2:6">
      <c r="B86" s="101">
        <v>81</v>
      </c>
      <c r="C86" s="102" t="s">
        <v>12</v>
      </c>
      <c r="D86" s="102" t="str">
        <f>_xlfn.XLOOKUP(C86, 台羅國際音標對照表[台羅拼音], 台羅國際音標對照表[國際音標], "N/A")</f>
        <v>un</v>
      </c>
      <c r="E86" s="102" t="s">
        <v>297</v>
      </c>
      <c r="F86" s="102" t="s">
        <v>1799</v>
      </c>
    </row>
    <row r="87" spans="2:6">
      <c r="B87" s="101">
        <v>82</v>
      </c>
      <c r="C87" s="102" t="s">
        <v>19</v>
      </c>
      <c r="D87" s="102" t="str">
        <f>_xlfn.XLOOKUP(C87, 台羅國際音標對照表[台羅拼音], 台羅國際音標對照表[國際音標], "N/A")</f>
        <v>ut̚</v>
      </c>
      <c r="E87" s="102" t="s">
        <v>297</v>
      </c>
      <c r="F87" s="102" t="s">
        <v>1800</v>
      </c>
    </row>
    <row r="88" spans="2:6">
      <c r="B88" s="101">
        <v>83</v>
      </c>
      <c r="C88" s="102" t="s">
        <v>302</v>
      </c>
      <c r="D88" s="102" t="str">
        <f>_xlfn.XLOOKUP(C88, 台羅國際音標對照表[台羅拼音], 台羅國際音標對照表[國際音標], "N/A")</f>
        <v>uʔ</v>
      </c>
      <c r="E88" s="102" t="s">
        <v>297</v>
      </c>
      <c r="F88" s="102" t="s">
        <v>1800</v>
      </c>
    </row>
    <row r="89" spans="2:6">
      <c r="B89" s="101">
        <v>84</v>
      </c>
      <c r="C89" s="102" t="s">
        <v>215</v>
      </c>
      <c r="D89" s="102" t="str">
        <f>_xlfn.XLOOKUP(C89, 台羅國際音標對照表[台羅拼音], 台羅國際音標對照表[國際音標], "N/A")</f>
        <v>ua</v>
      </c>
      <c r="E89" s="102" t="s">
        <v>215</v>
      </c>
      <c r="F89" s="102" t="s">
        <v>1798</v>
      </c>
    </row>
    <row r="90" spans="2:6">
      <c r="B90" s="101">
        <v>85</v>
      </c>
      <c r="C90" s="102" t="s">
        <v>381</v>
      </c>
      <c r="D90" s="102" t="str">
        <f>_xlfn.XLOOKUP(C90, 台羅國際音標對照表[台羅拼音], 台羅國際音標對照表[國際音標], "N/A")</f>
        <v>uã</v>
      </c>
      <c r="E90" s="102" t="s">
        <v>215</v>
      </c>
      <c r="F90" s="102" t="s">
        <v>1798</v>
      </c>
    </row>
    <row r="91" spans="2:6">
      <c r="B91" s="101">
        <v>86</v>
      </c>
      <c r="C91" s="102" t="s">
        <v>116</v>
      </c>
      <c r="D91" s="102" t="str">
        <f>_xlfn.XLOOKUP(C91, 台羅國際音標對照表[台羅拼音], 台羅國際音標對照表[國際音標], "N/A")</f>
        <v>uan</v>
      </c>
      <c r="E91" s="102" t="s">
        <v>215</v>
      </c>
      <c r="F91" s="102" t="s">
        <v>1799</v>
      </c>
    </row>
    <row r="92" spans="2:6">
      <c r="B92" s="101">
        <v>87</v>
      </c>
      <c r="C92" s="102" t="s">
        <v>418</v>
      </c>
      <c r="D92" s="102" t="str">
        <f>_xlfn.XLOOKUP(C92, 台羅國際音標對照表[台羅拼音], 台羅國際音標對照表[國際音標], "N/A")</f>
        <v>uaŋ</v>
      </c>
      <c r="E92" s="102" t="s">
        <v>215</v>
      </c>
      <c r="F92" s="102" t="s">
        <v>1799</v>
      </c>
    </row>
    <row r="93" spans="2:6">
      <c r="B93" s="101">
        <v>88</v>
      </c>
      <c r="C93" s="102" t="s">
        <v>125</v>
      </c>
      <c r="D93" s="102" t="str">
        <f>_xlfn.XLOOKUP(C93, 台羅國際音標對照表[台羅拼音], 台羅國際音標對照表[國際音標], "N/A")</f>
        <v>uat̚</v>
      </c>
      <c r="E93" s="102" t="s">
        <v>215</v>
      </c>
      <c r="F93" s="102" t="s">
        <v>1800</v>
      </c>
    </row>
    <row r="94" spans="2:6">
      <c r="B94" s="101">
        <v>89</v>
      </c>
      <c r="C94" s="102" t="s">
        <v>222</v>
      </c>
      <c r="D94" s="102" t="str">
        <f>_xlfn.XLOOKUP(C94, 台羅國際音標對照表[台羅拼音], 台羅國際音標對照表[國際音標], "N/A")</f>
        <v>uaʔ</v>
      </c>
      <c r="E94" s="102" t="s">
        <v>215</v>
      </c>
      <c r="F94" s="102" t="s">
        <v>1800</v>
      </c>
    </row>
    <row r="95" spans="2:6">
      <c r="B95" s="101">
        <v>90</v>
      </c>
      <c r="C95" s="102" t="s">
        <v>90</v>
      </c>
      <c r="D95" s="102" t="str">
        <f>_xlfn.XLOOKUP(C95, 台羅國際音標對照表[台羅拼音], 台羅國際音標對照表[國際音標], "N/A")</f>
        <v>uai</v>
      </c>
      <c r="E95" s="102" t="s">
        <v>90</v>
      </c>
      <c r="F95" s="102" t="s">
        <v>1798</v>
      </c>
    </row>
    <row r="96" spans="2:6">
      <c r="B96" s="101">
        <v>91</v>
      </c>
      <c r="C96" s="102" t="s">
        <v>428</v>
      </c>
      <c r="D96" s="102" t="str">
        <f>_xlfn.XLOOKUP(C96, 台羅國際音標對照表[台羅拼音], 台羅國際音標對照表[國際音標], "N/A")</f>
        <v>uãi</v>
      </c>
      <c r="E96" s="102" t="s">
        <v>90</v>
      </c>
      <c r="F96" s="102" t="s">
        <v>1798</v>
      </c>
    </row>
    <row r="97" spans="2:6">
      <c r="B97" s="101">
        <v>92</v>
      </c>
      <c r="C97" s="102" t="s">
        <v>1817</v>
      </c>
      <c r="D97" s="102" t="str">
        <f>_xlfn.XLOOKUP(C97, 台羅國際音標對照表[台羅拼音], 台羅國際音標對照表[國際音標], "N/A")</f>
        <v>uɛ</v>
      </c>
      <c r="E97" s="102" t="s">
        <v>1825</v>
      </c>
      <c r="F97" s="102" t="s">
        <v>1798</v>
      </c>
    </row>
    <row r="98" spans="2:6">
      <c r="B98" s="101">
        <v>93</v>
      </c>
      <c r="C98" s="102" t="s">
        <v>1818</v>
      </c>
      <c r="D98" s="102" t="str">
        <f>_xlfn.XLOOKUP(C98, 台羅國際音標對照表[台羅拼音], 台羅國際音標對照表[國際音標], "N/A")</f>
        <v>uɛʔ</v>
      </c>
      <c r="E98" s="102" t="s">
        <v>1825</v>
      </c>
      <c r="F98" s="102" t="s">
        <v>1800</v>
      </c>
    </row>
    <row r="99" spans="2:6">
      <c r="B99" s="101">
        <v>94</v>
      </c>
      <c r="C99" s="102" t="s">
        <v>275</v>
      </c>
      <c r="D99" s="102" t="str">
        <f>_xlfn.XLOOKUP(C99, 台羅國際音標對照表[台羅拼音], 台羅國際音標對照表[國際音標], "N/A")</f>
        <v>ue</v>
      </c>
      <c r="E99" s="102" t="s">
        <v>275</v>
      </c>
      <c r="F99" s="102" t="s">
        <v>1798</v>
      </c>
    </row>
    <row r="100" spans="2:6">
      <c r="B100" s="101">
        <v>95</v>
      </c>
      <c r="C100" s="102" t="s">
        <v>280</v>
      </c>
      <c r="D100" s="102" t="str">
        <f>_xlfn.XLOOKUP(C100, 台羅國際音標對照表[台羅拼音], 台羅國際音標對照表[國際音標], "N/A")</f>
        <v>ueʔ</v>
      </c>
      <c r="E100" s="102" t="s">
        <v>275</v>
      </c>
      <c r="F100" s="102" t="s">
        <v>1800</v>
      </c>
    </row>
    <row r="101" spans="2:6">
      <c r="B101" s="101">
        <v>96</v>
      </c>
      <c r="C101" s="102" t="s">
        <v>46</v>
      </c>
      <c r="D101" s="102" t="str">
        <f>_xlfn.XLOOKUP(C101, 台羅國際音標對照表[台羅拼音], 台羅國際音標對照表[國際音標], "N/A")</f>
        <v>ui</v>
      </c>
      <c r="E101" s="102" t="s">
        <v>46</v>
      </c>
      <c r="F101" s="102" t="s">
        <v>1798</v>
      </c>
    </row>
    <row r="102" spans="2:6">
      <c r="B102" s="101">
        <v>97</v>
      </c>
      <c r="C102" s="102" t="s">
        <v>1819</v>
      </c>
      <c r="D102" s="102" t="str">
        <f>_xlfn.XLOOKUP(C102, 台羅國際音標對照表[台羅拼音], 台羅國際音標對照表[國際音標], "N/A")</f>
        <v>ɯĩ</v>
      </c>
      <c r="E102" s="102" t="s">
        <v>1826</v>
      </c>
      <c r="F102" s="102" t="s">
        <v>1798</v>
      </c>
    </row>
    <row r="103" spans="2:6">
      <c r="B103" s="101">
        <v>98</v>
      </c>
      <c r="C103" s="102" t="s">
        <v>1820</v>
      </c>
      <c r="D103" s="102" t="str">
        <f>_xlfn.XLOOKUP(C103, 台羅國際音標對照表[台羅拼音], 台羅國際音標對照表[國際音標], "N/A")</f>
        <v>əe</v>
      </c>
      <c r="E103" s="102" t="s">
        <v>1827</v>
      </c>
      <c r="F103" s="102" t="s">
        <v>1798</v>
      </c>
    </row>
    <row r="104" spans="2:6">
      <c r="B104" s="101">
        <v>99</v>
      </c>
      <c r="C104" s="102" t="s">
        <v>1821</v>
      </c>
      <c r="D104" s="102" t="str">
        <f>_xlfn.XLOOKUP(C104, 台羅國際音標對照表[台羅拼音], 台羅國際音標對照表[國際音標], "N/A")</f>
        <v>əeʔ</v>
      </c>
      <c r="E104" s="102" t="s">
        <v>1827</v>
      </c>
      <c r="F104" s="102" t="s">
        <v>1800</v>
      </c>
    </row>
    <row r="105" spans="2:6">
      <c r="B105" s="101">
        <v>100</v>
      </c>
      <c r="C105" s="102" t="s">
        <v>413</v>
      </c>
      <c r="D105" s="102" t="str">
        <f>_xlfn.XLOOKUP(C105, 台羅國際音標對照表[台羅拼音], 台羅國際音標對照表[國際音標], "N/A")</f>
        <v>m̩</v>
      </c>
      <c r="E105" s="102" t="s">
        <v>411</v>
      </c>
      <c r="F105" s="102" t="s">
        <v>1798</v>
      </c>
    </row>
    <row r="106" spans="2:6">
      <c r="B106" s="101">
        <v>101</v>
      </c>
      <c r="C106" s="102" t="s">
        <v>642</v>
      </c>
      <c r="D106" s="102" t="str">
        <f>_xlfn.XLOOKUP(C106, 台羅國際音標對照表[台羅拼音], 台羅國際音標對照表[國際音標], "N/A")</f>
        <v>m̩ʔ</v>
      </c>
      <c r="E106" s="102" t="s">
        <v>411</v>
      </c>
      <c r="F106" s="102" t="s">
        <v>1800</v>
      </c>
    </row>
    <row r="107" spans="2:6">
      <c r="B107" s="101">
        <v>102</v>
      </c>
      <c r="C107" s="102" t="s">
        <v>389</v>
      </c>
      <c r="D107" s="102" t="str">
        <f>_xlfn.XLOOKUP(C107, 台羅國際音標對照表[台羅拼音], 台羅國際音標對照表[國際音標], "N/A")</f>
        <v>ŋ̍</v>
      </c>
      <c r="E107" s="102" t="s">
        <v>386</v>
      </c>
      <c r="F107" s="102" t="s">
        <v>1798</v>
      </c>
    </row>
    <row r="108" spans="2:6">
      <c r="B108" s="101">
        <v>103</v>
      </c>
      <c r="C108" s="102" t="s">
        <v>630</v>
      </c>
      <c r="D108" s="102" t="str">
        <f>_xlfn.XLOOKUP(C108, 台羅國際音標對照表[台羅拼音], 台羅國際音標對照表[國際音標], "N/A")</f>
        <v>ŋ̍ʔ</v>
      </c>
      <c r="E108" s="102" t="s">
        <v>386</v>
      </c>
      <c r="F108" s="102" t="s">
        <v>1800</v>
      </c>
    </row>
  </sheetData>
  <mergeCells count="5">
    <mergeCell ref="J4:J5"/>
    <mergeCell ref="K4:L5"/>
    <mergeCell ref="M4:O4"/>
    <mergeCell ref="P4:T4"/>
    <mergeCell ref="S5:T5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D250-8ED5-4D24-BD04-728466F0B75A}">
  <dimension ref="A1:V23"/>
  <sheetViews>
    <sheetView topLeftCell="A3" zoomScale="80" zoomScaleNormal="80" workbookViewId="0">
      <selection activeCell="M21" sqref="M21"/>
    </sheetView>
  </sheetViews>
  <sheetFormatPr defaultRowHeight="25.5" outlineLevelCol="1"/>
  <cols>
    <col min="1" max="1" width="6.4140625" customWidth="1"/>
    <col min="2" max="2" width="9.1640625" customWidth="1"/>
    <col min="3" max="3" width="9.1640625" hidden="1" customWidth="1" outlineLevel="1"/>
    <col min="4" max="4" width="0" hidden="1" customWidth="1" outlineLevel="1"/>
    <col min="5" max="8" width="9.1640625" hidden="1" customWidth="1" outlineLevel="1"/>
    <col min="9" max="9" width="0" hidden="1" customWidth="1" outlineLevel="1"/>
    <col min="10" max="10" width="9.1640625" hidden="1" customWidth="1" outlineLevel="1"/>
    <col min="11" max="11" width="9.1640625" customWidth="1" collapsed="1"/>
    <col min="13" max="13" width="26.1640625" customWidth="1"/>
    <col min="14" max="14" width="4.6640625" bestFit="1" customWidth="1"/>
    <col min="15" max="15" width="3.83203125" customWidth="1"/>
    <col min="16" max="16" width="4.33203125" customWidth="1"/>
    <col min="18" max="18" width="7.33203125" customWidth="1"/>
    <col min="21" max="21" width="9.1640625" customWidth="1"/>
    <col min="22" max="22" width="23.08203125" bestFit="1" customWidth="1"/>
  </cols>
  <sheetData>
    <row r="1" spans="1:22">
      <c r="A1" s="76" t="s">
        <v>654</v>
      </c>
      <c r="B1" s="76" t="s">
        <v>6</v>
      </c>
      <c r="C1" s="76" t="s">
        <v>2</v>
      </c>
      <c r="D1" s="76" t="s">
        <v>5</v>
      </c>
      <c r="E1" s="76" t="s">
        <v>9</v>
      </c>
      <c r="F1" s="76" t="s">
        <v>8</v>
      </c>
      <c r="G1" s="76" t="s">
        <v>1796</v>
      </c>
      <c r="H1" s="76" t="s">
        <v>7</v>
      </c>
      <c r="I1" s="76" t="s">
        <v>4</v>
      </c>
      <c r="J1" s="76" t="s">
        <v>1599</v>
      </c>
      <c r="K1" s="76" t="s">
        <v>3</v>
      </c>
      <c r="L1" s="76" t="s">
        <v>1</v>
      </c>
      <c r="M1" s="76" t="s">
        <v>480</v>
      </c>
      <c r="N1" s="77" t="s">
        <v>1680</v>
      </c>
      <c r="O1" s="77" t="s">
        <v>1681</v>
      </c>
      <c r="P1" s="78" t="s">
        <v>1685</v>
      </c>
      <c r="R1" s="159" t="s">
        <v>478</v>
      </c>
      <c r="S1" s="76" t="s">
        <v>3</v>
      </c>
      <c r="T1" s="76" t="s">
        <v>1</v>
      </c>
      <c r="U1" s="76" t="s">
        <v>606</v>
      </c>
      <c r="V1" s="76" t="s">
        <v>480</v>
      </c>
    </row>
    <row r="2" spans="1:22" ht="29.25">
      <c r="A2" s="1">
        <f xml:space="preserve"> ROW()-1</f>
        <v>1</v>
      </c>
      <c r="B2" s="1" t="s">
        <v>2024</v>
      </c>
      <c r="C2" s="1"/>
      <c r="D2" s="1"/>
      <c r="E2" s="54"/>
      <c r="F2" s="1"/>
      <c r="G2" s="1"/>
      <c r="H2" s="1"/>
      <c r="I2" s="1"/>
      <c r="J2" s="1"/>
      <c r="K2" s="7" t="s">
        <v>532</v>
      </c>
      <c r="L2" s="2" t="s">
        <v>531</v>
      </c>
      <c r="M2" s="1" t="s">
        <v>1782</v>
      </c>
      <c r="N2" s="60">
        <v>1</v>
      </c>
      <c r="O2" s="60" t="s">
        <v>533</v>
      </c>
      <c r="P2" s="71" t="s">
        <v>533</v>
      </c>
      <c r="R2" s="1">
        <v>1</v>
      </c>
      <c r="S2" s="2" t="s">
        <v>483</v>
      </c>
      <c r="T2" s="2" t="s">
        <v>481</v>
      </c>
      <c r="U2" s="1" t="s">
        <v>1666</v>
      </c>
      <c r="V2" s="1"/>
    </row>
    <row r="3" spans="1:22" ht="29.25">
      <c r="A3" s="1">
        <f t="shared" ref="A3:A23" si="0" xml:space="preserve"> ROW()-1</f>
        <v>2</v>
      </c>
      <c r="B3" s="1" t="s">
        <v>413</v>
      </c>
      <c r="C3" s="1" t="s">
        <v>413</v>
      </c>
      <c r="D3" s="1" t="s">
        <v>413</v>
      </c>
      <c r="E3" s="54" t="s">
        <v>413</v>
      </c>
      <c r="F3" s="1" t="s">
        <v>554</v>
      </c>
      <c r="G3" s="8" t="str">
        <f>聲母對照表[[#This Row],[注音二式]]</f>
        <v>m</v>
      </c>
      <c r="H3" s="1" t="s">
        <v>413</v>
      </c>
      <c r="I3" s="1" t="s">
        <v>553</v>
      </c>
      <c r="J3" s="1" t="s">
        <v>553</v>
      </c>
      <c r="K3" s="2" t="s">
        <v>552</v>
      </c>
      <c r="L3" s="2" t="s">
        <v>552</v>
      </c>
      <c r="M3" s="8" t="s">
        <v>555</v>
      </c>
      <c r="N3" s="61">
        <v>2</v>
      </c>
      <c r="O3" s="61" t="s">
        <v>735</v>
      </c>
      <c r="P3" s="72" t="s">
        <v>1686</v>
      </c>
      <c r="R3" s="1">
        <v>2</v>
      </c>
      <c r="S3" s="2" t="s">
        <v>556</v>
      </c>
      <c r="T3" s="2" t="s">
        <v>556</v>
      </c>
      <c r="U3" s="1" t="s">
        <v>734</v>
      </c>
      <c r="V3" s="11" t="s">
        <v>560</v>
      </c>
    </row>
    <row r="4" spans="1:22" ht="29.25">
      <c r="A4" s="1">
        <f t="shared" si="0"/>
        <v>3</v>
      </c>
      <c r="B4" s="1" t="s">
        <v>489</v>
      </c>
      <c r="C4" s="1" t="s">
        <v>489</v>
      </c>
      <c r="D4" s="1" t="s">
        <v>489</v>
      </c>
      <c r="E4" s="54" t="s">
        <v>537</v>
      </c>
      <c r="F4" s="1" t="s">
        <v>537</v>
      </c>
      <c r="G4" s="1" t="s">
        <v>537</v>
      </c>
      <c r="H4" s="1" t="s">
        <v>489</v>
      </c>
      <c r="I4" s="1" t="s">
        <v>536</v>
      </c>
      <c r="J4" s="1" t="s">
        <v>1602</v>
      </c>
      <c r="K4" s="3" t="s">
        <v>535</v>
      </c>
      <c r="L4" s="2" t="s">
        <v>534</v>
      </c>
      <c r="M4" s="1"/>
      <c r="N4" s="62">
        <v>3</v>
      </c>
      <c r="O4" s="62" t="s">
        <v>1662</v>
      </c>
      <c r="P4" s="73" t="s">
        <v>1662</v>
      </c>
      <c r="R4" s="1">
        <v>3</v>
      </c>
      <c r="S4" s="2" t="s">
        <v>487</v>
      </c>
      <c r="T4" s="2" t="s">
        <v>485</v>
      </c>
      <c r="U4" s="1" t="s">
        <v>1661</v>
      </c>
      <c r="V4" s="1"/>
    </row>
    <row r="5" spans="1:22" ht="29.25">
      <c r="A5" s="1">
        <f t="shared" si="0"/>
        <v>4</v>
      </c>
      <c r="B5" s="1" t="s">
        <v>486</v>
      </c>
      <c r="C5" s="1" t="s">
        <v>486</v>
      </c>
      <c r="D5" s="1" t="s">
        <v>486</v>
      </c>
      <c r="E5" s="54" t="s">
        <v>489</v>
      </c>
      <c r="F5" s="1" t="s">
        <v>489</v>
      </c>
      <c r="G5" s="1" t="s">
        <v>489</v>
      </c>
      <c r="H5" s="1" t="s">
        <v>486</v>
      </c>
      <c r="I5" s="1" t="s">
        <v>488</v>
      </c>
      <c r="J5" s="1" t="s">
        <v>488</v>
      </c>
      <c r="K5" s="2" t="s">
        <v>487</v>
      </c>
      <c r="L5" s="2" t="s">
        <v>485</v>
      </c>
      <c r="M5" s="1"/>
      <c r="N5" s="62">
        <v>4</v>
      </c>
      <c r="O5" s="62" t="s">
        <v>1660</v>
      </c>
      <c r="P5" s="73" t="s">
        <v>1660</v>
      </c>
      <c r="R5" s="1">
        <v>4</v>
      </c>
      <c r="S5" s="2" t="s">
        <v>492</v>
      </c>
      <c r="T5" s="2" t="s">
        <v>490</v>
      </c>
      <c r="U5" s="1" t="s">
        <v>1668</v>
      </c>
      <c r="V5" s="1"/>
    </row>
    <row r="6" spans="1:22" ht="29.25">
      <c r="A6" s="1">
        <f t="shared" si="0"/>
        <v>5</v>
      </c>
      <c r="B6" s="1" t="s">
        <v>509</v>
      </c>
      <c r="C6" s="1" t="s">
        <v>506</v>
      </c>
      <c r="D6" s="1" t="s">
        <v>509</v>
      </c>
      <c r="E6" s="54" t="s">
        <v>486</v>
      </c>
      <c r="F6" s="1" t="s">
        <v>486</v>
      </c>
      <c r="G6" s="1" t="s">
        <v>486</v>
      </c>
      <c r="H6" s="1" t="s">
        <v>509</v>
      </c>
      <c r="I6" s="1" t="s">
        <v>508</v>
      </c>
      <c r="J6" s="1" t="s">
        <v>508</v>
      </c>
      <c r="K6" s="2" t="s">
        <v>507</v>
      </c>
      <c r="L6" s="2" t="s">
        <v>505</v>
      </c>
      <c r="M6" s="1"/>
      <c r="N6" s="63">
        <v>5</v>
      </c>
      <c r="O6" s="63" t="s">
        <v>1661</v>
      </c>
      <c r="P6" s="74" t="s">
        <v>1661</v>
      </c>
      <c r="R6" s="1">
        <v>5</v>
      </c>
      <c r="S6" s="2" t="s">
        <v>497</v>
      </c>
      <c r="T6" s="2" t="s">
        <v>495</v>
      </c>
      <c r="U6" s="1" t="s">
        <v>2015</v>
      </c>
      <c r="V6" s="1"/>
    </row>
    <row r="7" spans="1:22" ht="29.25">
      <c r="A7" s="1">
        <f t="shared" si="0"/>
        <v>6</v>
      </c>
      <c r="B7" s="1" t="s">
        <v>557</v>
      </c>
      <c r="C7" s="1" t="s">
        <v>557</v>
      </c>
      <c r="D7" s="1" t="s">
        <v>557</v>
      </c>
      <c r="E7" s="54" t="s">
        <v>557</v>
      </c>
      <c r="F7" s="1" t="s">
        <v>559</v>
      </c>
      <c r="G7" s="8" t="str">
        <f>聲母對照表[[#This Row],[注音二式]]</f>
        <v>n</v>
      </c>
      <c r="H7" s="1" t="s">
        <v>557</v>
      </c>
      <c r="I7" s="1" t="s">
        <v>558</v>
      </c>
      <c r="J7" s="1" t="s">
        <v>558</v>
      </c>
      <c r="K7" s="2" t="s">
        <v>556</v>
      </c>
      <c r="L7" s="2" t="s">
        <v>556</v>
      </c>
      <c r="M7" s="11" t="s">
        <v>560</v>
      </c>
      <c r="N7" s="61">
        <v>6</v>
      </c>
      <c r="O7" s="61" t="s">
        <v>734</v>
      </c>
      <c r="P7" s="72" t="s">
        <v>1665</v>
      </c>
      <c r="R7" s="1">
        <v>6</v>
      </c>
      <c r="S7" s="2" t="s">
        <v>502</v>
      </c>
      <c r="T7" s="2" t="s">
        <v>500</v>
      </c>
      <c r="U7" s="1" t="s">
        <v>1664</v>
      </c>
      <c r="V7" s="1"/>
    </row>
    <row r="8" spans="1:22" ht="29.25">
      <c r="A8" s="1">
        <f t="shared" si="0"/>
        <v>7</v>
      </c>
      <c r="B8" s="1" t="s">
        <v>482</v>
      </c>
      <c r="C8" s="1" t="s">
        <v>482</v>
      </c>
      <c r="D8" s="1" t="s">
        <v>482</v>
      </c>
      <c r="E8" s="54" t="s">
        <v>482</v>
      </c>
      <c r="F8" s="1" t="s">
        <v>482</v>
      </c>
      <c r="G8" s="1" t="s">
        <v>482</v>
      </c>
      <c r="H8" s="1" t="s">
        <v>482</v>
      </c>
      <c r="I8" s="1" t="s">
        <v>484</v>
      </c>
      <c r="J8" s="1" t="s">
        <v>484</v>
      </c>
      <c r="K8" s="2" t="s">
        <v>483</v>
      </c>
      <c r="L8" s="2" t="s">
        <v>481</v>
      </c>
      <c r="M8" s="1"/>
      <c r="N8" s="62">
        <v>7</v>
      </c>
      <c r="O8" s="62" t="s">
        <v>1666</v>
      </c>
      <c r="P8" s="73" t="s">
        <v>1666</v>
      </c>
      <c r="R8" s="1">
        <v>7</v>
      </c>
      <c r="S8" s="2" t="s">
        <v>507</v>
      </c>
      <c r="T8" s="2" t="s">
        <v>505</v>
      </c>
      <c r="U8" s="1" t="s">
        <v>2016</v>
      </c>
      <c r="V8" s="1"/>
    </row>
    <row r="9" spans="1:22" ht="29.25">
      <c r="A9" s="1">
        <f t="shared" si="0"/>
        <v>8</v>
      </c>
      <c r="B9" s="1" t="s">
        <v>501</v>
      </c>
      <c r="C9" s="1" t="s">
        <v>501</v>
      </c>
      <c r="D9" s="1" t="s">
        <v>501</v>
      </c>
      <c r="E9" s="54" t="s">
        <v>504</v>
      </c>
      <c r="F9" s="1" t="s">
        <v>504</v>
      </c>
      <c r="G9" s="1" t="s">
        <v>504</v>
      </c>
      <c r="H9" s="1" t="s">
        <v>501</v>
      </c>
      <c r="I9" s="1" t="s">
        <v>503</v>
      </c>
      <c r="J9" s="1" t="s">
        <v>503</v>
      </c>
      <c r="K9" s="2" t="s">
        <v>502</v>
      </c>
      <c r="L9" s="2" t="s">
        <v>500</v>
      </c>
      <c r="M9" s="1"/>
      <c r="N9" s="62">
        <v>8</v>
      </c>
      <c r="O9" s="62" t="s">
        <v>1663</v>
      </c>
      <c r="P9" s="73" t="s">
        <v>1663</v>
      </c>
      <c r="R9" s="1">
        <v>8</v>
      </c>
      <c r="S9" s="2" t="s">
        <v>512</v>
      </c>
      <c r="T9" s="2" t="s">
        <v>510</v>
      </c>
      <c r="U9" s="1" t="s">
        <v>2017</v>
      </c>
      <c r="V9" s="1"/>
    </row>
    <row r="10" spans="1:22" ht="29.25">
      <c r="A10" s="1">
        <f t="shared" si="0"/>
        <v>9</v>
      </c>
      <c r="B10" s="1" t="s">
        <v>514</v>
      </c>
      <c r="C10" s="1" t="s">
        <v>511</v>
      </c>
      <c r="D10" s="1" t="s">
        <v>514</v>
      </c>
      <c r="E10" s="54" t="s">
        <v>501</v>
      </c>
      <c r="F10" s="1" t="s">
        <v>501</v>
      </c>
      <c r="G10" s="1" t="s">
        <v>501</v>
      </c>
      <c r="H10" s="1" t="s">
        <v>514</v>
      </c>
      <c r="I10" s="1" t="s">
        <v>513</v>
      </c>
      <c r="J10" s="1" t="s">
        <v>513</v>
      </c>
      <c r="K10" s="2" t="s">
        <v>512</v>
      </c>
      <c r="L10" s="2" t="s">
        <v>510</v>
      </c>
      <c r="M10" s="1"/>
      <c r="N10" s="63">
        <v>9</v>
      </c>
      <c r="O10" s="63" t="s">
        <v>1664</v>
      </c>
      <c r="P10" s="74" t="s">
        <v>1664</v>
      </c>
      <c r="R10" s="1">
        <v>9</v>
      </c>
      <c r="S10" s="2" t="s">
        <v>517</v>
      </c>
      <c r="T10" s="2" t="s">
        <v>515</v>
      </c>
      <c r="U10" s="1" t="s">
        <v>2018</v>
      </c>
      <c r="V10" s="1"/>
    </row>
    <row r="11" spans="1:22" ht="29.25">
      <c r="A11" s="1">
        <f t="shared" si="0"/>
        <v>10</v>
      </c>
      <c r="B11" s="1" t="s">
        <v>389</v>
      </c>
      <c r="C11" s="1" t="s">
        <v>562</v>
      </c>
      <c r="D11" s="1" t="s">
        <v>389</v>
      </c>
      <c r="E11" s="54" t="s">
        <v>389</v>
      </c>
      <c r="F11" s="1" t="s">
        <v>564</v>
      </c>
      <c r="G11" s="8" t="str">
        <f>聲母對照表[[#This Row],[注音二式]]</f>
        <v>ng</v>
      </c>
      <c r="H11" s="1" t="s">
        <v>389</v>
      </c>
      <c r="I11" s="1" t="s">
        <v>563</v>
      </c>
      <c r="J11" s="1" t="s">
        <v>1604</v>
      </c>
      <c r="K11" s="2" t="s">
        <v>561</v>
      </c>
      <c r="L11" s="2" t="s">
        <v>561</v>
      </c>
      <c r="M11" s="11" t="s">
        <v>565</v>
      </c>
      <c r="N11" s="61">
        <v>10</v>
      </c>
      <c r="O11" s="61" t="s">
        <v>1679</v>
      </c>
      <c r="P11" s="72" t="s">
        <v>1687</v>
      </c>
      <c r="R11" s="1">
        <v>10</v>
      </c>
      <c r="S11" s="5" t="s">
        <v>524</v>
      </c>
      <c r="T11" s="4" t="s">
        <v>522</v>
      </c>
      <c r="U11" s="1" t="s">
        <v>1778</v>
      </c>
      <c r="V11" s="1"/>
    </row>
    <row r="12" spans="1:22" ht="29.25">
      <c r="A12" s="1">
        <f t="shared" si="0"/>
        <v>11</v>
      </c>
      <c r="B12" s="1" t="s">
        <v>494</v>
      </c>
      <c r="C12" s="1" t="s">
        <v>539</v>
      </c>
      <c r="D12" s="1" t="s">
        <v>494</v>
      </c>
      <c r="E12" s="54" t="s">
        <v>542</v>
      </c>
      <c r="F12" s="1" t="s">
        <v>542</v>
      </c>
      <c r="G12" s="1" t="s">
        <v>542</v>
      </c>
      <c r="H12" s="1" t="s">
        <v>494</v>
      </c>
      <c r="I12" s="1" t="s">
        <v>541</v>
      </c>
      <c r="J12" s="1" t="s">
        <v>563</v>
      </c>
      <c r="K12" s="2" t="s">
        <v>540</v>
      </c>
      <c r="L12" s="2" t="s">
        <v>538</v>
      </c>
      <c r="M12" s="1"/>
      <c r="N12" s="62">
        <v>11</v>
      </c>
      <c r="O12" s="62" t="s">
        <v>1669</v>
      </c>
      <c r="P12" s="73" t="s">
        <v>1669</v>
      </c>
      <c r="R12" s="1">
        <v>11</v>
      </c>
      <c r="S12" s="5" t="s">
        <v>530</v>
      </c>
      <c r="T12" s="2" t="s">
        <v>528</v>
      </c>
      <c r="U12" s="1" t="s">
        <v>1673</v>
      </c>
      <c r="V12" s="1"/>
    </row>
    <row r="13" spans="1:22" ht="29.25">
      <c r="A13" s="1">
        <f t="shared" si="0"/>
        <v>12</v>
      </c>
      <c r="B13" s="1" t="s">
        <v>491</v>
      </c>
      <c r="C13" s="1" t="s">
        <v>491</v>
      </c>
      <c r="D13" s="1" t="s">
        <v>491</v>
      </c>
      <c r="E13" s="54" t="s">
        <v>494</v>
      </c>
      <c r="F13" s="1" t="s">
        <v>494</v>
      </c>
      <c r="G13" s="1" t="s">
        <v>494</v>
      </c>
      <c r="H13" s="1" t="s">
        <v>491</v>
      </c>
      <c r="I13" s="1" t="s">
        <v>493</v>
      </c>
      <c r="J13" s="1" t="s">
        <v>493</v>
      </c>
      <c r="K13" s="2" t="s">
        <v>492</v>
      </c>
      <c r="L13" s="2" t="s">
        <v>490</v>
      </c>
      <c r="M13" s="1"/>
      <c r="N13" s="62">
        <v>12</v>
      </c>
      <c r="O13" s="62" t="s">
        <v>1667</v>
      </c>
      <c r="P13" s="73" t="s">
        <v>1667</v>
      </c>
      <c r="R13" s="1">
        <v>12</v>
      </c>
      <c r="S13" s="7" t="s">
        <v>532</v>
      </c>
      <c r="T13" s="2" t="s">
        <v>531</v>
      </c>
      <c r="U13" s="1" t="s">
        <v>1782</v>
      </c>
      <c r="V13" s="1" t="s">
        <v>1782</v>
      </c>
    </row>
    <row r="14" spans="1:22" ht="29.25">
      <c r="A14" s="1">
        <f t="shared" si="0"/>
        <v>13</v>
      </c>
      <c r="B14" s="1" t="s">
        <v>499</v>
      </c>
      <c r="C14" s="1" t="s">
        <v>496</v>
      </c>
      <c r="D14" s="1" t="s">
        <v>499</v>
      </c>
      <c r="E14" s="54" t="s">
        <v>491</v>
      </c>
      <c r="F14" s="1" t="s">
        <v>491</v>
      </c>
      <c r="G14" s="1" t="s">
        <v>491</v>
      </c>
      <c r="H14" s="1" t="s">
        <v>499</v>
      </c>
      <c r="I14" s="1" t="s">
        <v>498</v>
      </c>
      <c r="J14" s="1" t="s">
        <v>498</v>
      </c>
      <c r="K14" s="2" t="s">
        <v>497</v>
      </c>
      <c r="L14" s="2" t="s">
        <v>495</v>
      </c>
      <c r="M14" s="1"/>
      <c r="N14" s="63">
        <v>13</v>
      </c>
      <c r="O14" s="63" t="s">
        <v>1668</v>
      </c>
      <c r="P14" s="74" t="s">
        <v>1668</v>
      </c>
      <c r="R14" s="1">
        <v>13</v>
      </c>
      <c r="S14" s="3" t="s">
        <v>535</v>
      </c>
      <c r="T14" s="2" t="s">
        <v>534</v>
      </c>
      <c r="U14" s="1" t="s">
        <v>1660</v>
      </c>
      <c r="V14" s="1"/>
    </row>
    <row r="15" spans="1:22" ht="29.25">
      <c r="A15" s="1">
        <f t="shared" si="0"/>
        <v>14</v>
      </c>
      <c r="B15" s="1" t="s">
        <v>526</v>
      </c>
      <c r="C15" s="1" t="s">
        <v>523</v>
      </c>
      <c r="D15" s="1" t="s">
        <v>526</v>
      </c>
      <c r="E15" s="54" t="s">
        <v>527</v>
      </c>
      <c r="F15" s="1" t="s">
        <v>527</v>
      </c>
      <c r="G15" s="1" t="s">
        <v>527</v>
      </c>
      <c r="H15" s="1" t="s">
        <v>526</v>
      </c>
      <c r="I15" s="1" t="s">
        <v>525</v>
      </c>
      <c r="J15" s="1" t="s">
        <v>1600</v>
      </c>
      <c r="K15" s="5" t="s">
        <v>524</v>
      </c>
      <c r="L15" s="4" t="s">
        <v>522</v>
      </c>
      <c r="M15" s="1"/>
      <c r="N15" s="61">
        <v>14</v>
      </c>
      <c r="O15" s="61" t="s">
        <v>1674</v>
      </c>
      <c r="P15" s="72" t="s">
        <v>1674</v>
      </c>
      <c r="R15" s="1">
        <v>14</v>
      </c>
      <c r="S15" s="2" t="s">
        <v>552</v>
      </c>
      <c r="T15" s="2" t="s">
        <v>552</v>
      </c>
      <c r="U15" s="1" t="s">
        <v>735</v>
      </c>
      <c r="V15" s="8" t="s">
        <v>555</v>
      </c>
    </row>
    <row r="16" spans="1:22" ht="29.25">
      <c r="A16" s="1">
        <f t="shared" si="0"/>
        <v>15</v>
      </c>
      <c r="B16" s="1" t="s">
        <v>520</v>
      </c>
      <c r="C16" s="1" t="s">
        <v>516</v>
      </c>
      <c r="D16" s="1" t="s">
        <v>519</v>
      </c>
      <c r="E16" s="54" t="s">
        <v>519</v>
      </c>
      <c r="F16" s="1" t="s">
        <v>519</v>
      </c>
      <c r="G16" s="1" t="s">
        <v>519</v>
      </c>
      <c r="H16" s="1" t="s">
        <v>521</v>
      </c>
      <c r="I16" s="1" t="s">
        <v>518</v>
      </c>
      <c r="J16" s="1" t="s">
        <v>518</v>
      </c>
      <c r="K16" s="2" t="s">
        <v>517</v>
      </c>
      <c r="L16" s="2" t="s">
        <v>515</v>
      </c>
      <c r="M16" s="1"/>
      <c r="N16" s="62">
        <v>15</v>
      </c>
      <c r="O16" s="62" t="s">
        <v>1671</v>
      </c>
      <c r="P16" s="73" t="s">
        <v>1671</v>
      </c>
      <c r="R16" s="1">
        <v>15</v>
      </c>
      <c r="S16" s="2" t="s">
        <v>540</v>
      </c>
      <c r="T16" s="2" t="s">
        <v>538</v>
      </c>
      <c r="U16" s="1" t="s">
        <v>1667</v>
      </c>
      <c r="V16" s="1"/>
    </row>
    <row r="17" spans="1:22" ht="29.25">
      <c r="A17" s="1">
        <f t="shared" si="0"/>
        <v>16</v>
      </c>
      <c r="B17" s="1" t="s">
        <v>547</v>
      </c>
      <c r="C17" s="1" t="s">
        <v>544</v>
      </c>
      <c r="D17" s="1" t="s">
        <v>546</v>
      </c>
      <c r="E17" s="54" t="s">
        <v>546</v>
      </c>
      <c r="F17" s="1" t="s">
        <v>546</v>
      </c>
      <c r="G17" s="1" t="s">
        <v>546</v>
      </c>
      <c r="H17" s="1" t="s">
        <v>548</v>
      </c>
      <c r="I17" s="1" t="s">
        <v>590</v>
      </c>
      <c r="J17" s="1" t="s">
        <v>1603</v>
      </c>
      <c r="K17" s="2" t="s">
        <v>545</v>
      </c>
      <c r="L17" s="2" t="s">
        <v>543</v>
      </c>
      <c r="M17" s="1"/>
      <c r="N17" s="62">
        <v>16</v>
      </c>
      <c r="O17" s="62" t="s">
        <v>1672</v>
      </c>
      <c r="P17" s="73" t="s">
        <v>1672</v>
      </c>
      <c r="R17" s="1">
        <v>16</v>
      </c>
      <c r="S17" s="2" t="s">
        <v>561</v>
      </c>
      <c r="T17" s="2" t="s">
        <v>561</v>
      </c>
      <c r="U17" s="1" t="s">
        <v>1679</v>
      </c>
      <c r="V17" s="11" t="s">
        <v>565</v>
      </c>
    </row>
    <row r="18" spans="1:22" ht="29.25">
      <c r="A18" s="1">
        <f t="shared" si="0"/>
        <v>17</v>
      </c>
      <c r="B18" s="1" t="s">
        <v>529</v>
      </c>
      <c r="C18" s="1" t="s">
        <v>529</v>
      </c>
      <c r="D18" s="1" t="s">
        <v>529</v>
      </c>
      <c r="E18" s="54" t="s">
        <v>529</v>
      </c>
      <c r="F18" s="1" t="s">
        <v>529</v>
      </c>
      <c r="G18" s="1" t="s">
        <v>529</v>
      </c>
      <c r="H18" s="1" t="s">
        <v>529</v>
      </c>
      <c r="I18" s="1" t="s">
        <v>588</v>
      </c>
      <c r="J18" s="1" t="s">
        <v>1601</v>
      </c>
      <c r="K18" s="5" t="s">
        <v>530</v>
      </c>
      <c r="L18" s="2" t="s">
        <v>528</v>
      </c>
      <c r="M18" s="1"/>
      <c r="N18" s="63">
        <v>17</v>
      </c>
      <c r="O18" s="63" t="s">
        <v>1673</v>
      </c>
      <c r="P18" s="74" t="s">
        <v>1673</v>
      </c>
      <c r="R18" s="1">
        <v>17</v>
      </c>
      <c r="S18" s="2" t="s">
        <v>545</v>
      </c>
      <c r="T18" s="2" t="s">
        <v>543</v>
      </c>
      <c r="U18" s="1" t="s">
        <v>2019</v>
      </c>
      <c r="V18" s="1"/>
    </row>
    <row r="19" spans="1:22" ht="29.25">
      <c r="A19" s="1">
        <f t="shared" si="0"/>
        <v>18</v>
      </c>
      <c r="B19" s="9" t="s">
        <v>568</v>
      </c>
      <c r="C19" s="8" t="s">
        <v>566</v>
      </c>
      <c r="D19" s="9" t="s">
        <v>568</v>
      </c>
      <c r="E19" s="59" t="s">
        <v>1777</v>
      </c>
      <c r="F19" s="9" t="s">
        <v>569</v>
      </c>
      <c r="G19" s="9" t="s">
        <v>569</v>
      </c>
      <c r="H19" s="9" t="s">
        <v>568</v>
      </c>
      <c r="I19" s="8" t="s">
        <v>567</v>
      </c>
      <c r="J19" s="8" t="s">
        <v>1600</v>
      </c>
      <c r="K19" s="10" t="s">
        <v>524</v>
      </c>
      <c r="L19" s="10" t="s">
        <v>522</v>
      </c>
      <c r="M19" s="11" t="s">
        <v>586</v>
      </c>
      <c r="N19" s="61">
        <v>18</v>
      </c>
      <c r="O19" s="61" t="s">
        <v>1675</v>
      </c>
      <c r="P19" s="72" t="s">
        <v>1688</v>
      </c>
      <c r="R19" s="1">
        <v>18</v>
      </c>
      <c r="S19" s="2" t="s">
        <v>549</v>
      </c>
      <c r="T19" s="2" t="s">
        <v>549</v>
      </c>
      <c r="U19" s="1" t="s">
        <v>1670</v>
      </c>
      <c r="V19" s="1"/>
    </row>
    <row r="20" spans="1:22" ht="29.25">
      <c r="A20" s="1">
        <f t="shared" si="0"/>
        <v>19</v>
      </c>
      <c r="B20" s="9" t="s">
        <v>574</v>
      </c>
      <c r="C20" s="11" t="s">
        <v>571</v>
      </c>
      <c r="D20" s="9" t="s">
        <v>573</v>
      </c>
      <c r="E20" s="59" t="s">
        <v>1778</v>
      </c>
      <c r="F20" s="9" t="s">
        <v>573</v>
      </c>
      <c r="G20" s="9" t="s">
        <v>573</v>
      </c>
      <c r="H20" s="9" t="s">
        <v>575</v>
      </c>
      <c r="I20" s="11" t="s">
        <v>1682</v>
      </c>
      <c r="J20" s="11" t="s">
        <v>572</v>
      </c>
      <c r="K20" s="10" t="s">
        <v>517</v>
      </c>
      <c r="L20" s="10" t="s">
        <v>570</v>
      </c>
      <c r="M20" s="11" t="s">
        <v>587</v>
      </c>
      <c r="N20" s="62">
        <v>19</v>
      </c>
      <c r="O20" s="62" t="s">
        <v>1676</v>
      </c>
      <c r="P20" s="73" t="s">
        <v>1689</v>
      </c>
      <c r="R20" s="9">
        <v>19</v>
      </c>
      <c r="S20" s="10" t="s">
        <v>524</v>
      </c>
      <c r="T20" s="10" t="s">
        <v>522</v>
      </c>
      <c r="U20" s="8" t="s">
        <v>1676</v>
      </c>
      <c r="V20" s="11" t="s">
        <v>586</v>
      </c>
    </row>
    <row r="21" spans="1:22" ht="29.25">
      <c r="A21" s="1">
        <f t="shared" si="0"/>
        <v>20</v>
      </c>
      <c r="B21" s="9" t="s">
        <v>580</v>
      </c>
      <c r="C21" s="11" t="s">
        <v>577</v>
      </c>
      <c r="D21" s="9" t="s">
        <v>579</v>
      </c>
      <c r="E21" s="59" t="s">
        <v>1779</v>
      </c>
      <c r="F21" s="9" t="s">
        <v>579</v>
      </c>
      <c r="G21" s="9" t="s">
        <v>579</v>
      </c>
      <c r="H21" s="9" t="s">
        <v>581</v>
      </c>
      <c r="I21" s="11" t="s">
        <v>1683</v>
      </c>
      <c r="J21" s="11" t="s">
        <v>578</v>
      </c>
      <c r="K21" s="10" t="s">
        <v>545</v>
      </c>
      <c r="L21" s="10" t="s">
        <v>576</v>
      </c>
      <c r="M21" s="11" t="s">
        <v>591</v>
      </c>
      <c r="N21" s="62">
        <v>20</v>
      </c>
      <c r="O21" s="62" t="s">
        <v>1677</v>
      </c>
      <c r="P21" s="73" t="s">
        <v>1690</v>
      </c>
      <c r="R21" s="9">
        <v>20</v>
      </c>
      <c r="S21" s="10" t="s">
        <v>517</v>
      </c>
      <c r="T21" s="10" t="s">
        <v>570</v>
      </c>
      <c r="U21" s="11" t="s">
        <v>2020</v>
      </c>
      <c r="V21" s="11" t="s">
        <v>587</v>
      </c>
    </row>
    <row r="22" spans="1:22" ht="29.25">
      <c r="A22" s="1">
        <f t="shared" si="0"/>
        <v>21</v>
      </c>
      <c r="B22" s="9" t="s">
        <v>585</v>
      </c>
      <c r="C22" s="11" t="s">
        <v>583</v>
      </c>
      <c r="D22" s="9" t="s">
        <v>585</v>
      </c>
      <c r="E22" s="59" t="s">
        <v>1780</v>
      </c>
      <c r="F22" s="9" t="s">
        <v>585</v>
      </c>
      <c r="G22" s="9" t="s">
        <v>585</v>
      </c>
      <c r="H22" s="9" t="s">
        <v>585</v>
      </c>
      <c r="I22" s="11" t="s">
        <v>1684</v>
      </c>
      <c r="J22" s="11" t="s">
        <v>584</v>
      </c>
      <c r="K22" s="10" t="s">
        <v>530</v>
      </c>
      <c r="L22" s="10" t="s">
        <v>582</v>
      </c>
      <c r="M22" s="11" t="s">
        <v>589</v>
      </c>
      <c r="N22" s="63">
        <v>21</v>
      </c>
      <c r="O22" s="63" t="s">
        <v>1678</v>
      </c>
      <c r="P22" s="74" t="s">
        <v>1691</v>
      </c>
      <c r="R22" s="9">
        <v>21</v>
      </c>
      <c r="S22" s="10" t="s">
        <v>545</v>
      </c>
      <c r="T22" s="10" t="s">
        <v>576</v>
      </c>
      <c r="U22" s="11" t="s">
        <v>2021</v>
      </c>
      <c r="V22" s="11" t="s">
        <v>591</v>
      </c>
    </row>
    <row r="23" spans="1:22" ht="29.25">
      <c r="A23" s="1">
        <f t="shared" si="0"/>
        <v>22</v>
      </c>
      <c r="B23" s="24" t="s">
        <v>550</v>
      </c>
      <c r="C23" s="24" t="s">
        <v>550</v>
      </c>
      <c r="D23" s="24" t="s">
        <v>550</v>
      </c>
      <c r="E23" s="75" t="s">
        <v>550</v>
      </c>
      <c r="F23" s="24" t="s">
        <v>550</v>
      </c>
      <c r="G23" s="24" t="s">
        <v>550</v>
      </c>
      <c r="H23" s="24" t="s">
        <v>550</v>
      </c>
      <c r="I23" s="24" t="s">
        <v>551</v>
      </c>
      <c r="J23" s="24" t="s">
        <v>551</v>
      </c>
      <c r="K23" s="23" t="s">
        <v>549</v>
      </c>
      <c r="L23" s="23" t="s">
        <v>549</v>
      </c>
      <c r="M23" s="24"/>
      <c r="N23" s="62">
        <v>22</v>
      </c>
      <c r="O23" s="62" t="s">
        <v>1670</v>
      </c>
      <c r="P23" s="73" t="s">
        <v>1670</v>
      </c>
      <c r="R23" s="9">
        <v>22</v>
      </c>
      <c r="S23" s="10" t="s">
        <v>530</v>
      </c>
      <c r="T23" s="10" t="s">
        <v>582</v>
      </c>
      <c r="U23" s="11" t="s">
        <v>1691</v>
      </c>
      <c r="V23" s="11" t="s">
        <v>589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2B6C-5679-4370-9927-A55154F8A277}">
  <dimension ref="A1:I102"/>
  <sheetViews>
    <sheetView showGridLines="0" workbookViewId="0">
      <pane ySplit="1" topLeftCell="A2" activePane="bottomLeft" state="frozen"/>
      <selection pane="bottomLeft" activeCell="M51" sqref="M51"/>
    </sheetView>
  </sheetViews>
  <sheetFormatPr defaultRowHeight="25.5"/>
  <cols>
    <col min="1" max="1" width="7.33203125" customWidth="1"/>
    <col min="4" max="4" width="9.1640625" customWidth="1"/>
    <col min="11" max="11" width="9.1640625" customWidth="1"/>
    <col min="15" max="16" width="9.1640625" customWidth="1"/>
    <col min="17" max="17" width="7.33203125" customWidth="1"/>
    <col min="18" max="18" width="12.83203125" customWidth="1"/>
  </cols>
  <sheetData>
    <row r="1" spans="1:8">
      <c r="A1" s="129" t="s">
        <v>0</v>
      </c>
      <c r="B1" s="129" t="s">
        <v>3</v>
      </c>
      <c r="C1" s="129" t="s">
        <v>1</v>
      </c>
      <c r="D1" s="129" t="s">
        <v>6</v>
      </c>
      <c r="E1" s="129" t="s">
        <v>4</v>
      </c>
      <c r="F1" s="129" t="s">
        <v>1599</v>
      </c>
      <c r="G1" s="129" t="s">
        <v>649</v>
      </c>
      <c r="H1" s="129" t="s">
        <v>478</v>
      </c>
    </row>
    <row r="2" spans="1:8" ht="29.25">
      <c r="A2" s="130">
        <v>1</v>
      </c>
      <c r="B2" s="131" t="s">
        <v>13</v>
      </c>
      <c r="C2" s="131" t="s">
        <v>11</v>
      </c>
      <c r="D2" s="132" t="s">
        <v>12</v>
      </c>
      <c r="E2" s="130" t="s">
        <v>14</v>
      </c>
      <c r="F2" s="130" t="s">
        <v>14</v>
      </c>
      <c r="G2" s="130" t="s">
        <v>15</v>
      </c>
      <c r="H2" s="130" t="s">
        <v>10</v>
      </c>
    </row>
    <row r="3" spans="1:8" ht="29.25">
      <c r="A3" s="1">
        <v>2</v>
      </c>
      <c r="B3" s="2" t="s">
        <v>13</v>
      </c>
      <c r="C3" s="2" t="s">
        <v>17</v>
      </c>
      <c r="D3" s="8" t="s">
        <v>19</v>
      </c>
      <c r="E3" s="1" t="s">
        <v>18</v>
      </c>
      <c r="F3" s="1" t="s">
        <v>1605</v>
      </c>
      <c r="G3" s="1" t="s">
        <v>20</v>
      </c>
      <c r="H3" s="1" t="s">
        <v>10</v>
      </c>
    </row>
    <row r="4" spans="1:8" ht="29.25">
      <c r="A4" s="130">
        <v>3</v>
      </c>
      <c r="B4" s="131" t="s">
        <v>24</v>
      </c>
      <c r="C4" s="131" t="s">
        <v>22</v>
      </c>
      <c r="D4" s="132" t="s">
        <v>23</v>
      </c>
      <c r="E4" s="130" t="s">
        <v>25</v>
      </c>
      <c r="F4" s="130" t="s">
        <v>25</v>
      </c>
      <c r="G4" s="130" t="s">
        <v>26</v>
      </c>
      <c r="H4" s="130" t="s">
        <v>16</v>
      </c>
    </row>
    <row r="5" spans="1:8" ht="29.25">
      <c r="A5" s="1">
        <v>4</v>
      </c>
      <c r="B5" s="2" t="s">
        <v>24</v>
      </c>
      <c r="C5" s="2" t="s">
        <v>28</v>
      </c>
      <c r="D5" s="8" t="s">
        <v>30</v>
      </c>
      <c r="E5" s="1" t="s">
        <v>29</v>
      </c>
      <c r="F5" s="1" t="s">
        <v>1606</v>
      </c>
      <c r="G5" s="1" t="s">
        <v>31</v>
      </c>
      <c r="H5" s="1" t="s">
        <v>16</v>
      </c>
    </row>
    <row r="6" spans="1:8" ht="29.25">
      <c r="A6" s="130">
        <v>5</v>
      </c>
      <c r="B6" s="131" t="s">
        <v>35</v>
      </c>
      <c r="C6" s="131" t="s">
        <v>33</v>
      </c>
      <c r="D6" s="132" t="s">
        <v>34</v>
      </c>
      <c r="E6" s="130" t="s">
        <v>36</v>
      </c>
      <c r="F6" s="130" t="s">
        <v>1607</v>
      </c>
      <c r="G6" s="130" t="s">
        <v>37</v>
      </c>
      <c r="H6" s="130" t="s">
        <v>21</v>
      </c>
    </row>
    <row r="7" spans="1:8" ht="29.25">
      <c r="A7" s="1">
        <v>6</v>
      </c>
      <c r="B7" s="2" t="s">
        <v>35</v>
      </c>
      <c r="C7" s="2" t="s">
        <v>39</v>
      </c>
      <c r="D7" s="8" t="s">
        <v>42</v>
      </c>
      <c r="E7" s="1" t="s">
        <v>41</v>
      </c>
      <c r="F7" s="1" t="s">
        <v>1608</v>
      </c>
      <c r="G7" s="1" t="s">
        <v>43</v>
      </c>
      <c r="H7" s="1" t="s">
        <v>21</v>
      </c>
    </row>
    <row r="8" spans="1:8" ht="29.25">
      <c r="A8" s="130">
        <v>7</v>
      </c>
      <c r="B8" s="131" t="s">
        <v>47</v>
      </c>
      <c r="C8" s="131" t="s">
        <v>45</v>
      </c>
      <c r="D8" s="132" t="s">
        <v>46</v>
      </c>
      <c r="E8" s="130" t="s">
        <v>48</v>
      </c>
      <c r="F8" s="130" t="s">
        <v>48</v>
      </c>
      <c r="G8" s="130" t="s">
        <v>49</v>
      </c>
      <c r="H8" s="130" t="s">
        <v>27</v>
      </c>
    </row>
    <row r="9" spans="1:8" ht="29.25">
      <c r="A9" s="1">
        <v>9</v>
      </c>
      <c r="B9" s="3" t="s">
        <v>53</v>
      </c>
      <c r="C9" s="3" t="s">
        <v>51</v>
      </c>
      <c r="D9" s="8" t="s">
        <v>55</v>
      </c>
      <c r="E9" s="1" t="s">
        <v>54</v>
      </c>
      <c r="F9" s="1" t="s">
        <v>54</v>
      </c>
      <c r="G9" s="1" t="s">
        <v>57</v>
      </c>
      <c r="H9" s="1" t="s">
        <v>32</v>
      </c>
    </row>
    <row r="10" spans="1:8" ht="29.25">
      <c r="A10" s="130">
        <v>10</v>
      </c>
      <c r="B10" s="133" t="s">
        <v>53</v>
      </c>
      <c r="C10" s="131" t="s">
        <v>59</v>
      </c>
      <c r="D10" s="132" t="s">
        <v>60</v>
      </c>
      <c r="E10" s="130" t="s">
        <v>660</v>
      </c>
      <c r="F10" s="130" t="s">
        <v>1609</v>
      </c>
      <c r="G10" s="130" t="s">
        <v>62</v>
      </c>
      <c r="H10" s="130" t="s">
        <v>32</v>
      </c>
    </row>
    <row r="11" spans="1:8" ht="29.25">
      <c r="A11" s="1">
        <v>11</v>
      </c>
      <c r="B11" s="2" t="s">
        <v>66</v>
      </c>
      <c r="C11" s="2" t="s">
        <v>64</v>
      </c>
      <c r="D11" s="8" t="s">
        <v>65</v>
      </c>
      <c r="E11" s="1" t="s">
        <v>67</v>
      </c>
      <c r="F11" s="1" t="s">
        <v>67</v>
      </c>
      <c r="G11" s="1" t="s">
        <v>68</v>
      </c>
      <c r="H11" s="1" t="s">
        <v>38</v>
      </c>
    </row>
    <row r="12" spans="1:8" ht="29.25">
      <c r="A12" s="130">
        <v>12</v>
      </c>
      <c r="B12" s="131" t="s">
        <v>66</v>
      </c>
      <c r="C12" s="131" t="s">
        <v>70</v>
      </c>
      <c r="D12" s="132" t="s">
        <v>73</v>
      </c>
      <c r="E12" s="130" t="s">
        <v>72</v>
      </c>
      <c r="F12" s="130" t="s">
        <v>1610</v>
      </c>
      <c r="G12" s="130" t="s">
        <v>74</v>
      </c>
      <c r="H12" s="130" t="s">
        <v>38</v>
      </c>
    </row>
    <row r="13" spans="1:8" ht="29.25">
      <c r="A13" s="1">
        <v>13</v>
      </c>
      <c r="B13" s="2" t="s">
        <v>78</v>
      </c>
      <c r="C13" s="2" t="s">
        <v>76</v>
      </c>
      <c r="D13" s="8" t="s">
        <v>80</v>
      </c>
      <c r="E13" s="1" t="s">
        <v>79</v>
      </c>
      <c r="F13" s="1" t="s">
        <v>1611</v>
      </c>
      <c r="G13" s="1" t="s">
        <v>81</v>
      </c>
      <c r="H13" s="1" t="s">
        <v>44</v>
      </c>
    </row>
    <row r="14" spans="1:8" ht="29.25">
      <c r="A14" s="130">
        <v>14</v>
      </c>
      <c r="B14" s="131" t="s">
        <v>78</v>
      </c>
      <c r="C14" s="131" t="s">
        <v>83</v>
      </c>
      <c r="D14" s="132" t="s">
        <v>86</v>
      </c>
      <c r="E14" s="130" t="s">
        <v>85</v>
      </c>
      <c r="F14" s="130" t="s">
        <v>1612</v>
      </c>
      <c r="G14" s="130" t="s">
        <v>87</v>
      </c>
      <c r="H14" s="130" t="s">
        <v>44</v>
      </c>
    </row>
    <row r="15" spans="1:8" ht="29.25">
      <c r="A15" s="1">
        <v>15</v>
      </c>
      <c r="B15" s="2" t="s">
        <v>91</v>
      </c>
      <c r="C15" s="2" t="s">
        <v>89</v>
      </c>
      <c r="D15" s="8" t="s">
        <v>90</v>
      </c>
      <c r="E15" s="1" t="s">
        <v>92</v>
      </c>
      <c r="F15" s="1" t="s">
        <v>92</v>
      </c>
      <c r="G15" s="1" t="s">
        <v>94</v>
      </c>
      <c r="H15" s="1" t="s">
        <v>95</v>
      </c>
    </row>
    <row r="16" spans="1:8" ht="39">
      <c r="A16" s="130">
        <v>16</v>
      </c>
      <c r="B16" s="131" t="s">
        <v>91</v>
      </c>
      <c r="C16" s="131" t="s">
        <v>479</v>
      </c>
      <c r="D16" s="132" t="s">
        <v>97</v>
      </c>
      <c r="E16" s="130" t="s">
        <v>661</v>
      </c>
      <c r="F16" s="130" t="s">
        <v>1613</v>
      </c>
      <c r="G16" s="130" t="s">
        <v>99</v>
      </c>
      <c r="H16" s="130" t="s">
        <v>95</v>
      </c>
    </row>
    <row r="17" spans="1:8" ht="29.25">
      <c r="A17" s="1">
        <v>17</v>
      </c>
      <c r="B17" s="2" t="s">
        <v>103</v>
      </c>
      <c r="C17" s="2" t="s">
        <v>101</v>
      </c>
      <c r="D17" s="8" t="s">
        <v>105</v>
      </c>
      <c r="E17" s="1" t="s">
        <v>104</v>
      </c>
      <c r="F17" s="1" t="s">
        <v>104</v>
      </c>
      <c r="G17" s="1" t="s">
        <v>107</v>
      </c>
      <c r="H17" s="1" t="s">
        <v>50</v>
      </c>
    </row>
    <row r="18" spans="1:8" ht="29.25">
      <c r="A18" s="130">
        <v>18</v>
      </c>
      <c r="B18" s="131" t="s">
        <v>103</v>
      </c>
      <c r="C18" s="131" t="s">
        <v>109</v>
      </c>
      <c r="D18" s="132" t="s">
        <v>111</v>
      </c>
      <c r="E18" s="130" t="s">
        <v>110</v>
      </c>
      <c r="F18" s="130" t="s">
        <v>1614</v>
      </c>
      <c r="G18" s="130" t="s">
        <v>113</v>
      </c>
      <c r="H18" s="130" t="s">
        <v>50</v>
      </c>
    </row>
    <row r="19" spans="1:8" ht="29.25">
      <c r="A19" s="1">
        <v>19</v>
      </c>
      <c r="B19" s="2" t="s">
        <v>117</v>
      </c>
      <c r="C19" s="2" t="s">
        <v>115</v>
      </c>
      <c r="D19" s="8" t="s">
        <v>116</v>
      </c>
      <c r="E19" s="1" t="s">
        <v>118</v>
      </c>
      <c r="F19" s="1" t="s">
        <v>118</v>
      </c>
      <c r="G19" s="1" t="s">
        <v>120</v>
      </c>
      <c r="H19" s="1" t="s">
        <v>58</v>
      </c>
    </row>
    <row r="20" spans="1:8" ht="29.25">
      <c r="A20" s="130">
        <v>20</v>
      </c>
      <c r="B20" s="131" t="s">
        <v>117</v>
      </c>
      <c r="C20" s="131" t="s">
        <v>122</v>
      </c>
      <c r="D20" s="132" t="s">
        <v>125</v>
      </c>
      <c r="E20" s="130" t="s">
        <v>124</v>
      </c>
      <c r="F20" s="130" t="s">
        <v>1615</v>
      </c>
      <c r="G20" s="130" t="s">
        <v>127</v>
      </c>
      <c r="H20" s="130" t="s">
        <v>58</v>
      </c>
    </row>
    <row r="21" spans="1:8" ht="29.25">
      <c r="A21" s="1">
        <v>21</v>
      </c>
      <c r="B21" s="2" t="s">
        <v>130</v>
      </c>
      <c r="C21" s="2" t="s">
        <v>129</v>
      </c>
      <c r="D21" s="8" t="s">
        <v>131</v>
      </c>
      <c r="E21" s="1" t="s">
        <v>662</v>
      </c>
      <c r="F21" s="1" t="s">
        <v>1616</v>
      </c>
      <c r="G21" s="1" t="s">
        <v>133</v>
      </c>
      <c r="H21" s="1" t="s">
        <v>63</v>
      </c>
    </row>
    <row r="22" spans="1:8" ht="29.25">
      <c r="A22" s="130">
        <v>23</v>
      </c>
      <c r="B22" s="131" t="s">
        <v>137</v>
      </c>
      <c r="C22" s="131" t="s">
        <v>135</v>
      </c>
      <c r="D22" s="132" t="s">
        <v>136</v>
      </c>
      <c r="E22" s="130" t="s">
        <v>138</v>
      </c>
      <c r="F22" s="130" t="s">
        <v>138</v>
      </c>
      <c r="G22" s="130" t="s">
        <v>140</v>
      </c>
      <c r="H22" s="130" t="s">
        <v>69</v>
      </c>
    </row>
    <row r="23" spans="1:8" ht="29.25">
      <c r="A23" s="1">
        <v>24</v>
      </c>
      <c r="B23" s="2" t="s">
        <v>137</v>
      </c>
      <c r="C23" s="134" t="s">
        <v>142</v>
      </c>
      <c r="D23" s="8" t="s">
        <v>143</v>
      </c>
      <c r="E23" s="1" t="s">
        <v>663</v>
      </c>
      <c r="F23" s="1" t="s">
        <v>1617</v>
      </c>
      <c r="G23" s="1" t="s">
        <v>145</v>
      </c>
      <c r="H23" s="1" t="s">
        <v>69</v>
      </c>
    </row>
    <row r="24" spans="1:8" ht="29.25">
      <c r="A24" s="130">
        <v>25</v>
      </c>
      <c r="B24" s="131" t="s">
        <v>148</v>
      </c>
      <c r="C24" s="131" t="s">
        <v>147</v>
      </c>
      <c r="D24" s="132" t="s">
        <v>56</v>
      </c>
      <c r="E24" s="130" t="s">
        <v>149</v>
      </c>
      <c r="F24" s="130" t="s">
        <v>54</v>
      </c>
      <c r="G24" s="130" t="s">
        <v>150</v>
      </c>
      <c r="H24" s="130" t="s">
        <v>75</v>
      </c>
    </row>
    <row r="25" spans="1:8" ht="29.25">
      <c r="A25" s="1">
        <v>27</v>
      </c>
      <c r="B25" s="2" t="s">
        <v>153</v>
      </c>
      <c r="C25" s="2" t="s">
        <v>152</v>
      </c>
      <c r="D25" s="8" t="s">
        <v>155</v>
      </c>
      <c r="E25" s="1" t="s">
        <v>154</v>
      </c>
      <c r="F25" s="1" t="s">
        <v>1618</v>
      </c>
      <c r="G25" s="1" t="s">
        <v>156</v>
      </c>
      <c r="H25" s="1" t="s">
        <v>82</v>
      </c>
    </row>
    <row r="26" spans="1:8" ht="29.25">
      <c r="A26" s="130">
        <v>28</v>
      </c>
      <c r="B26" s="131" t="s">
        <v>153</v>
      </c>
      <c r="C26" s="131" t="s">
        <v>158</v>
      </c>
      <c r="D26" s="132" t="s">
        <v>160</v>
      </c>
      <c r="E26" s="130" t="s">
        <v>159</v>
      </c>
      <c r="F26" s="130" t="s">
        <v>1619</v>
      </c>
      <c r="G26" s="130" t="s">
        <v>161</v>
      </c>
      <c r="H26" s="130" t="s">
        <v>82</v>
      </c>
    </row>
    <row r="27" spans="1:8" ht="29.25">
      <c r="A27" s="1">
        <v>29</v>
      </c>
      <c r="B27" s="2" t="s">
        <v>165</v>
      </c>
      <c r="C27" s="2" t="s">
        <v>163</v>
      </c>
      <c r="D27" s="8" t="s">
        <v>164</v>
      </c>
      <c r="E27" s="1" t="s">
        <v>166</v>
      </c>
      <c r="F27" s="1" t="s">
        <v>166</v>
      </c>
      <c r="G27" s="1" t="s">
        <v>168</v>
      </c>
      <c r="H27" s="1" t="s">
        <v>88</v>
      </c>
    </row>
    <row r="28" spans="1:8" ht="29.25">
      <c r="A28" s="130">
        <v>30</v>
      </c>
      <c r="B28" s="131" t="s">
        <v>165</v>
      </c>
      <c r="C28" s="133" t="s">
        <v>170</v>
      </c>
      <c r="D28" s="132" t="s">
        <v>171</v>
      </c>
      <c r="E28" s="130" t="s">
        <v>664</v>
      </c>
      <c r="F28" s="130" t="s">
        <v>1620</v>
      </c>
      <c r="G28" s="130" t="s">
        <v>173</v>
      </c>
      <c r="H28" s="130" t="s">
        <v>88</v>
      </c>
    </row>
    <row r="29" spans="1:8" ht="29.25">
      <c r="A29" s="1">
        <v>31</v>
      </c>
      <c r="B29" s="2" t="s">
        <v>177</v>
      </c>
      <c r="C29" s="2" t="s">
        <v>175</v>
      </c>
      <c r="D29" s="8" t="s">
        <v>176</v>
      </c>
      <c r="E29" s="1" t="s">
        <v>178</v>
      </c>
      <c r="F29" s="1" t="s">
        <v>178</v>
      </c>
      <c r="G29" s="1" t="s">
        <v>179</v>
      </c>
      <c r="H29" s="1" t="s">
        <v>96</v>
      </c>
    </row>
    <row r="30" spans="1:8" ht="29.25">
      <c r="A30" s="130">
        <v>33</v>
      </c>
      <c r="B30" s="131" t="s">
        <v>183</v>
      </c>
      <c r="C30" s="131" t="s">
        <v>181</v>
      </c>
      <c r="D30" s="132" t="s">
        <v>182</v>
      </c>
      <c r="E30" s="130" t="s">
        <v>184</v>
      </c>
      <c r="F30" s="130" t="s">
        <v>184</v>
      </c>
      <c r="G30" s="130" t="s">
        <v>185</v>
      </c>
      <c r="H30" s="130" t="s">
        <v>100</v>
      </c>
    </row>
    <row r="31" spans="1:8" ht="29.25">
      <c r="A31" s="1">
        <v>34</v>
      </c>
      <c r="B31" s="2" t="s">
        <v>183</v>
      </c>
      <c r="C31" s="2" t="s">
        <v>187</v>
      </c>
      <c r="D31" s="8" t="s">
        <v>190</v>
      </c>
      <c r="E31" s="1" t="s">
        <v>189</v>
      </c>
      <c r="F31" s="1" t="s">
        <v>1621</v>
      </c>
      <c r="G31" s="1" t="s">
        <v>191</v>
      </c>
      <c r="H31" s="1" t="s">
        <v>100</v>
      </c>
    </row>
    <row r="32" spans="1:8" ht="29.25">
      <c r="A32" s="130">
        <v>35</v>
      </c>
      <c r="B32" s="135" t="s">
        <v>194</v>
      </c>
      <c r="C32" s="135" t="s">
        <v>193</v>
      </c>
      <c r="D32" s="132" t="s">
        <v>195</v>
      </c>
      <c r="E32" s="130" t="s">
        <v>665</v>
      </c>
      <c r="F32" s="130" t="s">
        <v>1585</v>
      </c>
      <c r="G32" s="130" t="s">
        <v>196</v>
      </c>
      <c r="H32" s="130" t="s">
        <v>108</v>
      </c>
    </row>
    <row r="33" spans="1:8" ht="29.25">
      <c r="A33" s="1">
        <v>36</v>
      </c>
      <c r="B33" s="134" t="s">
        <v>194</v>
      </c>
      <c r="C33" s="3" t="s">
        <v>198</v>
      </c>
      <c r="D33" s="8" t="s">
        <v>199</v>
      </c>
      <c r="E33" s="1" t="s">
        <v>666</v>
      </c>
      <c r="F33" s="1" t="s">
        <v>1622</v>
      </c>
      <c r="G33" s="1" t="s">
        <v>200</v>
      </c>
      <c r="H33" s="1" t="s">
        <v>108</v>
      </c>
    </row>
    <row r="34" spans="1:8" ht="29.25">
      <c r="A34" s="130">
        <v>37</v>
      </c>
      <c r="B34" s="131" t="s">
        <v>204</v>
      </c>
      <c r="C34" s="131" t="s">
        <v>202</v>
      </c>
      <c r="D34" s="132" t="s">
        <v>203</v>
      </c>
      <c r="E34" s="130" t="s">
        <v>205</v>
      </c>
      <c r="F34" s="130" t="s">
        <v>1623</v>
      </c>
      <c r="G34" s="130" t="s">
        <v>206</v>
      </c>
      <c r="H34" s="130" t="s">
        <v>114</v>
      </c>
    </row>
    <row r="35" spans="1:8" ht="29.25">
      <c r="A35" s="1">
        <v>38</v>
      </c>
      <c r="B35" s="2" t="s">
        <v>204</v>
      </c>
      <c r="C35" s="2" t="s">
        <v>208</v>
      </c>
      <c r="D35" s="8" t="s">
        <v>211</v>
      </c>
      <c r="E35" s="1" t="s">
        <v>210</v>
      </c>
      <c r="F35" s="1" t="s">
        <v>1624</v>
      </c>
      <c r="G35" s="1" t="s">
        <v>212</v>
      </c>
      <c r="H35" s="1" t="s">
        <v>114</v>
      </c>
    </row>
    <row r="36" spans="1:8" ht="29.25">
      <c r="A36" s="130">
        <v>39</v>
      </c>
      <c r="B36" s="131" t="s">
        <v>216</v>
      </c>
      <c r="C36" s="131" t="s">
        <v>214</v>
      </c>
      <c r="D36" s="132" t="s">
        <v>215</v>
      </c>
      <c r="E36" s="130" t="s">
        <v>217</v>
      </c>
      <c r="F36" s="130" t="s">
        <v>217</v>
      </c>
      <c r="G36" s="130" t="s">
        <v>219</v>
      </c>
      <c r="H36" s="130" t="s">
        <v>121</v>
      </c>
    </row>
    <row r="37" spans="1:8" ht="29.25">
      <c r="A37" s="1">
        <v>40</v>
      </c>
      <c r="B37" s="2" t="s">
        <v>216</v>
      </c>
      <c r="C37" s="2" t="s">
        <v>221</v>
      </c>
      <c r="D37" s="8" t="s">
        <v>222</v>
      </c>
      <c r="E37" s="1" t="s">
        <v>667</v>
      </c>
      <c r="F37" s="1" t="s">
        <v>1625</v>
      </c>
      <c r="G37" s="1" t="s">
        <v>224</v>
      </c>
      <c r="H37" s="1" t="s">
        <v>121</v>
      </c>
    </row>
    <row r="38" spans="1:8" ht="29.25">
      <c r="A38" s="130">
        <v>41</v>
      </c>
      <c r="B38" s="131" t="s">
        <v>228</v>
      </c>
      <c r="C38" s="131" t="s">
        <v>226</v>
      </c>
      <c r="D38" s="132" t="s">
        <v>229</v>
      </c>
      <c r="E38" s="130" t="s">
        <v>668</v>
      </c>
      <c r="F38" s="130" t="s">
        <v>1581</v>
      </c>
      <c r="G38" s="130" t="s">
        <v>230</v>
      </c>
      <c r="H38" s="130" t="s">
        <v>128</v>
      </c>
    </row>
    <row r="39" spans="1:8" ht="29.25">
      <c r="A39" s="1">
        <v>42</v>
      </c>
      <c r="B39" s="2" t="s">
        <v>228</v>
      </c>
      <c r="C39" s="2" t="s">
        <v>232</v>
      </c>
      <c r="D39" s="8" t="s">
        <v>235</v>
      </c>
      <c r="E39" s="1" t="s">
        <v>234</v>
      </c>
      <c r="F39" s="1" t="s">
        <v>1626</v>
      </c>
      <c r="G39" s="1" t="s">
        <v>236</v>
      </c>
      <c r="H39" s="1" t="s">
        <v>128</v>
      </c>
    </row>
    <row r="40" spans="1:8" ht="29.25">
      <c r="A40" s="130">
        <v>43</v>
      </c>
      <c r="B40" s="131" t="s">
        <v>240</v>
      </c>
      <c r="C40" s="131" t="s">
        <v>238</v>
      </c>
      <c r="D40" s="132" t="s">
        <v>239</v>
      </c>
      <c r="E40" s="130" t="s">
        <v>241</v>
      </c>
      <c r="F40" s="130" t="s">
        <v>1627</v>
      </c>
      <c r="G40" s="130" t="s">
        <v>242</v>
      </c>
      <c r="H40" s="130" t="s">
        <v>243</v>
      </c>
    </row>
    <row r="41" spans="1:8" ht="29.25">
      <c r="A41" s="1">
        <v>44</v>
      </c>
      <c r="B41" s="2" t="s">
        <v>240</v>
      </c>
      <c r="C41" s="2" t="s">
        <v>245</v>
      </c>
      <c r="D41" s="8" t="s">
        <v>247</v>
      </c>
      <c r="E41" s="1" t="s">
        <v>246</v>
      </c>
      <c r="F41" s="1" t="s">
        <v>1628</v>
      </c>
      <c r="G41" s="1" t="s">
        <v>248</v>
      </c>
      <c r="H41" s="1" t="s">
        <v>243</v>
      </c>
    </row>
    <row r="42" spans="1:8" ht="29.25">
      <c r="A42" s="130">
        <v>45</v>
      </c>
      <c r="B42" s="131" t="s">
        <v>252</v>
      </c>
      <c r="C42" s="131" t="s">
        <v>250</v>
      </c>
      <c r="D42" s="132" t="s">
        <v>251</v>
      </c>
      <c r="E42" s="130" t="s">
        <v>253</v>
      </c>
      <c r="F42" s="130" t="s">
        <v>253</v>
      </c>
      <c r="G42" s="130" t="s">
        <v>255</v>
      </c>
      <c r="H42" s="130" t="s">
        <v>134</v>
      </c>
    </row>
    <row r="43" spans="1:8" ht="29.25">
      <c r="A43" s="1">
        <v>46</v>
      </c>
      <c r="B43" s="2" t="s">
        <v>252</v>
      </c>
      <c r="C43" s="4" t="s">
        <v>257</v>
      </c>
      <c r="D43" s="8" t="s">
        <v>258</v>
      </c>
      <c r="E43" s="1" t="s">
        <v>669</v>
      </c>
      <c r="F43" s="1" t="s">
        <v>1629</v>
      </c>
      <c r="G43" s="1" t="s">
        <v>260</v>
      </c>
      <c r="H43" s="1" t="s">
        <v>134</v>
      </c>
    </row>
    <row r="44" spans="1:8" ht="29.25">
      <c r="A44" s="130">
        <v>47</v>
      </c>
      <c r="B44" s="133" t="s">
        <v>264</v>
      </c>
      <c r="C44" s="131" t="s">
        <v>262</v>
      </c>
      <c r="D44" s="132" t="s">
        <v>263</v>
      </c>
      <c r="E44" s="130" t="s">
        <v>265</v>
      </c>
      <c r="F44" s="130" t="s">
        <v>265</v>
      </c>
      <c r="G44" s="130" t="s">
        <v>266</v>
      </c>
      <c r="H44" s="130" t="s">
        <v>141</v>
      </c>
    </row>
    <row r="45" spans="1:8" ht="29.25">
      <c r="A45" s="1">
        <v>48</v>
      </c>
      <c r="B45" s="3" t="s">
        <v>264</v>
      </c>
      <c r="C45" s="2" t="s">
        <v>268</v>
      </c>
      <c r="D45" s="8" t="s">
        <v>269</v>
      </c>
      <c r="E45" s="1" t="s">
        <v>670</v>
      </c>
      <c r="F45" s="1" t="s">
        <v>1630</v>
      </c>
      <c r="G45" s="1" t="s">
        <v>270</v>
      </c>
      <c r="H45" s="1" t="s">
        <v>141</v>
      </c>
    </row>
    <row r="46" spans="1:8" ht="29.25">
      <c r="A46" s="130">
        <v>49</v>
      </c>
      <c r="B46" s="131" t="s">
        <v>273</v>
      </c>
      <c r="C46" s="131" t="s">
        <v>272</v>
      </c>
      <c r="D46" s="132" t="s">
        <v>275</v>
      </c>
      <c r="E46" s="130" t="s">
        <v>274</v>
      </c>
      <c r="F46" s="130" t="s">
        <v>1631</v>
      </c>
      <c r="G46" s="130" t="s">
        <v>277</v>
      </c>
      <c r="H46" s="130" t="s">
        <v>146</v>
      </c>
    </row>
    <row r="47" spans="1:8" ht="29.25">
      <c r="A47" s="1">
        <v>50</v>
      </c>
      <c r="B47" s="2" t="s">
        <v>273</v>
      </c>
      <c r="C47" s="3" t="s">
        <v>279</v>
      </c>
      <c r="D47" s="8" t="s">
        <v>280</v>
      </c>
      <c r="E47" s="1" t="s">
        <v>671</v>
      </c>
      <c r="F47" s="1" t="s">
        <v>1632</v>
      </c>
      <c r="G47" s="1" t="s">
        <v>282</v>
      </c>
      <c r="H47" s="1" t="s">
        <v>146</v>
      </c>
    </row>
    <row r="48" spans="1:8" ht="29.25">
      <c r="A48" s="130">
        <v>51</v>
      </c>
      <c r="B48" s="131" t="s">
        <v>285</v>
      </c>
      <c r="C48" s="131" t="s">
        <v>283</v>
      </c>
      <c r="D48" s="132" t="s">
        <v>287</v>
      </c>
      <c r="E48" s="130" t="s">
        <v>286</v>
      </c>
      <c r="F48" s="130" t="s">
        <v>1633</v>
      </c>
      <c r="G48" s="130" t="s">
        <v>290</v>
      </c>
      <c r="H48" s="130" t="s">
        <v>291</v>
      </c>
    </row>
    <row r="49" spans="1:8" ht="29.25">
      <c r="A49" s="1">
        <v>52</v>
      </c>
      <c r="B49" s="2" t="s">
        <v>285</v>
      </c>
      <c r="C49" s="136" t="s">
        <v>292</v>
      </c>
      <c r="D49" s="8" t="s">
        <v>293</v>
      </c>
      <c r="E49" s="1" t="s">
        <v>672</v>
      </c>
      <c r="F49" s="1" t="s">
        <v>1634</v>
      </c>
      <c r="G49" s="1" t="s">
        <v>295</v>
      </c>
      <c r="H49" s="1" t="s">
        <v>291</v>
      </c>
    </row>
    <row r="50" spans="1:8" ht="29.25">
      <c r="A50" s="130">
        <v>53</v>
      </c>
      <c r="B50" s="131" t="s">
        <v>298</v>
      </c>
      <c r="C50" s="131" t="s">
        <v>296</v>
      </c>
      <c r="D50" s="132" t="s">
        <v>297</v>
      </c>
      <c r="E50" s="130" t="s">
        <v>299</v>
      </c>
      <c r="F50" s="130" t="s">
        <v>299</v>
      </c>
      <c r="G50" s="130" t="s">
        <v>300</v>
      </c>
      <c r="H50" s="130" t="s">
        <v>151</v>
      </c>
    </row>
    <row r="51" spans="1:8" ht="29.25">
      <c r="A51" s="1">
        <v>54</v>
      </c>
      <c r="B51" s="2" t="s">
        <v>298</v>
      </c>
      <c r="C51" s="3" t="s">
        <v>301</v>
      </c>
      <c r="D51" s="8" t="s">
        <v>302</v>
      </c>
      <c r="E51" s="1" t="s">
        <v>673</v>
      </c>
      <c r="F51" s="1" t="s">
        <v>1635</v>
      </c>
      <c r="G51" s="1" t="s">
        <v>303</v>
      </c>
      <c r="H51" s="1" t="s">
        <v>151</v>
      </c>
    </row>
    <row r="52" spans="1:8" ht="29.25">
      <c r="A52" s="130">
        <v>55</v>
      </c>
      <c r="B52" s="131" t="s">
        <v>306</v>
      </c>
      <c r="C52" s="131" t="s">
        <v>304</v>
      </c>
      <c r="D52" s="132" t="s">
        <v>305</v>
      </c>
      <c r="E52" s="130" t="s">
        <v>307</v>
      </c>
      <c r="F52" s="130" t="s">
        <v>307</v>
      </c>
      <c r="G52" s="130" t="s">
        <v>308</v>
      </c>
      <c r="H52" s="130" t="s">
        <v>157</v>
      </c>
    </row>
    <row r="53" spans="1:8" ht="29.25">
      <c r="A53" s="1">
        <v>56</v>
      </c>
      <c r="B53" s="2" t="s">
        <v>306</v>
      </c>
      <c r="C53" s="2" t="s">
        <v>309</v>
      </c>
      <c r="D53" s="8" t="s">
        <v>310</v>
      </c>
      <c r="E53" s="1" t="s">
        <v>674</v>
      </c>
      <c r="F53" s="1" t="s">
        <v>1636</v>
      </c>
      <c r="G53" s="1" t="s">
        <v>311</v>
      </c>
      <c r="H53" s="1" t="s">
        <v>157</v>
      </c>
    </row>
    <row r="54" spans="1:8" ht="29.25">
      <c r="A54" s="130">
        <v>57</v>
      </c>
      <c r="B54" s="131" t="s">
        <v>314</v>
      </c>
      <c r="C54" s="131" t="s">
        <v>312</v>
      </c>
      <c r="D54" s="132" t="s">
        <v>313</v>
      </c>
      <c r="E54" s="130" t="s">
        <v>315</v>
      </c>
      <c r="F54" s="130" t="s">
        <v>315</v>
      </c>
      <c r="G54" s="130" t="s">
        <v>316</v>
      </c>
      <c r="H54" s="130" t="s">
        <v>162</v>
      </c>
    </row>
    <row r="55" spans="1:8" ht="29.25">
      <c r="A55" s="1">
        <v>58</v>
      </c>
      <c r="B55" s="2" t="s">
        <v>314</v>
      </c>
      <c r="C55" s="134" t="s">
        <v>317</v>
      </c>
      <c r="D55" s="8" t="s">
        <v>318</v>
      </c>
      <c r="E55" s="1" t="s">
        <v>675</v>
      </c>
      <c r="F55" s="1" t="s">
        <v>1637</v>
      </c>
      <c r="G55" s="1" t="s">
        <v>319</v>
      </c>
      <c r="H55" s="1" t="s">
        <v>162</v>
      </c>
    </row>
    <row r="56" spans="1:8" ht="29.25">
      <c r="A56" s="130">
        <v>59</v>
      </c>
      <c r="B56" s="131" t="s">
        <v>322</v>
      </c>
      <c r="C56" s="131" t="s">
        <v>320</v>
      </c>
      <c r="D56" s="132" t="s">
        <v>321</v>
      </c>
      <c r="E56" s="130" t="s">
        <v>323</v>
      </c>
      <c r="F56" s="130" t="s">
        <v>323</v>
      </c>
      <c r="G56" s="130" t="s">
        <v>324</v>
      </c>
      <c r="H56" s="130" t="s">
        <v>169</v>
      </c>
    </row>
    <row r="57" spans="1:8" ht="29.25">
      <c r="A57" s="1">
        <v>61</v>
      </c>
      <c r="B57" s="137" t="s">
        <v>326</v>
      </c>
      <c r="C57" s="2" t="s">
        <v>325</v>
      </c>
      <c r="D57" s="8" t="s">
        <v>328</v>
      </c>
      <c r="E57" s="1" t="s">
        <v>327</v>
      </c>
      <c r="F57" s="1" t="s">
        <v>1638</v>
      </c>
      <c r="G57" s="1" t="s">
        <v>331</v>
      </c>
      <c r="H57" s="1" t="s">
        <v>174</v>
      </c>
    </row>
    <row r="58" spans="1:8" ht="29.25">
      <c r="A58" s="130">
        <v>62</v>
      </c>
      <c r="B58" s="138" t="s">
        <v>326</v>
      </c>
      <c r="C58" s="139" t="s">
        <v>332</v>
      </c>
      <c r="D58" s="132" t="s">
        <v>593</v>
      </c>
      <c r="E58" s="130" t="s">
        <v>676</v>
      </c>
      <c r="F58" s="130" t="s">
        <v>1639</v>
      </c>
      <c r="G58" s="130" t="s">
        <v>334</v>
      </c>
      <c r="H58" s="130" t="s">
        <v>174</v>
      </c>
    </row>
    <row r="59" spans="1:8" ht="29.25">
      <c r="A59" s="1">
        <v>63</v>
      </c>
      <c r="B59" s="3" t="s">
        <v>336</v>
      </c>
      <c r="C59" s="134" t="s">
        <v>335</v>
      </c>
      <c r="D59" s="8" t="s">
        <v>338</v>
      </c>
      <c r="E59" s="1" t="s">
        <v>337</v>
      </c>
      <c r="F59" s="1" t="s">
        <v>1640</v>
      </c>
      <c r="G59" s="1" t="s">
        <v>341</v>
      </c>
      <c r="H59" s="1" t="s">
        <v>342</v>
      </c>
    </row>
    <row r="60" spans="1:8" ht="29.25">
      <c r="A60" s="130">
        <v>65</v>
      </c>
      <c r="B60" s="135" t="s">
        <v>345</v>
      </c>
      <c r="C60" s="131" t="s">
        <v>343</v>
      </c>
      <c r="D60" s="132" t="s">
        <v>344</v>
      </c>
      <c r="E60" s="130" t="s">
        <v>346</v>
      </c>
      <c r="F60" s="130" t="s">
        <v>346</v>
      </c>
      <c r="G60" s="130" t="s">
        <v>348</v>
      </c>
      <c r="H60" s="130" t="s">
        <v>180</v>
      </c>
    </row>
    <row r="61" spans="1:8" ht="29.25">
      <c r="A61" s="1">
        <v>66</v>
      </c>
      <c r="B61" s="2" t="s">
        <v>345</v>
      </c>
      <c r="C61" s="3" t="s">
        <v>349</v>
      </c>
      <c r="D61" s="8" t="s">
        <v>350</v>
      </c>
      <c r="E61" s="1" t="s">
        <v>677</v>
      </c>
      <c r="F61" s="1" t="s">
        <v>1641</v>
      </c>
      <c r="G61" s="1" t="s">
        <v>352</v>
      </c>
      <c r="H61" s="1" t="s">
        <v>180</v>
      </c>
    </row>
    <row r="62" spans="1:8" ht="29.25">
      <c r="A62" s="130">
        <v>67</v>
      </c>
      <c r="B62" s="131" t="s">
        <v>355</v>
      </c>
      <c r="C62" s="131" t="s">
        <v>353</v>
      </c>
      <c r="D62" s="132" t="s">
        <v>357</v>
      </c>
      <c r="E62" s="130" t="s">
        <v>356</v>
      </c>
      <c r="F62" s="130" t="s">
        <v>1642</v>
      </c>
      <c r="G62" s="130" t="s">
        <v>360</v>
      </c>
      <c r="H62" s="130" t="s">
        <v>186</v>
      </c>
    </row>
    <row r="63" spans="1:8" ht="29.25">
      <c r="A63" s="1">
        <v>68</v>
      </c>
      <c r="B63" s="2" t="s">
        <v>355</v>
      </c>
      <c r="C63" s="3" t="s">
        <v>361</v>
      </c>
      <c r="D63" s="8" t="s">
        <v>362</v>
      </c>
      <c r="E63" s="1" t="s">
        <v>678</v>
      </c>
      <c r="F63" s="1" t="s">
        <v>1643</v>
      </c>
      <c r="G63" s="1" t="s">
        <v>364</v>
      </c>
      <c r="H63" s="1" t="s">
        <v>186</v>
      </c>
    </row>
    <row r="64" spans="1:8" ht="29.25">
      <c r="A64" s="130">
        <v>69</v>
      </c>
      <c r="B64" s="140" t="s">
        <v>366</v>
      </c>
      <c r="C64" s="141" t="s">
        <v>365</v>
      </c>
      <c r="D64" s="132" t="s">
        <v>368</v>
      </c>
      <c r="E64" s="130" t="s">
        <v>367</v>
      </c>
      <c r="F64" s="130" t="s">
        <v>1644</v>
      </c>
      <c r="G64" s="130" t="s">
        <v>369</v>
      </c>
      <c r="H64" s="130" t="s">
        <v>192</v>
      </c>
    </row>
    <row r="65" spans="1:8" ht="29.25">
      <c r="A65" s="1">
        <v>71</v>
      </c>
      <c r="B65" s="2" t="s">
        <v>371</v>
      </c>
      <c r="C65" s="2" t="s">
        <v>370</v>
      </c>
      <c r="D65" s="8" t="s">
        <v>373</v>
      </c>
      <c r="E65" s="1" t="s">
        <v>372</v>
      </c>
      <c r="F65" s="1" t="s">
        <v>1645</v>
      </c>
      <c r="G65" s="1" t="s">
        <v>377</v>
      </c>
      <c r="H65" s="1" t="s">
        <v>197</v>
      </c>
    </row>
    <row r="66" spans="1:8" ht="29.25">
      <c r="A66" s="130">
        <v>73</v>
      </c>
      <c r="B66" s="131" t="s">
        <v>379</v>
      </c>
      <c r="C66" s="131" t="s">
        <v>378</v>
      </c>
      <c r="D66" s="132" t="s">
        <v>381</v>
      </c>
      <c r="E66" s="130" t="s">
        <v>380</v>
      </c>
      <c r="F66" s="130" t="s">
        <v>1646</v>
      </c>
      <c r="G66" s="130" t="s">
        <v>384</v>
      </c>
      <c r="H66" s="130" t="s">
        <v>201</v>
      </c>
    </row>
    <row r="67" spans="1:8" ht="29.25">
      <c r="A67" s="1">
        <v>75</v>
      </c>
      <c r="B67" s="2" t="s">
        <v>387</v>
      </c>
      <c r="C67" s="2" t="s">
        <v>385</v>
      </c>
      <c r="D67" s="8" t="s">
        <v>389</v>
      </c>
      <c r="E67" s="1" t="s">
        <v>388</v>
      </c>
      <c r="F67" s="1" t="s">
        <v>743</v>
      </c>
      <c r="G67" s="1" t="s">
        <v>390</v>
      </c>
      <c r="H67" s="1" t="s">
        <v>207</v>
      </c>
    </row>
    <row r="68" spans="1:8" ht="29.25">
      <c r="A68" s="130">
        <v>77</v>
      </c>
      <c r="B68" s="131" t="s">
        <v>392</v>
      </c>
      <c r="C68" s="131" t="s">
        <v>391</v>
      </c>
      <c r="D68" s="132" t="s">
        <v>56</v>
      </c>
      <c r="E68" s="130" t="s">
        <v>149</v>
      </c>
      <c r="F68" s="130" t="s">
        <v>54</v>
      </c>
      <c r="G68" s="130" t="s">
        <v>393</v>
      </c>
      <c r="H68" s="130" t="s">
        <v>213</v>
      </c>
    </row>
    <row r="69" spans="1:8" ht="29.25">
      <c r="A69" s="1">
        <v>78</v>
      </c>
      <c r="B69" s="2" t="s">
        <v>392</v>
      </c>
      <c r="C69" s="2" t="s">
        <v>394</v>
      </c>
      <c r="D69" s="8" t="s">
        <v>61</v>
      </c>
      <c r="E69" s="1" t="s">
        <v>679</v>
      </c>
      <c r="F69" s="1" t="s">
        <v>1609</v>
      </c>
      <c r="G69" s="1" t="s">
        <v>395</v>
      </c>
      <c r="H69" s="1" t="s">
        <v>213</v>
      </c>
    </row>
    <row r="70" spans="1:8" ht="29.25">
      <c r="A70" s="130">
        <v>79</v>
      </c>
      <c r="B70" s="140" t="s">
        <v>397</v>
      </c>
      <c r="C70" s="140" t="s">
        <v>396</v>
      </c>
      <c r="D70" s="132" t="s">
        <v>399</v>
      </c>
      <c r="E70" s="130" t="s">
        <v>398</v>
      </c>
      <c r="F70" s="130" t="s">
        <v>1647</v>
      </c>
      <c r="G70" s="130" t="s">
        <v>402</v>
      </c>
      <c r="H70" s="130" t="s">
        <v>220</v>
      </c>
    </row>
    <row r="71" spans="1:8" ht="29.25">
      <c r="A71" s="1">
        <v>81</v>
      </c>
      <c r="B71" s="5" t="s">
        <v>404</v>
      </c>
      <c r="C71" s="4" t="s">
        <v>403</v>
      </c>
      <c r="D71" s="8" t="s">
        <v>407</v>
      </c>
      <c r="E71" s="1" t="s">
        <v>680</v>
      </c>
      <c r="F71" s="1" t="s">
        <v>1648</v>
      </c>
      <c r="G71" s="1" t="s">
        <v>409</v>
      </c>
      <c r="H71" s="1" t="s">
        <v>225</v>
      </c>
    </row>
    <row r="72" spans="1:8" ht="29.25">
      <c r="A72" s="130">
        <v>83</v>
      </c>
      <c r="B72" s="131" t="s">
        <v>410</v>
      </c>
      <c r="C72" s="131" t="s">
        <v>410</v>
      </c>
      <c r="D72" s="132" t="s">
        <v>413</v>
      </c>
      <c r="E72" s="130" t="s">
        <v>412</v>
      </c>
      <c r="F72" s="130" t="s">
        <v>553</v>
      </c>
      <c r="G72" s="130" t="s">
        <v>414</v>
      </c>
      <c r="H72" s="130" t="s">
        <v>231</v>
      </c>
    </row>
    <row r="73" spans="1:8" ht="29.25">
      <c r="A73" s="1">
        <v>85</v>
      </c>
      <c r="B73" s="134" t="s">
        <v>417</v>
      </c>
      <c r="C73" s="4" t="s">
        <v>415</v>
      </c>
      <c r="D73" s="8" t="s">
        <v>418</v>
      </c>
      <c r="E73" s="1" t="s">
        <v>681</v>
      </c>
      <c r="F73" s="1" t="s">
        <v>1593</v>
      </c>
      <c r="G73" s="1" t="s">
        <v>420</v>
      </c>
      <c r="H73" s="1" t="s">
        <v>237</v>
      </c>
    </row>
    <row r="74" spans="1:8" ht="29.25">
      <c r="A74" s="130">
        <v>86</v>
      </c>
      <c r="B74" s="135" t="s">
        <v>417</v>
      </c>
      <c r="C74" s="140" t="s">
        <v>421</v>
      </c>
      <c r="D74" s="132" t="s">
        <v>423</v>
      </c>
      <c r="E74" s="130" t="s">
        <v>422</v>
      </c>
      <c r="F74" s="130" t="s">
        <v>1649</v>
      </c>
      <c r="G74" s="130" t="s">
        <v>424</v>
      </c>
      <c r="H74" s="130" t="s">
        <v>237</v>
      </c>
    </row>
    <row r="75" spans="1:8" ht="29.25">
      <c r="A75" s="1">
        <v>87</v>
      </c>
      <c r="B75" s="142" t="s">
        <v>426</v>
      </c>
      <c r="C75" s="2" t="s">
        <v>425</v>
      </c>
      <c r="D75" s="8" t="s">
        <v>428</v>
      </c>
      <c r="E75" s="1" t="s">
        <v>427</v>
      </c>
      <c r="F75" s="1" t="s">
        <v>1650</v>
      </c>
      <c r="G75" s="1" t="s">
        <v>431</v>
      </c>
      <c r="H75" s="1" t="s">
        <v>244</v>
      </c>
    </row>
    <row r="76" spans="1:8" ht="29.25">
      <c r="A76" s="130">
        <v>88</v>
      </c>
      <c r="B76" s="141" t="s">
        <v>426</v>
      </c>
      <c r="C76" s="143" t="s">
        <v>432</v>
      </c>
      <c r="D76" s="132" t="s">
        <v>433</v>
      </c>
      <c r="E76" s="130" t="s">
        <v>682</v>
      </c>
      <c r="F76" s="130" t="s">
        <v>1651</v>
      </c>
      <c r="G76" s="130" t="s">
        <v>434</v>
      </c>
      <c r="H76" s="130" t="s">
        <v>244</v>
      </c>
    </row>
    <row r="77" spans="1:8" ht="39">
      <c r="A77" s="1">
        <v>89</v>
      </c>
      <c r="B77" s="144" t="s">
        <v>435</v>
      </c>
      <c r="C77" s="2" t="s">
        <v>479</v>
      </c>
      <c r="D77" s="8" t="s">
        <v>437</v>
      </c>
      <c r="E77" s="1" t="s">
        <v>436</v>
      </c>
      <c r="F77" s="1" t="s">
        <v>1652</v>
      </c>
      <c r="G77" s="1" t="s">
        <v>438</v>
      </c>
      <c r="H77" s="1" t="s">
        <v>249</v>
      </c>
    </row>
    <row r="78" spans="1:8" ht="29.25">
      <c r="A78" s="130">
        <v>91</v>
      </c>
      <c r="B78" s="145" t="s">
        <v>440</v>
      </c>
      <c r="C78" s="135" t="s">
        <v>439</v>
      </c>
      <c r="D78" s="132" t="s">
        <v>442</v>
      </c>
      <c r="E78" s="130" t="s">
        <v>441</v>
      </c>
      <c r="F78" s="130" t="s">
        <v>1653</v>
      </c>
      <c r="G78" s="130" t="s">
        <v>445</v>
      </c>
      <c r="H78" s="130" t="s">
        <v>256</v>
      </c>
    </row>
    <row r="79" spans="1:8" ht="39">
      <c r="A79" s="1">
        <v>92</v>
      </c>
      <c r="B79" s="2" t="s">
        <v>440</v>
      </c>
      <c r="C79" s="2" t="s">
        <v>479</v>
      </c>
      <c r="D79" s="8" t="s">
        <v>446</v>
      </c>
      <c r="E79" s="1" t="s">
        <v>683</v>
      </c>
      <c r="F79" s="1" t="s">
        <v>1654</v>
      </c>
      <c r="G79" s="1" t="s">
        <v>447</v>
      </c>
      <c r="H79" s="1" t="s">
        <v>256</v>
      </c>
    </row>
    <row r="80" spans="1:8" ht="29.25">
      <c r="A80" s="130">
        <v>93</v>
      </c>
      <c r="B80" s="146" t="s">
        <v>450</v>
      </c>
      <c r="C80" s="135" t="s">
        <v>448</v>
      </c>
      <c r="D80" s="132" t="s">
        <v>1559</v>
      </c>
      <c r="E80" s="130" t="s">
        <v>451</v>
      </c>
      <c r="F80" s="130" t="s">
        <v>1655</v>
      </c>
      <c r="G80" s="130" t="s">
        <v>454</v>
      </c>
      <c r="H80" s="130" t="s">
        <v>261</v>
      </c>
    </row>
    <row r="81" spans="1:8" ht="29.25">
      <c r="A81" s="1">
        <v>94</v>
      </c>
      <c r="B81" s="147" t="s">
        <v>450</v>
      </c>
      <c r="C81" s="2" t="s">
        <v>455</v>
      </c>
      <c r="D81" s="8" t="s">
        <v>458</v>
      </c>
      <c r="E81" s="1" t="s">
        <v>457</v>
      </c>
      <c r="F81" s="1" t="s">
        <v>1656</v>
      </c>
      <c r="G81" s="1" t="s">
        <v>460</v>
      </c>
      <c r="H81" s="1" t="s">
        <v>261</v>
      </c>
    </row>
    <row r="82" spans="1:8" ht="29.25">
      <c r="A82" s="130">
        <v>95</v>
      </c>
      <c r="B82" s="146" t="s">
        <v>462</v>
      </c>
      <c r="C82" s="143" t="s">
        <v>461</v>
      </c>
      <c r="D82" s="132" t="s">
        <v>464</v>
      </c>
      <c r="E82" s="130" t="s">
        <v>463</v>
      </c>
      <c r="F82" s="130" t="s">
        <v>1657</v>
      </c>
      <c r="G82" s="130" t="s">
        <v>465</v>
      </c>
      <c r="H82" s="130" t="s">
        <v>267</v>
      </c>
    </row>
    <row r="83" spans="1:8" ht="29.25">
      <c r="A83" s="1">
        <v>97</v>
      </c>
      <c r="B83" s="144" t="s">
        <v>467</v>
      </c>
      <c r="C83" s="2" t="s">
        <v>466</v>
      </c>
      <c r="D83" s="8" t="s">
        <v>407</v>
      </c>
      <c r="E83" s="1" t="s">
        <v>405</v>
      </c>
      <c r="F83" s="1" t="s">
        <v>1648</v>
      </c>
      <c r="G83" s="1" t="s">
        <v>468</v>
      </c>
      <c r="H83" s="1" t="s">
        <v>271</v>
      </c>
    </row>
    <row r="84" spans="1:8" ht="39">
      <c r="A84" s="130">
        <v>98</v>
      </c>
      <c r="B84" s="148" t="s">
        <v>467</v>
      </c>
      <c r="C84" s="131" t="s">
        <v>479</v>
      </c>
      <c r="D84" s="132" t="s">
        <v>469</v>
      </c>
      <c r="E84" s="130" t="s">
        <v>684</v>
      </c>
      <c r="F84" s="130" t="s">
        <v>1658</v>
      </c>
      <c r="G84" s="130" t="s">
        <v>470</v>
      </c>
      <c r="H84" s="130" t="s">
        <v>271</v>
      </c>
    </row>
    <row r="85" spans="1:8" ht="29.25">
      <c r="A85" s="1">
        <v>99</v>
      </c>
      <c r="B85" s="144" t="s">
        <v>472</v>
      </c>
      <c r="C85" s="2" t="s">
        <v>471</v>
      </c>
      <c r="D85" s="8" t="s">
        <v>474</v>
      </c>
      <c r="E85" s="1" t="s">
        <v>473</v>
      </c>
      <c r="F85" s="1" t="s">
        <v>1659</v>
      </c>
      <c r="G85" s="1" t="s">
        <v>477</v>
      </c>
      <c r="H85" s="1" t="s">
        <v>278</v>
      </c>
    </row>
    <row r="102" spans="9:9" ht="26.25">
      <c r="I102" s="64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44F8-C6AC-4FDD-ADA9-DDCEF8FB7AC7}">
  <dimension ref="A1:S84"/>
  <sheetViews>
    <sheetView workbookViewId="0">
      <selection activeCell="H10" sqref="H10"/>
    </sheetView>
  </sheetViews>
  <sheetFormatPr defaultRowHeight="25.5"/>
  <sheetData>
    <row r="1" spans="1:19">
      <c r="A1" t="s">
        <v>745</v>
      </c>
    </row>
    <row r="2" spans="1:19">
      <c r="B2" t="s">
        <v>533</v>
      </c>
      <c r="C2" t="s">
        <v>550</v>
      </c>
      <c r="D2" t="s">
        <v>486</v>
      </c>
      <c r="E2" t="s">
        <v>506</v>
      </c>
      <c r="F2" t="s">
        <v>489</v>
      </c>
      <c r="G2" t="s">
        <v>413</v>
      </c>
      <c r="H2" t="s">
        <v>501</v>
      </c>
      <c r="I2" t="s">
        <v>511</v>
      </c>
      <c r="J2" t="s">
        <v>557</v>
      </c>
      <c r="K2" t="s">
        <v>482</v>
      </c>
      <c r="L2" t="s">
        <v>746</v>
      </c>
      <c r="M2" t="s">
        <v>747</v>
      </c>
      <c r="N2" t="s">
        <v>748</v>
      </c>
      <c r="O2" t="s">
        <v>749</v>
      </c>
      <c r="P2" t="s">
        <v>491</v>
      </c>
      <c r="Q2" t="s">
        <v>496</v>
      </c>
      <c r="R2" t="s">
        <v>494</v>
      </c>
      <c r="S2" t="s">
        <v>562</v>
      </c>
    </row>
    <row r="3" spans="1:19">
      <c r="A3" t="s">
        <v>305</v>
      </c>
      <c r="B3" t="s">
        <v>305</v>
      </c>
      <c r="C3" t="s">
        <v>750</v>
      </c>
      <c r="D3" t="s">
        <v>751</v>
      </c>
      <c r="E3" t="s">
        <v>752</v>
      </c>
      <c r="F3" t="s">
        <v>753</v>
      </c>
      <c r="G3" t="s">
        <v>754</v>
      </c>
      <c r="H3" t="s">
        <v>755</v>
      </c>
      <c r="I3" t="s">
        <v>756</v>
      </c>
      <c r="J3" t="s">
        <v>289</v>
      </c>
      <c r="K3" t="s">
        <v>757</v>
      </c>
      <c r="L3" t="s">
        <v>758</v>
      </c>
      <c r="M3" t="s">
        <v>759</v>
      </c>
      <c r="O3" t="s">
        <v>760</v>
      </c>
      <c r="P3" t="s">
        <v>761</v>
      </c>
      <c r="Q3" t="s">
        <v>762</v>
      </c>
      <c r="R3" t="s">
        <v>763</v>
      </c>
      <c r="S3" t="s">
        <v>764</v>
      </c>
    </row>
    <row r="4" spans="1:19">
      <c r="A4" t="s">
        <v>686</v>
      </c>
      <c r="B4" t="s">
        <v>287</v>
      </c>
      <c r="C4" t="s">
        <v>765</v>
      </c>
      <c r="E4" t="s">
        <v>766</v>
      </c>
      <c r="H4" t="s">
        <v>767</v>
      </c>
      <c r="I4" t="s">
        <v>768</v>
      </c>
      <c r="L4" t="s">
        <v>769</v>
      </c>
      <c r="M4" t="s">
        <v>770</v>
      </c>
      <c r="O4" t="s">
        <v>771</v>
      </c>
      <c r="P4" t="s">
        <v>772</v>
      </c>
      <c r="Q4" t="s">
        <v>773</v>
      </c>
    </row>
    <row r="5" spans="1:19">
      <c r="A5" t="s">
        <v>636</v>
      </c>
      <c r="B5" t="s">
        <v>310</v>
      </c>
      <c r="C5" t="s">
        <v>774</v>
      </c>
      <c r="D5" t="s">
        <v>775</v>
      </c>
      <c r="E5" t="s">
        <v>776</v>
      </c>
      <c r="F5" t="s">
        <v>777</v>
      </c>
      <c r="G5" t="s">
        <v>778</v>
      </c>
      <c r="H5" t="s">
        <v>779</v>
      </c>
      <c r="I5" t="s">
        <v>780</v>
      </c>
      <c r="J5" t="s">
        <v>294</v>
      </c>
      <c r="K5" t="s">
        <v>781</v>
      </c>
      <c r="L5" t="s">
        <v>782</v>
      </c>
      <c r="M5" t="s">
        <v>783</v>
      </c>
      <c r="O5" t="s">
        <v>784</v>
      </c>
      <c r="P5" t="s">
        <v>785</v>
      </c>
      <c r="Q5" t="s">
        <v>786</v>
      </c>
    </row>
    <row r="6" spans="1:19">
      <c r="A6" t="s">
        <v>628</v>
      </c>
      <c r="B6" t="s">
        <v>293</v>
      </c>
      <c r="C6" t="s">
        <v>787</v>
      </c>
      <c r="O6" t="s">
        <v>788</v>
      </c>
    </row>
    <row r="7" spans="1:19">
      <c r="A7" t="s">
        <v>203</v>
      </c>
      <c r="B7" t="s">
        <v>203</v>
      </c>
      <c r="C7" t="s">
        <v>789</v>
      </c>
      <c r="H7" t="s">
        <v>790</v>
      </c>
      <c r="I7" t="s">
        <v>791</v>
      </c>
      <c r="K7" t="s">
        <v>792</v>
      </c>
      <c r="L7" t="s">
        <v>793</v>
      </c>
      <c r="M7" t="s">
        <v>794</v>
      </c>
      <c r="O7" t="s">
        <v>795</v>
      </c>
      <c r="P7" t="s">
        <v>796</v>
      </c>
      <c r="Q7" t="s">
        <v>797</v>
      </c>
      <c r="R7" t="s">
        <v>798</v>
      </c>
    </row>
    <row r="8" spans="1:19">
      <c r="A8" t="s">
        <v>65</v>
      </c>
      <c r="B8" t="s">
        <v>65</v>
      </c>
      <c r="C8" t="s">
        <v>799</v>
      </c>
      <c r="D8" t="s">
        <v>800</v>
      </c>
      <c r="E8" t="s">
        <v>801</v>
      </c>
      <c r="F8" t="s">
        <v>802</v>
      </c>
      <c r="H8" t="s">
        <v>803</v>
      </c>
      <c r="I8" t="s">
        <v>804</v>
      </c>
      <c r="K8" t="s">
        <v>805</v>
      </c>
      <c r="L8" t="s">
        <v>806</v>
      </c>
      <c r="M8" t="s">
        <v>807</v>
      </c>
      <c r="O8" t="s">
        <v>808</v>
      </c>
      <c r="P8" t="s">
        <v>809</v>
      </c>
      <c r="Q8" t="s">
        <v>810</v>
      </c>
      <c r="R8" t="s">
        <v>811</v>
      </c>
    </row>
    <row r="9" spans="1:19">
      <c r="A9" t="s">
        <v>227</v>
      </c>
      <c r="B9" t="s">
        <v>229</v>
      </c>
      <c r="C9" t="s">
        <v>812</v>
      </c>
      <c r="D9" t="s">
        <v>813</v>
      </c>
      <c r="E9" t="s">
        <v>814</v>
      </c>
      <c r="F9" t="s">
        <v>815</v>
      </c>
      <c r="H9" t="s">
        <v>816</v>
      </c>
      <c r="I9" t="s">
        <v>817</v>
      </c>
      <c r="K9" t="s">
        <v>818</v>
      </c>
      <c r="L9" t="s">
        <v>819</v>
      </c>
      <c r="M9" t="s">
        <v>820</v>
      </c>
      <c r="O9" t="s">
        <v>821</v>
      </c>
      <c r="P9" t="s">
        <v>822</v>
      </c>
      <c r="Q9" t="s">
        <v>823</v>
      </c>
      <c r="R9" t="s">
        <v>824</v>
      </c>
    </row>
    <row r="10" spans="1:19">
      <c r="A10" t="s">
        <v>209</v>
      </c>
      <c r="B10" t="s">
        <v>211</v>
      </c>
      <c r="C10" t="s">
        <v>825</v>
      </c>
      <c r="H10" t="s">
        <v>826</v>
      </c>
      <c r="I10" t="s">
        <v>827</v>
      </c>
      <c r="K10" t="s">
        <v>828</v>
      </c>
      <c r="L10" t="s">
        <v>829</v>
      </c>
      <c r="M10" t="s">
        <v>830</v>
      </c>
      <c r="O10" t="s">
        <v>831</v>
      </c>
      <c r="P10" t="s">
        <v>832</v>
      </c>
      <c r="Q10" t="s">
        <v>833</v>
      </c>
    </row>
    <row r="11" spans="1:19">
      <c r="A11" t="s">
        <v>71</v>
      </c>
      <c r="B11" t="s">
        <v>73</v>
      </c>
      <c r="C11" t="s">
        <v>834</v>
      </c>
      <c r="D11" t="s">
        <v>835</v>
      </c>
      <c r="E11" t="s">
        <v>836</v>
      </c>
      <c r="F11" t="s">
        <v>837</v>
      </c>
      <c r="H11" t="s">
        <v>838</v>
      </c>
      <c r="I11" t="s">
        <v>839</v>
      </c>
      <c r="K11" t="s">
        <v>840</v>
      </c>
      <c r="L11" t="s">
        <v>841</v>
      </c>
      <c r="M11" t="s">
        <v>842</v>
      </c>
      <c r="O11" t="s">
        <v>843</v>
      </c>
      <c r="P11" t="s">
        <v>844</v>
      </c>
      <c r="Q11" t="s">
        <v>845</v>
      </c>
    </row>
    <row r="12" spans="1:19">
      <c r="A12" t="s">
        <v>233</v>
      </c>
      <c r="B12" t="s">
        <v>235</v>
      </c>
      <c r="C12" t="s">
        <v>846</v>
      </c>
      <c r="D12" t="s">
        <v>847</v>
      </c>
      <c r="E12" t="s">
        <v>848</v>
      </c>
      <c r="F12" t="s">
        <v>849</v>
      </c>
      <c r="H12" t="s">
        <v>850</v>
      </c>
      <c r="I12" t="s">
        <v>851</v>
      </c>
      <c r="K12" t="s">
        <v>852</v>
      </c>
      <c r="L12" t="s">
        <v>853</v>
      </c>
      <c r="M12" t="s">
        <v>854</v>
      </c>
      <c r="O12" t="s">
        <v>855</v>
      </c>
      <c r="P12" t="s">
        <v>856</v>
      </c>
      <c r="Q12" t="s">
        <v>857</v>
      </c>
      <c r="R12" t="s">
        <v>858</v>
      </c>
    </row>
    <row r="13" spans="1:19">
      <c r="A13" t="s">
        <v>688</v>
      </c>
      <c r="B13" t="s">
        <v>176</v>
      </c>
      <c r="C13" t="s">
        <v>859</v>
      </c>
      <c r="D13" t="s">
        <v>860</v>
      </c>
      <c r="E13" t="s">
        <v>861</v>
      </c>
      <c r="F13" t="s">
        <v>862</v>
      </c>
      <c r="G13" t="s">
        <v>863</v>
      </c>
      <c r="H13" t="s">
        <v>864</v>
      </c>
      <c r="I13" t="s">
        <v>865</v>
      </c>
      <c r="J13" t="s">
        <v>401</v>
      </c>
      <c r="K13" t="s">
        <v>866</v>
      </c>
      <c r="L13" t="s">
        <v>867</v>
      </c>
      <c r="M13" t="s">
        <v>868</v>
      </c>
      <c r="O13" t="s">
        <v>869</v>
      </c>
      <c r="P13" t="s">
        <v>870</v>
      </c>
      <c r="Q13" t="s">
        <v>871</v>
      </c>
      <c r="R13" t="s">
        <v>872</v>
      </c>
      <c r="S13" t="s">
        <v>873</v>
      </c>
    </row>
    <row r="14" spans="1:19">
      <c r="A14" t="s">
        <v>874</v>
      </c>
      <c r="B14" t="s">
        <v>399</v>
      </c>
      <c r="C14" t="s">
        <v>875</v>
      </c>
      <c r="E14" t="s">
        <v>876</v>
      </c>
      <c r="H14" t="s">
        <v>877</v>
      </c>
      <c r="L14" t="s">
        <v>878</v>
      </c>
      <c r="P14" t="s">
        <v>879</v>
      </c>
      <c r="Q14" t="s">
        <v>880</v>
      </c>
    </row>
    <row r="15" spans="1:19">
      <c r="A15" t="s">
        <v>881</v>
      </c>
      <c r="B15" t="s">
        <v>882</v>
      </c>
      <c r="C15" t="s">
        <v>883</v>
      </c>
      <c r="K15" t="s">
        <v>884</v>
      </c>
      <c r="O15" t="s">
        <v>885</v>
      </c>
    </row>
    <row r="16" spans="1:19">
      <c r="A16" t="s">
        <v>251</v>
      </c>
      <c r="B16" t="s">
        <v>251</v>
      </c>
      <c r="C16" t="s">
        <v>886</v>
      </c>
      <c r="D16" t="s">
        <v>887</v>
      </c>
      <c r="E16" t="s">
        <v>888</v>
      </c>
      <c r="F16" t="s">
        <v>889</v>
      </c>
      <c r="G16" t="s">
        <v>890</v>
      </c>
      <c r="H16" t="s">
        <v>891</v>
      </c>
      <c r="I16" t="s">
        <v>892</v>
      </c>
      <c r="J16" t="s">
        <v>893</v>
      </c>
      <c r="K16" t="s">
        <v>894</v>
      </c>
      <c r="L16" t="s">
        <v>895</v>
      </c>
      <c r="M16" t="s">
        <v>896</v>
      </c>
      <c r="O16" t="s">
        <v>897</v>
      </c>
      <c r="P16" t="s">
        <v>898</v>
      </c>
      <c r="Q16" t="s">
        <v>899</v>
      </c>
      <c r="R16" t="s">
        <v>900</v>
      </c>
      <c r="S16" t="s">
        <v>901</v>
      </c>
    </row>
    <row r="17" spans="1:19">
      <c r="A17" t="s">
        <v>626</v>
      </c>
      <c r="B17" t="s">
        <v>258</v>
      </c>
      <c r="E17" t="s">
        <v>902</v>
      </c>
      <c r="G17" t="s">
        <v>903</v>
      </c>
      <c r="H17" t="s">
        <v>904</v>
      </c>
      <c r="J17" t="s">
        <v>905</v>
      </c>
      <c r="K17" t="s">
        <v>906</v>
      </c>
      <c r="M17" t="s">
        <v>907</v>
      </c>
      <c r="P17" t="s">
        <v>908</v>
      </c>
      <c r="S17" t="s">
        <v>909</v>
      </c>
    </row>
    <row r="18" spans="1:19" s="45" customFormat="1">
      <c r="A18" s="45" t="s">
        <v>56</v>
      </c>
      <c r="B18" s="45" t="s">
        <v>56</v>
      </c>
      <c r="C18" s="45" t="s">
        <v>910</v>
      </c>
      <c r="D18" s="45" t="s">
        <v>911</v>
      </c>
      <c r="E18" s="45" t="s">
        <v>912</v>
      </c>
      <c r="F18" s="45" t="s">
        <v>913</v>
      </c>
      <c r="G18" s="45" t="s">
        <v>914</v>
      </c>
      <c r="H18" s="45" t="s">
        <v>915</v>
      </c>
      <c r="I18" s="45" t="s">
        <v>916</v>
      </c>
      <c r="J18" s="45" t="s">
        <v>330</v>
      </c>
      <c r="K18" s="45" t="s">
        <v>917</v>
      </c>
      <c r="L18" s="45" t="s">
        <v>918</v>
      </c>
      <c r="M18" s="45" t="s">
        <v>919</v>
      </c>
      <c r="O18" s="45" t="s">
        <v>920</v>
      </c>
      <c r="P18" s="45" t="s">
        <v>921</v>
      </c>
      <c r="Q18" s="45" t="s">
        <v>922</v>
      </c>
      <c r="R18" s="45" t="s">
        <v>923</v>
      </c>
      <c r="S18" s="45" t="s">
        <v>924</v>
      </c>
    </row>
    <row r="19" spans="1:19" s="45" customFormat="1">
      <c r="A19" s="45" t="s">
        <v>689</v>
      </c>
      <c r="B19" s="45" t="s">
        <v>328</v>
      </c>
      <c r="C19" s="45" t="s">
        <v>925</v>
      </c>
      <c r="D19" s="45" t="s">
        <v>926</v>
      </c>
      <c r="E19" s="45" t="s">
        <v>927</v>
      </c>
      <c r="H19" s="45" t="s">
        <v>928</v>
      </c>
      <c r="I19" s="45" t="s">
        <v>929</v>
      </c>
      <c r="L19" s="45" t="s">
        <v>930</v>
      </c>
      <c r="M19" s="45" t="s">
        <v>931</v>
      </c>
      <c r="O19" s="45" t="s">
        <v>932</v>
      </c>
      <c r="P19" s="45" t="s">
        <v>933</v>
      </c>
      <c r="Q19" s="45" t="s">
        <v>934</v>
      </c>
    </row>
    <row r="20" spans="1:19" s="45" customFormat="1">
      <c r="A20" s="45" t="s">
        <v>637</v>
      </c>
      <c r="B20" s="45" t="s">
        <v>61</v>
      </c>
      <c r="C20" s="45" t="s">
        <v>935</v>
      </c>
      <c r="D20" s="45" t="s">
        <v>936</v>
      </c>
      <c r="E20" s="45" t="s">
        <v>937</v>
      </c>
      <c r="F20" s="45" t="s">
        <v>938</v>
      </c>
      <c r="G20" s="45" t="s">
        <v>939</v>
      </c>
      <c r="H20" s="45" t="s">
        <v>940</v>
      </c>
      <c r="I20" s="45" t="s">
        <v>941</v>
      </c>
      <c r="J20" s="45" t="s">
        <v>942</v>
      </c>
      <c r="K20" s="45" t="s">
        <v>943</v>
      </c>
      <c r="L20" s="45" t="s">
        <v>944</v>
      </c>
      <c r="M20" s="45" t="s">
        <v>945</v>
      </c>
      <c r="O20" s="45" t="s">
        <v>946</v>
      </c>
      <c r="P20" s="45" t="s">
        <v>947</v>
      </c>
      <c r="Q20" s="45" t="s">
        <v>948</v>
      </c>
      <c r="R20" s="45" t="s">
        <v>949</v>
      </c>
      <c r="S20" s="45" t="s">
        <v>950</v>
      </c>
    </row>
    <row r="21" spans="1:19" s="45" customFormat="1">
      <c r="A21" s="45" t="s">
        <v>951</v>
      </c>
      <c r="B21" s="45" t="s">
        <v>333</v>
      </c>
      <c r="C21" s="45" t="s">
        <v>952</v>
      </c>
      <c r="Q21" s="45" t="s">
        <v>953</v>
      </c>
    </row>
    <row r="22" spans="1:19">
      <c r="A22" t="s">
        <v>313</v>
      </c>
      <c r="B22" t="s">
        <v>313</v>
      </c>
      <c r="C22" t="s">
        <v>954</v>
      </c>
      <c r="D22" t="s">
        <v>955</v>
      </c>
      <c r="E22" t="s">
        <v>956</v>
      </c>
      <c r="F22" t="s">
        <v>957</v>
      </c>
      <c r="G22" t="s">
        <v>958</v>
      </c>
      <c r="H22" t="s">
        <v>959</v>
      </c>
      <c r="I22" t="s">
        <v>960</v>
      </c>
      <c r="J22" t="s">
        <v>359</v>
      </c>
      <c r="K22" t="s">
        <v>961</v>
      </c>
      <c r="L22" t="s">
        <v>574</v>
      </c>
      <c r="M22" t="s">
        <v>580</v>
      </c>
      <c r="N22" t="s">
        <v>568</v>
      </c>
      <c r="O22" t="s">
        <v>585</v>
      </c>
      <c r="P22" t="s">
        <v>962</v>
      </c>
      <c r="Q22" t="s">
        <v>963</v>
      </c>
      <c r="R22" t="s">
        <v>964</v>
      </c>
      <c r="S22" t="s">
        <v>965</v>
      </c>
    </row>
    <row r="23" spans="1:19">
      <c r="A23" t="s">
        <v>354</v>
      </c>
      <c r="B23" t="s">
        <v>357</v>
      </c>
      <c r="C23" t="s">
        <v>966</v>
      </c>
      <c r="D23" t="s">
        <v>967</v>
      </c>
      <c r="E23" t="s">
        <v>968</v>
      </c>
      <c r="H23" t="s">
        <v>969</v>
      </c>
      <c r="I23" t="s">
        <v>970</v>
      </c>
      <c r="L23" t="s">
        <v>971</v>
      </c>
      <c r="M23" t="s">
        <v>972</v>
      </c>
      <c r="O23" t="s">
        <v>973</v>
      </c>
      <c r="P23" t="s">
        <v>974</v>
      </c>
      <c r="Q23" t="s">
        <v>975</v>
      </c>
    </row>
    <row r="24" spans="1:19">
      <c r="A24" t="s">
        <v>640</v>
      </c>
      <c r="B24" t="s">
        <v>318</v>
      </c>
      <c r="D24" t="s">
        <v>976</v>
      </c>
      <c r="E24" t="s">
        <v>977</v>
      </c>
      <c r="F24" t="s">
        <v>978</v>
      </c>
      <c r="G24" t="s">
        <v>979</v>
      </c>
      <c r="H24" t="s">
        <v>980</v>
      </c>
      <c r="I24" t="s">
        <v>981</v>
      </c>
      <c r="J24" t="s">
        <v>363</v>
      </c>
      <c r="K24" t="s">
        <v>982</v>
      </c>
      <c r="L24" t="s">
        <v>983</v>
      </c>
      <c r="M24" t="s">
        <v>984</v>
      </c>
      <c r="O24" t="s">
        <v>985</v>
      </c>
      <c r="P24" t="s">
        <v>986</v>
      </c>
      <c r="Q24" t="s">
        <v>987</v>
      </c>
    </row>
    <row r="25" spans="1:19">
      <c r="A25" t="s">
        <v>34</v>
      </c>
      <c r="B25" t="s">
        <v>34</v>
      </c>
      <c r="C25" t="s">
        <v>988</v>
      </c>
      <c r="H25" t="s">
        <v>989</v>
      </c>
      <c r="I25" t="s">
        <v>990</v>
      </c>
      <c r="K25" t="s">
        <v>991</v>
      </c>
      <c r="L25" t="s">
        <v>992</v>
      </c>
      <c r="M25" t="s">
        <v>993</v>
      </c>
      <c r="N25" t="s">
        <v>994</v>
      </c>
      <c r="O25" t="s">
        <v>995</v>
      </c>
      <c r="P25" t="s">
        <v>996</v>
      </c>
      <c r="Q25" t="s">
        <v>997</v>
      </c>
      <c r="R25" t="s">
        <v>998</v>
      </c>
    </row>
    <row r="26" spans="1:19">
      <c r="A26" t="s">
        <v>182</v>
      </c>
      <c r="B26" t="s">
        <v>182</v>
      </c>
      <c r="C26" t="s">
        <v>999</v>
      </c>
      <c r="D26" t="s">
        <v>1000</v>
      </c>
      <c r="E26" t="s">
        <v>1001</v>
      </c>
      <c r="F26" t="s">
        <v>1002</v>
      </c>
      <c r="H26" t="s">
        <v>1003</v>
      </c>
      <c r="I26" t="s">
        <v>1004</v>
      </c>
      <c r="K26" t="s">
        <v>1005</v>
      </c>
      <c r="L26" t="s">
        <v>1006</v>
      </c>
      <c r="M26" t="s">
        <v>1007</v>
      </c>
      <c r="N26" t="s">
        <v>1008</v>
      </c>
      <c r="O26" t="s">
        <v>1009</v>
      </c>
      <c r="P26" t="s">
        <v>1010</v>
      </c>
      <c r="Q26" t="s">
        <v>1011</v>
      </c>
      <c r="R26" t="s">
        <v>1012</v>
      </c>
    </row>
    <row r="27" spans="1:19">
      <c r="A27" t="s">
        <v>102</v>
      </c>
      <c r="B27" t="s">
        <v>105</v>
      </c>
      <c r="C27" t="s">
        <v>1013</v>
      </c>
      <c r="D27" t="s">
        <v>1014</v>
      </c>
      <c r="E27" t="s">
        <v>1015</v>
      </c>
      <c r="F27" t="s">
        <v>1016</v>
      </c>
      <c r="H27" t="s">
        <v>1017</v>
      </c>
      <c r="I27" t="s">
        <v>1018</v>
      </c>
      <c r="K27" t="s">
        <v>1019</v>
      </c>
      <c r="L27" t="s">
        <v>1020</v>
      </c>
      <c r="M27" t="s">
        <v>1021</v>
      </c>
      <c r="O27" t="s">
        <v>1022</v>
      </c>
      <c r="P27" t="s">
        <v>1023</v>
      </c>
      <c r="Q27" t="s">
        <v>1024</v>
      </c>
      <c r="R27" t="s">
        <v>1025</v>
      </c>
    </row>
    <row r="28" spans="1:19">
      <c r="A28" t="s">
        <v>40</v>
      </c>
      <c r="B28" t="s">
        <v>42</v>
      </c>
      <c r="C28" t="s">
        <v>1026</v>
      </c>
      <c r="K28" t="s">
        <v>1027</v>
      </c>
      <c r="L28" t="s">
        <v>1028</v>
      </c>
      <c r="M28" t="s">
        <v>1029</v>
      </c>
      <c r="N28" t="s">
        <v>1030</v>
      </c>
      <c r="O28" t="s">
        <v>1031</v>
      </c>
      <c r="P28" t="s">
        <v>1032</v>
      </c>
      <c r="Q28" t="s">
        <v>1033</v>
      </c>
    </row>
    <row r="29" spans="1:19">
      <c r="A29" t="s">
        <v>188</v>
      </c>
      <c r="B29" t="s">
        <v>190</v>
      </c>
      <c r="C29" t="s">
        <v>1034</v>
      </c>
      <c r="D29" t="s">
        <v>1035</v>
      </c>
      <c r="E29" t="s">
        <v>1036</v>
      </c>
      <c r="F29" t="s">
        <v>1037</v>
      </c>
      <c r="H29" t="s">
        <v>1038</v>
      </c>
      <c r="I29" t="s">
        <v>1039</v>
      </c>
      <c r="K29" t="s">
        <v>1040</v>
      </c>
      <c r="L29" t="s">
        <v>1041</v>
      </c>
      <c r="M29" t="s">
        <v>1042</v>
      </c>
      <c r="N29" t="s">
        <v>1043</v>
      </c>
      <c r="O29" t="s">
        <v>1044</v>
      </c>
      <c r="P29" t="s">
        <v>1045</v>
      </c>
      <c r="Q29" t="s">
        <v>1046</v>
      </c>
    </row>
    <row r="30" spans="1:19">
      <c r="A30" t="s">
        <v>1047</v>
      </c>
      <c r="B30" t="s">
        <v>111</v>
      </c>
      <c r="C30" t="s">
        <v>1048</v>
      </c>
      <c r="D30" t="s">
        <v>1049</v>
      </c>
      <c r="E30" t="s">
        <v>1050</v>
      </c>
      <c r="F30" t="s">
        <v>1051</v>
      </c>
      <c r="H30" t="s">
        <v>1052</v>
      </c>
      <c r="I30" t="s">
        <v>1053</v>
      </c>
      <c r="K30" t="s">
        <v>1054</v>
      </c>
      <c r="L30" t="s">
        <v>1055</v>
      </c>
      <c r="M30" t="s">
        <v>1056</v>
      </c>
      <c r="N30" t="s">
        <v>1057</v>
      </c>
      <c r="O30" t="s">
        <v>1058</v>
      </c>
      <c r="P30" t="s">
        <v>1059</v>
      </c>
      <c r="Q30" t="s">
        <v>1060</v>
      </c>
      <c r="R30" t="s">
        <v>1061</v>
      </c>
    </row>
    <row r="31" spans="1:19">
      <c r="A31" t="s">
        <v>699</v>
      </c>
      <c r="B31" t="s">
        <v>263</v>
      </c>
      <c r="C31" t="s">
        <v>1062</v>
      </c>
      <c r="G31" t="s">
        <v>1063</v>
      </c>
      <c r="H31" t="s">
        <v>1064</v>
      </c>
      <c r="J31" t="s">
        <v>376</v>
      </c>
      <c r="K31" t="s">
        <v>1065</v>
      </c>
      <c r="L31" t="s">
        <v>1066</v>
      </c>
      <c r="M31" t="s">
        <v>1067</v>
      </c>
      <c r="N31" t="s">
        <v>1068</v>
      </c>
      <c r="O31" t="s">
        <v>1069</v>
      </c>
      <c r="P31" t="s">
        <v>1070</v>
      </c>
      <c r="Q31" t="s">
        <v>1071</v>
      </c>
      <c r="R31" t="s">
        <v>1072</v>
      </c>
      <c r="S31" t="s">
        <v>1073</v>
      </c>
    </row>
    <row r="32" spans="1:19">
      <c r="A32" t="s">
        <v>1074</v>
      </c>
      <c r="B32" t="s">
        <v>373</v>
      </c>
      <c r="C32" t="s">
        <v>1075</v>
      </c>
      <c r="D32" t="s">
        <v>1076</v>
      </c>
      <c r="E32" t="s">
        <v>1077</v>
      </c>
      <c r="H32" t="s">
        <v>1078</v>
      </c>
      <c r="I32" t="s">
        <v>1079</v>
      </c>
      <c r="L32" t="s">
        <v>1080</v>
      </c>
      <c r="M32" t="s">
        <v>1081</v>
      </c>
      <c r="O32" t="s">
        <v>1082</v>
      </c>
      <c r="P32" t="s">
        <v>1083</v>
      </c>
      <c r="Q32" t="s">
        <v>1084</v>
      </c>
    </row>
    <row r="33" spans="1:19">
      <c r="A33" t="s">
        <v>1085</v>
      </c>
      <c r="B33" t="s">
        <v>269</v>
      </c>
      <c r="C33" t="s">
        <v>1086</v>
      </c>
      <c r="D33" t="s">
        <v>1087</v>
      </c>
      <c r="E33" t="s">
        <v>1088</v>
      </c>
      <c r="H33" t="s">
        <v>1089</v>
      </c>
      <c r="I33" t="s">
        <v>1090</v>
      </c>
      <c r="K33" t="s">
        <v>1091</v>
      </c>
      <c r="L33" t="s">
        <v>1092</v>
      </c>
      <c r="M33" t="s">
        <v>1093</v>
      </c>
      <c r="N33" t="s">
        <v>1094</v>
      </c>
      <c r="O33" t="s">
        <v>1095</v>
      </c>
      <c r="P33" t="s">
        <v>1096</v>
      </c>
      <c r="Q33" t="s">
        <v>1097</v>
      </c>
      <c r="R33" t="s">
        <v>1098</v>
      </c>
    </row>
    <row r="34" spans="1:19">
      <c r="A34" t="s">
        <v>624</v>
      </c>
      <c r="B34" t="s">
        <v>374</v>
      </c>
      <c r="C34" t="s">
        <v>1099</v>
      </c>
      <c r="O34" t="s">
        <v>1100</v>
      </c>
    </row>
    <row r="35" spans="1:19">
      <c r="A35" t="s">
        <v>1101</v>
      </c>
      <c r="B35" t="s">
        <v>239</v>
      </c>
      <c r="C35" t="s">
        <v>1102</v>
      </c>
      <c r="H35" t="s">
        <v>1103</v>
      </c>
      <c r="I35" t="s">
        <v>1104</v>
      </c>
      <c r="K35" t="s">
        <v>1105</v>
      </c>
      <c r="L35" t="s">
        <v>1106</v>
      </c>
      <c r="M35" t="s">
        <v>1107</v>
      </c>
      <c r="N35" t="s">
        <v>1108</v>
      </c>
      <c r="O35" t="s">
        <v>1109</v>
      </c>
      <c r="P35" t="s">
        <v>1110</v>
      </c>
      <c r="Q35" t="s">
        <v>1111</v>
      </c>
      <c r="R35" t="s">
        <v>1112</v>
      </c>
    </row>
    <row r="36" spans="1:19">
      <c r="A36" t="s">
        <v>1113</v>
      </c>
      <c r="B36" t="s">
        <v>23</v>
      </c>
      <c r="C36" t="s">
        <v>1114</v>
      </c>
      <c r="D36" t="s">
        <v>1115</v>
      </c>
      <c r="E36" t="s">
        <v>1116</v>
      </c>
      <c r="F36" t="s">
        <v>1117</v>
      </c>
      <c r="H36" t="s">
        <v>1118</v>
      </c>
      <c r="I36" t="s">
        <v>1119</v>
      </c>
      <c r="K36" t="s">
        <v>1120</v>
      </c>
      <c r="L36" t="s">
        <v>1121</v>
      </c>
      <c r="M36" t="s">
        <v>1122</v>
      </c>
      <c r="N36" t="s">
        <v>1123</v>
      </c>
      <c r="O36" t="s">
        <v>1124</v>
      </c>
      <c r="P36" t="s">
        <v>1125</v>
      </c>
      <c r="Q36" t="s">
        <v>1126</v>
      </c>
      <c r="R36" t="s">
        <v>1127</v>
      </c>
    </row>
    <row r="37" spans="1:19" s="45" customFormat="1">
      <c r="A37" s="45" t="s">
        <v>695</v>
      </c>
      <c r="B37" s="45" t="s">
        <v>195</v>
      </c>
      <c r="C37" s="45" t="s">
        <v>1128</v>
      </c>
      <c r="D37" s="45" t="s">
        <v>1129</v>
      </c>
      <c r="E37" s="45" t="s">
        <v>1130</v>
      </c>
      <c r="K37" s="45" t="s">
        <v>1131</v>
      </c>
      <c r="L37" s="45" t="s">
        <v>1132</v>
      </c>
      <c r="M37" s="45" t="s">
        <v>1133</v>
      </c>
      <c r="N37" s="45" t="s">
        <v>1134</v>
      </c>
      <c r="O37" s="45" t="s">
        <v>1135</v>
      </c>
      <c r="P37" s="45" t="s">
        <v>1136</v>
      </c>
      <c r="Q37" s="45" t="s">
        <v>1137</v>
      </c>
      <c r="R37" s="45" t="s">
        <v>1138</v>
      </c>
    </row>
    <row r="38" spans="1:19" s="45" customFormat="1">
      <c r="A38" s="45" t="s">
        <v>1139</v>
      </c>
      <c r="B38" s="45" t="s">
        <v>247</v>
      </c>
      <c r="C38" s="45" t="s">
        <v>1140</v>
      </c>
      <c r="H38" s="45" t="s">
        <v>1141</v>
      </c>
      <c r="I38" s="45" t="s">
        <v>1142</v>
      </c>
      <c r="K38" s="45" t="s">
        <v>1143</v>
      </c>
      <c r="L38" s="45" t="s">
        <v>1144</v>
      </c>
      <c r="M38" s="45" t="s">
        <v>1145</v>
      </c>
      <c r="N38" s="45" t="s">
        <v>1146</v>
      </c>
      <c r="O38" s="45" t="s">
        <v>1147</v>
      </c>
      <c r="P38" s="45" t="s">
        <v>1148</v>
      </c>
      <c r="Q38" s="45" t="s">
        <v>1149</v>
      </c>
      <c r="R38" s="45" t="s">
        <v>1150</v>
      </c>
    </row>
    <row r="39" spans="1:19" s="45" customFormat="1">
      <c r="A39" s="45" t="s">
        <v>1151</v>
      </c>
      <c r="B39" s="45" t="s">
        <v>30</v>
      </c>
      <c r="C39" s="45" t="s">
        <v>1152</v>
      </c>
      <c r="D39" s="45" t="s">
        <v>1153</v>
      </c>
      <c r="E39" s="45" t="s">
        <v>1154</v>
      </c>
      <c r="F39" s="45" t="s">
        <v>1155</v>
      </c>
      <c r="H39" s="45" t="s">
        <v>1156</v>
      </c>
      <c r="I39" s="45" t="s">
        <v>1157</v>
      </c>
      <c r="K39" s="45" t="s">
        <v>1158</v>
      </c>
      <c r="L39" s="45" t="s">
        <v>1159</v>
      </c>
      <c r="M39" s="45" t="s">
        <v>1160</v>
      </c>
      <c r="N39" s="45" t="s">
        <v>1161</v>
      </c>
      <c r="O39" s="45" t="s">
        <v>1162</v>
      </c>
      <c r="P39" s="45" t="s">
        <v>1163</v>
      </c>
      <c r="Q39" s="45" t="s">
        <v>1164</v>
      </c>
      <c r="R39" s="45" t="s">
        <v>1165</v>
      </c>
    </row>
    <row r="40" spans="1:19" s="45" customFormat="1">
      <c r="A40" s="45" t="s">
        <v>696</v>
      </c>
      <c r="B40" s="45" t="s">
        <v>199</v>
      </c>
      <c r="D40" s="45" t="s">
        <v>1166</v>
      </c>
      <c r="E40" s="45" t="s">
        <v>1167</v>
      </c>
      <c r="H40" s="45" t="s">
        <v>1168</v>
      </c>
      <c r="M40" s="45" t="s">
        <v>1169</v>
      </c>
      <c r="O40" s="45" t="s">
        <v>1170</v>
      </c>
      <c r="Q40" s="45" t="s">
        <v>1171</v>
      </c>
    </row>
    <row r="41" spans="1:19" s="45" customFormat="1">
      <c r="A41" s="45" t="s">
        <v>1172</v>
      </c>
      <c r="B41" s="45" t="s">
        <v>136</v>
      </c>
      <c r="C41" s="45" t="s">
        <v>1173</v>
      </c>
      <c r="D41" s="45" t="s">
        <v>1174</v>
      </c>
      <c r="E41" s="45" t="s">
        <v>1175</v>
      </c>
      <c r="F41" s="45" t="s">
        <v>1176</v>
      </c>
      <c r="G41" s="45" t="s">
        <v>1177</v>
      </c>
      <c r="H41" s="45" t="s">
        <v>1178</v>
      </c>
      <c r="I41" s="45" t="s">
        <v>1179</v>
      </c>
      <c r="J41" s="45" t="s">
        <v>1180</v>
      </c>
      <c r="K41" s="45" t="s">
        <v>1181</v>
      </c>
      <c r="L41" s="45" t="s">
        <v>1182</v>
      </c>
      <c r="M41" s="45" t="s">
        <v>1183</v>
      </c>
      <c r="N41" s="45" t="s">
        <v>1184</v>
      </c>
      <c r="O41" s="45" t="s">
        <v>1185</v>
      </c>
      <c r="P41" s="45" t="s">
        <v>1186</v>
      </c>
      <c r="Q41" s="45" t="s">
        <v>1187</v>
      </c>
      <c r="R41" s="45" t="s">
        <v>1188</v>
      </c>
      <c r="S41" s="45" t="s">
        <v>1189</v>
      </c>
    </row>
    <row r="42" spans="1:19" s="45" customFormat="1">
      <c r="A42" s="45" t="s">
        <v>1190</v>
      </c>
      <c r="B42" s="45" t="s">
        <v>442</v>
      </c>
    </row>
    <row r="43" spans="1:19" s="45" customFormat="1">
      <c r="A43" s="45" t="s">
        <v>1191</v>
      </c>
      <c r="B43" s="45" t="s">
        <v>143</v>
      </c>
      <c r="C43" s="45" t="s">
        <v>1192</v>
      </c>
      <c r="Q43" s="45" t="s">
        <v>1193</v>
      </c>
      <c r="S43" s="45" t="s">
        <v>1194</v>
      </c>
    </row>
    <row r="44" spans="1:19" s="45" customFormat="1">
      <c r="A44" s="45" t="s">
        <v>1195</v>
      </c>
      <c r="B44" s="45" t="s">
        <v>344</v>
      </c>
      <c r="C44" s="45" t="s">
        <v>1196</v>
      </c>
      <c r="D44" s="45" t="s">
        <v>1197</v>
      </c>
      <c r="E44" s="45" t="s">
        <v>1198</v>
      </c>
      <c r="F44" s="45" t="s">
        <v>1199</v>
      </c>
      <c r="H44" s="45" t="s">
        <v>1200</v>
      </c>
      <c r="I44" s="45" t="s">
        <v>1201</v>
      </c>
      <c r="K44" s="45" t="s">
        <v>1202</v>
      </c>
      <c r="L44" s="45" t="s">
        <v>1203</v>
      </c>
      <c r="M44" s="45" t="s">
        <v>1204</v>
      </c>
      <c r="N44" s="45" t="s">
        <v>1205</v>
      </c>
      <c r="O44" s="45" t="s">
        <v>1206</v>
      </c>
      <c r="P44" s="45" t="s">
        <v>1207</v>
      </c>
      <c r="Q44" s="45" t="s">
        <v>1208</v>
      </c>
      <c r="R44" s="45" t="s">
        <v>1209</v>
      </c>
    </row>
    <row r="45" spans="1:19" s="45" customFormat="1">
      <c r="A45" s="45" t="s">
        <v>1210</v>
      </c>
      <c r="B45" s="45" t="s">
        <v>368</v>
      </c>
      <c r="C45" s="45" t="s">
        <v>1211</v>
      </c>
      <c r="H45" s="45" t="s">
        <v>1212</v>
      </c>
      <c r="L45" s="45" t="s">
        <v>1213</v>
      </c>
      <c r="M45" s="45" t="s">
        <v>1214</v>
      </c>
      <c r="O45" s="45" t="s">
        <v>1215</v>
      </c>
      <c r="P45" s="45" t="s">
        <v>1216</v>
      </c>
      <c r="Q45" s="45" t="s">
        <v>1217</v>
      </c>
    </row>
    <row r="46" spans="1:19" s="45" customFormat="1">
      <c r="A46" s="45" t="s">
        <v>1218</v>
      </c>
      <c r="B46" s="45" t="s">
        <v>350</v>
      </c>
      <c r="C46" s="45" t="s">
        <v>1219</v>
      </c>
      <c r="H46" s="45" t="s">
        <v>1220</v>
      </c>
      <c r="K46" s="45" t="s">
        <v>1221</v>
      </c>
      <c r="L46" s="45" t="s">
        <v>1222</v>
      </c>
      <c r="M46" s="45" t="s">
        <v>1223</v>
      </c>
      <c r="O46" s="45" t="s">
        <v>1224</v>
      </c>
      <c r="P46" s="45" t="s">
        <v>1225</v>
      </c>
      <c r="Q46" s="45" t="s">
        <v>1226</v>
      </c>
      <c r="R46" s="45" t="s">
        <v>1227</v>
      </c>
    </row>
    <row r="47" spans="1:19" s="45" customFormat="1">
      <c r="A47" s="45" t="s">
        <v>693</v>
      </c>
      <c r="B47" s="45" t="s">
        <v>155</v>
      </c>
      <c r="C47" s="45" t="s">
        <v>1228</v>
      </c>
      <c r="H47" s="45" t="s">
        <v>1229</v>
      </c>
      <c r="I47" s="45" t="s">
        <v>1230</v>
      </c>
      <c r="K47" s="45" t="s">
        <v>1231</v>
      </c>
      <c r="L47" s="45" t="s">
        <v>1232</v>
      </c>
      <c r="M47" s="45" t="s">
        <v>1233</v>
      </c>
      <c r="N47" s="45" t="s">
        <v>1234</v>
      </c>
      <c r="O47" s="45" t="s">
        <v>1235</v>
      </c>
      <c r="P47" s="45" t="s">
        <v>1236</v>
      </c>
      <c r="Q47" s="45" t="s">
        <v>1237</v>
      </c>
      <c r="R47" s="45" t="s">
        <v>1238</v>
      </c>
    </row>
    <row r="48" spans="1:19" s="45" customFormat="1">
      <c r="A48" s="45" t="s">
        <v>694</v>
      </c>
      <c r="B48" s="45" t="s">
        <v>160</v>
      </c>
      <c r="C48" s="45" t="s">
        <v>1239</v>
      </c>
      <c r="H48" s="45" t="s">
        <v>1240</v>
      </c>
      <c r="I48" s="45" t="s">
        <v>1241</v>
      </c>
      <c r="K48" s="45" t="s">
        <v>1242</v>
      </c>
      <c r="L48" s="45" t="s">
        <v>1243</v>
      </c>
      <c r="M48" s="45" t="s">
        <v>1244</v>
      </c>
      <c r="N48" s="45" t="s">
        <v>1245</v>
      </c>
      <c r="O48" s="45" t="s">
        <v>1246</v>
      </c>
      <c r="P48" s="45" t="s">
        <v>1247</v>
      </c>
      <c r="Q48" s="45" t="s">
        <v>1248</v>
      </c>
      <c r="R48" s="45" t="s">
        <v>1249</v>
      </c>
    </row>
    <row r="49" spans="1:19" s="45" customFormat="1">
      <c r="A49" s="45" t="s">
        <v>321</v>
      </c>
      <c r="B49" s="45" t="s">
        <v>321</v>
      </c>
      <c r="C49" s="45" t="s">
        <v>1250</v>
      </c>
      <c r="D49" s="45" t="s">
        <v>1251</v>
      </c>
      <c r="F49" s="45" t="s">
        <v>1252</v>
      </c>
      <c r="H49" s="45" t="s">
        <v>1253</v>
      </c>
      <c r="I49" s="45" t="s">
        <v>1254</v>
      </c>
      <c r="J49" s="45" t="s">
        <v>476</v>
      </c>
      <c r="K49" s="45" t="s">
        <v>1255</v>
      </c>
      <c r="L49" s="45" t="s">
        <v>1256</v>
      </c>
      <c r="M49" s="45" t="s">
        <v>1257</v>
      </c>
      <c r="N49" s="45" t="s">
        <v>1258</v>
      </c>
      <c r="O49" s="45" t="s">
        <v>1259</v>
      </c>
      <c r="P49" s="45" t="s">
        <v>1260</v>
      </c>
      <c r="Q49" s="45" t="s">
        <v>1261</v>
      </c>
      <c r="R49" s="45" t="s">
        <v>1262</v>
      </c>
      <c r="S49" s="45" t="s">
        <v>1263</v>
      </c>
    </row>
    <row r="50" spans="1:19" s="45" customFormat="1">
      <c r="A50" s="45" t="s">
        <v>1264</v>
      </c>
      <c r="B50" s="45" t="s">
        <v>474</v>
      </c>
      <c r="C50" s="45" t="s">
        <v>1265</v>
      </c>
      <c r="H50" s="45" t="s">
        <v>1266</v>
      </c>
      <c r="L50" s="45" t="s">
        <v>1267</v>
      </c>
      <c r="M50" s="45" t="s">
        <v>1268</v>
      </c>
      <c r="O50" s="45" t="s">
        <v>1269</v>
      </c>
      <c r="P50" s="45" t="s">
        <v>1270</v>
      </c>
      <c r="Q50" s="45" t="s">
        <v>1271</v>
      </c>
    </row>
    <row r="51" spans="1:19" s="45" customFormat="1">
      <c r="A51" s="45" t="s">
        <v>1272</v>
      </c>
      <c r="B51" s="45" t="s">
        <v>1273</v>
      </c>
      <c r="C51" s="45" t="s">
        <v>1274</v>
      </c>
    </row>
    <row r="52" spans="1:19">
      <c r="A52" t="s">
        <v>1275</v>
      </c>
      <c r="B52" t="s">
        <v>164</v>
      </c>
      <c r="C52" t="s">
        <v>1276</v>
      </c>
      <c r="D52" t="s">
        <v>1277</v>
      </c>
      <c r="E52" t="s">
        <v>1278</v>
      </c>
      <c r="F52" t="s">
        <v>1279</v>
      </c>
      <c r="H52" t="s">
        <v>1280</v>
      </c>
      <c r="I52" t="s">
        <v>1281</v>
      </c>
      <c r="K52" t="s">
        <v>1282</v>
      </c>
      <c r="L52" t="s">
        <v>1283</v>
      </c>
      <c r="M52" t="s">
        <v>1284</v>
      </c>
      <c r="O52" t="s">
        <v>1285</v>
      </c>
      <c r="P52" t="s">
        <v>1286</v>
      </c>
      <c r="Q52" t="s">
        <v>1287</v>
      </c>
      <c r="R52" t="s">
        <v>1288</v>
      </c>
    </row>
    <row r="53" spans="1:19">
      <c r="A53" t="s">
        <v>643</v>
      </c>
      <c r="B53" t="s">
        <v>131</v>
      </c>
      <c r="C53" t="s">
        <v>1289</v>
      </c>
      <c r="D53" t="s">
        <v>1290</v>
      </c>
      <c r="E53" t="s">
        <v>1291</v>
      </c>
      <c r="F53" t="s">
        <v>1292</v>
      </c>
      <c r="G53" t="s">
        <v>1293</v>
      </c>
      <c r="H53" t="s">
        <v>1294</v>
      </c>
      <c r="I53" t="s">
        <v>1295</v>
      </c>
      <c r="J53" t="s">
        <v>408</v>
      </c>
      <c r="K53" t="s">
        <v>1296</v>
      </c>
      <c r="L53" t="s">
        <v>1297</v>
      </c>
      <c r="M53" t="s">
        <v>1298</v>
      </c>
      <c r="O53" t="s">
        <v>1299</v>
      </c>
      <c r="P53" t="s">
        <v>1300</v>
      </c>
      <c r="Q53" t="s">
        <v>1301</v>
      </c>
      <c r="R53" t="s">
        <v>1302</v>
      </c>
      <c r="S53" t="s">
        <v>1303</v>
      </c>
    </row>
    <row r="54" spans="1:19">
      <c r="A54" t="s">
        <v>631</v>
      </c>
      <c r="B54" t="s">
        <v>407</v>
      </c>
      <c r="C54" t="s">
        <v>1304</v>
      </c>
      <c r="P54" t="s">
        <v>1305</v>
      </c>
    </row>
    <row r="55" spans="1:19">
      <c r="A55" t="s">
        <v>1306</v>
      </c>
      <c r="B55" t="s">
        <v>171</v>
      </c>
      <c r="C55" t="s">
        <v>1307</v>
      </c>
      <c r="D55" t="s">
        <v>1308</v>
      </c>
      <c r="E55" t="s">
        <v>1309</v>
      </c>
      <c r="F55" t="s">
        <v>1310</v>
      </c>
      <c r="H55" t="s">
        <v>1311</v>
      </c>
      <c r="I55" t="s">
        <v>1312</v>
      </c>
      <c r="K55" t="s">
        <v>1313</v>
      </c>
      <c r="L55" t="s">
        <v>1314</v>
      </c>
      <c r="M55" t="s">
        <v>1315</v>
      </c>
      <c r="O55" t="s">
        <v>1316</v>
      </c>
      <c r="P55" t="s">
        <v>1317</v>
      </c>
    </row>
    <row r="56" spans="1:19">
      <c r="A56" t="s">
        <v>632</v>
      </c>
      <c r="B56" t="s">
        <v>633</v>
      </c>
      <c r="C56" t="s">
        <v>1318</v>
      </c>
      <c r="G56" t="s">
        <v>1319</v>
      </c>
      <c r="H56" t="s">
        <v>1320</v>
      </c>
      <c r="K56" t="s">
        <v>1321</v>
      </c>
      <c r="P56" t="s">
        <v>1322</v>
      </c>
    </row>
    <row r="57" spans="1:19">
      <c r="A57" t="s">
        <v>625</v>
      </c>
      <c r="B57" t="s">
        <v>469</v>
      </c>
      <c r="C57" t="s">
        <v>1323</v>
      </c>
    </row>
    <row r="58" spans="1:19">
      <c r="A58" t="s">
        <v>449</v>
      </c>
      <c r="B58" t="s">
        <v>452</v>
      </c>
      <c r="H58" t="s">
        <v>1324</v>
      </c>
      <c r="O58" t="s">
        <v>1325</v>
      </c>
    </row>
    <row r="59" spans="1:19">
      <c r="A59" t="s">
        <v>77</v>
      </c>
      <c r="B59" t="s">
        <v>80</v>
      </c>
      <c r="C59" t="s">
        <v>1326</v>
      </c>
      <c r="D59" t="s">
        <v>1327</v>
      </c>
      <c r="E59" t="s">
        <v>1328</v>
      </c>
      <c r="F59" t="s">
        <v>1329</v>
      </c>
      <c r="H59" t="s">
        <v>1330</v>
      </c>
      <c r="I59" t="s">
        <v>1331</v>
      </c>
      <c r="K59" t="s">
        <v>1332</v>
      </c>
      <c r="L59" t="s">
        <v>1333</v>
      </c>
      <c r="M59" t="s">
        <v>1334</v>
      </c>
      <c r="O59" t="s">
        <v>1335</v>
      </c>
      <c r="P59" t="s">
        <v>1336</v>
      </c>
      <c r="Q59" t="s">
        <v>1337</v>
      </c>
      <c r="R59" t="s">
        <v>1338</v>
      </c>
    </row>
    <row r="60" spans="1:19">
      <c r="A60" t="s">
        <v>456</v>
      </c>
      <c r="B60" t="s">
        <v>458</v>
      </c>
      <c r="C60" t="s">
        <v>1339</v>
      </c>
      <c r="K60" t="s">
        <v>1340</v>
      </c>
      <c r="P60" t="s">
        <v>1341</v>
      </c>
    </row>
    <row r="61" spans="1:19">
      <c r="A61" t="s">
        <v>84</v>
      </c>
      <c r="B61" t="s">
        <v>86</v>
      </c>
      <c r="C61" t="s">
        <v>1342</v>
      </c>
      <c r="D61" t="s">
        <v>1343</v>
      </c>
      <c r="E61" t="s">
        <v>1344</v>
      </c>
      <c r="F61" t="s">
        <v>1345</v>
      </c>
      <c r="H61" t="s">
        <v>1346</v>
      </c>
      <c r="I61" t="s">
        <v>1347</v>
      </c>
      <c r="K61" t="s">
        <v>1348</v>
      </c>
      <c r="L61" t="s">
        <v>1349</v>
      </c>
      <c r="M61" t="s">
        <v>1350</v>
      </c>
      <c r="O61" t="s">
        <v>1351</v>
      </c>
      <c r="P61" t="s">
        <v>1352</v>
      </c>
      <c r="Q61" t="s">
        <v>1353</v>
      </c>
      <c r="R61" t="s">
        <v>1354</v>
      </c>
    </row>
    <row r="62" spans="1:19" s="45" customFormat="1">
      <c r="A62" s="45" t="s">
        <v>297</v>
      </c>
      <c r="B62" s="45" t="s">
        <v>297</v>
      </c>
      <c r="C62" s="45" t="s">
        <v>1355</v>
      </c>
      <c r="D62" s="45" t="s">
        <v>1356</v>
      </c>
      <c r="E62" s="45" t="s">
        <v>1357</v>
      </c>
      <c r="F62" s="45" t="s">
        <v>1358</v>
      </c>
      <c r="H62" s="45" t="s">
        <v>1359</v>
      </c>
      <c r="I62" s="45" t="s">
        <v>1360</v>
      </c>
      <c r="K62" s="45" t="s">
        <v>1361</v>
      </c>
      <c r="L62" s="45" t="s">
        <v>1362</v>
      </c>
      <c r="M62" s="45" t="s">
        <v>1363</v>
      </c>
      <c r="N62" s="45" t="s">
        <v>1364</v>
      </c>
      <c r="O62" s="45" t="s">
        <v>1365</v>
      </c>
      <c r="P62" s="45" t="s">
        <v>1366</v>
      </c>
      <c r="Q62" s="45" t="s">
        <v>1367</v>
      </c>
      <c r="R62" s="45" t="s">
        <v>1368</v>
      </c>
    </row>
    <row r="63" spans="1:19" s="45" customFormat="1">
      <c r="A63" s="45" t="s">
        <v>644</v>
      </c>
      <c r="B63" s="45" t="s">
        <v>302</v>
      </c>
      <c r="D63" s="45" t="s">
        <v>1369</v>
      </c>
      <c r="E63" s="45" t="s">
        <v>1370</v>
      </c>
      <c r="F63" s="45" t="s">
        <v>1371</v>
      </c>
      <c r="H63" s="45" t="s">
        <v>1372</v>
      </c>
      <c r="I63" s="45" t="s">
        <v>1373</v>
      </c>
      <c r="K63" s="45" t="s">
        <v>1374</v>
      </c>
      <c r="L63" s="45" t="s">
        <v>1375</v>
      </c>
      <c r="M63" s="45" t="s">
        <v>1376</v>
      </c>
      <c r="O63" s="45" t="s">
        <v>1377</v>
      </c>
      <c r="Q63" s="45" t="s">
        <v>1378</v>
      </c>
    </row>
    <row r="64" spans="1:19" s="45" customFormat="1">
      <c r="A64" s="45" t="s">
        <v>12</v>
      </c>
      <c r="B64" s="45" t="s">
        <v>12</v>
      </c>
      <c r="C64" s="45" t="s">
        <v>1379</v>
      </c>
      <c r="D64" s="45" t="s">
        <v>1380</v>
      </c>
      <c r="E64" s="45" t="s">
        <v>1381</v>
      </c>
      <c r="F64" s="45" t="s">
        <v>1382</v>
      </c>
      <c r="H64" s="45" t="s">
        <v>1383</v>
      </c>
      <c r="I64" s="45" t="s">
        <v>1384</v>
      </c>
      <c r="K64" s="45" t="s">
        <v>1385</v>
      </c>
      <c r="L64" s="45" t="s">
        <v>1386</v>
      </c>
      <c r="M64" s="45" t="s">
        <v>1387</v>
      </c>
      <c r="N64" s="45" t="s">
        <v>1388</v>
      </c>
      <c r="O64" s="45" t="s">
        <v>1389</v>
      </c>
      <c r="P64" s="45" t="s">
        <v>1390</v>
      </c>
      <c r="Q64" s="45" t="s">
        <v>1391</v>
      </c>
      <c r="R64" s="45" t="s">
        <v>1392</v>
      </c>
    </row>
    <row r="65" spans="1:19" s="45" customFormat="1">
      <c r="A65" s="45" t="s">
        <v>1393</v>
      </c>
      <c r="B65" s="45" t="s">
        <v>19</v>
      </c>
      <c r="C65" s="45" t="s">
        <v>1394</v>
      </c>
      <c r="D65" s="45" t="s">
        <v>1395</v>
      </c>
      <c r="E65" s="45" t="s">
        <v>1396</v>
      </c>
      <c r="F65" s="45" t="s">
        <v>1397</v>
      </c>
      <c r="H65" s="45" t="s">
        <v>1398</v>
      </c>
      <c r="I65" s="45" t="s">
        <v>1399</v>
      </c>
      <c r="K65" s="45" t="s">
        <v>1400</v>
      </c>
      <c r="L65" s="45" t="s">
        <v>1401</v>
      </c>
      <c r="M65" s="45" t="s">
        <v>1402</v>
      </c>
      <c r="O65" s="45" t="s">
        <v>1403</v>
      </c>
      <c r="P65" s="45" t="s">
        <v>1404</v>
      </c>
      <c r="Q65" s="45" t="s">
        <v>1405</v>
      </c>
    </row>
    <row r="66" spans="1:19" s="45" customFormat="1">
      <c r="A66" s="45" t="s">
        <v>215</v>
      </c>
      <c r="B66" s="45" t="s">
        <v>215</v>
      </c>
      <c r="C66" s="45" t="s">
        <v>1406</v>
      </c>
      <c r="D66" s="45" t="s">
        <v>1407</v>
      </c>
      <c r="E66" s="45" t="s">
        <v>1408</v>
      </c>
      <c r="F66" s="45" t="s">
        <v>1409</v>
      </c>
      <c r="G66" s="45" t="s">
        <v>1410</v>
      </c>
      <c r="H66" s="45" t="s">
        <v>1411</v>
      </c>
      <c r="I66" s="45" t="s">
        <v>1412</v>
      </c>
      <c r="J66" s="45" t="s">
        <v>383</v>
      </c>
      <c r="K66" s="45" t="s">
        <v>1413</v>
      </c>
      <c r="L66" s="45" t="s">
        <v>1414</v>
      </c>
      <c r="M66" s="45" t="s">
        <v>1415</v>
      </c>
      <c r="N66" s="45" t="s">
        <v>1416</v>
      </c>
      <c r="O66" s="45" t="s">
        <v>1417</v>
      </c>
      <c r="P66" s="45" t="s">
        <v>1418</v>
      </c>
      <c r="Q66" s="45" t="s">
        <v>1419</v>
      </c>
      <c r="R66" s="45" t="s">
        <v>1420</v>
      </c>
    </row>
    <row r="67" spans="1:19" s="45" customFormat="1">
      <c r="A67" s="45" t="s">
        <v>1421</v>
      </c>
      <c r="B67" s="45" t="s">
        <v>381</v>
      </c>
      <c r="C67" s="45" t="s">
        <v>1422</v>
      </c>
      <c r="D67" s="45" t="s">
        <v>1423</v>
      </c>
      <c r="E67" s="45" t="s">
        <v>1424</v>
      </c>
      <c r="H67" s="45" t="s">
        <v>1425</v>
      </c>
      <c r="I67" s="45" t="s">
        <v>1426</v>
      </c>
      <c r="L67" s="45" t="s">
        <v>1427</v>
      </c>
      <c r="M67" s="45" t="s">
        <v>1428</v>
      </c>
      <c r="O67" s="45" t="s">
        <v>1429</v>
      </c>
      <c r="P67" s="45" t="s">
        <v>1430</v>
      </c>
      <c r="Q67" s="45" t="s">
        <v>1431</v>
      </c>
    </row>
    <row r="68" spans="1:19" s="45" customFormat="1">
      <c r="A68" s="45" t="s">
        <v>634</v>
      </c>
      <c r="B68" s="45" t="s">
        <v>222</v>
      </c>
      <c r="C68" s="45" t="s">
        <v>1432</v>
      </c>
      <c r="D68" s="45" t="s">
        <v>1433</v>
      </c>
      <c r="E68" s="45" t="s">
        <v>1434</v>
      </c>
      <c r="F68" s="45" t="s">
        <v>1435</v>
      </c>
      <c r="H68" s="45" t="s">
        <v>1436</v>
      </c>
      <c r="I68" s="45" t="s">
        <v>1437</v>
      </c>
      <c r="K68" s="45" t="s">
        <v>1438</v>
      </c>
      <c r="L68" s="45" t="s">
        <v>1439</v>
      </c>
      <c r="M68" s="45" t="s">
        <v>1440</v>
      </c>
      <c r="N68" s="45" t="s">
        <v>1441</v>
      </c>
      <c r="O68" s="45" t="s">
        <v>1442</v>
      </c>
      <c r="P68" s="45" t="s">
        <v>1443</v>
      </c>
      <c r="Q68" s="45" t="s">
        <v>1444</v>
      </c>
    </row>
    <row r="69" spans="1:19" s="45" customFormat="1">
      <c r="A69" s="45" t="s">
        <v>116</v>
      </c>
      <c r="B69" s="45" t="s">
        <v>116</v>
      </c>
      <c r="C69" s="45" t="s">
        <v>1445</v>
      </c>
      <c r="D69" s="45" t="s">
        <v>1446</v>
      </c>
      <c r="E69" s="45" t="s">
        <v>1447</v>
      </c>
      <c r="F69" s="45" t="s">
        <v>1448</v>
      </c>
      <c r="H69" s="45" t="s">
        <v>1449</v>
      </c>
      <c r="I69" s="45" t="s">
        <v>1450</v>
      </c>
      <c r="K69" s="45" t="s">
        <v>1451</v>
      </c>
      <c r="L69" s="45" t="s">
        <v>1452</v>
      </c>
      <c r="M69" s="45" t="s">
        <v>1453</v>
      </c>
      <c r="O69" s="45" t="s">
        <v>1454</v>
      </c>
      <c r="P69" s="45" t="s">
        <v>1455</v>
      </c>
      <c r="Q69" s="45" t="s">
        <v>1456</v>
      </c>
      <c r="R69" s="45" t="s">
        <v>1457</v>
      </c>
    </row>
    <row r="70" spans="1:19" s="45" customFormat="1">
      <c r="A70" s="45" t="s">
        <v>416</v>
      </c>
      <c r="B70" s="45" t="s">
        <v>418</v>
      </c>
      <c r="C70" s="45" t="s">
        <v>1458</v>
      </c>
      <c r="M70" s="45" t="s">
        <v>1459</v>
      </c>
    </row>
    <row r="71" spans="1:19" s="45" customFormat="1">
      <c r="A71" s="45" t="s">
        <v>123</v>
      </c>
      <c r="B71" s="45" t="s">
        <v>125</v>
      </c>
      <c r="C71" s="45" t="s">
        <v>1460</v>
      </c>
      <c r="D71" s="45" t="s">
        <v>1461</v>
      </c>
      <c r="E71" s="45" t="s">
        <v>1462</v>
      </c>
      <c r="F71" s="45" t="s">
        <v>1463</v>
      </c>
      <c r="H71" s="45" t="s">
        <v>1464</v>
      </c>
      <c r="I71" s="45" t="s">
        <v>1465</v>
      </c>
      <c r="K71" s="45" t="s">
        <v>1466</v>
      </c>
      <c r="L71" s="45" t="s">
        <v>1467</v>
      </c>
      <c r="O71" s="45" t="s">
        <v>1468</v>
      </c>
      <c r="P71" s="45" t="s">
        <v>1469</v>
      </c>
      <c r="Q71" s="45" t="s">
        <v>1470</v>
      </c>
      <c r="R71" s="45" t="s">
        <v>1471</v>
      </c>
    </row>
    <row r="72" spans="1:19" s="45" customFormat="1">
      <c r="A72" s="45" t="s">
        <v>90</v>
      </c>
      <c r="B72" s="45" t="s">
        <v>90</v>
      </c>
      <c r="C72" s="45" t="s">
        <v>1472</v>
      </c>
      <c r="O72" s="45" t="s">
        <v>1473</v>
      </c>
      <c r="P72" s="45" t="s">
        <v>1474</v>
      </c>
      <c r="Q72" s="45" t="s">
        <v>1475</v>
      </c>
    </row>
    <row r="73" spans="1:19" s="45" customFormat="1">
      <c r="A73" s="45" t="s">
        <v>1476</v>
      </c>
      <c r="B73" s="45" t="s">
        <v>428</v>
      </c>
      <c r="C73" s="45" t="s">
        <v>1477</v>
      </c>
      <c r="L73" s="45" t="s">
        <v>1478</v>
      </c>
      <c r="O73" s="45" t="s">
        <v>1479</v>
      </c>
      <c r="P73" s="45" t="s">
        <v>1480</v>
      </c>
    </row>
    <row r="74" spans="1:19" s="45" customFormat="1">
      <c r="A74" s="45" t="s">
        <v>685</v>
      </c>
      <c r="B74" s="45" t="s">
        <v>97</v>
      </c>
      <c r="F74" s="45" t="s">
        <v>1481</v>
      </c>
      <c r="K74" s="45" t="s">
        <v>1482</v>
      </c>
      <c r="M74" s="45" t="s">
        <v>1483</v>
      </c>
      <c r="P74" s="45" t="s">
        <v>1484</v>
      </c>
    </row>
    <row r="75" spans="1:19" s="45" customFormat="1">
      <c r="A75" s="45" t="s">
        <v>1485</v>
      </c>
      <c r="B75" s="45" t="s">
        <v>433</v>
      </c>
      <c r="P75" s="45" t="s">
        <v>1486</v>
      </c>
    </row>
    <row r="76" spans="1:19" s="45" customFormat="1">
      <c r="A76" s="45" t="s">
        <v>275</v>
      </c>
      <c r="B76" s="45" t="s">
        <v>275</v>
      </c>
      <c r="C76" s="45" t="s">
        <v>1487</v>
      </c>
      <c r="D76" s="45" t="s">
        <v>1488</v>
      </c>
      <c r="E76" s="45" t="s">
        <v>1489</v>
      </c>
      <c r="F76" s="45" t="s">
        <v>1490</v>
      </c>
      <c r="G76" s="45" t="s">
        <v>1491</v>
      </c>
      <c r="H76" s="45" t="s">
        <v>1492</v>
      </c>
      <c r="I76" s="45" t="s">
        <v>1493</v>
      </c>
      <c r="K76" s="45" t="s">
        <v>1494</v>
      </c>
      <c r="L76" s="45" t="s">
        <v>1495</v>
      </c>
      <c r="M76" s="45" t="s">
        <v>1496</v>
      </c>
      <c r="N76" s="45" t="s">
        <v>1497</v>
      </c>
      <c r="O76" s="45" t="s">
        <v>1498</v>
      </c>
      <c r="P76" s="45" t="s">
        <v>1499</v>
      </c>
      <c r="Q76" s="45" t="s">
        <v>1500</v>
      </c>
      <c r="R76" s="45" t="s">
        <v>1501</v>
      </c>
    </row>
    <row r="77" spans="1:19">
      <c r="A77" t="s">
        <v>635</v>
      </c>
      <c r="B77" t="s">
        <v>280</v>
      </c>
      <c r="C77" t="s">
        <v>1502</v>
      </c>
      <c r="D77" t="s">
        <v>1503</v>
      </c>
      <c r="E77" t="s">
        <v>1504</v>
      </c>
      <c r="F77" t="s">
        <v>1505</v>
      </c>
      <c r="I77" t="s">
        <v>1506</v>
      </c>
      <c r="K77" t="s">
        <v>1507</v>
      </c>
      <c r="L77" t="s">
        <v>1508</v>
      </c>
      <c r="M77" t="s">
        <v>1509</v>
      </c>
      <c r="O77" t="s">
        <v>1510</v>
      </c>
      <c r="P77" t="s">
        <v>1511</v>
      </c>
      <c r="Q77" t="s">
        <v>1512</v>
      </c>
      <c r="R77" t="s">
        <v>1513</v>
      </c>
      <c r="S77" t="s">
        <v>1514</v>
      </c>
    </row>
    <row r="78" spans="1:19">
      <c r="A78" t="s">
        <v>46</v>
      </c>
      <c r="B78" t="s">
        <v>46</v>
      </c>
      <c r="C78" t="s">
        <v>1515</v>
      </c>
      <c r="D78" t="s">
        <v>1516</v>
      </c>
      <c r="E78" t="s">
        <v>1517</v>
      </c>
      <c r="F78" t="s">
        <v>1518</v>
      </c>
      <c r="G78" t="s">
        <v>1519</v>
      </c>
      <c r="H78" t="s">
        <v>1520</v>
      </c>
      <c r="I78" t="s">
        <v>1521</v>
      </c>
      <c r="K78" t="s">
        <v>1522</v>
      </c>
      <c r="L78" t="s">
        <v>1523</v>
      </c>
      <c r="M78" t="s">
        <v>1524</v>
      </c>
      <c r="O78" t="s">
        <v>1525</v>
      </c>
      <c r="P78" t="s">
        <v>1526</v>
      </c>
      <c r="Q78" t="s">
        <v>1527</v>
      </c>
      <c r="R78" t="s">
        <v>1528</v>
      </c>
    </row>
    <row r="79" spans="1:19">
      <c r="A79" t="s">
        <v>1529</v>
      </c>
      <c r="B79" t="s">
        <v>338</v>
      </c>
      <c r="C79" t="s">
        <v>1530</v>
      </c>
      <c r="D79" t="s">
        <v>1531</v>
      </c>
      <c r="L79" t="s">
        <v>1532</v>
      </c>
      <c r="M79" t="s">
        <v>1533</v>
      </c>
      <c r="O79" t="s">
        <v>1534</v>
      </c>
      <c r="P79" t="s">
        <v>1535</v>
      </c>
    </row>
    <row r="80" spans="1:19">
      <c r="A80" t="s">
        <v>1536</v>
      </c>
      <c r="B80" t="s">
        <v>1537</v>
      </c>
      <c r="C80" t="s">
        <v>1538</v>
      </c>
      <c r="P80" t="s">
        <v>1539</v>
      </c>
    </row>
    <row r="81" spans="1:17" s="45" customFormat="1">
      <c r="A81" s="45" t="s">
        <v>411</v>
      </c>
      <c r="B81" s="45" t="s">
        <v>413</v>
      </c>
      <c r="C81" s="45" t="s">
        <v>1540</v>
      </c>
    </row>
    <row r="82" spans="1:17" s="45" customFormat="1">
      <c r="A82" s="45" t="s">
        <v>641</v>
      </c>
      <c r="B82" s="45" t="s">
        <v>642</v>
      </c>
      <c r="C82" s="45" t="s">
        <v>1541</v>
      </c>
    </row>
    <row r="83" spans="1:17">
      <c r="A83" t="s">
        <v>386</v>
      </c>
      <c r="B83" t="s">
        <v>389</v>
      </c>
      <c r="C83" t="s">
        <v>1542</v>
      </c>
      <c r="D83" t="s">
        <v>1543</v>
      </c>
      <c r="G83" t="s">
        <v>1544</v>
      </c>
      <c r="H83" t="s">
        <v>1545</v>
      </c>
      <c r="I83" t="s">
        <v>1546</v>
      </c>
      <c r="J83" t="s">
        <v>1547</v>
      </c>
      <c r="L83" t="s">
        <v>1548</v>
      </c>
      <c r="M83" t="s">
        <v>1549</v>
      </c>
      <c r="O83" t="s">
        <v>1550</v>
      </c>
      <c r="P83" t="s">
        <v>1551</v>
      </c>
      <c r="Q83" t="s">
        <v>1552</v>
      </c>
    </row>
    <row r="84" spans="1:17">
      <c r="A84" t="s">
        <v>629</v>
      </c>
      <c r="B84" t="s">
        <v>630</v>
      </c>
      <c r="C84" t="s">
        <v>1553</v>
      </c>
      <c r="E84" t="s">
        <v>1554</v>
      </c>
      <c r="G84" t="s">
        <v>1555</v>
      </c>
      <c r="M84" t="s">
        <v>1556</v>
      </c>
      <c r="O84" t="s">
        <v>1557</v>
      </c>
      <c r="Q84" t="s">
        <v>1558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F1E6-B33F-4607-AC0E-0088CB737EEF}">
  <dimension ref="A1:AX87"/>
  <sheetViews>
    <sheetView showGridLines="0" workbookViewId="0">
      <pane ySplit="1" topLeftCell="A87" activePane="bottomLeft" state="frozen"/>
      <selection pane="bottomLeft" activeCell="K95" sqref="K95"/>
    </sheetView>
  </sheetViews>
  <sheetFormatPr defaultRowHeight="26.25" outlineLevelCol="1"/>
  <cols>
    <col min="1" max="1" width="5.83203125" style="15" customWidth="1"/>
    <col min="2" max="4" width="10.25" style="15" customWidth="1"/>
    <col min="5" max="5" width="10.25" style="15" customWidth="1" outlineLevel="1"/>
    <col min="6" max="6" width="13.83203125" style="15" customWidth="1" outlineLevel="1"/>
    <col min="7" max="7" width="10.25" style="15" customWidth="1" outlineLevel="1"/>
    <col min="9" max="12" width="10.25" style="15" customWidth="1"/>
    <col min="13" max="13" width="10.25" style="15" customWidth="1" outlineLevel="1"/>
    <col min="14" max="14" width="10.25" style="15" customWidth="1"/>
    <col min="15" max="15" width="5.83203125" style="15" customWidth="1"/>
    <col min="16" max="16" width="4.9140625" style="15" customWidth="1"/>
    <col min="17" max="18" width="10.08203125" style="15" customWidth="1"/>
    <col min="19" max="19" width="9.1640625" style="15" bestFit="1" customWidth="1"/>
    <col min="20" max="20" width="9.1640625" style="31" bestFit="1" customWidth="1"/>
    <col min="21" max="21" width="6" style="33" customWidth="1" outlineLevel="1"/>
    <col min="22" max="22" width="6.1640625" style="33" customWidth="1" outlineLevel="1"/>
    <col min="23" max="23" width="11.1640625" style="31" customWidth="1"/>
    <col min="24" max="24" width="3" style="15" customWidth="1"/>
    <col min="25" max="25" width="34.5" style="32" customWidth="1"/>
    <col min="26" max="26" width="8.6640625" style="15"/>
    <col min="27" max="38" width="5" style="38" customWidth="1"/>
    <col min="39" max="44" width="12.9140625" style="42" bestFit="1" customWidth="1"/>
    <col min="45" max="47" width="13.25" style="42" customWidth="1"/>
    <col min="48" max="48" width="13.25" style="15" customWidth="1"/>
    <col min="49" max="16384" width="8.6640625" style="15"/>
  </cols>
  <sheetData>
    <row r="1" spans="1:50" ht="48.75" thickBot="1">
      <c r="A1" s="65" t="s">
        <v>654</v>
      </c>
      <c r="B1" s="47" t="s">
        <v>650</v>
      </c>
      <c r="C1" s="47" t="s">
        <v>606</v>
      </c>
      <c r="D1" s="22" t="s">
        <v>598</v>
      </c>
      <c r="E1" s="22" t="s">
        <v>647</v>
      </c>
      <c r="F1" s="22" t="s">
        <v>648</v>
      </c>
      <c r="G1" s="22" t="s">
        <v>608</v>
      </c>
      <c r="H1" s="22" t="s">
        <v>607</v>
      </c>
      <c r="I1" s="22" t="s">
        <v>1756</v>
      </c>
      <c r="J1" s="22" t="s">
        <v>649</v>
      </c>
      <c r="K1" s="22" t="s">
        <v>1776</v>
      </c>
      <c r="L1" s="22" t="s">
        <v>1775</v>
      </c>
      <c r="M1" s="22" t="s">
        <v>738</v>
      </c>
      <c r="N1" s="22" t="s">
        <v>655</v>
      </c>
      <c r="O1" s="17"/>
      <c r="P1" s="22" t="s">
        <v>606</v>
      </c>
      <c r="Q1" s="22" t="s">
        <v>598</v>
      </c>
      <c r="S1" s="22" t="s">
        <v>606</v>
      </c>
      <c r="T1" s="16" t="s">
        <v>733</v>
      </c>
      <c r="U1" s="36" t="s">
        <v>731</v>
      </c>
      <c r="V1" s="22" t="s">
        <v>598</v>
      </c>
      <c r="W1" s="15"/>
      <c r="X1" s="16"/>
      <c r="Y1" s="15"/>
      <c r="Z1" s="37"/>
      <c r="AB1" s="40" t="s">
        <v>600</v>
      </c>
      <c r="AC1" s="40" t="s">
        <v>736</v>
      </c>
      <c r="AD1" s="40"/>
      <c r="AE1" s="40" t="s">
        <v>610</v>
      </c>
      <c r="AF1" s="40" t="s">
        <v>605</v>
      </c>
      <c r="AG1" s="40" t="s">
        <v>599</v>
      </c>
      <c r="AH1" s="40" t="s">
        <v>737</v>
      </c>
      <c r="AI1" s="40" t="s">
        <v>603</v>
      </c>
      <c r="AJ1" s="40" t="s">
        <v>602</v>
      </c>
      <c r="AK1" s="39"/>
      <c r="AL1" s="42"/>
      <c r="AU1" s="15"/>
    </row>
    <row r="2" spans="1:50" ht="27.75" thickBot="1">
      <c r="A2" s="66">
        <v>1</v>
      </c>
      <c r="B2" s="46" t="s">
        <v>716</v>
      </c>
      <c r="C2" s="48" t="s">
        <v>305</v>
      </c>
      <c r="D2" s="114" t="s">
        <v>305</v>
      </c>
      <c r="E2" s="114" t="s">
        <v>305</v>
      </c>
      <c r="F2" s="114" t="s">
        <v>305</v>
      </c>
      <c r="G2" s="114" t="s">
        <v>305</v>
      </c>
      <c r="H2" s="21" t="s">
        <v>307</v>
      </c>
      <c r="I2" s="21" t="s">
        <v>307</v>
      </c>
      <c r="J2" s="18" t="str">
        <f xml:space="preserve"> LEFT(韻母對照表69[[#This Row],[十五音識別碼]],1)</f>
        <v>膠</v>
      </c>
      <c r="K2" s="19" t="s">
        <v>304</v>
      </c>
      <c r="L2" s="18" t="s">
        <v>308</v>
      </c>
      <c r="N2" s="18">
        <f t="shared" ref="N2:N33" si="0" xml:space="preserve"> LEN(D2)</f>
        <v>1</v>
      </c>
      <c r="O2" s="25"/>
      <c r="P2" s="21" t="str">
        <f t="shared" ref="P2:P16" si="1">C2</f>
        <v>a</v>
      </c>
      <c r="Q2" s="21" t="str">
        <f t="shared" ref="Q2:Q16" si="2">D2</f>
        <v>a</v>
      </c>
      <c r="S2" s="31" t="str">
        <f t="shared" ref="S2:S65" si="3" xml:space="preserve"> _xlfn.CONCAT(P2, "(\d)")</f>
        <v>a(\d)</v>
      </c>
      <c r="T2" s="33" t="s">
        <v>716</v>
      </c>
      <c r="U2" s="33">
        <f t="shared" ref="U2:U33" si="4" xml:space="preserve"> IFERROR( IF(T2="", "", SEARCH(T2, $P2)), "")</f>
        <v>1</v>
      </c>
      <c r="V2" s="31" t="str">
        <f t="shared" ref="V2:V65" si="5" xml:space="preserve"> IFERROR( _xlfn.CONCAT(LEFT(P2,U2-1), "》", MID(P2,U2,1), "${1}", RIGHT(P2, LEN(P2)-U2)), "" )</f>
        <v>》a${1}</v>
      </c>
      <c r="W2" s="19"/>
      <c r="X2" s="20" t="str">
        <f t="shared" ref="X2:X65" si="6" xml:space="preserve"> IF(AND(Q2&lt;&gt;"", P2&lt;&gt;""), "    - xform/》" &amp; S2 &amp;  "/"  &amp; V2 &amp;  "/", "")</f>
        <v xml:space="preserve">    - xform/》a(\d)/》a${1}/</v>
      </c>
      <c r="Y2" s="15"/>
      <c r="Z2" s="38" t="s">
        <v>716</v>
      </c>
      <c r="AA2" s="41" t="str">
        <f t="shared" ref="AA2:AJ3" si="7" xml:space="preserve"> _xlfn.CONCAT($Z2, IF(AA$1="", "", _xlfn.UNICHAR( HEX2DEC( RIGHT(AA$1,4)))))</f>
        <v>a</v>
      </c>
      <c r="AB2" s="41" t="str">
        <f t="shared" si="7"/>
        <v>á</v>
      </c>
      <c r="AC2" s="41" t="str">
        <f t="shared" si="7"/>
        <v>à</v>
      </c>
      <c r="AD2" s="41" t="str">
        <f t="shared" si="7"/>
        <v>a</v>
      </c>
      <c r="AE2" s="41" t="str">
        <f t="shared" si="7"/>
        <v>ǎ</v>
      </c>
      <c r="AF2" s="41" t="str">
        <f t="shared" si="7"/>
        <v>á</v>
      </c>
      <c r="AG2" s="41" t="str">
        <f t="shared" si="7"/>
        <v>ā</v>
      </c>
      <c r="AH2" s="41" t="str">
        <f t="shared" si="7"/>
        <v>a̍</v>
      </c>
      <c r="AI2" s="41" t="str">
        <f t="shared" si="7"/>
        <v>a̋</v>
      </c>
      <c r="AJ2" s="41" t="str">
        <f t="shared" si="7"/>
        <v>å</v>
      </c>
      <c r="AL2" s="43" t="e">
        <f xml:space="preserve"> _xlfn.CONCAT("    - xform/》", $Z2, 調表!#REF!, "/", AA2, "/")</f>
        <v>#REF!</v>
      </c>
      <c r="AM2" s="43" t="e">
        <f xml:space="preserve"> _xlfn.CONCAT("    - xform/》", $Z2, 調表!#REF!, "/", AB2, "/")</f>
        <v>#REF!</v>
      </c>
      <c r="AN2" s="43" t="e">
        <f xml:space="preserve"> _xlfn.CONCAT("    - xform/》", $Z2, 調表!#REF!, "/", AC2, "/")</f>
        <v>#REF!</v>
      </c>
      <c r="AO2" s="43" t="e">
        <f xml:space="preserve"> _xlfn.CONCAT("    - xform/》", $Z2, 調表!#REF!, "/", AD2, "/")</f>
        <v>#REF!</v>
      </c>
      <c r="AP2" s="43" t="e">
        <f xml:space="preserve"> _xlfn.CONCAT("    - xform/》", $Z2, 調表!#REF!, "/", AE2, "/")</f>
        <v>#REF!</v>
      </c>
      <c r="AQ2" s="43" t="e">
        <f xml:space="preserve"> _xlfn.CONCAT("    - xform/》", $Z2, 調表!#REF!, "/", AF2, "/")</f>
        <v>#REF!</v>
      </c>
      <c r="AR2" s="43" t="e">
        <f xml:space="preserve"> _xlfn.CONCAT("    - xform/》", $Z2, 調表!#REF!, "/", AG2, "/")</f>
        <v>#REF!</v>
      </c>
      <c r="AS2" s="43" t="e">
        <f xml:space="preserve"> _xlfn.CONCAT("    - xform/》", $Z2, 調表!#REF!, "/", AH2, "/")</f>
        <v>#REF!</v>
      </c>
      <c r="AT2" s="43" t="e">
        <f xml:space="preserve"> _xlfn.CONCAT("    - xform/》", $Z2, 調表!#REF!, "/", AI2, "/")</f>
        <v>#REF!</v>
      </c>
      <c r="AU2" s="43" t="e">
        <f xml:space="preserve"> _xlfn.CONCAT("    - xform/》", $Z2, 調表!#REF!, "/", AJ2, "/")</f>
        <v>#REF!</v>
      </c>
      <c r="AV2" s="41"/>
      <c r="AW2" s="41"/>
      <c r="AX2" s="38"/>
    </row>
    <row r="3" spans="1:50" ht="27.75" thickBot="1">
      <c r="A3" s="66">
        <v>2</v>
      </c>
      <c r="B3" s="46" t="s">
        <v>1723</v>
      </c>
      <c r="C3" s="48" t="s">
        <v>310</v>
      </c>
      <c r="D3" s="114" t="s">
        <v>1908</v>
      </c>
      <c r="E3" s="114" t="s">
        <v>1908</v>
      </c>
      <c r="F3" s="114" t="s">
        <v>310</v>
      </c>
      <c r="G3" s="114" t="s">
        <v>310</v>
      </c>
      <c r="H3" s="21" t="s">
        <v>730</v>
      </c>
      <c r="I3" s="21" t="s">
        <v>1636</v>
      </c>
      <c r="J3" s="18" t="str">
        <f xml:space="preserve"> LEFT(韻母對照表69[[#This Row],[十五音識別碼]],1)</f>
        <v>膠</v>
      </c>
      <c r="K3" s="18" t="s">
        <v>309</v>
      </c>
      <c r="L3" s="18" t="s">
        <v>311</v>
      </c>
      <c r="M3" s="21"/>
      <c r="N3" s="18">
        <f t="shared" si="0"/>
        <v>3</v>
      </c>
      <c r="O3" s="25"/>
      <c r="P3" s="21" t="str">
        <f t="shared" si="1"/>
        <v>ah</v>
      </c>
      <c r="Q3" s="21" t="str">
        <f t="shared" si="2"/>
        <v xml:space="preserve">ah </v>
      </c>
      <c r="S3" s="31" t="str">
        <f t="shared" si="3"/>
        <v>ah(\d)</v>
      </c>
      <c r="T3" s="33" t="s">
        <v>716</v>
      </c>
      <c r="U3" s="33">
        <f t="shared" si="4"/>
        <v>1</v>
      </c>
      <c r="V3" s="31" t="str">
        <f t="shared" si="5"/>
        <v>》a${1}h</v>
      </c>
      <c r="W3" s="19"/>
      <c r="X3" s="20" t="str">
        <f t="shared" si="6"/>
        <v xml:space="preserve">    - xform/》ah(\d)/》a${1}h/</v>
      </c>
      <c r="Y3" s="15"/>
      <c r="Z3" s="38" t="s">
        <v>715</v>
      </c>
      <c r="AA3" s="41" t="str">
        <f t="shared" si="7"/>
        <v>u</v>
      </c>
      <c r="AB3" s="41" t="str">
        <f t="shared" si="7"/>
        <v>ú</v>
      </c>
      <c r="AC3" s="41" t="str">
        <f t="shared" si="7"/>
        <v>ù</v>
      </c>
      <c r="AD3" s="41" t="str">
        <f t="shared" si="7"/>
        <v>u</v>
      </c>
      <c r="AE3" s="41" t="str">
        <f t="shared" si="7"/>
        <v>ǔ</v>
      </c>
      <c r="AF3" s="41" t="str">
        <f t="shared" si="7"/>
        <v>ú</v>
      </c>
      <c r="AG3" s="41" t="str">
        <f t="shared" si="7"/>
        <v>ū</v>
      </c>
      <c r="AH3" s="41" t="str">
        <f t="shared" si="7"/>
        <v>u̍</v>
      </c>
      <c r="AI3" s="41" t="str">
        <f t="shared" si="7"/>
        <v>ű</v>
      </c>
      <c r="AJ3" s="41" t="str">
        <f t="shared" si="7"/>
        <v>ů</v>
      </c>
      <c r="AL3" s="43" t="e">
        <f xml:space="preserve"> _xlfn.CONCAT("    - xform/》", $Z3, 調表!#REF!, "/", AA3, "/")</f>
        <v>#REF!</v>
      </c>
      <c r="AM3" s="43" t="e">
        <f xml:space="preserve"> _xlfn.CONCAT("    - xform/》", $Z3, 調表!#REF!, "/", AB3, "/")</f>
        <v>#REF!</v>
      </c>
      <c r="AN3" s="43" t="e">
        <f xml:space="preserve"> _xlfn.CONCAT("    - xform/》", $Z3, 調表!#REF!, "/", AC3, "/")</f>
        <v>#REF!</v>
      </c>
      <c r="AO3" s="43" t="e">
        <f xml:space="preserve"> _xlfn.CONCAT("    - xform/》", $Z3, 調表!#REF!, "/", AD3, "/")</f>
        <v>#REF!</v>
      </c>
      <c r="AP3" s="43" t="e">
        <f xml:space="preserve"> _xlfn.CONCAT("    - xform/》", $Z3, 調表!#REF!, "/", AE3, "/")</f>
        <v>#REF!</v>
      </c>
      <c r="AQ3" s="43" t="e">
        <f xml:space="preserve"> _xlfn.CONCAT("    - xform/》", $Z3, 調表!#REF!, "/", AF3, "/")</f>
        <v>#REF!</v>
      </c>
      <c r="AR3" s="43" t="e">
        <f xml:space="preserve"> _xlfn.CONCAT("    - xform/》", $Z3, 調表!#REF!, "/", AG3, "/")</f>
        <v>#REF!</v>
      </c>
      <c r="AS3" s="43" t="e">
        <f xml:space="preserve"> _xlfn.CONCAT("    - xform/》", $Z3, 調表!#REF!, "/", AH3, "/")</f>
        <v>#REF!</v>
      </c>
      <c r="AT3" s="43" t="e">
        <f xml:space="preserve"> _xlfn.CONCAT("    - xform/》", $Z3, 調表!#REF!, "/", AI3, "/")</f>
        <v>#REF!</v>
      </c>
      <c r="AU3" s="43" t="e">
        <f xml:space="preserve"> _xlfn.CONCAT("    - xform/》", $Z3, 調表!#REF!, "/", AJ3, "/")</f>
        <v>#REF!</v>
      </c>
      <c r="AV3" s="41"/>
      <c r="AW3" s="41"/>
      <c r="AX3" s="38"/>
    </row>
    <row r="4" spans="1:50" ht="27.75" thickBot="1">
      <c r="A4" s="66">
        <v>3</v>
      </c>
      <c r="B4" s="46" t="s">
        <v>1726</v>
      </c>
      <c r="C4" s="48" t="s">
        <v>176</v>
      </c>
      <c r="D4" s="114" t="s">
        <v>1909</v>
      </c>
      <c r="E4" s="114" t="s">
        <v>1909</v>
      </c>
      <c r="F4" s="114" t="s">
        <v>176</v>
      </c>
      <c r="G4" s="114" t="s">
        <v>176</v>
      </c>
      <c r="H4" s="21" t="s">
        <v>178</v>
      </c>
      <c r="I4" s="21" t="s">
        <v>178</v>
      </c>
      <c r="J4" s="18" t="str">
        <f xml:space="preserve"> LEFT(韻母對照表69[[#This Row],[十五音識別碼]],1)</f>
        <v>皆</v>
      </c>
      <c r="K4" s="18" t="s">
        <v>175</v>
      </c>
      <c r="L4" s="18" t="s">
        <v>179</v>
      </c>
      <c r="M4" s="21"/>
      <c r="N4" s="18">
        <f t="shared" si="0"/>
        <v>3</v>
      </c>
      <c r="O4" s="25"/>
      <c r="P4" s="21" t="str">
        <f t="shared" si="1"/>
        <v>ai</v>
      </c>
      <c r="Q4" s="21" t="str">
        <f t="shared" si="2"/>
        <v xml:space="preserve">ai </v>
      </c>
      <c r="S4" s="31" t="str">
        <f t="shared" si="3"/>
        <v>ai(\d)</v>
      </c>
      <c r="T4" s="33" t="s">
        <v>710</v>
      </c>
      <c r="U4" s="33" t="str">
        <f t="shared" si="4"/>
        <v/>
      </c>
      <c r="V4" s="31" t="str">
        <f t="shared" si="5"/>
        <v/>
      </c>
      <c r="W4" s="19"/>
      <c r="X4" s="20" t="str">
        <f t="shared" si="6"/>
        <v xml:space="preserve">    - xform/》ai(\d)//</v>
      </c>
      <c r="Y4" s="15"/>
      <c r="Z4" s="38"/>
      <c r="AL4" s="42"/>
      <c r="AU4" s="15"/>
    </row>
    <row r="5" spans="1:50" ht="30.75" thickBot="1">
      <c r="A5" s="66">
        <v>4</v>
      </c>
      <c r="B5" s="46" t="s">
        <v>1728</v>
      </c>
      <c r="C5" s="48" t="s">
        <v>1560</v>
      </c>
      <c r="D5" s="115" t="s">
        <v>1560</v>
      </c>
      <c r="E5" s="115" t="s">
        <v>1560</v>
      </c>
      <c r="F5" s="115" t="s">
        <v>1560</v>
      </c>
      <c r="G5" s="115" t="s">
        <v>1560</v>
      </c>
      <c r="H5" s="50" t="s">
        <v>1561</v>
      </c>
      <c r="I5" s="50" t="s">
        <v>1757</v>
      </c>
      <c r="J5" s="18" t="str">
        <f xml:space="preserve"> LEFT(韻母對照表69[[#This Row],[十五音識別碼]],1)</f>
        <v>皆</v>
      </c>
      <c r="K5" s="18" t="s">
        <v>1692</v>
      </c>
      <c r="L5" s="53" t="s">
        <v>1580</v>
      </c>
      <c r="M5" s="21"/>
      <c r="N5" s="18">
        <f t="shared" si="0"/>
        <v>3</v>
      </c>
      <c r="O5" s="25"/>
      <c r="P5" s="21" t="str">
        <f t="shared" si="1"/>
        <v>aih</v>
      </c>
      <c r="Q5" s="21" t="str">
        <f t="shared" si="2"/>
        <v>aih</v>
      </c>
      <c r="S5" s="31" t="str">
        <f t="shared" si="3"/>
        <v>aih(\d)</v>
      </c>
      <c r="T5" s="33" t="s">
        <v>716</v>
      </c>
      <c r="U5" s="33">
        <f t="shared" si="4"/>
        <v>1</v>
      </c>
      <c r="V5" s="31" t="str">
        <f t="shared" si="5"/>
        <v>》a${1}ih</v>
      </c>
      <c r="W5" s="19"/>
      <c r="X5" s="20" t="str">
        <f t="shared" si="6"/>
        <v xml:space="preserve">    - xform/》aih(\d)/》a${1}ih/</v>
      </c>
      <c r="Y5" s="15"/>
      <c r="Z5" s="38"/>
      <c r="AL5" s="42"/>
      <c r="AU5" s="15"/>
    </row>
    <row r="6" spans="1:50" ht="54.75" thickBot="1">
      <c r="A6" s="66">
        <v>5</v>
      </c>
      <c r="B6" s="46" t="s">
        <v>1727</v>
      </c>
      <c r="C6" s="48" t="s">
        <v>399</v>
      </c>
      <c r="D6" s="114" t="s">
        <v>399</v>
      </c>
      <c r="E6" s="114" t="s">
        <v>400</v>
      </c>
      <c r="F6" s="114" t="s">
        <v>399</v>
      </c>
      <c r="G6" s="114" t="s">
        <v>401</v>
      </c>
      <c r="H6" s="21" t="s">
        <v>398</v>
      </c>
      <c r="I6" s="21" t="s">
        <v>1647</v>
      </c>
      <c r="J6" s="18" t="str">
        <f xml:space="preserve"> LEFT(韻母對照表69[[#This Row],[十五音識別碼]],1)</f>
        <v>閒</v>
      </c>
      <c r="K6" s="18" t="s">
        <v>396</v>
      </c>
      <c r="L6" s="18" t="s">
        <v>402</v>
      </c>
      <c r="M6" s="44" t="s">
        <v>739</v>
      </c>
      <c r="N6" s="18">
        <f t="shared" si="0"/>
        <v>4</v>
      </c>
      <c r="O6" s="25"/>
      <c r="P6" s="21" t="str">
        <f t="shared" si="1"/>
        <v>ainn</v>
      </c>
      <c r="Q6" s="21" t="str">
        <f t="shared" si="2"/>
        <v>ainn</v>
      </c>
      <c r="S6" s="31" t="str">
        <f t="shared" si="3"/>
        <v>ainn(\d)</v>
      </c>
      <c r="T6" s="33" t="s">
        <v>716</v>
      </c>
      <c r="U6" s="33">
        <f t="shared" si="4"/>
        <v>1</v>
      </c>
      <c r="V6" s="31" t="str">
        <f t="shared" si="5"/>
        <v>》a${1}inn</v>
      </c>
      <c r="W6" s="19"/>
      <c r="X6" s="20" t="str">
        <f t="shared" si="6"/>
        <v xml:space="preserve">    - xform/》ainn(\d)/》a${1}inn/</v>
      </c>
      <c r="Y6" s="15"/>
      <c r="Z6" s="38"/>
      <c r="AL6" s="42"/>
      <c r="AU6" s="15"/>
    </row>
    <row r="7" spans="1:50" ht="30.75" thickBot="1">
      <c r="A7" s="66">
        <v>6</v>
      </c>
      <c r="B7" s="46" t="str">
        <f>_xlfn.CONCAT("a","k",_xlfn.UNICHAR(794))</f>
        <v>ak̚</v>
      </c>
      <c r="C7" s="48" t="s">
        <v>235</v>
      </c>
      <c r="D7" s="114" t="s">
        <v>1910</v>
      </c>
      <c r="E7" s="114" t="s">
        <v>1910</v>
      </c>
      <c r="F7" s="114" t="s">
        <v>235</v>
      </c>
      <c r="G7" s="114" t="s">
        <v>235</v>
      </c>
      <c r="H7" s="69" t="s">
        <v>1754</v>
      </c>
      <c r="I7" s="69" t="s">
        <v>1626</v>
      </c>
      <c r="J7" s="18" t="str">
        <f xml:space="preserve"> LEFT(韻母對照表69[[#This Row],[十五音識別碼]],1)</f>
        <v>江</v>
      </c>
      <c r="K7" s="18" t="s">
        <v>232</v>
      </c>
      <c r="L7" s="18" t="s">
        <v>236</v>
      </c>
      <c r="M7" s="21"/>
      <c r="N7" s="18">
        <f t="shared" si="0"/>
        <v>3</v>
      </c>
      <c r="O7" s="25"/>
      <c r="P7" s="21" t="str">
        <f t="shared" si="1"/>
        <v>ak</v>
      </c>
      <c r="Q7" s="21" t="str">
        <f t="shared" si="2"/>
        <v xml:space="preserve">ak </v>
      </c>
      <c r="S7" s="31" t="str">
        <f t="shared" si="3"/>
        <v>ak(\d)</v>
      </c>
      <c r="T7" s="33" t="s">
        <v>701</v>
      </c>
      <c r="U7" s="33" t="str">
        <f t="shared" si="4"/>
        <v/>
      </c>
      <c r="V7" s="31" t="str">
        <f t="shared" si="5"/>
        <v/>
      </c>
      <c r="W7" s="19"/>
      <c r="X7" s="20" t="str">
        <f t="shared" si="6"/>
        <v xml:space="preserve">    - xform/》ak(\d)//</v>
      </c>
      <c r="Y7" s="15"/>
      <c r="Z7" s="38"/>
      <c r="AL7" s="42"/>
      <c r="AU7" s="15"/>
    </row>
    <row r="8" spans="1:50" ht="27.75" thickBot="1">
      <c r="A8" s="66">
        <v>7</v>
      </c>
      <c r="B8" s="46" t="s">
        <v>712</v>
      </c>
      <c r="C8" s="48" t="s">
        <v>203</v>
      </c>
      <c r="D8" s="114" t="s">
        <v>1911</v>
      </c>
      <c r="E8" s="114" t="s">
        <v>1911</v>
      </c>
      <c r="F8" s="114" t="s">
        <v>203</v>
      </c>
      <c r="G8" s="114" t="s">
        <v>203</v>
      </c>
      <c r="H8" s="21" t="s">
        <v>205</v>
      </c>
      <c r="I8" s="21" t="s">
        <v>1623</v>
      </c>
      <c r="J8" s="18" t="str">
        <f xml:space="preserve"> LEFT(韻母對照表69[[#This Row],[十五音識別碼]],1)</f>
        <v>甘</v>
      </c>
      <c r="K8" s="18" t="s">
        <v>202</v>
      </c>
      <c r="L8" s="18" t="s">
        <v>206</v>
      </c>
      <c r="M8" s="21"/>
      <c r="N8" s="18">
        <f t="shared" si="0"/>
        <v>3</v>
      </c>
      <c r="O8" s="25"/>
      <c r="P8" s="21" t="str">
        <f t="shared" si="1"/>
        <v>am</v>
      </c>
      <c r="Q8" s="21" t="str">
        <f t="shared" si="2"/>
        <v xml:space="preserve">am </v>
      </c>
      <c r="S8" s="31" t="str">
        <f t="shared" si="3"/>
        <v>am(\d)</v>
      </c>
      <c r="T8" s="33" t="s">
        <v>716</v>
      </c>
      <c r="U8" s="33">
        <f t="shared" si="4"/>
        <v>1</v>
      </c>
      <c r="V8" s="31" t="str">
        <f t="shared" si="5"/>
        <v>》a${1}m</v>
      </c>
      <c r="W8" s="19"/>
      <c r="X8" s="20" t="str">
        <f t="shared" si="6"/>
        <v xml:space="preserve">    - xform/》am(\d)/》a${1}m/</v>
      </c>
      <c r="Y8" s="15"/>
      <c r="Z8" s="38" t="s">
        <v>710</v>
      </c>
      <c r="AA8" s="41" t="str">
        <f t="shared" ref="AA8:AJ12" si="8" xml:space="preserve"> _xlfn.CONCAT($Z8, IF(AA$1="", "", _xlfn.UNICHAR( HEX2DEC( RIGHT(AA$1,4)))))</f>
        <v>o</v>
      </c>
      <c r="AB8" s="41" t="str">
        <f t="shared" si="8"/>
        <v>ó</v>
      </c>
      <c r="AC8" s="41" t="str">
        <f t="shared" si="8"/>
        <v>ò</v>
      </c>
      <c r="AD8" s="41" t="str">
        <f t="shared" si="8"/>
        <v>o</v>
      </c>
      <c r="AE8" s="41" t="str">
        <f t="shared" si="8"/>
        <v>ǒ</v>
      </c>
      <c r="AF8" s="41" t="str">
        <f t="shared" si="8"/>
        <v>ó</v>
      </c>
      <c r="AG8" s="41" t="str">
        <f t="shared" si="8"/>
        <v>ō</v>
      </c>
      <c r="AH8" s="41" t="str">
        <f t="shared" si="8"/>
        <v>o̍</v>
      </c>
      <c r="AI8" s="41" t="str">
        <f t="shared" si="8"/>
        <v>ő</v>
      </c>
      <c r="AJ8" s="41" t="str">
        <f t="shared" si="8"/>
        <v>o̊</v>
      </c>
      <c r="AL8" s="43" t="e">
        <f xml:space="preserve"> _xlfn.CONCAT("    - xform/》", $Z8, 調表!#REF!, "/", AA8, "/")</f>
        <v>#REF!</v>
      </c>
      <c r="AM8" s="43" t="e">
        <f xml:space="preserve"> _xlfn.CONCAT("    - xform/》", $Z8, 調表!#REF!, "/", AB8, "/")</f>
        <v>#REF!</v>
      </c>
      <c r="AN8" s="43" t="e">
        <f xml:space="preserve"> _xlfn.CONCAT("    - xform/》", $Z8, 調表!#REF!, "/", AC8, "/")</f>
        <v>#REF!</v>
      </c>
      <c r="AO8" s="43" t="e">
        <f xml:space="preserve"> _xlfn.CONCAT("    - xform/》", $Z8, 調表!#REF!, "/", AD8, "/")</f>
        <v>#REF!</v>
      </c>
      <c r="AP8" s="43" t="e">
        <f xml:space="preserve"> _xlfn.CONCAT("    - xform/》", $Z8, 調表!#REF!, "/", AE8, "/")</f>
        <v>#REF!</v>
      </c>
      <c r="AQ8" s="43" t="e">
        <f xml:space="preserve"> _xlfn.CONCAT("    - xform/》", $Z8, 調表!#REF!, "/", AF8, "/")</f>
        <v>#REF!</v>
      </c>
      <c r="AR8" s="43" t="e">
        <f xml:space="preserve"> _xlfn.CONCAT("    - xform/》", $Z8, 調表!#REF!, "/", AG8, "/")</f>
        <v>#REF!</v>
      </c>
      <c r="AS8" s="43" t="e">
        <f xml:space="preserve"> _xlfn.CONCAT("    - xform/》", $Z8, 調表!#REF!, "/", AH8, "/")</f>
        <v>#REF!</v>
      </c>
      <c r="AT8" s="43" t="e">
        <f xml:space="preserve"> _xlfn.CONCAT("    - xform/》", $Z8, 調表!#REF!, "/", AI8, "/")</f>
        <v>#REF!</v>
      </c>
      <c r="AU8" s="43" t="e">
        <f xml:space="preserve"> _xlfn.CONCAT("    - xform/》", $Z8, 調表!#REF!, "/", AJ8, "/")</f>
        <v>#REF!</v>
      </c>
      <c r="AV8" s="41"/>
      <c r="AW8" s="41"/>
      <c r="AX8" s="38"/>
    </row>
    <row r="9" spans="1:50" ht="27.75" thickBot="1">
      <c r="A9" s="66">
        <v>8</v>
      </c>
      <c r="B9" s="46" t="s">
        <v>702</v>
      </c>
      <c r="C9" s="48" t="s">
        <v>65</v>
      </c>
      <c r="D9" s="114" t="s">
        <v>1912</v>
      </c>
      <c r="E9" s="114" t="s">
        <v>1912</v>
      </c>
      <c r="F9" s="114" t="s">
        <v>65</v>
      </c>
      <c r="G9" s="114" t="s">
        <v>65</v>
      </c>
      <c r="H9" s="21" t="s">
        <v>67</v>
      </c>
      <c r="I9" s="21" t="s">
        <v>67</v>
      </c>
      <c r="J9" s="18" t="str">
        <f xml:space="preserve"> LEFT(韻母對照表69[[#This Row],[十五音識別碼]],1)</f>
        <v>干</v>
      </c>
      <c r="K9" s="18" t="s">
        <v>64</v>
      </c>
      <c r="L9" s="18" t="s">
        <v>68</v>
      </c>
      <c r="M9" s="21"/>
      <c r="N9" s="18">
        <f t="shared" si="0"/>
        <v>3</v>
      </c>
      <c r="O9" s="25"/>
      <c r="P9" s="21" t="str">
        <f t="shared" si="1"/>
        <v>an</v>
      </c>
      <c r="Q9" s="21" t="str">
        <f t="shared" si="2"/>
        <v xml:space="preserve">an </v>
      </c>
      <c r="S9" s="31" t="str">
        <f t="shared" si="3"/>
        <v>an(\d)</v>
      </c>
      <c r="T9" s="33" t="s">
        <v>716</v>
      </c>
      <c r="U9" s="33">
        <f t="shared" si="4"/>
        <v>1</v>
      </c>
      <c r="V9" s="31" t="str">
        <f t="shared" si="5"/>
        <v>》a${1}n</v>
      </c>
      <c r="W9" s="19"/>
      <c r="X9" s="20" t="str">
        <f t="shared" si="6"/>
        <v xml:space="preserve">    - xform/》an(\d)/》a${1}n/</v>
      </c>
      <c r="Y9" s="15"/>
      <c r="Z9" s="38" t="s">
        <v>735</v>
      </c>
      <c r="AA9" s="41" t="str">
        <f t="shared" si="8"/>
        <v>m</v>
      </c>
      <c r="AB9" s="41" t="str">
        <f t="shared" si="8"/>
        <v>ḿ</v>
      </c>
      <c r="AC9" s="41" t="str">
        <f t="shared" si="8"/>
        <v>m̀</v>
      </c>
      <c r="AD9" s="41" t="str">
        <f t="shared" si="8"/>
        <v>m</v>
      </c>
      <c r="AE9" s="41" t="str">
        <f t="shared" si="8"/>
        <v>m̌</v>
      </c>
      <c r="AF9" s="41" t="str">
        <f t="shared" si="8"/>
        <v>ḿ</v>
      </c>
      <c r="AG9" s="41" t="str">
        <f t="shared" si="8"/>
        <v>m̄</v>
      </c>
      <c r="AH9" s="41" t="str">
        <f t="shared" si="8"/>
        <v>m̍</v>
      </c>
      <c r="AI9" s="41" t="str">
        <f t="shared" si="8"/>
        <v>m̋</v>
      </c>
      <c r="AJ9" s="41" t="str">
        <f t="shared" si="8"/>
        <v>m̊</v>
      </c>
      <c r="AL9" s="43" t="e">
        <f xml:space="preserve"> _xlfn.CONCAT("    - xform/》", $Z9, 調表!#REF!, "/", AA9, "/")</f>
        <v>#REF!</v>
      </c>
      <c r="AM9" s="43" t="e">
        <f xml:space="preserve"> _xlfn.CONCAT("    - xform/》", $Z9, 調表!#REF!, "/", AB9, "/")</f>
        <v>#REF!</v>
      </c>
      <c r="AN9" s="43" t="e">
        <f xml:space="preserve"> _xlfn.CONCAT("    - xform/》", $Z9, 調表!#REF!, "/", AC9, "/")</f>
        <v>#REF!</v>
      </c>
      <c r="AO9" s="43" t="e">
        <f xml:space="preserve"> _xlfn.CONCAT("    - xform/》", $Z9, 調表!#REF!, "/", AD9, "/")</f>
        <v>#REF!</v>
      </c>
      <c r="AP9" s="43" t="e">
        <f xml:space="preserve"> _xlfn.CONCAT("    - xform/》", $Z9, 調表!#REF!, "/", AE9, "/")</f>
        <v>#REF!</v>
      </c>
      <c r="AQ9" s="43" t="e">
        <f xml:space="preserve"> _xlfn.CONCAT("    - xform/》", $Z9, 調表!#REF!, "/", AF9, "/")</f>
        <v>#REF!</v>
      </c>
      <c r="AR9" s="43" t="e">
        <f xml:space="preserve"> _xlfn.CONCAT("    - xform/》", $Z9, 調表!#REF!, "/", AG9, "/")</f>
        <v>#REF!</v>
      </c>
      <c r="AS9" s="43" t="e">
        <f xml:space="preserve"> _xlfn.CONCAT("    - xform/》", $Z9, 調表!#REF!, "/", AH9, "/")</f>
        <v>#REF!</v>
      </c>
      <c r="AT9" s="43" t="e">
        <f xml:space="preserve"> _xlfn.CONCAT("    - xform/》", $Z9, 調表!#REF!, "/", AI9, "/")</f>
        <v>#REF!</v>
      </c>
      <c r="AU9" s="43" t="e">
        <f xml:space="preserve"> _xlfn.CONCAT("    - xform/》", $Z9, 調表!#REF!, "/", AJ9, "/")</f>
        <v>#REF!</v>
      </c>
      <c r="AV9" s="41"/>
      <c r="AW9" s="41"/>
      <c r="AX9" s="38"/>
    </row>
    <row r="10" spans="1:50" ht="54.75" thickBot="1">
      <c r="A10" s="66">
        <v>9</v>
      </c>
      <c r="B10" s="46" t="s">
        <v>1725</v>
      </c>
      <c r="C10" s="48" t="s">
        <v>229</v>
      </c>
      <c r="D10" s="114" t="s">
        <v>229</v>
      </c>
      <c r="E10" s="114" t="s">
        <v>229</v>
      </c>
      <c r="F10" s="114" t="s">
        <v>229</v>
      </c>
      <c r="G10" s="114" t="s">
        <v>229</v>
      </c>
      <c r="H10" s="21" t="s">
        <v>1581</v>
      </c>
      <c r="I10" s="21" t="s">
        <v>1581</v>
      </c>
      <c r="J10" s="18" t="str">
        <f xml:space="preserve"> LEFT(韻母對照表69[[#This Row],[十五音識別碼]],1)</f>
        <v>江</v>
      </c>
      <c r="K10" s="18" t="s">
        <v>226</v>
      </c>
      <c r="L10" s="18" t="s">
        <v>230</v>
      </c>
      <c r="M10" s="21"/>
      <c r="N10" s="18">
        <f t="shared" si="0"/>
        <v>3</v>
      </c>
      <c r="O10" s="25"/>
      <c r="P10" s="21" t="str">
        <f t="shared" si="1"/>
        <v>ang</v>
      </c>
      <c r="Q10" s="21" t="str">
        <f t="shared" si="2"/>
        <v>ang</v>
      </c>
      <c r="S10" s="31" t="str">
        <f t="shared" si="3"/>
        <v>ang(\d)</v>
      </c>
      <c r="T10" s="33" t="s">
        <v>716</v>
      </c>
      <c r="U10" s="33">
        <f t="shared" si="4"/>
        <v>1</v>
      </c>
      <c r="V10" s="31" t="str">
        <f t="shared" si="5"/>
        <v>》a${1}ng</v>
      </c>
      <c r="W10" s="19"/>
      <c r="X10" s="20" t="str">
        <f t="shared" si="6"/>
        <v xml:space="preserve">    - xform/》ang(\d)/》a${1}ng/</v>
      </c>
      <c r="Y10" s="15"/>
      <c r="Z10" s="38" t="s">
        <v>734</v>
      </c>
      <c r="AA10" s="41" t="str">
        <f t="shared" si="8"/>
        <v>n</v>
      </c>
      <c r="AB10" s="41" t="str">
        <f t="shared" si="8"/>
        <v>ń</v>
      </c>
      <c r="AC10" s="41" t="str">
        <f t="shared" si="8"/>
        <v>ǹ</v>
      </c>
      <c r="AD10" s="41" t="str">
        <f t="shared" si="8"/>
        <v>n</v>
      </c>
      <c r="AE10" s="41" t="str">
        <f t="shared" si="8"/>
        <v>ň</v>
      </c>
      <c r="AF10" s="41" t="str">
        <f t="shared" si="8"/>
        <v>ń</v>
      </c>
      <c r="AG10" s="41" t="str">
        <f t="shared" si="8"/>
        <v>n̄</v>
      </c>
      <c r="AH10" s="41" t="str">
        <f t="shared" si="8"/>
        <v>n̍</v>
      </c>
      <c r="AI10" s="41" t="str">
        <f t="shared" si="8"/>
        <v>n̋</v>
      </c>
      <c r="AJ10" s="41" t="str">
        <f t="shared" si="8"/>
        <v>n̊</v>
      </c>
      <c r="AL10" s="43" t="e">
        <f xml:space="preserve"> _xlfn.CONCAT("    - xform/》", $Z10, 調表!#REF!, "/", AA10, "/")</f>
        <v>#REF!</v>
      </c>
      <c r="AM10" s="43" t="e">
        <f xml:space="preserve"> _xlfn.CONCAT("    - xform/》", $Z10, 調表!#REF!, "/", AB10, "/")</f>
        <v>#REF!</v>
      </c>
      <c r="AN10" s="43" t="e">
        <f xml:space="preserve"> _xlfn.CONCAT("    - xform/》", $Z10, 調表!#REF!, "/", AC10, "/")</f>
        <v>#REF!</v>
      </c>
      <c r="AO10" s="43" t="e">
        <f xml:space="preserve"> _xlfn.CONCAT("    - xform/》", $Z10, 調表!#REF!, "/", AD10, "/")</f>
        <v>#REF!</v>
      </c>
      <c r="AP10" s="43" t="e">
        <f xml:space="preserve"> _xlfn.CONCAT("    - xform/》", $Z10, 調表!#REF!, "/", AE10, "/")</f>
        <v>#REF!</v>
      </c>
      <c r="AQ10" s="43" t="e">
        <f xml:space="preserve"> _xlfn.CONCAT("    - xform/》", $Z10, 調表!#REF!, "/", AF10, "/")</f>
        <v>#REF!</v>
      </c>
      <c r="AR10" s="43" t="e">
        <f xml:space="preserve"> _xlfn.CONCAT("    - xform/》", $Z10, 調表!#REF!, "/", AG10, "/")</f>
        <v>#REF!</v>
      </c>
      <c r="AS10" s="43" t="e">
        <f xml:space="preserve"> _xlfn.CONCAT("    - xform/》", $Z10, 調表!#REF!, "/", AH10, "/")</f>
        <v>#REF!</v>
      </c>
      <c r="AT10" s="43" t="e">
        <f xml:space="preserve"> _xlfn.CONCAT("    - xform/》", $Z10, 調表!#REF!, "/", AI10, "/")</f>
        <v>#REF!</v>
      </c>
      <c r="AU10" s="43" t="e">
        <f xml:space="preserve"> _xlfn.CONCAT("    - xform/》", $Z10, 調表!#REF!, "/", AJ10, "/")</f>
        <v>#REF!</v>
      </c>
      <c r="AV10" s="41"/>
      <c r="AW10" s="41"/>
      <c r="AX10" s="38"/>
    </row>
    <row r="11" spans="1:50" ht="54.75" thickBot="1">
      <c r="A11" s="66">
        <v>10</v>
      </c>
      <c r="B11" s="46" t="s">
        <v>1722</v>
      </c>
      <c r="C11" s="48" t="s">
        <v>287</v>
      </c>
      <c r="D11" s="114" t="s">
        <v>287</v>
      </c>
      <c r="E11" s="114" t="s">
        <v>288</v>
      </c>
      <c r="F11" s="114" t="s">
        <v>287</v>
      </c>
      <c r="G11" s="114" t="s">
        <v>289</v>
      </c>
      <c r="H11" s="21" t="s">
        <v>286</v>
      </c>
      <c r="I11" s="21" t="s">
        <v>1633</v>
      </c>
      <c r="J11" s="18" t="str">
        <f xml:space="preserve"> LEFT(韻母對照表69[[#This Row],[十五音識別碼]],1)</f>
        <v>監</v>
      </c>
      <c r="K11" s="18" t="s">
        <v>283</v>
      </c>
      <c r="L11" s="18" t="s">
        <v>290</v>
      </c>
      <c r="M11" s="44" t="s">
        <v>739</v>
      </c>
      <c r="N11" s="18">
        <f t="shared" si="0"/>
        <v>3</v>
      </c>
      <c r="O11" s="25"/>
      <c r="P11" s="21" t="str">
        <f t="shared" si="1"/>
        <v>ann</v>
      </c>
      <c r="Q11" s="21" t="str">
        <f t="shared" si="2"/>
        <v>ann</v>
      </c>
      <c r="S11" s="31" t="str">
        <f t="shared" si="3"/>
        <v>ann(\d)</v>
      </c>
      <c r="T11" s="35" t="s">
        <v>716</v>
      </c>
      <c r="U11" s="33">
        <f t="shared" si="4"/>
        <v>1</v>
      </c>
      <c r="V11" s="31" t="str">
        <f t="shared" si="5"/>
        <v>》a${1}nn</v>
      </c>
      <c r="W11" s="19"/>
      <c r="X11" s="20" t="str">
        <f t="shared" si="6"/>
        <v xml:space="preserve">    - xform/》ann(\d)/》a${1}nn/</v>
      </c>
      <c r="Y11" s="15"/>
      <c r="Z11" s="38" t="s">
        <v>717</v>
      </c>
      <c r="AA11" s="41" t="str">
        <f t="shared" si="8"/>
        <v>i</v>
      </c>
      <c r="AB11" s="41" t="str">
        <f t="shared" si="8"/>
        <v>í</v>
      </c>
      <c r="AC11" s="41" t="str">
        <f t="shared" si="8"/>
        <v>ì</v>
      </c>
      <c r="AD11" s="41" t="str">
        <f t="shared" si="8"/>
        <v>i</v>
      </c>
      <c r="AE11" s="41" t="str">
        <f t="shared" si="8"/>
        <v>ǐ</v>
      </c>
      <c r="AF11" s="41" t="str">
        <f t="shared" si="8"/>
        <v>í</v>
      </c>
      <c r="AG11" s="41" t="str">
        <f t="shared" si="8"/>
        <v>ī</v>
      </c>
      <c r="AH11" s="41" t="str">
        <f t="shared" si="8"/>
        <v>i̍</v>
      </c>
      <c r="AI11" s="41" t="str">
        <f t="shared" si="8"/>
        <v>i̋</v>
      </c>
      <c r="AJ11" s="41" t="str">
        <f t="shared" si="8"/>
        <v>i̊</v>
      </c>
      <c r="AL11" s="43" t="e">
        <f xml:space="preserve"> _xlfn.CONCAT("    - xform/》", $Z11, 調表!#REF!, "/", AA11, "/")</f>
        <v>#REF!</v>
      </c>
      <c r="AM11" s="43" t="e">
        <f xml:space="preserve"> _xlfn.CONCAT("    - xform/》", $Z11, 調表!#REF!, "/", AB11, "/")</f>
        <v>#REF!</v>
      </c>
      <c r="AN11" s="43" t="e">
        <f xml:space="preserve"> _xlfn.CONCAT("    - xform/》", $Z11, 調表!#REF!, "/", AC11, "/")</f>
        <v>#REF!</v>
      </c>
      <c r="AO11" s="43" t="e">
        <f xml:space="preserve"> _xlfn.CONCAT("    - xform/》", $Z11, 調表!#REF!, "/", AD11, "/")</f>
        <v>#REF!</v>
      </c>
      <c r="AP11" s="43" t="e">
        <f xml:space="preserve"> _xlfn.CONCAT("    - xform/》", $Z11, 調表!#REF!, "/", AE11, "/")</f>
        <v>#REF!</v>
      </c>
      <c r="AQ11" s="43" t="e">
        <f xml:space="preserve"> _xlfn.CONCAT("    - xform/》", $Z11, 調表!#REF!, "/", AF11, "/")</f>
        <v>#REF!</v>
      </c>
      <c r="AR11" s="43" t="e">
        <f xml:space="preserve"> _xlfn.CONCAT("    - xform/》", $Z11, 調表!#REF!, "/", AG11, "/")</f>
        <v>#REF!</v>
      </c>
      <c r="AS11" s="43" t="e">
        <f xml:space="preserve"> _xlfn.CONCAT("    - xform/》", $Z11, 調表!#REF!, "/", AH11, "/")</f>
        <v>#REF!</v>
      </c>
      <c r="AT11" s="43" t="e">
        <f xml:space="preserve"> _xlfn.CONCAT("    - xform/》", $Z11, 調表!#REF!, "/", AI11, "/")</f>
        <v>#REF!</v>
      </c>
      <c r="AU11" s="43" t="e">
        <f xml:space="preserve"> _xlfn.CONCAT("    - xform/》", $Z11, 調表!#REF!, "/", AJ11, "/")</f>
        <v>#REF!</v>
      </c>
      <c r="AV11" s="41"/>
      <c r="AW11" s="41"/>
      <c r="AX11" s="38"/>
    </row>
    <row r="12" spans="1:50" ht="54.75" thickBot="1">
      <c r="A12" s="66">
        <v>11</v>
      </c>
      <c r="B12" s="46" t="s">
        <v>1724</v>
      </c>
      <c r="C12" s="48" t="s">
        <v>293</v>
      </c>
      <c r="D12" s="114" t="s">
        <v>1913</v>
      </c>
      <c r="E12" s="114" t="s">
        <v>656</v>
      </c>
      <c r="F12" s="114" t="s">
        <v>293</v>
      </c>
      <c r="G12" s="115" t="s">
        <v>707</v>
      </c>
      <c r="H12" s="21" t="s">
        <v>740</v>
      </c>
      <c r="I12" s="21" t="s">
        <v>1634</v>
      </c>
      <c r="J12" s="18" t="str">
        <f xml:space="preserve"> LEFT(韻母對照表69[[#This Row],[十五音識別碼]],1)</f>
        <v>監</v>
      </c>
      <c r="K12" s="18" t="s">
        <v>292</v>
      </c>
      <c r="L12" s="18" t="s">
        <v>295</v>
      </c>
      <c r="M12" s="44" t="s">
        <v>739</v>
      </c>
      <c r="N12" s="18">
        <f t="shared" si="0"/>
        <v>5</v>
      </c>
      <c r="O12" s="25"/>
      <c r="P12" s="21" t="str">
        <f t="shared" si="1"/>
        <v>annh</v>
      </c>
      <c r="Q12" s="21" t="str">
        <f t="shared" si="2"/>
        <v xml:space="preserve">annh </v>
      </c>
      <c r="S12" s="31" t="str">
        <f t="shared" si="3"/>
        <v>annh(\d)</v>
      </c>
      <c r="T12" s="33" t="s">
        <v>716</v>
      </c>
      <c r="U12" s="33">
        <f t="shared" si="4"/>
        <v>1</v>
      </c>
      <c r="V12" s="31" t="str">
        <f t="shared" si="5"/>
        <v>》a${1}nnh</v>
      </c>
      <c r="W12" s="19"/>
      <c r="X12" s="20" t="str">
        <f t="shared" si="6"/>
        <v xml:space="preserve">    - xform/》annh(\d)/》a${1}nnh/</v>
      </c>
      <c r="Y12" s="15"/>
      <c r="Z12" s="38" t="s">
        <v>701</v>
      </c>
      <c r="AA12" s="41" t="str">
        <f t="shared" si="8"/>
        <v>e</v>
      </c>
      <c r="AB12" s="41" t="str">
        <f t="shared" si="8"/>
        <v>é</v>
      </c>
      <c r="AC12" s="41" t="str">
        <f t="shared" si="8"/>
        <v>è</v>
      </c>
      <c r="AD12" s="41" t="str">
        <f t="shared" si="8"/>
        <v>e</v>
      </c>
      <c r="AE12" s="41" t="str">
        <f t="shared" si="8"/>
        <v>ě</v>
      </c>
      <c r="AF12" s="41" t="str">
        <f t="shared" si="8"/>
        <v>é</v>
      </c>
      <c r="AG12" s="41" t="str">
        <f t="shared" si="8"/>
        <v>ē</v>
      </c>
      <c r="AH12" s="41" t="str">
        <f t="shared" si="8"/>
        <v>e̍</v>
      </c>
      <c r="AI12" s="41" t="str">
        <f t="shared" si="8"/>
        <v>e̋</v>
      </c>
      <c r="AJ12" s="41" t="str">
        <f t="shared" si="8"/>
        <v>e̊</v>
      </c>
      <c r="AL12" s="43" t="e">
        <f xml:space="preserve"> _xlfn.CONCAT("    - xform/》", $Z12, 調表!#REF!, "/", AA12, "/")</f>
        <v>#REF!</v>
      </c>
      <c r="AM12" s="43" t="e">
        <f xml:space="preserve"> _xlfn.CONCAT("    - xform/》", $Z12, 調表!#REF!, "/", AB12, "/")</f>
        <v>#REF!</v>
      </c>
      <c r="AN12" s="43" t="e">
        <f xml:space="preserve"> _xlfn.CONCAT("    - xform/》", $Z12, 調表!#REF!, "/", AC12, "/")</f>
        <v>#REF!</v>
      </c>
      <c r="AO12" s="43" t="e">
        <f xml:space="preserve"> _xlfn.CONCAT("    - xform/》", $Z12, 調表!#REF!, "/", AD12, "/")</f>
        <v>#REF!</v>
      </c>
      <c r="AP12" s="43" t="e">
        <f xml:space="preserve"> _xlfn.CONCAT("    - xform/》", $Z12, 調表!#REF!, "/", AE12, "/")</f>
        <v>#REF!</v>
      </c>
      <c r="AQ12" s="43" t="e">
        <f xml:space="preserve"> _xlfn.CONCAT("    - xform/》", $Z12, 調表!#REF!, "/", AF12, "/")</f>
        <v>#REF!</v>
      </c>
      <c r="AR12" s="43" t="e">
        <f xml:space="preserve"> _xlfn.CONCAT("    - xform/》", $Z12, 調表!#REF!, "/", AG12, "/")</f>
        <v>#REF!</v>
      </c>
      <c r="AS12" s="43" t="e">
        <f xml:space="preserve"> _xlfn.CONCAT("    - xform/》", $Z12, 調表!#REF!, "/", AH12, "/")</f>
        <v>#REF!</v>
      </c>
      <c r="AT12" s="43" t="e">
        <f xml:space="preserve"> _xlfn.CONCAT("    - xform/》", $Z12, 調表!#REF!, "/", AI12, "/")</f>
        <v>#REF!</v>
      </c>
      <c r="AU12" s="43" t="e">
        <f xml:space="preserve"> _xlfn.CONCAT("    - xform/》", $Z12, 調表!#REF!, "/", AJ12, "/")</f>
        <v>#REF!</v>
      </c>
      <c r="AV12" s="41"/>
      <c r="AW12" s="41"/>
      <c r="AX12" s="38"/>
    </row>
    <row r="13" spans="1:50" ht="27.75" thickBot="1">
      <c r="A13" s="66">
        <v>12</v>
      </c>
      <c r="B13" s="46" t="str">
        <f>_xlfn.CONCAT("a","p",_xlfn.UNICHAR(794))</f>
        <v>ap̚</v>
      </c>
      <c r="C13" s="48" t="s">
        <v>211</v>
      </c>
      <c r="D13" s="114" t="s">
        <v>1914</v>
      </c>
      <c r="E13" s="114" t="s">
        <v>1914</v>
      </c>
      <c r="F13" s="114" t="s">
        <v>211</v>
      </c>
      <c r="G13" s="114" t="s">
        <v>211</v>
      </c>
      <c r="H13" s="21" t="s">
        <v>210</v>
      </c>
      <c r="I13" s="21" t="s">
        <v>1624</v>
      </c>
      <c r="J13" s="18" t="str">
        <f xml:space="preserve"> LEFT(韻母對照表69[[#This Row],[十五音識別碼]],1)</f>
        <v>甘</v>
      </c>
      <c r="K13" s="18" t="s">
        <v>208</v>
      </c>
      <c r="L13" s="18" t="s">
        <v>212</v>
      </c>
      <c r="M13" s="21"/>
      <c r="N13" s="18">
        <f t="shared" si="0"/>
        <v>3</v>
      </c>
      <c r="O13" s="25"/>
      <c r="P13" s="21" t="str">
        <f t="shared" si="1"/>
        <v>ap</v>
      </c>
      <c r="Q13" s="21" t="str">
        <f t="shared" si="2"/>
        <v xml:space="preserve">ap </v>
      </c>
      <c r="S13" s="31" t="str">
        <f xml:space="preserve"> _xlfn.CONCAT(P13, "(\d)")</f>
        <v>ap(\d)</v>
      </c>
      <c r="T13" s="33" t="s">
        <v>716</v>
      </c>
      <c r="U13" s="33">
        <f t="shared" si="4"/>
        <v>1</v>
      </c>
      <c r="V13" s="31" t="str">
        <f xml:space="preserve"> IFERROR( _xlfn.CONCAT(LEFT(P13,U13-1), "》", MID(P13,U13,1), "${1}", RIGHT(P13, LEN(P13)-U13)), "" )</f>
        <v>》a${1}p</v>
      </c>
      <c r="W13" s="19"/>
      <c r="X13" s="20" t="str">
        <f xml:space="preserve"> IF(AND(Q13&lt;&gt;"", P13&lt;&gt;""), "    - xform/》" &amp; S13 &amp;  "/"  &amp; V13 &amp;  "/", "")</f>
        <v xml:space="preserve">    - xform/》ap(\d)/》a${1}p/</v>
      </c>
      <c r="Y13" s="15"/>
      <c r="Z13" s="38"/>
      <c r="AL13" s="42"/>
      <c r="AU13" s="15"/>
    </row>
    <row r="14" spans="1:50" ht="27.75" thickBot="1">
      <c r="A14" s="66">
        <v>13</v>
      </c>
      <c r="B14" s="46" t="str">
        <f>_xlfn.CONCAT("a","t",_xlfn.UNICHAR(794))</f>
        <v>at̚</v>
      </c>
      <c r="C14" s="48" t="s">
        <v>73</v>
      </c>
      <c r="D14" s="114" t="s">
        <v>1915</v>
      </c>
      <c r="E14" s="114" t="s">
        <v>1915</v>
      </c>
      <c r="F14" s="114" t="s">
        <v>73</v>
      </c>
      <c r="G14" s="114" t="s">
        <v>73</v>
      </c>
      <c r="H14" s="21" t="s">
        <v>72</v>
      </c>
      <c r="I14" s="21" t="s">
        <v>1610</v>
      </c>
      <c r="J14" s="18" t="str">
        <f xml:space="preserve"> LEFT(韻母對照表69[[#This Row],[十五音識別碼]],1)</f>
        <v>干</v>
      </c>
      <c r="K14" s="18" t="s">
        <v>70</v>
      </c>
      <c r="L14" s="18" t="s">
        <v>74</v>
      </c>
      <c r="M14" s="21"/>
      <c r="N14" s="18">
        <f t="shared" si="0"/>
        <v>3</v>
      </c>
      <c r="O14" s="25"/>
      <c r="P14" s="21" t="str">
        <f t="shared" si="1"/>
        <v>at</v>
      </c>
      <c r="Q14" s="21" t="str">
        <f t="shared" si="2"/>
        <v xml:space="preserve">at </v>
      </c>
      <c r="S14" s="31" t="str">
        <f xml:space="preserve"> _xlfn.CONCAT(P14, "(\d)")</f>
        <v>at(\d)</v>
      </c>
      <c r="T14" s="33" t="s">
        <v>710</v>
      </c>
      <c r="U14" s="33" t="str">
        <f t="shared" si="4"/>
        <v/>
      </c>
      <c r="V14" s="31" t="str">
        <f xml:space="preserve"> IFERROR( _xlfn.CONCAT(LEFT(P14,U14-1), "》", MID(P14,U14,1), "${1}", RIGHT(P14, LEN(P14)-U14)), "" )</f>
        <v/>
      </c>
      <c r="W14" s="19"/>
      <c r="X14" s="20" t="str">
        <f xml:space="preserve"> IF(AND(Q14&lt;&gt;"", P14&lt;&gt;""), "    - xform/》" &amp; S14 &amp;  "/"  &amp; V14 &amp;  "/", "")</f>
        <v xml:space="preserve">    - xform/》at(\d)//</v>
      </c>
      <c r="Y14" s="15"/>
      <c r="Z14" s="38"/>
      <c r="AL14" s="42"/>
      <c r="AU14" s="15"/>
    </row>
    <row r="15" spans="1:50" ht="27.75" thickBot="1">
      <c r="A15" s="66">
        <v>14</v>
      </c>
      <c r="B15" s="46" t="s">
        <v>1696</v>
      </c>
      <c r="C15" s="48" t="s">
        <v>251</v>
      </c>
      <c r="D15" s="114" t="s">
        <v>1916</v>
      </c>
      <c r="E15" s="114" t="s">
        <v>1916</v>
      </c>
      <c r="F15" s="114" t="s">
        <v>251</v>
      </c>
      <c r="G15" s="114" t="s">
        <v>254</v>
      </c>
      <c r="H15" s="21" t="s">
        <v>253</v>
      </c>
      <c r="I15" s="21" t="s">
        <v>253</v>
      </c>
      <c r="J15" s="18" t="str">
        <f xml:space="preserve"> LEFT(韻母對照表69[[#This Row],[十五音識別碼]],1)</f>
        <v>交</v>
      </c>
      <c r="K15" s="18" t="s">
        <v>250</v>
      </c>
      <c r="L15" s="18" t="s">
        <v>255</v>
      </c>
      <c r="M15" s="21"/>
      <c r="N15" s="18">
        <f t="shared" si="0"/>
        <v>3</v>
      </c>
      <c r="O15" s="25"/>
      <c r="P15" s="21" t="str">
        <f t="shared" si="1"/>
        <v>au</v>
      </c>
      <c r="Q15" s="21" t="str">
        <f t="shared" si="2"/>
        <v xml:space="preserve">au </v>
      </c>
      <c r="S15" s="31" t="str">
        <f xml:space="preserve"> _xlfn.CONCAT(P15, "(\d)")</f>
        <v>au(\d)</v>
      </c>
      <c r="T15" s="33" t="s">
        <v>716</v>
      </c>
      <c r="U15" s="33">
        <f t="shared" si="4"/>
        <v>1</v>
      </c>
      <c r="V15" s="31" t="str">
        <f xml:space="preserve"> IFERROR( _xlfn.CONCAT(LEFT(P15,U15-1), "》", MID(P15,U15,1), "${1}", RIGHT(P15, LEN(P15)-U15)), "" )</f>
        <v>》a${1}u</v>
      </c>
      <c r="W15" s="19"/>
      <c r="X15" s="20" t="str">
        <f xml:space="preserve"> IF(AND(Q15&lt;&gt;"", P15&lt;&gt;""), "    - xform/》" &amp; S15 &amp;  "/"  &amp; V15 &amp;  "/", "")</f>
        <v xml:space="preserve">    - xform/》au(\d)/》a${1}u/</v>
      </c>
      <c r="Y15" s="15"/>
      <c r="Z15" s="38"/>
      <c r="AL15" s="42"/>
      <c r="AU15" s="15"/>
    </row>
    <row r="16" spans="1:50" ht="54.75" thickBot="1">
      <c r="A16" s="66">
        <v>15</v>
      </c>
      <c r="B16" s="46" t="s">
        <v>1729</v>
      </c>
      <c r="C16" s="48" t="s">
        <v>258</v>
      </c>
      <c r="D16" s="114" t="s">
        <v>258</v>
      </c>
      <c r="E16" s="114" t="s">
        <v>258</v>
      </c>
      <c r="F16" s="114" t="s">
        <v>258</v>
      </c>
      <c r="G16" s="114" t="s">
        <v>259</v>
      </c>
      <c r="H16" s="69" t="s">
        <v>669</v>
      </c>
      <c r="I16" s="69" t="s">
        <v>1629</v>
      </c>
      <c r="J16" s="18" t="str">
        <f xml:space="preserve"> LEFT(韻母對照表69[[#This Row],[十五音識別碼]],1)</f>
        <v>交</v>
      </c>
      <c r="K16" s="18" t="s">
        <v>257</v>
      </c>
      <c r="L16" s="18" t="s">
        <v>260</v>
      </c>
      <c r="M16" s="21"/>
      <c r="N16" s="18">
        <f t="shared" si="0"/>
        <v>3</v>
      </c>
      <c r="O16" s="25"/>
      <c r="P16" s="21" t="str">
        <f t="shared" si="1"/>
        <v>auh</v>
      </c>
      <c r="Q16" s="21" t="str">
        <f t="shared" si="2"/>
        <v>auh</v>
      </c>
      <c r="S16" s="31" t="str">
        <f xml:space="preserve"> _xlfn.CONCAT(P16, "(\d)")</f>
        <v>auh(\d)</v>
      </c>
      <c r="T16" s="33" t="s">
        <v>716</v>
      </c>
      <c r="U16" s="33">
        <f t="shared" si="4"/>
        <v>1</v>
      </c>
      <c r="V16" s="31" t="str">
        <f xml:space="preserve"> IFERROR( _xlfn.CONCAT(LEFT(P16,U16-1), "》", MID(P16,U16,1), "${1}", RIGHT(P16, LEN(P16)-U16)), "" )</f>
        <v>》a${1}uh</v>
      </c>
      <c r="W16" s="19"/>
      <c r="X16" s="20" t="str">
        <f xml:space="preserve"> IF(AND(Q16&lt;&gt;"", P16&lt;&gt;""), "    - xform/》" &amp; S16 &amp;  "/"  &amp; V16 &amp;  "/", "")</f>
        <v xml:space="preserve">    - xform/》auh(\d)/》a${1}uh/</v>
      </c>
      <c r="Y16" s="15"/>
      <c r="Z16" s="38"/>
      <c r="AL16" s="42"/>
      <c r="AU16" s="15"/>
    </row>
    <row r="17" spans="1:47" ht="27.75" thickBot="1">
      <c r="A17" s="66">
        <v>16</v>
      </c>
      <c r="B17" s="46" t="s">
        <v>701</v>
      </c>
      <c r="C17" s="48" t="s">
        <v>56</v>
      </c>
      <c r="D17" s="114" t="s">
        <v>56</v>
      </c>
      <c r="E17" s="114" t="s">
        <v>56</v>
      </c>
      <c r="F17" s="114" t="s">
        <v>56</v>
      </c>
      <c r="G17" s="114" t="s">
        <v>56</v>
      </c>
      <c r="H17" s="21" t="s">
        <v>149</v>
      </c>
      <c r="I17" s="21" t="s">
        <v>54</v>
      </c>
      <c r="J17" s="18" t="str">
        <f xml:space="preserve"> LEFT(韻母對照表69[[#This Row],[十五音識別碼]],1)</f>
        <v>稽</v>
      </c>
      <c r="K17" s="18" t="s">
        <v>147</v>
      </c>
      <c r="L17" s="18" t="s">
        <v>150</v>
      </c>
      <c r="M17" s="21"/>
      <c r="N17" s="18">
        <f t="shared" si="0"/>
        <v>1</v>
      </c>
      <c r="O17" s="25"/>
      <c r="P17" s="21" t="str">
        <f>C25</f>
        <v>i</v>
      </c>
      <c r="Q17" s="21" t="str">
        <f>D25</f>
        <v>i</v>
      </c>
      <c r="S17" s="31" t="str">
        <f t="shared" si="3"/>
        <v>i(\d)</v>
      </c>
      <c r="T17" s="33" t="s">
        <v>710</v>
      </c>
      <c r="U17" s="33" t="str">
        <f t="shared" si="4"/>
        <v/>
      </c>
      <c r="V17" s="31" t="str">
        <f t="shared" si="5"/>
        <v/>
      </c>
      <c r="W17" s="19"/>
      <c r="X17" s="20" t="str">
        <f t="shared" si="6"/>
        <v xml:space="preserve">    - xform/》i(\d)//</v>
      </c>
      <c r="Y17" s="15"/>
      <c r="Z17" s="38"/>
      <c r="AL17" s="42"/>
      <c r="AU17" s="15"/>
    </row>
    <row r="18" spans="1:47" ht="27.75" thickBot="1">
      <c r="A18" s="66">
        <v>17</v>
      </c>
      <c r="B18" s="46" t="s">
        <v>1742</v>
      </c>
      <c r="C18" s="48" t="s">
        <v>720</v>
      </c>
      <c r="D18" s="116" t="s">
        <v>720</v>
      </c>
      <c r="E18" s="116"/>
      <c r="F18" s="116"/>
      <c r="G18" s="116"/>
      <c r="H18" s="67" t="s">
        <v>1752</v>
      </c>
      <c r="I18" s="67" t="s">
        <v>54</v>
      </c>
      <c r="J18" s="18" t="str">
        <f xml:space="preserve"> LEFT(韻母對照表69[[#This Row],[十五音識別碼]],1)</f>
        <v>嘉</v>
      </c>
      <c r="K18" s="18" t="s">
        <v>51</v>
      </c>
      <c r="L18" s="52" t="s">
        <v>57</v>
      </c>
      <c r="M18" s="21"/>
      <c r="N18" s="18">
        <f t="shared" si="0"/>
        <v>2</v>
      </c>
      <c r="O18" s="25"/>
      <c r="P18" s="21" t="str">
        <f>C17</f>
        <v>e</v>
      </c>
      <c r="Q18" s="21" t="str">
        <f>D17</f>
        <v>e</v>
      </c>
      <c r="S18" s="31" t="str">
        <f xml:space="preserve"> _xlfn.CONCAT(P18, "(\d)")</f>
        <v>e(\d)</v>
      </c>
      <c r="T18" s="33" t="s">
        <v>717</v>
      </c>
      <c r="U18" s="33" t="str">
        <f t="shared" si="4"/>
        <v/>
      </c>
      <c r="V18" s="31" t="str">
        <f xml:space="preserve"> IFERROR( _xlfn.CONCAT(LEFT(P18,U18-1), "》", MID(P18,U18,1), "${1}", RIGHT(P18, LEN(P18)-U18)), "" )</f>
        <v/>
      </c>
      <c r="W18" s="19"/>
      <c r="X18" s="20" t="str">
        <f xml:space="preserve"> IF(AND(Q18&lt;&gt;"", P18&lt;&gt;""), "    - xform/》" &amp; S18 &amp;  "/"  &amp; V18 &amp;  "/", "")</f>
        <v xml:space="preserve">    - xform/》e(\d)//</v>
      </c>
      <c r="Y18" s="15"/>
      <c r="Z18" s="38"/>
      <c r="AL18" s="42"/>
      <c r="AU18" s="15"/>
    </row>
    <row r="19" spans="1:47" ht="54.75" thickBot="1">
      <c r="A19" s="66">
        <v>18</v>
      </c>
      <c r="B19" s="46" t="str">
        <f xml:space="preserve"> _xlfn.CONCAT(B18, "ʔ")</f>
        <v>ɛʔ</v>
      </c>
      <c r="C19" s="48" t="s">
        <v>719</v>
      </c>
      <c r="D19" s="116" t="s">
        <v>719</v>
      </c>
      <c r="E19" s="116"/>
      <c r="F19" s="116"/>
      <c r="G19" s="116"/>
      <c r="H19" s="67" t="s">
        <v>660</v>
      </c>
      <c r="I19" s="67" t="s">
        <v>1609</v>
      </c>
      <c r="J19" s="18" t="str">
        <f xml:space="preserve"> LEFT(韻母對照表69[[#This Row],[十五音識別碼]],1)</f>
        <v>嘉</v>
      </c>
      <c r="K19" s="18" t="s">
        <v>59</v>
      </c>
      <c r="L19" s="52" t="s">
        <v>62</v>
      </c>
      <c r="M19" s="21"/>
      <c r="N19" s="18">
        <f t="shared" si="0"/>
        <v>3</v>
      </c>
      <c r="O19" s="25"/>
      <c r="P19" s="21" t="str">
        <f>C23</f>
        <v>enn</v>
      </c>
      <c r="Q19" s="21" t="str">
        <f>D23</f>
        <v>enn</v>
      </c>
      <c r="S19" s="31" t="str">
        <f xml:space="preserve"> _xlfn.CONCAT(P19, "(\d)")</f>
        <v>enn(\d)</v>
      </c>
      <c r="T19" s="33" t="s">
        <v>717</v>
      </c>
      <c r="U19" s="33" t="str">
        <f t="shared" si="4"/>
        <v/>
      </c>
      <c r="V19" s="31" t="str">
        <f xml:space="preserve"> IFERROR( _xlfn.CONCAT(LEFT(P19,U19-1), "》", MID(P19,U19,1), "${1}", RIGHT(P19, LEN(P19)-U19)), "" )</f>
        <v/>
      </c>
      <c r="W19" s="19"/>
      <c r="X19" s="20" t="str">
        <f xml:space="preserve"> IF(AND(Q19&lt;&gt;"", P19&lt;&gt;""), "    - xform/》" &amp; S19 &amp;  "/"  &amp; V19 &amp;  "/", "")</f>
        <v xml:space="preserve">    - xform/》enn(\d)//</v>
      </c>
      <c r="Y19" s="15"/>
      <c r="Z19" s="38"/>
      <c r="AL19" s="42"/>
      <c r="AU19" s="15"/>
    </row>
    <row r="20" spans="1:47" ht="27.75" thickBot="1">
      <c r="A20" s="66">
        <v>19</v>
      </c>
      <c r="B20" s="46" t="s">
        <v>1699</v>
      </c>
      <c r="C20" s="48" t="s">
        <v>61</v>
      </c>
      <c r="D20" s="114" t="s">
        <v>1917</v>
      </c>
      <c r="E20" s="114" t="s">
        <v>61</v>
      </c>
      <c r="F20" s="114" t="s">
        <v>61</v>
      </c>
      <c r="G20" s="114" t="s">
        <v>61</v>
      </c>
      <c r="H20" s="21" t="s">
        <v>1582</v>
      </c>
      <c r="I20" s="21" t="s">
        <v>1609</v>
      </c>
      <c r="J20" s="18" t="str">
        <f xml:space="preserve"> LEFT(韻母對照表69[[#This Row],[十五音識別碼]],1)</f>
        <v>伽</v>
      </c>
      <c r="K20" s="18" t="s">
        <v>394</v>
      </c>
      <c r="L20" s="18" t="s">
        <v>395</v>
      </c>
      <c r="M20" s="21"/>
      <c r="N20" s="18">
        <f t="shared" si="0"/>
        <v>3</v>
      </c>
      <c r="O20" s="25"/>
      <c r="P20" s="21" t="str">
        <f>C39</f>
        <v>ih</v>
      </c>
      <c r="Q20" s="21" t="str">
        <f>D39</f>
        <v xml:space="preserve">ih </v>
      </c>
      <c r="S20" s="31" t="str">
        <f xml:space="preserve"> _xlfn.CONCAT(P20, "(\d)")</f>
        <v>ih(\d)</v>
      </c>
      <c r="T20" s="33" t="s">
        <v>716</v>
      </c>
      <c r="U20" s="33" t="str">
        <f t="shared" si="4"/>
        <v/>
      </c>
      <c r="V20" s="31" t="str">
        <f xml:space="preserve"> IFERROR( _xlfn.CONCAT(LEFT(P20,U20-1), "》", MID(P20,U20,1), "${1}", RIGHT(P20, LEN(P20)-U20)), "" )</f>
        <v/>
      </c>
      <c r="W20" s="19"/>
      <c r="X20" s="20" t="str">
        <f xml:space="preserve"> IF(AND(Q20&lt;&gt;"", P20&lt;&gt;""), "    - xform/》" &amp; S20 &amp;  "/"  &amp; V20 &amp;  "/", "")</f>
        <v xml:space="preserve">    - xform/》ih(\d)//</v>
      </c>
      <c r="Y20" s="15"/>
      <c r="Z20" s="38"/>
      <c r="AL20" s="42"/>
      <c r="AU20" s="15"/>
    </row>
    <row r="21" spans="1:47" ht="54.75" thickBot="1">
      <c r="A21" s="66">
        <v>20</v>
      </c>
      <c r="B21" s="46" t="str">
        <f xml:space="preserve"> _xlfn.CONCAT("ɛ",, "k")</f>
        <v>ɛk</v>
      </c>
      <c r="C21" s="48" t="s">
        <v>1751</v>
      </c>
      <c r="D21" s="116"/>
      <c r="E21" s="116"/>
      <c r="F21" s="116"/>
      <c r="G21" s="116"/>
      <c r="H21" s="68" t="s">
        <v>1755</v>
      </c>
      <c r="I21" s="68" t="s">
        <v>1759</v>
      </c>
      <c r="J21" s="18" t="str">
        <f xml:space="preserve"> LEFT(韻母對照表69[[#This Row],[十五音識別碼]],1)</f>
        <v>經</v>
      </c>
      <c r="K21" s="18" t="s">
        <v>1692</v>
      </c>
      <c r="L21" s="52" t="s">
        <v>113</v>
      </c>
      <c r="M21" s="21"/>
      <c r="N21" s="18">
        <f t="shared" si="0"/>
        <v>0</v>
      </c>
      <c r="O21" s="25"/>
      <c r="P21" s="21" t="str">
        <f>C24</f>
        <v>ennh</v>
      </c>
      <c r="Q21" s="21" t="str">
        <f>D24</f>
        <v xml:space="preserve">ennh </v>
      </c>
      <c r="S21" s="31" t="str">
        <f xml:space="preserve"> _xlfn.CONCAT(P21, "(\d)")</f>
        <v>ennh(\d)</v>
      </c>
      <c r="T21" s="33" t="s">
        <v>717</v>
      </c>
      <c r="U21" s="33" t="str">
        <f t="shared" si="4"/>
        <v/>
      </c>
      <c r="V21" s="31" t="str">
        <f xml:space="preserve"> IFERROR( _xlfn.CONCAT(LEFT(P21,U21-1), "》", MID(P21,U21,1), "${1}", RIGHT(P21, LEN(P21)-U21)), "" )</f>
        <v/>
      </c>
      <c r="W21" s="19"/>
      <c r="X21" s="20" t="str">
        <f xml:space="preserve"> IF(AND(Q21&lt;&gt;"", P21&lt;&gt;""), "    - xform/》" &amp; S21 &amp;  "/"  &amp; V21 &amp;  "/", "")</f>
        <v xml:space="preserve">    - xform/》ennh(\d)//</v>
      </c>
      <c r="Y21" s="15"/>
      <c r="Z21" s="38"/>
      <c r="AL21" s="42"/>
      <c r="AU21" s="15"/>
    </row>
    <row r="22" spans="1:47" ht="27.75" thickBot="1">
      <c r="A22" s="66">
        <v>21</v>
      </c>
      <c r="B22" s="46" t="str">
        <f xml:space="preserve"> _xlfn.CONCAT("ɛ", "ŋ")</f>
        <v>ɛŋ</v>
      </c>
      <c r="C22" s="48" t="s">
        <v>1750</v>
      </c>
      <c r="D22" s="116"/>
      <c r="E22" s="116"/>
      <c r="F22" s="116"/>
      <c r="G22" s="116"/>
      <c r="H22" s="68" t="s">
        <v>1753</v>
      </c>
      <c r="I22" s="68" t="s">
        <v>1758</v>
      </c>
      <c r="J22" s="18" t="str">
        <f xml:space="preserve"> LEFT(韻母對照表69[[#This Row],[十五音識別碼]],1)</f>
        <v>經</v>
      </c>
      <c r="K22" s="18" t="s">
        <v>1692</v>
      </c>
      <c r="L22" s="52" t="s">
        <v>107</v>
      </c>
      <c r="M22" s="21"/>
      <c r="N22" s="18">
        <f t="shared" si="0"/>
        <v>0</v>
      </c>
      <c r="O22" s="25"/>
      <c r="P22" s="21" t="str">
        <f>C20</f>
        <v>eh</v>
      </c>
      <c r="Q22" s="21" t="str">
        <f>D20</f>
        <v xml:space="preserve">eh </v>
      </c>
      <c r="S22" s="31" t="str">
        <f xml:space="preserve"> _xlfn.CONCAT(P22, "(\d)")</f>
        <v>eh(\d)</v>
      </c>
      <c r="T22" s="33" t="s">
        <v>716</v>
      </c>
      <c r="U22" s="33" t="str">
        <f t="shared" si="4"/>
        <v/>
      </c>
      <c r="V22" s="31" t="str">
        <f xml:space="preserve"> IFERROR( _xlfn.CONCAT(LEFT(P22,U22-1), "》", MID(P22,U22,1), "${1}", RIGHT(P22, LEN(P22)-U22)), "" )</f>
        <v/>
      </c>
      <c r="W22" s="19"/>
      <c r="X22" s="20" t="str">
        <f xml:space="preserve"> IF(AND(Q22&lt;&gt;"", P22&lt;&gt;""), "    - xform/》" &amp; S22 &amp;  "/"  &amp; V22 &amp;  "/", "")</f>
        <v xml:space="preserve">    - xform/》eh(\d)//</v>
      </c>
      <c r="Y22" s="15"/>
      <c r="Z22" s="38"/>
      <c r="AL22" s="42"/>
      <c r="AU22" s="15"/>
    </row>
    <row r="23" spans="1:47" ht="54.75" thickBot="1">
      <c r="A23" s="66">
        <v>22</v>
      </c>
      <c r="B23" s="46" t="s">
        <v>1698</v>
      </c>
      <c r="C23" s="48" t="s">
        <v>328</v>
      </c>
      <c r="D23" s="114" t="s">
        <v>328</v>
      </c>
      <c r="E23" s="114" t="s">
        <v>329</v>
      </c>
      <c r="F23" s="114" t="s">
        <v>328</v>
      </c>
      <c r="G23" s="114" t="s">
        <v>330</v>
      </c>
      <c r="H23" s="21" t="s">
        <v>327</v>
      </c>
      <c r="I23" s="21" t="s">
        <v>1638</v>
      </c>
      <c r="J23" s="18" t="str">
        <f xml:space="preserve"> LEFT(韻母對照表69[[#This Row],[十五音識別碼]],1)</f>
        <v>更</v>
      </c>
      <c r="K23" s="18" t="s">
        <v>325</v>
      </c>
      <c r="L23" s="18" t="s">
        <v>331</v>
      </c>
      <c r="M23" s="44" t="s">
        <v>739</v>
      </c>
      <c r="N23" s="18">
        <f t="shared" si="0"/>
        <v>3</v>
      </c>
      <c r="O23" s="25"/>
      <c r="P23" s="21" t="str">
        <f>C44</f>
        <v>inn</v>
      </c>
      <c r="Q23" s="21" t="str">
        <f>D44</f>
        <v xml:space="preserve">inn </v>
      </c>
      <c r="S23" s="31" t="str">
        <f t="shared" si="3"/>
        <v>inn(\d)</v>
      </c>
      <c r="T23" s="33" t="s">
        <v>710</v>
      </c>
      <c r="U23" s="33" t="str">
        <f t="shared" si="4"/>
        <v/>
      </c>
      <c r="V23" s="31" t="str">
        <f t="shared" si="5"/>
        <v/>
      </c>
      <c r="W23" s="19"/>
      <c r="X23" s="20" t="str">
        <f t="shared" si="6"/>
        <v xml:space="preserve">    - xform/》inn(\d)//</v>
      </c>
      <c r="Y23" s="15"/>
      <c r="Z23" s="38"/>
      <c r="AL23" s="42"/>
      <c r="AU23" s="15"/>
    </row>
    <row r="24" spans="1:47" ht="30.75" thickBot="1">
      <c r="A24" s="66">
        <v>23</v>
      </c>
      <c r="B24" s="46" t="s">
        <v>1700</v>
      </c>
      <c r="C24" s="48" t="s">
        <v>333</v>
      </c>
      <c r="D24" s="115" t="s">
        <v>1962</v>
      </c>
      <c r="E24" s="115" t="s">
        <v>1957</v>
      </c>
      <c r="F24" s="115" t="s">
        <v>1562</v>
      </c>
      <c r="G24" s="115" t="s">
        <v>1562</v>
      </c>
      <c r="H24" s="51" t="s">
        <v>676</v>
      </c>
      <c r="I24" s="70" t="s">
        <v>1639</v>
      </c>
      <c r="J24" s="18" t="str">
        <f xml:space="preserve"> LEFT(韻母對照表69[[#This Row],[十五音識別碼]],1)</f>
        <v>更</v>
      </c>
      <c r="K24" s="18" t="s">
        <v>332</v>
      </c>
      <c r="L24" s="53" t="s">
        <v>334</v>
      </c>
      <c r="M24" s="44" t="s">
        <v>739</v>
      </c>
      <c r="N24" s="18">
        <f t="shared" si="0"/>
        <v>5</v>
      </c>
      <c r="O24" s="25"/>
      <c r="P24" s="21" t="str">
        <f>C41</f>
        <v>im</v>
      </c>
      <c r="Q24" s="21" t="str">
        <f>D41</f>
        <v xml:space="preserve">im </v>
      </c>
      <c r="S24" s="31" t="str">
        <f t="shared" si="3"/>
        <v>im(\d)</v>
      </c>
      <c r="T24" s="33" t="s">
        <v>701</v>
      </c>
      <c r="U24" s="33" t="str">
        <f t="shared" si="4"/>
        <v/>
      </c>
      <c r="V24" s="31" t="str">
        <f t="shared" si="5"/>
        <v/>
      </c>
      <c r="W24" s="19"/>
      <c r="X24" s="20" t="str">
        <f t="shared" si="6"/>
        <v xml:space="preserve">    - xform/》im(\d)//</v>
      </c>
      <c r="Y24" s="15"/>
      <c r="Z24" s="38"/>
      <c r="AL24" s="42"/>
      <c r="AU24" s="15"/>
    </row>
    <row r="25" spans="1:47" ht="27.75" thickBot="1">
      <c r="A25" s="66">
        <v>24</v>
      </c>
      <c r="B25" s="46" t="s">
        <v>717</v>
      </c>
      <c r="C25" s="48" t="s">
        <v>313</v>
      </c>
      <c r="D25" s="114" t="s">
        <v>313</v>
      </c>
      <c r="E25" s="114" t="s">
        <v>313</v>
      </c>
      <c r="F25" s="114" t="s">
        <v>313</v>
      </c>
      <c r="G25" s="114" t="s">
        <v>313</v>
      </c>
      <c r="H25" s="21" t="s">
        <v>315</v>
      </c>
      <c r="I25" s="21" t="s">
        <v>315</v>
      </c>
      <c r="J25" s="18" t="str">
        <f xml:space="preserve"> LEFT(韻母對照表69[[#This Row],[十五音識別碼]],1)</f>
        <v>居</v>
      </c>
      <c r="K25" s="18" t="s">
        <v>312</v>
      </c>
      <c r="L25" s="18" t="s">
        <v>316</v>
      </c>
      <c r="M25" s="21"/>
      <c r="N25" s="18">
        <f t="shared" si="0"/>
        <v>1</v>
      </c>
      <c r="O25" s="25"/>
      <c r="P25" s="21" t="str">
        <f>C42</f>
        <v>in</v>
      </c>
      <c r="Q25" s="21" t="str">
        <f>D42</f>
        <v xml:space="preserve">in </v>
      </c>
      <c r="S25" s="31" t="str">
        <f t="shared" si="3"/>
        <v>in(\d)</v>
      </c>
      <c r="T25" s="33" t="s">
        <v>716</v>
      </c>
      <c r="U25" s="33" t="str">
        <f t="shared" si="4"/>
        <v/>
      </c>
      <c r="V25" s="31" t="str">
        <f t="shared" si="5"/>
        <v/>
      </c>
      <c r="W25" s="19"/>
      <c r="X25" s="20" t="str">
        <f t="shared" si="6"/>
        <v xml:space="preserve">    - xform/》in(\d)//</v>
      </c>
      <c r="Y25" s="15"/>
      <c r="Z25" s="38"/>
      <c r="AL25" s="42"/>
      <c r="AU25" s="15"/>
    </row>
    <row r="26" spans="1:47" ht="54.75" thickBot="1">
      <c r="A26" s="66">
        <v>25</v>
      </c>
      <c r="B26" s="46" t="s">
        <v>1730</v>
      </c>
      <c r="C26" s="48" t="s">
        <v>263</v>
      </c>
      <c r="D26" s="114" t="s">
        <v>1918</v>
      </c>
      <c r="E26" s="114" t="s">
        <v>263</v>
      </c>
      <c r="F26" s="114" t="s">
        <v>263</v>
      </c>
      <c r="G26" s="114" t="s">
        <v>263</v>
      </c>
      <c r="H26" s="21" t="s">
        <v>265</v>
      </c>
      <c r="I26" s="21" t="s">
        <v>265</v>
      </c>
      <c r="J26" s="18" t="str">
        <f xml:space="preserve"> LEFT(韻母對照表69[[#This Row],[十五音識別碼]],1)</f>
        <v>迦</v>
      </c>
      <c r="K26" s="18" t="s">
        <v>262</v>
      </c>
      <c r="L26" s="18" t="s">
        <v>266</v>
      </c>
      <c r="M26" s="21"/>
      <c r="N26" s="18">
        <f t="shared" si="0"/>
        <v>3</v>
      </c>
      <c r="O26" s="25"/>
      <c r="P26" s="21" t="str">
        <f>C29</f>
        <v>iam</v>
      </c>
      <c r="Q26" s="21" t="str">
        <f>D29</f>
        <v xml:space="preserve">iam </v>
      </c>
      <c r="S26" s="31" t="str">
        <f t="shared" si="3"/>
        <v>iam(\d)</v>
      </c>
      <c r="T26" s="33" t="s">
        <v>717</v>
      </c>
      <c r="U26" s="33">
        <f t="shared" si="4"/>
        <v>1</v>
      </c>
      <c r="V26" s="31" t="str">
        <f t="shared" si="5"/>
        <v>》i${1}am</v>
      </c>
      <c r="W26" s="19"/>
      <c r="X26" s="20" t="str">
        <f t="shared" si="6"/>
        <v xml:space="preserve">    - xform/》iam(\d)/》i${1}am/</v>
      </c>
      <c r="Y26" s="15"/>
      <c r="Z26" s="38"/>
      <c r="AL26" s="42"/>
      <c r="AU26" s="15"/>
    </row>
    <row r="27" spans="1:47" ht="54.75" thickBot="1">
      <c r="A27" s="66">
        <v>26</v>
      </c>
      <c r="B27" s="46" t="str">
        <f xml:space="preserve"> _xlfn.CONCAT(B26, "ʔ")</f>
        <v>ɪaʔ</v>
      </c>
      <c r="C27" s="48" t="s">
        <v>269</v>
      </c>
      <c r="D27" s="114" t="s">
        <v>1919</v>
      </c>
      <c r="E27" s="114" t="s">
        <v>269</v>
      </c>
      <c r="F27" s="114" t="s">
        <v>269</v>
      </c>
      <c r="G27" s="114" t="s">
        <v>269</v>
      </c>
      <c r="H27" s="21" t="s">
        <v>1584</v>
      </c>
      <c r="I27" s="21" t="s">
        <v>1630</v>
      </c>
      <c r="J27" s="18" t="str">
        <f xml:space="preserve"> LEFT(韻母對照表69[[#This Row],[十五音識別碼]],1)</f>
        <v>迦</v>
      </c>
      <c r="K27" s="18" t="s">
        <v>268</v>
      </c>
      <c r="L27" s="18" t="s">
        <v>270</v>
      </c>
      <c r="M27" s="21"/>
      <c r="N27" s="18">
        <f t="shared" si="0"/>
        <v>4</v>
      </c>
      <c r="O27" s="25"/>
      <c r="P27" s="21" t="str">
        <f>C31</f>
        <v>iang</v>
      </c>
      <c r="Q27" s="21" t="str">
        <f>D31</f>
        <v>iang</v>
      </c>
      <c r="S27" s="31" t="str">
        <f t="shared" si="3"/>
        <v>iang(\d)</v>
      </c>
      <c r="T27" s="33" t="s">
        <v>717</v>
      </c>
      <c r="U27" s="33">
        <f t="shared" si="4"/>
        <v>1</v>
      </c>
      <c r="V27" s="31" t="str">
        <f t="shared" si="5"/>
        <v>》i${1}ang</v>
      </c>
      <c r="W27" s="19"/>
      <c r="X27" s="20" t="str">
        <f t="shared" si="6"/>
        <v xml:space="preserve">    - xform/》iang(\d)/》i${1}ang/</v>
      </c>
      <c r="Y27" s="15"/>
      <c r="Z27" s="38"/>
      <c r="AL27" s="42"/>
      <c r="AU27" s="15"/>
    </row>
    <row r="28" spans="1:47" ht="27.75" thickBot="1">
      <c r="A28" s="66">
        <v>27</v>
      </c>
      <c r="B28" s="46" t="s">
        <v>1734</v>
      </c>
      <c r="C28" s="48" t="s">
        <v>199</v>
      </c>
      <c r="D28" s="114" t="s">
        <v>1920</v>
      </c>
      <c r="E28" s="114" t="s">
        <v>199</v>
      </c>
      <c r="F28" s="114" t="s">
        <v>199</v>
      </c>
      <c r="G28" s="114" t="s">
        <v>199</v>
      </c>
      <c r="H28" s="21" t="s">
        <v>1586</v>
      </c>
      <c r="I28" s="21" t="s">
        <v>1622</v>
      </c>
      <c r="J28" s="18" t="str">
        <f xml:space="preserve"> LEFT(韻母對照表69[[#This Row],[十五音識別碼]],1)</f>
        <v>姜</v>
      </c>
      <c r="K28" s="18" t="s">
        <v>198</v>
      </c>
      <c r="L28" s="18" t="s">
        <v>200</v>
      </c>
      <c r="M28" s="21"/>
      <c r="N28" s="18">
        <f t="shared" si="0"/>
        <v>4</v>
      </c>
      <c r="O28" s="25"/>
      <c r="P28" s="21" t="str">
        <f>C45</f>
        <v>io</v>
      </c>
      <c r="Q28" s="21" t="str">
        <f>D45</f>
        <v>io</v>
      </c>
      <c r="S28" s="31" t="str">
        <f t="shared" si="3"/>
        <v>io(\d)</v>
      </c>
      <c r="T28" s="33" t="s">
        <v>716</v>
      </c>
      <c r="U28" s="33" t="str">
        <f t="shared" si="4"/>
        <v/>
      </c>
      <c r="V28" s="31" t="str">
        <f t="shared" si="5"/>
        <v/>
      </c>
      <c r="W28" s="19"/>
      <c r="X28" s="20" t="str">
        <f t="shared" si="6"/>
        <v xml:space="preserve">    - xform/》io(\d)//</v>
      </c>
      <c r="Y28" s="15"/>
      <c r="Z28" s="38"/>
      <c r="AL28" s="42"/>
      <c r="AU28" s="15"/>
    </row>
    <row r="29" spans="1:47" ht="27.75" thickBot="1">
      <c r="A29" s="66">
        <v>28</v>
      </c>
      <c r="B29" s="46" t="s">
        <v>1731</v>
      </c>
      <c r="C29" s="48" t="s">
        <v>239</v>
      </c>
      <c r="D29" s="114" t="s">
        <v>1921</v>
      </c>
      <c r="E29" s="114" t="s">
        <v>239</v>
      </c>
      <c r="F29" s="114" t="s">
        <v>239</v>
      </c>
      <c r="G29" s="114" t="s">
        <v>239</v>
      </c>
      <c r="H29" s="21" t="s">
        <v>241</v>
      </c>
      <c r="I29" s="21" t="s">
        <v>1627</v>
      </c>
      <c r="J29" s="18" t="str">
        <f xml:space="preserve"> LEFT(韻母對照表69[[#This Row],[十五音識別碼]],1)</f>
        <v>兼</v>
      </c>
      <c r="K29" s="18" t="s">
        <v>238</v>
      </c>
      <c r="L29" s="18" t="s">
        <v>242</v>
      </c>
      <c r="M29" s="21"/>
      <c r="N29" s="18">
        <f t="shared" si="0"/>
        <v>4</v>
      </c>
      <c r="O29" s="25"/>
      <c r="P29" s="21" t="str">
        <f>C35</f>
        <v>iat</v>
      </c>
      <c r="Q29" s="21" t="str">
        <f>D35</f>
        <v xml:space="preserve">iat </v>
      </c>
      <c r="S29" s="31" t="str">
        <f t="shared" si="3"/>
        <v>iat(\d)</v>
      </c>
      <c r="T29" s="33" t="s">
        <v>701</v>
      </c>
      <c r="U29" s="33" t="str">
        <f t="shared" si="4"/>
        <v/>
      </c>
      <c r="V29" s="31" t="str">
        <f t="shared" si="5"/>
        <v/>
      </c>
      <c r="W29" s="19"/>
      <c r="X29" s="20" t="str">
        <f t="shared" si="6"/>
        <v xml:space="preserve">    - xform/》iat(\d)//</v>
      </c>
      <c r="Y29" s="15"/>
      <c r="Z29" s="38"/>
      <c r="AL29" s="42"/>
      <c r="AU29" s="15"/>
    </row>
    <row r="30" spans="1:47" ht="27.75" thickBot="1">
      <c r="A30" s="66">
        <v>29</v>
      </c>
      <c r="B30" s="46" t="s">
        <v>1744</v>
      </c>
      <c r="C30" s="48" t="s">
        <v>23</v>
      </c>
      <c r="D30" s="114" t="s">
        <v>1922</v>
      </c>
      <c r="E30" s="114" t="s">
        <v>23</v>
      </c>
      <c r="F30" s="114" t="s">
        <v>23</v>
      </c>
      <c r="G30" s="114" t="s">
        <v>23</v>
      </c>
      <c r="H30" s="21" t="s">
        <v>25</v>
      </c>
      <c r="I30" s="21" t="s">
        <v>25</v>
      </c>
      <c r="J30" s="18" t="str">
        <f xml:space="preserve"> LEFT(韻母對照表69[[#This Row],[十五音識別碼]],1)</f>
        <v>堅</v>
      </c>
      <c r="K30" s="18" t="s">
        <v>22</v>
      </c>
      <c r="L30" s="18" t="s">
        <v>26</v>
      </c>
      <c r="M30" s="21"/>
      <c r="N30" s="18">
        <f t="shared" si="0"/>
        <v>4</v>
      </c>
      <c r="O30" s="25"/>
      <c r="P30" s="21" t="str">
        <f>C28</f>
        <v>iak</v>
      </c>
      <c r="Q30" s="21" t="str">
        <f>D28</f>
        <v xml:space="preserve">iak </v>
      </c>
      <c r="S30" s="31" t="str">
        <f t="shared" si="3"/>
        <v>iak(\d)</v>
      </c>
      <c r="T30" s="33" t="s">
        <v>734</v>
      </c>
      <c r="U30" s="33" t="str">
        <f t="shared" si="4"/>
        <v/>
      </c>
      <c r="V30" s="31" t="str">
        <f t="shared" si="5"/>
        <v/>
      </c>
      <c r="W30" s="19"/>
      <c r="X30" s="20" t="str">
        <f t="shared" si="6"/>
        <v xml:space="preserve">    - xform/》iak(\d)//</v>
      </c>
      <c r="Y30" s="15"/>
      <c r="Z30" s="38"/>
      <c r="AL30" s="42"/>
      <c r="AU30" s="15"/>
    </row>
    <row r="31" spans="1:47" ht="27.75" thickBot="1">
      <c r="A31" s="66">
        <v>30</v>
      </c>
      <c r="B31" s="46" t="s">
        <v>1732</v>
      </c>
      <c r="C31" s="48" t="s">
        <v>195</v>
      </c>
      <c r="D31" s="114" t="s">
        <v>195</v>
      </c>
      <c r="E31" s="114" t="s">
        <v>195</v>
      </c>
      <c r="F31" s="114" t="s">
        <v>195</v>
      </c>
      <c r="G31" s="114" t="s">
        <v>195</v>
      </c>
      <c r="H31" s="21" t="s">
        <v>1585</v>
      </c>
      <c r="I31" s="21" t="s">
        <v>1585</v>
      </c>
      <c r="J31" s="18" t="str">
        <f xml:space="preserve"> LEFT(韻母對照表69[[#This Row],[十五音識別碼]],1)</f>
        <v>姜</v>
      </c>
      <c r="K31" s="18" t="s">
        <v>193</v>
      </c>
      <c r="L31" s="18" t="s">
        <v>196</v>
      </c>
      <c r="M31" s="21"/>
      <c r="N31" s="18">
        <f t="shared" si="0"/>
        <v>4</v>
      </c>
      <c r="O31" s="25"/>
      <c r="P31" s="21" t="str">
        <f>C36</f>
        <v>iau</v>
      </c>
      <c r="Q31" s="21" t="str">
        <f>D36</f>
        <v xml:space="preserve">iau </v>
      </c>
      <c r="S31" s="31" t="str">
        <f t="shared" si="3"/>
        <v>iau(\d)</v>
      </c>
      <c r="T31" s="33" t="s">
        <v>710</v>
      </c>
      <c r="U31" s="33" t="str">
        <f t="shared" si="4"/>
        <v/>
      </c>
      <c r="V31" s="31" t="str">
        <f t="shared" si="5"/>
        <v/>
      </c>
      <c r="W31" s="19"/>
      <c r="X31" s="20" t="str">
        <f t="shared" si="6"/>
        <v xml:space="preserve">    - xform/》iau(\d)//</v>
      </c>
      <c r="Y31" s="15"/>
      <c r="Z31" s="38"/>
      <c r="AL31" s="42"/>
      <c r="AU31" s="15"/>
    </row>
    <row r="32" spans="1:47" ht="27.75" thickBot="1">
      <c r="A32" s="66">
        <v>31</v>
      </c>
      <c r="B32" s="46" t="str">
        <f>_xlfn.CONCAT("ɪ", "a", _xlfn.UNICHAR(771), "")</f>
        <v>ɪã</v>
      </c>
      <c r="C32" s="48" t="s">
        <v>373</v>
      </c>
      <c r="D32" s="114" t="s">
        <v>373</v>
      </c>
      <c r="E32" s="114" t="s">
        <v>375</v>
      </c>
      <c r="F32" s="114" t="s">
        <v>373</v>
      </c>
      <c r="G32" s="114" t="s">
        <v>376</v>
      </c>
      <c r="H32" s="21" t="s">
        <v>372</v>
      </c>
      <c r="I32" s="21" t="s">
        <v>1645</v>
      </c>
      <c r="J32" s="18" t="str">
        <f xml:space="preserve"> LEFT(韻母對照表69[[#This Row],[十五音識別碼]],1)</f>
        <v>驚</v>
      </c>
      <c r="K32" s="18" t="s">
        <v>1692</v>
      </c>
      <c r="L32" s="18" t="s">
        <v>377</v>
      </c>
      <c r="M32" s="44" t="s">
        <v>739</v>
      </c>
      <c r="N32" s="18">
        <f t="shared" si="0"/>
        <v>4</v>
      </c>
      <c r="O32" s="25"/>
      <c r="P32" s="21" t="str">
        <f>C30</f>
        <v>ian</v>
      </c>
      <c r="Q32" s="21" t="str">
        <f>D30</f>
        <v xml:space="preserve">ian </v>
      </c>
      <c r="S32" s="31" t="str">
        <f t="shared" si="3"/>
        <v>ian(\d)</v>
      </c>
      <c r="T32" s="33" t="s">
        <v>717</v>
      </c>
      <c r="U32" s="33">
        <f t="shared" si="4"/>
        <v>1</v>
      </c>
      <c r="V32" s="31" t="str">
        <f t="shared" si="5"/>
        <v>》i${1}an</v>
      </c>
      <c r="W32" s="19"/>
      <c r="X32" s="20" t="str">
        <f t="shared" si="6"/>
        <v xml:space="preserve">    - xform/》ian(\d)/》i${1}an/</v>
      </c>
      <c r="Y32" s="15"/>
      <c r="Z32" s="38"/>
      <c r="AL32" s="42"/>
      <c r="AU32" s="15"/>
    </row>
    <row r="33" spans="1:47" ht="30.75" thickBot="1">
      <c r="A33" s="66">
        <v>32</v>
      </c>
      <c r="B33" s="46" t="str">
        <f xml:space="preserve"> _xlfn.CONCAT(B32, "ʔ")</f>
        <v>ɪãʔ</v>
      </c>
      <c r="C33" s="48" t="s">
        <v>374</v>
      </c>
      <c r="D33" s="115" t="s">
        <v>1963</v>
      </c>
      <c r="E33" s="115" t="s">
        <v>1958</v>
      </c>
      <c r="F33" s="115" t="s">
        <v>1563</v>
      </c>
      <c r="G33" s="115" t="s">
        <v>1563</v>
      </c>
      <c r="H33" s="50" t="s">
        <v>1564</v>
      </c>
      <c r="I33" s="50" t="s">
        <v>1760</v>
      </c>
      <c r="J33" s="18" t="str">
        <f xml:space="preserve"> LEFT(韻母對照表69[[#This Row],[十五音識別碼]],1)</f>
        <v>迦</v>
      </c>
      <c r="K33" s="18" t="s">
        <v>370</v>
      </c>
      <c r="L33" s="53" t="s">
        <v>270</v>
      </c>
      <c r="M33" s="44" t="s">
        <v>739</v>
      </c>
      <c r="N33" s="18">
        <f t="shared" si="0"/>
        <v>6</v>
      </c>
      <c r="O33" s="25"/>
      <c r="P33" s="21" t="str">
        <f>C34</f>
        <v>iap</v>
      </c>
      <c r="Q33" s="21" t="str">
        <f>D34</f>
        <v>iap</v>
      </c>
      <c r="S33" s="31" t="str">
        <f t="shared" si="3"/>
        <v>iap(\d)</v>
      </c>
      <c r="T33" s="33" t="s">
        <v>717</v>
      </c>
      <c r="U33" s="33">
        <f t="shared" si="4"/>
        <v>1</v>
      </c>
      <c r="V33" s="31" t="str">
        <f t="shared" si="5"/>
        <v>》i${1}ap</v>
      </c>
      <c r="W33" s="19"/>
      <c r="X33" s="20" t="str">
        <f t="shared" si="6"/>
        <v xml:space="preserve">    - xform/》iap(\d)/》i${1}ap/</v>
      </c>
      <c r="Y33" s="15"/>
      <c r="Z33" s="38"/>
      <c r="AL33" s="42"/>
      <c r="AU33" s="15"/>
    </row>
    <row r="34" spans="1:47" ht="54.75" thickBot="1">
      <c r="A34" s="66">
        <v>33</v>
      </c>
      <c r="B34" s="46" t="s">
        <v>1733</v>
      </c>
      <c r="C34" s="48" t="s">
        <v>247</v>
      </c>
      <c r="D34" s="114" t="s">
        <v>247</v>
      </c>
      <c r="E34" s="114" t="s">
        <v>247</v>
      </c>
      <c r="F34" s="114" t="s">
        <v>247</v>
      </c>
      <c r="G34" s="114" t="s">
        <v>247</v>
      </c>
      <c r="H34" s="21" t="s">
        <v>246</v>
      </c>
      <c r="I34" s="21" t="s">
        <v>1628</v>
      </c>
      <c r="J34" s="18" t="str">
        <f xml:space="preserve"> LEFT(韻母對照表69[[#This Row],[十五音識別碼]],1)</f>
        <v>兼</v>
      </c>
      <c r="K34" s="18" t="s">
        <v>245</v>
      </c>
      <c r="L34" s="18" t="s">
        <v>248</v>
      </c>
      <c r="M34" s="21"/>
      <c r="N34" s="18">
        <f t="shared" ref="N34:N65" si="9" xml:space="preserve"> LEN(D34)</f>
        <v>3</v>
      </c>
      <c r="O34" s="25"/>
      <c r="P34" s="21" t="str">
        <f>C38</f>
        <v>iaunn</v>
      </c>
      <c r="Q34" s="21" t="str">
        <f>D38</f>
        <v xml:space="preserve">iaunn </v>
      </c>
      <c r="S34" s="31" t="str">
        <f t="shared" si="3"/>
        <v>iaunn(\d)</v>
      </c>
      <c r="T34" s="33" t="s">
        <v>710</v>
      </c>
      <c r="U34" s="33" t="str">
        <f t="shared" ref="U34:U65" si="10" xml:space="preserve"> IFERROR( IF(T34="", "", SEARCH(T34, $P34)), "")</f>
        <v/>
      </c>
      <c r="V34" s="31" t="str">
        <f t="shared" si="5"/>
        <v/>
      </c>
      <c r="W34" s="19"/>
      <c r="X34" s="20" t="str">
        <f t="shared" si="6"/>
        <v xml:space="preserve">    - xform/》iaunn(\d)//</v>
      </c>
      <c r="Y34" s="15"/>
      <c r="Z34" s="38"/>
      <c r="AL34" s="42"/>
      <c r="AU34" s="15"/>
    </row>
    <row r="35" spans="1:47" ht="54.75" thickBot="1">
      <c r="A35" s="66">
        <v>34</v>
      </c>
      <c r="B35" s="46" t="s">
        <v>1745</v>
      </c>
      <c r="C35" s="48" t="s">
        <v>30</v>
      </c>
      <c r="D35" s="114" t="s">
        <v>1923</v>
      </c>
      <c r="E35" s="114" t="s">
        <v>30</v>
      </c>
      <c r="F35" s="114" t="s">
        <v>30</v>
      </c>
      <c r="G35" s="114" t="s">
        <v>30</v>
      </c>
      <c r="H35" s="21" t="s">
        <v>29</v>
      </c>
      <c r="I35" s="21" t="s">
        <v>1606</v>
      </c>
      <c r="J35" s="18" t="str">
        <f xml:space="preserve"> LEFT(韻母對照表69[[#This Row],[十五音識別碼]],1)</f>
        <v>堅</v>
      </c>
      <c r="K35" s="18" t="s">
        <v>28</v>
      </c>
      <c r="L35" s="18" t="s">
        <v>31</v>
      </c>
      <c r="M35" s="21"/>
      <c r="N35" s="18">
        <f t="shared" si="9"/>
        <v>4</v>
      </c>
      <c r="O35" s="25"/>
      <c r="P35" s="21" t="str">
        <f>C37</f>
        <v>iauh</v>
      </c>
      <c r="Q35" s="21" t="str">
        <f>D37</f>
        <v>iauh</v>
      </c>
      <c r="S35" s="31" t="str">
        <f t="shared" si="3"/>
        <v>iauh(\d)</v>
      </c>
      <c r="T35" s="33" t="s">
        <v>710</v>
      </c>
      <c r="U35" s="33" t="str">
        <f t="shared" si="10"/>
        <v/>
      </c>
      <c r="V35" s="31" t="str">
        <f t="shared" si="5"/>
        <v/>
      </c>
      <c r="W35" s="19"/>
      <c r="X35" s="20" t="str">
        <f t="shared" si="6"/>
        <v xml:space="preserve">    - xform/》iauh(\d)//</v>
      </c>
      <c r="Y35" s="15"/>
      <c r="Z35" s="38"/>
      <c r="AL35" s="42"/>
      <c r="AU35" s="15"/>
    </row>
    <row r="36" spans="1:47" ht="54.75" thickBot="1">
      <c r="A36" s="66">
        <v>35</v>
      </c>
      <c r="B36" s="46" t="s">
        <v>1697</v>
      </c>
      <c r="C36" s="48" t="s">
        <v>136</v>
      </c>
      <c r="D36" s="114" t="s">
        <v>1924</v>
      </c>
      <c r="E36" s="114" t="s">
        <v>136</v>
      </c>
      <c r="F36" s="114" t="s">
        <v>136</v>
      </c>
      <c r="G36" s="114" t="s">
        <v>139</v>
      </c>
      <c r="H36" s="21" t="s">
        <v>138</v>
      </c>
      <c r="I36" s="21" t="s">
        <v>138</v>
      </c>
      <c r="J36" s="18" t="str">
        <f xml:space="preserve"> LEFT(韻母對照表69[[#This Row],[十五音識別碼]],1)</f>
        <v>嬌</v>
      </c>
      <c r="K36" s="18" t="s">
        <v>135</v>
      </c>
      <c r="L36" s="18" t="s">
        <v>140</v>
      </c>
      <c r="M36" s="21"/>
      <c r="N36" s="18">
        <f t="shared" si="9"/>
        <v>4</v>
      </c>
      <c r="O36" s="25"/>
      <c r="P36" s="21" t="str">
        <f>C49</f>
        <v>ionn</v>
      </c>
      <c r="Q36" s="21" t="str">
        <f>D49</f>
        <v>ionn</v>
      </c>
      <c r="S36" s="31" t="str">
        <f t="shared" si="3"/>
        <v>ionn(\d)</v>
      </c>
      <c r="T36" s="33" t="s">
        <v>716</v>
      </c>
      <c r="U36" s="33" t="str">
        <f t="shared" si="10"/>
        <v/>
      </c>
      <c r="V36" s="31" t="str">
        <f t="shared" si="5"/>
        <v/>
      </c>
      <c r="W36" s="19"/>
      <c r="X36" s="20" t="str">
        <f t="shared" si="6"/>
        <v xml:space="preserve">    - xform/》ionn(\d)//</v>
      </c>
      <c r="Y36" s="15"/>
      <c r="Z36" s="38"/>
      <c r="AL36" s="42"/>
      <c r="AU36" s="15"/>
    </row>
    <row r="37" spans="1:47" ht="54.75" thickBot="1">
      <c r="A37" s="66">
        <v>36</v>
      </c>
      <c r="B37" s="46" t="str">
        <f xml:space="preserve"> _xlfn.CONCAT(B36, "ʔ")</f>
        <v>ɪaʊʔ</v>
      </c>
      <c r="C37" s="48" t="s">
        <v>143</v>
      </c>
      <c r="D37" s="114" t="s">
        <v>143</v>
      </c>
      <c r="E37" s="114" t="s">
        <v>143</v>
      </c>
      <c r="F37" s="114" t="s">
        <v>143</v>
      </c>
      <c r="G37" s="114" t="s">
        <v>144</v>
      </c>
      <c r="H37" s="21" t="s">
        <v>1587</v>
      </c>
      <c r="I37" s="21" t="s">
        <v>1617</v>
      </c>
      <c r="J37" s="18" t="str">
        <f xml:space="preserve"> LEFT(韻母對照表69[[#This Row],[十五音識別碼]],1)</f>
        <v>嬌</v>
      </c>
      <c r="K37" s="18" t="s">
        <v>142</v>
      </c>
      <c r="L37" s="18" t="s">
        <v>145</v>
      </c>
      <c r="M37" s="21"/>
      <c r="N37" s="18">
        <f t="shared" si="9"/>
        <v>4</v>
      </c>
      <c r="O37" s="25"/>
      <c r="P37" s="21" t="str">
        <f>C48</f>
        <v>iong</v>
      </c>
      <c r="Q37" s="21" t="str">
        <f>D48</f>
        <v xml:space="preserve">iong </v>
      </c>
      <c r="S37" s="31" t="str">
        <f t="shared" si="3"/>
        <v>iong(\d)</v>
      </c>
      <c r="T37" s="33" t="s">
        <v>716</v>
      </c>
      <c r="U37" s="33" t="str">
        <f t="shared" si="10"/>
        <v/>
      </c>
      <c r="V37" s="31" t="str">
        <f t="shared" si="5"/>
        <v/>
      </c>
      <c r="W37" s="19"/>
      <c r="X37" s="20" t="str">
        <f t="shared" si="6"/>
        <v xml:space="preserve">    - xform/》iong(\d)//</v>
      </c>
      <c r="Y37" s="15"/>
      <c r="Z37" s="38"/>
      <c r="AL37" s="42"/>
      <c r="AU37" s="15"/>
    </row>
    <row r="38" spans="1:47" ht="54.75" thickBot="1">
      <c r="A38" s="66">
        <v>37</v>
      </c>
      <c r="B38" s="46" t="str">
        <f>_xlfn.CONCAT("ɪ", "a", _xlfn.UNICHAR(771), "ʊ")</f>
        <v>ɪãʊ</v>
      </c>
      <c r="C38" s="48" t="s">
        <v>442</v>
      </c>
      <c r="D38" s="114" t="s">
        <v>1925</v>
      </c>
      <c r="E38" s="114" t="s">
        <v>443</v>
      </c>
      <c r="F38" s="114" t="s">
        <v>442</v>
      </c>
      <c r="G38" s="114" t="s">
        <v>444</v>
      </c>
      <c r="H38" s="21" t="s">
        <v>441</v>
      </c>
      <c r="I38" s="21" t="s">
        <v>1653</v>
      </c>
      <c r="J38" s="18" t="str">
        <f xml:space="preserve"> LEFT(韻母對照表69[[#This Row],[十五音識別碼]],1)</f>
        <v>嘄</v>
      </c>
      <c r="K38" s="18" t="s">
        <v>439</v>
      </c>
      <c r="L38" s="18" t="s">
        <v>445</v>
      </c>
      <c r="M38" s="44" t="s">
        <v>739</v>
      </c>
      <c r="N38" s="18">
        <f t="shared" si="9"/>
        <v>6</v>
      </c>
      <c r="O38" s="25"/>
      <c r="P38" s="21" t="str">
        <f>C46</f>
        <v>ioh</v>
      </c>
      <c r="Q38" s="21" t="str">
        <f>D46</f>
        <v xml:space="preserve">ioh </v>
      </c>
      <c r="S38" s="31" t="str">
        <f t="shared" si="3"/>
        <v>ioh(\d)</v>
      </c>
      <c r="T38" s="33" t="s">
        <v>716</v>
      </c>
      <c r="U38" s="33" t="str">
        <f t="shared" si="10"/>
        <v/>
      </c>
      <c r="V38" s="31" t="str">
        <f t="shared" si="5"/>
        <v/>
      </c>
      <c r="W38" s="19"/>
      <c r="X38" s="20" t="str">
        <f t="shared" si="6"/>
        <v xml:space="preserve">    - xform/》ioh(\d)//</v>
      </c>
      <c r="Y38" s="15"/>
      <c r="Z38" s="38"/>
      <c r="AL38" s="42"/>
      <c r="AU38" s="15"/>
    </row>
    <row r="39" spans="1:47" ht="27.75" thickBot="1">
      <c r="A39" s="66">
        <v>38</v>
      </c>
      <c r="B39" s="46" t="s">
        <v>1702</v>
      </c>
      <c r="C39" s="48" t="s">
        <v>318</v>
      </c>
      <c r="D39" s="114" t="s">
        <v>1926</v>
      </c>
      <c r="E39" s="114" t="s">
        <v>318</v>
      </c>
      <c r="F39" s="114" t="s">
        <v>318</v>
      </c>
      <c r="G39" s="114" t="s">
        <v>318</v>
      </c>
      <c r="H39" s="21" t="s">
        <v>1583</v>
      </c>
      <c r="I39" s="21" t="s">
        <v>1637</v>
      </c>
      <c r="J39" s="18" t="str">
        <f xml:space="preserve"> LEFT(韻母對照表69[[#This Row],[十五音識別碼]],1)</f>
        <v>居</v>
      </c>
      <c r="K39" s="18" t="s">
        <v>317</v>
      </c>
      <c r="L39" s="18" t="s">
        <v>319</v>
      </c>
      <c r="M39" s="21"/>
      <c r="N39" s="18">
        <f t="shared" si="9"/>
        <v>3</v>
      </c>
      <c r="O39" s="25"/>
      <c r="P39" s="21" t="str">
        <f>C50</f>
        <v>ip</v>
      </c>
      <c r="Q39" s="21" t="str">
        <f>D50</f>
        <v xml:space="preserve">ip </v>
      </c>
      <c r="S39" s="31" t="str">
        <f t="shared" si="3"/>
        <v>ip(\d)</v>
      </c>
      <c r="T39" s="33" t="s">
        <v>716</v>
      </c>
      <c r="U39" s="33" t="str">
        <f t="shared" si="10"/>
        <v/>
      </c>
      <c r="V39" s="31" t="str">
        <f t="shared" si="5"/>
        <v/>
      </c>
      <c r="W39" s="19"/>
      <c r="X39" s="20" t="str">
        <f t="shared" si="6"/>
        <v xml:space="preserve">    - xform/》ip(\d)//</v>
      </c>
      <c r="Y39" s="15"/>
      <c r="Z39" s="38"/>
      <c r="AL39" s="42"/>
      <c r="AU39" s="15"/>
    </row>
    <row r="40" spans="1:47" ht="54.75" thickBot="1">
      <c r="A40" s="66">
        <v>39</v>
      </c>
      <c r="B40" s="46" t="s">
        <v>1743</v>
      </c>
      <c r="C40" s="48" t="s">
        <v>111</v>
      </c>
      <c r="D40" s="114" t="s">
        <v>1964</v>
      </c>
      <c r="E40" s="114" t="s">
        <v>1751</v>
      </c>
      <c r="F40" s="114" t="s">
        <v>1781</v>
      </c>
      <c r="G40" s="114" t="s">
        <v>111</v>
      </c>
      <c r="H40" s="21" t="s">
        <v>110</v>
      </c>
      <c r="I40" s="21" t="s">
        <v>1614</v>
      </c>
      <c r="J40" s="18" t="str">
        <f xml:space="preserve"> LEFT(韻母對照表69[[#This Row],[十五音識別碼]],1)</f>
        <v>經</v>
      </c>
      <c r="K40" s="18" t="s">
        <v>109</v>
      </c>
      <c r="L40" s="18" t="s">
        <v>113</v>
      </c>
      <c r="M40" s="21"/>
      <c r="N40" s="18">
        <f t="shared" si="9"/>
        <v>3</v>
      </c>
      <c r="O40" s="25"/>
      <c r="P40" s="21" t="str">
        <f>C33</f>
        <v>iannh</v>
      </c>
      <c r="Q40" s="21" t="str">
        <f>D33</f>
        <v xml:space="preserve">iannh </v>
      </c>
      <c r="S40" s="31" t="str">
        <f t="shared" si="3"/>
        <v>iannh(\d)</v>
      </c>
      <c r="T40" s="33" t="s">
        <v>716</v>
      </c>
      <c r="U40" s="33">
        <f t="shared" si="10"/>
        <v>2</v>
      </c>
      <c r="V40" s="31" t="str">
        <f t="shared" si="5"/>
        <v>i》a${1}nnh</v>
      </c>
      <c r="W40" s="19"/>
      <c r="X40" s="20" t="str">
        <f t="shared" si="6"/>
        <v xml:space="preserve">    - xform/》iannh(\d)/i》a${1}nnh/</v>
      </c>
      <c r="Y40" s="15"/>
      <c r="Z40" s="38"/>
      <c r="AL40" s="42"/>
      <c r="AU40" s="15"/>
    </row>
    <row r="41" spans="1:47" ht="27.75" thickBot="1">
      <c r="A41" s="66">
        <v>40</v>
      </c>
      <c r="B41" s="46" t="s">
        <v>1703</v>
      </c>
      <c r="C41" s="48" t="s">
        <v>34</v>
      </c>
      <c r="D41" s="114" t="s">
        <v>1927</v>
      </c>
      <c r="E41" s="114" t="s">
        <v>34</v>
      </c>
      <c r="F41" s="114" t="s">
        <v>34</v>
      </c>
      <c r="G41" s="114" t="s">
        <v>34</v>
      </c>
      <c r="H41" s="21" t="s">
        <v>36</v>
      </c>
      <c r="I41" s="21" t="s">
        <v>1607</v>
      </c>
      <c r="J41" s="18" t="str">
        <f xml:space="preserve"> LEFT(韻母對照表69[[#This Row],[十五音識別碼]],1)</f>
        <v>金</v>
      </c>
      <c r="K41" s="18" t="s">
        <v>33</v>
      </c>
      <c r="L41" s="18" t="s">
        <v>37</v>
      </c>
      <c r="M41" s="21"/>
      <c r="N41" s="18">
        <f t="shared" si="9"/>
        <v>3</v>
      </c>
      <c r="O41" s="25"/>
      <c r="P41" s="21" t="str">
        <f>C51</f>
        <v>it</v>
      </c>
      <c r="Q41" s="21" t="str">
        <f>D51</f>
        <v xml:space="preserve">it </v>
      </c>
      <c r="S41" s="31" t="str">
        <f t="shared" si="3"/>
        <v>it(\d)</v>
      </c>
      <c r="T41" s="33" t="s">
        <v>716</v>
      </c>
      <c r="U41" s="33" t="str">
        <f t="shared" si="10"/>
        <v/>
      </c>
      <c r="V41" s="31" t="str">
        <f t="shared" si="5"/>
        <v/>
      </c>
      <c r="W41" s="19"/>
      <c r="X41" s="20" t="str">
        <f t="shared" si="6"/>
        <v xml:space="preserve">    - xform/》it(\d)//</v>
      </c>
      <c r="Y41" s="15"/>
      <c r="Z41" s="38"/>
      <c r="AL41" s="42"/>
      <c r="AU41" s="15"/>
    </row>
    <row r="42" spans="1:47" ht="27.75" thickBot="1">
      <c r="A42" s="66">
        <v>41</v>
      </c>
      <c r="B42" s="46" t="s">
        <v>711</v>
      </c>
      <c r="C42" s="48" t="s">
        <v>182</v>
      </c>
      <c r="D42" s="114" t="s">
        <v>1928</v>
      </c>
      <c r="E42" s="114" t="s">
        <v>182</v>
      </c>
      <c r="F42" s="114" t="s">
        <v>182</v>
      </c>
      <c r="G42" s="114" t="s">
        <v>182</v>
      </c>
      <c r="H42" s="21" t="s">
        <v>184</v>
      </c>
      <c r="I42" s="21" t="s">
        <v>184</v>
      </c>
      <c r="J42" s="18" t="str">
        <f xml:space="preserve"> LEFT(韻母對照表69[[#This Row],[十五音識別碼]],1)</f>
        <v>巾</v>
      </c>
      <c r="K42" s="18" t="s">
        <v>181</v>
      </c>
      <c r="L42" s="18" t="s">
        <v>185</v>
      </c>
      <c r="M42" s="21"/>
      <c r="N42" s="18">
        <f t="shared" si="9"/>
        <v>3</v>
      </c>
      <c r="O42" s="25"/>
      <c r="P42" s="21" t="str">
        <f>C40</f>
        <v>ik</v>
      </c>
      <c r="Q42" s="21" t="str">
        <f>D40</f>
        <v xml:space="preserve">ik </v>
      </c>
      <c r="S42" s="31" t="str">
        <f t="shared" si="3"/>
        <v>ik(\d)</v>
      </c>
      <c r="T42" s="33" t="s">
        <v>716</v>
      </c>
      <c r="U42" s="33" t="str">
        <f t="shared" si="10"/>
        <v/>
      </c>
      <c r="V42" s="31" t="str">
        <f t="shared" si="5"/>
        <v/>
      </c>
      <c r="W42" s="19"/>
      <c r="X42" s="20" t="str">
        <f t="shared" si="6"/>
        <v xml:space="preserve">    - xform/》ik(\d)//</v>
      </c>
      <c r="Y42" s="15"/>
      <c r="Z42" s="38"/>
      <c r="AL42" s="42"/>
      <c r="AU42" s="15"/>
    </row>
    <row r="43" spans="1:47" ht="27.75" thickBot="1">
      <c r="A43" s="66">
        <v>42</v>
      </c>
      <c r="B43" s="46" t="s">
        <v>1704</v>
      </c>
      <c r="C43" s="48" t="s">
        <v>105</v>
      </c>
      <c r="D43" s="114" t="s">
        <v>1929</v>
      </c>
      <c r="E43" s="114" t="s">
        <v>106</v>
      </c>
      <c r="F43" s="114" t="s">
        <v>105</v>
      </c>
      <c r="G43" s="114" t="s">
        <v>105</v>
      </c>
      <c r="H43" s="21" t="s">
        <v>104</v>
      </c>
      <c r="I43" s="21" t="s">
        <v>104</v>
      </c>
      <c r="J43" s="18" t="str">
        <f xml:space="preserve"> LEFT(韻母對照表69[[#This Row],[十五音識別碼]],1)</f>
        <v>經</v>
      </c>
      <c r="K43" s="18" t="s">
        <v>101</v>
      </c>
      <c r="L43" s="18" t="s">
        <v>107</v>
      </c>
      <c r="M43" s="21"/>
      <c r="N43" s="18">
        <f t="shared" si="9"/>
        <v>4</v>
      </c>
      <c r="O43" s="25"/>
      <c r="P43" s="21" t="str">
        <f>C26</f>
        <v>ia</v>
      </c>
      <c r="Q43" s="21" t="str">
        <f>D26</f>
        <v xml:space="preserve">ia </v>
      </c>
      <c r="S43" s="31" t="str">
        <f t="shared" si="3"/>
        <v>ia(\d)</v>
      </c>
      <c r="T43" s="33" t="s">
        <v>716</v>
      </c>
      <c r="U43" s="33">
        <f t="shared" si="10"/>
        <v>2</v>
      </c>
      <c r="V43" s="31" t="str">
        <f t="shared" si="5"/>
        <v>i》a${1}</v>
      </c>
      <c r="W43" s="19"/>
      <c r="X43" s="20" t="str">
        <f t="shared" si="6"/>
        <v xml:space="preserve">    - xform/》ia(\d)/i》a${1}/</v>
      </c>
      <c r="Y43" s="15"/>
      <c r="Z43" s="38"/>
      <c r="AL43" s="42"/>
      <c r="AU43" s="15"/>
    </row>
    <row r="44" spans="1:47" ht="54.75" thickBot="1">
      <c r="A44" s="66">
        <v>43</v>
      </c>
      <c r="B44" s="46" t="s">
        <v>1701</v>
      </c>
      <c r="C44" s="48" t="s">
        <v>357</v>
      </c>
      <c r="D44" s="114" t="s">
        <v>1930</v>
      </c>
      <c r="E44" s="114" t="s">
        <v>358</v>
      </c>
      <c r="F44" s="114" t="s">
        <v>357</v>
      </c>
      <c r="G44" s="114" t="s">
        <v>359</v>
      </c>
      <c r="H44" s="21" t="s">
        <v>356</v>
      </c>
      <c r="I44" s="21" t="s">
        <v>1642</v>
      </c>
      <c r="J44" s="18" t="str">
        <f xml:space="preserve"> LEFT(韻母對照表69[[#This Row],[十五音識別碼]],1)</f>
        <v>梔</v>
      </c>
      <c r="K44" s="18" t="s">
        <v>353</v>
      </c>
      <c r="L44" s="18" t="s">
        <v>360</v>
      </c>
      <c r="M44" s="44" t="s">
        <v>739</v>
      </c>
      <c r="N44" s="18">
        <f t="shared" si="9"/>
        <v>4</v>
      </c>
      <c r="O44" s="25"/>
      <c r="P44" s="21" t="str">
        <f>C43</f>
        <v>ing</v>
      </c>
      <c r="Q44" s="21" t="str">
        <f>D43</f>
        <v xml:space="preserve">ing </v>
      </c>
      <c r="S44" s="31" t="str">
        <f xml:space="preserve"> _xlfn.CONCAT(P44, "(\d)")</f>
        <v>ing(\d)</v>
      </c>
      <c r="T44" s="33" t="s">
        <v>716</v>
      </c>
      <c r="U44" s="33" t="str">
        <f t="shared" si="10"/>
        <v/>
      </c>
      <c r="V44" s="31" t="str">
        <f xml:space="preserve"> IFERROR( _xlfn.CONCAT(LEFT(P44,U44-1), "》", MID(P44,U44,1), "${1}", RIGHT(P44, LEN(P44)-U44)), "" )</f>
        <v/>
      </c>
      <c r="W44" s="19"/>
      <c r="X44" s="20" t="str">
        <f xml:space="preserve"> IF(AND(Q44&lt;&gt;"", P44&lt;&gt;""), "    - xform/》" &amp; S44 &amp;  "/"  &amp; V44 &amp;  "/", "")</f>
        <v xml:space="preserve">    - xform/》ing(\d)//</v>
      </c>
      <c r="Y44" s="15"/>
      <c r="Z44" s="38"/>
      <c r="AL44" s="42"/>
      <c r="AU44" s="15"/>
    </row>
    <row r="45" spans="1:47" ht="27.75" thickBot="1">
      <c r="A45" s="66">
        <v>44</v>
      </c>
      <c r="B45" s="46" t="s">
        <v>1748</v>
      </c>
      <c r="C45" s="48" t="s">
        <v>344</v>
      </c>
      <c r="D45" s="114" t="s">
        <v>344</v>
      </c>
      <c r="E45" s="114" t="s">
        <v>344</v>
      </c>
      <c r="F45" s="114" t="s">
        <v>347</v>
      </c>
      <c r="G45" s="114" t="s">
        <v>344</v>
      </c>
      <c r="H45" s="21" t="s">
        <v>346</v>
      </c>
      <c r="I45" s="21" t="s">
        <v>346</v>
      </c>
      <c r="J45" s="18" t="str">
        <f xml:space="preserve"> LEFT(韻母對照表69[[#This Row],[十五音識別碼]],1)</f>
        <v>茄</v>
      </c>
      <c r="K45" s="18" t="s">
        <v>343</v>
      </c>
      <c r="L45" s="18" t="s">
        <v>348</v>
      </c>
      <c r="M45" s="21"/>
      <c r="N45" s="18">
        <f t="shared" si="9"/>
        <v>2</v>
      </c>
      <c r="O45" s="25"/>
      <c r="P45" s="21" t="str">
        <f>C47</f>
        <v>iok</v>
      </c>
      <c r="Q45" s="21" t="str">
        <f>D47</f>
        <v xml:space="preserve">iok </v>
      </c>
      <c r="S45" s="31" t="str">
        <f xml:space="preserve"> _xlfn.CONCAT(P45, "(\d)")</f>
        <v>iok(\d)</v>
      </c>
      <c r="T45" s="33" t="s">
        <v>701</v>
      </c>
      <c r="U45" s="33" t="str">
        <f t="shared" si="10"/>
        <v/>
      </c>
      <c r="V45" s="31" t="str">
        <f xml:space="preserve"> IFERROR( _xlfn.CONCAT(LEFT(P45,U45-1), "》", MID(P45,U45,1), "${1}", RIGHT(P45, LEN(P45)-U45)), "" )</f>
        <v/>
      </c>
      <c r="W45" s="19"/>
      <c r="X45" s="20" t="str">
        <f xml:space="preserve"> IF(AND(Q45&lt;&gt;"", P45&lt;&gt;""), "    - xform/》" &amp; S45 &amp;  "/"  &amp; V45 &amp;  "/", "")</f>
        <v xml:space="preserve">    - xform/》iok(\d)//</v>
      </c>
      <c r="Y45" s="15"/>
      <c r="Z45" s="38"/>
      <c r="AL45" s="42"/>
      <c r="AU45" s="15"/>
    </row>
    <row r="46" spans="1:47" ht="54.75" thickBot="1">
      <c r="A46" s="66">
        <v>45</v>
      </c>
      <c r="B46" s="46" t="s">
        <v>1749</v>
      </c>
      <c r="C46" s="48" t="s">
        <v>350</v>
      </c>
      <c r="D46" s="114" t="s">
        <v>1931</v>
      </c>
      <c r="E46" s="114" t="s">
        <v>350</v>
      </c>
      <c r="F46" s="114" t="s">
        <v>351</v>
      </c>
      <c r="G46" s="114" t="s">
        <v>350</v>
      </c>
      <c r="H46" s="21" t="s">
        <v>1588</v>
      </c>
      <c r="I46" s="21" t="s">
        <v>1641</v>
      </c>
      <c r="J46" s="18" t="str">
        <f xml:space="preserve"> LEFT(韻母對照表69[[#This Row],[十五音識別碼]],1)</f>
        <v>茄</v>
      </c>
      <c r="K46" s="18" t="s">
        <v>349</v>
      </c>
      <c r="L46" s="18" t="s">
        <v>352</v>
      </c>
      <c r="M46" s="21"/>
      <c r="N46" s="18">
        <f t="shared" si="9"/>
        <v>4</v>
      </c>
      <c r="O46" s="25"/>
      <c r="P46" s="21" t="str">
        <f>C53</f>
        <v>iunn</v>
      </c>
      <c r="Q46" s="21" t="str">
        <f>D53</f>
        <v xml:space="preserve">iunn </v>
      </c>
      <c r="S46" s="31" t="str">
        <f xml:space="preserve"> _xlfn.CONCAT(P46, "(\d)")</f>
        <v>iunn(\d)</v>
      </c>
      <c r="T46" s="33" t="s">
        <v>717</v>
      </c>
      <c r="U46" s="33">
        <f t="shared" si="10"/>
        <v>1</v>
      </c>
      <c r="V46" s="31" t="str">
        <f xml:space="preserve"> IFERROR( _xlfn.CONCAT(LEFT(P46,U46-1), "》", MID(P46,U46,1), "${1}", RIGHT(P46, LEN(P46)-U46)), "" )</f>
        <v>》i${1}unn</v>
      </c>
      <c r="W46" s="19"/>
      <c r="X46" s="20" t="str">
        <f xml:space="preserve"> IF(AND(Q46&lt;&gt;"", P46&lt;&gt;""), "    - xform/》" &amp; S46 &amp;  "/"  &amp; V46 &amp;  "/", "")</f>
        <v xml:space="preserve">    - xform/》iunn(\d)/》i${1}unn/</v>
      </c>
      <c r="Y46" s="15"/>
      <c r="Z46" s="38"/>
      <c r="AL46" s="42"/>
      <c r="AU46" s="15"/>
    </row>
    <row r="47" spans="1:47" ht="27.75" thickBot="1">
      <c r="A47" s="66">
        <v>46</v>
      </c>
      <c r="B47" s="46" t="s">
        <v>1709</v>
      </c>
      <c r="C47" s="48" t="s">
        <v>160</v>
      </c>
      <c r="D47" s="114" t="s">
        <v>1932</v>
      </c>
      <c r="E47" s="114" t="s">
        <v>160</v>
      </c>
      <c r="F47" s="114" t="s">
        <v>653</v>
      </c>
      <c r="G47" s="114" t="s">
        <v>160</v>
      </c>
      <c r="H47" s="21" t="s">
        <v>159</v>
      </c>
      <c r="I47" s="21" t="s">
        <v>1619</v>
      </c>
      <c r="J47" s="18" t="str">
        <f xml:space="preserve"> LEFT(韻母對照表69[[#This Row],[十五音識別碼]],1)</f>
        <v>恭</v>
      </c>
      <c r="K47" s="18" t="s">
        <v>158</v>
      </c>
      <c r="L47" s="18" t="s">
        <v>161</v>
      </c>
      <c r="M47" s="21"/>
      <c r="N47" s="18">
        <f t="shared" si="9"/>
        <v>4</v>
      </c>
      <c r="O47" s="25"/>
      <c r="P47" s="21" t="str">
        <f>C59</f>
        <v>o</v>
      </c>
      <c r="Q47" s="21" t="str">
        <f>D59</f>
        <v>o</v>
      </c>
      <c r="S47" s="31" t="str">
        <f xml:space="preserve"> _xlfn.CONCAT(P47, "(\d)")</f>
        <v>o(\d)</v>
      </c>
      <c r="T47" s="33" t="s">
        <v>717</v>
      </c>
      <c r="U47" s="33" t="str">
        <f t="shared" si="10"/>
        <v/>
      </c>
      <c r="V47" s="31" t="str">
        <f xml:space="preserve"> IFERROR( _xlfn.CONCAT(LEFT(P47,U47-1), "》", MID(P47,U47,1), "${1}", RIGHT(P47, LEN(P47)-U47)), "" )</f>
        <v/>
      </c>
      <c r="W47" s="19"/>
      <c r="X47" s="20" t="str">
        <f xml:space="preserve"> IF(AND(Q47&lt;&gt;"", P47&lt;&gt;""), "    - xform/》" &amp; S47 &amp;  "/"  &amp; V47 &amp;  "/", "")</f>
        <v xml:space="preserve">    - xform/》o(\d)//</v>
      </c>
      <c r="Y47" s="15"/>
      <c r="Z47" s="38"/>
      <c r="AL47" s="42"/>
      <c r="AU47" s="15"/>
    </row>
    <row r="48" spans="1:47" ht="81.75" thickBot="1">
      <c r="A48" s="66">
        <v>47</v>
      </c>
      <c r="B48" s="46" t="s">
        <v>1708</v>
      </c>
      <c r="C48" s="48" t="s">
        <v>155</v>
      </c>
      <c r="D48" s="114" t="s">
        <v>1933</v>
      </c>
      <c r="E48" s="114" t="s">
        <v>155</v>
      </c>
      <c r="F48" s="114" t="s">
        <v>155</v>
      </c>
      <c r="G48" s="114" t="s">
        <v>155</v>
      </c>
      <c r="H48" s="21" t="s">
        <v>154</v>
      </c>
      <c r="I48" s="21" t="s">
        <v>1618</v>
      </c>
      <c r="J48" s="18" t="str">
        <f xml:space="preserve"> LEFT(韻母對照表69[[#This Row],[十五音識別碼]],1)</f>
        <v>恭</v>
      </c>
      <c r="K48" s="18" t="s">
        <v>152</v>
      </c>
      <c r="L48" s="18" t="s">
        <v>156</v>
      </c>
      <c r="M48" s="21"/>
      <c r="N48" s="18">
        <f t="shared" si="9"/>
        <v>5</v>
      </c>
      <c r="O48" s="25"/>
      <c r="P48" s="21" t="str">
        <f>C54</f>
        <v>iunnh</v>
      </c>
      <c r="Q48" s="21" t="str">
        <f>D54</f>
        <v>iunnh</v>
      </c>
      <c r="S48" s="31" t="str">
        <f xml:space="preserve"> _xlfn.CONCAT(P48, "(\d)")</f>
        <v>iunnh(\d)</v>
      </c>
      <c r="T48" s="33" t="s">
        <v>716</v>
      </c>
      <c r="U48" s="33" t="str">
        <f t="shared" si="10"/>
        <v/>
      </c>
      <c r="V48" s="31" t="str">
        <f xml:space="preserve"> IFERROR( _xlfn.CONCAT(LEFT(P48,U48-1), "》", MID(P48,U48,1), "${1}", RIGHT(P48, LEN(P48)-U48)), "" )</f>
        <v/>
      </c>
      <c r="W48" s="19"/>
      <c r="X48" s="20" t="str">
        <f xml:space="preserve"> IF(AND(Q48&lt;&gt;"", P48&lt;&gt;""), "    - xform/》" &amp; S48 &amp;  "/"  &amp; V48 &amp;  "/", "")</f>
        <v xml:space="preserve">    - xform/》iunnh(\d)//</v>
      </c>
      <c r="Y48" s="15"/>
      <c r="Z48" s="38"/>
      <c r="AL48" s="42"/>
      <c r="AU48" s="15"/>
    </row>
    <row r="49" spans="1:47" ht="54.75" thickBot="1">
      <c r="A49" s="66">
        <v>48</v>
      </c>
      <c r="B49" s="46" t="s">
        <v>1707</v>
      </c>
      <c r="C49" s="48" t="s">
        <v>1836</v>
      </c>
      <c r="D49" s="114" t="s">
        <v>1836</v>
      </c>
      <c r="E49" s="114" t="s">
        <v>1839</v>
      </c>
      <c r="F49" s="114" t="s">
        <v>1837</v>
      </c>
      <c r="G49" s="114" t="s">
        <v>1838</v>
      </c>
      <c r="H49" s="21" t="s">
        <v>1840</v>
      </c>
      <c r="I49" s="21" t="s">
        <v>1841</v>
      </c>
      <c r="J49" s="18" t="str">
        <f xml:space="preserve"> LEFT(韻母對照表69[[#This Row],[十五音識別碼]],1)</f>
        <v>薑</v>
      </c>
      <c r="K49" s="18" t="s">
        <v>1842</v>
      </c>
      <c r="L49" s="18" t="s">
        <v>1843</v>
      </c>
      <c r="M49" s="21" t="s">
        <v>1844</v>
      </c>
      <c r="N49" s="18">
        <f t="shared" si="9"/>
        <v>4</v>
      </c>
      <c r="O49" s="25"/>
      <c r="P49" s="21" t="str">
        <f>C32</f>
        <v>iann</v>
      </c>
      <c r="Q49" s="21" t="str">
        <f>D32</f>
        <v>iann</v>
      </c>
      <c r="S49" s="31" t="str">
        <f t="shared" si="3"/>
        <v>iann(\d)</v>
      </c>
      <c r="T49" s="33" t="s">
        <v>716</v>
      </c>
      <c r="U49" s="33">
        <f t="shared" si="10"/>
        <v>2</v>
      </c>
      <c r="V49" s="31" t="str">
        <f t="shared" si="5"/>
        <v>i》a${1}nn</v>
      </c>
      <c r="W49" s="19"/>
      <c r="X49" s="20" t="str">
        <f t="shared" si="6"/>
        <v xml:space="preserve">    - xform/》iann(\d)/i》a${1}nn/</v>
      </c>
      <c r="Y49" s="15"/>
      <c r="Z49" s="38"/>
      <c r="AL49" s="42"/>
      <c r="AU49" s="15"/>
    </row>
    <row r="50" spans="1:47" ht="27.75" thickBot="1">
      <c r="A50" s="66">
        <v>49</v>
      </c>
      <c r="B50" s="46" t="s">
        <v>1705</v>
      </c>
      <c r="C50" s="48" t="s">
        <v>700</v>
      </c>
      <c r="D50" s="114" t="s">
        <v>1965</v>
      </c>
      <c r="E50" s="114" t="s">
        <v>700</v>
      </c>
      <c r="F50" s="114" t="s">
        <v>700</v>
      </c>
      <c r="G50" s="114" t="s">
        <v>700</v>
      </c>
      <c r="H50" s="21" t="s">
        <v>1845</v>
      </c>
      <c r="I50" s="21" t="s">
        <v>1846</v>
      </c>
      <c r="J50" s="18" t="str">
        <f xml:space="preserve"> LEFT(韻母對照表69[[#This Row],[十五音識別碼]],1)</f>
        <v>金</v>
      </c>
      <c r="K50" s="18" t="s">
        <v>1847</v>
      </c>
      <c r="L50" s="18" t="s">
        <v>1848</v>
      </c>
      <c r="M50" s="21"/>
      <c r="N50" s="18">
        <f t="shared" si="9"/>
        <v>3</v>
      </c>
      <c r="O50" s="25"/>
      <c r="P50" s="21" t="str">
        <f>C27</f>
        <v>iah</v>
      </c>
      <c r="Q50" s="21" t="str">
        <f>D27</f>
        <v xml:space="preserve">iah </v>
      </c>
      <c r="S50" s="31" t="str">
        <f t="shared" si="3"/>
        <v>iah(\d)</v>
      </c>
      <c r="T50" s="33" t="s">
        <v>716</v>
      </c>
      <c r="U50" s="33">
        <f t="shared" si="10"/>
        <v>2</v>
      </c>
      <c r="V50" s="31" t="str">
        <f t="shared" si="5"/>
        <v>i》a${1}h</v>
      </c>
      <c r="W50" s="19"/>
      <c r="X50" s="20" t="str">
        <f t="shared" si="6"/>
        <v xml:space="preserve">    - xform/》iah(\d)/i》a${1}h/</v>
      </c>
      <c r="Y50" s="15"/>
      <c r="Z50" s="38"/>
      <c r="AL50" s="42"/>
      <c r="AU50" s="15"/>
    </row>
    <row r="51" spans="1:47" ht="27.75" thickBot="1">
      <c r="A51" s="66">
        <v>50</v>
      </c>
      <c r="B51" s="46" t="s">
        <v>1706</v>
      </c>
      <c r="C51" s="48" t="s">
        <v>706</v>
      </c>
      <c r="D51" s="114" t="s">
        <v>1966</v>
      </c>
      <c r="E51" s="114" t="s">
        <v>706</v>
      </c>
      <c r="F51" s="114" t="s">
        <v>706</v>
      </c>
      <c r="G51" s="114" t="s">
        <v>706</v>
      </c>
      <c r="H51" s="21" t="s">
        <v>1849</v>
      </c>
      <c r="I51" s="21" t="s">
        <v>1850</v>
      </c>
      <c r="J51" s="18" t="str">
        <f xml:space="preserve"> LEFT(韻母對照表69[[#This Row],[十五音識別碼]],1)</f>
        <v>巾</v>
      </c>
      <c r="K51" s="18" t="s">
        <v>729</v>
      </c>
      <c r="L51" s="18" t="s">
        <v>1851</v>
      </c>
      <c r="M51" s="44"/>
      <c r="N51" s="18">
        <f t="shared" si="9"/>
        <v>3</v>
      </c>
      <c r="O51" s="25"/>
      <c r="P51" s="21" t="str">
        <f>C52</f>
        <v>iu</v>
      </c>
      <c r="Q51" s="21" t="str">
        <f>D52</f>
        <v xml:space="preserve">iu </v>
      </c>
      <c r="S51" s="31" t="str">
        <f xml:space="preserve"> _xlfn.CONCAT(P51, "(\d)")</f>
        <v>iu(\d)</v>
      </c>
      <c r="T51" s="33" t="s">
        <v>716</v>
      </c>
      <c r="U51" s="33" t="str">
        <f t="shared" si="10"/>
        <v/>
      </c>
      <c r="V51" s="31" t="str">
        <f xml:space="preserve"> IFERROR( _xlfn.CONCAT(LEFT(P51,U51-1), "》", MID(P51,U51,1), "${1}", RIGHT(P51, LEN(P51)-U51)), "" )</f>
        <v/>
      </c>
      <c r="W51" s="19"/>
      <c r="X51" s="20" t="str">
        <f xml:space="preserve"> IF(AND(Q51&lt;&gt;"", P51&lt;&gt;""), "    - xform/》" &amp; S51 &amp;  "/"  &amp; V51 &amp;  "/", "")</f>
        <v xml:space="preserve">    - xform/》iu(\d)//</v>
      </c>
      <c r="Y51" s="15"/>
      <c r="Z51" s="38"/>
      <c r="AL51" s="42"/>
      <c r="AU51" s="15"/>
    </row>
    <row r="52" spans="1:47" ht="27.75" thickBot="1">
      <c r="A52" s="66">
        <v>51</v>
      </c>
      <c r="B52" s="46" t="str">
        <f>_xlfn.CONCAT("ɪ", "u")</f>
        <v>ɪu</v>
      </c>
      <c r="C52" s="48" t="s">
        <v>321</v>
      </c>
      <c r="D52" s="114" t="s">
        <v>1934</v>
      </c>
      <c r="E52" s="114" t="s">
        <v>321</v>
      </c>
      <c r="F52" s="114" t="s">
        <v>321</v>
      </c>
      <c r="G52" s="114" t="s">
        <v>321</v>
      </c>
      <c r="H52" s="21" t="s">
        <v>323</v>
      </c>
      <c r="I52" s="21" t="s">
        <v>323</v>
      </c>
      <c r="J52" s="18" t="str">
        <f xml:space="preserve"> LEFT(韻母對照表69[[#This Row],[十五音識別碼]],1)</f>
        <v>丩</v>
      </c>
      <c r="K52" s="18" t="s">
        <v>320</v>
      </c>
      <c r="L52" s="18" t="s">
        <v>324</v>
      </c>
      <c r="M52" s="21"/>
      <c r="N52" s="18">
        <f t="shared" si="9"/>
        <v>3</v>
      </c>
      <c r="O52" s="25"/>
      <c r="P52" s="21" t="str">
        <f>C66</f>
        <v>oo</v>
      </c>
      <c r="Q52" s="21" t="str">
        <f>D66</f>
        <v xml:space="preserve">oo </v>
      </c>
      <c r="S52" s="31" t="str">
        <f t="shared" si="3"/>
        <v>oo(\d)</v>
      </c>
      <c r="T52" s="33" t="s">
        <v>701</v>
      </c>
      <c r="U52" s="33" t="str">
        <f t="shared" si="10"/>
        <v/>
      </c>
      <c r="V52" s="31" t="str">
        <f t="shared" si="5"/>
        <v/>
      </c>
      <c r="W52" s="19"/>
      <c r="X52" s="20" t="str">
        <f t="shared" si="6"/>
        <v xml:space="preserve">    - xform/》oo(\d)//</v>
      </c>
      <c r="Y52" s="15"/>
      <c r="Z52" s="38"/>
      <c r="AL52" s="42"/>
      <c r="AU52" s="15"/>
    </row>
    <row r="53" spans="1:47" ht="54.75" thickBot="1">
      <c r="A53" s="66">
        <v>52</v>
      </c>
      <c r="B53" s="46" t="str">
        <f>_xlfn.CONCAT("ɪ", "u", _xlfn.UNICHAR(771), "")</f>
        <v>ɪũ</v>
      </c>
      <c r="C53" s="48" t="s">
        <v>474</v>
      </c>
      <c r="D53" s="114" t="s">
        <v>1935</v>
      </c>
      <c r="E53" s="114" t="s">
        <v>475</v>
      </c>
      <c r="F53" s="114" t="s">
        <v>474</v>
      </c>
      <c r="G53" s="114" t="s">
        <v>476</v>
      </c>
      <c r="H53" s="21" t="s">
        <v>473</v>
      </c>
      <c r="I53" s="21" t="s">
        <v>1761</v>
      </c>
      <c r="J53" s="18" t="str">
        <f xml:space="preserve"> LEFT(韻母對照表69[[#This Row],[十五音識別碼]],1)</f>
        <v>牛</v>
      </c>
      <c r="K53" s="18" t="s">
        <v>471</v>
      </c>
      <c r="L53" s="18" t="s">
        <v>477</v>
      </c>
      <c r="M53" s="44" t="s">
        <v>739</v>
      </c>
      <c r="N53" s="18">
        <f t="shared" si="9"/>
        <v>5</v>
      </c>
      <c r="O53" s="25"/>
      <c r="P53" s="21" t="str">
        <f>C64</f>
        <v>onn</v>
      </c>
      <c r="Q53" s="21" t="str">
        <f>D64</f>
        <v xml:space="preserve">onn </v>
      </c>
      <c r="S53" s="31" t="str">
        <f t="shared" si="3"/>
        <v>onn(\d)</v>
      </c>
      <c r="T53" s="33" t="s">
        <v>701</v>
      </c>
      <c r="U53" s="33" t="str">
        <f t="shared" si="10"/>
        <v/>
      </c>
      <c r="V53" s="31" t="str">
        <f t="shared" si="5"/>
        <v/>
      </c>
      <c r="W53" s="19"/>
      <c r="X53" s="20" t="str">
        <f t="shared" si="6"/>
        <v xml:space="preserve">    - xform/》onn(\d)//</v>
      </c>
      <c r="Y53" s="15"/>
      <c r="Z53" s="38"/>
      <c r="AL53" s="42"/>
      <c r="AU53" s="15"/>
    </row>
    <row r="54" spans="1:47" ht="30.75" thickBot="1">
      <c r="A54" s="66">
        <v>53</v>
      </c>
      <c r="B54" s="46" t="str">
        <f xml:space="preserve"> _xlfn.CONCAT(LEFT(B53,1), MID(B53,2,1), _xlfn.UNICHAR(771), "ʔ")</f>
        <v>ɪũʔ</v>
      </c>
      <c r="C54" s="48" t="s">
        <v>1273</v>
      </c>
      <c r="D54" s="115" t="s">
        <v>1568</v>
      </c>
      <c r="E54" s="115" t="s">
        <v>1959</v>
      </c>
      <c r="F54" s="115" t="s">
        <v>1568</v>
      </c>
      <c r="G54" s="115" t="s">
        <v>1570</v>
      </c>
      <c r="H54" s="50" t="s">
        <v>1565</v>
      </c>
      <c r="I54" s="50" t="s">
        <v>1762</v>
      </c>
      <c r="J54" s="18" t="str">
        <f xml:space="preserve"> LEFT(韻母對照表69[[#This Row],[十五音識別碼]],1)</f>
        <v>牛</v>
      </c>
      <c r="K54" s="18" t="s">
        <v>1692</v>
      </c>
      <c r="L54" s="53" t="s">
        <v>1579</v>
      </c>
      <c r="M54" s="44" t="s">
        <v>739</v>
      </c>
      <c r="N54" s="18">
        <f t="shared" si="9"/>
        <v>5</v>
      </c>
      <c r="O54" s="25"/>
      <c r="P54" s="21" t="str">
        <f>C60</f>
        <v>oh</v>
      </c>
      <c r="Q54" s="21" t="str">
        <f>D60</f>
        <v xml:space="preserve">oh </v>
      </c>
      <c r="S54" s="31" t="str">
        <f t="shared" si="3"/>
        <v>oh(\d)</v>
      </c>
      <c r="T54" s="33" t="s">
        <v>716</v>
      </c>
      <c r="U54" s="33" t="str">
        <f t="shared" si="10"/>
        <v/>
      </c>
      <c r="V54" s="31" t="str">
        <f t="shared" si="5"/>
        <v/>
      </c>
      <c r="W54" s="19"/>
      <c r="X54" s="20" t="str">
        <f t="shared" si="6"/>
        <v xml:space="preserve">    - xform/》oh(\d)//</v>
      </c>
      <c r="Y54" s="15"/>
      <c r="Z54" s="38"/>
      <c r="AL54" s="42"/>
      <c r="AU54" s="15"/>
    </row>
    <row r="55" spans="1:47" ht="27.75" thickBot="1">
      <c r="A55" s="66">
        <v>54</v>
      </c>
      <c r="B55" s="46" t="s">
        <v>1721</v>
      </c>
      <c r="C55" s="48" t="s">
        <v>413</v>
      </c>
      <c r="D55" s="114" t="s">
        <v>413</v>
      </c>
      <c r="E55" s="114" t="s">
        <v>413</v>
      </c>
      <c r="F55" s="114" t="s">
        <v>413</v>
      </c>
      <c r="G55" s="114" t="s">
        <v>413</v>
      </c>
      <c r="H55" s="21" t="s">
        <v>412</v>
      </c>
      <c r="I55" s="21" t="s">
        <v>553</v>
      </c>
      <c r="J55" s="18" t="str">
        <f xml:space="preserve"> LEFT(韻母對照表69[[#This Row],[十五音識別碼]],1)</f>
        <v>姆</v>
      </c>
      <c r="K55" s="18" t="s">
        <v>410</v>
      </c>
      <c r="L55" s="18" t="s">
        <v>414</v>
      </c>
      <c r="M55" s="21"/>
      <c r="N55" s="18">
        <f t="shared" si="9"/>
        <v>1</v>
      </c>
      <c r="S55" s="31"/>
      <c r="T55" s="33"/>
      <c r="V55" s="31"/>
      <c r="W55" s="15"/>
      <c r="X55" s="32"/>
      <c r="Y55" s="15"/>
      <c r="Z55" s="38"/>
      <c r="AL55" s="42"/>
      <c r="AU55" s="15"/>
    </row>
    <row r="56" spans="1:47" ht="27.75" thickBot="1">
      <c r="A56" s="66">
        <v>55</v>
      </c>
      <c r="B56" s="46" t="s">
        <v>641</v>
      </c>
      <c r="C56" s="48" t="s">
        <v>642</v>
      </c>
      <c r="D56" s="115" t="s">
        <v>1967</v>
      </c>
      <c r="E56" s="115" t="s">
        <v>1573</v>
      </c>
      <c r="F56" s="115" t="s">
        <v>1573</v>
      </c>
      <c r="G56" s="115" t="s">
        <v>1573</v>
      </c>
      <c r="H56" s="51" t="s">
        <v>1567</v>
      </c>
      <c r="I56" s="51" t="s">
        <v>1765</v>
      </c>
      <c r="J56" s="18" t="str">
        <f xml:space="preserve"> LEFT(韻母對照表69[[#This Row],[十五音識別碼]],1)</f>
        <v>姆</v>
      </c>
      <c r="K56" s="18" t="s">
        <v>1692</v>
      </c>
      <c r="L56" s="52" t="s">
        <v>1574</v>
      </c>
      <c r="M56" s="21"/>
      <c r="N56" s="18">
        <f t="shared" si="9"/>
        <v>3</v>
      </c>
      <c r="S56" s="31"/>
      <c r="T56" s="33"/>
      <c r="V56" s="31"/>
      <c r="W56" s="15"/>
      <c r="X56" s="32"/>
      <c r="Y56" s="15"/>
      <c r="Z56" s="38"/>
      <c r="AL56" s="42"/>
      <c r="AU56" s="15"/>
    </row>
    <row r="57" spans="1:47" ht="27.75" thickBot="1">
      <c r="A57" s="66">
        <v>56</v>
      </c>
      <c r="B57" s="46" t="s">
        <v>386</v>
      </c>
      <c r="C57" s="48" t="s">
        <v>389</v>
      </c>
      <c r="D57" s="114" t="s">
        <v>1936</v>
      </c>
      <c r="E57" s="114" t="s">
        <v>389</v>
      </c>
      <c r="F57" s="114" t="s">
        <v>389</v>
      </c>
      <c r="G57" s="114" t="s">
        <v>389</v>
      </c>
      <c r="H57" s="21" t="s">
        <v>388</v>
      </c>
      <c r="I57" s="21" t="s">
        <v>743</v>
      </c>
      <c r="J57" s="18" t="str">
        <f xml:space="preserve"> LEFT(韻母對照表69[[#This Row],[十五音識別碼]],1)</f>
        <v>鋼</v>
      </c>
      <c r="K57" s="18" t="s">
        <v>385</v>
      </c>
      <c r="L57" s="18" t="s">
        <v>390</v>
      </c>
      <c r="M57" s="21"/>
      <c r="N57" s="18">
        <f t="shared" si="9"/>
        <v>3</v>
      </c>
      <c r="S57" s="31"/>
      <c r="T57" s="33"/>
      <c r="V57" s="31"/>
      <c r="W57" s="15"/>
      <c r="X57" s="32"/>
      <c r="Y57" s="15"/>
      <c r="Z57" s="38"/>
      <c r="AL57" s="42"/>
      <c r="AU57" s="15"/>
    </row>
    <row r="58" spans="1:47" ht="27.75" thickBot="1">
      <c r="A58" s="66">
        <v>57</v>
      </c>
      <c r="B58" s="46" t="s">
        <v>629</v>
      </c>
      <c r="C58" s="48" t="s">
        <v>630</v>
      </c>
      <c r="D58" s="115" t="s">
        <v>1577</v>
      </c>
      <c r="E58" s="115" t="s">
        <v>1577</v>
      </c>
      <c r="F58" s="115" t="s">
        <v>1577</v>
      </c>
      <c r="G58" s="115" t="s">
        <v>1577</v>
      </c>
      <c r="H58" s="51" t="s">
        <v>741</v>
      </c>
      <c r="I58" s="51" t="s">
        <v>1766</v>
      </c>
      <c r="J58" s="18" t="str">
        <f xml:space="preserve"> LEFT(韻母對照表69[[#This Row],[十五音識別碼]],1)</f>
        <v>鋼</v>
      </c>
      <c r="K58" s="18" t="s">
        <v>1692</v>
      </c>
      <c r="L58" s="52" t="s">
        <v>1576</v>
      </c>
      <c r="M58" s="21"/>
      <c r="N58" s="18">
        <f t="shared" si="9"/>
        <v>3</v>
      </c>
      <c r="S58" s="31"/>
      <c r="T58" s="33"/>
      <c r="V58" s="31"/>
      <c r="W58" s="15"/>
      <c r="X58" s="32"/>
      <c r="Y58" s="15"/>
      <c r="Z58" s="38"/>
      <c r="AL58" s="42"/>
      <c r="AU58" s="15"/>
    </row>
    <row r="59" spans="1:47" ht="54.75" thickBot="1">
      <c r="A59" s="66">
        <v>58</v>
      </c>
      <c r="B59" s="46" t="s">
        <v>1746</v>
      </c>
      <c r="C59" s="48" t="s">
        <v>164</v>
      </c>
      <c r="D59" s="114" t="s">
        <v>164</v>
      </c>
      <c r="E59" s="114" t="s">
        <v>164</v>
      </c>
      <c r="F59" s="114" t="s">
        <v>167</v>
      </c>
      <c r="G59" s="114" t="s">
        <v>164</v>
      </c>
      <c r="H59" s="21" t="s">
        <v>166</v>
      </c>
      <c r="I59" s="21" t="s">
        <v>166</v>
      </c>
      <c r="J59" s="18" t="str">
        <f xml:space="preserve"> LEFT(韻母對照表69[[#This Row],[十五音識別碼]],1)</f>
        <v>高</v>
      </c>
      <c r="K59" s="18" t="s">
        <v>163</v>
      </c>
      <c r="L59" s="18" t="s">
        <v>168</v>
      </c>
      <c r="M59" s="21"/>
      <c r="N59" s="18">
        <f t="shared" si="9"/>
        <v>1</v>
      </c>
      <c r="O59" s="25"/>
      <c r="P59" s="21" t="str">
        <f>C67</f>
        <v>ooh</v>
      </c>
      <c r="Q59" s="21" t="str">
        <f>D67</f>
        <v xml:space="preserve">ooh </v>
      </c>
      <c r="S59" s="31" t="str">
        <f t="shared" si="3"/>
        <v>ooh(\d)</v>
      </c>
      <c r="T59" s="33" t="s">
        <v>716</v>
      </c>
      <c r="U59" s="33" t="str">
        <f t="shared" ref="U59:U85" si="11" xml:space="preserve"> IFERROR( IF(T59="", "", SEARCH(T59, $P59)), "")</f>
        <v/>
      </c>
      <c r="V59" s="31" t="str">
        <f t="shared" si="5"/>
        <v/>
      </c>
      <c r="W59" s="19"/>
      <c r="X59" s="20" t="str">
        <f t="shared" si="6"/>
        <v xml:space="preserve">    - xform/》ooh(\d)//</v>
      </c>
      <c r="Y59" s="15"/>
      <c r="Z59" s="38"/>
      <c r="AL59" s="42"/>
      <c r="AU59" s="15"/>
    </row>
    <row r="60" spans="1:47" ht="54.75" thickBot="1">
      <c r="A60" s="66">
        <v>59</v>
      </c>
      <c r="B60" s="46" t="s">
        <v>1747</v>
      </c>
      <c r="C60" s="48" t="s">
        <v>171</v>
      </c>
      <c r="D60" s="114" t="s">
        <v>1937</v>
      </c>
      <c r="E60" s="114" t="s">
        <v>171</v>
      </c>
      <c r="F60" s="114" t="s">
        <v>172</v>
      </c>
      <c r="G60" s="114" t="s">
        <v>171</v>
      </c>
      <c r="H60" s="21" t="s">
        <v>1589</v>
      </c>
      <c r="I60" s="21" t="s">
        <v>1620</v>
      </c>
      <c r="J60" s="18" t="str">
        <f xml:space="preserve"> LEFT(韻母對照表69[[#This Row],[十五音識別碼]],1)</f>
        <v>高</v>
      </c>
      <c r="K60" s="18" t="s">
        <v>170</v>
      </c>
      <c r="L60" s="18" t="s">
        <v>173</v>
      </c>
      <c r="M60" s="21"/>
      <c r="N60" s="18">
        <f t="shared" si="9"/>
        <v>3</v>
      </c>
      <c r="O60" s="25"/>
      <c r="P60" s="21" t="str">
        <f>C63</f>
        <v>ong</v>
      </c>
      <c r="Q60" s="21" t="str">
        <f>D63</f>
        <v xml:space="preserve">ong </v>
      </c>
      <c r="S60" s="31" t="str">
        <f t="shared" si="3"/>
        <v>ong(\d)</v>
      </c>
      <c r="T60" s="33" t="s">
        <v>716</v>
      </c>
      <c r="U60" s="33" t="str">
        <f t="shared" si="11"/>
        <v/>
      </c>
      <c r="V60" s="31" t="str">
        <f t="shared" si="5"/>
        <v/>
      </c>
      <c r="W60" s="19"/>
      <c r="X60" s="20" t="str">
        <f t="shared" si="6"/>
        <v xml:space="preserve">    - xform/》ong(\d)//</v>
      </c>
      <c r="Y60" s="15"/>
      <c r="Z60" s="38"/>
      <c r="AL60" s="42"/>
      <c r="AU60" s="15"/>
    </row>
    <row r="61" spans="1:47" ht="27.75" thickBot="1">
      <c r="A61" s="66">
        <v>60</v>
      </c>
      <c r="B61" s="46" t="s">
        <v>1714</v>
      </c>
      <c r="C61" s="48" t="s">
        <v>86</v>
      </c>
      <c r="D61" s="114" t="s">
        <v>1938</v>
      </c>
      <c r="E61" s="114" t="s">
        <v>86</v>
      </c>
      <c r="F61" s="114" t="s">
        <v>86</v>
      </c>
      <c r="G61" s="114" t="s">
        <v>86</v>
      </c>
      <c r="H61" s="21" t="s">
        <v>85</v>
      </c>
      <c r="I61" s="21" t="s">
        <v>1612</v>
      </c>
      <c r="J61" s="18" t="str">
        <f xml:space="preserve"> LEFT(韻母對照表69[[#This Row],[十五音識別碼]],1)</f>
        <v>公</v>
      </c>
      <c r="K61" s="18" t="s">
        <v>83</v>
      </c>
      <c r="L61" s="18" t="s">
        <v>87</v>
      </c>
      <c r="M61" s="21"/>
      <c r="N61" s="18">
        <f t="shared" si="9"/>
        <v>3</v>
      </c>
      <c r="O61" s="25"/>
      <c r="P61" s="21" t="str">
        <f>C87</f>
        <v>ut</v>
      </c>
      <c r="Q61" s="21" t="str">
        <f>D87</f>
        <v xml:space="preserve">ut </v>
      </c>
      <c r="S61" s="31" t="str">
        <f t="shared" si="3"/>
        <v>ut(\d)</v>
      </c>
      <c r="T61" s="33" t="s">
        <v>716</v>
      </c>
      <c r="U61" s="33" t="str">
        <f t="shared" si="11"/>
        <v/>
      </c>
      <c r="V61" s="31" t="str">
        <f t="shared" si="5"/>
        <v/>
      </c>
      <c r="W61" s="19"/>
      <c r="X61" s="20" t="str">
        <f t="shared" si="6"/>
        <v xml:space="preserve">    - xform/》ut(\d)//</v>
      </c>
      <c r="Y61" s="15"/>
      <c r="Z61" s="38"/>
      <c r="AL61" s="42"/>
      <c r="AU61" s="15"/>
    </row>
    <row r="62" spans="1:47" ht="27.75" thickBot="1">
      <c r="A62" s="66">
        <v>61</v>
      </c>
      <c r="B62" s="46" t="s">
        <v>1712</v>
      </c>
      <c r="C62" s="48" t="s">
        <v>452</v>
      </c>
      <c r="D62" s="114" t="s">
        <v>1939</v>
      </c>
      <c r="E62" s="114" t="s">
        <v>452</v>
      </c>
      <c r="F62" s="114" t="s">
        <v>453</v>
      </c>
      <c r="G62" s="114" t="s">
        <v>452</v>
      </c>
      <c r="H62" s="21" t="s">
        <v>451</v>
      </c>
      <c r="I62" s="21" t="s">
        <v>1655</v>
      </c>
      <c r="J62" s="18" t="str">
        <f xml:space="preserve"> LEFT(韻母對照表69[[#This Row],[十五音識別碼]],1)</f>
        <v>箴</v>
      </c>
      <c r="K62" s="18" t="s">
        <v>448</v>
      </c>
      <c r="L62" s="18" t="s">
        <v>454</v>
      </c>
      <c r="M62" s="21"/>
      <c r="N62" s="18">
        <f t="shared" si="9"/>
        <v>3</v>
      </c>
      <c r="O62" s="25"/>
      <c r="P62" s="21" t="str">
        <f>C69</f>
        <v>u</v>
      </c>
      <c r="Q62" s="21" t="str">
        <f>D69</f>
        <v>u</v>
      </c>
      <c r="S62" s="31" t="str">
        <f t="shared" si="3"/>
        <v>u(\d)</v>
      </c>
      <c r="T62" s="33" t="s">
        <v>716</v>
      </c>
      <c r="U62" s="33" t="str">
        <f t="shared" si="11"/>
        <v/>
      </c>
      <c r="V62" s="31" t="str">
        <f t="shared" si="5"/>
        <v/>
      </c>
      <c r="W62" s="19"/>
      <c r="X62" s="20" t="str">
        <f t="shared" si="6"/>
        <v xml:space="preserve">    - xform/》u(\d)//</v>
      </c>
      <c r="Y62" s="15"/>
      <c r="Z62" s="38"/>
      <c r="AL62" s="42"/>
      <c r="AU62" s="15"/>
    </row>
    <row r="63" spans="1:47" ht="27.75" thickBot="1">
      <c r="A63" s="66">
        <v>62</v>
      </c>
      <c r="B63" s="46" t="s">
        <v>1713</v>
      </c>
      <c r="C63" s="48" t="s">
        <v>80</v>
      </c>
      <c r="D63" s="114" t="s">
        <v>1940</v>
      </c>
      <c r="E63" s="114" t="s">
        <v>80</v>
      </c>
      <c r="F63" s="114" t="s">
        <v>80</v>
      </c>
      <c r="G63" s="114" t="s">
        <v>80</v>
      </c>
      <c r="H63" s="21" t="s">
        <v>79</v>
      </c>
      <c r="I63" s="21" t="s">
        <v>1611</v>
      </c>
      <c r="J63" s="18" t="str">
        <f xml:space="preserve"> LEFT(韻母對照表69[[#This Row],[十五音識別碼]],1)</f>
        <v>公</v>
      </c>
      <c r="K63" s="18" t="s">
        <v>76</v>
      </c>
      <c r="L63" s="18" t="s">
        <v>81</v>
      </c>
      <c r="M63" s="21"/>
      <c r="N63" s="18">
        <f t="shared" si="9"/>
        <v>4</v>
      </c>
      <c r="O63" s="25"/>
      <c r="P63" s="21" t="str">
        <f>C82</f>
        <v>uh</v>
      </c>
      <c r="Q63" s="21" t="str">
        <f>D82</f>
        <v xml:space="preserve">uh </v>
      </c>
      <c r="S63" s="31" t="str">
        <f t="shared" si="3"/>
        <v>uh(\d)</v>
      </c>
      <c r="T63" s="33" t="s">
        <v>701</v>
      </c>
      <c r="U63" s="33" t="str">
        <f t="shared" si="11"/>
        <v/>
      </c>
      <c r="V63" s="31" t="str">
        <f t="shared" si="5"/>
        <v/>
      </c>
      <c r="W63" s="19"/>
      <c r="X63" s="20" t="str">
        <f t="shared" si="6"/>
        <v xml:space="preserve">    - xform/》uh(\d)//</v>
      </c>
      <c r="Y63" s="15"/>
      <c r="Z63" s="38"/>
      <c r="AL63" s="42"/>
      <c r="AU63" s="15"/>
    </row>
    <row r="64" spans="1:47" ht="54.75" thickBot="1">
      <c r="A64" s="66">
        <v>63</v>
      </c>
      <c r="B64" s="46" t="s">
        <v>659</v>
      </c>
      <c r="C64" s="48" t="s">
        <v>407</v>
      </c>
      <c r="D64" s="114" t="s">
        <v>1941</v>
      </c>
      <c r="E64" s="114" t="s">
        <v>1597</v>
      </c>
      <c r="F64" s="114" t="s">
        <v>406</v>
      </c>
      <c r="G64" s="114" t="s">
        <v>408</v>
      </c>
      <c r="H64" s="21" t="s">
        <v>405</v>
      </c>
      <c r="I64" s="21" t="s">
        <v>1648</v>
      </c>
      <c r="J64" s="18" t="str">
        <f xml:space="preserve"> LEFT(韻母對照表69[[#This Row],[十五音識別碼]],1)</f>
        <v>姑</v>
      </c>
      <c r="K64" s="18" t="s">
        <v>403</v>
      </c>
      <c r="L64" s="18" t="s">
        <v>409</v>
      </c>
      <c r="M64" s="21"/>
      <c r="N64" s="18">
        <f t="shared" si="9"/>
        <v>4</v>
      </c>
      <c r="O64" s="25"/>
      <c r="P64" s="21" t="str">
        <f>C62</f>
        <v>om</v>
      </c>
      <c r="Q64" s="21" t="str">
        <f>D62</f>
        <v xml:space="preserve">om </v>
      </c>
      <c r="S64" s="31" t="str">
        <f t="shared" si="3"/>
        <v>om(\d)</v>
      </c>
      <c r="T64" s="33" t="s">
        <v>716</v>
      </c>
      <c r="U64" s="33" t="str">
        <f t="shared" si="11"/>
        <v/>
      </c>
      <c r="V64" s="31" t="str">
        <f t="shared" si="5"/>
        <v/>
      </c>
      <c r="W64" s="19"/>
      <c r="X64" s="20" t="str">
        <f t="shared" si="6"/>
        <v xml:space="preserve">    - xform/》om(\d)//</v>
      </c>
      <c r="Y64" s="15"/>
      <c r="Z64" s="38"/>
      <c r="AL64" s="42"/>
      <c r="AU64" s="15"/>
    </row>
    <row r="65" spans="1:47" ht="30.75" thickBot="1">
      <c r="A65" s="66">
        <v>64</v>
      </c>
      <c r="B65" s="46" t="s">
        <v>658</v>
      </c>
      <c r="C65" s="48" t="s">
        <v>469</v>
      </c>
      <c r="D65" s="114" t="s">
        <v>723</v>
      </c>
      <c r="E65" s="114" t="s">
        <v>1960</v>
      </c>
      <c r="F65" s="114" t="s">
        <v>1793</v>
      </c>
      <c r="G65" s="114" t="s">
        <v>1569</v>
      </c>
      <c r="H65" s="21" t="s">
        <v>1590</v>
      </c>
      <c r="I65" s="21" t="s">
        <v>1658</v>
      </c>
      <c r="J65" s="18" t="str">
        <f xml:space="preserve"> LEFT(韻母對照表69[[#This Row],[十五音識別碼]],1)</f>
        <v>姑</v>
      </c>
      <c r="K65" s="91" t="s">
        <v>1795</v>
      </c>
      <c r="L65" s="90" t="s">
        <v>1794</v>
      </c>
      <c r="M65" s="44" t="s">
        <v>739</v>
      </c>
      <c r="N65" s="18">
        <f t="shared" si="9"/>
        <v>4</v>
      </c>
      <c r="O65" s="25"/>
      <c r="P65" s="21" t="str">
        <f>C61</f>
        <v>ok</v>
      </c>
      <c r="Q65" s="21" t="str">
        <f>D61</f>
        <v xml:space="preserve">ok </v>
      </c>
      <c r="S65" s="31" t="str">
        <f t="shared" si="3"/>
        <v>ok(\d)</v>
      </c>
      <c r="T65" s="33" t="s">
        <v>716</v>
      </c>
      <c r="U65" s="33" t="str">
        <f t="shared" si="11"/>
        <v/>
      </c>
      <c r="V65" s="31" t="str">
        <f t="shared" si="5"/>
        <v/>
      </c>
      <c r="W65" s="19"/>
      <c r="X65" s="20" t="str">
        <f t="shared" si="6"/>
        <v xml:space="preserve">    - xform/》ok(\d)//</v>
      </c>
      <c r="Y65" s="15"/>
      <c r="Z65" s="38"/>
      <c r="AL65" s="42"/>
      <c r="AU65" s="15"/>
    </row>
    <row r="66" spans="1:47" ht="54.75" thickBot="1">
      <c r="A66" s="66">
        <v>65</v>
      </c>
      <c r="B66" s="46" t="s">
        <v>1710</v>
      </c>
      <c r="C66" s="48" t="s">
        <v>131</v>
      </c>
      <c r="D66" s="114" t="s">
        <v>1942</v>
      </c>
      <c r="E66" s="114" t="s">
        <v>132</v>
      </c>
      <c r="F66" s="114" t="s">
        <v>131</v>
      </c>
      <c r="G66" s="114" t="s">
        <v>131</v>
      </c>
      <c r="H66" s="21" t="s">
        <v>744</v>
      </c>
      <c r="I66" s="21" t="s">
        <v>1616</v>
      </c>
      <c r="J66" s="18" t="str">
        <f xml:space="preserve"> LEFT(韻母對照表69[[#This Row],[十五音識別碼]],1)</f>
        <v>沽</v>
      </c>
      <c r="K66" s="18" t="s">
        <v>129</v>
      </c>
      <c r="L66" s="18" t="s">
        <v>133</v>
      </c>
      <c r="M66" s="21"/>
      <c r="N66" s="18">
        <f t="shared" ref="N66:N87" si="12" xml:space="preserve"> LEN(D66)</f>
        <v>3</v>
      </c>
      <c r="O66" s="25"/>
      <c r="P66" s="21" t="str">
        <f>C65</f>
        <v>onnh</v>
      </c>
      <c r="Q66" s="21" t="str">
        <f>D65</f>
        <v>onnh</v>
      </c>
      <c r="S66" s="31" t="str">
        <f t="shared" ref="S66:S82" si="13" xml:space="preserve"> _xlfn.CONCAT(P66, "(\d)")</f>
        <v>onnh(\d)</v>
      </c>
      <c r="T66" s="33" t="s">
        <v>716</v>
      </c>
      <c r="U66" s="33" t="str">
        <f t="shared" si="11"/>
        <v/>
      </c>
      <c r="V66" s="31" t="str">
        <f t="shared" ref="V66:V87" si="14" xml:space="preserve"> IFERROR( _xlfn.CONCAT(LEFT(P66,U66-1), "》", MID(P66,U66,1), "${1}", RIGHT(P66, LEN(P66)-U66)), "" )</f>
        <v/>
      </c>
      <c r="W66" s="19"/>
      <c r="X66" s="20" t="str">
        <f t="shared" ref="X66:X82" si="15" xml:space="preserve"> IF(AND(Q66&lt;&gt;"", P66&lt;&gt;""), "    - xform/》" &amp; S66 &amp;  "/"  &amp; V66 &amp;  "/", "")</f>
        <v xml:space="preserve">    - xform/》onnh(\d)//</v>
      </c>
      <c r="Y66" s="15"/>
      <c r="Z66" s="38"/>
      <c r="AL66" s="42"/>
      <c r="AU66" s="15"/>
    </row>
    <row r="67" spans="1:47" ht="30.75" thickBot="1">
      <c r="A67" s="66">
        <v>66</v>
      </c>
      <c r="B67" s="46" t="s">
        <v>1711</v>
      </c>
      <c r="C67" s="48" t="s">
        <v>633</v>
      </c>
      <c r="D67" s="115" t="s">
        <v>1968</v>
      </c>
      <c r="E67" s="115" t="s">
        <v>1961</v>
      </c>
      <c r="F67" s="115" t="s">
        <v>1571</v>
      </c>
      <c r="G67" s="115" t="s">
        <v>1571</v>
      </c>
      <c r="H67" s="51" t="s">
        <v>742</v>
      </c>
      <c r="I67" s="51" t="s">
        <v>1763</v>
      </c>
      <c r="J67" s="18" t="str">
        <f xml:space="preserve"> LEFT(韻母對照表69[[#This Row],[十五音識別碼]],1)</f>
        <v>沽</v>
      </c>
      <c r="K67" s="18" t="s">
        <v>1692</v>
      </c>
      <c r="L67" s="53" t="s">
        <v>1578</v>
      </c>
      <c r="M67" s="21"/>
      <c r="N67" s="18">
        <f t="shared" si="12"/>
        <v>4</v>
      </c>
      <c r="O67" s="25"/>
      <c r="P67" s="21" t="str">
        <f>C68</f>
        <v>op</v>
      </c>
      <c r="Q67" s="21" t="str">
        <f>D68</f>
        <v xml:space="preserve">op </v>
      </c>
      <c r="S67" s="31" t="str">
        <f t="shared" si="13"/>
        <v>op(\d)</v>
      </c>
      <c r="T67" s="33" t="s">
        <v>716</v>
      </c>
      <c r="U67" s="33" t="str">
        <f t="shared" si="11"/>
        <v/>
      </c>
      <c r="V67" s="31" t="str">
        <f t="shared" si="14"/>
        <v/>
      </c>
      <c r="W67" s="19"/>
      <c r="X67" s="20" t="str">
        <f t="shared" si="15"/>
        <v xml:space="preserve">    - xform/》op(\d)//</v>
      </c>
      <c r="Y67" s="15"/>
      <c r="Z67" s="38"/>
      <c r="AL67" s="42"/>
      <c r="AU67" s="15"/>
    </row>
    <row r="68" spans="1:47" ht="27.75" thickBot="1">
      <c r="A68" s="66">
        <v>67</v>
      </c>
      <c r="B68" s="46" t="s">
        <v>651</v>
      </c>
      <c r="C68" s="48" t="s">
        <v>458</v>
      </c>
      <c r="D68" s="114" t="s">
        <v>1943</v>
      </c>
      <c r="E68" s="114" t="s">
        <v>458</v>
      </c>
      <c r="F68" s="114" t="s">
        <v>459</v>
      </c>
      <c r="G68" s="114" t="s">
        <v>458</v>
      </c>
      <c r="H68" s="21" t="s">
        <v>457</v>
      </c>
      <c r="I68" s="21" t="s">
        <v>1656</v>
      </c>
      <c r="J68" s="18" t="str">
        <f xml:space="preserve"> LEFT(韻母對照表69[[#This Row],[十五音識別碼]],1)</f>
        <v>箴</v>
      </c>
      <c r="K68" s="18" t="s">
        <v>455</v>
      </c>
      <c r="L68" s="18" t="s">
        <v>460</v>
      </c>
      <c r="M68" s="21"/>
      <c r="N68" s="18">
        <f t="shared" si="12"/>
        <v>3</v>
      </c>
      <c r="O68" s="25"/>
      <c r="P68" s="21" t="str">
        <f>C86</f>
        <v>un</v>
      </c>
      <c r="Q68" s="21" t="str">
        <f>D86</f>
        <v>un</v>
      </c>
      <c r="S68" s="31" t="str">
        <f t="shared" si="13"/>
        <v>un(\d)</v>
      </c>
      <c r="T68" s="33" t="s">
        <v>717</v>
      </c>
      <c r="U68" s="33" t="str">
        <f t="shared" si="11"/>
        <v/>
      </c>
      <c r="V68" s="31" t="str">
        <f t="shared" si="14"/>
        <v/>
      </c>
      <c r="W68" s="19"/>
      <c r="X68" s="20" t="str">
        <f t="shared" si="15"/>
        <v xml:space="preserve">    - xform/》un(\d)//</v>
      </c>
      <c r="Y68" s="15"/>
      <c r="Z68" s="38"/>
      <c r="AL68" s="42"/>
      <c r="AU68" s="15"/>
    </row>
    <row r="69" spans="1:47" ht="27.75" thickBot="1">
      <c r="A69" s="66">
        <v>68</v>
      </c>
      <c r="B69" s="46" t="s">
        <v>715</v>
      </c>
      <c r="C69" s="48" t="s">
        <v>297</v>
      </c>
      <c r="D69" s="114" t="s">
        <v>297</v>
      </c>
      <c r="E69" s="114" t="s">
        <v>297</v>
      </c>
      <c r="F69" s="114" t="s">
        <v>297</v>
      </c>
      <c r="G69" s="114" t="s">
        <v>297</v>
      </c>
      <c r="H69" s="21" t="s">
        <v>299</v>
      </c>
      <c r="I69" s="21" t="s">
        <v>299</v>
      </c>
      <c r="J69" s="18" t="str">
        <f xml:space="preserve"> LEFT(韻母對照表69[[#This Row],[十五音識別碼]],1)</f>
        <v>艍</v>
      </c>
      <c r="K69" s="18" t="s">
        <v>296</v>
      </c>
      <c r="L69" s="18" t="s">
        <v>300</v>
      </c>
      <c r="M69" s="21"/>
      <c r="N69" s="18">
        <f t="shared" si="12"/>
        <v>1</v>
      </c>
      <c r="O69" s="25"/>
      <c r="P69" s="21" t="str">
        <f>C70</f>
        <v>ua</v>
      </c>
      <c r="Q69" s="21" t="str">
        <f>D70</f>
        <v xml:space="preserve">ua </v>
      </c>
      <c r="S69" s="31" t="str">
        <f t="shared" si="13"/>
        <v>ua(\d)</v>
      </c>
      <c r="T69" s="33" t="s">
        <v>701</v>
      </c>
      <c r="U69" s="33" t="str">
        <f t="shared" si="11"/>
        <v/>
      </c>
      <c r="V69" s="31" t="str">
        <f t="shared" si="14"/>
        <v/>
      </c>
      <c r="W69" s="19"/>
      <c r="X69" s="20" t="str">
        <f t="shared" si="15"/>
        <v xml:space="preserve">    - xform/》ua(\d)//</v>
      </c>
      <c r="Y69" s="15"/>
      <c r="Z69" s="38"/>
      <c r="AL69" s="42"/>
      <c r="AU69" s="15"/>
    </row>
    <row r="70" spans="1:47" ht="54.75" thickBot="1">
      <c r="A70" s="66">
        <v>69</v>
      </c>
      <c r="B70" s="46" t="s">
        <v>713</v>
      </c>
      <c r="C70" s="48" t="s">
        <v>215</v>
      </c>
      <c r="D70" s="114" t="s">
        <v>1944</v>
      </c>
      <c r="E70" s="114" t="s">
        <v>218</v>
      </c>
      <c r="F70" s="114" t="s">
        <v>215</v>
      </c>
      <c r="G70" s="114" t="s">
        <v>215</v>
      </c>
      <c r="H70" s="21" t="s">
        <v>217</v>
      </c>
      <c r="I70" s="21" t="s">
        <v>217</v>
      </c>
      <c r="J70" s="18" t="str">
        <f xml:space="preserve"> LEFT(韻母對照表69[[#This Row],[十五音識別碼]],1)</f>
        <v>瓜</v>
      </c>
      <c r="K70" s="18" t="s">
        <v>214</v>
      </c>
      <c r="L70" s="18" t="s">
        <v>219</v>
      </c>
      <c r="M70" s="21"/>
      <c r="N70" s="18">
        <f t="shared" si="12"/>
        <v>3</v>
      </c>
      <c r="O70" s="25"/>
      <c r="P70" s="21" t="str">
        <f>C77</f>
        <v>uang</v>
      </c>
      <c r="Q70" s="21" t="str">
        <f>D77</f>
        <v>uang</v>
      </c>
      <c r="S70" s="31" t="str">
        <f t="shared" si="13"/>
        <v>uang(\d)</v>
      </c>
      <c r="T70" s="33" t="s">
        <v>717</v>
      </c>
      <c r="U70" s="33" t="str">
        <f t="shared" si="11"/>
        <v/>
      </c>
      <c r="V70" s="31" t="str">
        <f t="shared" si="14"/>
        <v/>
      </c>
      <c r="W70" s="19"/>
      <c r="X70" s="20" t="str">
        <f t="shared" si="15"/>
        <v xml:space="preserve">    - xform/》uang(\d)//</v>
      </c>
      <c r="Y70" s="15"/>
      <c r="Z70" s="38"/>
      <c r="AL70" s="42"/>
      <c r="AU70" s="15"/>
    </row>
    <row r="71" spans="1:47" ht="27.75" thickBot="1">
      <c r="A71" s="66">
        <v>70</v>
      </c>
      <c r="B71" s="46" t="s">
        <v>1736</v>
      </c>
      <c r="C71" s="48" t="s">
        <v>222</v>
      </c>
      <c r="D71" s="114" t="s">
        <v>1945</v>
      </c>
      <c r="E71" s="114" t="s">
        <v>223</v>
      </c>
      <c r="F71" s="114" t="s">
        <v>222</v>
      </c>
      <c r="G71" s="114" t="s">
        <v>222</v>
      </c>
      <c r="H71" s="21" t="s">
        <v>1592</v>
      </c>
      <c r="I71" s="21" t="s">
        <v>1625</v>
      </c>
      <c r="J71" s="18" t="str">
        <f xml:space="preserve"> LEFT(韻母對照表69[[#This Row],[十五音識別碼]],1)</f>
        <v>瓜</v>
      </c>
      <c r="K71" s="18" t="s">
        <v>221</v>
      </c>
      <c r="L71" s="18" t="s">
        <v>224</v>
      </c>
      <c r="M71" s="21"/>
      <c r="N71" s="18">
        <f t="shared" si="12"/>
        <v>4</v>
      </c>
      <c r="O71" s="25"/>
      <c r="P71" s="21" t="str">
        <f>C72</f>
        <v>uai</v>
      </c>
      <c r="Q71" s="21" t="str">
        <f>D72</f>
        <v xml:space="preserve">uai </v>
      </c>
      <c r="S71" s="31" t="str">
        <f t="shared" si="13"/>
        <v>uai(\d)</v>
      </c>
      <c r="T71" s="33" t="s">
        <v>717</v>
      </c>
      <c r="U71" s="33">
        <f t="shared" si="11"/>
        <v>3</v>
      </c>
      <c r="V71" s="31" t="str">
        <f t="shared" si="14"/>
        <v>ua》i${1}</v>
      </c>
      <c r="W71" s="19"/>
      <c r="X71" s="20" t="str">
        <f t="shared" si="15"/>
        <v xml:space="preserve">    - xform/》uai(\d)/ua》i${1}/</v>
      </c>
      <c r="Y71" s="15"/>
      <c r="Z71" s="38"/>
      <c r="AL71" s="42"/>
      <c r="AU71" s="15"/>
    </row>
    <row r="72" spans="1:47" ht="27.75" thickBot="1">
      <c r="A72" s="66">
        <v>71</v>
      </c>
      <c r="B72" s="46" t="s">
        <v>708</v>
      </c>
      <c r="C72" s="48" t="s">
        <v>90</v>
      </c>
      <c r="D72" s="114" t="s">
        <v>1946</v>
      </c>
      <c r="E72" s="114" t="s">
        <v>93</v>
      </c>
      <c r="F72" s="114" t="s">
        <v>90</v>
      </c>
      <c r="G72" s="114" t="s">
        <v>90</v>
      </c>
      <c r="H72" s="21" t="s">
        <v>92</v>
      </c>
      <c r="I72" s="21" t="s">
        <v>92</v>
      </c>
      <c r="J72" s="18" t="str">
        <f xml:space="preserve"> LEFT(韻母對照表69[[#This Row],[十五音識別碼]],1)</f>
        <v>乖</v>
      </c>
      <c r="K72" s="18" t="s">
        <v>89</v>
      </c>
      <c r="L72" s="18" t="s">
        <v>94</v>
      </c>
      <c r="M72" s="21"/>
      <c r="N72" s="18">
        <f t="shared" si="12"/>
        <v>4</v>
      </c>
      <c r="O72" s="25"/>
      <c r="P72" s="21" t="str">
        <f>C80</f>
        <v>ue</v>
      </c>
      <c r="Q72" s="21" t="str">
        <f>D80</f>
        <v xml:space="preserve">ue </v>
      </c>
      <c r="S72" s="31" t="str">
        <f t="shared" si="13"/>
        <v>ue(\d)</v>
      </c>
      <c r="T72" s="33" t="s">
        <v>734</v>
      </c>
      <c r="U72" s="33" t="str">
        <f t="shared" si="11"/>
        <v/>
      </c>
      <c r="V72" s="31" t="str">
        <f t="shared" si="14"/>
        <v/>
      </c>
      <c r="W72" s="19"/>
      <c r="X72" s="20" t="str">
        <f t="shared" si="15"/>
        <v xml:space="preserve">    - xform/》ue(\d)//</v>
      </c>
      <c r="Y72" s="15"/>
      <c r="Z72" s="38"/>
      <c r="AL72" s="42"/>
      <c r="AU72" s="15"/>
    </row>
    <row r="73" spans="1:47" ht="27.75" thickBot="1">
      <c r="A73" s="66">
        <v>72</v>
      </c>
      <c r="B73" s="46" t="s">
        <v>1740</v>
      </c>
      <c r="C73" s="48" t="s">
        <v>97</v>
      </c>
      <c r="D73" s="114" t="s">
        <v>704</v>
      </c>
      <c r="E73" s="114" t="s">
        <v>98</v>
      </c>
      <c r="F73" s="114" t="s">
        <v>97</v>
      </c>
      <c r="G73" s="114" t="s">
        <v>97</v>
      </c>
      <c r="H73" s="21" t="s">
        <v>1594</v>
      </c>
      <c r="I73" s="21" t="s">
        <v>1613</v>
      </c>
      <c r="J73" s="18" t="str">
        <f xml:space="preserve"> LEFT(韻母對照表69[[#This Row],[十五音識別碼]],1)</f>
        <v>乖</v>
      </c>
      <c r="K73" s="18" t="s">
        <v>1692</v>
      </c>
      <c r="L73" s="18" t="s">
        <v>99</v>
      </c>
      <c r="M73" s="21"/>
      <c r="N73" s="18">
        <f t="shared" si="12"/>
        <v>4</v>
      </c>
      <c r="O73" s="25"/>
      <c r="P73" s="21" t="str">
        <f>C83</f>
        <v>ui</v>
      </c>
      <c r="Q73" s="21" t="str">
        <f>D83</f>
        <v xml:space="preserve">ui </v>
      </c>
      <c r="S73" s="31" t="str">
        <f xml:space="preserve"> _xlfn.CONCAT(P73, "(\d)")</f>
        <v>ui(\d)</v>
      </c>
      <c r="T73" s="33" t="s">
        <v>710</v>
      </c>
      <c r="U73" s="33" t="str">
        <f t="shared" si="11"/>
        <v/>
      </c>
      <c r="V73" s="31" t="str">
        <f xml:space="preserve"> IFERROR( _xlfn.CONCAT(LEFT(P73,U73-1), "》", MID(P73,U73,1), "${1}", RIGHT(P73, LEN(P73)-U73)), "" )</f>
        <v/>
      </c>
      <c r="W73" s="19"/>
      <c r="X73" s="20" t="str">
        <f xml:space="preserve"> IF(AND(Q73&lt;&gt;"", P73&lt;&gt;""), "    - xform/》" &amp; S73 &amp;  "/"  &amp; V73 &amp;  "/", "")</f>
        <v xml:space="preserve">    - xform/》ui(\d)//</v>
      </c>
      <c r="Y73" s="15"/>
      <c r="Z73" s="38"/>
      <c r="AL73" s="42"/>
      <c r="AU73" s="15"/>
    </row>
    <row r="74" spans="1:47" ht="54.75" thickBot="1">
      <c r="A74" s="66">
        <v>73</v>
      </c>
      <c r="B74" s="46" t="s">
        <v>1739</v>
      </c>
      <c r="C74" s="48" t="s">
        <v>428</v>
      </c>
      <c r="D74" s="114" t="s">
        <v>1947</v>
      </c>
      <c r="E74" s="114" t="s">
        <v>429</v>
      </c>
      <c r="F74" s="114" t="s">
        <v>428</v>
      </c>
      <c r="G74" s="114" t="s">
        <v>430</v>
      </c>
      <c r="H74" s="21" t="s">
        <v>427</v>
      </c>
      <c r="I74" s="21" t="s">
        <v>1650</v>
      </c>
      <c r="J74" s="18" t="str">
        <f xml:space="preserve"> LEFT(韻母對照表69[[#This Row],[十五音識別碼]],1)</f>
        <v>閂</v>
      </c>
      <c r="K74" s="18" t="s">
        <v>425</v>
      </c>
      <c r="L74" s="18" t="s">
        <v>431</v>
      </c>
      <c r="M74" s="44" t="s">
        <v>739</v>
      </c>
      <c r="N74" s="18">
        <f t="shared" si="12"/>
        <v>6</v>
      </c>
      <c r="O74" s="25"/>
      <c r="P74" s="21" t="str">
        <f>C81</f>
        <v>ueh</v>
      </c>
      <c r="Q74" s="21" t="str">
        <f>D81</f>
        <v xml:space="preserve">ueh </v>
      </c>
      <c r="S74" s="31" t="str">
        <f t="shared" si="13"/>
        <v>ueh(\d)</v>
      </c>
      <c r="T74" s="33" t="s">
        <v>710</v>
      </c>
      <c r="U74" s="33" t="str">
        <f t="shared" si="11"/>
        <v/>
      </c>
      <c r="V74" s="31" t="str">
        <f t="shared" si="14"/>
        <v/>
      </c>
      <c r="W74" s="19"/>
      <c r="X74" s="20" t="str">
        <f t="shared" si="15"/>
        <v xml:space="preserve">    - xform/》ueh(\d)//</v>
      </c>
      <c r="Y74" s="15"/>
      <c r="Z74" s="38"/>
      <c r="AL74" s="42"/>
      <c r="AU74" s="15"/>
    </row>
    <row r="75" spans="1:47" ht="54.75" thickBot="1">
      <c r="A75" s="66">
        <v>74</v>
      </c>
      <c r="B75" s="46" t="s">
        <v>1741</v>
      </c>
      <c r="C75" s="48" t="s">
        <v>433</v>
      </c>
      <c r="D75" s="114" t="s">
        <v>722</v>
      </c>
      <c r="E75" s="114" t="s">
        <v>657</v>
      </c>
      <c r="F75" s="114" t="s">
        <v>433</v>
      </c>
      <c r="G75" s="115" t="s">
        <v>722</v>
      </c>
      <c r="H75" s="21" t="s">
        <v>1595</v>
      </c>
      <c r="I75" s="21" t="s">
        <v>1651</v>
      </c>
      <c r="J75" s="18" t="str">
        <f xml:space="preserve"> LEFT(韻母對照表69[[#This Row],[十五音識別碼]],1)</f>
        <v>閂</v>
      </c>
      <c r="K75" s="18" t="s">
        <v>432</v>
      </c>
      <c r="L75" s="18" t="s">
        <v>434</v>
      </c>
      <c r="M75" s="44" t="s">
        <v>739</v>
      </c>
      <c r="N75" s="18">
        <f t="shared" si="12"/>
        <v>6</v>
      </c>
      <c r="O75" s="25"/>
      <c r="P75" s="21" t="str">
        <f>C85</f>
        <v>uinn</v>
      </c>
      <c r="Q75" s="21" t="str">
        <f>D85</f>
        <v>uinn</v>
      </c>
      <c r="S75" s="31" t="str">
        <f t="shared" si="13"/>
        <v>uinn(\d)</v>
      </c>
      <c r="T75" s="33" t="s">
        <v>710</v>
      </c>
      <c r="U75" s="33" t="str">
        <f t="shared" si="11"/>
        <v/>
      </c>
      <c r="V75" s="31" t="str">
        <f t="shared" si="14"/>
        <v/>
      </c>
      <c r="W75" s="19"/>
      <c r="X75" s="20" t="str">
        <f t="shared" si="15"/>
        <v xml:space="preserve">    - xform/》uinn(\d)//</v>
      </c>
      <c r="Y75" s="15"/>
      <c r="Z75" s="38"/>
      <c r="AL75" s="42"/>
      <c r="AU75" s="15"/>
    </row>
    <row r="76" spans="1:47" ht="54.75" thickBot="1">
      <c r="A76" s="66">
        <v>75</v>
      </c>
      <c r="B76" s="46" t="s">
        <v>709</v>
      </c>
      <c r="C76" s="48" t="s">
        <v>116</v>
      </c>
      <c r="D76" s="114" t="s">
        <v>1948</v>
      </c>
      <c r="E76" s="114" t="s">
        <v>119</v>
      </c>
      <c r="F76" s="114" t="s">
        <v>116</v>
      </c>
      <c r="G76" s="114" t="s">
        <v>116</v>
      </c>
      <c r="H76" s="21" t="s">
        <v>118</v>
      </c>
      <c r="I76" s="21" t="s">
        <v>118</v>
      </c>
      <c r="J76" s="18" t="str">
        <f xml:space="preserve"> LEFT(韻母對照表69[[#This Row],[十五音識別碼]],1)</f>
        <v>觀</v>
      </c>
      <c r="K76" s="18" t="s">
        <v>115</v>
      </c>
      <c r="L76" s="18" t="s">
        <v>120</v>
      </c>
      <c r="M76" s="21"/>
      <c r="N76" s="18">
        <f t="shared" si="12"/>
        <v>4</v>
      </c>
      <c r="O76" s="25"/>
      <c r="P76" s="21" t="str">
        <f>C74</f>
        <v>uainn</v>
      </c>
      <c r="Q76" s="21" t="str">
        <f>D74</f>
        <v xml:space="preserve">uainn </v>
      </c>
      <c r="S76" s="31" t="str">
        <f t="shared" si="13"/>
        <v>uainn(\d)</v>
      </c>
      <c r="T76" s="33" t="s">
        <v>717</v>
      </c>
      <c r="U76" s="33">
        <f t="shared" si="11"/>
        <v>3</v>
      </c>
      <c r="V76" s="31" t="str">
        <f t="shared" si="14"/>
        <v>ua》i${1}nn</v>
      </c>
      <c r="W76" s="19"/>
      <c r="X76" s="20" t="str">
        <f t="shared" si="15"/>
        <v xml:space="preserve">    - xform/》uainn(\d)/ua》i${1}nn/</v>
      </c>
      <c r="Y76" s="15"/>
      <c r="Z76" s="38"/>
      <c r="AL76" s="42"/>
      <c r="AU76" s="15"/>
    </row>
    <row r="77" spans="1:47" ht="54.75" thickBot="1">
      <c r="A77" s="66">
        <v>76</v>
      </c>
      <c r="B77" s="46" t="s">
        <v>1737</v>
      </c>
      <c r="C77" s="48" t="s">
        <v>418</v>
      </c>
      <c r="D77" s="114" t="s">
        <v>718</v>
      </c>
      <c r="E77" s="114" t="s">
        <v>419</v>
      </c>
      <c r="F77" s="114" t="s">
        <v>418</v>
      </c>
      <c r="G77" s="114" t="s">
        <v>418</v>
      </c>
      <c r="H77" s="21" t="s">
        <v>1593</v>
      </c>
      <c r="I77" s="21" t="s">
        <v>1593</v>
      </c>
      <c r="J77" s="18" t="str">
        <f xml:space="preserve"> LEFT(韻母對照表69[[#This Row],[十五音識別碼]],1)</f>
        <v>光</v>
      </c>
      <c r="K77" s="18" t="s">
        <v>415</v>
      </c>
      <c r="L77" s="18" t="s">
        <v>420</v>
      </c>
      <c r="M77" s="21"/>
      <c r="N77" s="18">
        <f t="shared" si="12"/>
        <v>4</v>
      </c>
      <c r="O77" s="25"/>
      <c r="P77" s="21" t="str">
        <f>C73</f>
        <v>uaih</v>
      </c>
      <c r="Q77" s="21" t="str">
        <f>D73</f>
        <v>uaih</v>
      </c>
      <c r="S77" s="31" t="str">
        <f t="shared" si="13"/>
        <v>uaih(\d)</v>
      </c>
      <c r="T77" s="33" t="s">
        <v>717</v>
      </c>
      <c r="U77" s="33">
        <f t="shared" si="11"/>
        <v>3</v>
      </c>
      <c r="V77" s="31" t="str">
        <f t="shared" si="14"/>
        <v>ua》i${1}h</v>
      </c>
      <c r="W77" s="19"/>
      <c r="X77" s="20" t="str">
        <f t="shared" si="15"/>
        <v xml:space="preserve">    - xform/》uaih(\d)/ua》i${1}h/</v>
      </c>
      <c r="Y77" s="15"/>
      <c r="Z77" s="38"/>
      <c r="AL77" s="42"/>
      <c r="AU77" s="15"/>
    </row>
    <row r="78" spans="1:47" ht="54.75" thickBot="1">
      <c r="A78" s="66">
        <v>77</v>
      </c>
      <c r="B78" s="46" t="s">
        <v>1735</v>
      </c>
      <c r="C78" s="48" t="s">
        <v>381</v>
      </c>
      <c r="D78" s="114" t="s">
        <v>1949</v>
      </c>
      <c r="E78" s="114" t="s">
        <v>382</v>
      </c>
      <c r="F78" s="114" t="s">
        <v>381</v>
      </c>
      <c r="G78" s="114" t="s">
        <v>383</v>
      </c>
      <c r="H78" s="21" t="s">
        <v>380</v>
      </c>
      <c r="I78" s="21" t="s">
        <v>1646</v>
      </c>
      <c r="J78" s="18" t="str">
        <f xml:space="preserve"> LEFT(韻母對照表69[[#This Row],[十五音識別碼]],1)</f>
        <v>官</v>
      </c>
      <c r="K78" s="18" t="s">
        <v>378</v>
      </c>
      <c r="L78" s="18" t="s">
        <v>384</v>
      </c>
      <c r="M78" s="21"/>
      <c r="N78" s="18">
        <f t="shared" si="12"/>
        <v>5</v>
      </c>
      <c r="O78" s="25"/>
      <c r="P78" s="21" t="str">
        <f>C79</f>
        <v>uat</v>
      </c>
      <c r="Q78" s="21" t="str">
        <f>D79</f>
        <v xml:space="preserve">uat </v>
      </c>
      <c r="S78" s="31" t="str">
        <f t="shared" si="13"/>
        <v>uat(\d)</v>
      </c>
      <c r="T78" s="33" t="s">
        <v>717</v>
      </c>
      <c r="U78" s="33" t="str">
        <f t="shared" si="11"/>
        <v/>
      </c>
      <c r="V78" s="31" t="str">
        <f t="shared" si="14"/>
        <v/>
      </c>
      <c r="W78" s="19"/>
      <c r="X78" s="20" t="str">
        <f t="shared" si="15"/>
        <v xml:space="preserve">    - xform/》uat(\d)//</v>
      </c>
      <c r="Y78" s="15"/>
      <c r="Z78" s="38"/>
      <c r="AL78" s="42"/>
      <c r="AU78" s="15"/>
    </row>
    <row r="79" spans="1:47" ht="81.75" thickBot="1">
      <c r="A79" s="66">
        <v>78</v>
      </c>
      <c r="B79" s="46" t="s">
        <v>1738</v>
      </c>
      <c r="C79" s="48" t="s">
        <v>125</v>
      </c>
      <c r="D79" s="114" t="s">
        <v>1950</v>
      </c>
      <c r="E79" s="114" t="s">
        <v>126</v>
      </c>
      <c r="F79" s="114" t="s">
        <v>125</v>
      </c>
      <c r="G79" s="114" t="s">
        <v>125</v>
      </c>
      <c r="H79" s="21" t="s">
        <v>124</v>
      </c>
      <c r="I79" s="21" t="s">
        <v>1615</v>
      </c>
      <c r="J79" s="18" t="str">
        <f xml:space="preserve"> LEFT(韻母對照表69[[#This Row],[十五音識別碼]],1)</f>
        <v>觀</v>
      </c>
      <c r="K79" s="18" t="s">
        <v>122</v>
      </c>
      <c r="L79" s="18" t="s">
        <v>127</v>
      </c>
      <c r="M79" s="21"/>
      <c r="N79" s="18">
        <f t="shared" si="12"/>
        <v>4</v>
      </c>
      <c r="O79" s="25"/>
      <c r="P79" s="21" t="str">
        <f>C75</f>
        <v>uainnh</v>
      </c>
      <c r="Q79" s="21" t="str">
        <f>D75</f>
        <v>uainnh</v>
      </c>
      <c r="S79" s="31" t="str">
        <f t="shared" si="13"/>
        <v>uainnh(\d)</v>
      </c>
      <c r="T79" s="33" t="s">
        <v>735</v>
      </c>
      <c r="U79" s="33" t="str">
        <f t="shared" si="11"/>
        <v/>
      </c>
      <c r="V79" s="31" t="str">
        <f t="shared" si="14"/>
        <v/>
      </c>
      <c r="W79" s="19"/>
      <c r="X79" s="20" t="str">
        <f t="shared" si="15"/>
        <v xml:space="preserve">    - xform/》uainnh(\d)//</v>
      </c>
      <c r="Y79" s="15"/>
      <c r="Z79" s="38"/>
      <c r="AL79" s="42"/>
      <c r="AU79" s="15"/>
    </row>
    <row r="80" spans="1:47" ht="54.75" thickBot="1">
      <c r="A80" s="66">
        <v>79</v>
      </c>
      <c r="B80" s="46" t="s">
        <v>714</v>
      </c>
      <c r="C80" s="48" t="s">
        <v>275</v>
      </c>
      <c r="D80" s="114" t="s">
        <v>1951</v>
      </c>
      <c r="E80" s="114" t="s">
        <v>276</v>
      </c>
      <c r="F80" s="114" t="s">
        <v>275</v>
      </c>
      <c r="G80" s="114" t="s">
        <v>275</v>
      </c>
      <c r="H80" s="21" t="s">
        <v>274</v>
      </c>
      <c r="I80" s="21" t="s">
        <v>1631</v>
      </c>
      <c r="J80" s="18" t="str">
        <f xml:space="preserve"> LEFT(韻母對照表69[[#This Row],[十五音識別碼]],1)</f>
        <v>檜</v>
      </c>
      <c r="K80" s="18" t="s">
        <v>272</v>
      </c>
      <c r="L80" s="18" t="s">
        <v>277</v>
      </c>
      <c r="M80" s="21"/>
      <c r="N80" s="18">
        <f t="shared" si="12"/>
        <v>3</v>
      </c>
      <c r="O80" s="25"/>
      <c r="P80" s="21" t="str">
        <f>C84</f>
        <v>uih</v>
      </c>
      <c r="Q80" s="21" t="str">
        <f>D84</f>
        <v>uih</v>
      </c>
      <c r="S80" s="31" t="str">
        <f t="shared" si="13"/>
        <v>uih(\d)</v>
      </c>
      <c r="T80" s="33" t="s">
        <v>710</v>
      </c>
      <c r="U80" s="33" t="str">
        <f t="shared" si="11"/>
        <v/>
      </c>
      <c r="V80" s="31" t="str">
        <f t="shared" si="14"/>
        <v/>
      </c>
      <c r="W80" s="19"/>
      <c r="X80" s="20" t="str">
        <f t="shared" si="15"/>
        <v xml:space="preserve">    - xform/》uih(\d)//</v>
      </c>
      <c r="Y80" s="15"/>
      <c r="Z80" s="38"/>
      <c r="AL80" s="42"/>
      <c r="AU80" s="15"/>
    </row>
    <row r="81" spans="1:47" ht="27.75" thickBot="1">
      <c r="A81" s="66">
        <v>80</v>
      </c>
      <c r="B81" s="46" t="s">
        <v>724</v>
      </c>
      <c r="C81" s="48" t="s">
        <v>280</v>
      </c>
      <c r="D81" s="114" t="s">
        <v>1952</v>
      </c>
      <c r="E81" s="114" t="s">
        <v>281</v>
      </c>
      <c r="F81" s="114" t="s">
        <v>280</v>
      </c>
      <c r="G81" s="114" t="s">
        <v>280</v>
      </c>
      <c r="H81" s="21" t="s">
        <v>1596</v>
      </c>
      <c r="I81" s="21" t="s">
        <v>1632</v>
      </c>
      <c r="J81" s="18" t="str">
        <f xml:space="preserve"> LEFT(韻母對照表69[[#This Row],[十五音識別碼]],1)</f>
        <v>檜</v>
      </c>
      <c r="K81" s="18" t="s">
        <v>279</v>
      </c>
      <c r="L81" s="18" t="s">
        <v>282</v>
      </c>
      <c r="M81" s="21"/>
      <c r="N81" s="18">
        <f t="shared" si="12"/>
        <v>4</v>
      </c>
      <c r="O81" s="25"/>
      <c r="P81" s="21" t="str">
        <f>C55</f>
        <v>m</v>
      </c>
      <c r="Q81" s="21" t="str">
        <f>D55</f>
        <v>m</v>
      </c>
      <c r="S81" s="31" t="str">
        <f t="shared" si="13"/>
        <v>m(\d)</v>
      </c>
      <c r="T81" s="33" t="s">
        <v>715</v>
      </c>
      <c r="U81" s="33" t="str">
        <f t="shared" si="11"/>
        <v/>
      </c>
      <c r="V81" s="31" t="str">
        <f t="shared" si="14"/>
        <v/>
      </c>
      <c r="W81" s="19"/>
      <c r="X81" s="20" t="str">
        <f t="shared" si="15"/>
        <v xml:space="preserve">    - xform/》m(\d)//</v>
      </c>
      <c r="Y81" s="15"/>
      <c r="Z81" s="38"/>
      <c r="AL81" s="42"/>
      <c r="AU81" s="15"/>
    </row>
    <row r="82" spans="1:47" ht="54.75" thickBot="1">
      <c r="A82" s="66">
        <v>81</v>
      </c>
      <c r="B82" s="46" t="s">
        <v>1715</v>
      </c>
      <c r="C82" s="48" t="s">
        <v>302</v>
      </c>
      <c r="D82" s="114" t="s">
        <v>1953</v>
      </c>
      <c r="E82" s="114" t="s">
        <v>302</v>
      </c>
      <c r="F82" s="114" t="s">
        <v>302</v>
      </c>
      <c r="G82" s="114" t="s">
        <v>302</v>
      </c>
      <c r="H82" s="21" t="s">
        <v>1591</v>
      </c>
      <c r="I82" s="21" t="s">
        <v>1635</v>
      </c>
      <c r="J82" s="18" t="str">
        <f xml:space="preserve"> LEFT(韻母對照表69[[#This Row],[十五音識別碼]],1)</f>
        <v>艍</v>
      </c>
      <c r="K82" s="18" t="s">
        <v>301</v>
      </c>
      <c r="L82" s="18" t="s">
        <v>303</v>
      </c>
      <c r="M82" s="21"/>
      <c r="N82" s="18">
        <f t="shared" si="12"/>
        <v>3</v>
      </c>
      <c r="O82" s="25"/>
      <c r="P82" s="21" t="str">
        <f>C78</f>
        <v>uann</v>
      </c>
      <c r="Q82" s="21" t="str">
        <f>D78</f>
        <v xml:space="preserve">uann </v>
      </c>
      <c r="S82" s="31" t="str">
        <f t="shared" si="13"/>
        <v>uann(\d)</v>
      </c>
      <c r="T82" s="33" t="s">
        <v>717</v>
      </c>
      <c r="U82" s="33" t="str">
        <f t="shared" si="11"/>
        <v/>
      </c>
      <c r="V82" s="31" t="str">
        <f t="shared" si="14"/>
        <v/>
      </c>
      <c r="W82" s="19"/>
      <c r="X82" s="20" t="str">
        <f t="shared" si="15"/>
        <v xml:space="preserve">    - xform/》uann(\d)//</v>
      </c>
      <c r="Y82" s="15"/>
      <c r="Z82" s="38"/>
      <c r="AL82" s="42"/>
      <c r="AU82" s="15"/>
    </row>
    <row r="83" spans="1:47" ht="54.75" thickBot="1">
      <c r="A83" s="66">
        <v>82</v>
      </c>
      <c r="B83" s="46" t="s">
        <v>1718</v>
      </c>
      <c r="C83" s="48" t="s">
        <v>46</v>
      </c>
      <c r="D83" s="114" t="s">
        <v>1954</v>
      </c>
      <c r="E83" s="114" t="s">
        <v>46</v>
      </c>
      <c r="F83" s="114" t="s">
        <v>46</v>
      </c>
      <c r="G83" s="114" t="s">
        <v>46</v>
      </c>
      <c r="H83" s="21" t="s">
        <v>48</v>
      </c>
      <c r="I83" s="21" t="s">
        <v>48</v>
      </c>
      <c r="J83" s="18" t="str">
        <f xml:space="preserve"> LEFT(韻母對照表69[[#This Row],[十五音識別碼]],1)</f>
        <v>規</v>
      </c>
      <c r="K83" s="18" t="s">
        <v>45</v>
      </c>
      <c r="L83" s="18" t="s">
        <v>49</v>
      </c>
      <c r="M83" s="21"/>
      <c r="N83" s="18">
        <f t="shared" si="12"/>
        <v>3</v>
      </c>
      <c r="O83" s="25"/>
      <c r="P83" s="21" t="str">
        <f>C56</f>
        <v>mh</v>
      </c>
      <c r="Q83" s="21" t="str">
        <f>D56</f>
        <v xml:space="preserve">mh </v>
      </c>
      <c r="S83" s="31" t="str">
        <f xml:space="preserve"> _xlfn.CONCAT(P83, "(\d)")</f>
        <v>mh(\d)</v>
      </c>
      <c r="T83" s="33" t="s">
        <v>715</v>
      </c>
      <c r="U83" s="33" t="str">
        <f t="shared" si="11"/>
        <v/>
      </c>
      <c r="V83" s="31" t="str">
        <f xml:space="preserve"> IFERROR( _xlfn.CONCAT(LEFT(P83,U83-1), "》", MID(P83,U83,1), "${1}", RIGHT(P83, LEN(P83)-U83)), "" )</f>
        <v/>
      </c>
      <c r="W83" s="19"/>
      <c r="X83" s="20" t="str">
        <f xml:space="preserve"> IF(AND(Q83&lt;&gt;"", P83&lt;&gt;""), "    - xform/》" &amp; S83 &amp;  "/"  &amp; V83 &amp;  "/", "")</f>
        <v xml:space="preserve">    - xform/》mh(\d)//</v>
      </c>
      <c r="Y83" s="15"/>
      <c r="Z83" s="38"/>
      <c r="AL83" s="42"/>
      <c r="AU83" s="15"/>
    </row>
    <row r="84" spans="1:47" ht="54.75" thickBot="1">
      <c r="A84" s="66">
        <v>83</v>
      </c>
      <c r="B84" s="46" t="s">
        <v>1720</v>
      </c>
      <c r="C84" s="48" t="s">
        <v>1537</v>
      </c>
      <c r="D84" s="115" t="s">
        <v>1572</v>
      </c>
      <c r="E84" s="115" t="s">
        <v>1572</v>
      </c>
      <c r="F84" s="115" t="s">
        <v>1572</v>
      </c>
      <c r="G84" s="115" t="s">
        <v>1572</v>
      </c>
      <c r="H84" s="50" t="s">
        <v>1566</v>
      </c>
      <c r="I84" s="50" t="s">
        <v>1764</v>
      </c>
      <c r="J84" s="18" t="str">
        <f xml:space="preserve"> LEFT(韻母對照表69[[#This Row],[十五音識別碼]],1)</f>
        <v>褌</v>
      </c>
      <c r="K84" s="18" t="s">
        <v>1692</v>
      </c>
      <c r="L84" s="52" t="s">
        <v>1575</v>
      </c>
      <c r="M84" s="44" t="s">
        <v>739</v>
      </c>
      <c r="N84" s="18">
        <f t="shared" si="12"/>
        <v>3</v>
      </c>
      <c r="O84" s="25"/>
      <c r="P84" s="21" t="str">
        <f>C58</f>
        <v>ngh</v>
      </c>
      <c r="Q84" s="21" t="str">
        <f>D58</f>
        <v>ngh</v>
      </c>
      <c r="S84" s="31" t="str">
        <f xml:space="preserve"> _xlfn.CONCAT(P84, "(\d)")</f>
        <v>ngh(\d)</v>
      </c>
      <c r="T84" s="33" t="s">
        <v>715</v>
      </c>
      <c r="U84" s="33" t="str">
        <f t="shared" si="11"/>
        <v/>
      </c>
      <c r="V84" s="31" t="str">
        <f xml:space="preserve"> IFERROR( _xlfn.CONCAT(LEFT(P84,U84-1), "》", MID(P84,U84,1), "${1}", RIGHT(P84, LEN(P84)-U84)), "" )</f>
        <v/>
      </c>
      <c r="W84" s="19"/>
      <c r="X84" s="20" t="str">
        <f xml:space="preserve"> IF(AND(Q84&lt;&gt;"", P84&lt;&gt;""), "    - xform/》" &amp; S84 &amp;  "/"  &amp; V84 &amp;  "/", "")</f>
        <v xml:space="preserve">    - xform/》ngh(\d)//</v>
      </c>
      <c r="Y84" s="15"/>
      <c r="Z84" s="38"/>
      <c r="AL84" s="42"/>
      <c r="AU84" s="15"/>
    </row>
    <row r="85" spans="1:47" ht="27.75" thickBot="1">
      <c r="A85" s="66">
        <v>84</v>
      </c>
      <c r="B85" s="46" t="s">
        <v>1719</v>
      </c>
      <c r="C85" s="48" t="s">
        <v>338</v>
      </c>
      <c r="D85" s="114" t="s">
        <v>1956</v>
      </c>
      <c r="E85" s="114" t="s">
        <v>339</v>
      </c>
      <c r="F85" s="114" t="s">
        <v>338</v>
      </c>
      <c r="G85" s="114" t="s">
        <v>340</v>
      </c>
      <c r="H85" s="21" t="s">
        <v>337</v>
      </c>
      <c r="I85" s="21" t="s">
        <v>1640</v>
      </c>
      <c r="J85" s="18" t="str">
        <f xml:space="preserve"> LEFT(韻母對照表69[[#This Row],[十五音識別碼]],1)</f>
        <v>褌</v>
      </c>
      <c r="K85" s="18" t="s">
        <v>335</v>
      </c>
      <c r="L85" s="18" t="s">
        <v>341</v>
      </c>
      <c r="M85" s="21"/>
      <c r="N85" s="18">
        <f t="shared" si="12"/>
        <v>4</v>
      </c>
      <c r="O85" s="25"/>
      <c r="P85" s="21" t="str">
        <f>C57</f>
        <v>ng</v>
      </c>
      <c r="Q85" s="21" t="str">
        <f>D57</f>
        <v xml:space="preserve">ng </v>
      </c>
      <c r="S85" s="31" t="str">
        <f xml:space="preserve"> _xlfn.CONCAT(P85, "(\d)")</f>
        <v>ng(\d)</v>
      </c>
      <c r="T85" s="33" t="s">
        <v>715</v>
      </c>
      <c r="U85" s="33" t="str">
        <f t="shared" si="11"/>
        <v/>
      </c>
      <c r="V85" s="31" t="str">
        <f xml:space="preserve"> IFERROR( _xlfn.CONCAT(LEFT(P85,U85-1), "》", MID(P85,U85,1), "${1}", RIGHT(P85, LEN(P85)-U85)), "" )</f>
        <v/>
      </c>
      <c r="W85" s="19"/>
      <c r="X85" s="20" t="str">
        <f xml:space="preserve"> IF(AND(Q85&lt;&gt;"", P85&lt;&gt;""), "    - xform/》" &amp; S85 &amp;  "/"  &amp; V85 &amp;  "/", "")</f>
        <v xml:space="preserve">    - xform/》ng(\d)//</v>
      </c>
      <c r="Y85" s="15"/>
      <c r="Z85" s="38"/>
      <c r="AL85" s="42"/>
      <c r="AU85" s="15"/>
    </row>
    <row r="86" spans="1:47" ht="54.75" thickBot="1">
      <c r="A86" s="66">
        <v>85</v>
      </c>
      <c r="B86" s="46" t="s">
        <v>1716</v>
      </c>
      <c r="C86" s="48" t="s">
        <v>12</v>
      </c>
      <c r="D86" s="114" t="s">
        <v>12</v>
      </c>
      <c r="E86" s="114" t="s">
        <v>12</v>
      </c>
      <c r="F86" s="114" t="s">
        <v>12</v>
      </c>
      <c r="G86" s="114" t="s">
        <v>12</v>
      </c>
      <c r="H86" s="21" t="s">
        <v>14</v>
      </c>
      <c r="I86" s="21" t="s">
        <v>14</v>
      </c>
      <c r="J86" s="18" t="str">
        <f xml:space="preserve"> LEFT(韻母對照表69[[#This Row],[十五音識別碼]],1)</f>
        <v>君</v>
      </c>
      <c r="K86" s="18" t="s">
        <v>11</v>
      </c>
      <c r="L86" s="18" t="s">
        <v>15</v>
      </c>
      <c r="M86" s="21"/>
      <c r="N86" s="18">
        <f t="shared" si="12"/>
        <v>2</v>
      </c>
      <c r="O86" s="25"/>
      <c r="P86" s="21" t="str">
        <f>C71</f>
        <v>uah</v>
      </c>
      <c r="Q86" s="21" t="str">
        <f>D71</f>
        <v xml:space="preserve">uah </v>
      </c>
      <c r="S86" s="31" t="str">
        <f t="shared" ref="S86:S87" si="16" xml:space="preserve"> _xlfn.CONCAT(P86, "(\d)")</f>
        <v>uah(\d)</v>
      </c>
      <c r="T86" s="33" t="s">
        <v>717</v>
      </c>
      <c r="U86" s="33" t="str">
        <f t="shared" ref="U86:U87" si="17" xml:space="preserve"> IFERROR( IF(T86="", "", SEARCH(T86, $P86)), "")</f>
        <v/>
      </c>
      <c r="V86" s="31" t="str">
        <f t="shared" si="14"/>
        <v/>
      </c>
      <c r="W86" s="19"/>
      <c r="X86" s="20" t="str">
        <f t="shared" ref="X86:X87" si="18" xml:space="preserve"> IF(AND(Q86&lt;&gt;"", P86&lt;&gt;""), "    - xform/》" &amp; S86 &amp;  "/"  &amp; V86 &amp;  "/", "")</f>
        <v xml:space="preserve">    - xform/》uah(\d)//</v>
      </c>
      <c r="Y86" s="15"/>
      <c r="Z86" s="38"/>
      <c r="AL86" s="42"/>
      <c r="AU86" s="15"/>
    </row>
    <row r="87" spans="1:47" ht="54.75" thickBot="1">
      <c r="A87" s="66">
        <v>86</v>
      </c>
      <c r="B87" s="46" t="s">
        <v>1717</v>
      </c>
      <c r="C87" s="48" t="s">
        <v>19</v>
      </c>
      <c r="D87" s="114" t="s">
        <v>1955</v>
      </c>
      <c r="E87" s="114" t="s">
        <v>19</v>
      </c>
      <c r="F87" s="114" t="s">
        <v>19</v>
      </c>
      <c r="G87" s="114" t="s">
        <v>19</v>
      </c>
      <c r="H87" s="21" t="s">
        <v>18</v>
      </c>
      <c r="I87" s="21" t="s">
        <v>1605</v>
      </c>
      <c r="J87" s="18" t="str">
        <f xml:space="preserve"> LEFT(韻母對照表69[[#This Row],[十五音識別碼]],1)</f>
        <v>君</v>
      </c>
      <c r="K87" s="18" t="s">
        <v>17</v>
      </c>
      <c r="L87" s="18" t="s">
        <v>20</v>
      </c>
      <c r="M87" s="21"/>
      <c r="N87" s="18">
        <f t="shared" si="12"/>
        <v>3</v>
      </c>
      <c r="O87" s="25"/>
      <c r="P87" s="21" t="str">
        <f>C76</f>
        <v>uan</v>
      </c>
      <c r="Q87" s="21" t="str">
        <f>D76</f>
        <v xml:space="preserve">uan </v>
      </c>
      <c r="S87" s="31" t="str">
        <f t="shared" si="16"/>
        <v>uan(\d)</v>
      </c>
      <c r="T87" s="33" t="s">
        <v>717</v>
      </c>
      <c r="U87" s="33" t="str">
        <f t="shared" si="17"/>
        <v/>
      </c>
      <c r="V87" s="31" t="str">
        <f t="shared" si="14"/>
        <v/>
      </c>
      <c r="W87" s="19"/>
      <c r="X87" s="20" t="str">
        <f t="shared" si="18"/>
        <v xml:space="preserve">    - xform/》uan(\d)//</v>
      </c>
      <c r="Y87" s="15"/>
      <c r="Z87" s="38"/>
      <c r="AL87" s="42"/>
      <c r="AU87" s="15"/>
    </row>
  </sheetData>
  <phoneticPr fontId="3" type="noConversion"/>
  <conditionalFormatting sqref="D2:D87 F2:F87">
    <cfRule type="expression" dxfId="1" priority="2">
      <formula>$F2&lt;&gt;$C2</formula>
    </cfRule>
  </conditionalFormatting>
  <conditionalFormatting sqref="E2:E87">
    <cfRule type="expression" dxfId="0" priority="1">
      <formula>$F2&lt;&gt;$C2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聲表</vt:lpstr>
      <vt:lpstr>韻表</vt:lpstr>
      <vt:lpstr>調表</vt:lpstr>
      <vt:lpstr>音調符號</vt:lpstr>
      <vt:lpstr>台羅國際音標對照表</vt:lpstr>
      <vt:lpstr>台羅韻母列表</vt:lpstr>
      <vt:lpstr>台羅韻母清單</vt:lpstr>
      <vt:lpstr>【聲】排序表</vt:lpstr>
      <vt:lpstr>【十五音】韻母對照表</vt:lpstr>
      <vt:lpstr>IPA音節表</vt:lpstr>
      <vt:lpstr>對照表【工作稿】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2026-03-12T11:06:03Z</dcterms:created>
  <dcterms:modified xsi:type="dcterms:W3CDTF">2026-10-18T06:20:04Z</dcterms:modified>
</cp:coreProperties>
</file>