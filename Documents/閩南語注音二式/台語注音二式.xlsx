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Documents\閩南語注音二式\"/>
    </mc:Choice>
  </mc:AlternateContent>
  <xr:revisionPtr revIDLastSave="0" documentId="13_ncr:1_{9A8D1553-091E-46B3-871B-F69E81FCABDF}" xr6:coauthVersionLast="47" xr6:coauthVersionMax="47" xr10:uidLastSave="{00000000-0000-0000-0000-000000000000}"/>
  <bookViews>
    <workbookView xWindow="-120" yWindow="-120" windowWidth="29040" windowHeight="15720" tabRatio="869" firstSheet="1" activeTab="17" xr2:uid="{B4E892DE-B6D3-466A-857D-93FA58C14323}"/>
  </bookViews>
  <sheets>
    <sheet name="聲母與韻母清單【台語注音二式】 (2)" sheetId="25" r:id="rId1"/>
    <sheet name="聲母" sheetId="17" r:id="rId2"/>
    <sheet name="韻母" sheetId="18" r:id="rId3"/>
    <sheet name="聲母列表" sheetId="23" r:id="rId4"/>
    <sheet name="聲母列表 (2)" sheetId="24" r:id="rId5"/>
    <sheet name="韻母列表" sheetId="22" r:id="rId6"/>
    <sheet name="十五音聲母對照表" sheetId="2" r:id="rId7"/>
    <sheet name="台羅音節表" sheetId="19" r:id="rId8"/>
    <sheet name="十五音韻母對照表" sheetId="3" r:id="rId9"/>
    <sheet name="聲調對照表" sheetId="4" r:id="rId10"/>
    <sheet name="台語注音二式-音節表" sheetId="7" r:id="rId11"/>
    <sheet name="台語注音二式編碼表" sheetId="12" r:id="rId12"/>
    <sheet name="聲母與韻母清單【台語注音二式】" sheetId="16" r:id="rId13"/>
    <sheet name="方音符號-音節表" sheetId="1" r:id="rId14"/>
    <sheet name="廣韻聲母對照表" sheetId="8" r:id="rId15"/>
    <sheet name="廣韻韻母對照表" sheetId="10" r:id="rId16"/>
    <sheet name="廣韻韻母清單" sheetId="11" r:id="rId17"/>
    <sheet name="36字母表" sheetId="9" r:id="rId18"/>
    <sheet name="工作表7" sheetId="13" r:id="rId19"/>
  </sheets>
  <externalReferences>
    <externalReference r:id="rId20"/>
    <externalReference r:id="rId21"/>
  </externalReferences>
  <definedNames>
    <definedName name="_xlnm._FilterDatabase" localSheetId="8" hidden="1">十五音韻母對照表!$B$3:$O$103</definedName>
    <definedName name="_xlnm._FilterDatabase" localSheetId="16">廣韻韻母清單!$B$4:$K$104</definedName>
    <definedName name="十五音韻母" localSheetId="1">#REF!</definedName>
    <definedName name="十五音韻母" localSheetId="2">'[1]十五音-韻母'!$C$5:$C$54</definedName>
    <definedName name="十五音韻母">#REF!</definedName>
    <definedName name="十五音韻母對照表" localSheetId="1">#REF!</definedName>
    <definedName name="十五音韻母對照表" localSheetId="2">'[1]十五音-韻母'!$B$5:$R$54</definedName>
    <definedName name="十五音韻母對照表">#REF!</definedName>
    <definedName name="台羅韻母八音反切" localSheetId="1">#REF!</definedName>
    <definedName name="台羅韻母八音反切" localSheetId="2">'[1]台羅-韻母八音反切'!$R$5:$Y$54</definedName>
    <definedName name="台羅韻母八音反切">#REF!</definedName>
    <definedName name="白話字韻母八音反切" localSheetId="1">#REF!</definedName>
    <definedName name="白話字韻母八音反切" localSheetId="2">'[1]白話字-韻母八音反切'!$R$5:$Y$54</definedName>
    <definedName name="白話字韻母八音反切">#REF!</definedName>
    <definedName name="閩拼韻母八音反切" localSheetId="1">#REF!</definedName>
    <definedName name="閩拼韻母八音反切" localSheetId="2">'[1]閩拼-韻母八音反切'!$R$5:$Y$54</definedName>
    <definedName name="閩拼韻母八音反切">#REF!</definedName>
    <definedName name="聲母碼" localSheetId="1">十五音聲母對照表!$F$4:$F$25</definedName>
    <definedName name="聲母碼" localSheetId="2">#REF!</definedName>
    <definedName name="聲母碼">十五音聲母對照表!$F$4:$F$25</definedName>
    <definedName name="聲母碼表" localSheetId="1">#REF!</definedName>
    <definedName name="聲母碼表" localSheetId="2">[1]聲母碼!$D$6:$K$22</definedName>
    <definedName name="聲母碼表">#REF!</definedName>
    <definedName name="韻母對照表" localSheetId="16">廣韻韻母清單!$B$5:$K$104</definedName>
    <definedName name="韻母對照表" localSheetId="1">#REF!</definedName>
    <definedName name="韻母對照表" localSheetId="2">[1]韻母對照表!$B$6:$K$105</definedName>
    <definedName name="韻母對照表">#REF!</definedName>
    <definedName name="韻母碼表" localSheetId="1">#REF!</definedName>
    <definedName name="韻母碼表" localSheetId="2">[1]韻母碼!$F$5:$M$78</definedName>
    <definedName name="韻母碼表">#REF!</definedName>
    <definedName name="顯示注音輸入" localSheetId="1">#REF!</definedName>
    <definedName name="顯示注音輸入" localSheetId="2">[2]env!$C$10</definedName>
    <definedName name="顯示注音輸入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9" i="25" l="1" a="1"/>
  <c r="B89" i="25" s="1"/>
  <c r="B88" i="25" a="1"/>
  <c r="B88" i="25" s="1"/>
  <c r="B87" i="25" a="1"/>
  <c r="B87" i="25" s="1"/>
  <c r="B86" i="25" a="1"/>
  <c r="B86" i="25" s="1"/>
  <c r="B85" i="25" a="1"/>
  <c r="B85" i="25" s="1"/>
  <c r="B84" i="25" a="1"/>
  <c r="B84" i="25" s="1"/>
  <c r="B83" i="25" a="1"/>
  <c r="B83" i="25" s="1"/>
  <c r="B82" i="25" a="1"/>
  <c r="B82" i="25" s="1"/>
  <c r="B81" i="25" a="1"/>
  <c r="B81" i="25" s="1"/>
  <c r="B80" i="25" a="1"/>
  <c r="B80" i="25" s="1"/>
  <c r="B79" i="25" a="1"/>
  <c r="B79" i="25" s="1"/>
  <c r="L78" i="25" a="1"/>
  <c r="L78" i="25" s="1"/>
  <c r="K78" i="25" a="1"/>
  <c r="K78" i="25" s="1"/>
  <c r="H78" i="25" a="1"/>
  <c r="H78" i="25" s="1"/>
  <c r="G78" i="25" a="1"/>
  <c r="G78" i="25" s="1"/>
  <c r="E78" i="25" a="1"/>
  <c r="E78" i="25" s="1"/>
  <c r="D78" i="25" a="1"/>
  <c r="D78" i="25" s="1"/>
  <c r="B78" i="25" a="1"/>
  <c r="B78" i="25" s="1"/>
  <c r="G77" i="25" a="1"/>
  <c r="G77" i="25" s="1"/>
  <c r="B77" i="25" a="1"/>
  <c r="B77" i="25" s="1"/>
  <c r="L76" i="25" a="1"/>
  <c r="L76" i="25" s="1"/>
  <c r="K76" i="25" a="1"/>
  <c r="K76" i="25" s="1"/>
  <c r="H76" i="25" a="1"/>
  <c r="H76" i="25" s="1"/>
  <c r="G76" i="25" a="1"/>
  <c r="G76" i="25" s="1"/>
  <c r="E76" i="25" a="1"/>
  <c r="E76" i="25" s="1"/>
  <c r="D76" i="25" a="1"/>
  <c r="D76" i="25" s="1"/>
  <c r="B76" i="25" a="1"/>
  <c r="B76" i="25" s="1"/>
  <c r="L75" i="25" a="1"/>
  <c r="L75" i="25" s="1"/>
  <c r="K75" i="25" a="1"/>
  <c r="K75" i="25" s="1"/>
  <c r="H75" i="25" a="1"/>
  <c r="H75" i="25" s="1"/>
  <c r="G75" i="25" a="1"/>
  <c r="G75" i="25" s="1"/>
  <c r="E75" i="25" a="1"/>
  <c r="E75" i="25" s="1"/>
  <c r="D75" i="25" a="1"/>
  <c r="D75" i="25" s="1"/>
  <c r="B75" i="25" a="1"/>
  <c r="B75" i="25" s="1"/>
  <c r="L74" i="25" a="1"/>
  <c r="L74" i="25" s="1"/>
  <c r="K74" i="25" a="1"/>
  <c r="K74" i="25" s="1"/>
  <c r="H74" i="25" a="1"/>
  <c r="H74" i="25" s="1"/>
  <c r="G74" i="25" a="1"/>
  <c r="G74" i="25" s="1"/>
  <c r="E74" i="25" a="1"/>
  <c r="E74" i="25" s="1"/>
  <c r="D74" i="25" a="1"/>
  <c r="D74" i="25" s="1"/>
  <c r="B74" i="25" a="1"/>
  <c r="B74" i="25" s="1"/>
  <c r="L73" i="25" a="1"/>
  <c r="L73" i="25" s="1"/>
  <c r="K73" i="25" a="1"/>
  <c r="K73" i="25" s="1"/>
  <c r="H73" i="25" a="1"/>
  <c r="H73" i="25" s="1"/>
  <c r="G73" i="25" a="1"/>
  <c r="G73" i="25" s="1"/>
  <c r="E73" i="25" a="1"/>
  <c r="E73" i="25" s="1"/>
  <c r="D73" i="25" a="1"/>
  <c r="D73" i="25" s="1"/>
  <c r="B73" i="25" a="1"/>
  <c r="B73" i="25" s="1"/>
  <c r="L72" i="25" a="1"/>
  <c r="L72" i="25" s="1"/>
  <c r="K72" i="25" a="1"/>
  <c r="K72" i="25" s="1"/>
  <c r="H72" i="25" a="1"/>
  <c r="H72" i="25" s="1"/>
  <c r="G72" i="25" a="1"/>
  <c r="G72" i="25" s="1"/>
  <c r="E72" i="25" a="1"/>
  <c r="E72" i="25" s="1"/>
  <c r="D72" i="25" a="1"/>
  <c r="D72" i="25" s="1"/>
  <c r="B72" i="25" a="1"/>
  <c r="B72" i="25" s="1"/>
  <c r="L71" i="25" a="1"/>
  <c r="L71" i="25" s="1"/>
  <c r="K71" i="25" a="1"/>
  <c r="K71" i="25" s="1"/>
  <c r="H71" i="25" a="1"/>
  <c r="H71" i="25" s="1"/>
  <c r="G71" i="25" a="1"/>
  <c r="G71" i="25" s="1"/>
  <c r="E71" i="25" a="1"/>
  <c r="E71" i="25" s="1"/>
  <c r="D71" i="25" a="1"/>
  <c r="D71" i="25" s="1"/>
  <c r="B71" i="25" a="1"/>
  <c r="B71" i="25" s="1"/>
  <c r="T70" i="25"/>
  <c r="P70" i="25"/>
  <c r="L70" i="25" a="1"/>
  <c r="L70" i="25" s="1"/>
  <c r="K70" i="25" a="1"/>
  <c r="K70" i="25" s="1"/>
  <c r="H70" i="25" a="1"/>
  <c r="H70" i="25" s="1"/>
  <c r="G70" i="25" a="1"/>
  <c r="G70" i="25" s="1"/>
  <c r="E70" i="25" a="1"/>
  <c r="E70" i="25" s="1"/>
  <c r="D70" i="25" a="1"/>
  <c r="D70" i="25" s="1"/>
  <c r="B70" i="25" a="1"/>
  <c r="B70" i="25" s="1"/>
  <c r="T69" i="25"/>
  <c r="L69" i="25" a="1"/>
  <c r="L69" i="25" s="1"/>
  <c r="K69" i="25" a="1"/>
  <c r="K69" i="25" s="1"/>
  <c r="H69" i="25" a="1"/>
  <c r="H69" i="25" s="1"/>
  <c r="G69" i="25" a="1"/>
  <c r="G69" i="25" s="1"/>
  <c r="E69" i="25" a="1"/>
  <c r="E69" i="25" s="1"/>
  <c r="D69" i="25" a="1"/>
  <c r="D69" i="25" s="1"/>
  <c r="B69" i="25" a="1"/>
  <c r="B69" i="25" s="1"/>
  <c r="L68" i="25" a="1"/>
  <c r="L68" i="25" s="1"/>
  <c r="K68" i="25" a="1"/>
  <c r="K68" i="25" s="1"/>
  <c r="H68" i="25" a="1"/>
  <c r="H68" i="25" s="1"/>
  <c r="G68" i="25" a="1"/>
  <c r="G68" i="25" s="1"/>
  <c r="E68" i="25" a="1"/>
  <c r="E68" i="25" s="1"/>
  <c r="D68" i="25" a="1"/>
  <c r="D68" i="25" s="1"/>
  <c r="B68" i="25" a="1"/>
  <c r="B68" i="25" s="1"/>
  <c r="L67" i="25" a="1"/>
  <c r="L67" i="25" s="1"/>
  <c r="K67" i="25" a="1"/>
  <c r="K67" i="25" s="1"/>
  <c r="H67" i="25" a="1"/>
  <c r="H67" i="25" s="1"/>
  <c r="G67" i="25" a="1"/>
  <c r="G67" i="25" s="1"/>
  <c r="E67" i="25" a="1"/>
  <c r="E67" i="25" s="1"/>
  <c r="D67" i="25" a="1"/>
  <c r="D67" i="25" s="1"/>
  <c r="B67" i="25" a="1"/>
  <c r="B67" i="25" s="1"/>
  <c r="L66" i="25" a="1"/>
  <c r="L66" i="25" s="1"/>
  <c r="K66" i="25" a="1"/>
  <c r="K66" i="25" s="1"/>
  <c r="H66" i="25" a="1"/>
  <c r="H66" i="25" s="1"/>
  <c r="G66" i="25" a="1"/>
  <c r="G66" i="25" s="1"/>
  <c r="E66" i="25" a="1"/>
  <c r="E66" i="25" s="1"/>
  <c r="D66" i="25" a="1"/>
  <c r="D66" i="25" s="1"/>
  <c r="B66" i="25" a="1"/>
  <c r="B66" i="25" s="1"/>
  <c r="L65" i="25" a="1"/>
  <c r="L65" i="25" s="1"/>
  <c r="K65" i="25" a="1"/>
  <c r="K65" i="25" s="1"/>
  <c r="H65" i="25" a="1"/>
  <c r="H65" i="25" s="1"/>
  <c r="G65" i="25" a="1"/>
  <c r="G65" i="25" s="1"/>
  <c r="E65" i="25" a="1"/>
  <c r="E65" i="25" s="1"/>
  <c r="D65" i="25" a="1"/>
  <c r="D65" i="25" s="1"/>
  <c r="B65" i="25" a="1"/>
  <c r="B65" i="25" s="1"/>
  <c r="T64" i="25"/>
  <c r="L64" i="25" a="1"/>
  <c r="L64" i="25" s="1"/>
  <c r="K64" i="25" a="1"/>
  <c r="K64" i="25" s="1"/>
  <c r="H64" i="25" a="1"/>
  <c r="H64" i="25" s="1"/>
  <c r="G64" i="25" a="1"/>
  <c r="G64" i="25" s="1"/>
  <c r="E64" i="25" a="1"/>
  <c r="E64" i="25" s="1"/>
  <c r="D64" i="25" a="1"/>
  <c r="D64" i="25" s="1"/>
  <c r="B64" i="25" a="1"/>
  <c r="B64" i="25" s="1"/>
  <c r="T63" i="25"/>
  <c r="L63" i="25" a="1"/>
  <c r="L63" i="25" s="1"/>
  <c r="K63" i="25" a="1"/>
  <c r="K63" i="25" s="1"/>
  <c r="H63" i="25" a="1"/>
  <c r="H63" i="25" s="1"/>
  <c r="G63" i="25" a="1"/>
  <c r="G63" i="25" s="1"/>
  <c r="E63" i="25" a="1"/>
  <c r="E63" i="25" s="1"/>
  <c r="D63" i="25" a="1"/>
  <c r="D63" i="25" s="1"/>
  <c r="B63" i="25" a="1"/>
  <c r="B63" i="25" s="1"/>
  <c r="T62" i="25"/>
  <c r="L62" i="25" a="1"/>
  <c r="L62" i="25" s="1"/>
  <c r="K62" i="25" a="1"/>
  <c r="K62" i="25" s="1"/>
  <c r="H62" i="25" a="1"/>
  <c r="H62" i="25" s="1"/>
  <c r="G62" i="25" a="1"/>
  <c r="G62" i="25" s="1"/>
  <c r="E62" i="25" a="1"/>
  <c r="E62" i="25" s="1"/>
  <c r="D62" i="25" a="1"/>
  <c r="D62" i="25" s="1"/>
  <c r="B62" i="25" a="1"/>
  <c r="B62" i="25" s="1"/>
  <c r="T61" i="25"/>
  <c r="L61" i="25" a="1"/>
  <c r="L61" i="25" s="1"/>
  <c r="K61" i="25" a="1"/>
  <c r="K61" i="25" s="1"/>
  <c r="H61" i="25" a="1"/>
  <c r="H61" i="25" s="1"/>
  <c r="G61" i="25" a="1"/>
  <c r="G61" i="25" s="1"/>
  <c r="E61" i="25" a="1"/>
  <c r="E61" i="25" s="1"/>
  <c r="D61" i="25" a="1"/>
  <c r="D61" i="25" s="1"/>
  <c r="B61" i="25" a="1"/>
  <c r="B61" i="25" s="1"/>
  <c r="T60" i="25"/>
  <c r="L60" i="25" a="1"/>
  <c r="L60" i="25" s="1"/>
  <c r="K60" i="25" a="1"/>
  <c r="K60" i="25" s="1"/>
  <c r="H60" i="25" a="1"/>
  <c r="H60" i="25" s="1"/>
  <c r="G60" i="25" a="1"/>
  <c r="G60" i="25" s="1"/>
  <c r="E60" i="25" a="1"/>
  <c r="E60" i="25" s="1"/>
  <c r="D60" i="25" a="1"/>
  <c r="D60" i="25" s="1"/>
  <c r="B60" i="25" a="1"/>
  <c r="B60" i="25" s="1"/>
  <c r="T59" i="25"/>
  <c r="P59" i="25"/>
  <c r="P60" i="25" s="1"/>
  <c r="P61" i="25" s="1"/>
  <c r="P62" i="25" s="1"/>
  <c r="P63" i="25" s="1"/>
  <c r="L59" i="25" a="1"/>
  <c r="L59" i="25" s="1"/>
  <c r="K59" i="25" a="1"/>
  <c r="K59" i="25" s="1"/>
  <c r="H59" i="25" a="1"/>
  <c r="H59" i="25" s="1"/>
  <c r="G59" i="25" a="1"/>
  <c r="G59" i="25" s="1"/>
  <c r="E59" i="25" a="1"/>
  <c r="E59" i="25" s="1"/>
  <c r="D59" i="25" a="1"/>
  <c r="D59" i="25" s="1"/>
  <c r="B59" i="25" a="1"/>
  <c r="B59" i="25" s="1"/>
  <c r="T58" i="25"/>
  <c r="L58" i="25" a="1"/>
  <c r="L58" i="25" s="1"/>
  <c r="K58" i="25" a="1"/>
  <c r="K58" i="25" s="1"/>
  <c r="H58" i="25" a="1"/>
  <c r="H58" i="25" s="1"/>
  <c r="G58" i="25" a="1"/>
  <c r="G58" i="25" s="1"/>
  <c r="E58" i="25" a="1"/>
  <c r="E58" i="25" s="1"/>
  <c r="D58" i="25" a="1"/>
  <c r="D58" i="25" s="1"/>
  <c r="B58" i="25" a="1"/>
  <c r="B58" i="25" s="1"/>
  <c r="L57" i="25" a="1"/>
  <c r="L57" i="25" s="1"/>
  <c r="K57" i="25" a="1"/>
  <c r="K57" i="25" s="1"/>
  <c r="H57" i="25" a="1"/>
  <c r="H57" i="25" s="1"/>
  <c r="G57" i="25" a="1"/>
  <c r="G57" i="25" s="1"/>
  <c r="E57" i="25" a="1"/>
  <c r="E57" i="25" s="1"/>
  <c r="D57" i="25" a="1"/>
  <c r="D57" i="25" s="1"/>
  <c r="B57" i="25" a="1"/>
  <c r="B57" i="25" s="1"/>
  <c r="L56" i="25" a="1"/>
  <c r="L56" i="25" s="1"/>
  <c r="K56" i="25" a="1"/>
  <c r="K56" i="25" s="1"/>
  <c r="H56" i="25" a="1"/>
  <c r="H56" i="25" s="1"/>
  <c r="G56" i="25" a="1"/>
  <c r="G56" i="25" s="1"/>
  <c r="E56" i="25" a="1"/>
  <c r="E56" i="25" s="1"/>
  <c r="D56" i="25" a="1"/>
  <c r="D56" i="25" s="1"/>
  <c r="B56" i="25" a="1"/>
  <c r="B56" i="25" s="1"/>
  <c r="L55" i="25" a="1"/>
  <c r="L55" i="25" s="1"/>
  <c r="K55" i="25" a="1"/>
  <c r="K55" i="25" s="1"/>
  <c r="H55" i="25" a="1"/>
  <c r="H55" i="25" s="1"/>
  <c r="G55" i="25" a="1"/>
  <c r="G55" i="25" s="1"/>
  <c r="E55" i="25" a="1"/>
  <c r="E55" i="25" s="1"/>
  <c r="D55" i="25" a="1"/>
  <c r="D55" i="25" s="1"/>
  <c r="B55" i="25" a="1"/>
  <c r="B55" i="25" s="1"/>
  <c r="L54" i="25" a="1"/>
  <c r="L54" i="25" s="1"/>
  <c r="K54" i="25" a="1"/>
  <c r="K54" i="25" s="1"/>
  <c r="H54" i="25" a="1"/>
  <c r="H54" i="25" s="1"/>
  <c r="G54" i="25" a="1"/>
  <c r="G54" i="25" s="1"/>
  <c r="E54" i="25" a="1"/>
  <c r="E54" i="25" s="1"/>
  <c r="D54" i="25" a="1"/>
  <c r="D54" i="25" s="1"/>
  <c r="B54" i="25" a="1"/>
  <c r="B54" i="25" s="1"/>
  <c r="T53" i="25"/>
  <c r="G53" i="25" a="1"/>
  <c r="G53" i="25" s="1"/>
  <c r="B53" i="25" a="1"/>
  <c r="B53" i="25" s="1"/>
  <c r="T52" i="25"/>
  <c r="L52" i="25" a="1"/>
  <c r="L52" i="25" s="1"/>
  <c r="K52" i="25" a="1"/>
  <c r="K52" i="25" s="1"/>
  <c r="H52" i="25" a="1"/>
  <c r="H52" i="25" s="1"/>
  <c r="G52" i="25" a="1"/>
  <c r="G52" i="25" s="1"/>
  <c r="E52" i="25" a="1"/>
  <c r="E52" i="25" s="1"/>
  <c r="D52" i="25" a="1"/>
  <c r="D52" i="25" s="1"/>
  <c r="B52" i="25" a="1"/>
  <c r="B52" i="25" s="1"/>
  <c r="T51" i="25"/>
  <c r="L51" i="25" a="1"/>
  <c r="L51" i="25" s="1"/>
  <c r="K51" i="25" a="1"/>
  <c r="K51" i="25" s="1"/>
  <c r="H51" i="25" a="1"/>
  <c r="H51" i="25" s="1"/>
  <c r="G51" i="25" a="1"/>
  <c r="G51" i="25" s="1"/>
  <c r="E51" i="25" a="1"/>
  <c r="E51" i="25" s="1"/>
  <c r="D51" i="25" a="1"/>
  <c r="D51" i="25" s="1"/>
  <c r="B51" i="25"/>
  <c r="B51" i="25" a="1"/>
  <c r="T50" i="25"/>
  <c r="L50" i="25" a="1"/>
  <c r="L50" i="25" s="1"/>
  <c r="K50" i="25" a="1"/>
  <c r="K50" i="25" s="1"/>
  <c r="H50" i="25" a="1"/>
  <c r="H50" i="25" s="1"/>
  <c r="G50" i="25" a="1"/>
  <c r="G50" i="25" s="1"/>
  <c r="E50" i="25" a="1"/>
  <c r="E50" i="25" s="1"/>
  <c r="D50" i="25" a="1"/>
  <c r="D50" i="25" s="1"/>
  <c r="B50" i="25" a="1"/>
  <c r="B50" i="25" s="1"/>
  <c r="T49" i="25"/>
  <c r="L49" i="25" a="1"/>
  <c r="L49" i="25" s="1"/>
  <c r="K49" i="25" a="1"/>
  <c r="K49" i="25" s="1"/>
  <c r="H49" i="25" a="1"/>
  <c r="H49" i="25" s="1"/>
  <c r="G49" i="25" a="1"/>
  <c r="G49" i="25" s="1"/>
  <c r="E49" i="25" a="1"/>
  <c r="E49" i="25" s="1"/>
  <c r="D49" i="25" a="1"/>
  <c r="D49" i="25" s="1"/>
  <c r="B49" i="25" a="1"/>
  <c r="B49" i="25" s="1"/>
  <c r="T48" i="25"/>
  <c r="L48" i="25" a="1"/>
  <c r="L48" i="25" s="1"/>
  <c r="K48" i="25" a="1"/>
  <c r="K48" i="25" s="1"/>
  <c r="H48" i="25" a="1"/>
  <c r="H48" i="25" s="1"/>
  <c r="G48" i="25" a="1"/>
  <c r="G48" i="25" s="1"/>
  <c r="E48" i="25" a="1"/>
  <c r="E48" i="25" s="1"/>
  <c r="D48" i="25" a="1"/>
  <c r="D48" i="25" s="1"/>
  <c r="B48" i="25" a="1"/>
  <c r="B48" i="25" s="1"/>
  <c r="L47" i="25" a="1"/>
  <c r="L47" i="25" s="1"/>
  <c r="K47" i="25" a="1"/>
  <c r="K47" i="25" s="1"/>
  <c r="H47" i="25" a="1"/>
  <c r="H47" i="25" s="1"/>
  <c r="G47" i="25" a="1"/>
  <c r="G47" i="25" s="1"/>
  <c r="E47" i="25" a="1"/>
  <c r="E47" i="25" s="1"/>
  <c r="D47" i="25" a="1"/>
  <c r="D47" i="25" s="1"/>
  <c r="B47" i="25" a="1"/>
  <c r="B47" i="25" s="1"/>
  <c r="L46" i="25" a="1"/>
  <c r="L46" i="25" s="1"/>
  <c r="K46" i="25" a="1"/>
  <c r="K46" i="25" s="1"/>
  <c r="H46" i="25" a="1"/>
  <c r="H46" i="25" s="1"/>
  <c r="G46" i="25" a="1"/>
  <c r="G46" i="25" s="1"/>
  <c r="E46" i="25" a="1"/>
  <c r="E46" i="25" s="1"/>
  <c r="D46" i="25" a="1"/>
  <c r="D46" i="25" s="1"/>
  <c r="B46" i="25" a="1"/>
  <c r="B46" i="25" s="1"/>
  <c r="T45" i="25"/>
  <c r="P45" i="25"/>
  <c r="L45" i="25" a="1"/>
  <c r="L45" i="25" s="1"/>
  <c r="K45" i="25" a="1"/>
  <c r="K45" i="25" s="1"/>
  <c r="H45" i="25" a="1"/>
  <c r="H45" i="25" s="1"/>
  <c r="G45" i="25" a="1"/>
  <c r="G45" i="25" s="1"/>
  <c r="E45" i="25" a="1"/>
  <c r="E45" i="25" s="1"/>
  <c r="D45" i="25" a="1"/>
  <c r="D45" i="25" s="1"/>
  <c r="B45" i="25" a="1"/>
  <c r="B45" i="25" s="1"/>
  <c r="T44" i="25"/>
  <c r="L44" i="25" a="1"/>
  <c r="L44" i="25" s="1"/>
  <c r="K44" i="25" a="1"/>
  <c r="K44" i="25" s="1"/>
  <c r="H44" i="25" a="1"/>
  <c r="H44" i="25" s="1"/>
  <c r="G44" i="25" a="1"/>
  <c r="G44" i="25" s="1"/>
  <c r="E44" i="25" a="1"/>
  <c r="E44" i="25" s="1"/>
  <c r="D44" i="25" a="1"/>
  <c r="D44" i="25" s="1"/>
  <c r="B44" i="25" a="1"/>
  <c r="B44" i="25" s="1"/>
  <c r="L43" i="25" a="1"/>
  <c r="L43" i="25" s="1"/>
  <c r="K43" i="25" a="1"/>
  <c r="K43" i="25" s="1"/>
  <c r="D43" i="25" a="1"/>
  <c r="D43" i="25" s="1"/>
  <c r="B43" i="25"/>
  <c r="B43" i="25" a="1"/>
  <c r="L42" i="25" a="1"/>
  <c r="L42" i="25" s="1"/>
  <c r="K42" i="25" a="1"/>
  <c r="K42" i="25" s="1"/>
  <c r="H42" i="25" a="1"/>
  <c r="H42" i="25" s="1"/>
  <c r="G42" i="25" a="1"/>
  <c r="G42" i="25" s="1"/>
  <c r="E42" i="25" a="1"/>
  <c r="E42" i="25" s="1"/>
  <c r="D42" i="25" a="1"/>
  <c r="D42" i="25" s="1"/>
  <c r="B42" i="25" a="1"/>
  <c r="B42" i="25" s="1"/>
  <c r="L41" i="25" a="1"/>
  <c r="L41" i="25" s="1"/>
  <c r="K41" i="25" a="1"/>
  <c r="K41" i="25" s="1"/>
  <c r="H41" i="25" a="1"/>
  <c r="H41" i="25" s="1"/>
  <c r="G41" i="25" a="1"/>
  <c r="G41" i="25" s="1"/>
  <c r="E41" i="25" a="1"/>
  <c r="E41" i="25" s="1"/>
  <c r="D41" i="25" a="1"/>
  <c r="D41" i="25" s="1"/>
  <c r="B41" i="25" a="1"/>
  <c r="B41" i="25" s="1"/>
  <c r="L40" i="25" a="1"/>
  <c r="L40" i="25" s="1"/>
  <c r="K40" i="25" a="1"/>
  <c r="K40" i="25" s="1"/>
  <c r="H40" i="25" a="1"/>
  <c r="H40" i="25" s="1"/>
  <c r="G40" i="25" a="1"/>
  <c r="G40" i="25" s="1"/>
  <c r="E40" i="25" a="1"/>
  <c r="E40" i="25" s="1"/>
  <c r="D40" i="25" a="1"/>
  <c r="D40" i="25" s="1"/>
  <c r="B40" i="25" a="1"/>
  <c r="B40" i="25" s="1"/>
  <c r="L39" i="25" a="1"/>
  <c r="L39" i="25" s="1"/>
  <c r="K39" i="25" a="1"/>
  <c r="K39" i="25" s="1"/>
  <c r="H39" i="25" a="1"/>
  <c r="H39" i="25" s="1"/>
  <c r="G39" i="25" a="1"/>
  <c r="G39" i="25" s="1"/>
  <c r="E39" i="25" a="1"/>
  <c r="E39" i="25" s="1"/>
  <c r="D39" i="25" a="1"/>
  <c r="D39" i="25" s="1"/>
  <c r="B39" i="25" a="1"/>
  <c r="B39" i="25" s="1"/>
  <c r="L38" i="25" a="1"/>
  <c r="L38" i="25" s="1"/>
  <c r="K38" i="25" a="1"/>
  <c r="K38" i="25" s="1"/>
  <c r="H38" i="25" a="1"/>
  <c r="H38" i="25" s="1"/>
  <c r="G38" i="25" a="1"/>
  <c r="G38" i="25" s="1"/>
  <c r="E38" i="25" a="1"/>
  <c r="E38" i="25" s="1"/>
  <c r="D38" i="25" a="1"/>
  <c r="D38" i="25" s="1"/>
  <c r="B38" i="25" a="1"/>
  <c r="B38" i="25" s="1"/>
  <c r="L37" i="25" a="1"/>
  <c r="L37" i="25" s="1"/>
  <c r="K37" i="25" a="1"/>
  <c r="K37" i="25" s="1"/>
  <c r="H37" i="25" a="1"/>
  <c r="H37" i="25" s="1"/>
  <c r="G37" i="25" a="1"/>
  <c r="G37" i="25" s="1"/>
  <c r="E37" i="25" a="1"/>
  <c r="E37" i="25" s="1"/>
  <c r="D37" i="25" a="1"/>
  <c r="D37" i="25" s="1"/>
  <c r="B37" i="25" a="1"/>
  <c r="B37" i="25" s="1"/>
  <c r="L36" i="25" a="1"/>
  <c r="L36" i="25" s="1"/>
  <c r="K36" i="25" a="1"/>
  <c r="K36" i="25" s="1"/>
  <c r="H36" i="25" a="1"/>
  <c r="H36" i="25" s="1"/>
  <c r="G36" i="25" a="1"/>
  <c r="G36" i="25" s="1"/>
  <c r="E36" i="25" a="1"/>
  <c r="E36" i="25" s="1"/>
  <c r="D36" i="25" a="1"/>
  <c r="D36" i="25" s="1"/>
  <c r="B36" i="25" a="1"/>
  <c r="B36" i="25" s="1"/>
  <c r="L35" i="25" a="1"/>
  <c r="L35" i="25" s="1"/>
  <c r="K35" i="25" a="1"/>
  <c r="K35" i="25" s="1"/>
  <c r="H35" i="25" a="1"/>
  <c r="H35" i="25" s="1"/>
  <c r="G35" i="25" a="1"/>
  <c r="G35" i="25" s="1"/>
  <c r="E35" i="25" a="1"/>
  <c r="E35" i="25" s="1"/>
  <c r="D35" i="25" a="1"/>
  <c r="D35" i="25" s="1"/>
  <c r="B35" i="25" a="1"/>
  <c r="B35" i="25" s="1"/>
  <c r="T34" i="25"/>
  <c r="L34" i="25" a="1"/>
  <c r="L34" i="25" s="1"/>
  <c r="K34" i="25" a="1"/>
  <c r="K34" i="25" s="1"/>
  <c r="H34" i="25" a="1"/>
  <c r="H34" i="25" s="1"/>
  <c r="G34" i="25" a="1"/>
  <c r="G34" i="25" s="1"/>
  <c r="E34" i="25" a="1"/>
  <c r="E34" i="25" s="1"/>
  <c r="D34" i="25" a="1"/>
  <c r="D34" i="25" s="1"/>
  <c r="B34" i="25" a="1"/>
  <c r="B34" i="25" s="1"/>
  <c r="T33" i="25"/>
  <c r="L33" i="25" a="1"/>
  <c r="L33" i="25" s="1"/>
  <c r="K33" i="25" a="1"/>
  <c r="K33" i="25" s="1"/>
  <c r="H33" i="25" a="1"/>
  <c r="H33" i="25" s="1"/>
  <c r="G33" i="25" a="1"/>
  <c r="G33" i="25" s="1"/>
  <c r="E33" i="25" a="1"/>
  <c r="E33" i="25" s="1"/>
  <c r="D33" i="25" a="1"/>
  <c r="D33" i="25" s="1"/>
  <c r="B33" i="25" a="1"/>
  <c r="B33" i="25" s="1"/>
  <c r="L32" i="25" a="1"/>
  <c r="L32" i="25" s="1"/>
  <c r="K32" i="25" a="1"/>
  <c r="K32" i="25" s="1"/>
  <c r="H32" i="25" a="1"/>
  <c r="H32" i="25" s="1"/>
  <c r="G32" i="25" a="1"/>
  <c r="G32" i="25" s="1"/>
  <c r="E32" i="25" a="1"/>
  <c r="E32" i="25" s="1"/>
  <c r="D32" i="25" a="1"/>
  <c r="D32" i="25" s="1"/>
  <c r="B32" i="25" a="1"/>
  <c r="B32" i="25" s="1"/>
  <c r="L31" i="25" a="1"/>
  <c r="L31" i="25" s="1"/>
  <c r="K31" i="25" a="1"/>
  <c r="K31" i="25" s="1"/>
  <c r="H31" i="25" a="1"/>
  <c r="H31" i="25" s="1"/>
  <c r="G31" i="25" a="1"/>
  <c r="G31" i="25" s="1"/>
  <c r="E31" i="25" a="1"/>
  <c r="E31" i="25" s="1"/>
  <c r="D31" i="25" a="1"/>
  <c r="D31" i="25" s="1"/>
  <c r="B31" i="25" a="1"/>
  <c r="B31" i="25" s="1"/>
  <c r="L30" i="25" a="1"/>
  <c r="L30" i="25" s="1"/>
  <c r="K30" i="25" a="1"/>
  <c r="K30" i="25" s="1"/>
  <c r="H30" i="25" a="1"/>
  <c r="H30" i="25" s="1"/>
  <c r="G30" i="25" a="1"/>
  <c r="G30" i="25" s="1"/>
  <c r="E30" i="25" a="1"/>
  <c r="E30" i="25" s="1"/>
  <c r="D30" i="25" a="1"/>
  <c r="D30" i="25" s="1"/>
  <c r="B30" i="25" a="1"/>
  <c r="B30" i="25" s="1"/>
  <c r="T29" i="25"/>
  <c r="L29" i="25" a="1"/>
  <c r="L29" i="25" s="1"/>
  <c r="K29" i="25" a="1"/>
  <c r="K29" i="25" s="1"/>
  <c r="H29" i="25" a="1"/>
  <c r="H29" i="25" s="1"/>
  <c r="G29" i="25" a="1"/>
  <c r="G29" i="25" s="1"/>
  <c r="E29" i="25" a="1"/>
  <c r="E29" i="25" s="1"/>
  <c r="D29" i="25" a="1"/>
  <c r="D29" i="25" s="1"/>
  <c r="B29" i="25" a="1"/>
  <c r="B29" i="25" s="1"/>
  <c r="L28" i="25" a="1"/>
  <c r="L28" i="25" s="1"/>
  <c r="K28" i="25" a="1"/>
  <c r="K28" i="25" s="1"/>
  <c r="H28" i="25" a="1"/>
  <c r="H28" i="25" s="1"/>
  <c r="G28" i="25" a="1"/>
  <c r="G28" i="25" s="1"/>
  <c r="E28" i="25" a="1"/>
  <c r="E28" i="25" s="1"/>
  <c r="D28" i="25" a="1"/>
  <c r="D28" i="25" s="1"/>
  <c r="B28" i="25" a="1"/>
  <c r="B28" i="25" s="1"/>
  <c r="T27" i="25"/>
  <c r="L27" i="25" a="1"/>
  <c r="L27" i="25" s="1"/>
  <c r="K27" i="25" a="1"/>
  <c r="K27" i="25" s="1"/>
  <c r="H27" i="25" a="1"/>
  <c r="H27" i="25" s="1"/>
  <c r="G27" i="25" a="1"/>
  <c r="G27" i="25" s="1"/>
  <c r="E27" i="25" a="1"/>
  <c r="E27" i="25" s="1"/>
  <c r="D27" i="25" a="1"/>
  <c r="D27" i="25" s="1"/>
  <c r="B27" i="25" a="1"/>
  <c r="B27" i="25" s="1"/>
  <c r="T26" i="25"/>
  <c r="L26" i="25" a="1"/>
  <c r="L26" i="25" s="1"/>
  <c r="K26" i="25" a="1"/>
  <c r="K26" i="25" s="1"/>
  <c r="H26" i="25" a="1"/>
  <c r="H26" i="25" s="1"/>
  <c r="G26" i="25" a="1"/>
  <c r="G26" i="25" s="1"/>
  <c r="E26" i="25" a="1"/>
  <c r="E26" i="25" s="1"/>
  <c r="D26" i="25" a="1"/>
  <c r="D26" i="25" s="1"/>
  <c r="B26" i="25" a="1"/>
  <c r="B26" i="25" s="1"/>
  <c r="T25" i="25"/>
  <c r="L25" i="25" a="1"/>
  <c r="L25" i="25" s="1"/>
  <c r="K25" i="25" a="1"/>
  <c r="K25" i="25" s="1"/>
  <c r="H25" i="25" a="1"/>
  <c r="H25" i="25" s="1"/>
  <c r="G25" i="25" a="1"/>
  <c r="G25" i="25" s="1"/>
  <c r="E25" i="25" a="1"/>
  <c r="E25" i="25" s="1"/>
  <c r="D25" i="25" a="1"/>
  <c r="D25" i="25" s="1"/>
  <c r="B25" i="25" a="1"/>
  <c r="B25" i="25" s="1"/>
  <c r="L24" i="25" a="1"/>
  <c r="L24" i="25" s="1"/>
  <c r="K24" i="25" a="1"/>
  <c r="K24" i="25" s="1"/>
  <c r="I24" i="25" a="1"/>
  <c r="I24" i="25" s="1"/>
  <c r="G24" i="25" a="1"/>
  <c r="G24" i="25" s="1"/>
  <c r="E24" i="25" a="1"/>
  <c r="E24" i="25" s="1"/>
  <c r="D24" i="25" a="1"/>
  <c r="D24" i="25" s="1"/>
  <c r="B24" i="25"/>
  <c r="B24" i="25" a="1"/>
  <c r="L23" i="25" a="1"/>
  <c r="L23" i="25" s="1"/>
  <c r="K23" i="25" a="1"/>
  <c r="K23" i="25" s="1"/>
  <c r="I23" i="25" a="1"/>
  <c r="I23" i="25" s="1"/>
  <c r="G23" i="25" a="1"/>
  <c r="G23" i="25" s="1"/>
  <c r="E23" i="25" a="1"/>
  <c r="E23" i="25" s="1"/>
  <c r="D23" i="25" a="1"/>
  <c r="D23" i="25" s="1"/>
  <c r="B23" i="25" a="1"/>
  <c r="B23" i="25" s="1"/>
  <c r="L22" i="25" a="1"/>
  <c r="L22" i="25" s="1"/>
  <c r="K22" i="25" a="1"/>
  <c r="K22" i="25" s="1"/>
  <c r="I22" i="25" a="1"/>
  <c r="I22" i="25" s="1"/>
  <c r="G22" i="25" a="1"/>
  <c r="G22" i="25" s="1"/>
  <c r="E22" i="25" a="1"/>
  <c r="E22" i="25" s="1"/>
  <c r="D22" i="25" a="1"/>
  <c r="D22" i="25" s="1"/>
  <c r="B22" i="25" a="1"/>
  <c r="B22" i="25" s="1"/>
  <c r="L21" i="25" a="1"/>
  <c r="L21" i="25" s="1"/>
  <c r="K21" i="25" a="1"/>
  <c r="K21" i="25" s="1"/>
  <c r="I21" i="25" a="1"/>
  <c r="I21" i="25" s="1"/>
  <c r="G21" i="25" a="1"/>
  <c r="G21" i="25" s="1"/>
  <c r="E21" i="25" a="1"/>
  <c r="E21" i="25" s="1"/>
  <c r="D21" i="25" a="1"/>
  <c r="D21" i="25" s="1"/>
  <c r="B21" i="25" a="1"/>
  <c r="B21" i="25" s="1"/>
  <c r="L20" i="25" a="1"/>
  <c r="L20" i="25" s="1"/>
  <c r="K20" i="25" a="1"/>
  <c r="K20" i="25" s="1"/>
  <c r="I20" i="25" a="1"/>
  <c r="I20" i="25" s="1"/>
  <c r="G20" i="25" a="1"/>
  <c r="G20" i="25" s="1"/>
  <c r="E20" i="25" a="1"/>
  <c r="E20" i="25" s="1"/>
  <c r="D20" i="25" a="1"/>
  <c r="D20" i="25" s="1"/>
  <c r="B20" i="25" a="1"/>
  <c r="B20" i="25" s="1"/>
  <c r="L19" i="25" a="1"/>
  <c r="L19" i="25" s="1"/>
  <c r="K19" i="25" a="1"/>
  <c r="K19" i="25" s="1"/>
  <c r="I19" i="25" a="1"/>
  <c r="I19" i="25" s="1"/>
  <c r="G19" i="25" a="1"/>
  <c r="G19" i="25" s="1"/>
  <c r="E19" i="25" a="1"/>
  <c r="E19" i="25" s="1"/>
  <c r="D19" i="25" a="1"/>
  <c r="D19" i="25" s="1"/>
  <c r="B19" i="25" a="1"/>
  <c r="B19" i="25" s="1"/>
  <c r="L18" i="25" a="1"/>
  <c r="L18" i="25" s="1"/>
  <c r="K18" i="25" a="1"/>
  <c r="K18" i="25" s="1"/>
  <c r="I18" i="25" a="1"/>
  <c r="I18" i="25" s="1"/>
  <c r="G18" i="25" a="1"/>
  <c r="G18" i="25" s="1"/>
  <c r="E18" i="25" a="1"/>
  <c r="E18" i="25" s="1"/>
  <c r="D18" i="25" a="1"/>
  <c r="D18" i="25" s="1"/>
  <c r="B18" i="25" a="1"/>
  <c r="B18" i="25" s="1"/>
  <c r="L17" i="25" a="1"/>
  <c r="L17" i="25" s="1"/>
  <c r="K17" i="25" a="1"/>
  <c r="K17" i="25" s="1"/>
  <c r="I17" i="25" a="1"/>
  <c r="I17" i="25" s="1"/>
  <c r="G17" i="25" a="1"/>
  <c r="G17" i="25" s="1"/>
  <c r="E17" i="25" a="1"/>
  <c r="E17" i="25" s="1"/>
  <c r="D17" i="25" a="1"/>
  <c r="D17" i="25" s="1"/>
  <c r="B17" i="25" a="1"/>
  <c r="B17" i="25" s="1"/>
  <c r="L16" i="25" a="1"/>
  <c r="L16" i="25" s="1"/>
  <c r="K16" i="25" a="1"/>
  <c r="K16" i="25" s="1"/>
  <c r="I16" i="25" a="1"/>
  <c r="I16" i="25" s="1"/>
  <c r="G16" i="25" a="1"/>
  <c r="G16" i="25" s="1"/>
  <c r="E16" i="25" a="1"/>
  <c r="E16" i="25" s="1"/>
  <c r="D16" i="25" a="1"/>
  <c r="D16" i="25" s="1"/>
  <c r="B16" i="25" a="1"/>
  <c r="B16" i="25" s="1"/>
  <c r="L15" i="25" a="1"/>
  <c r="L15" i="25" s="1"/>
  <c r="K15" i="25" a="1"/>
  <c r="K15" i="25" s="1"/>
  <c r="I15" i="25" a="1"/>
  <c r="I15" i="25" s="1"/>
  <c r="G15" i="25" a="1"/>
  <c r="G15" i="25" s="1"/>
  <c r="E15" i="25" a="1"/>
  <c r="E15" i="25" s="1"/>
  <c r="D15" i="25" a="1"/>
  <c r="D15" i="25" s="1"/>
  <c r="B15" i="25" a="1"/>
  <c r="B15" i="25" s="1"/>
  <c r="L14" i="25" a="1"/>
  <c r="L14" i="25" s="1"/>
  <c r="K14" i="25" a="1"/>
  <c r="K14" i="25" s="1"/>
  <c r="I14" i="25" a="1"/>
  <c r="I14" i="25" s="1"/>
  <c r="G14" i="25" a="1"/>
  <c r="G14" i="25" s="1"/>
  <c r="E14" i="25" a="1"/>
  <c r="E14" i="25" s="1"/>
  <c r="D14" i="25" a="1"/>
  <c r="D14" i="25" s="1"/>
  <c r="B14" i="25" a="1"/>
  <c r="B14" i="25" s="1"/>
  <c r="L13" i="25" a="1"/>
  <c r="L13" i="25" s="1"/>
  <c r="K13" i="25" a="1"/>
  <c r="K13" i="25" s="1"/>
  <c r="I13" i="25" a="1"/>
  <c r="I13" i="25" s="1"/>
  <c r="G13" i="25" a="1"/>
  <c r="G13" i="25" s="1"/>
  <c r="E13" i="25" a="1"/>
  <c r="E13" i="25" s="1"/>
  <c r="D13" i="25" a="1"/>
  <c r="D13" i="25" s="1"/>
  <c r="B13" i="25" a="1"/>
  <c r="B13" i="25" s="1"/>
  <c r="L12" i="25" a="1"/>
  <c r="L12" i="25" s="1"/>
  <c r="K12" i="25" a="1"/>
  <c r="K12" i="25" s="1"/>
  <c r="I12" i="25" a="1"/>
  <c r="I12" i="25" s="1"/>
  <c r="G12" i="25" a="1"/>
  <c r="G12" i="25" s="1"/>
  <c r="E12" i="25" a="1"/>
  <c r="E12" i="25" s="1"/>
  <c r="D12" i="25" a="1"/>
  <c r="D12" i="25" s="1"/>
  <c r="B12" i="25" a="1"/>
  <c r="B12" i="25" s="1"/>
  <c r="L11" i="25" a="1"/>
  <c r="L11" i="25" s="1"/>
  <c r="K11" i="25" a="1"/>
  <c r="K11" i="25" s="1"/>
  <c r="I11" i="25" a="1"/>
  <c r="I11" i="25" s="1"/>
  <c r="G11" i="25" a="1"/>
  <c r="G11" i="25" s="1"/>
  <c r="E11" i="25" a="1"/>
  <c r="E11" i="25" s="1"/>
  <c r="D11" i="25" a="1"/>
  <c r="D11" i="25" s="1"/>
  <c r="B11" i="25" a="1"/>
  <c r="B11" i="25" s="1"/>
  <c r="L10" i="25" a="1"/>
  <c r="L10" i="25" s="1"/>
  <c r="K10" i="25" a="1"/>
  <c r="K10" i="25" s="1"/>
  <c r="I10" i="25" a="1"/>
  <c r="I10" i="25" s="1"/>
  <c r="G10" i="25" a="1"/>
  <c r="G10" i="25" s="1"/>
  <c r="E10" i="25" a="1"/>
  <c r="E10" i="25" s="1"/>
  <c r="D10" i="25" a="1"/>
  <c r="D10" i="25" s="1"/>
  <c r="B10" i="25" a="1"/>
  <c r="B10" i="25" s="1"/>
  <c r="L9" i="25" a="1"/>
  <c r="L9" i="25" s="1"/>
  <c r="K9" i="25" a="1"/>
  <c r="K9" i="25" s="1"/>
  <c r="I9" i="25" a="1"/>
  <c r="I9" i="25" s="1"/>
  <c r="G9" i="25" a="1"/>
  <c r="G9" i="25" s="1"/>
  <c r="E9" i="25" a="1"/>
  <c r="E9" i="25" s="1"/>
  <c r="D9" i="25" a="1"/>
  <c r="D9" i="25" s="1"/>
  <c r="B9" i="25" a="1"/>
  <c r="B9" i="25" s="1"/>
  <c r="L8" i="25" a="1"/>
  <c r="L8" i="25" s="1"/>
  <c r="K8" i="25" a="1"/>
  <c r="K8" i="25" s="1"/>
  <c r="I8" i="25" a="1"/>
  <c r="I8" i="25" s="1"/>
  <c r="G8" i="25" a="1"/>
  <c r="G8" i="25" s="1"/>
  <c r="E8" i="25" a="1"/>
  <c r="E8" i="25" s="1"/>
  <c r="D8" i="25" a="1"/>
  <c r="D8" i="25" s="1"/>
  <c r="B8" i="25" a="1"/>
  <c r="B8" i="25" s="1"/>
  <c r="L7" i="25" a="1"/>
  <c r="L7" i="25" s="1"/>
  <c r="K7" i="25" a="1"/>
  <c r="K7" i="25" s="1"/>
  <c r="I7" i="25" a="1"/>
  <c r="I7" i="25" s="1"/>
  <c r="G7" i="25" a="1"/>
  <c r="G7" i="25" s="1"/>
  <c r="E7" i="25" a="1"/>
  <c r="E7" i="25" s="1"/>
  <c r="D7" i="25" a="1"/>
  <c r="D7" i="25" s="1"/>
  <c r="B7" i="25" a="1"/>
  <c r="B7" i="25" s="1"/>
  <c r="L6" i="25" a="1"/>
  <c r="L6" i="25" s="1"/>
  <c r="K6" i="25" a="1"/>
  <c r="K6" i="25" s="1"/>
  <c r="I6" i="25" a="1"/>
  <c r="I6" i="25" s="1"/>
  <c r="G6" i="25"/>
  <c r="G6" i="25" a="1"/>
  <c r="E6" i="25" a="1"/>
  <c r="E6" i="25" s="1"/>
  <c r="D6" i="25" a="1"/>
  <c r="D6" i="25" s="1"/>
  <c r="B6" i="25" a="1"/>
  <c r="B6" i="25" s="1"/>
  <c r="V5" i="25"/>
  <c r="V6" i="25" s="1"/>
  <c r="V7" i="25" s="1"/>
  <c r="V8" i="25" s="1"/>
  <c r="V9" i="25" s="1"/>
  <c r="V10" i="25" s="1"/>
  <c r="V11" i="25" s="1"/>
  <c r="V12" i="25" s="1"/>
  <c r="L5" i="25" a="1"/>
  <c r="L5" i="25" s="1"/>
  <c r="K5" i="25" a="1"/>
  <c r="K5" i="25" s="1"/>
  <c r="I5" i="25" a="1"/>
  <c r="I5" i="25" s="1"/>
  <c r="G5" i="25" a="1"/>
  <c r="G5" i="25" s="1"/>
  <c r="E5" i="25" a="1"/>
  <c r="E5" i="25" s="1"/>
  <c r="D5" i="25" a="1"/>
  <c r="D5" i="25" s="1"/>
  <c r="B5" i="25" a="1"/>
  <c r="B5" i="25" s="1"/>
  <c r="V4" i="25"/>
  <c r="L4" i="25" a="1"/>
  <c r="L4" i="25" s="1"/>
  <c r="K4" i="25" a="1"/>
  <c r="K4" i="25" s="1"/>
  <c r="I4" i="25" a="1"/>
  <c r="I4" i="25" s="1"/>
  <c r="G4" i="25" a="1"/>
  <c r="G4" i="25" s="1"/>
  <c r="E4" i="25" a="1"/>
  <c r="E4" i="25" s="1"/>
  <c r="D4" i="25" a="1"/>
  <c r="D4" i="25" s="1"/>
  <c r="B4" i="25" a="1"/>
  <c r="B4" i="25" s="1"/>
  <c r="N3" i="25" a="1"/>
  <c r="N3" i="25" s="1"/>
  <c r="M3" i="25" a="1"/>
  <c r="M3" i="25" s="1"/>
  <c r="L3" i="25" a="1"/>
  <c r="L3" i="25" s="1"/>
  <c r="K3" i="25" a="1"/>
  <c r="K3" i="25" s="1"/>
  <c r="I3" i="25" a="1"/>
  <c r="I3" i="25" s="1"/>
  <c r="G3" i="25" a="1"/>
  <c r="G3" i="25" s="1"/>
  <c r="E3" i="25" a="1"/>
  <c r="E3" i="25" s="1"/>
  <c r="D3" i="25" a="1"/>
  <c r="D3" i="25" s="1"/>
  <c r="B3" i="25" a="1"/>
  <c r="B3" i="25" s="1"/>
  <c r="AE2" i="25"/>
  <c r="L2" i="22"/>
  <c r="L10" i="22"/>
  <c r="L11" i="22"/>
  <c r="L12" i="22"/>
  <c r="L13" i="22"/>
  <c r="L14" i="22"/>
  <c r="L15" i="22"/>
  <c r="L16" i="22"/>
  <c r="L17" i="22"/>
  <c r="L18" i="22"/>
  <c r="L19" i="22"/>
  <c r="L3" i="22"/>
  <c r="L20" i="22"/>
  <c r="L21" i="22"/>
  <c r="L22" i="22"/>
  <c r="L23" i="22"/>
  <c r="L24" i="22"/>
  <c r="L25" i="22"/>
  <c r="L26" i="22"/>
  <c r="L27" i="22"/>
  <c r="L4" i="22"/>
  <c r="L28" i="22"/>
  <c r="L29" i="22"/>
  <c r="L30" i="22"/>
  <c r="L31" i="22"/>
  <c r="L32" i="22"/>
  <c r="L33" i="22"/>
  <c r="L34" i="22"/>
  <c r="L35" i="22"/>
  <c r="L36" i="22"/>
  <c r="L5" i="22"/>
  <c r="L37" i="22"/>
  <c r="L38" i="22"/>
  <c r="L39" i="22"/>
  <c r="L40" i="22"/>
  <c r="L41" i="22"/>
  <c r="L42" i="22"/>
  <c r="L43" i="22"/>
  <c r="L44" i="22"/>
  <c r="L45" i="22"/>
  <c r="L46" i="22"/>
  <c r="L6" i="22"/>
  <c r="L47" i="22"/>
  <c r="L48" i="22"/>
  <c r="L49" i="22"/>
  <c r="L50" i="22"/>
  <c r="L51" i="22"/>
  <c r="L52" i="22"/>
  <c r="L53" i="22"/>
  <c r="L54" i="22"/>
  <c r="L55" i="22"/>
  <c r="L56" i="22"/>
  <c r="L7" i="22"/>
  <c r="L57" i="22"/>
  <c r="L58" i="22"/>
  <c r="L59" i="22"/>
  <c r="L60" i="22"/>
  <c r="L61" i="22"/>
  <c r="L62" i="22"/>
  <c r="L63" i="22"/>
  <c r="L64" i="22"/>
  <c r="L8" i="22"/>
  <c r="L65" i="22"/>
  <c r="L66" i="22"/>
  <c r="L67" i="22"/>
  <c r="L68" i="22"/>
  <c r="L69" i="22"/>
  <c r="L70" i="22"/>
  <c r="L71" i="22"/>
  <c r="L72" i="22"/>
  <c r="L73" i="22"/>
  <c r="L74" i="22"/>
  <c r="L75" i="22"/>
  <c r="L76" i="22"/>
  <c r="L77" i="22"/>
  <c r="L9" i="22"/>
  <c r="L78" i="22"/>
  <c r="L79" i="22"/>
  <c r="L80" i="22"/>
  <c r="L81" i="22"/>
  <c r="L82" i="22"/>
  <c r="L83" i="22"/>
  <c r="L84" i="22"/>
  <c r="L85" i="22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64" i="22"/>
  <c r="B65" i="22"/>
  <c r="B66" i="22"/>
  <c r="B67" i="22"/>
  <c r="B68" i="22"/>
  <c r="B69" i="22"/>
  <c r="B70" i="22"/>
  <c r="B71" i="22"/>
  <c r="B72" i="22"/>
  <c r="B73" i="22"/>
  <c r="B74" i="22"/>
  <c r="B75" i="22"/>
  <c r="B76" i="22"/>
  <c r="B77" i="22"/>
  <c r="B78" i="22"/>
  <c r="B79" i="22"/>
  <c r="B80" i="22"/>
  <c r="B81" i="22"/>
  <c r="B82" i="22"/>
  <c r="B83" i="22"/>
  <c r="B84" i="22"/>
  <c r="B85" i="22"/>
  <c r="B86" i="22"/>
  <c r="B87" i="22"/>
  <c r="B88" i="22"/>
  <c r="B89" i="22"/>
  <c r="B90" i="22"/>
  <c r="B91" i="22"/>
  <c r="B92" i="22"/>
  <c r="B93" i="22"/>
  <c r="B94" i="22"/>
  <c r="B95" i="22"/>
  <c r="B96" i="22"/>
  <c r="B97" i="22"/>
  <c r="B98" i="22"/>
  <c r="B99" i="22"/>
  <c r="B100" i="22"/>
  <c r="B101" i="22"/>
  <c r="B102" i="22"/>
  <c r="B103" i="22"/>
  <c r="B104" i="22"/>
  <c r="B2" i="22"/>
  <c r="Q3" i="3" a="1"/>
  <c r="Q3" i="3" s="1"/>
  <c r="E3" i="24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" i="24"/>
  <c r="E23" i="24"/>
  <c r="E25" i="24"/>
  <c r="E24" i="24"/>
  <c r="K2" i="24"/>
  <c r="C3" i="23"/>
  <c r="C4" i="23"/>
  <c r="C5" i="23"/>
  <c r="C6" i="23"/>
  <c r="C7" i="23"/>
  <c r="C8" i="23"/>
  <c r="C9" i="23"/>
  <c r="C10" i="23"/>
  <c r="C11" i="23"/>
  <c r="C13" i="23"/>
  <c r="C18" i="23"/>
  <c r="C19" i="23"/>
  <c r="C20" i="23"/>
  <c r="C21" i="23"/>
  <c r="C22" i="23"/>
  <c r="C23" i="23"/>
  <c r="C2" i="23"/>
  <c r="J2" i="23"/>
  <c r="AE5" i="7"/>
  <c r="AE6" i="7"/>
  <c r="AE7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AE50" i="7"/>
  <c r="AE51" i="7"/>
  <c r="AE52" i="7"/>
  <c r="AE53" i="7"/>
  <c r="AE54" i="7"/>
  <c r="AE55" i="7"/>
  <c r="AE56" i="7"/>
  <c r="AE57" i="7"/>
  <c r="AE58" i="7"/>
  <c r="AE59" i="7"/>
  <c r="AE60" i="7"/>
  <c r="AE61" i="7"/>
  <c r="AE62" i="7"/>
  <c r="AE63" i="7"/>
  <c r="AE64" i="7"/>
  <c r="AE65" i="7"/>
  <c r="AE66" i="7"/>
  <c r="AE67" i="7"/>
  <c r="AE68" i="7"/>
  <c r="AE69" i="7"/>
  <c r="AE70" i="7"/>
  <c r="AE71" i="7"/>
  <c r="AE72" i="7"/>
  <c r="AE73" i="7"/>
  <c r="AE74" i="7"/>
  <c r="AE75" i="7"/>
  <c r="AE76" i="7"/>
  <c r="AE77" i="7"/>
  <c r="AE78" i="7"/>
  <c r="AE79" i="7"/>
  <c r="AE80" i="7"/>
  <c r="AE81" i="7"/>
  <c r="AE82" i="7"/>
  <c r="AE83" i="7"/>
  <c r="AE84" i="7"/>
  <c r="AE85" i="7"/>
  <c r="AE4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62" i="7"/>
  <c r="AC63" i="7"/>
  <c r="AC64" i="7"/>
  <c r="AC65" i="7"/>
  <c r="AC66" i="7"/>
  <c r="AC67" i="7"/>
  <c r="AC68" i="7"/>
  <c r="AC69" i="7"/>
  <c r="AC70" i="7"/>
  <c r="AC71" i="7"/>
  <c r="AC72" i="7"/>
  <c r="AC73" i="7"/>
  <c r="AC74" i="7"/>
  <c r="AC75" i="7"/>
  <c r="AC76" i="7"/>
  <c r="AC77" i="7"/>
  <c r="AC78" i="7"/>
  <c r="AC79" i="7"/>
  <c r="AC80" i="7"/>
  <c r="AC81" i="7"/>
  <c r="AC82" i="7"/>
  <c r="AC83" i="7"/>
  <c r="AC84" i="7"/>
  <c r="AC85" i="7"/>
  <c r="AC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A4" i="7"/>
  <c r="Y5" i="7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Y70" i="7"/>
  <c r="Y71" i="7"/>
  <c r="Y72" i="7"/>
  <c r="Y73" i="7"/>
  <c r="Y74" i="7"/>
  <c r="Y75" i="7"/>
  <c r="Y76" i="7"/>
  <c r="Y77" i="7"/>
  <c r="Y78" i="7"/>
  <c r="Y79" i="7"/>
  <c r="Y80" i="7"/>
  <c r="Y81" i="7"/>
  <c r="Y82" i="7"/>
  <c r="Y83" i="7"/>
  <c r="Y84" i="7"/>
  <c r="Y85" i="7"/>
  <c r="Y4" i="7"/>
  <c r="I78" i="16" a="1"/>
  <c r="I78" i="16" s="1"/>
  <c r="I76" i="16" a="1"/>
  <c r="I76" i="16" s="1"/>
  <c r="I75" i="16" a="1"/>
  <c r="I75" i="16" s="1"/>
  <c r="I74" i="16" a="1"/>
  <c r="I74" i="16" s="1"/>
  <c r="I73" i="16" a="1"/>
  <c r="I73" i="16" s="1"/>
  <c r="I72" i="16" a="1"/>
  <c r="I72" i="16" s="1"/>
  <c r="I71" i="16" a="1"/>
  <c r="I71" i="16" s="1"/>
  <c r="I70" i="16" a="1"/>
  <c r="I70" i="16" s="1"/>
  <c r="I69" i="16" a="1"/>
  <c r="I69" i="16" s="1"/>
  <c r="I68" i="16" a="1"/>
  <c r="I68" i="16" s="1"/>
  <c r="I67" i="16" a="1"/>
  <c r="I67" i="16" s="1"/>
  <c r="I66" i="16" a="1"/>
  <c r="I66" i="16" s="1"/>
  <c r="I65" i="16" a="1"/>
  <c r="I65" i="16" s="1"/>
  <c r="I64" i="16" a="1"/>
  <c r="I64" i="16" s="1"/>
  <c r="I63" i="16" a="1"/>
  <c r="I63" i="16" s="1"/>
  <c r="I62" i="16" a="1"/>
  <c r="I62" i="16" s="1"/>
  <c r="I61" i="16" a="1"/>
  <c r="I61" i="16" s="1"/>
  <c r="I60" i="16" a="1"/>
  <c r="I60" i="16" s="1"/>
  <c r="I59" i="16" a="1"/>
  <c r="I59" i="16" s="1"/>
  <c r="I58" i="16" a="1"/>
  <c r="I58" i="16" s="1"/>
  <c r="I57" i="16" a="1"/>
  <c r="I57" i="16" s="1"/>
  <c r="I56" i="16" a="1"/>
  <c r="I56" i="16" s="1"/>
  <c r="I55" i="16" a="1"/>
  <c r="I55" i="16" s="1"/>
  <c r="I54" i="16" a="1"/>
  <c r="I54" i="16" s="1"/>
  <c r="I52" i="16" a="1"/>
  <c r="I52" i="16" s="1"/>
  <c r="I51" i="16" a="1"/>
  <c r="I51" i="16" s="1"/>
  <c r="I50" i="16" a="1"/>
  <c r="I50" i="16" s="1"/>
  <c r="I49" i="16" a="1"/>
  <c r="I49" i="16" s="1"/>
  <c r="I48" i="16" a="1"/>
  <c r="I48" i="16" s="1"/>
  <c r="I47" i="16" a="1"/>
  <c r="I47" i="16" s="1"/>
  <c r="I46" i="16" a="1"/>
  <c r="I46" i="16" s="1"/>
  <c r="I45" i="16" a="1"/>
  <c r="I45" i="16" s="1"/>
  <c r="I44" i="16" a="1"/>
  <c r="I44" i="16" s="1"/>
  <c r="I42" i="16" a="1"/>
  <c r="I42" i="16" s="1"/>
  <c r="I41" i="16" a="1"/>
  <c r="I41" i="16" s="1"/>
  <c r="I40" i="16" a="1"/>
  <c r="I40" i="16" s="1"/>
  <c r="I39" i="16" a="1"/>
  <c r="I39" i="16" s="1"/>
  <c r="I38" i="16" a="1"/>
  <c r="I38" i="16" s="1"/>
  <c r="I37" i="16" a="1"/>
  <c r="I37" i="16" s="1"/>
  <c r="I36" i="16" a="1"/>
  <c r="I36" i="16" s="1"/>
  <c r="I35" i="16" a="1"/>
  <c r="I35" i="16" s="1"/>
  <c r="I34" i="16" a="1"/>
  <c r="I34" i="16" s="1"/>
  <c r="I33" i="16" a="1"/>
  <c r="I33" i="16" s="1"/>
  <c r="I32" i="16" a="1"/>
  <c r="I32" i="16" s="1"/>
  <c r="I31" i="16" a="1"/>
  <c r="I31" i="16" s="1"/>
  <c r="I30" i="16" a="1"/>
  <c r="I30" i="16" s="1"/>
  <c r="I29" i="16" a="1"/>
  <c r="I29" i="16" s="1"/>
  <c r="I28" i="16" a="1"/>
  <c r="I28" i="16" s="1"/>
  <c r="I27" i="16" a="1"/>
  <c r="I27" i="16" s="1"/>
  <c r="I26" i="16" a="1"/>
  <c r="I26" i="16" s="1"/>
  <c r="I25" i="16" a="1"/>
  <c r="I25" i="16" s="1"/>
  <c r="F54" i="16" a="1"/>
  <c r="F54" i="16" s="1"/>
  <c r="L54" i="16" a="1"/>
  <c r="L54" i="16" s="1"/>
  <c r="D54" i="16" a="1"/>
  <c r="D54" i="16" s="1"/>
  <c r="K54" i="16" a="1"/>
  <c r="K54" i="16" s="1"/>
  <c r="H70" i="16" a="1"/>
  <c r="H70" i="16" s="1"/>
  <c r="K70" i="16" a="1"/>
  <c r="K70" i="16" s="1"/>
  <c r="D70" i="16" a="1"/>
  <c r="D70" i="16" s="1"/>
  <c r="L70" i="16" a="1"/>
  <c r="L70" i="16" s="1"/>
  <c r="F70" i="16" a="1"/>
  <c r="F70" i="16" s="1"/>
  <c r="B70" i="16" a="1"/>
  <c r="B70" i="16" s="1"/>
  <c r="H78" i="16" a="1"/>
  <c r="H78" i="16" s="1"/>
  <c r="H77" i="16" a="1"/>
  <c r="H77" i="16" s="1"/>
  <c r="H76" i="16" a="1"/>
  <c r="H76" i="16" s="1"/>
  <c r="H75" i="16" a="1"/>
  <c r="H75" i="16" s="1"/>
  <c r="H72" i="16" a="1"/>
  <c r="H72" i="16" s="1"/>
  <c r="H69" i="16" a="1"/>
  <c r="H69" i="16" s="1"/>
  <c r="H33" i="16" a="1"/>
  <c r="H33" i="16" s="1"/>
  <c r="H66" i="16" a="1"/>
  <c r="H66" i="16" s="1"/>
  <c r="H74" i="16" a="1"/>
  <c r="H74" i="16" s="1"/>
  <c r="H62" i="16" a="1"/>
  <c r="H62" i="16" s="1"/>
  <c r="H64" i="16" a="1"/>
  <c r="H64" i="16" s="1"/>
  <c r="H48" i="16" a="1"/>
  <c r="H48" i="16" s="1"/>
  <c r="H71" i="16" a="1"/>
  <c r="H71" i="16" s="1"/>
  <c r="H73" i="16" a="1"/>
  <c r="H73" i="16" s="1"/>
  <c r="H68" i="16" a="1"/>
  <c r="H68" i="16" s="1"/>
  <c r="H67" i="16" a="1"/>
  <c r="H67" i="16" s="1"/>
  <c r="H65" i="16" a="1"/>
  <c r="H65" i="16" s="1"/>
  <c r="H63" i="16" a="1"/>
  <c r="H63" i="16" s="1"/>
  <c r="H61" i="16" a="1"/>
  <c r="H61" i="16" s="1"/>
  <c r="H60" i="16" a="1"/>
  <c r="H60" i="16" s="1"/>
  <c r="H59" i="16" a="1"/>
  <c r="H59" i="16" s="1"/>
  <c r="H58" i="16" a="1"/>
  <c r="H58" i="16" s="1"/>
  <c r="H57" i="16" a="1"/>
  <c r="H57" i="16" s="1"/>
  <c r="H56" i="16" a="1"/>
  <c r="H56" i="16" s="1"/>
  <c r="H55" i="16" a="1"/>
  <c r="H55" i="16" s="1"/>
  <c r="H54" i="16" a="1"/>
  <c r="H54" i="16" s="1"/>
  <c r="H53" i="16" a="1"/>
  <c r="H53" i="16" s="1"/>
  <c r="H52" i="16" a="1"/>
  <c r="H52" i="16" s="1"/>
  <c r="H51" i="16" a="1"/>
  <c r="H51" i="16" s="1"/>
  <c r="H50" i="16" a="1"/>
  <c r="H50" i="16" s="1"/>
  <c r="H49" i="16" a="1"/>
  <c r="H49" i="16" s="1"/>
  <c r="H47" i="16" a="1"/>
  <c r="H47" i="16" s="1"/>
  <c r="H46" i="16" a="1"/>
  <c r="H46" i="16" s="1"/>
  <c r="H45" i="16" a="1"/>
  <c r="H45" i="16" s="1"/>
  <c r="H44" i="16" a="1"/>
  <c r="H44" i="16" s="1"/>
  <c r="H42" i="16" a="1"/>
  <c r="H42" i="16" s="1"/>
  <c r="H41" i="16" a="1"/>
  <c r="H41" i="16" s="1"/>
  <c r="H40" i="16" a="1"/>
  <c r="H40" i="16" s="1"/>
  <c r="H39" i="16" a="1"/>
  <c r="H39" i="16" s="1"/>
  <c r="H38" i="16" a="1"/>
  <c r="H38" i="16" s="1"/>
  <c r="H37" i="16" a="1"/>
  <c r="H37" i="16" s="1"/>
  <c r="H36" i="16" a="1"/>
  <c r="H36" i="16" s="1"/>
  <c r="H35" i="16" a="1"/>
  <c r="H35" i="16" s="1"/>
  <c r="H34" i="16" a="1"/>
  <c r="H34" i="16" s="1"/>
  <c r="H32" i="16" a="1"/>
  <c r="H32" i="16" s="1"/>
  <c r="H31" i="16" a="1"/>
  <c r="H31" i="16" s="1"/>
  <c r="H30" i="16" a="1"/>
  <c r="H30" i="16" s="1"/>
  <c r="H29" i="16" a="1"/>
  <c r="H29" i="16" s="1"/>
  <c r="H28" i="16" a="1"/>
  <c r="H28" i="16" s="1"/>
  <c r="H27" i="16" a="1"/>
  <c r="H27" i="16" s="1"/>
  <c r="H26" i="16" a="1"/>
  <c r="H26" i="16" s="1"/>
  <c r="H25" i="16" a="1"/>
  <c r="H25" i="16" s="1"/>
  <c r="H24" i="16" a="1"/>
  <c r="H24" i="16" s="1"/>
  <c r="H23" i="16" a="1"/>
  <c r="H23" i="16" s="1"/>
  <c r="H22" i="16" a="1"/>
  <c r="H22" i="16" s="1"/>
  <c r="H21" i="16" a="1"/>
  <c r="H21" i="16" s="1"/>
  <c r="H20" i="16" a="1"/>
  <c r="H20" i="16" s="1"/>
  <c r="H19" i="16" a="1"/>
  <c r="H19" i="16" s="1"/>
  <c r="H18" i="16" a="1"/>
  <c r="H18" i="16" s="1"/>
  <c r="H15" i="16" a="1"/>
  <c r="H15" i="16" s="1"/>
  <c r="H17" i="16" a="1"/>
  <c r="H17" i="16" s="1"/>
  <c r="H16" i="16" a="1"/>
  <c r="H16" i="16" s="1"/>
  <c r="H14" i="16" a="1"/>
  <c r="H14" i="16" s="1"/>
  <c r="H13" i="16" a="1"/>
  <c r="H13" i="16" s="1"/>
  <c r="H12" i="16" a="1"/>
  <c r="H12" i="16" s="1"/>
  <c r="H11" i="16" a="1"/>
  <c r="H11" i="16" s="1"/>
  <c r="H10" i="16" a="1"/>
  <c r="H10" i="16" s="1"/>
  <c r="H9" i="16" a="1"/>
  <c r="H9" i="16" s="1"/>
  <c r="H8" i="16" a="1"/>
  <c r="H8" i="16" s="1"/>
  <c r="H7" i="16" a="1"/>
  <c r="H7" i="16" s="1"/>
  <c r="H6" i="16" a="1"/>
  <c r="H6" i="16" s="1"/>
  <c r="H5" i="16" a="1"/>
  <c r="H5" i="16" s="1"/>
  <c r="H4" i="16" a="1"/>
  <c r="H4" i="16" s="1"/>
  <c r="F78" i="16" a="1"/>
  <c r="F78" i="16" s="1"/>
  <c r="L78" i="16" a="1"/>
  <c r="L78" i="16" s="1"/>
  <c r="D78" i="16" a="1"/>
  <c r="D78" i="16" s="1"/>
  <c r="K78" i="16" a="1"/>
  <c r="K78" i="16" s="1"/>
  <c r="F76" i="16" a="1"/>
  <c r="F76" i="16" s="1"/>
  <c r="L76" i="16" a="1"/>
  <c r="L76" i="16" s="1"/>
  <c r="D76" i="16" a="1"/>
  <c r="D76" i="16" s="1"/>
  <c r="K76" i="16" a="1"/>
  <c r="K76" i="16" s="1"/>
  <c r="F75" i="16" a="1"/>
  <c r="F75" i="16" s="1"/>
  <c r="L75" i="16" a="1"/>
  <c r="L75" i="16" s="1"/>
  <c r="D75" i="16" a="1"/>
  <c r="D75" i="16" s="1"/>
  <c r="K75" i="16" a="1"/>
  <c r="K75" i="16" s="1"/>
  <c r="F72" i="16" a="1"/>
  <c r="F72" i="16" s="1"/>
  <c r="L72" i="16" a="1"/>
  <c r="L72" i="16" s="1"/>
  <c r="D72" i="16" a="1"/>
  <c r="D72" i="16" s="1"/>
  <c r="K72" i="16" a="1"/>
  <c r="K72" i="16" s="1"/>
  <c r="F69" i="16" a="1"/>
  <c r="F69" i="16" s="1"/>
  <c r="L69" i="16" a="1"/>
  <c r="L69" i="16" s="1"/>
  <c r="D69" i="16" a="1"/>
  <c r="D69" i="16" s="1"/>
  <c r="K69" i="16" a="1"/>
  <c r="K69" i="16" s="1"/>
  <c r="F33" i="16" a="1"/>
  <c r="F33" i="16" s="1"/>
  <c r="L33" i="16" a="1"/>
  <c r="L33" i="16" s="1"/>
  <c r="D33" i="16" a="1"/>
  <c r="D33" i="16" s="1"/>
  <c r="K33" i="16" a="1"/>
  <c r="K33" i="16" s="1"/>
  <c r="F66" i="16" a="1"/>
  <c r="F66" i="16" s="1"/>
  <c r="L66" i="16" a="1"/>
  <c r="L66" i="16" s="1"/>
  <c r="D66" i="16" a="1"/>
  <c r="D66" i="16" s="1"/>
  <c r="K66" i="16" a="1"/>
  <c r="K66" i="16" s="1"/>
  <c r="F74" i="16" a="1"/>
  <c r="F74" i="16" s="1"/>
  <c r="L74" i="16" a="1"/>
  <c r="L74" i="16" s="1"/>
  <c r="D74" i="16" a="1"/>
  <c r="D74" i="16" s="1"/>
  <c r="K74" i="16" a="1"/>
  <c r="K74" i="16" s="1"/>
  <c r="F62" i="16" a="1"/>
  <c r="F62" i="16" s="1"/>
  <c r="L62" i="16" a="1"/>
  <c r="L62" i="16" s="1"/>
  <c r="D62" i="16" a="1"/>
  <c r="D62" i="16" s="1"/>
  <c r="K62" i="16" a="1"/>
  <c r="K62" i="16" s="1"/>
  <c r="F64" i="16" a="1"/>
  <c r="F64" i="16" s="1"/>
  <c r="L64" i="16" a="1"/>
  <c r="L64" i="16" s="1"/>
  <c r="D64" i="16" a="1"/>
  <c r="D64" i="16" s="1"/>
  <c r="K64" i="16" a="1"/>
  <c r="K64" i="16" s="1"/>
  <c r="F48" i="16" a="1"/>
  <c r="F48" i="16" s="1"/>
  <c r="L48" i="16" a="1"/>
  <c r="L48" i="16" s="1"/>
  <c r="D48" i="16" a="1"/>
  <c r="D48" i="16" s="1"/>
  <c r="K48" i="16" a="1"/>
  <c r="K48" i="16" s="1"/>
  <c r="F71" i="16" a="1"/>
  <c r="F71" i="16" s="1"/>
  <c r="L71" i="16" a="1"/>
  <c r="L71" i="16" s="1"/>
  <c r="D71" i="16" a="1"/>
  <c r="D71" i="16" s="1"/>
  <c r="K71" i="16" a="1"/>
  <c r="K71" i="16" s="1"/>
  <c r="F73" i="16" a="1"/>
  <c r="F73" i="16" s="1"/>
  <c r="L73" i="16" a="1"/>
  <c r="L73" i="16" s="1"/>
  <c r="D73" i="16" a="1"/>
  <c r="D73" i="16" s="1"/>
  <c r="K73" i="16" a="1"/>
  <c r="K73" i="16" s="1"/>
  <c r="F68" i="16" a="1"/>
  <c r="F68" i="16" s="1"/>
  <c r="L68" i="16" a="1"/>
  <c r="L68" i="16" s="1"/>
  <c r="D68" i="16" a="1"/>
  <c r="D68" i="16" s="1"/>
  <c r="K68" i="16" a="1"/>
  <c r="K68" i="16" s="1"/>
  <c r="F67" i="16" a="1"/>
  <c r="F67" i="16" s="1"/>
  <c r="L67" i="16" a="1"/>
  <c r="L67" i="16" s="1"/>
  <c r="D67" i="16" a="1"/>
  <c r="D67" i="16" s="1"/>
  <c r="K67" i="16" a="1"/>
  <c r="K67" i="16" s="1"/>
  <c r="F65" i="16" a="1"/>
  <c r="F65" i="16" s="1"/>
  <c r="L65" i="16" a="1"/>
  <c r="L65" i="16" s="1"/>
  <c r="D65" i="16" a="1"/>
  <c r="D65" i="16" s="1"/>
  <c r="K65" i="16" a="1"/>
  <c r="K65" i="16" s="1"/>
  <c r="F63" i="16" a="1"/>
  <c r="F63" i="16" s="1"/>
  <c r="L63" i="16" a="1"/>
  <c r="L63" i="16" s="1"/>
  <c r="D63" i="16" a="1"/>
  <c r="D63" i="16" s="1"/>
  <c r="K63" i="16" a="1"/>
  <c r="K63" i="16" s="1"/>
  <c r="F61" i="16" a="1"/>
  <c r="F61" i="16" s="1"/>
  <c r="L61" i="16" a="1"/>
  <c r="L61" i="16" s="1"/>
  <c r="D61" i="16" a="1"/>
  <c r="D61" i="16" s="1"/>
  <c r="K61" i="16" a="1"/>
  <c r="K61" i="16" s="1"/>
  <c r="F60" i="16" a="1"/>
  <c r="F60" i="16" s="1"/>
  <c r="L60" i="16" a="1"/>
  <c r="L60" i="16" s="1"/>
  <c r="D60" i="16" a="1"/>
  <c r="D60" i="16" s="1"/>
  <c r="K60" i="16" a="1"/>
  <c r="K60" i="16" s="1"/>
  <c r="F59" i="16" a="1"/>
  <c r="F59" i="16" s="1"/>
  <c r="L59" i="16" a="1"/>
  <c r="L59" i="16" s="1"/>
  <c r="D59" i="16" a="1"/>
  <c r="D59" i="16" s="1"/>
  <c r="K59" i="16" a="1"/>
  <c r="K59" i="16" s="1"/>
  <c r="F58" i="16" a="1"/>
  <c r="F58" i="16" s="1"/>
  <c r="L58" i="16" a="1"/>
  <c r="L58" i="16" s="1"/>
  <c r="D58" i="16" a="1"/>
  <c r="D58" i="16" s="1"/>
  <c r="K58" i="16" a="1"/>
  <c r="K58" i="16" s="1"/>
  <c r="F57" i="16" a="1"/>
  <c r="F57" i="16" s="1"/>
  <c r="L57" i="16" a="1"/>
  <c r="L57" i="16" s="1"/>
  <c r="D57" i="16" a="1"/>
  <c r="D57" i="16" s="1"/>
  <c r="K57" i="16" a="1"/>
  <c r="K57" i="16" s="1"/>
  <c r="F56" i="16" a="1"/>
  <c r="F56" i="16" s="1"/>
  <c r="L56" i="16" a="1"/>
  <c r="L56" i="16" s="1"/>
  <c r="D56" i="16" a="1"/>
  <c r="D56" i="16" s="1"/>
  <c r="K56" i="16" a="1"/>
  <c r="K56" i="16" s="1"/>
  <c r="F55" i="16" a="1"/>
  <c r="F55" i="16" s="1"/>
  <c r="L55" i="16" a="1"/>
  <c r="L55" i="16" s="1"/>
  <c r="D55" i="16" a="1"/>
  <c r="D55" i="16" s="1"/>
  <c r="K55" i="16" a="1"/>
  <c r="K55" i="16" s="1"/>
  <c r="F52" i="16" a="1"/>
  <c r="F52" i="16" s="1"/>
  <c r="L52" i="16" a="1"/>
  <c r="L52" i="16" s="1"/>
  <c r="D52" i="16" a="1"/>
  <c r="D52" i="16" s="1"/>
  <c r="K52" i="16" a="1"/>
  <c r="K52" i="16" s="1"/>
  <c r="F51" i="16" a="1"/>
  <c r="F51" i="16" s="1"/>
  <c r="L51" i="16" a="1"/>
  <c r="L51" i="16" s="1"/>
  <c r="D51" i="16" a="1"/>
  <c r="D51" i="16" s="1"/>
  <c r="K51" i="16" a="1"/>
  <c r="K51" i="16" s="1"/>
  <c r="F50" i="16" a="1"/>
  <c r="F50" i="16" s="1"/>
  <c r="L50" i="16" a="1"/>
  <c r="L50" i="16" s="1"/>
  <c r="D50" i="16" a="1"/>
  <c r="D50" i="16" s="1"/>
  <c r="K50" i="16" a="1"/>
  <c r="K50" i="16" s="1"/>
  <c r="F49" i="16" a="1"/>
  <c r="F49" i="16" s="1"/>
  <c r="L49" i="16" a="1"/>
  <c r="L49" i="16" s="1"/>
  <c r="D49" i="16" a="1"/>
  <c r="D49" i="16" s="1"/>
  <c r="K49" i="16" a="1"/>
  <c r="K49" i="16" s="1"/>
  <c r="F47" i="16" a="1"/>
  <c r="F47" i="16" s="1"/>
  <c r="L47" i="16" a="1"/>
  <c r="L47" i="16" s="1"/>
  <c r="D47" i="16" a="1"/>
  <c r="D47" i="16" s="1"/>
  <c r="K47" i="16" a="1"/>
  <c r="K47" i="16" s="1"/>
  <c r="F46" i="16" a="1"/>
  <c r="F46" i="16" s="1"/>
  <c r="L46" i="16" a="1"/>
  <c r="L46" i="16" s="1"/>
  <c r="D46" i="16" a="1"/>
  <c r="D46" i="16" s="1"/>
  <c r="K46" i="16" a="1"/>
  <c r="K46" i="16" s="1"/>
  <c r="F45" i="16" a="1"/>
  <c r="F45" i="16" s="1"/>
  <c r="L45" i="16" a="1"/>
  <c r="L45" i="16" s="1"/>
  <c r="D45" i="16" a="1"/>
  <c r="D45" i="16" s="1"/>
  <c r="K45" i="16" a="1"/>
  <c r="K45" i="16" s="1"/>
  <c r="F44" i="16" a="1"/>
  <c r="F44" i="16" s="1"/>
  <c r="L44" i="16" a="1"/>
  <c r="L44" i="16" s="1"/>
  <c r="D44" i="16" a="1"/>
  <c r="D44" i="16" s="1"/>
  <c r="K44" i="16" a="1"/>
  <c r="K44" i="16" s="1"/>
  <c r="L43" i="16" a="1"/>
  <c r="L43" i="16" s="1"/>
  <c r="D43" i="16" a="1"/>
  <c r="D43" i="16" s="1"/>
  <c r="K43" i="16" a="1"/>
  <c r="K43" i="16" s="1"/>
  <c r="F42" i="16" a="1"/>
  <c r="F42" i="16" s="1"/>
  <c r="L42" i="16" a="1"/>
  <c r="L42" i="16" s="1"/>
  <c r="D42" i="16" a="1"/>
  <c r="D42" i="16" s="1"/>
  <c r="K42" i="16" a="1"/>
  <c r="K42" i="16" s="1"/>
  <c r="F41" i="16" a="1"/>
  <c r="F41" i="16" s="1"/>
  <c r="L41" i="16" a="1"/>
  <c r="L41" i="16" s="1"/>
  <c r="D41" i="16" a="1"/>
  <c r="D41" i="16" s="1"/>
  <c r="K41" i="16" a="1"/>
  <c r="K41" i="16" s="1"/>
  <c r="F40" i="16" a="1"/>
  <c r="F40" i="16" s="1"/>
  <c r="L40" i="16" a="1"/>
  <c r="L40" i="16" s="1"/>
  <c r="D40" i="16" a="1"/>
  <c r="D40" i="16" s="1"/>
  <c r="K40" i="16" a="1"/>
  <c r="K40" i="16" s="1"/>
  <c r="F39" i="16" a="1"/>
  <c r="F39" i="16" s="1"/>
  <c r="L39" i="16" a="1"/>
  <c r="L39" i="16" s="1"/>
  <c r="D39" i="16" a="1"/>
  <c r="D39" i="16" s="1"/>
  <c r="K39" i="16" a="1"/>
  <c r="K39" i="16" s="1"/>
  <c r="F38" i="16" a="1"/>
  <c r="F38" i="16" s="1"/>
  <c r="L38" i="16" a="1"/>
  <c r="L38" i="16" s="1"/>
  <c r="D38" i="16" a="1"/>
  <c r="D38" i="16" s="1"/>
  <c r="K38" i="16" a="1"/>
  <c r="K38" i="16" s="1"/>
  <c r="F37" i="16" a="1"/>
  <c r="F37" i="16" s="1"/>
  <c r="L37" i="16" a="1"/>
  <c r="L37" i="16" s="1"/>
  <c r="D37" i="16" a="1"/>
  <c r="D37" i="16" s="1"/>
  <c r="K37" i="16" a="1"/>
  <c r="K37" i="16" s="1"/>
  <c r="F36" i="16" a="1"/>
  <c r="F36" i="16" s="1"/>
  <c r="L36" i="16" a="1"/>
  <c r="L36" i="16" s="1"/>
  <c r="D36" i="16" a="1"/>
  <c r="D36" i="16" s="1"/>
  <c r="K36" i="16" a="1"/>
  <c r="K36" i="16" s="1"/>
  <c r="F35" i="16" a="1"/>
  <c r="F35" i="16" s="1"/>
  <c r="L35" i="16" a="1"/>
  <c r="L35" i="16" s="1"/>
  <c r="D35" i="16" a="1"/>
  <c r="D35" i="16" s="1"/>
  <c r="K35" i="16" a="1"/>
  <c r="K35" i="16" s="1"/>
  <c r="F34" i="16" a="1"/>
  <c r="F34" i="16" s="1"/>
  <c r="L34" i="16" a="1"/>
  <c r="L34" i="16" s="1"/>
  <c r="D34" i="16" a="1"/>
  <c r="D34" i="16" s="1"/>
  <c r="K34" i="16" a="1"/>
  <c r="K34" i="16" s="1"/>
  <c r="F32" i="16" a="1"/>
  <c r="F32" i="16" s="1"/>
  <c r="L32" i="16" a="1"/>
  <c r="L32" i="16" s="1"/>
  <c r="D32" i="16" a="1"/>
  <c r="D32" i="16" s="1"/>
  <c r="K32" i="16" a="1"/>
  <c r="K32" i="16" s="1"/>
  <c r="F31" i="16" a="1"/>
  <c r="F31" i="16" s="1"/>
  <c r="L31" i="16" a="1"/>
  <c r="L31" i="16" s="1"/>
  <c r="D31" i="16" a="1"/>
  <c r="D31" i="16" s="1"/>
  <c r="K31" i="16" a="1"/>
  <c r="K31" i="16" s="1"/>
  <c r="F30" i="16" a="1"/>
  <c r="F30" i="16" s="1"/>
  <c r="L30" i="16" a="1"/>
  <c r="L30" i="16" s="1"/>
  <c r="D30" i="16" a="1"/>
  <c r="D30" i="16" s="1"/>
  <c r="K30" i="16" a="1"/>
  <c r="K30" i="16" s="1"/>
  <c r="F29" i="16" a="1"/>
  <c r="F29" i="16" s="1"/>
  <c r="L29" i="16" a="1"/>
  <c r="L29" i="16" s="1"/>
  <c r="D29" i="16" a="1"/>
  <c r="D29" i="16" s="1"/>
  <c r="K29" i="16" a="1"/>
  <c r="K29" i="16" s="1"/>
  <c r="F28" i="16" a="1"/>
  <c r="F28" i="16" s="1"/>
  <c r="L28" i="16" a="1"/>
  <c r="L28" i="16" s="1"/>
  <c r="D28" i="16" a="1"/>
  <c r="D28" i="16" s="1"/>
  <c r="K28" i="16" a="1"/>
  <c r="K28" i="16" s="1"/>
  <c r="F27" i="16" a="1"/>
  <c r="F27" i="16" s="1"/>
  <c r="L27" i="16" a="1"/>
  <c r="L27" i="16" s="1"/>
  <c r="D27" i="16" a="1"/>
  <c r="D27" i="16" s="1"/>
  <c r="K27" i="16" a="1"/>
  <c r="K27" i="16" s="1"/>
  <c r="F26" i="16" a="1"/>
  <c r="F26" i="16" s="1"/>
  <c r="L26" i="16" a="1"/>
  <c r="L26" i="16" s="1"/>
  <c r="D26" i="16" a="1"/>
  <c r="D26" i="16" s="1"/>
  <c r="K26" i="16" a="1"/>
  <c r="K26" i="16" s="1"/>
  <c r="F25" i="16" a="1"/>
  <c r="F25" i="16" s="1"/>
  <c r="L25" i="16" a="1"/>
  <c r="L25" i="16" s="1"/>
  <c r="D25" i="16" a="1"/>
  <c r="D25" i="16" s="1"/>
  <c r="K25" i="16" a="1"/>
  <c r="K25" i="16" s="1"/>
  <c r="F24" i="16" a="1"/>
  <c r="F24" i="16" s="1"/>
  <c r="L24" i="16" a="1"/>
  <c r="L24" i="16" s="1"/>
  <c r="D24" i="16" a="1"/>
  <c r="D24" i="16" s="1"/>
  <c r="K24" i="16" a="1"/>
  <c r="K24" i="16" s="1"/>
  <c r="F23" i="16" a="1"/>
  <c r="F23" i="16" s="1"/>
  <c r="L23" i="16" a="1"/>
  <c r="L23" i="16" s="1"/>
  <c r="D23" i="16" a="1"/>
  <c r="D23" i="16" s="1"/>
  <c r="K23" i="16" a="1"/>
  <c r="K23" i="16" s="1"/>
  <c r="F22" i="16" a="1"/>
  <c r="F22" i="16" s="1"/>
  <c r="L22" i="16" a="1"/>
  <c r="L22" i="16" s="1"/>
  <c r="D22" i="16" a="1"/>
  <c r="D22" i="16" s="1"/>
  <c r="K22" i="16" a="1"/>
  <c r="K22" i="16" s="1"/>
  <c r="F21" i="16" a="1"/>
  <c r="F21" i="16" s="1"/>
  <c r="L21" i="16" a="1"/>
  <c r="L21" i="16" s="1"/>
  <c r="D21" i="16" a="1"/>
  <c r="D21" i="16" s="1"/>
  <c r="K21" i="16" a="1"/>
  <c r="K21" i="16" s="1"/>
  <c r="F20" i="16" a="1"/>
  <c r="F20" i="16" s="1"/>
  <c r="L20" i="16" a="1"/>
  <c r="L20" i="16" s="1"/>
  <c r="D20" i="16" a="1"/>
  <c r="D20" i="16" s="1"/>
  <c r="K20" i="16" a="1"/>
  <c r="K20" i="16" s="1"/>
  <c r="F19" i="16" a="1"/>
  <c r="F19" i="16" s="1"/>
  <c r="L19" i="16" a="1"/>
  <c r="L19" i="16" s="1"/>
  <c r="D19" i="16" a="1"/>
  <c r="D19" i="16" s="1"/>
  <c r="K19" i="16" a="1"/>
  <c r="K19" i="16" s="1"/>
  <c r="F18" i="16" a="1"/>
  <c r="F18" i="16" s="1"/>
  <c r="L18" i="16" a="1"/>
  <c r="L18" i="16" s="1"/>
  <c r="D18" i="16" a="1"/>
  <c r="D18" i="16" s="1"/>
  <c r="K18" i="16" a="1"/>
  <c r="K18" i="16" s="1"/>
  <c r="F15" i="16" a="1"/>
  <c r="F15" i="16" s="1"/>
  <c r="L15" i="16" a="1"/>
  <c r="L15" i="16" s="1"/>
  <c r="D15" i="16" a="1"/>
  <c r="D15" i="16" s="1"/>
  <c r="K15" i="16" a="1"/>
  <c r="K15" i="16" s="1"/>
  <c r="F17" i="16" a="1"/>
  <c r="F17" i="16" s="1"/>
  <c r="L17" i="16" a="1"/>
  <c r="L17" i="16" s="1"/>
  <c r="D17" i="16" a="1"/>
  <c r="D17" i="16" s="1"/>
  <c r="K17" i="16" a="1"/>
  <c r="K17" i="16" s="1"/>
  <c r="F16" i="16" a="1"/>
  <c r="F16" i="16" s="1"/>
  <c r="L16" i="16" a="1"/>
  <c r="L16" i="16" s="1"/>
  <c r="D16" i="16" a="1"/>
  <c r="D16" i="16" s="1"/>
  <c r="K16" i="16" a="1"/>
  <c r="K16" i="16" s="1"/>
  <c r="F14" i="16" a="1"/>
  <c r="F14" i="16" s="1"/>
  <c r="L14" i="16" a="1"/>
  <c r="L14" i="16" s="1"/>
  <c r="D14" i="16" a="1"/>
  <c r="D14" i="16" s="1"/>
  <c r="K14" i="16" a="1"/>
  <c r="K14" i="16" s="1"/>
  <c r="F13" i="16" a="1"/>
  <c r="F13" i="16" s="1"/>
  <c r="L13" i="16" a="1"/>
  <c r="L13" i="16" s="1"/>
  <c r="D13" i="16" a="1"/>
  <c r="D13" i="16" s="1"/>
  <c r="K13" i="16" a="1"/>
  <c r="K13" i="16" s="1"/>
  <c r="F12" i="16" a="1"/>
  <c r="F12" i="16" s="1"/>
  <c r="L12" i="16" a="1"/>
  <c r="L12" i="16" s="1"/>
  <c r="D12" i="16" a="1"/>
  <c r="D12" i="16" s="1"/>
  <c r="K12" i="16" a="1"/>
  <c r="K12" i="16" s="1"/>
  <c r="F11" i="16" a="1"/>
  <c r="F11" i="16" s="1"/>
  <c r="L11" i="16" a="1"/>
  <c r="L11" i="16" s="1"/>
  <c r="D11" i="16" a="1"/>
  <c r="D11" i="16" s="1"/>
  <c r="K11" i="16" a="1"/>
  <c r="K11" i="16" s="1"/>
  <c r="F10" i="16" a="1"/>
  <c r="F10" i="16" s="1"/>
  <c r="L10" i="16" a="1"/>
  <c r="L10" i="16" s="1"/>
  <c r="D10" i="16" a="1"/>
  <c r="D10" i="16" s="1"/>
  <c r="K10" i="16" a="1"/>
  <c r="K10" i="16" s="1"/>
  <c r="F9" i="16" a="1"/>
  <c r="F9" i="16" s="1"/>
  <c r="L9" i="16" a="1"/>
  <c r="L9" i="16" s="1"/>
  <c r="D9" i="16" a="1"/>
  <c r="D9" i="16" s="1"/>
  <c r="K9" i="16" a="1"/>
  <c r="K9" i="16" s="1"/>
  <c r="F8" i="16" a="1"/>
  <c r="F8" i="16" s="1"/>
  <c r="L8" i="16" a="1"/>
  <c r="L8" i="16" s="1"/>
  <c r="D8" i="16" a="1"/>
  <c r="D8" i="16" s="1"/>
  <c r="K8" i="16" a="1"/>
  <c r="K8" i="16" s="1"/>
  <c r="F7" i="16" a="1"/>
  <c r="F7" i="16" s="1"/>
  <c r="L7" i="16" a="1"/>
  <c r="L7" i="16" s="1"/>
  <c r="D7" i="16" a="1"/>
  <c r="D7" i="16" s="1"/>
  <c r="K7" i="16" a="1"/>
  <c r="K7" i="16" s="1"/>
  <c r="F6" i="16" a="1"/>
  <c r="F6" i="16" s="1"/>
  <c r="L6" i="16" a="1"/>
  <c r="L6" i="16" s="1"/>
  <c r="D6" i="16" a="1"/>
  <c r="D6" i="16" s="1"/>
  <c r="K6" i="16" a="1"/>
  <c r="K6" i="16" s="1"/>
  <c r="F5" i="16" a="1"/>
  <c r="F5" i="16" s="1"/>
  <c r="L5" i="16" a="1"/>
  <c r="L5" i="16" s="1"/>
  <c r="D5" i="16" a="1"/>
  <c r="D5" i="16" s="1"/>
  <c r="K5" i="16" a="1"/>
  <c r="K5" i="16" s="1"/>
  <c r="F4" i="16" a="1"/>
  <c r="F4" i="16" s="1"/>
  <c r="L4" i="16" a="1"/>
  <c r="L4" i="16" s="1"/>
  <c r="D4" i="16" a="1"/>
  <c r="D4" i="16" s="1"/>
  <c r="K4" i="16" a="1"/>
  <c r="K4" i="16" s="1"/>
  <c r="F3" i="16" a="1"/>
  <c r="F3" i="16" s="1"/>
  <c r="L3" i="16" a="1"/>
  <c r="L3" i="16" s="1"/>
  <c r="D3" i="16" a="1"/>
  <c r="D3" i="16" s="1"/>
  <c r="H3" i="16" a="1"/>
  <c r="H3" i="16" s="1"/>
  <c r="K3" i="16" a="1"/>
  <c r="K3" i="16" s="1"/>
  <c r="N3" i="16" a="1"/>
  <c r="N3" i="16" s="1"/>
  <c r="M3" i="16" a="1"/>
  <c r="M3" i="16" s="1"/>
  <c r="B67" i="16" a="1"/>
  <c r="B67" i="16" s="1"/>
  <c r="B54" i="16" a="1"/>
  <c r="B54" i="16" s="1"/>
  <c r="B53" i="16" a="1"/>
  <c r="B53" i="16" s="1"/>
  <c r="B49" i="16" a="1"/>
  <c r="B49" i="16" s="1"/>
  <c r="B46" i="16" a="1"/>
  <c r="B46" i="16" s="1"/>
  <c r="B37" i="16" a="1"/>
  <c r="B37" i="16" s="1"/>
  <c r="B38" i="16" a="1"/>
  <c r="B38" i="16" s="1"/>
  <c r="B39" i="16" a="1"/>
  <c r="B39" i="16" s="1"/>
  <c r="B65" i="16" a="1"/>
  <c r="B65" i="16" s="1"/>
  <c r="B89" i="16" a="1"/>
  <c r="B89" i="16" s="1"/>
  <c r="B88" i="16" a="1"/>
  <c r="B88" i="16" s="1"/>
  <c r="B87" i="16" a="1"/>
  <c r="B87" i="16" s="1"/>
  <c r="B86" i="16" a="1"/>
  <c r="B86" i="16" s="1"/>
  <c r="B85" i="16" a="1"/>
  <c r="B85" i="16" s="1"/>
  <c r="B84" i="16" a="1"/>
  <c r="B84" i="16" s="1"/>
  <c r="B83" i="16" a="1"/>
  <c r="B83" i="16" s="1"/>
  <c r="B82" i="16" a="1"/>
  <c r="B82" i="16" s="1"/>
  <c r="B81" i="16" a="1"/>
  <c r="B81" i="16" s="1"/>
  <c r="B80" i="16" a="1"/>
  <c r="B80" i="16" s="1"/>
  <c r="B79" i="16" a="1"/>
  <c r="B79" i="16" s="1"/>
  <c r="B78" i="16" a="1"/>
  <c r="B78" i="16" s="1"/>
  <c r="T70" i="16"/>
  <c r="P70" i="16"/>
  <c r="B77" i="16" a="1"/>
  <c r="B77" i="16" s="1"/>
  <c r="T69" i="16"/>
  <c r="B76" i="16" a="1"/>
  <c r="B76" i="16" s="1"/>
  <c r="B75" i="16" a="1"/>
  <c r="B75" i="16" s="1"/>
  <c r="B72" i="16" a="1"/>
  <c r="B72" i="16" s="1"/>
  <c r="B69" i="16" a="1"/>
  <c r="B69" i="16" s="1"/>
  <c r="B57" i="16" a="1"/>
  <c r="B57" i="16" s="1"/>
  <c r="T64" i="16"/>
  <c r="B51" i="16" a="1"/>
  <c r="B51" i="16" s="1"/>
  <c r="T63" i="16"/>
  <c r="B45" i="16" a="1"/>
  <c r="B45" i="16" s="1"/>
  <c r="T62" i="16"/>
  <c r="B33" i="16" a="1"/>
  <c r="B33" i="16" s="1"/>
  <c r="T61" i="16"/>
  <c r="B31" i="16" a="1"/>
  <c r="B31" i="16" s="1"/>
  <c r="T60" i="16"/>
  <c r="B60" i="16" a="1"/>
  <c r="B60" i="16" s="1"/>
  <c r="T59" i="16"/>
  <c r="P59" i="16"/>
  <c r="P60" i="16" s="1"/>
  <c r="P61" i="16" s="1"/>
  <c r="P62" i="16" s="1"/>
  <c r="P63" i="16" s="1"/>
  <c r="B35" i="16" a="1"/>
  <c r="B35" i="16" s="1"/>
  <c r="T58" i="16"/>
  <c r="B66" i="16" a="1"/>
  <c r="B66" i="16" s="1"/>
  <c r="B26" i="16" a="1"/>
  <c r="B26" i="16" s="1"/>
  <c r="B74" i="16" a="1"/>
  <c r="B74" i="16" s="1"/>
  <c r="B55" i="16" a="1"/>
  <c r="B55" i="16" s="1"/>
  <c r="T53" i="16"/>
  <c r="B52" i="16" a="1"/>
  <c r="B52" i="16" s="1"/>
  <c r="T52" i="16"/>
  <c r="B56" i="16" a="1"/>
  <c r="B56" i="16" s="1"/>
  <c r="T51" i="16"/>
  <c r="B50" i="16" a="1"/>
  <c r="B50" i="16" s="1"/>
  <c r="T50" i="16"/>
  <c r="B44" i="16" a="1"/>
  <c r="B44" i="16" s="1"/>
  <c r="T49" i="16"/>
  <c r="B62" i="16" a="1"/>
  <c r="B62" i="16" s="1"/>
  <c r="T48" i="16"/>
  <c r="B61" i="16" a="1"/>
  <c r="B61" i="16" s="1"/>
  <c r="B64" i="16" a="1"/>
  <c r="B64" i="16" s="1"/>
  <c r="B63" i="16" a="1"/>
  <c r="B63" i="16" s="1"/>
  <c r="T45" i="16"/>
  <c r="P45" i="16"/>
  <c r="B48" i="16" a="1"/>
  <c r="B48" i="16" s="1"/>
  <c r="T44" i="16"/>
  <c r="B47" i="16" a="1"/>
  <c r="B47" i="16" s="1"/>
  <c r="B43" i="16" a="1"/>
  <c r="B43" i="16" s="1"/>
  <c r="B42" i="16" a="1"/>
  <c r="B42" i="16" s="1"/>
  <c r="B41" i="16" a="1"/>
  <c r="B41" i="16" s="1"/>
  <c r="B40" i="16" a="1"/>
  <c r="B40" i="16" s="1"/>
  <c r="B71" i="16" a="1"/>
  <c r="B71" i="16" s="1"/>
  <c r="B73" i="16" a="1"/>
  <c r="B73" i="16" s="1"/>
  <c r="B68" i="16" a="1"/>
  <c r="B68" i="16" s="1"/>
  <c r="B29" i="16" a="1"/>
  <c r="B29" i="16" s="1"/>
  <c r="T34" i="16"/>
  <c r="B27" i="16" a="1"/>
  <c r="B27" i="16" s="1"/>
  <c r="T33" i="16"/>
  <c r="B28" i="16" a="1"/>
  <c r="B28" i="16" s="1"/>
  <c r="B32" i="16" a="1"/>
  <c r="B32" i="16" s="1"/>
  <c r="B30" i="16" a="1"/>
  <c r="B30" i="16" s="1"/>
  <c r="B59" i="16" a="1"/>
  <c r="B59" i="16" s="1"/>
  <c r="T29" i="16"/>
  <c r="B58" i="16" a="1"/>
  <c r="B58" i="16" s="1"/>
  <c r="B34" i="16" a="1"/>
  <c r="B34" i="16" s="1"/>
  <c r="T27" i="16"/>
  <c r="T26" i="16"/>
  <c r="B36" i="16" a="1"/>
  <c r="B36" i="16" s="1"/>
  <c r="T25" i="16"/>
  <c r="B25" i="16" a="1"/>
  <c r="B25" i="16" s="1"/>
  <c r="J24" i="16" a="1"/>
  <c r="J24" i="16" s="1"/>
  <c r="B24" i="16" a="1"/>
  <c r="B24" i="16" s="1"/>
  <c r="J23" i="16" a="1"/>
  <c r="J23" i="16" s="1"/>
  <c r="B23" i="16" a="1"/>
  <c r="B23" i="16" s="1"/>
  <c r="J22" i="16" a="1"/>
  <c r="J22" i="16" s="1"/>
  <c r="B22" i="16" a="1"/>
  <c r="B22" i="16" s="1"/>
  <c r="J21" i="16" a="1"/>
  <c r="J21" i="16" s="1"/>
  <c r="B21" i="16" a="1"/>
  <c r="B21" i="16" s="1"/>
  <c r="J20" i="16" a="1"/>
  <c r="J20" i="16" s="1"/>
  <c r="B20" i="16" a="1"/>
  <c r="B20" i="16" s="1"/>
  <c r="J19" i="16" a="1"/>
  <c r="J19" i="16" s="1"/>
  <c r="B19" i="16" a="1"/>
  <c r="B19" i="16" s="1"/>
  <c r="J18" i="16" a="1"/>
  <c r="J18" i="16" s="1"/>
  <c r="B18" i="16" a="1"/>
  <c r="B18" i="16" s="1"/>
  <c r="J15" i="16" a="1"/>
  <c r="J15" i="16" s="1"/>
  <c r="B15" i="16" a="1"/>
  <c r="B15" i="16" s="1"/>
  <c r="J17" i="16" a="1"/>
  <c r="J17" i="16" s="1"/>
  <c r="B17" i="16" a="1"/>
  <c r="B17" i="16" s="1"/>
  <c r="J16" i="16" a="1"/>
  <c r="J16" i="16" s="1"/>
  <c r="B16" i="16" a="1"/>
  <c r="B16" i="16" s="1"/>
  <c r="J14" i="16" a="1"/>
  <c r="J14" i="16" s="1"/>
  <c r="B14" i="16" a="1"/>
  <c r="B14" i="16" s="1"/>
  <c r="J13" i="16" a="1"/>
  <c r="J13" i="16" s="1"/>
  <c r="B13" i="16" a="1"/>
  <c r="B13" i="16" s="1"/>
  <c r="J12" i="16" a="1"/>
  <c r="J12" i="16" s="1"/>
  <c r="B12" i="16" a="1"/>
  <c r="B12" i="16" s="1"/>
  <c r="J11" i="16" a="1"/>
  <c r="J11" i="16" s="1"/>
  <c r="B11" i="16" a="1"/>
  <c r="B11" i="16" s="1"/>
  <c r="J10" i="16" a="1"/>
  <c r="J10" i="16" s="1"/>
  <c r="B10" i="16" a="1"/>
  <c r="B10" i="16" s="1"/>
  <c r="J9" i="16" a="1"/>
  <c r="J9" i="16" s="1"/>
  <c r="B9" i="16" a="1"/>
  <c r="B9" i="16" s="1"/>
  <c r="J8" i="16" a="1"/>
  <c r="J8" i="16" s="1"/>
  <c r="B8" i="16" a="1"/>
  <c r="B8" i="16" s="1"/>
  <c r="J7" i="16" a="1"/>
  <c r="J7" i="16" s="1"/>
  <c r="B7" i="16" a="1"/>
  <c r="B7" i="16" s="1"/>
  <c r="J6" i="16" a="1"/>
  <c r="J6" i="16" s="1"/>
  <c r="B6" i="16" a="1"/>
  <c r="B6" i="16" s="1"/>
  <c r="J5" i="16" a="1"/>
  <c r="J5" i="16" s="1"/>
  <c r="B5" i="16" a="1"/>
  <c r="B5" i="16" s="1"/>
  <c r="V4" i="16"/>
  <c r="V5" i="16" s="1"/>
  <c r="V6" i="16" s="1"/>
  <c r="V7" i="16" s="1"/>
  <c r="V8" i="16" s="1"/>
  <c r="V9" i="16" s="1"/>
  <c r="V10" i="16" s="1"/>
  <c r="V11" i="16" s="1"/>
  <c r="V12" i="16" s="1"/>
  <c r="J4" i="16" a="1"/>
  <c r="J4" i="16" s="1"/>
  <c r="B4" i="16" a="1"/>
  <c r="B4" i="16" s="1"/>
  <c r="J3" i="16" a="1"/>
  <c r="J3" i="16" s="1"/>
  <c r="B3" i="16" a="1"/>
  <c r="B3" i="16" s="1"/>
  <c r="AE2" i="16"/>
  <c r="AF2" i="16" s="1"/>
  <c r="AD6" i="25" a="1"/>
  <c r="AE5" i="25" a="1"/>
  <c r="AD4" i="16" a="1"/>
  <c r="AE3" i="16" a="1"/>
  <c r="AD6" i="16" a="1"/>
  <c r="AD5" i="16" a="1"/>
  <c r="AD4" i="25" a="1"/>
  <c r="AE4" i="25" a="1"/>
  <c r="AD3" i="25" a="1"/>
  <c r="AE6" i="16" a="1"/>
  <c r="AD5" i="25" a="1"/>
  <c r="AD3" i="16" a="1"/>
  <c r="AE5" i="16" a="1"/>
  <c r="AE4" i="25" l="1"/>
  <c r="AD5" i="25"/>
  <c r="AE5" i="25"/>
  <c r="AD6" i="25"/>
  <c r="AD3" i="25"/>
  <c r="AD4" i="25"/>
  <c r="AF2" i="25"/>
  <c r="AE3" i="16"/>
  <c r="AE5" i="16"/>
  <c r="AD6" i="16"/>
  <c r="AE6" i="16"/>
  <c r="AD4" i="16"/>
  <c r="AD5" i="16"/>
  <c r="AD3" i="16"/>
  <c r="AG2" i="16"/>
  <c r="B79" i="12" a="1"/>
  <c r="B79" i="12" s="1"/>
  <c r="AE3" i="25" a="1"/>
  <c r="AF4" i="16" a="1"/>
  <c r="AE4" i="16" a="1"/>
  <c r="AF3" i="16" a="1"/>
  <c r="AF5" i="16" a="1"/>
  <c r="AE6" i="25" a="1"/>
  <c r="AF6" i="16" a="1"/>
  <c r="AE6" i="25" l="1"/>
  <c r="AE3" i="25"/>
  <c r="AG2" i="25"/>
  <c r="AF3" i="16"/>
  <c r="AF5" i="16"/>
  <c r="AF4" i="16"/>
  <c r="AF6" i="16"/>
  <c r="AE4" i="16"/>
  <c r="AH2" i="16"/>
  <c r="B82" i="12" a="1"/>
  <c r="B82" i="12" s="1"/>
  <c r="B81" i="12" a="1"/>
  <c r="B81" i="12" s="1"/>
  <c r="B80" i="12" a="1"/>
  <c r="B80" i="12" s="1"/>
  <c r="B75" i="12" a="1"/>
  <c r="B75" i="12" s="1"/>
  <c r="B74" i="12" a="1"/>
  <c r="B74" i="12" s="1"/>
  <c r="B73" i="12" a="1"/>
  <c r="B73" i="12" s="1"/>
  <c r="B72" i="12" a="1"/>
  <c r="B72" i="12" s="1"/>
  <c r="B78" i="12" a="1"/>
  <c r="B78" i="12" s="1"/>
  <c r="B77" i="12" a="1"/>
  <c r="B77" i="12" s="1"/>
  <c r="B76" i="12" a="1"/>
  <c r="B76" i="12" s="1"/>
  <c r="L71" i="12" a="1"/>
  <c r="L71" i="12" s="1"/>
  <c r="K71" i="12" a="1"/>
  <c r="K71" i="12" s="1"/>
  <c r="J71" i="12" a="1"/>
  <c r="J71" i="12" s="1"/>
  <c r="I71" i="12" a="1"/>
  <c r="I71" i="12" s="1"/>
  <c r="H71" i="12" a="1"/>
  <c r="H71" i="12" s="1"/>
  <c r="F71" i="12" a="1"/>
  <c r="F71" i="12" s="1"/>
  <c r="B71" i="12" a="1"/>
  <c r="B71" i="12" s="1"/>
  <c r="T70" i="12"/>
  <c r="P70" i="12"/>
  <c r="L70" i="12" a="1"/>
  <c r="L70" i="12" s="1"/>
  <c r="K70" i="12" a="1"/>
  <c r="K70" i="12" s="1"/>
  <c r="J70" i="12" a="1"/>
  <c r="J70" i="12" s="1"/>
  <c r="I70" i="12" a="1"/>
  <c r="I70" i="12" s="1"/>
  <c r="H70" i="12" a="1"/>
  <c r="H70" i="12" s="1"/>
  <c r="F70" i="12" a="1"/>
  <c r="F70" i="12" s="1"/>
  <c r="B70" i="12" a="1"/>
  <c r="B70" i="12" s="1"/>
  <c r="T69" i="12"/>
  <c r="L69" i="12" a="1"/>
  <c r="L69" i="12" s="1"/>
  <c r="K69" i="12" a="1"/>
  <c r="K69" i="12" s="1"/>
  <c r="J69" i="12" a="1"/>
  <c r="J69" i="12" s="1"/>
  <c r="I69" i="12" a="1"/>
  <c r="I69" i="12" s="1"/>
  <c r="H69" i="12" a="1"/>
  <c r="H69" i="12" s="1"/>
  <c r="F69" i="12" a="1"/>
  <c r="F69" i="12" s="1"/>
  <c r="B69" i="12" a="1"/>
  <c r="B69" i="12" s="1"/>
  <c r="L68" i="12" a="1"/>
  <c r="L68" i="12" s="1"/>
  <c r="K68" i="12" a="1"/>
  <c r="K68" i="12" s="1"/>
  <c r="J68" i="12" a="1"/>
  <c r="J68" i="12" s="1"/>
  <c r="I68" i="12" a="1"/>
  <c r="I68" i="12" s="1"/>
  <c r="H68" i="12" a="1"/>
  <c r="H68" i="12" s="1"/>
  <c r="F68" i="12" a="1"/>
  <c r="F68" i="12" s="1"/>
  <c r="B68" i="12" a="1"/>
  <c r="B68" i="12" s="1"/>
  <c r="L67" i="12" a="1"/>
  <c r="L67" i="12" s="1"/>
  <c r="K67" i="12" a="1"/>
  <c r="K67" i="12" s="1"/>
  <c r="J67" i="12" a="1"/>
  <c r="J67" i="12" s="1"/>
  <c r="I67" i="12" a="1"/>
  <c r="I67" i="12" s="1"/>
  <c r="H67" i="12" a="1"/>
  <c r="H67" i="12" s="1"/>
  <c r="F67" i="12" a="1"/>
  <c r="F67" i="12" s="1"/>
  <c r="B67" i="12" a="1"/>
  <c r="B67" i="12" s="1"/>
  <c r="L66" i="12" a="1"/>
  <c r="L66" i="12" s="1"/>
  <c r="K66" i="12" a="1"/>
  <c r="K66" i="12" s="1"/>
  <c r="J66" i="12" a="1"/>
  <c r="J66" i="12" s="1"/>
  <c r="I66" i="12" a="1"/>
  <c r="I66" i="12" s="1"/>
  <c r="H66" i="12" a="1"/>
  <c r="H66" i="12" s="1"/>
  <c r="F66" i="12" a="1"/>
  <c r="F66" i="12" s="1"/>
  <c r="B66" i="12" a="1"/>
  <c r="B66" i="12" s="1"/>
  <c r="L65" i="12" a="1"/>
  <c r="L65" i="12" s="1"/>
  <c r="K65" i="12" a="1"/>
  <c r="K65" i="12" s="1"/>
  <c r="J65" i="12" a="1"/>
  <c r="J65" i="12" s="1"/>
  <c r="I65" i="12" a="1"/>
  <c r="I65" i="12" s="1"/>
  <c r="H65" i="12" a="1"/>
  <c r="H65" i="12" s="1"/>
  <c r="F65" i="12" a="1"/>
  <c r="F65" i="12" s="1"/>
  <c r="B65" i="12" a="1"/>
  <c r="B65" i="12" s="1"/>
  <c r="T64" i="12"/>
  <c r="L64" i="12" a="1"/>
  <c r="L64" i="12" s="1"/>
  <c r="K64" i="12" a="1"/>
  <c r="K64" i="12" s="1"/>
  <c r="J64" i="12" a="1"/>
  <c r="J64" i="12" s="1"/>
  <c r="I64" i="12" a="1"/>
  <c r="I64" i="12" s="1"/>
  <c r="H64" i="12" a="1"/>
  <c r="H64" i="12" s="1"/>
  <c r="F64" i="12" a="1"/>
  <c r="F64" i="12" s="1"/>
  <c r="B64" i="12" a="1"/>
  <c r="B64" i="12" s="1"/>
  <c r="T63" i="12"/>
  <c r="L63" i="12" a="1"/>
  <c r="L63" i="12" s="1"/>
  <c r="K63" i="12" a="1"/>
  <c r="K63" i="12" s="1"/>
  <c r="J63" i="12" a="1"/>
  <c r="J63" i="12" s="1"/>
  <c r="I63" i="12" a="1"/>
  <c r="I63" i="12" s="1"/>
  <c r="H63" i="12" a="1"/>
  <c r="H63" i="12" s="1"/>
  <c r="F63" i="12" a="1"/>
  <c r="F63" i="12" s="1"/>
  <c r="B63" i="12" a="1"/>
  <c r="B63" i="12" s="1"/>
  <c r="T62" i="12"/>
  <c r="L62" i="12" a="1"/>
  <c r="L62" i="12" s="1"/>
  <c r="K62" i="12" a="1"/>
  <c r="K62" i="12" s="1"/>
  <c r="J62" i="12" a="1"/>
  <c r="J62" i="12" s="1"/>
  <c r="I62" i="12" a="1"/>
  <c r="I62" i="12" s="1"/>
  <c r="H62" i="12" a="1"/>
  <c r="H62" i="12" s="1"/>
  <c r="F62" i="12" a="1"/>
  <c r="F62" i="12" s="1"/>
  <c r="B62" i="12" a="1"/>
  <c r="B62" i="12" s="1"/>
  <c r="T61" i="12"/>
  <c r="L61" i="12" a="1"/>
  <c r="L61" i="12" s="1"/>
  <c r="K61" i="12" a="1"/>
  <c r="K61" i="12" s="1"/>
  <c r="J61" i="12" a="1"/>
  <c r="J61" i="12" s="1"/>
  <c r="I61" i="12" a="1"/>
  <c r="I61" i="12" s="1"/>
  <c r="H61" i="12" a="1"/>
  <c r="H61" i="12" s="1"/>
  <c r="F61" i="12" a="1"/>
  <c r="F61" i="12" s="1"/>
  <c r="B61" i="12" a="1"/>
  <c r="B61" i="12" s="1"/>
  <c r="T60" i="12"/>
  <c r="L60" i="12" a="1"/>
  <c r="L60" i="12" s="1"/>
  <c r="K60" i="12" a="1"/>
  <c r="K60" i="12" s="1"/>
  <c r="J60" i="12" a="1"/>
  <c r="J60" i="12" s="1"/>
  <c r="I60" i="12" a="1"/>
  <c r="I60" i="12" s="1"/>
  <c r="H60" i="12" a="1"/>
  <c r="H60" i="12" s="1"/>
  <c r="F60" i="12" a="1"/>
  <c r="F60" i="12" s="1"/>
  <c r="B60" i="12" a="1"/>
  <c r="B60" i="12" s="1"/>
  <c r="T59" i="12"/>
  <c r="P59" i="12"/>
  <c r="P60" i="12" s="1"/>
  <c r="P61" i="12" s="1"/>
  <c r="P62" i="12" s="1"/>
  <c r="P63" i="12" s="1"/>
  <c r="L59" i="12" a="1"/>
  <c r="L59" i="12" s="1"/>
  <c r="K59" i="12" a="1"/>
  <c r="K59" i="12" s="1"/>
  <c r="J59" i="12" a="1"/>
  <c r="J59" i="12" s="1"/>
  <c r="I59" i="12" a="1"/>
  <c r="I59" i="12" s="1"/>
  <c r="H59" i="12" a="1"/>
  <c r="H59" i="12" s="1"/>
  <c r="F59" i="12" a="1"/>
  <c r="F59" i="12" s="1"/>
  <c r="B59" i="12" a="1"/>
  <c r="B59" i="12" s="1"/>
  <c r="T58" i="12"/>
  <c r="L58" i="12" a="1"/>
  <c r="L58" i="12" s="1"/>
  <c r="K58" i="12" a="1"/>
  <c r="K58" i="12" s="1"/>
  <c r="J58" i="12" a="1"/>
  <c r="J58" i="12" s="1"/>
  <c r="I58" i="12" a="1"/>
  <c r="I58" i="12" s="1"/>
  <c r="H58" i="12" a="1"/>
  <c r="H58" i="12" s="1"/>
  <c r="F58" i="12" a="1"/>
  <c r="F58" i="12" s="1"/>
  <c r="B58" i="12" a="1"/>
  <c r="B58" i="12" s="1"/>
  <c r="L57" i="12" a="1"/>
  <c r="L57" i="12" s="1"/>
  <c r="K57" i="12" a="1"/>
  <c r="K57" i="12" s="1"/>
  <c r="J57" i="12" a="1"/>
  <c r="J57" i="12" s="1"/>
  <c r="I57" i="12" a="1"/>
  <c r="I57" i="12" s="1"/>
  <c r="H57" i="12" a="1"/>
  <c r="H57" i="12" s="1"/>
  <c r="F57" i="12" a="1"/>
  <c r="F57" i="12" s="1"/>
  <c r="B57" i="12" a="1"/>
  <c r="B57" i="12" s="1"/>
  <c r="L56" i="12" a="1"/>
  <c r="L56" i="12" s="1"/>
  <c r="K56" i="12" a="1"/>
  <c r="K56" i="12" s="1"/>
  <c r="J56" i="12" a="1"/>
  <c r="J56" i="12" s="1"/>
  <c r="I56" i="12" a="1"/>
  <c r="I56" i="12" s="1"/>
  <c r="H56" i="12" a="1"/>
  <c r="H56" i="12" s="1"/>
  <c r="F56" i="12" a="1"/>
  <c r="F56" i="12" s="1"/>
  <c r="B56" i="12" a="1"/>
  <c r="B56" i="12" s="1"/>
  <c r="L55" i="12" a="1"/>
  <c r="L55" i="12" s="1"/>
  <c r="K55" i="12" a="1"/>
  <c r="K55" i="12" s="1"/>
  <c r="J55" i="12" a="1"/>
  <c r="J55" i="12" s="1"/>
  <c r="I55" i="12" a="1"/>
  <c r="I55" i="12" s="1"/>
  <c r="H55" i="12" a="1"/>
  <c r="H55" i="12" s="1"/>
  <c r="F55" i="12" a="1"/>
  <c r="F55" i="12" s="1"/>
  <c r="B55" i="12" a="1"/>
  <c r="B55" i="12" s="1"/>
  <c r="L54" i="12" a="1"/>
  <c r="L54" i="12" s="1"/>
  <c r="K54" i="12" a="1"/>
  <c r="K54" i="12" s="1"/>
  <c r="J54" i="12" a="1"/>
  <c r="J54" i="12" s="1"/>
  <c r="I54" i="12" a="1"/>
  <c r="I54" i="12" s="1"/>
  <c r="H54" i="12" a="1"/>
  <c r="H54" i="12" s="1"/>
  <c r="F54" i="12" a="1"/>
  <c r="F54" i="12" s="1"/>
  <c r="B54" i="12" a="1"/>
  <c r="B54" i="12" s="1"/>
  <c r="T53" i="12"/>
  <c r="L53" i="12" a="1"/>
  <c r="L53" i="12" s="1"/>
  <c r="K53" i="12" a="1"/>
  <c r="K53" i="12" s="1"/>
  <c r="J53" i="12" a="1"/>
  <c r="J53" i="12" s="1"/>
  <c r="I53" i="12" a="1"/>
  <c r="I53" i="12" s="1"/>
  <c r="H53" i="12" a="1"/>
  <c r="H53" i="12" s="1"/>
  <c r="F53" i="12" a="1"/>
  <c r="F53" i="12" s="1"/>
  <c r="B53" i="12" a="1"/>
  <c r="B53" i="12" s="1"/>
  <c r="T52" i="12"/>
  <c r="L52" i="12" a="1"/>
  <c r="L52" i="12" s="1"/>
  <c r="K52" i="12" a="1"/>
  <c r="K52" i="12" s="1"/>
  <c r="J52" i="12" a="1"/>
  <c r="J52" i="12" s="1"/>
  <c r="I52" i="12" a="1"/>
  <c r="I52" i="12" s="1"/>
  <c r="H52" i="12" a="1"/>
  <c r="H52" i="12" s="1"/>
  <c r="F52" i="12" a="1"/>
  <c r="F52" i="12" s="1"/>
  <c r="B52" i="12" a="1"/>
  <c r="B52" i="12" s="1"/>
  <c r="T51" i="12"/>
  <c r="L51" i="12" a="1"/>
  <c r="L51" i="12" s="1"/>
  <c r="K51" i="12" a="1"/>
  <c r="K51" i="12" s="1"/>
  <c r="J51" i="12" a="1"/>
  <c r="J51" i="12" s="1"/>
  <c r="I51" i="12" a="1"/>
  <c r="I51" i="12" s="1"/>
  <c r="H51" i="12" a="1"/>
  <c r="H51" i="12" s="1"/>
  <c r="F51" i="12" a="1"/>
  <c r="F51" i="12" s="1"/>
  <c r="B51" i="12" a="1"/>
  <c r="B51" i="12" s="1"/>
  <c r="T50" i="12"/>
  <c r="L50" i="12" a="1"/>
  <c r="L50" i="12" s="1"/>
  <c r="K50" i="12" a="1"/>
  <c r="K50" i="12" s="1"/>
  <c r="J50" i="12" a="1"/>
  <c r="J50" i="12" s="1"/>
  <c r="I50" i="12" a="1"/>
  <c r="I50" i="12" s="1"/>
  <c r="H50" i="12" a="1"/>
  <c r="H50" i="12" s="1"/>
  <c r="F50" i="12" a="1"/>
  <c r="F50" i="12" s="1"/>
  <c r="B50" i="12" a="1"/>
  <c r="B50" i="12" s="1"/>
  <c r="T49" i="12"/>
  <c r="L49" i="12" a="1"/>
  <c r="L49" i="12" s="1"/>
  <c r="K49" i="12" a="1"/>
  <c r="K49" i="12" s="1"/>
  <c r="J49" i="12" a="1"/>
  <c r="J49" i="12" s="1"/>
  <c r="I49" i="12" a="1"/>
  <c r="I49" i="12" s="1"/>
  <c r="H49" i="12" a="1"/>
  <c r="H49" i="12" s="1"/>
  <c r="F49" i="12" a="1"/>
  <c r="F49" i="12" s="1"/>
  <c r="B49" i="12" a="1"/>
  <c r="B49" i="12" s="1"/>
  <c r="T48" i="12"/>
  <c r="L48" i="12" a="1"/>
  <c r="L48" i="12" s="1"/>
  <c r="K48" i="12" a="1"/>
  <c r="K48" i="12" s="1"/>
  <c r="J48" i="12" a="1"/>
  <c r="J48" i="12" s="1"/>
  <c r="I48" i="12" a="1"/>
  <c r="I48" i="12" s="1"/>
  <c r="H48" i="12" a="1"/>
  <c r="H48" i="12" s="1"/>
  <c r="F48" i="12" a="1"/>
  <c r="F48" i="12" s="1"/>
  <c r="B48" i="12" a="1"/>
  <c r="B48" i="12" s="1"/>
  <c r="L47" i="12" a="1"/>
  <c r="L47" i="12" s="1"/>
  <c r="K47" i="12" a="1"/>
  <c r="K47" i="12" s="1"/>
  <c r="J47" i="12" a="1"/>
  <c r="J47" i="12" s="1"/>
  <c r="I47" i="12" a="1"/>
  <c r="I47" i="12" s="1"/>
  <c r="H47" i="12" a="1"/>
  <c r="H47" i="12" s="1"/>
  <c r="F47" i="12" a="1"/>
  <c r="F47" i="12" s="1"/>
  <c r="B47" i="12" a="1"/>
  <c r="B47" i="12" s="1"/>
  <c r="L46" i="12" a="1"/>
  <c r="L46" i="12" s="1"/>
  <c r="K46" i="12" a="1"/>
  <c r="K46" i="12" s="1"/>
  <c r="J46" i="12" a="1"/>
  <c r="J46" i="12" s="1"/>
  <c r="I46" i="12" a="1"/>
  <c r="I46" i="12" s="1"/>
  <c r="H46" i="12" a="1"/>
  <c r="H46" i="12" s="1"/>
  <c r="F46" i="12" a="1"/>
  <c r="F46" i="12" s="1"/>
  <c r="B46" i="12" a="1"/>
  <c r="B46" i="12" s="1"/>
  <c r="T45" i="12"/>
  <c r="P45" i="12"/>
  <c r="L45" i="12" a="1"/>
  <c r="L45" i="12" s="1"/>
  <c r="K45" i="12" a="1"/>
  <c r="K45" i="12" s="1"/>
  <c r="J45" i="12" a="1"/>
  <c r="J45" i="12" s="1"/>
  <c r="I45" i="12" a="1"/>
  <c r="I45" i="12" s="1"/>
  <c r="H45" i="12" a="1"/>
  <c r="H45" i="12" s="1"/>
  <c r="F45" i="12" a="1"/>
  <c r="F45" i="12" s="1"/>
  <c r="B45" i="12" a="1"/>
  <c r="B45" i="12" s="1"/>
  <c r="T44" i="12"/>
  <c r="L44" i="12" a="1"/>
  <c r="L44" i="12" s="1"/>
  <c r="K44" i="12" a="1"/>
  <c r="K44" i="12" s="1"/>
  <c r="J44" i="12" a="1"/>
  <c r="J44" i="12" s="1"/>
  <c r="I44" i="12" a="1"/>
  <c r="I44" i="12" s="1"/>
  <c r="H44" i="12" a="1"/>
  <c r="H44" i="12" s="1"/>
  <c r="F44" i="12" a="1"/>
  <c r="F44" i="12" s="1"/>
  <c r="B44" i="12" a="1"/>
  <c r="B44" i="12" s="1"/>
  <c r="B43" i="12" a="1"/>
  <c r="B43" i="12" s="1"/>
  <c r="B42" i="12" a="1"/>
  <c r="B42" i="12" s="1"/>
  <c r="L41" i="12" a="1"/>
  <c r="L41" i="12" s="1"/>
  <c r="K41" i="12" a="1"/>
  <c r="K41" i="12" s="1"/>
  <c r="J41" i="12" a="1"/>
  <c r="J41" i="12" s="1"/>
  <c r="I41" i="12" a="1"/>
  <c r="I41" i="12" s="1"/>
  <c r="H41" i="12" a="1"/>
  <c r="H41" i="12" s="1"/>
  <c r="F41" i="12" a="1"/>
  <c r="F41" i="12" s="1"/>
  <c r="B41" i="12" a="1"/>
  <c r="B41" i="12" s="1"/>
  <c r="L40" i="12" a="1"/>
  <c r="L40" i="12" s="1"/>
  <c r="K40" i="12" a="1"/>
  <c r="K40" i="12" s="1"/>
  <c r="J40" i="12" a="1"/>
  <c r="J40" i="12" s="1"/>
  <c r="I40" i="12" a="1"/>
  <c r="I40" i="12" s="1"/>
  <c r="H40" i="12" a="1"/>
  <c r="H40" i="12" s="1"/>
  <c r="F40" i="12" a="1"/>
  <c r="F40" i="12" s="1"/>
  <c r="B40" i="12" a="1"/>
  <c r="B40" i="12" s="1"/>
  <c r="L39" i="12" a="1"/>
  <c r="L39" i="12" s="1"/>
  <c r="K39" i="12" a="1"/>
  <c r="K39" i="12" s="1"/>
  <c r="J39" i="12" a="1"/>
  <c r="J39" i="12" s="1"/>
  <c r="I39" i="12" a="1"/>
  <c r="I39" i="12" s="1"/>
  <c r="H39" i="12" a="1"/>
  <c r="H39" i="12" s="1"/>
  <c r="F39" i="12" a="1"/>
  <c r="F39" i="12" s="1"/>
  <c r="B39" i="12" a="1"/>
  <c r="B39" i="12" s="1"/>
  <c r="B38" i="12" a="1"/>
  <c r="B38" i="12" s="1"/>
  <c r="L37" i="12" a="1"/>
  <c r="L37" i="12" s="1"/>
  <c r="K37" i="12" a="1"/>
  <c r="K37" i="12" s="1"/>
  <c r="J37" i="12" a="1"/>
  <c r="J37" i="12" s="1"/>
  <c r="I37" i="12" a="1"/>
  <c r="I37" i="12" s="1"/>
  <c r="H37" i="12" a="1"/>
  <c r="H37" i="12" s="1"/>
  <c r="F37" i="12" a="1"/>
  <c r="F37" i="12" s="1"/>
  <c r="B37" i="12" a="1"/>
  <c r="B37" i="12" s="1"/>
  <c r="L36" i="12" a="1"/>
  <c r="L36" i="12" s="1"/>
  <c r="K36" i="12" a="1"/>
  <c r="K36" i="12" s="1"/>
  <c r="J36" i="12" a="1"/>
  <c r="J36" i="12" s="1"/>
  <c r="I36" i="12" a="1"/>
  <c r="I36" i="12" s="1"/>
  <c r="H36" i="12" a="1"/>
  <c r="H36" i="12" s="1"/>
  <c r="F36" i="12" a="1"/>
  <c r="F36" i="12" s="1"/>
  <c r="B36" i="12" a="1"/>
  <c r="B36" i="12" s="1"/>
  <c r="L35" i="12" a="1"/>
  <c r="L35" i="12" s="1"/>
  <c r="K35" i="12" a="1"/>
  <c r="K35" i="12" s="1"/>
  <c r="J35" i="12" a="1"/>
  <c r="J35" i="12" s="1"/>
  <c r="I35" i="12" a="1"/>
  <c r="I35" i="12" s="1"/>
  <c r="H35" i="12" a="1"/>
  <c r="H35" i="12" s="1"/>
  <c r="F35" i="12" a="1"/>
  <c r="F35" i="12" s="1"/>
  <c r="B35" i="12" a="1"/>
  <c r="B35" i="12" s="1"/>
  <c r="T34" i="12"/>
  <c r="L34" i="12" a="1"/>
  <c r="L34" i="12" s="1"/>
  <c r="K34" i="12" a="1"/>
  <c r="K34" i="12" s="1"/>
  <c r="J34" i="12" a="1"/>
  <c r="J34" i="12" s="1"/>
  <c r="I34" i="12" a="1"/>
  <c r="I34" i="12" s="1"/>
  <c r="H34" i="12" a="1"/>
  <c r="H34" i="12" s="1"/>
  <c r="F34" i="12" a="1"/>
  <c r="F34" i="12" s="1"/>
  <c r="B34" i="12" a="1"/>
  <c r="B34" i="12" s="1"/>
  <c r="T33" i="12"/>
  <c r="L33" i="12" a="1"/>
  <c r="L33" i="12" s="1"/>
  <c r="K33" i="12" a="1"/>
  <c r="K33" i="12" s="1"/>
  <c r="J33" i="12" a="1"/>
  <c r="J33" i="12" s="1"/>
  <c r="I33" i="12" a="1"/>
  <c r="I33" i="12" s="1"/>
  <c r="H33" i="12" a="1"/>
  <c r="H33" i="12" s="1"/>
  <c r="F33" i="12" a="1"/>
  <c r="F33" i="12" s="1"/>
  <c r="B33" i="12" a="1"/>
  <c r="B33" i="12" s="1"/>
  <c r="L32" i="12" a="1"/>
  <c r="L32" i="12" s="1"/>
  <c r="K32" i="12" a="1"/>
  <c r="K32" i="12" s="1"/>
  <c r="J32" i="12" a="1"/>
  <c r="J32" i="12" s="1"/>
  <c r="I32" i="12" a="1"/>
  <c r="I32" i="12" s="1"/>
  <c r="H32" i="12" a="1"/>
  <c r="H32" i="12" s="1"/>
  <c r="F32" i="12" a="1"/>
  <c r="F32" i="12" s="1"/>
  <c r="B32" i="12" a="1"/>
  <c r="B32" i="12" s="1"/>
  <c r="L31" i="12" a="1"/>
  <c r="L31" i="12" s="1"/>
  <c r="K31" i="12" a="1"/>
  <c r="K31" i="12" s="1"/>
  <c r="J31" i="12" a="1"/>
  <c r="J31" i="12" s="1"/>
  <c r="I31" i="12" a="1"/>
  <c r="I31" i="12" s="1"/>
  <c r="H31" i="12" a="1"/>
  <c r="H31" i="12" s="1"/>
  <c r="F31" i="12" a="1"/>
  <c r="F31" i="12" s="1"/>
  <c r="B31" i="12" a="1"/>
  <c r="B31" i="12" s="1"/>
  <c r="L30" i="12" a="1"/>
  <c r="L30" i="12" s="1"/>
  <c r="K30" i="12" a="1"/>
  <c r="K30" i="12" s="1"/>
  <c r="J30" i="12" a="1"/>
  <c r="J30" i="12" s="1"/>
  <c r="I30" i="12" a="1"/>
  <c r="I30" i="12" s="1"/>
  <c r="H30" i="12" a="1"/>
  <c r="H30" i="12" s="1"/>
  <c r="F30" i="12" a="1"/>
  <c r="F30" i="12" s="1"/>
  <c r="B30" i="12" a="1"/>
  <c r="B30" i="12" s="1"/>
  <c r="T29" i="12"/>
  <c r="L29" i="12" a="1"/>
  <c r="L29" i="12" s="1"/>
  <c r="K29" i="12" a="1"/>
  <c r="K29" i="12" s="1"/>
  <c r="J29" i="12" a="1"/>
  <c r="J29" i="12" s="1"/>
  <c r="I29" i="12" a="1"/>
  <c r="I29" i="12" s="1"/>
  <c r="H29" i="12" a="1"/>
  <c r="H29" i="12" s="1"/>
  <c r="F29" i="12" a="1"/>
  <c r="F29" i="12" s="1"/>
  <c r="B29" i="12" a="1"/>
  <c r="B29" i="12" s="1"/>
  <c r="L28" i="12" a="1"/>
  <c r="L28" i="12" s="1"/>
  <c r="K28" i="12" a="1"/>
  <c r="K28" i="12" s="1"/>
  <c r="J28" i="12" a="1"/>
  <c r="J28" i="12" s="1"/>
  <c r="I28" i="12" a="1"/>
  <c r="I28" i="12" s="1"/>
  <c r="H28" i="12" a="1"/>
  <c r="H28" i="12" s="1"/>
  <c r="F28" i="12" a="1"/>
  <c r="F28" i="12" s="1"/>
  <c r="B28" i="12" a="1"/>
  <c r="B28" i="12" s="1"/>
  <c r="T27" i="12"/>
  <c r="L27" i="12" a="1"/>
  <c r="L27" i="12" s="1"/>
  <c r="K27" i="12" a="1"/>
  <c r="K27" i="12" s="1"/>
  <c r="J27" i="12" a="1"/>
  <c r="J27" i="12" s="1"/>
  <c r="I27" i="12" a="1"/>
  <c r="I27" i="12" s="1"/>
  <c r="H27" i="12" a="1"/>
  <c r="H27" i="12" s="1"/>
  <c r="F27" i="12" a="1"/>
  <c r="F27" i="12" s="1"/>
  <c r="B27" i="12" a="1"/>
  <c r="B27" i="12" s="1"/>
  <c r="T26" i="12"/>
  <c r="L26" i="12" a="1"/>
  <c r="L26" i="12" s="1"/>
  <c r="K26" i="12" a="1"/>
  <c r="K26" i="12" s="1"/>
  <c r="J26" i="12" a="1"/>
  <c r="J26" i="12" s="1"/>
  <c r="I26" i="12" a="1"/>
  <c r="I26" i="12" s="1"/>
  <c r="H26" i="12" a="1"/>
  <c r="H26" i="12" s="1"/>
  <c r="F26" i="12" a="1"/>
  <c r="F26" i="12" s="1"/>
  <c r="B26" i="12" a="1"/>
  <c r="B26" i="12" s="1"/>
  <c r="T25" i="12"/>
  <c r="L25" i="12" a="1"/>
  <c r="L25" i="12" s="1"/>
  <c r="K25" i="12" a="1"/>
  <c r="K25" i="12" s="1"/>
  <c r="J25" i="12" a="1"/>
  <c r="J25" i="12" s="1"/>
  <c r="I25" i="12" a="1"/>
  <c r="I25" i="12" s="1"/>
  <c r="H25" i="12" a="1"/>
  <c r="H25" i="12" s="1"/>
  <c r="F25" i="12" a="1"/>
  <c r="F25" i="12" s="1"/>
  <c r="B25" i="12" a="1"/>
  <c r="B25" i="12" s="1"/>
  <c r="L24" i="12" a="1"/>
  <c r="L24" i="12" s="1"/>
  <c r="K24" i="12" a="1"/>
  <c r="K24" i="12" s="1"/>
  <c r="J24" i="12" a="1"/>
  <c r="J24" i="12" s="1"/>
  <c r="I24" i="12" a="1"/>
  <c r="I24" i="12" s="1"/>
  <c r="H24" i="12" a="1"/>
  <c r="H24" i="12" s="1"/>
  <c r="G24" i="12" a="1"/>
  <c r="G24" i="12" s="1"/>
  <c r="B24" i="12" a="1"/>
  <c r="B24" i="12" s="1"/>
  <c r="L23" i="12" a="1"/>
  <c r="L23" i="12" s="1"/>
  <c r="K23" i="12" a="1"/>
  <c r="K23" i="12" s="1"/>
  <c r="J23" i="12" a="1"/>
  <c r="J23" i="12" s="1"/>
  <c r="I23" i="12" a="1"/>
  <c r="I23" i="12" s="1"/>
  <c r="H23" i="12" a="1"/>
  <c r="H23" i="12" s="1"/>
  <c r="G23" i="12" a="1"/>
  <c r="G23" i="12" s="1"/>
  <c r="B23" i="12" a="1"/>
  <c r="B23" i="12" s="1"/>
  <c r="L22" i="12" a="1"/>
  <c r="L22" i="12" s="1"/>
  <c r="K22" i="12" a="1"/>
  <c r="K22" i="12" s="1"/>
  <c r="J22" i="12" a="1"/>
  <c r="J22" i="12" s="1"/>
  <c r="I22" i="12" a="1"/>
  <c r="I22" i="12" s="1"/>
  <c r="H22" i="12" a="1"/>
  <c r="H22" i="12" s="1"/>
  <c r="G22" i="12" a="1"/>
  <c r="G22" i="12" s="1"/>
  <c r="B22" i="12" a="1"/>
  <c r="B22" i="12" s="1"/>
  <c r="L21" i="12" a="1"/>
  <c r="L21" i="12" s="1"/>
  <c r="K21" i="12" a="1"/>
  <c r="K21" i="12" s="1"/>
  <c r="J21" i="12" a="1"/>
  <c r="J21" i="12" s="1"/>
  <c r="I21" i="12" a="1"/>
  <c r="I21" i="12" s="1"/>
  <c r="H21" i="12" a="1"/>
  <c r="H21" i="12" s="1"/>
  <c r="G21" i="12" a="1"/>
  <c r="G21" i="12" s="1"/>
  <c r="B21" i="12" a="1"/>
  <c r="B21" i="12" s="1"/>
  <c r="L20" i="12" a="1"/>
  <c r="L20" i="12" s="1"/>
  <c r="K20" i="12" a="1"/>
  <c r="K20" i="12" s="1"/>
  <c r="J20" i="12" a="1"/>
  <c r="J20" i="12" s="1"/>
  <c r="I20" i="12" a="1"/>
  <c r="I20" i="12" s="1"/>
  <c r="H20" i="12" a="1"/>
  <c r="H20" i="12" s="1"/>
  <c r="G20" i="12" a="1"/>
  <c r="G20" i="12" s="1"/>
  <c r="B20" i="12" a="1"/>
  <c r="B20" i="12" s="1"/>
  <c r="L19" i="12" a="1"/>
  <c r="L19" i="12" s="1"/>
  <c r="K19" i="12" a="1"/>
  <c r="K19" i="12" s="1"/>
  <c r="J19" i="12" a="1"/>
  <c r="J19" i="12" s="1"/>
  <c r="I19" i="12" a="1"/>
  <c r="I19" i="12" s="1"/>
  <c r="H19" i="12" a="1"/>
  <c r="H19" i="12" s="1"/>
  <c r="G19" i="12" a="1"/>
  <c r="G19" i="12" s="1"/>
  <c r="B19" i="12" a="1"/>
  <c r="B19" i="12" s="1"/>
  <c r="L18" i="12" a="1"/>
  <c r="L18" i="12" s="1"/>
  <c r="K18" i="12" a="1"/>
  <c r="K18" i="12" s="1"/>
  <c r="J18" i="12" a="1"/>
  <c r="J18" i="12" s="1"/>
  <c r="I18" i="12" a="1"/>
  <c r="I18" i="12" s="1"/>
  <c r="H18" i="12" a="1"/>
  <c r="H18" i="12" s="1"/>
  <c r="G18" i="12" a="1"/>
  <c r="G18" i="12" s="1"/>
  <c r="B18" i="12" a="1"/>
  <c r="B18" i="12" s="1"/>
  <c r="L17" i="12" a="1"/>
  <c r="L17" i="12" s="1"/>
  <c r="K17" i="12" a="1"/>
  <c r="K17" i="12" s="1"/>
  <c r="J17" i="12" a="1"/>
  <c r="J17" i="12" s="1"/>
  <c r="I17" i="12" a="1"/>
  <c r="I17" i="12" s="1"/>
  <c r="H17" i="12" a="1"/>
  <c r="H17" i="12" s="1"/>
  <c r="G17" i="12" a="1"/>
  <c r="G17" i="12" s="1"/>
  <c r="B17" i="12" a="1"/>
  <c r="B17" i="12" s="1"/>
  <c r="L16" i="12" a="1"/>
  <c r="L16" i="12" s="1"/>
  <c r="K16" i="12" a="1"/>
  <c r="K16" i="12" s="1"/>
  <c r="J16" i="12" a="1"/>
  <c r="J16" i="12" s="1"/>
  <c r="I16" i="12" a="1"/>
  <c r="I16" i="12" s="1"/>
  <c r="H16" i="12" a="1"/>
  <c r="H16" i="12" s="1"/>
  <c r="G16" i="12" a="1"/>
  <c r="G16" i="12" s="1"/>
  <c r="B16" i="12" a="1"/>
  <c r="B16" i="12" s="1"/>
  <c r="L15" i="12" a="1"/>
  <c r="L15" i="12" s="1"/>
  <c r="K15" i="12" a="1"/>
  <c r="K15" i="12" s="1"/>
  <c r="J15" i="12" a="1"/>
  <c r="J15" i="12" s="1"/>
  <c r="I15" i="12" a="1"/>
  <c r="I15" i="12" s="1"/>
  <c r="H15" i="12" a="1"/>
  <c r="H15" i="12" s="1"/>
  <c r="G15" i="12" a="1"/>
  <c r="G15" i="12" s="1"/>
  <c r="B15" i="12" a="1"/>
  <c r="B15" i="12" s="1"/>
  <c r="L14" i="12" a="1"/>
  <c r="L14" i="12" s="1"/>
  <c r="K14" i="12" a="1"/>
  <c r="K14" i="12" s="1"/>
  <c r="J14" i="12" a="1"/>
  <c r="J14" i="12" s="1"/>
  <c r="I14" i="12" a="1"/>
  <c r="I14" i="12" s="1"/>
  <c r="H14" i="12" a="1"/>
  <c r="H14" i="12" s="1"/>
  <c r="G14" i="12" a="1"/>
  <c r="G14" i="12" s="1"/>
  <c r="B14" i="12" a="1"/>
  <c r="B14" i="12" s="1"/>
  <c r="L13" i="12" a="1"/>
  <c r="L13" i="12" s="1"/>
  <c r="K13" i="12" a="1"/>
  <c r="K13" i="12" s="1"/>
  <c r="J13" i="12" a="1"/>
  <c r="J13" i="12" s="1"/>
  <c r="I13" i="12" a="1"/>
  <c r="I13" i="12" s="1"/>
  <c r="H13" i="12" a="1"/>
  <c r="H13" i="12" s="1"/>
  <c r="G13" i="12" a="1"/>
  <c r="G13" i="12" s="1"/>
  <c r="B13" i="12" a="1"/>
  <c r="B13" i="12" s="1"/>
  <c r="L12" i="12" a="1"/>
  <c r="L12" i="12" s="1"/>
  <c r="K12" i="12" a="1"/>
  <c r="K12" i="12" s="1"/>
  <c r="J12" i="12" a="1"/>
  <c r="J12" i="12" s="1"/>
  <c r="I12" i="12" a="1"/>
  <c r="I12" i="12" s="1"/>
  <c r="H12" i="12" a="1"/>
  <c r="H12" i="12" s="1"/>
  <c r="G12" i="12" a="1"/>
  <c r="G12" i="12" s="1"/>
  <c r="B12" i="12" a="1"/>
  <c r="B12" i="12" s="1"/>
  <c r="L11" i="12" a="1"/>
  <c r="L11" i="12" s="1"/>
  <c r="K11" i="12" a="1"/>
  <c r="K11" i="12" s="1"/>
  <c r="J11" i="12" a="1"/>
  <c r="J11" i="12" s="1"/>
  <c r="I11" i="12" a="1"/>
  <c r="I11" i="12" s="1"/>
  <c r="H11" i="12" a="1"/>
  <c r="H11" i="12" s="1"/>
  <c r="G11" i="12" a="1"/>
  <c r="G11" i="12" s="1"/>
  <c r="B11" i="12" a="1"/>
  <c r="B11" i="12" s="1"/>
  <c r="L10" i="12" a="1"/>
  <c r="L10" i="12" s="1"/>
  <c r="K10" i="12" a="1"/>
  <c r="K10" i="12" s="1"/>
  <c r="J10" i="12" a="1"/>
  <c r="J10" i="12" s="1"/>
  <c r="I10" i="12" a="1"/>
  <c r="I10" i="12" s="1"/>
  <c r="H10" i="12" a="1"/>
  <c r="H10" i="12" s="1"/>
  <c r="G10" i="12" a="1"/>
  <c r="G10" i="12" s="1"/>
  <c r="B10" i="12" a="1"/>
  <c r="B10" i="12" s="1"/>
  <c r="L9" i="12" a="1"/>
  <c r="L9" i="12" s="1"/>
  <c r="K9" i="12" a="1"/>
  <c r="K9" i="12" s="1"/>
  <c r="J9" i="12" a="1"/>
  <c r="J9" i="12" s="1"/>
  <c r="I9" i="12" a="1"/>
  <c r="I9" i="12" s="1"/>
  <c r="H9" i="12" a="1"/>
  <c r="H9" i="12" s="1"/>
  <c r="G9" i="12" a="1"/>
  <c r="G9" i="12" s="1"/>
  <c r="B9" i="12" a="1"/>
  <c r="B9" i="12" s="1"/>
  <c r="L8" i="12" a="1"/>
  <c r="L8" i="12" s="1"/>
  <c r="K8" i="12" a="1"/>
  <c r="K8" i="12" s="1"/>
  <c r="J8" i="12" a="1"/>
  <c r="J8" i="12" s="1"/>
  <c r="I8" i="12" a="1"/>
  <c r="I8" i="12" s="1"/>
  <c r="H8" i="12" a="1"/>
  <c r="H8" i="12" s="1"/>
  <c r="G8" i="12"/>
  <c r="G8" i="12" a="1"/>
  <c r="B8" i="12" a="1"/>
  <c r="B8" i="12" s="1"/>
  <c r="L7" i="12" a="1"/>
  <c r="L7" i="12" s="1"/>
  <c r="K7" i="12" a="1"/>
  <c r="K7" i="12" s="1"/>
  <c r="J7" i="12" a="1"/>
  <c r="J7" i="12" s="1"/>
  <c r="I7" i="12" a="1"/>
  <c r="I7" i="12" s="1"/>
  <c r="H7" i="12" a="1"/>
  <c r="H7" i="12" s="1"/>
  <c r="G7" i="12" a="1"/>
  <c r="G7" i="12" s="1"/>
  <c r="B7" i="12" a="1"/>
  <c r="B7" i="12" s="1"/>
  <c r="L6" i="12" a="1"/>
  <c r="L6" i="12" s="1"/>
  <c r="K6" i="12" a="1"/>
  <c r="K6" i="12" s="1"/>
  <c r="J6" i="12" a="1"/>
  <c r="J6" i="12" s="1"/>
  <c r="I6" i="12" a="1"/>
  <c r="I6" i="12" s="1"/>
  <c r="H6" i="12" a="1"/>
  <c r="H6" i="12" s="1"/>
  <c r="G6" i="12" a="1"/>
  <c r="G6" i="12" s="1"/>
  <c r="B6" i="12" a="1"/>
  <c r="B6" i="12" s="1"/>
  <c r="L5" i="12" a="1"/>
  <c r="L5" i="12" s="1"/>
  <c r="K5" i="12" a="1"/>
  <c r="K5" i="12" s="1"/>
  <c r="J5" i="12" a="1"/>
  <c r="J5" i="12" s="1"/>
  <c r="I5" i="12" a="1"/>
  <c r="I5" i="12" s="1"/>
  <c r="H5" i="12" a="1"/>
  <c r="H5" i="12" s="1"/>
  <c r="G5" i="12" a="1"/>
  <c r="G5" i="12" s="1"/>
  <c r="B5" i="12" a="1"/>
  <c r="B5" i="12" s="1"/>
  <c r="V4" i="12"/>
  <c r="V5" i="12" s="1"/>
  <c r="V6" i="12" s="1"/>
  <c r="V7" i="12" s="1"/>
  <c r="V8" i="12" s="1"/>
  <c r="V9" i="12" s="1"/>
  <c r="V10" i="12" s="1"/>
  <c r="V11" i="12" s="1"/>
  <c r="V12" i="12" s="1"/>
  <c r="L4" i="12" a="1"/>
  <c r="L4" i="12" s="1"/>
  <c r="K4" i="12" a="1"/>
  <c r="K4" i="12" s="1"/>
  <c r="J4" i="12" a="1"/>
  <c r="J4" i="12" s="1"/>
  <c r="I4" i="12" a="1"/>
  <c r="I4" i="12" s="1"/>
  <c r="H4" i="12" a="1"/>
  <c r="H4" i="12" s="1"/>
  <c r="G4" i="12" a="1"/>
  <c r="G4" i="12" s="1"/>
  <c r="B4" i="12" a="1"/>
  <c r="B4" i="12" s="1"/>
  <c r="L3" i="12" a="1"/>
  <c r="L3" i="12" s="1"/>
  <c r="K3" i="12" a="1"/>
  <c r="K3" i="12" s="1"/>
  <c r="J3" i="12" a="1"/>
  <c r="J3" i="12" s="1"/>
  <c r="I3" i="12" a="1"/>
  <c r="I3" i="12" s="1"/>
  <c r="H3" i="12" a="1"/>
  <c r="H3" i="12" s="1"/>
  <c r="G3" i="12" a="1"/>
  <c r="G3" i="12" s="1"/>
  <c r="B3" i="12" a="1"/>
  <c r="B3" i="12" s="1"/>
  <c r="AE2" i="12"/>
  <c r="AF2" i="12" s="1"/>
  <c r="K25" i="2"/>
  <c r="K24" i="2"/>
  <c r="K23" i="2"/>
  <c r="K22" i="2"/>
  <c r="D1" i="3" a="1"/>
  <c r="D1" i="3" s="1"/>
  <c r="G1" i="3" a="1"/>
  <c r="G1" i="3" s="1"/>
  <c r="F1" i="3" a="1"/>
  <c r="F1" i="3" s="1"/>
  <c r="C1" i="3" a="1"/>
  <c r="C1" i="3" s="1"/>
  <c r="E1" i="3" a="1"/>
  <c r="E1" i="3" s="1"/>
  <c r="L1" i="3" a="1"/>
  <c r="L1" i="3" s="1"/>
  <c r="M1" i="3" a="1"/>
  <c r="M1" i="3" s="1"/>
  <c r="N1" i="3" a="1"/>
  <c r="N1" i="3" s="1"/>
  <c r="I1" i="3" a="1"/>
  <c r="I1" i="3" s="1"/>
  <c r="H1" i="3" a="1"/>
  <c r="H1" i="3" s="1"/>
  <c r="J1" i="3" a="1"/>
  <c r="J1" i="3" s="1"/>
  <c r="K1" i="3" a="1"/>
  <c r="K1" i="3" s="1"/>
  <c r="O1" i="3" a="1"/>
  <c r="O1" i="3" s="1"/>
  <c r="B1" i="3" a="1"/>
  <c r="B1" i="3" s="1"/>
  <c r="K2" i="11" a="1"/>
  <c r="K2" i="11" s="1"/>
  <c r="J2" i="11" a="1"/>
  <c r="J2" i="11" s="1"/>
  <c r="F2" i="11" a="1"/>
  <c r="F2" i="11" s="1"/>
  <c r="E2" i="11" a="1"/>
  <c r="E2" i="11" s="1"/>
  <c r="H2" i="11" a="1"/>
  <c r="H2" i="11" s="1"/>
  <c r="I2" i="11" a="1"/>
  <c r="I2" i="11" s="1"/>
  <c r="G2" i="11" a="1"/>
  <c r="G2" i="11" s="1"/>
  <c r="C2" i="11" a="1"/>
  <c r="C2" i="11" s="1"/>
  <c r="D2" i="11" a="1"/>
  <c r="D2" i="11" s="1"/>
  <c r="B2" i="11" a="1"/>
  <c r="B2" i="11" s="1"/>
  <c r="AF6" i="25" a="1"/>
  <c r="AG4" i="16" a="1"/>
  <c r="AF4" i="25" a="1"/>
  <c r="AF6" i="12" a="1"/>
  <c r="AF4" i="12" a="1"/>
  <c r="AD6" i="12" a="1"/>
  <c r="AE6" i="12" a="1"/>
  <c r="AD4" i="12" a="1"/>
  <c r="AD3" i="12" a="1"/>
  <c r="AD5" i="12" a="1"/>
  <c r="AE4" i="12" a="1"/>
  <c r="AG6" i="16" a="1"/>
  <c r="AG3" i="16" a="1"/>
  <c r="AE5" i="12" a="1"/>
  <c r="AE3" i="12" a="1"/>
  <c r="AG5" i="16" a="1"/>
  <c r="AF3" i="25" a="1"/>
  <c r="AF5" i="25" a="1"/>
  <c r="AF6" i="25" l="1"/>
  <c r="AF5" i="25"/>
  <c r="AF3" i="25"/>
  <c r="AF4" i="25"/>
  <c r="AH2" i="25"/>
  <c r="AG5" i="16"/>
  <c r="AG4" i="16"/>
  <c r="AG3" i="16"/>
  <c r="AG6" i="16"/>
  <c r="AI2" i="16"/>
  <c r="AF4" i="12"/>
  <c r="AE5" i="12"/>
  <c r="AE3" i="12"/>
  <c r="AD3" i="12"/>
  <c r="AF6" i="12"/>
  <c r="AD6" i="12"/>
  <c r="AD4" i="12"/>
  <c r="AE6" i="12"/>
  <c r="AE4" i="12"/>
  <c r="AD5" i="12"/>
  <c r="AG2" i="12"/>
  <c r="AG4" i="25" a="1"/>
  <c r="AG5" i="25" a="1"/>
  <c r="AG3" i="25" a="1"/>
  <c r="AG6" i="25" a="1"/>
  <c r="AH3" i="16" a="1"/>
  <c r="AF5" i="12" a="1"/>
  <c r="AH5" i="16" a="1"/>
  <c r="AH6" i="16" a="1"/>
  <c r="AH4" i="16" a="1"/>
  <c r="AF3" i="12" a="1"/>
  <c r="AG6" i="25" l="1"/>
  <c r="AG3" i="25"/>
  <c r="AG5" i="25"/>
  <c r="AG4" i="25"/>
  <c r="AI2" i="25"/>
  <c r="AH6" i="16"/>
  <c r="AH4" i="16"/>
  <c r="AH5" i="16"/>
  <c r="AH3" i="16"/>
  <c r="AJ2" i="16"/>
  <c r="AF3" i="12"/>
  <c r="AF5" i="12"/>
  <c r="AH2" i="12"/>
  <c r="AH5" i="25" a="1"/>
  <c r="AI6" i="16" a="1"/>
  <c r="AG3" i="12" a="1"/>
  <c r="AI4" i="16" a="1"/>
  <c r="AG5" i="12" a="1"/>
  <c r="AH6" i="25" a="1"/>
  <c r="AG6" i="12" a="1"/>
  <c r="AI3" i="16" a="1"/>
  <c r="AG4" i="12" a="1"/>
  <c r="AI5" i="16" a="1"/>
  <c r="AH3" i="25" a="1"/>
  <c r="AH4" i="25" a="1"/>
  <c r="AH5" i="25" l="1"/>
  <c r="AH6" i="25"/>
  <c r="AH4" i="25"/>
  <c r="AH3" i="25"/>
  <c r="AJ2" i="25"/>
  <c r="AI6" i="16"/>
  <c r="AI5" i="16"/>
  <c r="AI4" i="16"/>
  <c r="AI3" i="16"/>
  <c r="AK2" i="16"/>
  <c r="AG4" i="12"/>
  <c r="AG6" i="12"/>
  <c r="AG5" i="12"/>
  <c r="AG3" i="12"/>
  <c r="AI2" i="12"/>
  <c r="AI4" i="25" a="1"/>
  <c r="AI6" i="25" a="1"/>
  <c r="AI3" i="25" a="1"/>
  <c r="AJ3" i="16" a="1"/>
  <c r="AJ6" i="16" a="1"/>
  <c r="AH5" i="12" a="1"/>
  <c r="AJ4" i="16" a="1"/>
  <c r="AJ5" i="16" a="1"/>
  <c r="AH4" i="12" a="1"/>
  <c r="AH6" i="12" a="1"/>
  <c r="AH3" i="12" a="1"/>
  <c r="AI5" i="25" a="1"/>
  <c r="AI3" i="25" l="1"/>
  <c r="AI6" i="25"/>
  <c r="AI4" i="25"/>
  <c r="AI5" i="25"/>
  <c r="AK2" i="25"/>
  <c r="AJ6" i="16"/>
  <c r="AJ4" i="16"/>
  <c r="AJ5" i="16"/>
  <c r="AJ3" i="16"/>
  <c r="AL2" i="16"/>
  <c r="AH6" i="12"/>
  <c r="AH4" i="12"/>
  <c r="AH5" i="12"/>
  <c r="AH3" i="12"/>
  <c r="AJ2" i="12"/>
  <c r="AJ4" i="25" a="1"/>
  <c r="AJ3" i="25" a="1"/>
  <c r="AJ5" i="25" a="1"/>
  <c r="AK3" i="16" a="1"/>
  <c r="AI5" i="12" a="1"/>
  <c r="AK5" i="16" a="1"/>
  <c r="AI4" i="12" a="1"/>
  <c r="AK6" i="16" a="1"/>
  <c r="AI6" i="12" a="1"/>
  <c r="AK4" i="16" a="1"/>
  <c r="AI3" i="12" a="1"/>
  <c r="AJ6" i="25" a="1"/>
  <c r="AJ5" i="25" l="1"/>
  <c r="AJ3" i="25"/>
  <c r="AJ4" i="25"/>
  <c r="AJ6" i="25"/>
  <c r="AL2" i="25"/>
  <c r="AK3" i="16"/>
  <c r="AK6" i="16"/>
  <c r="AK4" i="16"/>
  <c r="AK5" i="16"/>
  <c r="AM2" i="16"/>
  <c r="AI4" i="12"/>
  <c r="AI5" i="12"/>
  <c r="AI3" i="12"/>
  <c r="AI6" i="12"/>
  <c r="AK2" i="12"/>
  <c r="AK3" i="25" a="1"/>
  <c r="AK5" i="25" a="1"/>
  <c r="AK6" i="25" a="1"/>
  <c r="AL4" i="16" a="1"/>
  <c r="AL5" i="16" a="1"/>
  <c r="AL6" i="16" a="1"/>
  <c r="AJ3" i="12" a="1"/>
  <c r="AL3" i="16" a="1"/>
  <c r="AJ5" i="12" a="1"/>
  <c r="AK4" i="25" a="1"/>
  <c r="AJ4" i="12" a="1"/>
  <c r="AJ6" i="12" a="1"/>
  <c r="AK6" i="25" l="1"/>
  <c r="AK5" i="25"/>
  <c r="AK3" i="25"/>
  <c r="AK4" i="25"/>
  <c r="AM2" i="25"/>
  <c r="AL3" i="16"/>
  <c r="AL4" i="16"/>
  <c r="AL6" i="16"/>
  <c r="AL5" i="16"/>
  <c r="AN2" i="16"/>
  <c r="AJ3" i="12"/>
  <c r="AJ6" i="12"/>
  <c r="AJ4" i="12"/>
  <c r="AJ5" i="12"/>
  <c r="AL2" i="12"/>
  <c r="AL5" i="25" a="1"/>
  <c r="AL4" i="25" a="1"/>
  <c r="AL3" i="25" a="1"/>
  <c r="AK6" i="12" a="1"/>
  <c r="AM5" i="16" a="1"/>
  <c r="AK3" i="12" a="1"/>
  <c r="AK5" i="12" a="1"/>
  <c r="AK4" i="12" a="1"/>
  <c r="AL6" i="25" a="1"/>
  <c r="AM6" i="16" a="1"/>
  <c r="AM4" i="16" a="1"/>
  <c r="AM3" i="16" a="1"/>
  <c r="AL3" i="25" l="1"/>
  <c r="AL4" i="25"/>
  <c r="AL5" i="25"/>
  <c r="AL6" i="25"/>
  <c r="AN2" i="25"/>
  <c r="AM3" i="16"/>
  <c r="AM6" i="16"/>
  <c r="AM5" i="16"/>
  <c r="AM4" i="16"/>
  <c r="AO2" i="16"/>
  <c r="AK5" i="12"/>
  <c r="AK3" i="12"/>
  <c r="AK6" i="12"/>
  <c r="AK4" i="12"/>
  <c r="AM2" i="12"/>
  <c r="AM4" i="25" a="1"/>
  <c r="AM3" i="25" a="1"/>
  <c r="AM6" i="25" a="1"/>
  <c r="AL5" i="12" a="1"/>
  <c r="AN3" i="16" a="1"/>
  <c r="AN4" i="16" a="1"/>
  <c r="AL4" i="12" a="1"/>
  <c r="AL6" i="12" a="1"/>
  <c r="AN6" i="16" a="1"/>
  <c r="AN5" i="16" a="1"/>
  <c r="AL3" i="12" a="1"/>
  <c r="AM5" i="25" a="1"/>
  <c r="AM6" i="25" l="1"/>
  <c r="AM3" i="25"/>
  <c r="AM4" i="25"/>
  <c r="AM5" i="25"/>
  <c r="AO2" i="25"/>
  <c r="AN3" i="16"/>
  <c r="AN5" i="16"/>
  <c r="AN4" i="16"/>
  <c r="AN6" i="16"/>
  <c r="AP2" i="16"/>
  <c r="AL4" i="12"/>
  <c r="AL5" i="12"/>
  <c r="AL3" i="12"/>
  <c r="AL6" i="12"/>
  <c r="AN2" i="12"/>
  <c r="AN6" i="25" a="1"/>
  <c r="AN4" i="25" a="1"/>
  <c r="AN5" i="25" a="1"/>
  <c r="AM4" i="12" a="1"/>
  <c r="AM6" i="12" a="1"/>
  <c r="AO4" i="16" a="1"/>
  <c r="AO3" i="16" a="1"/>
  <c r="AO5" i="16" a="1"/>
  <c r="AM3" i="12" a="1"/>
  <c r="AN3" i="25" a="1"/>
  <c r="AO6" i="16" a="1"/>
  <c r="AM5" i="12" a="1"/>
  <c r="AN5" i="25" l="1"/>
  <c r="AN4" i="25"/>
  <c r="AN6" i="25"/>
  <c r="AN3" i="25"/>
  <c r="AP2" i="25"/>
  <c r="AO4" i="16"/>
  <c r="AO3" i="16"/>
  <c r="AO6" i="16"/>
  <c r="AO5" i="16"/>
  <c r="AQ2" i="16"/>
  <c r="AM4" i="12"/>
  <c r="AM6" i="12"/>
  <c r="AM5" i="12"/>
  <c r="AM3" i="12"/>
  <c r="AO2" i="12"/>
  <c r="AO3" i="25" a="1"/>
  <c r="AO6" i="25" a="1"/>
  <c r="AO4" i="25" a="1"/>
  <c r="AN3" i="12" a="1"/>
  <c r="AP3" i="16" a="1"/>
  <c r="AN5" i="12" a="1"/>
  <c r="AN6" i="12" a="1"/>
  <c r="AO5" i="25" a="1"/>
  <c r="AN4" i="12" a="1"/>
  <c r="AP6" i="16" a="1"/>
  <c r="AP5" i="16" a="1"/>
  <c r="AP4" i="16" a="1"/>
  <c r="AO4" i="25" l="1"/>
  <c r="AO6" i="25"/>
  <c r="AO3" i="25"/>
  <c r="AO5" i="25"/>
  <c r="AQ2" i="25"/>
  <c r="AP6" i="16"/>
  <c r="AP5" i="16"/>
  <c r="AP4" i="16"/>
  <c r="AP3" i="16"/>
  <c r="AR2" i="16"/>
  <c r="AN5" i="12"/>
  <c r="AN6" i="12"/>
  <c r="AN3" i="12"/>
  <c r="AN4" i="12"/>
  <c r="AP2" i="12"/>
  <c r="AP4" i="25" a="1"/>
  <c r="AP3" i="25" a="1"/>
  <c r="AP6" i="25" a="1"/>
  <c r="AQ6" i="16" a="1"/>
  <c r="AO4" i="12" a="1"/>
  <c r="AO3" i="12" a="1"/>
  <c r="AQ3" i="16" a="1"/>
  <c r="AQ5" i="16" a="1"/>
  <c r="AP5" i="25" a="1"/>
  <c r="AO5" i="12" a="1"/>
  <c r="AO6" i="12" a="1"/>
  <c r="AQ4" i="16" a="1"/>
  <c r="AP6" i="25" l="1"/>
  <c r="AP3" i="25"/>
  <c r="AP4" i="25"/>
  <c r="AP5" i="25"/>
  <c r="AR2" i="25"/>
  <c r="AQ6" i="16"/>
  <c r="AQ3" i="16"/>
  <c r="AQ4" i="16"/>
  <c r="AQ5" i="16"/>
  <c r="AS2" i="16"/>
  <c r="AO6" i="12"/>
  <c r="AO4" i="12"/>
  <c r="AO5" i="12"/>
  <c r="AO3" i="12"/>
  <c r="AQ2" i="12"/>
  <c r="AQ6" i="25" a="1"/>
  <c r="AQ3" i="25" a="1"/>
  <c r="AQ4" i="25" a="1"/>
  <c r="AP3" i="12" a="1"/>
  <c r="AP6" i="12" a="1"/>
  <c r="AP4" i="12" a="1"/>
  <c r="AR5" i="16" a="1"/>
  <c r="AQ5" i="25" a="1"/>
  <c r="AR3" i="16" a="1"/>
  <c r="AR4" i="16" a="1"/>
  <c r="AR6" i="16" a="1"/>
  <c r="AP5" i="12" a="1"/>
  <c r="AQ4" i="25" l="1"/>
  <c r="AQ3" i="25"/>
  <c r="AQ6" i="25"/>
  <c r="AQ5" i="25"/>
  <c r="AS2" i="25"/>
  <c r="AR6" i="16"/>
  <c r="AR5" i="16"/>
  <c r="AR3" i="16"/>
  <c r="AR4" i="16"/>
  <c r="AT2" i="16"/>
  <c r="AP3" i="12"/>
  <c r="AP6" i="12"/>
  <c r="AP4" i="12"/>
  <c r="AP5" i="12"/>
  <c r="AR2" i="12"/>
  <c r="AR3" i="25" a="1"/>
  <c r="AR5" i="25" a="1"/>
  <c r="AS3" i="16" a="1"/>
  <c r="AS5" i="16" a="1"/>
  <c r="AQ5" i="12" a="1"/>
  <c r="AR6" i="25" a="1"/>
  <c r="AR4" i="25" a="1"/>
  <c r="AS6" i="16" a="1"/>
  <c r="AS4" i="16" a="1"/>
  <c r="AQ4" i="12" a="1"/>
  <c r="AQ6" i="12" a="1"/>
  <c r="AQ3" i="12" a="1"/>
  <c r="AR5" i="25" l="1"/>
  <c r="AR4" i="25"/>
  <c r="AR3" i="25"/>
  <c r="AR6" i="25"/>
  <c r="AT2" i="25"/>
  <c r="AS6" i="16"/>
  <c r="AS3" i="16"/>
  <c r="AS4" i="16"/>
  <c r="AS5" i="16"/>
  <c r="AU2" i="16"/>
  <c r="AQ3" i="12"/>
  <c r="AQ6" i="12"/>
  <c r="AQ4" i="12"/>
  <c r="AQ5" i="12"/>
  <c r="AS2" i="12"/>
  <c r="AS3" i="25" a="1"/>
  <c r="AS6" i="25" a="1"/>
  <c r="AS5" i="25" a="1"/>
  <c r="AR3" i="12" a="1"/>
  <c r="AT4" i="16" a="1"/>
  <c r="AT5" i="16" a="1"/>
  <c r="AR4" i="12" a="1"/>
  <c r="AT6" i="16" a="1"/>
  <c r="AR5" i="12" a="1"/>
  <c r="AT3" i="16" a="1"/>
  <c r="AR6" i="12" a="1"/>
  <c r="AS4" i="25" a="1"/>
  <c r="AS5" i="25" l="1"/>
  <c r="AS6" i="25"/>
  <c r="AS3" i="25"/>
  <c r="AS4" i="25"/>
  <c r="AU2" i="25"/>
  <c r="AT4" i="16"/>
  <c r="AT6" i="16"/>
  <c r="AT3" i="16"/>
  <c r="AT5" i="16"/>
  <c r="AV2" i="16"/>
  <c r="AR4" i="12"/>
  <c r="AR5" i="12"/>
  <c r="AR3" i="12"/>
  <c r="AR6" i="12"/>
  <c r="AT2" i="12"/>
  <c r="AT4" i="25" a="1"/>
  <c r="AT5" i="25" a="1"/>
  <c r="AT3" i="25" a="1"/>
  <c r="AU6" i="16" a="1"/>
  <c r="AS5" i="12" a="1"/>
  <c r="AU4" i="16" a="1"/>
  <c r="AS4" i="12" a="1"/>
  <c r="AS3" i="12" a="1"/>
  <c r="AU5" i="16" a="1"/>
  <c r="AT6" i="25" a="1"/>
  <c r="AU3" i="16" a="1"/>
  <c r="AS6" i="12" a="1"/>
  <c r="AT3" i="25" l="1"/>
  <c r="AT5" i="25"/>
  <c r="AT4" i="25"/>
  <c r="AT6" i="25"/>
  <c r="AV2" i="25"/>
  <c r="AU4" i="16"/>
  <c r="AU6" i="16"/>
  <c r="AU5" i="16"/>
  <c r="AU3" i="16"/>
  <c r="AW2" i="16"/>
  <c r="AS6" i="12"/>
  <c r="AS4" i="12"/>
  <c r="AS5" i="12"/>
  <c r="AS3" i="12"/>
  <c r="AU2" i="12"/>
  <c r="AU6" i="25" a="1"/>
  <c r="AU5" i="25" a="1"/>
  <c r="AU4" i="25" a="1"/>
  <c r="AV4" i="16" a="1"/>
  <c r="AT3" i="12" a="1"/>
  <c r="AV3" i="16" a="1"/>
  <c r="AV6" i="16" a="1"/>
  <c r="AU3" i="25" a="1"/>
  <c r="AV5" i="16" a="1"/>
  <c r="AT6" i="12" a="1"/>
  <c r="AT5" i="12" a="1"/>
  <c r="AT4" i="12" a="1"/>
  <c r="AU4" i="25" l="1"/>
  <c r="AU5" i="25"/>
  <c r="AU6" i="25"/>
  <c r="AU3" i="25"/>
  <c r="AW2" i="25"/>
  <c r="AV4" i="16"/>
  <c r="AV5" i="16"/>
  <c r="AV6" i="16"/>
  <c r="AV3" i="16"/>
  <c r="AX2" i="16"/>
  <c r="AT6" i="12"/>
  <c r="AT4" i="12"/>
  <c r="AT5" i="12"/>
  <c r="AT3" i="12"/>
  <c r="AV2" i="12"/>
  <c r="AV3" i="25" a="1"/>
  <c r="AV6" i="25" a="1"/>
  <c r="AV4" i="25" a="1"/>
  <c r="AU4" i="12" a="1"/>
  <c r="AW5" i="16" a="1"/>
  <c r="AW4" i="16" a="1"/>
  <c r="AU5" i="12" a="1"/>
  <c r="AU6" i="12" a="1"/>
  <c r="AW3" i="16" a="1"/>
  <c r="AW6" i="16" a="1"/>
  <c r="AV5" i="25" a="1"/>
  <c r="AU3" i="12" a="1"/>
  <c r="AV4" i="25" l="1"/>
  <c r="AV6" i="25"/>
  <c r="AV3" i="25"/>
  <c r="AV5" i="25"/>
  <c r="AX2" i="25"/>
  <c r="AW6" i="16"/>
  <c r="AW4" i="16"/>
  <c r="AW3" i="16"/>
  <c r="AW5" i="16"/>
  <c r="AY2" i="16"/>
  <c r="AU4" i="12"/>
  <c r="AU5" i="12"/>
  <c r="AU6" i="12"/>
  <c r="AU3" i="12"/>
  <c r="AW2" i="12"/>
  <c r="AW3" i="25" a="1"/>
  <c r="AW4" i="25" a="1"/>
  <c r="AW6" i="25" a="1"/>
  <c r="AX5" i="16" a="1"/>
  <c r="AX3" i="16" a="1"/>
  <c r="AV3" i="12" a="1"/>
  <c r="AV5" i="12" a="1"/>
  <c r="AV4" i="12" a="1"/>
  <c r="AV6" i="12" a="1"/>
  <c r="AW5" i="25" a="1"/>
  <c r="AX6" i="16" a="1"/>
  <c r="AX4" i="16" a="1"/>
  <c r="AW6" i="25" l="1"/>
  <c r="AW4" i="25"/>
  <c r="AW3" i="25"/>
  <c r="AW5" i="25"/>
  <c r="AY2" i="25"/>
  <c r="AX3" i="16"/>
  <c r="AX5" i="16"/>
  <c r="AX4" i="16"/>
  <c r="AX6" i="16"/>
  <c r="AZ2" i="16"/>
  <c r="AV6" i="12"/>
  <c r="AV3" i="12"/>
  <c r="AV4" i="12"/>
  <c r="AV5" i="12"/>
  <c r="AX2" i="12"/>
  <c r="AX4" i="25" a="1"/>
  <c r="AX3" i="25" a="1"/>
  <c r="AX5" i="25" a="1"/>
  <c r="AW4" i="12" a="1"/>
  <c r="AY6" i="16" a="1"/>
  <c r="AY5" i="16" a="1"/>
  <c r="AW5" i="12" a="1"/>
  <c r="AW6" i="12" a="1"/>
  <c r="AY3" i="16" a="1"/>
  <c r="AY4" i="16" a="1"/>
  <c r="AW3" i="12" a="1"/>
  <c r="AX6" i="25" a="1"/>
  <c r="AX5" i="25" l="1"/>
  <c r="AX3" i="25"/>
  <c r="AX4" i="25"/>
  <c r="AX6" i="25"/>
  <c r="AZ2" i="25"/>
  <c r="AY5" i="16"/>
  <c r="AY6" i="16"/>
  <c r="AY4" i="16"/>
  <c r="AY3" i="16"/>
  <c r="BA2" i="16"/>
  <c r="AW5" i="12"/>
  <c r="AW4" i="12"/>
  <c r="AW6" i="12"/>
  <c r="AW3" i="12"/>
  <c r="AY2" i="12"/>
  <c r="AY3" i="25" a="1"/>
  <c r="AY6" i="25" a="1"/>
  <c r="AX4" i="12" a="1"/>
  <c r="AZ6" i="16" a="1"/>
  <c r="AX6" i="12" a="1"/>
  <c r="AZ4" i="16" a="1"/>
  <c r="AZ3" i="16" a="1"/>
  <c r="AY5" i="25" a="1"/>
  <c r="AZ5" i="16" a="1"/>
  <c r="AY4" i="25" a="1"/>
  <c r="AX3" i="12" a="1"/>
  <c r="AX5" i="12" a="1"/>
  <c r="AY4" i="25" l="1"/>
  <c r="AY6" i="25"/>
  <c r="AY3" i="25"/>
  <c r="AY5" i="25"/>
  <c r="BA2" i="25"/>
  <c r="AZ5" i="16"/>
  <c r="AZ3" i="16"/>
  <c r="AZ6" i="16"/>
  <c r="AZ4" i="16"/>
  <c r="BB2" i="16"/>
  <c r="AX5" i="12"/>
  <c r="AX3" i="12"/>
  <c r="AX4" i="12"/>
  <c r="AX6" i="12"/>
  <c r="AZ2" i="12"/>
  <c r="AZ5" i="25" a="1"/>
  <c r="AZ3" i="25" a="1"/>
  <c r="AZ4" i="25" a="1"/>
  <c r="AY5" i="12" a="1"/>
  <c r="AY3" i="12" a="1"/>
  <c r="AY6" i="12" a="1"/>
  <c r="AY4" i="12" a="1"/>
  <c r="BA3" i="16" a="1"/>
  <c r="BA6" i="16" a="1"/>
  <c r="BA5" i="16" a="1"/>
  <c r="AZ6" i="25" a="1"/>
  <c r="BA4" i="16" a="1"/>
  <c r="AZ4" i="25" l="1"/>
  <c r="AZ3" i="25"/>
  <c r="AZ5" i="25"/>
  <c r="AZ6" i="25"/>
  <c r="BB2" i="25"/>
  <c r="BA6" i="16"/>
  <c r="BA5" i="16"/>
  <c r="BA3" i="16"/>
  <c r="BA4" i="16"/>
  <c r="BC2" i="16"/>
  <c r="AY4" i="12"/>
  <c r="AY6" i="12"/>
  <c r="AY5" i="12"/>
  <c r="AY3" i="12"/>
  <c r="BA2" i="12"/>
  <c r="BA4" i="25" a="1"/>
  <c r="BA5" i="25" a="1"/>
  <c r="BA6" i="25" a="1"/>
  <c r="AZ3" i="12" a="1"/>
  <c r="BB4" i="16" a="1"/>
  <c r="AZ4" i="12" a="1"/>
  <c r="AZ5" i="12" a="1"/>
  <c r="BB3" i="16" a="1"/>
  <c r="BB5" i="16" a="1"/>
  <c r="BA3" i="25" a="1"/>
  <c r="BB6" i="16" a="1"/>
  <c r="AZ6" i="12" a="1"/>
  <c r="BA6" i="25" l="1"/>
  <c r="BA5" i="25"/>
  <c r="BA4" i="25"/>
  <c r="BA3" i="25"/>
  <c r="BC2" i="25"/>
  <c r="BB5" i="16"/>
  <c r="BB4" i="16"/>
  <c r="BB6" i="16"/>
  <c r="BB3" i="16"/>
  <c r="BD2" i="16"/>
  <c r="AZ6" i="12"/>
  <c r="AZ4" i="12"/>
  <c r="AZ5" i="12"/>
  <c r="AZ3" i="12"/>
  <c r="BB2" i="12"/>
  <c r="BB4" i="25" a="1"/>
  <c r="BB6" i="25" a="1"/>
  <c r="BC5" i="16" a="1"/>
  <c r="BC4" i="16" a="1"/>
  <c r="BA6" i="12" a="1"/>
  <c r="BB3" i="25" a="1"/>
  <c r="BB5" i="25" a="1"/>
  <c r="BA5" i="12" a="1"/>
  <c r="BC3" i="16" a="1"/>
  <c r="BC6" i="16" a="1"/>
  <c r="BA4" i="12" a="1"/>
  <c r="BA3" i="12" a="1"/>
  <c r="BB6" i="25" l="1"/>
  <c r="BB5" i="25"/>
  <c r="BB4" i="25"/>
  <c r="BB3" i="25"/>
  <c r="BD2" i="25"/>
  <c r="BC3" i="16"/>
  <c r="BC4" i="16"/>
  <c r="BC6" i="16"/>
  <c r="BC5" i="16"/>
  <c r="BE2" i="16"/>
  <c r="BA6" i="12"/>
  <c r="BA5" i="12"/>
  <c r="BA4" i="12"/>
  <c r="BA3" i="12"/>
  <c r="BC2" i="12"/>
  <c r="BC5" i="25" a="1"/>
  <c r="BC3" i="25" a="1"/>
  <c r="BC6" i="25" a="1"/>
  <c r="BB6" i="12" a="1"/>
  <c r="BD4" i="16" a="1"/>
  <c r="BD5" i="16" a="1"/>
  <c r="BB4" i="12" a="1"/>
  <c r="BB3" i="12" a="1"/>
  <c r="BD6" i="16" a="1"/>
  <c r="BD3" i="16" a="1"/>
  <c r="BB5" i="12" a="1"/>
  <c r="BC4" i="25" a="1"/>
  <c r="BC6" i="25" l="1"/>
  <c r="BC3" i="25"/>
  <c r="BC5" i="25"/>
  <c r="BC4" i="25"/>
  <c r="BE2" i="25"/>
  <c r="BD6" i="16"/>
  <c r="BD5" i="16"/>
  <c r="BD4" i="16"/>
  <c r="BD3" i="16"/>
  <c r="BF2" i="16"/>
  <c r="BB6" i="12"/>
  <c r="BB4" i="12"/>
  <c r="BB3" i="12"/>
  <c r="BB5" i="12"/>
  <c r="BD2" i="12"/>
  <c r="BD5" i="25" a="1"/>
  <c r="BD6" i="25" a="1"/>
  <c r="BD4" i="25" a="1"/>
  <c r="BC6" i="12" a="1"/>
  <c r="BE6" i="16" a="1"/>
  <c r="BC4" i="12" a="1"/>
  <c r="BE5" i="16" a="1"/>
  <c r="BE4" i="16" a="1"/>
  <c r="BE3" i="16" a="1"/>
  <c r="BC5" i="12" a="1"/>
  <c r="BD3" i="25" a="1"/>
  <c r="BC3" i="12" a="1"/>
  <c r="BD4" i="25" l="1"/>
  <c r="BD6" i="25"/>
  <c r="BD5" i="25"/>
  <c r="BD3" i="25"/>
  <c r="BF2" i="25"/>
  <c r="BE4" i="16"/>
  <c r="BE6" i="16"/>
  <c r="BE5" i="16"/>
  <c r="BE3" i="16"/>
  <c r="BG2" i="16"/>
  <c r="BC3" i="12"/>
  <c r="BC6" i="12"/>
  <c r="BC5" i="12"/>
  <c r="BC4" i="12"/>
  <c r="BE2" i="12"/>
  <c r="BE5" i="25" a="1"/>
  <c r="BE4" i="25" a="1"/>
  <c r="BE6" i="25" a="1"/>
  <c r="BF5" i="16" a="1"/>
  <c r="BF6" i="16" a="1"/>
  <c r="BD4" i="12" a="1"/>
  <c r="BE3" i="25" a="1"/>
  <c r="BD6" i="12" a="1"/>
  <c r="BF3" i="16" a="1"/>
  <c r="BF4" i="16" a="1"/>
  <c r="BD3" i="12" a="1"/>
  <c r="BD5" i="12" a="1"/>
  <c r="BE6" i="25" l="1"/>
  <c r="BE4" i="25"/>
  <c r="BE5" i="25"/>
  <c r="BE3" i="25"/>
  <c r="BG2" i="25"/>
  <c r="BF6" i="16"/>
  <c r="BF4" i="16"/>
  <c r="BF5" i="16"/>
  <c r="BF3" i="16"/>
  <c r="BH2" i="16"/>
  <c r="BD5" i="12"/>
  <c r="BD4" i="12"/>
  <c r="BD3" i="12"/>
  <c r="BD6" i="12"/>
  <c r="BF2" i="12"/>
  <c r="BF4" i="25" a="1"/>
  <c r="BF3" i="25" a="1"/>
  <c r="BF5" i="25" a="1"/>
  <c r="BG4" i="16" a="1"/>
  <c r="BE4" i="12" a="1"/>
  <c r="BG5" i="16" a="1"/>
  <c r="BE5" i="12" a="1"/>
  <c r="BG3" i="16" a="1"/>
  <c r="BE3" i="12" a="1"/>
  <c r="BF6" i="25" a="1"/>
  <c r="BG6" i="16" a="1"/>
  <c r="BE6" i="12" a="1"/>
  <c r="BF5" i="25" l="1"/>
  <c r="BF3" i="25"/>
  <c r="BF4" i="25"/>
  <c r="BF6" i="25"/>
  <c r="BH2" i="25"/>
  <c r="BG4" i="16"/>
  <c r="BG6" i="16"/>
  <c r="BG5" i="16"/>
  <c r="BG3" i="16"/>
  <c r="BI2" i="16"/>
  <c r="BE6" i="12"/>
  <c r="BE5" i="12"/>
  <c r="BE4" i="12"/>
  <c r="BE3" i="12"/>
  <c r="BG2" i="12"/>
  <c r="BG6" i="25" a="1"/>
  <c r="BG3" i="25" a="1"/>
  <c r="BF3" i="12" a="1"/>
  <c r="BH3" i="16" a="1"/>
  <c r="BG5" i="25" a="1"/>
  <c r="BF5" i="12" a="1"/>
  <c r="BG4" i="25" a="1"/>
  <c r="BH6" i="16" a="1"/>
  <c r="BH4" i="16" a="1"/>
  <c r="BF4" i="12" a="1"/>
  <c r="BH5" i="16" a="1"/>
  <c r="BF6" i="12" a="1"/>
  <c r="BG4" i="25" l="1"/>
  <c r="BG3" i="25"/>
  <c r="BG6" i="25"/>
  <c r="BG5" i="25"/>
  <c r="BI2" i="25"/>
  <c r="BH5" i="16"/>
  <c r="BH4" i="16"/>
  <c r="BH6" i="16"/>
  <c r="BH3" i="16"/>
  <c r="BJ2" i="16"/>
  <c r="BF4" i="12"/>
  <c r="BF6" i="12"/>
  <c r="BF5" i="12"/>
  <c r="BF3" i="12"/>
  <c r="BH2" i="12"/>
  <c r="BH3" i="25" a="1"/>
  <c r="BH4" i="25" a="1"/>
  <c r="BH5" i="25" a="1"/>
  <c r="BI3" i="16" a="1"/>
  <c r="BG3" i="12" a="1"/>
  <c r="BI4" i="16" a="1"/>
  <c r="BG6" i="12" a="1"/>
  <c r="BI5" i="16" a="1"/>
  <c r="BG5" i="12" a="1"/>
  <c r="BI6" i="16" a="1"/>
  <c r="BH6" i="25" a="1"/>
  <c r="BG4" i="12" a="1"/>
  <c r="BH5" i="25" l="1"/>
  <c r="BH4" i="25"/>
  <c r="BH3" i="25"/>
  <c r="BH6" i="25"/>
  <c r="BJ2" i="25"/>
  <c r="BI6" i="16"/>
  <c r="BI4" i="16"/>
  <c r="BI3" i="16"/>
  <c r="BI5" i="16"/>
  <c r="BK2" i="16"/>
  <c r="BG6" i="12"/>
  <c r="BG5" i="12"/>
  <c r="BG4" i="12"/>
  <c r="BG3" i="12"/>
  <c r="BI2" i="12"/>
  <c r="BI5" i="25" a="1"/>
  <c r="BI4" i="25" a="1"/>
  <c r="BI6" i="25" a="1"/>
  <c r="BH6" i="12" a="1"/>
  <c r="BH5" i="12" a="1"/>
  <c r="BH4" i="12" a="1"/>
  <c r="BJ4" i="16" a="1"/>
  <c r="BJ6" i="16" a="1"/>
  <c r="BJ5" i="16" a="1"/>
  <c r="BH3" i="12" a="1"/>
  <c r="BJ3" i="16" a="1"/>
  <c r="BI3" i="25" a="1"/>
  <c r="BI6" i="25" l="1"/>
  <c r="BI4" i="25"/>
  <c r="BI5" i="25"/>
  <c r="BI3" i="25"/>
  <c r="BK2" i="25"/>
  <c r="BJ3" i="16"/>
  <c r="BJ4" i="16"/>
  <c r="BJ6" i="16"/>
  <c r="BJ5" i="16"/>
  <c r="BL2" i="16"/>
  <c r="BH3" i="12"/>
  <c r="BH4" i="12"/>
  <c r="BH6" i="12"/>
  <c r="BH5" i="12"/>
  <c r="BJ2" i="12"/>
  <c r="BJ5" i="25" a="1"/>
  <c r="BJ3" i="25" a="1"/>
  <c r="BJ6" i="25" a="1"/>
  <c r="BI4" i="12" a="1"/>
  <c r="BK5" i="16" a="1"/>
  <c r="BK6" i="16" a="1"/>
  <c r="BK3" i="16" a="1"/>
  <c r="BI5" i="12" a="1"/>
  <c r="BK4" i="16" a="1"/>
  <c r="BJ4" i="25" a="1"/>
  <c r="BI3" i="12" a="1"/>
  <c r="BI6" i="12" a="1"/>
  <c r="BJ6" i="25" l="1"/>
  <c r="BJ3" i="25"/>
  <c r="BJ5" i="25"/>
  <c r="BJ4" i="25"/>
  <c r="BL2" i="25"/>
  <c r="BK3" i="16"/>
  <c r="BK5" i="16"/>
  <c r="BK4" i="16"/>
  <c r="BK6" i="16"/>
  <c r="BM2" i="16"/>
  <c r="BI3" i="12"/>
  <c r="BI5" i="12"/>
  <c r="BI6" i="12"/>
  <c r="BI4" i="12"/>
  <c r="BK2" i="12"/>
  <c r="BK6" i="25" a="1"/>
  <c r="BK5" i="25" a="1"/>
  <c r="BK4" i="25" a="1"/>
  <c r="BJ3" i="12" a="1"/>
  <c r="BJ6" i="12" a="1"/>
  <c r="BL5" i="16" a="1"/>
  <c r="BL3" i="16" a="1"/>
  <c r="BJ5" i="12" a="1"/>
  <c r="BJ4" i="12" a="1"/>
  <c r="BL6" i="16" a="1"/>
  <c r="BL4" i="16" a="1"/>
  <c r="BK3" i="25" a="1"/>
  <c r="BK4" i="25" l="1"/>
  <c r="BK5" i="25"/>
  <c r="BK6" i="25"/>
  <c r="BK3" i="25"/>
  <c r="BM2" i="25"/>
  <c r="BL6" i="16"/>
  <c r="BL5" i="16"/>
  <c r="BL4" i="16"/>
  <c r="BL3" i="16"/>
  <c r="BN2" i="16"/>
  <c r="BJ4" i="12"/>
  <c r="BJ5" i="12"/>
  <c r="BJ6" i="12"/>
  <c r="BJ3" i="12"/>
  <c r="BL2" i="12"/>
  <c r="BL4" i="25" a="1"/>
  <c r="BM6" i="16" a="1"/>
  <c r="BM4" i="16" a="1"/>
  <c r="BL6" i="25" a="1"/>
  <c r="BM3" i="16" a="1"/>
  <c r="BK6" i="12" a="1"/>
  <c r="BM5" i="16" a="1"/>
  <c r="BL3" i="25" a="1"/>
  <c r="BL5" i="25" a="1"/>
  <c r="BK3" i="12" a="1"/>
  <c r="BK4" i="12" a="1"/>
  <c r="BK5" i="12" a="1"/>
  <c r="BL5" i="25" l="1"/>
  <c r="BL6" i="25"/>
  <c r="BL4" i="25"/>
  <c r="BL3" i="25"/>
  <c r="BN2" i="25"/>
  <c r="BM5" i="16"/>
  <c r="BM6" i="16"/>
  <c r="BM4" i="16"/>
  <c r="BM3" i="16"/>
  <c r="BO2" i="16"/>
  <c r="BK5" i="12"/>
  <c r="BK4" i="12"/>
  <c r="BK6" i="12"/>
  <c r="BK3" i="12"/>
  <c r="BM2" i="12"/>
  <c r="BM3" i="25" a="1"/>
  <c r="BM6" i="25" a="1"/>
  <c r="BL3" i="12" a="1"/>
  <c r="BN5" i="16" a="1"/>
  <c r="BL5" i="12" a="1"/>
  <c r="BL4" i="12" a="1"/>
  <c r="BM4" i="25" a="1"/>
  <c r="BN6" i="16" a="1"/>
  <c r="BN3" i="16" a="1"/>
  <c r="BN4" i="16" a="1"/>
  <c r="BL6" i="12" a="1"/>
  <c r="BM5" i="25" a="1"/>
  <c r="BM6" i="25" l="1"/>
  <c r="BM4" i="25"/>
  <c r="BM3" i="25"/>
  <c r="BM5" i="25"/>
  <c r="BO2" i="25"/>
  <c r="BN5" i="16"/>
  <c r="BN6" i="16"/>
  <c r="BN4" i="16"/>
  <c r="BN3" i="16"/>
  <c r="BP2" i="16"/>
  <c r="BL4" i="12"/>
  <c r="BL5" i="12"/>
  <c r="BL6" i="12"/>
  <c r="BL3" i="12"/>
  <c r="BN2" i="12"/>
  <c r="BN3" i="25" a="1"/>
  <c r="BN6" i="25" a="1"/>
  <c r="BN4" i="25" a="1"/>
  <c r="BM3" i="12" a="1"/>
  <c r="BO4" i="16" a="1"/>
  <c r="BO5" i="16" a="1"/>
  <c r="BO3" i="16" a="1"/>
  <c r="BM4" i="12" a="1"/>
  <c r="BN5" i="25" a="1"/>
  <c r="BM5" i="12" a="1"/>
  <c r="BO6" i="16" a="1"/>
  <c r="BM6" i="12" a="1"/>
  <c r="BN4" i="25" l="1"/>
  <c r="BN6" i="25"/>
  <c r="BN3" i="25"/>
  <c r="BN5" i="25"/>
  <c r="BP2" i="25"/>
  <c r="BO6" i="16"/>
  <c r="BO3" i="16"/>
  <c r="BO4" i="16"/>
  <c r="BO5" i="16"/>
  <c r="BQ2" i="16"/>
  <c r="BM6" i="12"/>
  <c r="BM4" i="12"/>
  <c r="BM5" i="12"/>
  <c r="BM3" i="12"/>
  <c r="BO2" i="12"/>
  <c r="BO3" i="25" a="1"/>
  <c r="BO4" i="25" a="1"/>
  <c r="BO6" i="25" a="1"/>
  <c r="BN6" i="12" a="1"/>
  <c r="BN3" i="12" a="1"/>
  <c r="BN4" i="12" a="1"/>
  <c r="BP5" i="16" a="1"/>
  <c r="BP4" i="16" a="1"/>
  <c r="BP6" i="16" a="1"/>
  <c r="BN5" i="12" a="1"/>
  <c r="BP3" i="16" a="1"/>
  <c r="BO5" i="25" a="1"/>
  <c r="BO6" i="25" l="1"/>
  <c r="BO4" i="25"/>
  <c r="BO3" i="25"/>
  <c r="BO5" i="25"/>
  <c r="BQ2" i="25"/>
  <c r="BP6" i="16"/>
  <c r="BP4" i="16"/>
  <c r="BP3" i="16"/>
  <c r="BP5" i="16"/>
  <c r="BR2" i="16"/>
  <c r="BN4" i="12"/>
  <c r="BN3" i="12"/>
  <c r="BN6" i="12"/>
  <c r="BN5" i="12"/>
  <c r="BP2" i="12"/>
  <c r="BP6" i="25" a="1"/>
  <c r="BP4" i="25" a="1"/>
  <c r="BP3" i="25" a="1"/>
  <c r="BQ4" i="16" a="1"/>
  <c r="BO4" i="12" a="1"/>
  <c r="BO3" i="12" a="1"/>
  <c r="BQ3" i="16" a="1"/>
  <c r="BQ6" i="16" a="1"/>
  <c r="BP5" i="25" a="1"/>
  <c r="BO5" i="12" a="1"/>
  <c r="BQ5" i="16" a="1"/>
  <c r="BO6" i="12" a="1"/>
  <c r="BP3" i="25" l="1"/>
  <c r="BP4" i="25"/>
  <c r="BP6" i="25"/>
  <c r="BP5" i="25"/>
  <c r="BR2" i="25"/>
  <c r="BQ5" i="16"/>
  <c r="BQ4" i="16"/>
  <c r="BQ6" i="16"/>
  <c r="BQ3" i="16"/>
  <c r="BS2" i="16"/>
  <c r="BO5" i="12"/>
  <c r="BO3" i="12"/>
  <c r="BO6" i="12"/>
  <c r="BO4" i="12"/>
  <c r="BQ2" i="12"/>
  <c r="BQ4" i="25" a="1"/>
  <c r="BQ6" i="25" a="1"/>
  <c r="BQ5" i="25" a="1"/>
  <c r="BP3" i="12" a="1"/>
  <c r="BR3" i="16" a="1"/>
  <c r="BR5" i="16" a="1"/>
  <c r="BR4" i="16" a="1"/>
  <c r="BP5" i="12" a="1"/>
  <c r="BP4" i="12" a="1"/>
  <c r="BP6" i="12" a="1"/>
  <c r="BR6" i="16" a="1"/>
  <c r="BQ3" i="25" a="1"/>
  <c r="BQ5" i="25" l="1"/>
  <c r="BQ6" i="25"/>
  <c r="BQ4" i="25"/>
  <c r="BQ3" i="25"/>
  <c r="BS2" i="25"/>
  <c r="BR4" i="16"/>
  <c r="BR5" i="16"/>
  <c r="BR6" i="16"/>
  <c r="BR3" i="16"/>
  <c r="BT2" i="16"/>
  <c r="BP3" i="12"/>
  <c r="BP4" i="12"/>
  <c r="BP5" i="12"/>
  <c r="BP6" i="12"/>
  <c r="BR2" i="12"/>
  <c r="BR6" i="25" a="1"/>
  <c r="BR3" i="25" a="1"/>
  <c r="BR4" i="25" a="1"/>
  <c r="BS5" i="16" a="1"/>
  <c r="BQ4" i="12" a="1"/>
  <c r="BS6" i="16" a="1"/>
  <c r="BS3" i="16" a="1"/>
  <c r="BQ5" i="12" a="1"/>
  <c r="BQ3" i="12" a="1"/>
  <c r="BQ6" i="12" a="1"/>
  <c r="BR5" i="25" a="1"/>
  <c r="BS4" i="16" a="1"/>
  <c r="BR4" i="25" l="1"/>
  <c r="BR3" i="25"/>
  <c r="BR6" i="25"/>
  <c r="BR5" i="25"/>
  <c r="BT2" i="25"/>
  <c r="BS5" i="16"/>
  <c r="BS4" i="16"/>
  <c r="BS6" i="16"/>
  <c r="BS3" i="16"/>
  <c r="BU2" i="16"/>
  <c r="BQ4" i="12"/>
  <c r="BQ6" i="12"/>
  <c r="BQ5" i="12"/>
  <c r="BQ3" i="12"/>
  <c r="BS2" i="12"/>
  <c r="BS5" i="25" a="1"/>
  <c r="BS6" i="25" a="1"/>
  <c r="BS3" i="25" a="1"/>
  <c r="BR5" i="12" a="1"/>
  <c r="BT3" i="16" a="1"/>
  <c r="BR4" i="12" a="1"/>
  <c r="BR3" i="12" a="1"/>
  <c r="BR6" i="12" a="1"/>
  <c r="BT6" i="16" a="1"/>
  <c r="BT4" i="16" a="1"/>
  <c r="BS4" i="25" a="1"/>
  <c r="BT5" i="16" a="1"/>
  <c r="BS3" i="25" l="1"/>
  <c r="BS6" i="25"/>
  <c r="BS5" i="25"/>
  <c r="BS4" i="25"/>
  <c r="BU2" i="25"/>
  <c r="BT4" i="16"/>
  <c r="BT5" i="16"/>
  <c r="BT6" i="16"/>
  <c r="BT3" i="16"/>
  <c r="BV2" i="16"/>
  <c r="BR4" i="12"/>
  <c r="BR6" i="12"/>
  <c r="BR5" i="12"/>
  <c r="BR3" i="12"/>
  <c r="BT2" i="12"/>
  <c r="BT3" i="25" a="1"/>
  <c r="BT4" i="25" a="1"/>
  <c r="BS3" i="12" a="1"/>
  <c r="BU3" i="16" a="1"/>
  <c r="BS6" i="12" a="1"/>
  <c r="BS4" i="12" a="1"/>
  <c r="BT6" i="25" a="1"/>
  <c r="BT5" i="25" a="1"/>
  <c r="BU6" i="16" a="1"/>
  <c r="BU4" i="16" a="1"/>
  <c r="BS5" i="12" a="1"/>
  <c r="BU5" i="16" a="1"/>
  <c r="BT4" i="25" l="1"/>
  <c r="BT5" i="25"/>
  <c r="BT3" i="25"/>
  <c r="BT6" i="25"/>
  <c r="BV2" i="25"/>
  <c r="BU3" i="16"/>
  <c r="BU4" i="16"/>
  <c r="BU6" i="16"/>
  <c r="BU5" i="16"/>
  <c r="BW2" i="16"/>
  <c r="BS6" i="12"/>
  <c r="BS4" i="12"/>
  <c r="BS5" i="12"/>
  <c r="BS3" i="12"/>
  <c r="BU2" i="12"/>
  <c r="BU4" i="25" a="1"/>
  <c r="BU3" i="25" a="1"/>
  <c r="BU6" i="25" a="1"/>
  <c r="BT3" i="12" a="1"/>
  <c r="BV5" i="16" a="1"/>
  <c r="BT6" i="12" a="1"/>
  <c r="BT5" i="12" a="1"/>
  <c r="BT4" i="12" a="1"/>
  <c r="BV6" i="16" a="1"/>
  <c r="BV4" i="16" a="1"/>
  <c r="BU5" i="25" a="1"/>
  <c r="BV3" i="16" a="1"/>
  <c r="BU6" i="25" l="1"/>
  <c r="BU3" i="25"/>
  <c r="BU4" i="25"/>
  <c r="BU5" i="25"/>
  <c r="BW2" i="25"/>
  <c r="BV4" i="16"/>
  <c r="BV3" i="16"/>
  <c r="BV6" i="16"/>
  <c r="BV5" i="16"/>
  <c r="BX2" i="16"/>
  <c r="BT3" i="12"/>
  <c r="BT6" i="12"/>
  <c r="BT5" i="12"/>
  <c r="BT4" i="12"/>
  <c r="BV2" i="12"/>
  <c r="BV5" i="25" a="1"/>
  <c r="BV3" i="25" a="1"/>
  <c r="BV6" i="25" a="1"/>
  <c r="BU6" i="12" a="1"/>
  <c r="BW6" i="16" a="1"/>
  <c r="BU4" i="12" a="1"/>
  <c r="BW3" i="16" a="1"/>
  <c r="BU3" i="12" a="1"/>
  <c r="BW5" i="16" a="1"/>
  <c r="BU5" i="12" a="1"/>
  <c r="BV4" i="25" a="1"/>
  <c r="BW4" i="16" a="1"/>
  <c r="BV6" i="25" l="1"/>
  <c r="BV3" i="25"/>
  <c r="BV5" i="25"/>
  <c r="BV4" i="25"/>
  <c r="BX2" i="25"/>
  <c r="BW6" i="16"/>
  <c r="BW4" i="16"/>
  <c r="BW3" i="16"/>
  <c r="BW5" i="16"/>
  <c r="BY2" i="16"/>
  <c r="BU5" i="12"/>
  <c r="BU3" i="12"/>
  <c r="BU6" i="12"/>
  <c r="BU4" i="12"/>
  <c r="BW2" i="12"/>
  <c r="BW6" i="25" a="1"/>
  <c r="BW3" i="25" a="1"/>
  <c r="BW4" i="25" a="1"/>
  <c r="BV6" i="12" a="1"/>
  <c r="BX5" i="16" a="1"/>
  <c r="BX3" i="16" a="1"/>
  <c r="BV5" i="12" a="1"/>
  <c r="BX6" i="16" a="1"/>
  <c r="BV3" i="12" a="1"/>
  <c r="BX4" i="16" a="1"/>
  <c r="BV4" i="12" a="1"/>
  <c r="BW5" i="25" a="1"/>
  <c r="BW4" i="25" l="1"/>
  <c r="BW3" i="25"/>
  <c r="BW6" i="25"/>
  <c r="BW5" i="25"/>
  <c r="BY2" i="25"/>
  <c r="BX6" i="16"/>
  <c r="BX4" i="16"/>
  <c r="BX3" i="16"/>
  <c r="BX5" i="16"/>
  <c r="BZ2" i="16"/>
  <c r="BV5" i="12"/>
  <c r="BV4" i="12"/>
  <c r="BV3" i="12"/>
  <c r="BV6" i="12"/>
  <c r="BX2" i="12"/>
  <c r="BX4" i="25" a="1"/>
  <c r="BX3" i="25" a="1"/>
  <c r="BX5" i="25" a="1"/>
  <c r="BY3" i="16" a="1"/>
  <c r="BW6" i="12" a="1"/>
  <c r="BY4" i="16" a="1"/>
  <c r="BW3" i="12" a="1"/>
  <c r="BY6" i="16" a="1"/>
  <c r="BW5" i="12" a="1"/>
  <c r="BY5" i="16" a="1"/>
  <c r="BX6" i="25" a="1"/>
  <c r="BW4" i="12" a="1"/>
  <c r="BX5" i="25" l="1"/>
  <c r="BX3" i="25"/>
  <c r="BX4" i="25"/>
  <c r="BX6" i="25"/>
  <c r="BZ2" i="25"/>
  <c r="BY4" i="16"/>
  <c r="BY5" i="16"/>
  <c r="BY6" i="16"/>
  <c r="BY3" i="16"/>
  <c r="CA2" i="16"/>
  <c r="BW5" i="12"/>
  <c r="BW4" i="12"/>
  <c r="BW6" i="12"/>
  <c r="BW3" i="12"/>
  <c r="BY2" i="12"/>
  <c r="BY3" i="25" a="1"/>
  <c r="BY5" i="25" a="1"/>
  <c r="BY4" i="25" a="1"/>
  <c r="BZ3" i="16" a="1"/>
  <c r="BX5" i="12" a="1"/>
  <c r="BX3" i="12" a="1"/>
  <c r="BZ5" i="16" a="1"/>
  <c r="BX4" i="12" a="1"/>
  <c r="BZ6" i="16" a="1"/>
  <c r="BX6" i="12" a="1"/>
  <c r="BZ4" i="16" a="1"/>
  <c r="BY6" i="25" a="1"/>
  <c r="BY4" i="25" l="1"/>
  <c r="BY5" i="25"/>
  <c r="BY3" i="25"/>
  <c r="BY6" i="25"/>
  <c r="CA2" i="25"/>
  <c r="BZ4" i="16"/>
  <c r="BZ6" i="16"/>
  <c r="BZ5" i="16"/>
  <c r="BZ3" i="16"/>
  <c r="CB2" i="16"/>
  <c r="BX4" i="12"/>
  <c r="BX6" i="12"/>
  <c r="BX5" i="12"/>
  <c r="BX3" i="12"/>
  <c r="BZ2" i="12"/>
  <c r="BZ5" i="25" a="1"/>
  <c r="BZ3" i="25" a="1"/>
  <c r="BZ4" i="25" a="1"/>
  <c r="CA4" i="16" a="1"/>
  <c r="CA5" i="16" a="1"/>
  <c r="BY4" i="12" a="1"/>
  <c r="BY6" i="12" a="1"/>
  <c r="BY3" i="12" a="1"/>
  <c r="CA6" i="16" a="1"/>
  <c r="BY5" i="12" a="1"/>
  <c r="CA3" i="16" a="1"/>
  <c r="BZ6" i="25" a="1"/>
  <c r="BZ4" i="25" l="1"/>
  <c r="BZ3" i="25"/>
  <c r="BZ5" i="25"/>
  <c r="BZ6" i="25"/>
  <c r="CB2" i="25"/>
  <c r="CA6" i="16"/>
  <c r="CA4" i="16"/>
  <c r="CA3" i="16"/>
  <c r="CA5" i="16"/>
  <c r="CC2" i="16"/>
  <c r="BY6" i="12"/>
  <c r="BY4" i="12"/>
  <c r="BY5" i="12"/>
  <c r="BY3" i="12"/>
  <c r="CA2" i="12"/>
  <c r="CA3" i="25" a="1"/>
  <c r="CA5" i="25" a="1"/>
  <c r="CA4" i="25" a="1"/>
  <c r="CB5" i="16" a="1"/>
  <c r="CB6" i="16" a="1"/>
  <c r="BZ6" i="12" a="1"/>
  <c r="BZ3" i="12" a="1"/>
  <c r="BZ4" i="12" a="1"/>
  <c r="CB3" i="16" a="1"/>
  <c r="BZ5" i="12" a="1"/>
  <c r="CB4" i="16" a="1"/>
  <c r="CA6" i="25" a="1"/>
  <c r="CA4" i="25" l="1"/>
  <c r="CA5" i="25"/>
  <c r="CA3" i="25"/>
  <c r="CA6" i="25"/>
  <c r="CC2" i="25"/>
  <c r="CB6" i="16"/>
  <c r="CB5" i="16"/>
  <c r="CB4" i="16"/>
  <c r="CB3" i="16"/>
  <c r="CD2" i="16"/>
  <c r="BZ3" i="12"/>
  <c r="BZ6" i="12"/>
  <c r="BZ4" i="12"/>
  <c r="BZ5" i="12"/>
  <c r="CB2" i="12"/>
  <c r="CB5" i="25" a="1"/>
  <c r="CB6" i="25" a="1"/>
  <c r="CB4" i="25" a="1"/>
  <c r="CA6" i="12" a="1"/>
  <c r="CC3" i="16" a="1"/>
  <c r="CC6" i="16" a="1"/>
  <c r="CA3" i="12" a="1"/>
  <c r="CC4" i="16" a="1"/>
  <c r="CC5" i="16" a="1"/>
  <c r="CA4" i="12" a="1"/>
  <c r="CA5" i="12" a="1"/>
  <c r="CB3" i="25" a="1"/>
  <c r="CB4" i="25" l="1"/>
  <c r="CB6" i="25"/>
  <c r="CB5" i="25"/>
  <c r="CB3" i="25"/>
  <c r="CD2" i="25"/>
  <c r="CC3" i="16"/>
  <c r="CC6" i="16"/>
  <c r="CC5" i="16"/>
  <c r="CC4" i="16"/>
  <c r="CE2" i="16"/>
  <c r="CA3" i="12"/>
  <c r="CA6" i="12"/>
  <c r="CA4" i="12"/>
  <c r="CA5" i="12"/>
  <c r="CC2" i="12"/>
  <c r="CC5" i="25" a="1"/>
  <c r="CC3" i="25" a="1"/>
  <c r="CC6" i="25" a="1"/>
  <c r="CB6" i="12" a="1"/>
  <c r="CB4" i="12" a="1"/>
  <c r="CD4" i="16" a="1"/>
  <c r="CD5" i="16" a="1"/>
  <c r="CD6" i="16" a="1"/>
  <c r="CB5" i="12" a="1"/>
  <c r="CD3" i="16" a="1"/>
  <c r="CB3" i="12" a="1"/>
  <c r="CC4" i="25" a="1"/>
  <c r="CC6" i="25" l="1"/>
  <c r="CC3" i="25"/>
  <c r="CC5" i="25"/>
  <c r="CC4" i="25"/>
  <c r="CE2" i="25"/>
  <c r="CD4" i="16"/>
  <c r="CD5" i="16"/>
  <c r="CD3" i="16"/>
  <c r="CD6" i="16"/>
  <c r="CF2" i="16"/>
  <c r="CB5" i="12"/>
  <c r="CB4" i="12"/>
  <c r="CB3" i="12"/>
  <c r="CB6" i="12"/>
  <c r="CD2" i="12"/>
  <c r="CD4" i="25" a="1"/>
  <c r="CD6" i="25" a="1"/>
  <c r="CD3" i="25" a="1"/>
  <c r="CC5" i="12" a="1"/>
  <c r="CC4" i="12" a="1"/>
  <c r="CC3" i="12" a="1"/>
  <c r="CE4" i="16" a="1"/>
  <c r="CC6" i="12" a="1"/>
  <c r="CE3" i="16" a="1"/>
  <c r="CE5" i="16" a="1"/>
  <c r="CE6" i="16" a="1"/>
  <c r="CD5" i="25" a="1"/>
  <c r="CD3" i="25" l="1"/>
  <c r="CD6" i="25"/>
  <c r="CD4" i="25"/>
  <c r="CD5" i="25"/>
  <c r="CF2" i="25"/>
  <c r="CE5" i="16"/>
  <c r="CE6" i="16"/>
  <c r="CE4" i="16"/>
  <c r="CE3" i="16"/>
  <c r="CC5" i="12"/>
  <c r="CC4" i="12"/>
  <c r="CC6" i="12"/>
  <c r="CC3" i="12"/>
  <c r="CE2" i="12"/>
  <c r="CE3" i="25" a="1"/>
  <c r="CE6" i="25" a="1"/>
  <c r="CD4" i="12" a="1"/>
  <c r="CD6" i="12" a="1"/>
  <c r="CD3" i="12" a="1"/>
  <c r="CD5" i="12" a="1"/>
  <c r="CF5" i="16" a="1"/>
  <c r="CF6" i="16" a="1"/>
  <c r="CF3" i="16" a="1"/>
  <c r="CE5" i="25" a="1"/>
  <c r="CE4" i="25" a="1"/>
  <c r="CF4" i="16" a="1"/>
  <c r="CE6" i="25" l="1"/>
  <c r="CE3" i="25"/>
  <c r="CE5" i="25"/>
  <c r="CE4" i="25"/>
  <c r="CF6" i="16"/>
  <c r="CF4" i="16"/>
  <c r="CF3" i="16"/>
  <c r="CF5" i="16"/>
  <c r="CD6" i="12"/>
  <c r="CD4" i="12"/>
  <c r="CD5" i="12"/>
  <c r="CD3" i="12"/>
  <c r="CF2" i="12"/>
  <c r="CF4" i="25" a="1"/>
  <c r="CE4" i="12" a="1"/>
  <c r="CE6" i="12" a="1"/>
  <c r="CE5" i="12" a="1"/>
  <c r="CE3" i="12" a="1"/>
  <c r="CF5" i="25" a="1"/>
  <c r="CF6" i="25" a="1"/>
  <c r="CF3" i="25" a="1"/>
  <c r="CF4" i="25" l="1"/>
  <c r="CF3" i="25"/>
  <c r="CF6" i="25"/>
  <c r="CF5" i="25"/>
  <c r="CE5" i="12"/>
  <c r="CE6" i="12"/>
  <c r="CE4" i="12"/>
  <c r="CE3" i="12"/>
  <c r="CF6" i="12" a="1"/>
  <c r="CF5" i="12" a="1"/>
  <c r="CF3" i="12" a="1"/>
  <c r="CF4" i="12" a="1"/>
  <c r="CF3" i="12" l="1"/>
  <c r="CF4" i="12"/>
  <c r="CF6" i="12"/>
  <c r="CF5" i="12"/>
  <c r="AM85" i="7"/>
  <c r="AM84" i="7"/>
  <c r="AM83" i="7"/>
  <c r="AM82" i="7"/>
  <c r="AM81" i="7"/>
  <c r="AM80" i="7"/>
  <c r="AM79" i="7"/>
  <c r="AM78" i="7"/>
  <c r="AM77" i="7"/>
  <c r="AM76" i="7"/>
  <c r="AM75" i="7"/>
  <c r="AM74" i="7"/>
  <c r="AM73" i="7"/>
  <c r="AM72" i="7"/>
  <c r="AM71" i="7"/>
  <c r="AM70" i="7"/>
  <c r="AM69" i="7"/>
  <c r="AM68" i="7"/>
  <c r="AM67" i="7"/>
  <c r="AM66" i="7"/>
  <c r="AM65" i="7"/>
  <c r="AM64" i="7"/>
  <c r="AM63" i="7"/>
  <c r="AM62" i="7"/>
  <c r="AM61" i="7"/>
  <c r="AM60" i="7"/>
  <c r="AM59" i="7"/>
  <c r="AM58" i="7"/>
  <c r="AM57" i="7"/>
  <c r="AM56" i="7"/>
  <c r="AM55" i="7"/>
  <c r="AM54" i="7"/>
  <c r="AM53" i="7"/>
  <c r="AM52" i="7"/>
  <c r="AM51" i="7"/>
  <c r="AM50" i="7"/>
  <c r="AM49" i="7"/>
  <c r="AM48" i="7"/>
  <c r="AM47" i="7"/>
  <c r="AM46" i="7"/>
  <c r="AM45" i="7"/>
  <c r="AM44" i="7"/>
  <c r="AM43" i="7"/>
  <c r="AM42" i="7"/>
  <c r="AM41" i="7"/>
  <c r="AM40" i="7"/>
  <c r="AM39" i="7"/>
  <c r="AM38" i="7"/>
  <c r="AM37" i="7"/>
  <c r="AM36" i="7"/>
  <c r="AM35" i="7"/>
  <c r="AM34" i="7"/>
  <c r="AM33" i="7"/>
  <c r="AM32" i="7"/>
  <c r="AM31" i="7"/>
  <c r="AM30" i="7"/>
  <c r="AM29" i="7"/>
  <c r="AM28" i="7"/>
  <c r="AM27" i="7"/>
  <c r="AM26" i="7"/>
  <c r="AM25" i="7"/>
  <c r="AM24" i="7"/>
  <c r="AM23" i="7"/>
  <c r="AM22" i="7"/>
  <c r="AM21" i="7"/>
  <c r="AM20" i="7"/>
  <c r="AM19" i="7"/>
  <c r="AM18" i="7"/>
  <c r="AM17" i="7"/>
  <c r="AM16" i="7"/>
  <c r="AM15" i="7"/>
  <c r="AM14" i="7"/>
  <c r="AM13" i="7"/>
  <c r="AM12" i="7"/>
  <c r="AM11" i="7"/>
  <c r="AM10" i="7"/>
  <c r="AM9" i="7"/>
  <c r="AM8" i="7"/>
  <c r="AM7" i="7"/>
  <c r="AM6" i="7"/>
  <c r="AM5" i="7"/>
  <c r="AM4" i="7"/>
  <c r="AK85" i="7"/>
  <c r="AK84" i="7"/>
  <c r="AK83" i="7"/>
  <c r="AK82" i="7"/>
  <c r="AK81" i="7"/>
  <c r="AK80" i="7"/>
  <c r="AK79" i="7"/>
  <c r="AK78" i="7"/>
  <c r="AK77" i="7"/>
  <c r="AK76" i="7"/>
  <c r="AK75" i="7"/>
  <c r="AK74" i="7"/>
  <c r="AK73" i="7"/>
  <c r="AK72" i="7"/>
  <c r="AK71" i="7"/>
  <c r="AK70" i="7"/>
  <c r="AK69" i="7"/>
  <c r="AK68" i="7"/>
  <c r="AK67" i="7"/>
  <c r="AK66" i="7"/>
  <c r="AK65" i="7"/>
  <c r="AK64" i="7"/>
  <c r="AK63" i="7"/>
  <c r="AK62" i="7"/>
  <c r="AK61" i="7"/>
  <c r="AK60" i="7"/>
  <c r="AK59" i="7"/>
  <c r="AK58" i="7"/>
  <c r="AK57" i="7"/>
  <c r="AK56" i="7"/>
  <c r="AK55" i="7"/>
  <c r="AK54" i="7"/>
  <c r="AK53" i="7"/>
  <c r="AK52" i="7"/>
  <c r="AK51" i="7"/>
  <c r="AK50" i="7"/>
  <c r="AK49" i="7"/>
  <c r="AK48" i="7"/>
  <c r="AK47" i="7"/>
  <c r="AK46" i="7"/>
  <c r="AK45" i="7"/>
  <c r="AK44" i="7"/>
  <c r="AK43" i="7"/>
  <c r="AK42" i="7"/>
  <c r="AK41" i="7"/>
  <c r="AK40" i="7"/>
  <c r="AK39" i="7"/>
  <c r="AK38" i="7"/>
  <c r="AK37" i="7"/>
  <c r="AK36" i="7"/>
  <c r="AK35" i="7"/>
  <c r="AK34" i="7"/>
  <c r="AK33" i="7"/>
  <c r="AK32" i="7"/>
  <c r="AK31" i="7"/>
  <c r="AK30" i="7"/>
  <c r="AK29" i="7"/>
  <c r="AK28" i="7"/>
  <c r="AK27" i="7"/>
  <c r="AK26" i="7"/>
  <c r="AK25" i="7"/>
  <c r="AK24" i="7"/>
  <c r="AK23" i="7"/>
  <c r="AK22" i="7"/>
  <c r="AK21" i="7"/>
  <c r="AK20" i="7"/>
  <c r="AK19" i="7"/>
  <c r="AK18" i="7"/>
  <c r="AK17" i="7"/>
  <c r="AK16" i="7"/>
  <c r="AK15" i="7"/>
  <c r="AK14" i="7"/>
  <c r="AK13" i="7"/>
  <c r="AK12" i="7"/>
  <c r="AK11" i="7"/>
  <c r="AK10" i="7"/>
  <c r="AK9" i="7"/>
  <c r="AK8" i="7"/>
  <c r="AK7" i="7"/>
  <c r="AK6" i="7"/>
  <c r="AK5" i="7"/>
  <c r="AK4" i="7"/>
  <c r="AI85" i="7"/>
  <c r="AI84" i="7"/>
  <c r="AI83" i="7"/>
  <c r="AI82" i="7"/>
  <c r="AI81" i="7"/>
  <c r="AI80" i="7"/>
  <c r="AI79" i="7"/>
  <c r="AI78" i="7"/>
  <c r="AI77" i="7"/>
  <c r="AI76" i="7"/>
  <c r="AI75" i="7"/>
  <c r="AI74" i="7"/>
  <c r="AI73" i="7"/>
  <c r="AI72" i="7"/>
  <c r="AI71" i="7"/>
  <c r="AI70" i="7"/>
  <c r="AI69" i="7"/>
  <c r="AI68" i="7"/>
  <c r="AI67" i="7"/>
  <c r="AI66" i="7"/>
  <c r="AI65" i="7"/>
  <c r="AI64" i="7"/>
  <c r="AI63" i="7"/>
  <c r="AI62" i="7"/>
  <c r="AI61" i="7"/>
  <c r="AI60" i="7"/>
  <c r="AI59" i="7"/>
  <c r="AI58" i="7"/>
  <c r="AI57" i="7"/>
  <c r="AI56" i="7"/>
  <c r="AI55" i="7"/>
  <c r="AI54" i="7"/>
  <c r="AI53" i="7"/>
  <c r="AI52" i="7"/>
  <c r="AI51" i="7"/>
  <c r="AI50" i="7"/>
  <c r="AI49" i="7"/>
  <c r="AI48" i="7"/>
  <c r="AI47" i="7"/>
  <c r="AI46" i="7"/>
  <c r="AI45" i="7"/>
  <c r="AI44" i="7"/>
  <c r="AI43" i="7"/>
  <c r="AI42" i="7"/>
  <c r="AI41" i="7"/>
  <c r="AI40" i="7"/>
  <c r="AI39" i="7"/>
  <c r="AI38" i="7"/>
  <c r="AI37" i="7"/>
  <c r="AI36" i="7"/>
  <c r="AI35" i="7"/>
  <c r="AI34" i="7"/>
  <c r="AI33" i="7"/>
  <c r="AI32" i="7"/>
  <c r="AI31" i="7"/>
  <c r="AI30" i="7"/>
  <c r="AI29" i="7"/>
  <c r="AI28" i="7"/>
  <c r="AI27" i="7"/>
  <c r="AI26" i="7"/>
  <c r="AI25" i="7"/>
  <c r="AI24" i="7"/>
  <c r="AI23" i="7"/>
  <c r="AI22" i="7"/>
  <c r="AI21" i="7"/>
  <c r="AI20" i="7"/>
  <c r="AI19" i="7"/>
  <c r="AI18" i="7"/>
  <c r="AI17" i="7"/>
  <c r="AI16" i="7"/>
  <c r="AI15" i="7"/>
  <c r="AI14" i="7"/>
  <c r="AI13" i="7"/>
  <c r="AI12" i="7"/>
  <c r="AI11" i="7"/>
  <c r="AI10" i="7"/>
  <c r="AI9" i="7"/>
  <c r="AI8" i="7"/>
  <c r="AI7" i="7"/>
  <c r="AI6" i="7"/>
  <c r="AI5" i="7"/>
  <c r="AI4" i="7"/>
  <c r="AG85" i="7"/>
  <c r="AG84" i="7"/>
  <c r="AG83" i="7"/>
  <c r="AG82" i="7"/>
  <c r="AG81" i="7"/>
  <c r="AG80" i="7"/>
  <c r="AG79" i="7"/>
  <c r="AG78" i="7"/>
  <c r="AG77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64" i="7"/>
  <c r="AG63" i="7"/>
  <c r="AG62" i="7"/>
  <c r="AG61" i="7"/>
  <c r="AG60" i="7"/>
  <c r="AG59" i="7"/>
  <c r="AG58" i="7"/>
  <c r="AG57" i="7"/>
  <c r="AG56" i="7"/>
  <c r="AG55" i="7"/>
  <c r="AG54" i="7"/>
  <c r="AG53" i="7"/>
  <c r="AG52" i="7"/>
  <c r="AG51" i="7"/>
  <c r="AG50" i="7"/>
  <c r="AG49" i="7"/>
  <c r="AG48" i="7"/>
  <c r="AG47" i="7"/>
  <c r="AG46" i="7"/>
  <c r="AG45" i="7"/>
  <c r="AG44" i="7"/>
  <c r="AG43" i="7"/>
  <c r="AG42" i="7"/>
  <c r="AG41" i="7"/>
  <c r="AG40" i="7"/>
  <c r="AG39" i="7"/>
  <c r="AG38" i="7"/>
  <c r="AG37" i="7"/>
  <c r="AG36" i="7"/>
  <c r="AG35" i="7"/>
  <c r="AG34" i="7"/>
  <c r="AG33" i="7"/>
  <c r="AG32" i="7"/>
  <c r="AG31" i="7"/>
  <c r="AG30" i="7"/>
  <c r="AG29" i="7"/>
  <c r="AG28" i="7"/>
  <c r="AG27" i="7"/>
  <c r="AG26" i="7"/>
  <c r="AG25" i="7"/>
  <c r="AG24" i="7"/>
  <c r="AG23" i="7"/>
  <c r="AG22" i="7"/>
  <c r="AG21" i="7"/>
  <c r="AG20" i="7"/>
  <c r="AG19" i="7"/>
  <c r="AG18" i="7"/>
  <c r="AG17" i="7"/>
  <c r="AG16" i="7"/>
  <c r="AG15" i="7"/>
  <c r="AG14" i="7"/>
  <c r="AG13" i="7"/>
  <c r="AG12" i="7"/>
  <c r="AG11" i="7"/>
  <c r="AG10" i="7"/>
  <c r="AG9" i="7"/>
  <c r="AG8" i="7"/>
  <c r="AG7" i="7"/>
  <c r="AG6" i="7"/>
  <c r="AG5" i="7"/>
  <c r="AG4" i="7"/>
  <c r="W85" i="7"/>
  <c r="W84" i="7"/>
  <c r="W83" i="7"/>
  <c r="W82" i="7"/>
  <c r="W81" i="7"/>
  <c r="W80" i="7"/>
  <c r="W79" i="7"/>
  <c r="W78" i="7"/>
  <c r="W77" i="7"/>
  <c r="W76" i="7"/>
  <c r="W75" i="7"/>
  <c r="W74" i="7"/>
  <c r="W73" i="7"/>
  <c r="W72" i="7"/>
  <c r="W71" i="7"/>
  <c r="W70" i="7"/>
  <c r="W69" i="7"/>
  <c r="W68" i="7"/>
  <c r="W67" i="7"/>
  <c r="W66" i="7"/>
  <c r="W65" i="7"/>
  <c r="W64" i="7"/>
  <c r="W63" i="7"/>
  <c r="W62" i="7"/>
  <c r="W61" i="7"/>
  <c r="W60" i="7"/>
  <c r="W59" i="7"/>
  <c r="W58" i="7"/>
  <c r="W57" i="7"/>
  <c r="W56" i="7"/>
  <c r="W55" i="7"/>
  <c r="W54" i="7"/>
  <c r="W53" i="7"/>
  <c r="W52" i="7"/>
  <c r="W51" i="7"/>
  <c r="W50" i="7"/>
  <c r="W49" i="7"/>
  <c r="W48" i="7"/>
  <c r="W47" i="7"/>
  <c r="W46" i="7"/>
  <c r="W45" i="7"/>
  <c r="W44" i="7"/>
  <c r="W43" i="7"/>
  <c r="W42" i="7"/>
  <c r="W41" i="7"/>
  <c r="W40" i="7"/>
  <c r="W39" i="7"/>
  <c r="W38" i="7"/>
  <c r="W37" i="7"/>
  <c r="W36" i="7"/>
  <c r="W35" i="7"/>
  <c r="W34" i="7"/>
  <c r="W33" i="7"/>
  <c r="W32" i="7"/>
  <c r="W31" i="7"/>
  <c r="W30" i="7"/>
  <c r="W29" i="7"/>
  <c r="W28" i="7"/>
  <c r="W27" i="7"/>
  <c r="W26" i="7"/>
  <c r="W25" i="7"/>
  <c r="W24" i="7"/>
  <c r="W23" i="7"/>
  <c r="W22" i="7"/>
  <c r="W21" i="7"/>
  <c r="W20" i="7"/>
  <c r="W19" i="7"/>
  <c r="W18" i="7"/>
  <c r="W17" i="7"/>
  <c r="W16" i="7"/>
  <c r="W15" i="7"/>
  <c r="W14" i="7"/>
  <c r="W13" i="7"/>
  <c r="W12" i="7"/>
  <c r="W11" i="7"/>
  <c r="W10" i="7"/>
  <c r="W9" i="7"/>
  <c r="W8" i="7"/>
  <c r="W7" i="7"/>
  <c r="W6" i="7"/>
  <c r="W5" i="7"/>
  <c r="W4" i="7"/>
  <c r="U85" i="7"/>
  <c r="U84" i="7"/>
  <c r="U83" i="7"/>
  <c r="U82" i="7"/>
  <c r="U81" i="7"/>
  <c r="U80" i="7"/>
  <c r="U79" i="7"/>
  <c r="U78" i="7"/>
  <c r="U77" i="7"/>
  <c r="U76" i="7"/>
  <c r="U75" i="7"/>
  <c r="U74" i="7"/>
  <c r="U73" i="7"/>
  <c r="U72" i="7"/>
  <c r="U71" i="7"/>
  <c r="U70" i="7"/>
  <c r="U69" i="7"/>
  <c r="U68" i="7"/>
  <c r="U67" i="7"/>
  <c r="U66" i="7"/>
  <c r="U65" i="7"/>
  <c r="U64" i="7"/>
  <c r="U63" i="7"/>
  <c r="U62" i="7"/>
  <c r="U61" i="7"/>
  <c r="U60" i="7"/>
  <c r="U59" i="7"/>
  <c r="U58" i="7"/>
  <c r="U57" i="7"/>
  <c r="U56" i="7"/>
  <c r="U55" i="7"/>
  <c r="U54" i="7"/>
  <c r="U53" i="7"/>
  <c r="U52" i="7"/>
  <c r="U51" i="7"/>
  <c r="U50" i="7"/>
  <c r="U49" i="7"/>
  <c r="U48" i="7"/>
  <c r="U47" i="7"/>
  <c r="U46" i="7"/>
  <c r="U45" i="7"/>
  <c r="U44" i="7"/>
  <c r="U43" i="7"/>
  <c r="U42" i="7"/>
  <c r="U41" i="7"/>
  <c r="U40" i="7"/>
  <c r="U39" i="7"/>
  <c r="U38" i="7"/>
  <c r="U37" i="7"/>
  <c r="U36" i="7"/>
  <c r="U35" i="7"/>
  <c r="U34" i="7"/>
  <c r="U33" i="7"/>
  <c r="U32" i="7"/>
  <c r="U31" i="7"/>
  <c r="U30" i="7"/>
  <c r="U29" i="7"/>
  <c r="U28" i="7"/>
  <c r="U27" i="7"/>
  <c r="U26" i="7"/>
  <c r="U25" i="7"/>
  <c r="U24" i="7"/>
  <c r="U23" i="7"/>
  <c r="U22" i="7"/>
  <c r="U21" i="7"/>
  <c r="U20" i="7"/>
  <c r="U19" i="7"/>
  <c r="U18" i="7"/>
  <c r="U17" i="7"/>
  <c r="U16" i="7"/>
  <c r="U15" i="7"/>
  <c r="U14" i="7"/>
  <c r="U13" i="7"/>
  <c r="U12" i="7"/>
  <c r="U11" i="7"/>
  <c r="U10" i="7"/>
  <c r="U9" i="7"/>
  <c r="U8" i="7"/>
  <c r="U7" i="7"/>
  <c r="U6" i="7"/>
  <c r="U5" i="7"/>
  <c r="U4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9" i="7"/>
  <c r="S8" i="7"/>
  <c r="S7" i="7"/>
  <c r="S6" i="7"/>
  <c r="S5" i="7"/>
  <c r="S4" i="7"/>
  <c r="Q85" i="7"/>
  <c r="Q84" i="7"/>
  <c r="Q83" i="7"/>
  <c r="Q82" i="7"/>
  <c r="Q81" i="7"/>
  <c r="Q80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62" i="7"/>
  <c r="Q61" i="7"/>
  <c r="Q60" i="7"/>
  <c r="Q59" i="7"/>
  <c r="Q58" i="7"/>
  <c r="Q57" i="7"/>
  <c r="Q56" i="7"/>
  <c r="Q55" i="7"/>
  <c r="Q54" i="7"/>
  <c r="Q53" i="7"/>
  <c r="Q52" i="7"/>
  <c r="Q51" i="7"/>
  <c r="Q50" i="7"/>
  <c r="Q49" i="7"/>
  <c r="Q48" i="7"/>
  <c r="Q47" i="7"/>
  <c r="Q46" i="7"/>
  <c r="Q45" i="7"/>
  <c r="Q44" i="7"/>
  <c r="Q43" i="7"/>
  <c r="Q42" i="7"/>
  <c r="Q41" i="7"/>
  <c r="Q40" i="7"/>
  <c r="Q39" i="7"/>
  <c r="Q38" i="7"/>
  <c r="Q37" i="7"/>
  <c r="Q36" i="7"/>
  <c r="Q35" i="7"/>
  <c r="Q34" i="7"/>
  <c r="Q33" i="7"/>
  <c r="Q32" i="7"/>
  <c r="Q31" i="7"/>
  <c r="Q30" i="7"/>
  <c r="Q29" i="7"/>
  <c r="Q28" i="7"/>
  <c r="Q27" i="7"/>
  <c r="Q26" i="7"/>
  <c r="Q25" i="7"/>
  <c r="Q24" i="7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7" i="7"/>
  <c r="Q6" i="7"/>
  <c r="Q5" i="7"/>
  <c r="Q4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H18" i="4" l="1"/>
  <c r="H7" i="4"/>
  <c r="H6" i="4"/>
  <c r="H5" i="4"/>
  <c r="H4" i="4"/>
  <c r="H3" i="4"/>
  <c r="O103" i="3"/>
  <c r="M102" i="3"/>
  <c r="O102" i="3"/>
  <c r="M101" i="3"/>
  <c r="O101" i="3"/>
  <c r="M100" i="3"/>
  <c r="O100" i="3"/>
  <c r="O99" i="3"/>
  <c r="M98" i="3"/>
  <c r="O98" i="3"/>
  <c r="M97" i="3"/>
  <c r="O97" i="3"/>
  <c r="M96" i="3"/>
  <c r="O96" i="3"/>
  <c r="M95" i="3"/>
  <c r="O95" i="3"/>
  <c r="M94" i="3"/>
  <c r="O94" i="3"/>
  <c r="O93" i="3"/>
  <c r="M92" i="3"/>
  <c r="O92" i="3"/>
  <c r="M91" i="3"/>
  <c r="O91" i="3"/>
  <c r="M90" i="3"/>
  <c r="O90" i="3"/>
  <c r="M89" i="3"/>
  <c r="O89" i="3"/>
  <c r="M88" i="3"/>
  <c r="O88" i="3"/>
  <c r="O87" i="3"/>
  <c r="M86" i="3"/>
  <c r="O86" i="3"/>
  <c r="O85" i="3"/>
  <c r="M84" i="3"/>
  <c r="O84" i="3"/>
  <c r="O83" i="3"/>
  <c r="M82" i="3"/>
  <c r="O82" i="3"/>
  <c r="M81" i="3"/>
  <c r="O81" i="3"/>
  <c r="M80" i="3"/>
  <c r="O80" i="3"/>
  <c r="O79" i="3"/>
  <c r="M78" i="3"/>
  <c r="O78" i="3"/>
  <c r="O77" i="3"/>
  <c r="M76" i="3"/>
  <c r="O76" i="3"/>
  <c r="O75" i="3"/>
  <c r="M74" i="3"/>
  <c r="O74" i="3"/>
  <c r="O73" i="3"/>
  <c r="M72" i="3"/>
  <c r="O72" i="3"/>
  <c r="M71" i="3"/>
  <c r="O71" i="3"/>
  <c r="M70" i="3"/>
  <c r="O70" i="3"/>
  <c r="M69" i="3"/>
  <c r="O69" i="3"/>
  <c r="M68" i="3"/>
  <c r="O68" i="3"/>
  <c r="O67" i="3"/>
  <c r="M66" i="3"/>
  <c r="O66" i="3"/>
  <c r="M65" i="3"/>
  <c r="O65" i="3"/>
  <c r="M64" i="3"/>
  <c r="O64" i="3"/>
  <c r="O63" i="3"/>
  <c r="M62" i="3"/>
  <c r="O62" i="3"/>
  <c r="M61" i="3"/>
  <c r="O61" i="3"/>
  <c r="M60" i="3"/>
  <c r="O60" i="3"/>
  <c r="M59" i="3"/>
  <c r="O59" i="3"/>
  <c r="M58" i="3"/>
  <c r="O58" i="3"/>
  <c r="M57" i="3"/>
  <c r="O57" i="3"/>
  <c r="M56" i="3"/>
  <c r="O56" i="3"/>
  <c r="M55" i="3"/>
  <c r="O55" i="3"/>
  <c r="M54" i="3"/>
  <c r="O54" i="3"/>
  <c r="M53" i="3"/>
  <c r="O53" i="3"/>
  <c r="M52" i="3"/>
  <c r="O52" i="3"/>
  <c r="M51" i="3"/>
  <c r="O51" i="3"/>
  <c r="M50" i="3"/>
  <c r="O50" i="3"/>
  <c r="M49" i="3"/>
  <c r="O49" i="3"/>
  <c r="M48" i="3"/>
  <c r="O48" i="3"/>
  <c r="M47" i="3"/>
  <c r="O47" i="3"/>
  <c r="M46" i="3"/>
  <c r="O46" i="3"/>
  <c r="M45" i="3"/>
  <c r="O45" i="3"/>
  <c r="M44" i="3"/>
  <c r="O44" i="3"/>
  <c r="M43" i="3"/>
  <c r="O43" i="3"/>
  <c r="M42" i="3"/>
  <c r="O42" i="3"/>
  <c r="M41" i="3"/>
  <c r="O41" i="3"/>
  <c r="M40" i="3"/>
  <c r="O40" i="3"/>
  <c r="M39" i="3"/>
  <c r="O39" i="3"/>
  <c r="M38" i="3"/>
  <c r="O38" i="3"/>
  <c r="M37" i="3"/>
  <c r="O37" i="3"/>
  <c r="M36" i="3"/>
  <c r="O36" i="3"/>
  <c r="O35" i="3"/>
  <c r="M34" i="3"/>
  <c r="O34" i="3"/>
  <c r="M33" i="3"/>
  <c r="O33" i="3"/>
  <c r="M32" i="3"/>
  <c r="O32" i="3"/>
  <c r="M31" i="3"/>
  <c r="O31" i="3"/>
  <c r="M30" i="3"/>
  <c r="O30" i="3"/>
  <c r="O29" i="3"/>
  <c r="M28" i="3"/>
  <c r="O28" i="3"/>
  <c r="M27" i="3"/>
  <c r="O27" i="3"/>
  <c r="M26" i="3"/>
  <c r="O26" i="3"/>
  <c r="O25" i="3"/>
  <c r="M24" i="3"/>
  <c r="O24" i="3"/>
  <c r="M23" i="3"/>
  <c r="O23" i="3"/>
  <c r="M22" i="3"/>
  <c r="O22" i="3"/>
  <c r="M21" i="3"/>
  <c r="O21" i="3"/>
  <c r="M20" i="3"/>
  <c r="O20" i="3"/>
  <c r="M19" i="3"/>
  <c r="O19" i="3"/>
  <c r="M18" i="3"/>
  <c r="O18" i="3"/>
  <c r="M17" i="3"/>
  <c r="O17" i="3"/>
  <c r="M16" i="3"/>
  <c r="O16" i="3"/>
  <c r="M15" i="3"/>
  <c r="O15" i="3"/>
  <c r="M14" i="3"/>
  <c r="O14" i="3"/>
  <c r="M13" i="3"/>
  <c r="O13" i="3"/>
  <c r="M12" i="3"/>
  <c r="O12" i="3"/>
  <c r="O11" i="3"/>
  <c r="M10" i="3"/>
  <c r="O10" i="3"/>
  <c r="M9" i="3"/>
  <c r="O9" i="3"/>
  <c r="M8" i="3"/>
  <c r="O8" i="3"/>
  <c r="M7" i="3"/>
  <c r="O7" i="3"/>
  <c r="M6" i="3"/>
  <c r="O6" i="3"/>
  <c r="M5" i="3"/>
  <c r="O5" i="3"/>
  <c r="M4" i="3"/>
  <c r="O4" i="3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L1" i="2"/>
  <c r="K1" i="2"/>
  <c r="I1" i="2"/>
  <c r="H1" i="2"/>
  <c r="G1" i="2"/>
  <c r="F1" i="2"/>
  <c r="C1" i="2"/>
  <c r="E1" i="2"/>
  <c r="D1" i="2"/>
  <c r="A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AlanJui</author>
  </authors>
  <commentList>
    <comment ref="D10" authorId="0" shapeId="0" xr:uid="{501472BD-325E-4EFD-999A-8117181859AD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漳</t>
        </r>
      </text>
    </comment>
    <comment ref="D26" authorId="0" shapeId="0" xr:uid="{9561B112-B442-48B9-9440-49CB8A3BAE86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泉</t>
        </r>
      </text>
    </comment>
    <comment ref="D32" authorId="0" shapeId="0" xr:uid="{6EF64DBE-EF57-46C5-9B8E-1D6909A0CD3B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泉</t>
        </r>
      </text>
    </comment>
    <comment ref="D40" authorId="0" shapeId="0" xr:uid="{AA5ED295-15C3-4493-90A6-1BA107FE1288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漳</t>
        </r>
      </text>
    </comment>
    <comment ref="D48" authorId="0" shapeId="0" xr:uid="{1A591225-FFB3-48CA-8FA6-63A730645984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泉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<sst xmlns="http://schemas.openxmlformats.org/spreadsheetml/2006/main" count="10673" uniqueCount="3882">
  <si>
    <t>Ø</t>
  </si>
  <si>
    <t>h</t>
  </si>
  <si>
    <t>p</t>
  </si>
  <si>
    <t>pʰ</t>
  </si>
  <si>
    <t>b</t>
  </si>
  <si>
    <t>m</t>
  </si>
  <si>
    <t>t</t>
  </si>
  <si>
    <t>tʰ</t>
  </si>
  <si>
    <t>n</t>
  </si>
  <si>
    <t>l</t>
  </si>
  <si>
    <t>ʦ/ʨ</t>
  </si>
  <si>
    <t>ʦʰ/ʨʰ</t>
  </si>
  <si>
    <t>ʣ/ʥ</t>
  </si>
  <si>
    <t>s/ɕ</t>
  </si>
  <si>
    <t>k</t>
  </si>
  <si>
    <t>kʰ</t>
  </si>
  <si>
    <t>g</t>
  </si>
  <si>
    <t>ŋ</t>
  </si>
  <si>
    <t>a</t>
  </si>
  <si>
    <t>ㄚ</t>
  </si>
  <si>
    <t>ㄏㄚ</t>
  </si>
  <si>
    <t>ㄅㄚ</t>
  </si>
  <si>
    <t>ㄆㄚ</t>
  </si>
  <si>
    <t>ㆠㄚ</t>
  </si>
  <si>
    <t>ㄇㄚ</t>
  </si>
  <si>
    <t>ㄉㄚ</t>
  </si>
  <si>
    <t>ㄊㄚ</t>
  </si>
  <si>
    <t>ㄋㄚ</t>
  </si>
  <si>
    <t>ㄌㄚ</t>
  </si>
  <si>
    <t>ㄗㄚ</t>
  </si>
  <si>
    <t>ㄘㄚ</t>
  </si>
  <si>
    <t>ㄙㄚ</t>
  </si>
  <si>
    <t>ㄍㄚ</t>
  </si>
  <si>
    <t>ㄎㄚ</t>
  </si>
  <si>
    <t>ㆣㄚ</t>
  </si>
  <si>
    <t>ㄫㄚ</t>
  </si>
  <si>
    <t>ã</t>
  </si>
  <si>
    <t>ㆩ</t>
  </si>
  <si>
    <t>ㄏㆩ</t>
  </si>
  <si>
    <t>ㄆㆩ</t>
  </si>
  <si>
    <t>ㄉㆩ</t>
  </si>
  <si>
    <t>ㄊㆩ</t>
  </si>
  <si>
    <t>ㄗㆩ</t>
  </si>
  <si>
    <t>ㄘㆩ</t>
  </si>
  <si>
    <t>ㄙㆩ</t>
  </si>
  <si>
    <t>ㄍㆩ</t>
  </si>
  <si>
    <t>ㄎㆩ</t>
  </si>
  <si>
    <t>aʔ</t>
  </si>
  <si>
    <t>ㄚㆷ</t>
  </si>
  <si>
    <t>ㄏㄚㆷ</t>
  </si>
  <si>
    <t>ㄅㄚㆷ</t>
  </si>
  <si>
    <t>ㄆㄚㆷ</t>
  </si>
  <si>
    <t>ㆠㄚㆷ</t>
  </si>
  <si>
    <t>ㄇㄚㆷ</t>
  </si>
  <si>
    <t>ㄉㄚㆷ</t>
  </si>
  <si>
    <t>ㄊㄚㆷ</t>
  </si>
  <si>
    <t>ㄋㄚㆷ</t>
  </si>
  <si>
    <t>ㄌㄚㆷ</t>
  </si>
  <si>
    <t>ㄗㄚㆷ</t>
  </si>
  <si>
    <t>ㄘㄚㆷ</t>
  </si>
  <si>
    <t>ㄙㄚㆷ</t>
  </si>
  <si>
    <t>ㄍㄚㆷ</t>
  </si>
  <si>
    <t>ㄎㄚㆷ</t>
  </si>
  <si>
    <t>ãʔ</t>
  </si>
  <si>
    <t>ㆩㆷ</t>
  </si>
  <si>
    <t>ㄏㆩㆷ</t>
  </si>
  <si>
    <t>ㄙㆩㆷ</t>
  </si>
  <si>
    <t>am</t>
  </si>
  <si>
    <t>ㆰ</t>
  </si>
  <si>
    <t>ㄏㆰ</t>
  </si>
  <si>
    <t>ㄉㆰ</t>
  </si>
  <si>
    <t>ㄊㆰ</t>
  </si>
  <si>
    <t>ㄌㆰ</t>
  </si>
  <si>
    <t>ㄗㆰ</t>
  </si>
  <si>
    <t>ㄘㆰ</t>
  </si>
  <si>
    <t>ㄙㆰ</t>
  </si>
  <si>
    <t>ㄍㆰ</t>
  </si>
  <si>
    <t>ㄎㆰ</t>
  </si>
  <si>
    <t>ㆣㆰ</t>
  </si>
  <si>
    <t>an</t>
  </si>
  <si>
    <t>ㄢ</t>
  </si>
  <si>
    <t>ㄏㄢ</t>
  </si>
  <si>
    <t>ㄅㄢ</t>
  </si>
  <si>
    <t>ㄆㄢ</t>
  </si>
  <si>
    <t>ㆠㄢ</t>
  </si>
  <si>
    <t>ㄉㄢ</t>
  </si>
  <si>
    <t>ㄊㄢ</t>
  </si>
  <si>
    <t>ㄌㄢ</t>
  </si>
  <si>
    <t>ㄗㄢ</t>
  </si>
  <si>
    <t>ㄘㄢ</t>
  </si>
  <si>
    <t>ㄙㄢ</t>
  </si>
  <si>
    <t>ㄍㄢ</t>
  </si>
  <si>
    <t>ㄎㄢ</t>
  </si>
  <si>
    <t>ㆣㄢ</t>
  </si>
  <si>
    <t>aŋ</t>
  </si>
  <si>
    <t>ㄤ</t>
  </si>
  <si>
    <t>ㄏㄤ</t>
  </si>
  <si>
    <t>ㄅㄤ</t>
  </si>
  <si>
    <t>ㄆㄤ</t>
  </si>
  <si>
    <t>ㆠㄤ</t>
  </si>
  <si>
    <t>ㄉㄤ</t>
  </si>
  <si>
    <t>ㄊㄤ</t>
  </si>
  <si>
    <t>ㄌㄤ</t>
  </si>
  <si>
    <t>ㄗㄤ</t>
  </si>
  <si>
    <t>ㄘㄤ</t>
  </si>
  <si>
    <t>ㄙㄤ</t>
  </si>
  <si>
    <t>ㄍㄤ</t>
  </si>
  <si>
    <t>ㄎㄤ</t>
  </si>
  <si>
    <t>ㆣㄤ</t>
  </si>
  <si>
    <t>ap̚</t>
  </si>
  <si>
    <t>ㄚㆴ</t>
  </si>
  <si>
    <t>ㄏㄚㆴ</t>
  </si>
  <si>
    <t>ㄉㄚㆴ</t>
  </si>
  <si>
    <t>ㄊㄚㆴ</t>
  </si>
  <si>
    <t>ㄌㄚㆴ</t>
  </si>
  <si>
    <t>ㄗㄚㆴ</t>
  </si>
  <si>
    <t>ㄘㄚㆴ</t>
  </si>
  <si>
    <t>ㄙㄚㆴ</t>
  </si>
  <si>
    <t>ㄍㄚㆴ</t>
  </si>
  <si>
    <t>ㄎㄚㆴ</t>
  </si>
  <si>
    <t>at̚</t>
  </si>
  <si>
    <t>ㄚㆵ</t>
  </si>
  <si>
    <t>ㄏㄚㆵ</t>
  </si>
  <si>
    <t>ㄅㄚㆵ</t>
  </si>
  <si>
    <t>ㄆㄚㆵ</t>
  </si>
  <si>
    <t>ㆠㄚㆵ</t>
  </si>
  <si>
    <t>ㄉㄚㆵ</t>
  </si>
  <si>
    <t>ㄊㄚㆵ</t>
  </si>
  <si>
    <t>ㄌㄚㆵ</t>
  </si>
  <si>
    <t>ㄗㄚㆵ</t>
  </si>
  <si>
    <t>ㄘㄚㆵ</t>
  </si>
  <si>
    <t>ㄙㄚㆵ</t>
  </si>
  <si>
    <t>ㄍㄚㆵ</t>
  </si>
  <si>
    <t>ㄎㄚㆵ</t>
  </si>
  <si>
    <t>ak̚</t>
  </si>
  <si>
    <t>ㄚㆻ</t>
  </si>
  <si>
    <t>ㄏㄚㆻ</t>
  </si>
  <si>
    <t>ㄅㄚㆻ</t>
  </si>
  <si>
    <t>ㄆㄚㆻ</t>
  </si>
  <si>
    <t>ㆠㄚㆻ</t>
  </si>
  <si>
    <t>ㄉㄚㆻ</t>
  </si>
  <si>
    <t>ㄊㄚㆻ</t>
  </si>
  <si>
    <t>ㄌㄚㆻ</t>
  </si>
  <si>
    <t>ㄗㄚㆻ</t>
  </si>
  <si>
    <t>ㄘㄚㆻ</t>
  </si>
  <si>
    <t>ㄙㄚㆻ</t>
  </si>
  <si>
    <t>ㄍㄚㆻ</t>
  </si>
  <si>
    <t>ㄎㄚㆻ</t>
  </si>
  <si>
    <t>ㆣㄚㆻ</t>
  </si>
  <si>
    <t>aɪ</t>
  </si>
  <si>
    <t>ㄞ</t>
  </si>
  <si>
    <t>ㄏㄞ</t>
  </si>
  <si>
    <t>ㄅㄞ</t>
  </si>
  <si>
    <t>ㄆㄞ</t>
  </si>
  <si>
    <t>ㆠㄞ</t>
  </si>
  <si>
    <t>ㄇㄞ</t>
  </si>
  <si>
    <t>ㄉㄞ</t>
  </si>
  <si>
    <t>ㄊㄞ</t>
  </si>
  <si>
    <t>ㄋㄞ</t>
  </si>
  <si>
    <t>ㄌㄞ</t>
  </si>
  <si>
    <t>ㄗㄞ</t>
  </si>
  <si>
    <t>ㄘㄞ</t>
  </si>
  <si>
    <t>ㄙㄞ</t>
  </si>
  <si>
    <t>ㄍㄞ</t>
  </si>
  <si>
    <t>ㄎㄞ</t>
  </si>
  <si>
    <t>ㆣㄞ</t>
  </si>
  <si>
    <t>ㄫㄞ</t>
  </si>
  <si>
    <t>ãɪ</t>
  </si>
  <si>
    <t>ㆮ</t>
  </si>
  <si>
    <t>ㄏㆮ</t>
  </si>
  <si>
    <t>ㄆㆮ</t>
  </si>
  <si>
    <t>ㄉㆮ</t>
  </si>
  <si>
    <t>ㄗㆮ</t>
  </si>
  <si>
    <t>ㄍㆮ</t>
  </si>
  <si>
    <t>ㄎㆮ</t>
  </si>
  <si>
    <t>aɪʔ</t>
  </si>
  <si>
    <t>ㄞㆷ</t>
  </si>
  <si>
    <t>ㄏㄞㆷ</t>
  </si>
  <si>
    <t>ㄌㄞㆷ</t>
  </si>
  <si>
    <t>ㄙㄞㆷ</t>
  </si>
  <si>
    <t>au</t>
  </si>
  <si>
    <t>ㄠ</t>
  </si>
  <si>
    <t>ㄏㄠ</t>
  </si>
  <si>
    <t>ㄅㄠ</t>
  </si>
  <si>
    <t>ㄆㄠ</t>
  </si>
  <si>
    <t>ㆠㄠ</t>
  </si>
  <si>
    <t>ㄇㄠ</t>
  </si>
  <si>
    <t>ㄉㄠ</t>
  </si>
  <si>
    <t>ㄊㄠ</t>
  </si>
  <si>
    <t>ㄋㄠ</t>
  </si>
  <si>
    <t>ㄌㄠ</t>
  </si>
  <si>
    <t>ㄗㄠ</t>
  </si>
  <si>
    <t>ㄘㄠ</t>
  </si>
  <si>
    <t>ㄙㄠ</t>
  </si>
  <si>
    <t>ㄍㄠ</t>
  </si>
  <si>
    <t>ㄎㄠ</t>
  </si>
  <si>
    <t>ㆣㄠ</t>
  </si>
  <si>
    <t>ㄫㄠ</t>
  </si>
  <si>
    <t>auʔ</t>
  </si>
  <si>
    <t>ㄠㆷ</t>
  </si>
  <si>
    <t>ㄆㄠㆷ</t>
  </si>
  <si>
    <t>ㄇㄠㆷ</t>
  </si>
  <si>
    <t>ㄉㄠㆷ</t>
  </si>
  <si>
    <t>ㄋㄠㆷ</t>
  </si>
  <si>
    <t>ㄌㄠㆷ</t>
  </si>
  <si>
    <t>ㄘㄠㆷ</t>
  </si>
  <si>
    <t>ㄍㄠㆷ</t>
  </si>
  <si>
    <t>ㄫㄠㆷ</t>
  </si>
  <si>
    <t>e</t>
  </si>
  <si>
    <t>ㆤ</t>
  </si>
  <si>
    <t>ㄏㆤ</t>
  </si>
  <si>
    <t>ㄅㆤ</t>
  </si>
  <si>
    <t>ㄆㆤ</t>
  </si>
  <si>
    <t>ㆠㆤ</t>
  </si>
  <si>
    <t>ㄇㆤ</t>
  </si>
  <si>
    <t>ㄉㆤ</t>
  </si>
  <si>
    <t>ㄊㆤ</t>
  </si>
  <si>
    <t>ㄋㆤ</t>
  </si>
  <si>
    <t>ㄌㆤ</t>
  </si>
  <si>
    <t>ㄗㆤ</t>
  </si>
  <si>
    <t>ㄘㆤ</t>
  </si>
  <si>
    <t>ㄙㆤ</t>
  </si>
  <si>
    <t>ㄍㆤ</t>
  </si>
  <si>
    <t>ㄎㆤ</t>
  </si>
  <si>
    <t>ㆣㆤ</t>
  </si>
  <si>
    <t>ㄫㆤ</t>
  </si>
  <si>
    <t>ẽ</t>
  </si>
  <si>
    <t>ㆥ</t>
  </si>
  <si>
    <t>ㄏㆥ</t>
  </si>
  <si>
    <t>ㄅㆥ</t>
  </si>
  <si>
    <t>ㄆㆥ</t>
  </si>
  <si>
    <t>ㄉㆥ</t>
  </si>
  <si>
    <t>ㄊㆥ</t>
  </si>
  <si>
    <t>ㄗㆥ</t>
  </si>
  <si>
    <t>ㄘㆥ</t>
  </si>
  <si>
    <t>ㄙㆥ</t>
  </si>
  <si>
    <t>ㄍㆥ</t>
  </si>
  <si>
    <t>ㄎㆥ</t>
  </si>
  <si>
    <t>eʔ</t>
  </si>
  <si>
    <t>ㆤㆷ</t>
  </si>
  <si>
    <t>ㄏㆤㆷ</t>
  </si>
  <si>
    <t>ㄅㆤㆷ</t>
  </si>
  <si>
    <t>ㄆㆤㆷ</t>
  </si>
  <si>
    <t>ㆠㆤㆷ</t>
  </si>
  <si>
    <t>ㄇㆤㆷ</t>
  </si>
  <si>
    <t>ㄉㆤㆷ</t>
  </si>
  <si>
    <t>ㄊㆤㆷ</t>
  </si>
  <si>
    <t>ㄋㆤㆷ</t>
  </si>
  <si>
    <t>ㄌㆤㆷ</t>
  </si>
  <si>
    <t>ㄗㆤㆷ</t>
  </si>
  <si>
    <t>ㄘㆤㆷ</t>
  </si>
  <si>
    <t>ㄙㆤㆷ</t>
  </si>
  <si>
    <t>ㄍㆤㆷ</t>
  </si>
  <si>
    <t>ㄎㆤㆷ</t>
  </si>
  <si>
    <t>ㆣㆤㆷ</t>
  </si>
  <si>
    <t>ㄫㆤㆷ</t>
  </si>
  <si>
    <t>ẽʔ</t>
  </si>
  <si>
    <t>ㆥㆷ</t>
  </si>
  <si>
    <t>ㄏㆥㆷ</t>
  </si>
  <si>
    <t>ㄎㆥㆷ</t>
  </si>
  <si>
    <t>i</t>
  </si>
  <si>
    <t>ㄧ</t>
  </si>
  <si>
    <t>ㄏㄧ</t>
  </si>
  <si>
    <t>ㄅㄧ</t>
  </si>
  <si>
    <t>ㄆㄧ</t>
  </si>
  <si>
    <t>ㆠㄧ</t>
  </si>
  <si>
    <t>ㄇㄧ</t>
  </si>
  <si>
    <t>ㄉㄧ</t>
  </si>
  <si>
    <t>ㄊㄧ</t>
  </si>
  <si>
    <t>ㄋㄧ</t>
  </si>
  <si>
    <t>ㄌㄧ</t>
  </si>
  <si>
    <t>ㄐㄧ</t>
  </si>
  <si>
    <t>ㄑㄧ</t>
  </si>
  <si>
    <t>ㆢㄧ</t>
  </si>
  <si>
    <t>ㄒㄧ</t>
  </si>
  <si>
    <t>ㄍㄧ</t>
  </si>
  <si>
    <t>ㄎㄧ</t>
  </si>
  <si>
    <t>ㆣㄧ</t>
  </si>
  <si>
    <t>ㄫㄧ</t>
  </si>
  <si>
    <t>ĩ</t>
  </si>
  <si>
    <t>ㆪ</t>
  </si>
  <si>
    <t>ㄏㆪ</t>
  </si>
  <si>
    <t>ㄅㆪ</t>
  </si>
  <si>
    <t>ㄆㆪ</t>
  </si>
  <si>
    <t>ㄉㆪ</t>
  </si>
  <si>
    <t>ㄊㆪ</t>
  </si>
  <si>
    <t>ㄐㆪ</t>
  </si>
  <si>
    <t>ㄑㆪ</t>
  </si>
  <si>
    <t>ㄒㆪ</t>
  </si>
  <si>
    <t>ㄍㆪ</t>
  </si>
  <si>
    <t>ㄎㆪ</t>
  </si>
  <si>
    <t>iʔ</t>
  </si>
  <si>
    <t>ㄧㆷ</t>
  </si>
  <si>
    <t>ㄅㄧㆷ</t>
  </si>
  <si>
    <t>ㄆㄧㆷ</t>
  </si>
  <si>
    <t>ㆠㄧㆷ</t>
  </si>
  <si>
    <t>ㄇㄧㆷ</t>
  </si>
  <si>
    <t>ㄉㄧㆷ</t>
  </si>
  <si>
    <t>ㄊㄧㆷ</t>
  </si>
  <si>
    <t>ㄋㄧㆷ</t>
  </si>
  <si>
    <t>ㄌㄧㆷ</t>
  </si>
  <si>
    <t>ㄐㄧㆷ</t>
  </si>
  <si>
    <t>ㄑㄧㆷ</t>
  </si>
  <si>
    <t>ㄒㄧㆷ</t>
  </si>
  <si>
    <t>ㄍㄧㆷ</t>
  </si>
  <si>
    <t>ㄎㄧㆷ</t>
  </si>
  <si>
    <t>im</t>
  </si>
  <si>
    <t>ㄧㆬ</t>
  </si>
  <si>
    <t>ㄏㄧㆬ</t>
  </si>
  <si>
    <t>ㄉㄧㆬ</t>
  </si>
  <si>
    <t>ㄊㄧㆬ</t>
  </si>
  <si>
    <t>ㄌㄧㆬ</t>
  </si>
  <si>
    <t>ㄐㄧㆬ</t>
  </si>
  <si>
    <t>ㄑㄧㆬ</t>
  </si>
  <si>
    <t>ㆢㄧㆬ</t>
  </si>
  <si>
    <t>ㄒㄧㆬ</t>
  </si>
  <si>
    <t>ㄍㄧㆬ</t>
  </si>
  <si>
    <t>ㄎㄧㆬ</t>
  </si>
  <si>
    <t>ㆣㄧㆬ</t>
  </si>
  <si>
    <t>in</t>
  </si>
  <si>
    <t>ㄧㄣ</t>
  </si>
  <si>
    <t>ㄏㄧㄣ</t>
  </si>
  <si>
    <t>ㄅㄧㄣ</t>
  </si>
  <si>
    <t>ㄆㄧㄣ</t>
  </si>
  <si>
    <t>ㆠㄧㄣ</t>
  </si>
  <si>
    <t>ㄉㄧㄣ</t>
  </si>
  <si>
    <t>ㄊㄧㄣ</t>
  </si>
  <si>
    <t>ㄌㄧㄣ</t>
  </si>
  <si>
    <t>ㄐㄧㄣ</t>
  </si>
  <si>
    <t>ㄑㄧㄣ</t>
  </si>
  <si>
    <t>ㆢㄧㄣ</t>
  </si>
  <si>
    <t>ㄒㄧㄣ</t>
  </si>
  <si>
    <t>ㄍㄧㄣ</t>
  </si>
  <si>
    <t>ㄎㄧㄣ</t>
  </si>
  <si>
    <t>ㆣㄧㄣ</t>
  </si>
  <si>
    <t>iŋ</t>
  </si>
  <si>
    <t>ㄧㄥ</t>
  </si>
  <si>
    <t>ㄏㄧㄥ</t>
  </si>
  <si>
    <t>ㄅㄧㄥ</t>
  </si>
  <si>
    <t>ㄆㄧㄥ</t>
  </si>
  <si>
    <t>ㆠㄧㄥ</t>
  </si>
  <si>
    <t>ㄉㄧㄥ</t>
  </si>
  <si>
    <t>ㄊㄧㄥ</t>
  </si>
  <si>
    <t>ㄌㄧㄥ</t>
  </si>
  <si>
    <t>ㄐㄧㄥ</t>
  </si>
  <si>
    <t>ㄑㄧㄥ</t>
  </si>
  <si>
    <t>ㄒㄧㄥ</t>
  </si>
  <si>
    <t>ㄍㄧㄥ</t>
  </si>
  <si>
    <t>ㄎㄧㄥ</t>
  </si>
  <si>
    <t>ㆣㄧㄥ</t>
  </si>
  <si>
    <t>ip̚</t>
  </si>
  <si>
    <t>ㄧㆴ</t>
  </si>
  <si>
    <t>ㄏㄧㆴ</t>
  </si>
  <si>
    <t>ㄌㄧㆴ</t>
  </si>
  <si>
    <t>ㄐㄧㆴ</t>
  </si>
  <si>
    <t>ㄑㄧㆴ</t>
  </si>
  <si>
    <t>ㆢㄧㆴ</t>
  </si>
  <si>
    <t>ㄒㄧㆴ</t>
  </si>
  <si>
    <t>ㄍㄧㆴ</t>
  </si>
  <si>
    <t>ㄎㄧㆴ</t>
  </si>
  <si>
    <t>it̚</t>
  </si>
  <si>
    <t>ㄧㆵ</t>
  </si>
  <si>
    <t>ㄏㄧㆵ</t>
  </si>
  <si>
    <t>ㄅㄧㆵ</t>
  </si>
  <si>
    <t>ㄆㄧㆵ</t>
  </si>
  <si>
    <t>ㆠㄧㆵ</t>
  </si>
  <si>
    <t>ㄉㄧㆵ</t>
  </si>
  <si>
    <t>ㄊㄧㆵ</t>
  </si>
  <si>
    <t>ㄌㄧㆵ</t>
  </si>
  <si>
    <t>ㄐㄧㆵ</t>
  </si>
  <si>
    <t>ㄑㄧㆵ</t>
  </si>
  <si>
    <t>ㆢㄧㆵ</t>
  </si>
  <si>
    <t>ㄒㄧㆵ</t>
  </si>
  <si>
    <t>ㄍㄧㆵ</t>
  </si>
  <si>
    <t>ㄎㄧㆵ</t>
  </si>
  <si>
    <t>ik̚/ɪək̚</t>
  </si>
  <si>
    <t>ㄧㆻ</t>
  </si>
  <si>
    <t>ㄏㄧㆻ</t>
  </si>
  <si>
    <t>ㄅㄧㆻ</t>
  </si>
  <si>
    <t>ㄆㄧㆻ</t>
  </si>
  <si>
    <t>ㆠㄧㆻ</t>
  </si>
  <si>
    <t>ㄉㄧㆻ</t>
  </si>
  <si>
    <t>ㄊㄧㆻ</t>
  </si>
  <si>
    <t>ㄌㄧㆻ</t>
  </si>
  <si>
    <t>ㄐㄧㆻ</t>
  </si>
  <si>
    <t>ㄑㄧㆻ</t>
  </si>
  <si>
    <t>ㆢㄧㆻ</t>
  </si>
  <si>
    <t>ㄒㄧㆻ</t>
  </si>
  <si>
    <t>ㄍㄧㆻ</t>
  </si>
  <si>
    <t>ㄎㄧㆻ</t>
  </si>
  <si>
    <t>ㆣㄧㆻ</t>
  </si>
  <si>
    <t>ɪa</t>
  </si>
  <si>
    <t>ㄧㄚ</t>
  </si>
  <si>
    <t>ㄏㄧㄚ</t>
  </si>
  <si>
    <t>ㄇㄧㄚ</t>
  </si>
  <si>
    <t>ㄉㄧㄚ</t>
  </si>
  <si>
    <t>ㄋㄧㄚ</t>
  </si>
  <si>
    <t>ㄌㄧㄚ</t>
  </si>
  <si>
    <t>ㄐㄧㄚ</t>
  </si>
  <si>
    <t>ㄑㄧㄚ</t>
  </si>
  <si>
    <t>ㆢㄧㄚ</t>
  </si>
  <si>
    <t>ㄒㄧㄚ</t>
  </si>
  <si>
    <t>ㄍㄧㄚ</t>
  </si>
  <si>
    <t>ㄎㄧㄚ</t>
  </si>
  <si>
    <t>ㆣㄧㄚ</t>
  </si>
  <si>
    <t>ㄫㄧㄚ</t>
  </si>
  <si>
    <t>iã</t>
  </si>
  <si>
    <t>ㄧㆩ</t>
  </si>
  <si>
    <t>ㄏㄧㆩ</t>
  </si>
  <si>
    <t>ㄅㄧㆩ</t>
  </si>
  <si>
    <t>ㄆㄧㆩ</t>
  </si>
  <si>
    <t>ㄉㄧㆩ</t>
  </si>
  <si>
    <t>ㄊㄧㆩ</t>
  </si>
  <si>
    <t>ㄐㄧㆩ</t>
  </si>
  <si>
    <t>ㄑㄧㆩ</t>
  </si>
  <si>
    <t>ㄒㄧㆩ</t>
  </si>
  <si>
    <t>ㄍㄧㆩ</t>
  </si>
  <si>
    <t>ㄎㄧㆩ</t>
  </si>
  <si>
    <t>ɪaʔ</t>
  </si>
  <si>
    <t>ㄧㄚㆷ</t>
  </si>
  <si>
    <t>ㄏㄧㄚㆷ</t>
  </si>
  <si>
    <t>ㄅㄧㄚㆷ</t>
  </si>
  <si>
    <t>ㄆㄧㄚㆷ</t>
  </si>
  <si>
    <t>ㄉㄧㄚㆷ</t>
  </si>
  <si>
    <t>ㄊㄧㄚㆷ</t>
  </si>
  <si>
    <t>ㄌㄧㄚㆷ</t>
  </si>
  <si>
    <t>ㄐㄧㄚㆷ</t>
  </si>
  <si>
    <t>ㄑㄧㄚㆷ</t>
  </si>
  <si>
    <t>ㆢㄧㄚㆷ</t>
  </si>
  <si>
    <t>ㄒㄧㄚㆷ</t>
  </si>
  <si>
    <t>ㄍㄧㄚㆷ</t>
  </si>
  <si>
    <t>ㄎㄧㄚㆷ</t>
  </si>
  <si>
    <t>ㆣㄧㄚㆷ</t>
  </si>
  <si>
    <t>iãʔ</t>
  </si>
  <si>
    <t>ㄧㆩㆷ</t>
  </si>
  <si>
    <t>ㄏㄧㆩㆷ</t>
  </si>
  <si>
    <t>ㄒㄧㆩㆷ</t>
  </si>
  <si>
    <t>ɪam</t>
  </si>
  <si>
    <t>ㄧㆰ</t>
  </si>
  <si>
    <t>ㄏㄧㆰ</t>
  </si>
  <si>
    <t>ㄉㄧㆰ</t>
  </si>
  <si>
    <t>ㄊㄧㆰ</t>
  </si>
  <si>
    <t>ㄌㄧㆰ</t>
  </si>
  <si>
    <t>ㄐㄧㆰ</t>
  </si>
  <si>
    <t>ㄑㄧㆰ</t>
  </si>
  <si>
    <t>ㆢㄧㆰ</t>
  </si>
  <si>
    <t>ㄒㄧㆰ</t>
  </si>
  <si>
    <t>ㄍㄧㆰ</t>
  </si>
  <si>
    <t>ㄎㄧㆰ</t>
  </si>
  <si>
    <t>ㆣㄧㆰ</t>
  </si>
  <si>
    <t>ɪan/en</t>
  </si>
  <si>
    <t>ㄧㄢ</t>
  </si>
  <si>
    <t>ㄏㄧㄢ</t>
  </si>
  <si>
    <t>ㄅㄧㄢ</t>
  </si>
  <si>
    <t>ㄆㄧㄢ</t>
  </si>
  <si>
    <t>ㆠㄧㄢ</t>
  </si>
  <si>
    <t>ㄉㄧㄢ</t>
  </si>
  <si>
    <t>ㄊㄧㄢ</t>
  </si>
  <si>
    <t>ㄌㄧㄢ</t>
  </si>
  <si>
    <t>ㄐㄧㄢ</t>
  </si>
  <si>
    <t>ㄑㄧㄢ</t>
  </si>
  <si>
    <t>ㆢㄧㄢ</t>
  </si>
  <si>
    <t>ㄒㄧㄢ</t>
  </si>
  <si>
    <t>ㄍㄧㄢ</t>
  </si>
  <si>
    <t>ㄎㄧㄢ</t>
  </si>
  <si>
    <t>ㆣㄧㄢ</t>
  </si>
  <si>
    <t>ɪaŋ</t>
  </si>
  <si>
    <t>ㄧㄤ</t>
  </si>
  <si>
    <t>ㄏㄧㄤ</t>
  </si>
  <si>
    <t>ㄅㄧㄤ</t>
  </si>
  <si>
    <t>ㄆㄧㄤ</t>
  </si>
  <si>
    <t>ㄌㄧㄤ</t>
  </si>
  <si>
    <t>ㄐㄧㄤ</t>
  </si>
  <si>
    <t>ㄑㄧㄤ</t>
  </si>
  <si>
    <t>ㆢㄧㄤ</t>
  </si>
  <si>
    <t>ㄒㄧㄤ</t>
  </si>
  <si>
    <t>ㄍㄧㄤ</t>
  </si>
  <si>
    <t>ㄎㄧㄤ</t>
  </si>
  <si>
    <t>ㆣㄧㄤ</t>
  </si>
  <si>
    <t>ɪap̚</t>
  </si>
  <si>
    <t>ㄧㄚㆴ</t>
  </si>
  <si>
    <t>ㄏㄧㄚㆴ</t>
  </si>
  <si>
    <t>ㄉㄧㄚㆴ</t>
  </si>
  <si>
    <t>ㄊㄧㄚㆴ</t>
  </si>
  <si>
    <t>ㄌㄧㄚㆴ</t>
  </si>
  <si>
    <t>ㄐㄧㄚㆴ</t>
  </si>
  <si>
    <t>ㄑㄧㄚㆴ</t>
  </si>
  <si>
    <t>ㆢㄧㄚㆴ</t>
  </si>
  <si>
    <t>ㄒㄧㄚㆴ</t>
  </si>
  <si>
    <t>ㄍㄧㄚㆴ</t>
  </si>
  <si>
    <t>ㄎㄧㄚㆴ</t>
  </si>
  <si>
    <t>ㆣㄧㄚㆴ</t>
  </si>
  <si>
    <t>ɪat̚/ɪet̚</t>
  </si>
  <si>
    <t>ㄧㄚㆵ</t>
  </si>
  <si>
    <t>ㄏㄧㄚㆵ</t>
  </si>
  <si>
    <t>ㄅㄧㄚㆵ</t>
  </si>
  <si>
    <t>ㄆㄧㄚㆵ</t>
  </si>
  <si>
    <t>ㆠㄧㄚㆵ</t>
  </si>
  <si>
    <t>ㄉㄧㄚㆵ</t>
  </si>
  <si>
    <t>ㄊㄧㄚㆵ</t>
  </si>
  <si>
    <t>ㄌㄧㄚㆵ</t>
  </si>
  <si>
    <t>ㄐㄧㄚㆵ</t>
  </si>
  <si>
    <t>ㄑㄧㄚㆵ</t>
  </si>
  <si>
    <t>ㆢㄧㄚㆵ</t>
  </si>
  <si>
    <t>ㄒㄧㄚㆵ</t>
  </si>
  <si>
    <t>ㄍㄧㄚㆵ</t>
  </si>
  <si>
    <t>ㄎㄧㄚㆵ</t>
  </si>
  <si>
    <t>ㆣㄧㄚㆵ</t>
  </si>
  <si>
    <t>ɪak̚</t>
  </si>
  <si>
    <t>ㄧㄚㆻ</t>
  </si>
  <si>
    <t>ㄅㄧㄚㆻ</t>
  </si>
  <si>
    <t>ㄆㄧㄚㆻ</t>
  </si>
  <si>
    <t>ㄉㄧㄚㆻ</t>
  </si>
  <si>
    <t>ㄑㄧㄚㆻ</t>
  </si>
  <si>
    <t>ㄒㄧㄚㆻ</t>
  </si>
  <si>
    <t>ㄎㄧㄚㆻ</t>
  </si>
  <si>
    <t>ɪau</t>
  </si>
  <si>
    <t>ㄧㄠ</t>
  </si>
  <si>
    <t>ㄏㄧㄠ</t>
  </si>
  <si>
    <t>ㄅㄧㄠ</t>
  </si>
  <si>
    <t>ㄆㄧㄠ</t>
  </si>
  <si>
    <t>ㆠㄧㄠ</t>
  </si>
  <si>
    <t>ㄇㄧㄠ</t>
  </si>
  <si>
    <t>ㄉㄧㄠ</t>
  </si>
  <si>
    <t>ㄊㄧㄠ</t>
  </si>
  <si>
    <t>ㄋㄧㄠ</t>
  </si>
  <si>
    <t>ㄌㄧㄠ</t>
  </si>
  <si>
    <t>ㄐㄧㄠ</t>
  </si>
  <si>
    <t>ㄑㄧㄠ</t>
  </si>
  <si>
    <t>ㆢㄧㄠ</t>
  </si>
  <si>
    <t>ㄒㄧㄠ</t>
  </si>
  <si>
    <t>ㄍㄧㄠ</t>
  </si>
  <si>
    <t>ㄎㄧㄠ</t>
  </si>
  <si>
    <t>ㆣㄧㄠ</t>
  </si>
  <si>
    <t>ㄫㄧㄠ</t>
  </si>
  <si>
    <t>ɪãu</t>
  </si>
  <si>
    <t>ㄧㆯ</t>
  </si>
  <si>
    <t>ɪauʔ</t>
  </si>
  <si>
    <t>ㄧㄠㆷ</t>
  </si>
  <si>
    <t>ㄏㄧㄠㆷ</t>
  </si>
  <si>
    <t>ㄎㄧㄠㆷ</t>
  </si>
  <si>
    <t>ㄫㄧㄠㆷ</t>
  </si>
  <si>
    <t>ɪə/ɪo</t>
  </si>
  <si>
    <t>ㄧㄜ</t>
  </si>
  <si>
    <t>ㄏㄧㄜ</t>
  </si>
  <si>
    <t>ㄅㄧㄜ</t>
  </si>
  <si>
    <t>ㄆㄧㄜ</t>
  </si>
  <si>
    <t>ㆠㄧㄜ</t>
  </si>
  <si>
    <t>ㄉㄧㄜ</t>
  </si>
  <si>
    <t>ㄊㄧㄜ</t>
  </si>
  <si>
    <t>ㄌㄧㄜ</t>
  </si>
  <si>
    <t>ㄐㄧㄜ</t>
  </si>
  <si>
    <t>ㄑㄧㄜ</t>
  </si>
  <si>
    <t>ㆢㄧㄜ</t>
  </si>
  <si>
    <t>ㄒㄧㄜ</t>
  </si>
  <si>
    <t>ㄍㄧㄜ</t>
  </si>
  <si>
    <t>ㄎㄧㄜ</t>
  </si>
  <si>
    <t>ㆣㄧㄜ</t>
  </si>
  <si>
    <t>ɪɔ̃</t>
  </si>
  <si>
    <t>ㄧㆧ</t>
  </si>
  <si>
    <t>ㄏㄧㆧ</t>
  </si>
  <si>
    <t>ㄉㄧㆧ</t>
  </si>
  <si>
    <t>ㄐㄧㆧ</t>
  </si>
  <si>
    <t>ㄑㄧㆧ</t>
  </si>
  <si>
    <t>ㄒㄧㆧ</t>
  </si>
  <si>
    <t>ㄍㄧㆧ</t>
  </si>
  <si>
    <t>ㄎㄧㆧ</t>
  </si>
  <si>
    <t>ɪəʔ/ɪoʔ</t>
  </si>
  <si>
    <t>ㄧㄜㆷ</t>
  </si>
  <si>
    <t>ㄏㄧㄜㆷ</t>
  </si>
  <si>
    <t>ㄉㄧㄜㆷ</t>
  </si>
  <si>
    <t>ㄌㄧㄜㆷ</t>
  </si>
  <si>
    <t>ㄐㄧㄜㆷ</t>
  </si>
  <si>
    <t>ㄑㄧㄜㆷ</t>
  </si>
  <si>
    <t>ㄒㄧㄜㆷ</t>
  </si>
  <si>
    <t>ㄍㄧㄜㆷ</t>
  </si>
  <si>
    <t>ㄎㄧㄜㆷ</t>
  </si>
  <si>
    <t>ㆣㄧㄜㆷ</t>
  </si>
  <si>
    <t>ɪɔŋ</t>
  </si>
  <si>
    <t>ㄧㆲ</t>
  </si>
  <si>
    <t>ㄏㄧㆲ</t>
  </si>
  <si>
    <t>ㄉㄧㆲ</t>
  </si>
  <si>
    <t>ㄊㄧㆲ</t>
  </si>
  <si>
    <t>ㄌㄧㆲ</t>
  </si>
  <si>
    <t>ㄐㄧㆲ</t>
  </si>
  <si>
    <t>ㄑㄧㆲ</t>
  </si>
  <si>
    <t>ㆢㄧㆲ</t>
  </si>
  <si>
    <t>ㄒㄧㆲ</t>
  </si>
  <si>
    <t>ㄍㄧㆲ</t>
  </si>
  <si>
    <t>ㄎㄧㆲ</t>
  </si>
  <si>
    <t>ㆣㄧㆲ</t>
  </si>
  <si>
    <t>ɪɔk̚</t>
  </si>
  <si>
    <t>ㄧㆦㆻ</t>
  </si>
  <si>
    <t>ㄏㄧㆦㆻ</t>
  </si>
  <si>
    <t>ㄉㄧㆦㆻ</t>
  </si>
  <si>
    <t>ㄊㄧㆦㆻ</t>
  </si>
  <si>
    <t>ㄌㄧㆦㆻ</t>
  </si>
  <si>
    <t>ㄐㄧㆦㆻ</t>
  </si>
  <si>
    <t>ㄑㄧㆦㆻ</t>
  </si>
  <si>
    <t>ㆢㄧㆦㆻ</t>
  </si>
  <si>
    <t>ㄒㄧㆦㆻ</t>
  </si>
  <si>
    <t>ㄍㄧㆦㆻ</t>
  </si>
  <si>
    <t>ㄎㄧㆦㆻ</t>
  </si>
  <si>
    <t>ㆣㄧㆦㆻ</t>
  </si>
  <si>
    <t>iu</t>
  </si>
  <si>
    <t>ㄧㄨ</t>
  </si>
  <si>
    <t>ㄏㄧㄨ</t>
  </si>
  <si>
    <t>ㄅㄧㄨ</t>
  </si>
  <si>
    <t>ㆠㄧㄨ</t>
  </si>
  <si>
    <t>ㄉㄧㄨ</t>
  </si>
  <si>
    <t>ㄊㄧㄨ</t>
  </si>
  <si>
    <t>ㄋㄧㄨ</t>
  </si>
  <si>
    <t>ㄌㄧㄨ</t>
  </si>
  <si>
    <t>ㄐㄧㄨ</t>
  </si>
  <si>
    <t>ㄑㄧㄨ</t>
  </si>
  <si>
    <t>ㆢㄧㄨ</t>
  </si>
  <si>
    <t>ㄒㄧㄨ</t>
  </si>
  <si>
    <t>ㄍㄧㄨ</t>
  </si>
  <si>
    <t>ㄎㄧㄨ</t>
  </si>
  <si>
    <t>ㆣㄧㄨ</t>
  </si>
  <si>
    <t>ㄫㄧㄨ</t>
  </si>
  <si>
    <t>iũ</t>
  </si>
  <si>
    <t>ㄧㆫ</t>
  </si>
  <si>
    <t>ㄏㄧㆫ</t>
  </si>
  <si>
    <t>ㄉㄧㆫ</t>
  </si>
  <si>
    <t>ㄐㄧㆫ</t>
  </si>
  <si>
    <t>ㄑㄧㆫ</t>
  </si>
  <si>
    <t>ㄒㄧㆫ</t>
  </si>
  <si>
    <t>ㄍㄧㆫ</t>
  </si>
  <si>
    <t>ㄎㄧㆫ</t>
  </si>
  <si>
    <t>iũʔ</t>
  </si>
  <si>
    <t>ㄧㆫㆷ</t>
  </si>
  <si>
    <t>ㄏㄧㆫㆷ</t>
  </si>
  <si>
    <t>ə/o</t>
  </si>
  <si>
    <t>ㄜ</t>
  </si>
  <si>
    <t>ㄏㄜ</t>
  </si>
  <si>
    <t>ㄅㄜ</t>
  </si>
  <si>
    <t>ㄆㄜ</t>
  </si>
  <si>
    <t>ㆠㄜ</t>
  </si>
  <si>
    <t>ㄉㄜ</t>
  </si>
  <si>
    <t>ㄊㄜ</t>
  </si>
  <si>
    <t>ㄌㄜ</t>
  </si>
  <si>
    <t>ㄗㄜ</t>
  </si>
  <si>
    <t>ㄘㄜ</t>
  </si>
  <si>
    <t>ㄙㄜ</t>
  </si>
  <si>
    <t>ㄍㄜ</t>
  </si>
  <si>
    <t>ㄎㄜ</t>
  </si>
  <si>
    <t>ㆣㄜ</t>
  </si>
  <si>
    <t>ɔ</t>
  </si>
  <si>
    <t>ㆦ</t>
  </si>
  <si>
    <t>ㄏㆦ</t>
  </si>
  <si>
    <t>ㄅㆦ</t>
  </si>
  <si>
    <t>ㄆㆦ</t>
  </si>
  <si>
    <t>ㆠㆦ</t>
  </si>
  <si>
    <t>ㄇㆦ</t>
  </si>
  <si>
    <t>ㄉㆦ</t>
  </si>
  <si>
    <t>ㄊㆦ</t>
  </si>
  <si>
    <t>ㄋㆦ</t>
  </si>
  <si>
    <t>ㄌㆦ</t>
  </si>
  <si>
    <t>ㄗㆦ</t>
  </si>
  <si>
    <t>ㄘㆦ</t>
  </si>
  <si>
    <t>ㄙㆦ</t>
  </si>
  <si>
    <t>ㄍㆦ</t>
  </si>
  <si>
    <t>ㄎㆦ</t>
  </si>
  <si>
    <t>ㆣㆦ</t>
  </si>
  <si>
    <t>ㄫㆦ</t>
  </si>
  <si>
    <t>ɔ̃</t>
  </si>
  <si>
    <t>ㆧ</t>
  </si>
  <si>
    <t>ㄏㆧ</t>
  </si>
  <si>
    <t>ㄍㆧ</t>
  </si>
  <si>
    <t>əʔ/oʔ</t>
  </si>
  <si>
    <t>ㄜㆷ</t>
  </si>
  <si>
    <t>ㄏㄜㆷ</t>
  </si>
  <si>
    <t>ㄅㄜㆷ</t>
  </si>
  <si>
    <t>ㄆㄜㆷ</t>
  </si>
  <si>
    <t>ㆠㄜㆷ</t>
  </si>
  <si>
    <t>ㄉㄜㆷ</t>
  </si>
  <si>
    <t>ㄊㄜㆷ</t>
  </si>
  <si>
    <t>ㄌㄜㆷ</t>
  </si>
  <si>
    <t>ㄗㄜㆷ</t>
  </si>
  <si>
    <t>ㄘㄜㆷ</t>
  </si>
  <si>
    <t>ㄙㄜㆷ</t>
  </si>
  <si>
    <t>ㄍㄜㆷ</t>
  </si>
  <si>
    <t>ɔʔ</t>
  </si>
  <si>
    <t>ㆦㆷ</t>
  </si>
  <si>
    <t>ㄏㆦㆷ</t>
  </si>
  <si>
    <t>ㄇㆦㆷ</t>
  </si>
  <si>
    <t>ㄉㆦㆷ</t>
  </si>
  <si>
    <t>ㄌㆦㆷ</t>
  </si>
  <si>
    <t>ㄍㆦㆷ</t>
  </si>
  <si>
    <t>ɔ̃ʔ</t>
  </si>
  <si>
    <t>ㆧㆷ</t>
  </si>
  <si>
    <t>ㄏㆧㆷ</t>
  </si>
  <si>
    <t>ɔm</t>
  </si>
  <si>
    <t>ㆱ</t>
  </si>
  <si>
    <t>ㄉㆱ</t>
  </si>
  <si>
    <t>ㄙㆱ</t>
  </si>
  <si>
    <t>ɔŋ</t>
  </si>
  <si>
    <t>ㆲ</t>
  </si>
  <si>
    <t>ㄏㆲ</t>
  </si>
  <si>
    <t>ㄅㆲ</t>
  </si>
  <si>
    <t>ㄆㆲ</t>
  </si>
  <si>
    <t>ㆠㆲ</t>
  </si>
  <si>
    <t>ㄉㆲ</t>
  </si>
  <si>
    <t>ㄊㆲ</t>
  </si>
  <si>
    <t>ㄌㆲ</t>
  </si>
  <si>
    <t>ㄗㆲ</t>
  </si>
  <si>
    <t>ㄘㆲ</t>
  </si>
  <si>
    <t>ㄙㆲ</t>
  </si>
  <si>
    <t>ㄍㆲ</t>
  </si>
  <si>
    <t>ㄎㆲ</t>
  </si>
  <si>
    <t>ㆣㆲ</t>
  </si>
  <si>
    <t>ɔp̚</t>
  </si>
  <si>
    <t>ㆦㆴ</t>
  </si>
  <si>
    <t>ㄏㆦㆴ</t>
  </si>
  <si>
    <t>ㄌㆦㆴ</t>
  </si>
  <si>
    <t>ㄍㆦㆴ</t>
  </si>
  <si>
    <t>ɔk̚</t>
  </si>
  <si>
    <t>ㆦㆻ</t>
  </si>
  <si>
    <t>ㄏㆦㆻ</t>
  </si>
  <si>
    <t>ㄅㆦㆻ</t>
  </si>
  <si>
    <t>ㄆㆦㆻ</t>
  </si>
  <si>
    <t>ㆠㆦㆻ</t>
  </si>
  <si>
    <t>ㄉㆦㆻ</t>
  </si>
  <si>
    <t>ㄊㆦㆻ</t>
  </si>
  <si>
    <t>ㄌㆦㆻ</t>
  </si>
  <si>
    <t>ㄗㆦㆻ</t>
  </si>
  <si>
    <t>ㄘㆦㆻ</t>
  </si>
  <si>
    <t>ㄙㆦㆻ</t>
  </si>
  <si>
    <t>ㄍㆦㆻ</t>
  </si>
  <si>
    <t>ㄎㆦㆻ</t>
  </si>
  <si>
    <t>ㆣㆦㆻ</t>
  </si>
  <si>
    <t>u</t>
  </si>
  <si>
    <t>ㄨ</t>
  </si>
  <si>
    <t>ㄏㄨ</t>
  </si>
  <si>
    <t>ㄅㄨ</t>
  </si>
  <si>
    <t>ㄆㄨ</t>
  </si>
  <si>
    <t>ㆠㄨ</t>
  </si>
  <si>
    <t>ㄉㄨ</t>
  </si>
  <si>
    <t>ㄊㄨ</t>
  </si>
  <si>
    <t>ㄌㄨ</t>
  </si>
  <si>
    <t>ㄗㄨ</t>
  </si>
  <si>
    <t>ㄘㄨ</t>
  </si>
  <si>
    <t>ㆡㄨ</t>
  </si>
  <si>
    <t>ㄙㄨ</t>
  </si>
  <si>
    <t>ㄍㄨ</t>
  </si>
  <si>
    <t>ㄎㄨ</t>
  </si>
  <si>
    <t>ㆣㄨ</t>
  </si>
  <si>
    <t>uʔ</t>
  </si>
  <si>
    <t>ㄨㆷ</t>
  </si>
  <si>
    <t>ㄅㄨㆷ</t>
  </si>
  <si>
    <t>ㄆㄨㆷ</t>
  </si>
  <si>
    <t>ㆠㄨㆷ</t>
  </si>
  <si>
    <t>ㄉㄨㆷ</t>
  </si>
  <si>
    <t>ㄊㄨㆷ</t>
  </si>
  <si>
    <t>ㄌㄨㆷ</t>
  </si>
  <si>
    <t>ㄗㄨㆷ</t>
  </si>
  <si>
    <t>ㄘㄨㆷ</t>
  </si>
  <si>
    <t>ㄙㄨㆷ</t>
  </si>
  <si>
    <t>ㄎㄨㆷ</t>
  </si>
  <si>
    <t>un</t>
  </si>
  <si>
    <t>ㄨㄣ</t>
  </si>
  <si>
    <t>ㄏㄨㄣ</t>
  </si>
  <si>
    <t>ㄅㄨㄣ</t>
  </si>
  <si>
    <t>ㄆㄨㄣ</t>
  </si>
  <si>
    <t>ㆠㄨㄣ</t>
  </si>
  <si>
    <t>ㄉㄨㄣ</t>
  </si>
  <si>
    <t>ㄊㄨㄣ</t>
  </si>
  <si>
    <t>ㄌㄨㄣ</t>
  </si>
  <si>
    <t>ㄗㄨㄣ</t>
  </si>
  <si>
    <t>ㄘㄨㄣ</t>
  </si>
  <si>
    <t>ㆡㄨㄣ</t>
  </si>
  <si>
    <t>ㄙㄨㄣ</t>
  </si>
  <si>
    <t>ㄍㄨㄣ</t>
  </si>
  <si>
    <t>ㄎㄨㄣ</t>
  </si>
  <si>
    <t>ㆣㄨㄣ</t>
  </si>
  <si>
    <t>ut̚</t>
  </si>
  <si>
    <t>ㄨㆵ</t>
  </si>
  <si>
    <t>ㄏㄨㆵ</t>
  </si>
  <si>
    <t>ㄅㄨㆵ</t>
  </si>
  <si>
    <t>ㄆㄨㆵ</t>
  </si>
  <si>
    <t>ㆠㄨㆵ</t>
  </si>
  <si>
    <t>ㄉㄨㆵ</t>
  </si>
  <si>
    <t>ㄊㄨㆵ</t>
  </si>
  <si>
    <t>ㄌㄨㆵ</t>
  </si>
  <si>
    <t>ㄗㄨㆵ</t>
  </si>
  <si>
    <t>ㄘㄨㆵ</t>
  </si>
  <si>
    <t>ㄙㄨㆵ</t>
  </si>
  <si>
    <t>ㄍㄨㆵ</t>
  </si>
  <si>
    <t>ㄎㄨㆵ</t>
  </si>
  <si>
    <t>ua</t>
  </si>
  <si>
    <t>ㄨㄚ</t>
  </si>
  <si>
    <t>ㄏㄨㄚ</t>
  </si>
  <si>
    <t>ㄅㄨㄚ</t>
  </si>
  <si>
    <t>ㄆㄨㄚ</t>
  </si>
  <si>
    <t>ㆠㄨㄚ</t>
  </si>
  <si>
    <t>ㄇㄨㄚ</t>
  </si>
  <si>
    <t>ㄉㄨㄚ</t>
  </si>
  <si>
    <t>ㄊㄨㄚ</t>
  </si>
  <si>
    <t>ㄋㄨㄚ</t>
  </si>
  <si>
    <t>ㄌㄨㄚ</t>
  </si>
  <si>
    <t>ㄗㄨㄚ</t>
  </si>
  <si>
    <t>ㄘㄨㄚ</t>
  </si>
  <si>
    <t>ㆡㄨㄚ</t>
  </si>
  <si>
    <t>ㄙㄨㄚ</t>
  </si>
  <si>
    <t>ㄍㄨㄚ</t>
  </si>
  <si>
    <t>ㄎㄨㄚ</t>
  </si>
  <si>
    <t>ㆣㄨㄚ</t>
  </si>
  <si>
    <t>uã</t>
  </si>
  <si>
    <t>ㄨㆩ</t>
  </si>
  <si>
    <t>ㄏㄨㆩ</t>
  </si>
  <si>
    <t>ㄅㄨㆩ</t>
  </si>
  <si>
    <t>ㄆㄨㆩ</t>
  </si>
  <si>
    <t>ㄉㄨㆩ</t>
  </si>
  <si>
    <t>ㄊㄨㆩ</t>
  </si>
  <si>
    <t>ㄗㄨㆩ</t>
  </si>
  <si>
    <t>ㄘㄨㆩ</t>
  </si>
  <si>
    <t>ㄙㄨㆩ</t>
  </si>
  <si>
    <t>ㄍㄨㆩ</t>
  </si>
  <si>
    <t>ㄎㄨㆩ</t>
  </si>
  <si>
    <t>uaʔ</t>
  </si>
  <si>
    <t>ㄨㄚㆷ</t>
  </si>
  <si>
    <t>ㄏㄨㄚㆷ</t>
  </si>
  <si>
    <t>ㄅㄨㄚㆷ</t>
  </si>
  <si>
    <t>ㄆㄨㄚㆷ</t>
  </si>
  <si>
    <t>ㆠㄨㄚㆷ</t>
  </si>
  <si>
    <t>ㄉㄨㄚㆷ</t>
  </si>
  <si>
    <t>ㄊㄨㄚㆷ</t>
  </si>
  <si>
    <t>ㄌㄨㄚㆷ</t>
  </si>
  <si>
    <t>ㄗㄨㄚㆷ</t>
  </si>
  <si>
    <t>ㄘㄨㄚㆷ</t>
  </si>
  <si>
    <t>ㆡㄨㄚㆷ</t>
  </si>
  <si>
    <t>ㄙㄨㄚㆷ</t>
  </si>
  <si>
    <t>ㄍㄨㄚㆷ</t>
  </si>
  <si>
    <t>ㄎㄨㄚㆷ</t>
  </si>
  <si>
    <t>uan</t>
  </si>
  <si>
    <t>ㄨㄢ</t>
  </si>
  <si>
    <t>ㄏㄨㄢ</t>
  </si>
  <si>
    <t>ㄅㄨㄢ</t>
  </si>
  <si>
    <t>ㄆㄨㄢ</t>
  </si>
  <si>
    <t>ㆠㄨㄢ</t>
  </si>
  <si>
    <t>ㄉㄨㄢ</t>
  </si>
  <si>
    <t>ㄊㄨㄢ</t>
  </si>
  <si>
    <t>ㄌㄨㄢ</t>
  </si>
  <si>
    <t>ㄗㄨㄢ</t>
  </si>
  <si>
    <t>ㄘㄨㄢ</t>
  </si>
  <si>
    <t>ㄙㄨㄢ</t>
  </si>
  <si>
    <t>ㄍㄨㄢ</t>
  </si>
  <si>
    <t>ㄎㄨㄢ</t>
  </si>
  <si>
    <t>ㆣㄨㄢ</t>
  </si>
  <si>
    <t>uaŋ</t>
  </si>
  <si>
    <t>ㄨㄤ</t>
  </si>
  <si>
    <t>ㄏㄨㄤ</t>
  </si>
  <si>
    <t>ㄘㄨㄤ</t>
  </si>
  <si>
    <t>uat̚</t>
  </si>
  <si>
    <t>ㄨㄚㆵ</t>
  </si>
  <si>
    <t>ㄏㄨㄚㆵ</t>
  </si>
  <si>
    <t>ㄅㄨㄚㆵ</t>
  </si>
  <si>
    <t>ㄆㄨㄚㆵ</t>
  </si>
  <si>
    <t>ㆠㄨㄚㆵ</t>
  </si>
  <si>
    <t>ㄉㄨㄚㆵ</t>
  </si>
  <si>
    <t>ㄊㄨㄚㆵ</t>
  </si>
  <si>
    <t>ㄌㄨㄚㆵ</t>
  </si>
  <si>
    <t>ㄗㄨㄚㆵ</t>
  </si>
  <si>
    <t>ㄙㄨㄚㆵ</t>
  </si>
  <si>
    <t>ㄍㄨㄚㆵ</t>
  </si>
  <si>
    <t>ㄎㄨㄚㆵ</t>
  </si>
  <si>
    <t>ㆣㄨㄚㆵ</t>
  </si>
  <si>
    <t>uai</t>
  </si>
  <si>
    <t>ㄨㄞ</t>
  </si>
  <si>
    <t>ㄏㄨㄞ</t>
  </si>
  <si>
    <t>ㄙㄨㄞ</t>
  </si>
  <si>
    <t>ㄍㄨㄞ</t>
  </si>
  <si>
    <t>ㄎㄨㄞ</t>
  </si>
  <si>
    <t>uãi</t>
  </si>
  <si>
    <t>ㄨㆮ</t>
  </si>
  <si>
    <t>ㄏㄨㆮ</t>
  </si>
  <si>
    <t>ㄗㄨㆮ</t>
  </si>
  <si>
    <t>ㄙㄨㆮ</t>
  </si>
  <si>
    <t>ㄍㄨㆮ</t>
  </si>
  <si>
    <t>uaiʔ</t>
  </si>
  <si>
    <t>ㄨㄞㆷ</t>
  </si>
  <si>
    <t>ㆠㄨㄞㆷ</t>
  </si>
  <si>
    <t>ㄌㄨㄞㆷ</t>
  </si>
  <si>
    <t>ㄘㄨㄞㆷ</t>
  </si>
  <si>
    <t>ㄍㄨㄞㆷ</t>
  </si>
  <si>
    <t>uãiʔ</t>
  </si>
  <si>
    <t>ㄨㆮㆷ</t>
  </si>
  <si>
    <t>ㄍㄨㆮㆷ</t>
  </si>
  <si>
    <t>ue</t>
  </si>
  <si>
    <t>ㄨㆤ</t>
  </si>
  <si>
    <t>ㄏㄨㆤ</t>
  </si>
  <si>
    <t>ㄅㄨㆤ</t>
  </si>
  <si>
    <t>ㄆㄨㆤ</t>
  </si>
  <si>
    <t>ㆠㄨㆤ</t>
  </si>
  <si>
    <t>ㄇㄨㆤ</t>
  </si>
  <si>
    <t>ㄉㄨㆤ</t>
  </si>
  <si>
    <t>ㄊㄨㆤ</t>
  </si>
  <si>
    <t>ㄌㄨㆤ</t>
  </si>
  <si>
    <t>ㄗㄨㆤ</t>
  </si>
  <si>
    <t>ㄘㄨㆤ</t>
  </si>
  <si>
    <t>ㆡㄨㆤ</t>
  </si>
  <si>
    <t>ㄙㄨㆤ</t>
  </si>
  <si>
    <t>ㄍㄨㆤ</t>
  </si>
  <si>
    <t>ㄎㄨㆤ</t>
  </si>
  <si>
    <t>ㆣㄨㆤ</t>
  </si>
  <si>
    <t>ueʔ</t>
  </si>
  <si>
    <t>ㄨㆤㆷ</t>
  </si>
  <si>
    <t>ㄏㄨㆤㆷ</t>
  </si>
  <si>
    <t>ㄅㄨㆤㆷ</t>
  </si>
  <si>
    <t>ㄆㄨㆤㆷ</t>
  </si>
  <si>
    <t>ㆠㄨㆤㆷ</t>
  </si>
  <si>
    <t>ㄊㄨㆤㆷ</t>
  </si>
  <si>
    <t>ㄌㄨㆤㆷ</t>
  </si>
  <si>
    <t>ㄗㄨㆤㆷ</t>
  </si>
  <si>
    <t>ㄘㄨㆤㆷ</t>
  </si>
  <si>
    <t>ㄙㄨㆤㆷ</t>
  </si>
  <si>
    <t>ㄍㄨㆤㆷ</t>
  </si>
  <si>
    <t>ㄎㄨㆤㆷ</t>
  </si>
  <si>
    <t>ㆣㄨㆤㆷ</t>
  </si>
  <si>
    <t>ㄫㄨㆤㆷ</t>
  </si>
  <si>
    <t>ui</t>
  </si>
  <si>
    <t>ㄨㄧ</t>
  </si>
  <si>
    <t>ㄏㄨㄧ</t>
  </si>
  <si>
    <t>ㄅㄨㄧ</t>
  </si>
  <si>
    <t>ㄆㄨㄧ</t>
  </si>
  <si>
    <t>ㆠㄨㄧ</t>
  </si>
  <si>
    <t>ㄇㄨㄧ</t>
  </si>
  <si>
    <t>ㄉㄨㄧ</t>
  </si>
  <si>
    <t>ㄊㄨㄧ</t>
  </si>
  <si>
    <t>ㄌㄨㄧ</t>
  </si>
  <si>
    <t>ㄗㄨㄧ</t>
  </si>
  <si>
    <t>ㄘㄨㄧ</t>
  </si>
  <si>
    <t>ㄙㄨㄧ</t>
  </si>
  <si>
    <t>ㄍㄨㄧ</t>
  </si>
  <si>
    <t>ㄎㄨㄧ</t>
  </si>
  <si>
    <t>ㆣㄨㄧ</t>
  </si>
  <si>
    <t>uĩ</t>
  </si>
  <si>
    <t>ㄨㆪ</t>
  </si>
  <si>
    <t>ㄏㄨㆪ</t>
  </si>
  <si>
    <t>ㄅㄨㆪ</t>
  </si>
  <si>
    <t>ㄗㄨㆪ</t>
  </si>
  <si>
    <t>ㄘㄨㆪ</t>
  </si>
  <si>
    <t>ㄙㄨㆪ</t>
  </si>
  <si>
    <t>ㄍㄨㆪ</t>
  </si>
  <si>
    <t>uiʔ</t>
  </si>
  <si>
    <t>ㄨㄧㆷ</t>
  </si>
  <si>
    <t>ㄏㄨㄧㆷ</t>
  </si>
  <si>
    <t>ㄍㄨㄧㆷ</t>
  </si>
  <si>
    <t>m̩</t>
  </si>
  <si>
    <t>ㆬ</t>
  </si>
  <si>
    <t>ㄏㆬ</t>
  </si>
  <si>
    <t>m̩ʔ</t>
  </si>
  <si>
    <t>ㆬㆷ</t>
  </si>
  <si>
    <t>ㄏㆬㆷ</t>
  </si>
  <si>
    <t>ŋ̍</t>
  </si>
  <si>
    <t>ㆭ</t>
  </si>
  <si>
    <t>ㄏㆭ</t>
  </si>
  <si>
    <t>ㄅㆭ</t>
  </si>
  <si>
    <t>ㄇㆭ</t>
  </si>
  <si>
    <t>ㄉㆭ</t>
  </si>
  <si>
    <t>ㄊㆭ</t>
  </si>
  <si>
    <t>ㄋㆭ</t>
  </si>
  <si>
    <t>ㄗㆭ</t>
  </si>
  <si>
    <t>ㄘㆭ</t>
  </si>
  <si>
    <t>ㄙㆭ</t>
  </si>
  <si>
    <t>ㄍㆭ</t>
  </si>
  <si>
    <t>ㄎㆭ</t>
  </si>
  <si>
    <t>ŋ̍ʔ</t>
  </si>
  <si>
    <t>ㆭㆷ</t>
  </si>
  <si>
    <t>ㄏㆭㆷ</t>
  </si>
  <si>
    <t>ㄆㆭㆷ</t>
  </si>
  <si>
    <t>ㄇㆭㆷ</t>
  </si>
  <si>
    <t>ㄘㆭㆷ</t>
  </si>
  <si>
    <t>ㄙㆭㆷ</t>
  </si>
  <si>
    <t>ㄎㆭㆷ</t>
  </si>
  <si>
    <t>識別號</t>
  </si>
  <si>
    <t>十五音</t>
    <phoneticPr fontId="10" type="noConversion"/>
  </si>
  <si>
    <t>漢字例</t>
    <phoneticPr fontId="3" type="noConversion"/>
  </si>
  <si>
    <t>方音符號</t>
    <phoneticPr fontId="10" type="noConversion"/>
  </si>
  <si>
    <r>
      <rPr>
        <sz val="18"/>
        <color rgb="FFFF0000"/>
        <rFont val="Noto Serif TC Black"/>
        <family val="1"/>
        <charset val="136"/>
      </rPr>
      <t>國際音標</t>
    </r>
  </si>
  <si>
    <t>台語音標</t>
    <phoneticPr fontId="3" type="noConversion"/>
  </si>
  <si>
    <r>
      <rPr>
        <sz val="18"/>
        <color rgb="FF000000"/>
        <rFont val="Noto Serif TC Black"/>
        <family val="1"/>
        <charset val="136"/>
      </rPr>
      <t>白話字</t>
    </r>
    <phoneticPr fontId="10" type="noConversion"/>
  </si>
  <si>
    <t>閩拼方案</t>
    <phoneticPr fontId="10" type="noConversion"/>
  </si>
  <si>
    <t>字長</t>
    <phoneticPr fontId="13" type="noConversion"/>
  </si>
  <si>
    <t>備註</t>
    <phoneticPr fontId="13" type="noConversion"/>
  </si>
  <si>
    <t>柳</t>
  </si>
  <si>
    <t>理</t>
  </si>
  <si>
    <t>ㄌ</t>
    <phoneticPr fontId="10" type="noConversion"/>
  </si>
  <si>
    <t>l</t>
    <phoneticPr fontId="10" type="noConversion"/>
  </si>
  <si>
    <t>l</t>
    <phoneticPr fontId="3" type="noConversion"/>
  </si>
  <si>
    <t>邊</t>
  </si>
  <si>
    <t>比</t>
  </si>
  <si>
    <t>ㄅ</t>
    <phoneticPr fontId="10" type="noConversion"/>
  </si>
  <si>
    <t>b</t>
    <phoneticPr fontId="3" type="noConversion"/>
  </si>
  <si>
    <t>求</t>
  </si>
  <si>
    <t>己</t>
  </si>
  <si>
    <t>ㄍ</t>
    <phoneticPr fontId="10" type="noConversion"/>
  </si>
  <si>
    <t>g</t>
    <phoneticPr fontId="3" type="noConversion"/>
  </si>
  <si>
    <t>去</t>
  </si>
  <si>
    <t>起</t>
  </si>
  <si>
    <t>ㄎ</t>
    <phoneticPr fontId="10" type="noConversion"/>
  </si>
  <si>
    <t>kh</t>
  </si>
  <si>
    <t>k</t>
    <phoneticPr fontId="3" type="noConversion"/>
  </si>
  <si>
    <t>地</t>
  </si>
  <si>
    <t>底</t>
  </si>
  <si>
    <t>ㄉ</t>
    <phoneticPr fontId="10" type="noConversion"/>
  </si>
  <si>
    <t>d</t>
  </si>
  <si>
    <t>d</t>
    <phoneticPr fontId="3" type="noConversion"/>
  </si>
  <si>
    <t>頗</t>
  </si>
  <si>
    <t>鄙</t>
  </si>
  <si>
    <t>ㄆ</t>
    <phoneticPr fontId="10" type="noConversion"/>
  </si>
  <si>
    <t>ph</t>
  </si>
  <si>
    <t>p</t>
    <phoneticPr fontId="3" type="noConversion"/>
  </si>
  <si>
    <t>他</t>
  </si>
  <si>
    <t>恥</t>
  </si>
  <si>
    <t>ㄊ</t>
    <phoneticPr fontId="10" type="noConversion"/>
  </si>
  <si>
    <t>th</t>
  </si>
  <si>
    <t>t</t>
    <phoneticPr fontId="3" type="noConversion"/>
  </si>
  <si>
    <t>序號</t>
  </si>
  <si>
    <t>曾</t>
  </si>
  <si>
    <t>止</t>
  </si>
  <si>
    <t>ㄗ</t>
    <phoneticPr fontId="10" type="noConversion"/>
  </si>
  <si>
    <t>ʦ</t>
  </si>
  <si>
    <t>z</t>
    <phoneticPr fontId="10" type="noConversion"/>
  </si>
  <si>
    <t>ts</t>
  </si>
  <si>
    <t>ch</t>
    <phoneticPr fontId="10" type="noConversion"/>
  </si>
  <si>
    <t>z</t>
  </si>
  <si>
    <t>z</t>
    <phoneticPr fontId="3" type="noConversion"/>
  </si>
  <si>
    <r>
      <t>z</t>
    </r>
    <r>
      <rPr>
        <sz val="18"/>
        <color rgb="FFFF0000"/>
        <rFont val="Noto Serif TC Black"/>
        <family val="1"/>
        <charset val="136"/>
      </rPr>
      <t>i</t>
    </r>
    <phoneticPr fontId="10" type="noConversion"/>
  </si>
  <si>
    <t>ʨ</t>
  </si>
  <si>
    <t>chi</t>
    <phoneticPr fontId="10" type="noConversion"/>
  </si>
  <si>
    <t>tsi</t>
    <phoneticPr fontId="10" type="noConversion"/>
  </si>
  <si>
    <t>zi</t>
    <phoneticPr fontId="10" type="noConversion"/>
  </si>
  <si>
    <t>ㄐ</t>
    <phoneticPr fontId="10" type="noConversion"/>
  </si>
  <si>
    <t>入</t>
  </si>
  <si>
    <t>ㆡ</t>
    <phoneticPr fontId="10" type="noConversion"/>
  </si>
  <si>
    <t>ʣ</t>
  </si>
  <si>
    <t>j</t>
  </si>
  <si>
    <t>zz</t>
  </si>
  <si>
    <t>zz</t>
    <phoneticPr fontId="3" type="noConversion"/>
  </si>
  <si>
    <r>
      <t>j</t>
    </r>
    <r>
      <rPr>
        <sz val="18"/>
        <color rgb="FFFF0000"/>
        <rFont val="Noto Serif TC Black"/>
        <family val="1"/>
        <charset val="136"/>
      </rPr>
      <t>i</t>
    </r>
    <phoneticPr fontId="10" type="noConversion"/>
  </si>
  <si>
    <t>ʥ</t>
  </si>
  <si>
    <r>
      <t>zz</t>
    </r>
    <r>
      <rPr>
        <sz val="18"/>
        <color rgb="FFFF0000"/>
        <rFont val="Noto Serif TC Black"/>
        <family val="1"/>
        <charset val="136"/>
      </rPr>
      <t>i</t>
    </r>
    <phoneticPr fontId="10" type="noConversion"/>
  </si>
  <si>
    <t>ㆢ</t>
    <phoneticPr fontId="10" type="noConversion"/>
  </si>
  <si>
    <t>時</t>
  </si>
  <si>
    <t>ㄙ</t>
    <phoneticPr fontId="10" type="noConversion"/>
  </si>
  <si>
    <t>s</t>
  </si>
  <si>
    <r>
      <t>s</t>
    </r>
    <r>
      <rPr>
        <sz val="18"/>
        <color rgb="FFFF0000"/>
        <rFont val="Noto Serif TC Black"/>
        <family val="1"/>
        <charset val="136"/>
      </rPr>
      <t>i</t>
    </r>
    <phoneticPr fontId="10" type="noConversion"/>
  </si>
  <si>
    <t>ɕ</t>
  </si>
  <si>
    <t>ㄒ</t>
    <phoneticPr fontId="10" type="noConversion"/>
  </si>
  <si>
    <t>英</t>
  </si>
  <si>
    <t>以</t>
  </si>
  <si>
    <t>門</t>
  </si>
  <si>
    <t>美</t>
  </si>
  <si>
    <t>ㆠ</t>
    <phoneticPr fontId="10" type="noConversion"/>
  </si>
  <si>
    <t>b</t>
    <phoneticPr fontId="10" type="noConversion"/>
  </si>
  <si>
    <t>bb</t>
    <phoneticPr fontId="10" type="noConversion"/>
  </si>
  <si>
    <t>bb</t>
  </si>
  <si>
    <t>語</t>
  </si>
  <si>
    <t>禦</t>
  </si>
  <si>
    <t>ㆣ</t>
    <phoneticPr fontId="10" type="noConversion"/>
  </si>
  <si>
    <t>ɡ</t>
  </si>
  <si>
    <t>g</t>
    <phoneticPr fontId="10" type="noConversion"/>
  </si>
  <si>
    <t>gg</t>
    <phoneticPr fontId="10" type="noConversion"/>
  </si>
  <si>
    <t>gg</t>
  </si>
  <si>
    <t>出</t>
  </si>
  <si>
    <t>取</t>
  </si>
  <si>
    <t>ㄘ</t>
    <phoneticPr fontId="10" type="noConversion"/>
  </si>
  <si>
    <t>ʦʰ</t>
  </si>
  <si>
    <t>c</t>
    <phoneticPr fontId="10" type="noConversion"/>
  </si>
  <si>
    <t>tsh</t>
  </si>
  <si>
    <t>chh</t>
    <phoneticPr fontId="10" type="noConversion"/>
  </si>
  <si>
    <t>c</t>
  </si>
  <si>
    <t>c</t>
    <phoneticPr fontId="3" type="noConversion"/>
  </si>
  <si>
    <r>
      <t>c</t>
    </r>
    <r>
      <rPr>
        <sz val="18"/>
        <color rgb="FFFF0000"/>
        <rFont val="Noto Serif TC Black"/>
        <family val="1"/>
        <charset val="136"/>
      </rPr>
      <t>i</t>
    </r>
    <phoneticPr fontId="10" type="noConversion"/>
  </si>
  <si>
    <t>ʨʰ</t>
  </si>
  <si>
    <r>
      <t>chh</t>
    </r>
    <r>
      <rPr>
        <sz val="18"/>
        <color rgb="FFFF0000"/>
        <rFont val="Noto Serif TC Black"/>
        <family val="1"/>
        <charset val="136"/>
      </rPr>
      <t>i</t>
    </r>
    <phoneticPr fontId="10" type="noConversion"/>
  </si>
  <si>
    <r>
      <t>tsh</t>
    </r>
    <r>
      <rPr>
        <sz val="18"/>
        <color rgb="FFFF0000"/>
        <rFont val="Noto Serif TC Black"/>
        <family val="1"/>
        <charset val="136"/>
      </rPr>
      <t>i</t>
    </r>
    <phoneticPr fontId="10" type="noConversion"/>
  </si>
  <si>
    <t>ㄑ</t>
    <phoneticPr fontId="10" type="noConversion"/>
  </si>
  <si>
    <t>喜</t>
  </si>
  <si>
    <t>ㄏ</t>
    <phoneticPr fontId="10" type="noConversion"/>
  </si>
  <si>
    <t>h</t>
    <phoneticPr fontId="3" type="noConversion"/>
  </si>
  <si>
    <t>毛</t>
    <phoneticPr fontId="10" type="noConversion"/>
  </si>
  <si>
    <t>毛</t>
  </si>
  <si>
    <t>ㄇ</t>
    <phoneticPr fontId="10" type="noConversion"/>
  </si>
  <si>
    <t>m</t>
    <phoneticPr fontId="3" type="noConversion"/>
  </si>
  <si>
    <r>
      <t>b/m 本不分，此處分門/毛</t>
    </r>
    <r>
      <rPr>
        <sz val="12"/>
        <color rgb="FFFF0000"/>
        <rFont val="Noto Sans TC"/>
        <family val="2"/>
        <charset val="136"/>
      </rPr>
      <t xml:space="preserve"> </t>
    </r>
    <phoneticPr fontId="13" type="noConversion"/>
  </si>
  <si>
    <t>耐</t>
    <phoneticPr fontId="10" type="noConversion"/>
  </si>
  <si>
    <t>耐</t>
  </si>
  <si>
    <t>ㄋ</t>
    <phoneticPr fontId="10" type="noConversion"/>
  </si>
  <si>
    <t>n</t>
    <phoneticPr fontId="3" type="noConversion"/>
  </si>
  <si>
    <r>
      <t>l/n 本不分，此處分柳/耐</t>
    </r>
    <r>
      <rPr>
        <sz val="12"/>
        <color rgb="FFFF0000"/>
        <rFont val="Noto Sans TC"/>
        <family val="2"/>
        <charset val="136"/>
      </rPr>
      <t xml:space="preserve"> </t>
    </r>
    <phoneticPr fontId="13" type="noConversion"/>
  </si>
  <si>
    <t>雅</t>
    <phoneticPr fontId="10" type="noConversion"/>
  </si>
  <si>
    <t>雅</t>
  </si>
  <si>
    <t>ㄫ</t>
    <phoneticPr fontId="10" type="noConversion"/>
  </si>
  <si>
    <t>ng</t>
    <phoneticPr fontId="3" type="noConversion"/>
  </si>
  <si>
    <r>
      <t>g/ng 本不分，此處分語/雅</t>
    </r>
    <r>
      <rPr>
        <sz val="12"/>
        <color rgb="FFFF0000"/>
        <rFont val="Noto Sans TC"/>
        <family val="2"/>
        <charset val="136"/>
      </rPr>
      <t xml:space="preserve"> </t>
    </r>
    <phoneticPr fontId="13" type="noConversion"/>
  </si>
  <si>
    <t>識別號</t>
    <phoneticPr fontId="10" type="noConversion"/>
  </si>
  <si>
    <t>舒促聲</t>
    <phoneticPr fontId="10" type="noConversion"/>
  </si>
  <si>
    <t>國際音標</t>
    <phoneticPr fontId="10" type="noConversion"/>
  </si>
  <si>
    <t>台語音標</t>
    <phoneticPr fontId="10" type="noConversion"/>
  </si>
  <si>
    <t>白話字</t>
    <phoneticPr fontId="10" type="noConversion"/>
  </si>
  <si>
    <t>字長</t>
  </si>
  <si>
    <t>十五音識別碼</t>
    <phoneticPr fontId="13" type="noConversion"/>
  </si>
  <si>
    <r>
      <t xml:space="preserve">舒聲
</t>
    </r>
    <r>
      <rPr>
        <sz val="11"/>
        <rFont val="Noto Sans TC Medium"/>
        <family val="2"/>
        <charset val="136"/>
      </rPr>
      <t>（平/上/去）</t>
    </r>
    <phoneticPr fontId="13" type="noConversion"/>
  </si>
  <si>
    <t>君</t>
  </si>
  <si>
    <t>汾</t>
  </si>
  <si>
    <r>
      <t xml:space="preserve">促聲
</t>
    </r>
    <r>
      <rPr>
        <sz val="11"/>
        <rFont val="Noto Sans TC Medium"/>
        <family val="2"/>
        <charset val="136"/>
      </rPr>
      <t>（入）</t>
    </r>
    <phoneticPr fontId="13" type="noConversion"/>
  </si>
  <si>
    <t>◯</t>
  </si>
  <si>
    <t>ut</t>
  </si>
  <si>
    <t>堅</t>
  </si>
  <si>
    <t>ian</t>
  </si>
  <si>
    <t>iat̚</t>
  </si>
  <si>
    <t>iat</t>
  </si>
  <si>
    <t>金</t>
  </si>
  <si>
    <t>深</t>
  </si>
  <si>
    <t>一ㆴ</t>
  </si>
  <si>
    <t>ip</t>
  </si>
  <si>
    <t>規</t>
  </si>
  <si>
    <t>歸</t>
  </si>
  <si>
    <t>嘉</t>
  </si>
  <si>
    <t>家</t>
    <phoneticPr fontId="3" type="noConversion"/>
  </si>
  <si>
    <t>ㄝ</t>
  </si>
  <si>
    <t>ee</t>
  </si>
  <si>
    <t>e</t>
    <phoneticPr fontId="13" type="noConversion"/>
  </si>
  <si>
    <t>ee</t>
    <phoneticPr fontId="13" type="noConversion"/>
  </si>
  <si>
    <t>ㄝㆷ</t>
  </si>
  <si>
    <t>eeh</t>
  </si>
  <si>
    <t>干</t>
  </si>
  <si>
    <t>蘭</t>
  </si>
  <si>
    <t>at</t>
  </si>
  <si>
    <t>公</t>
  </si>
  <si>
    <t>風</t>
    <phoneticPr fontId="3" type="noConversion"/>
  </si>
  <si>
    <t>ong</t>
  </si>
  <si>
    <t>福</t>
    <phoneticPr fontId="3" type="noConversion"/>
  </si>
  <si>
    <t>ok</t>
  </si>
  <si>
    <t>乖</t>
  </si>
  <si>
    <t>怪</t>
  </si>
  <si>
    <t>oai</t>
  </si>
  <si>
    <t>uai?</t>
  </si>
  <si>
    <t>uaih</t>
  </si>
  <si>
    <t>oaih</t>
  </si>
  <si>
    <t>經</t>
  </si>
  <si>
    <t>情</t>
  </si>
  <si>
    <t>ing</t>
  </si>
  <si>
    <t>eng</t>
  </si>
  <si>
    <t>益</t>
    <phoneticPr fontId="3" type="noConversion"/>
  </si>
  <si>
    <t>ik̚</t>
  </si>
  <si>
    <t>ik</t>
  </si>
  <si>
    <t>ek</t>
  </si>
  <si>
    <t>觀</t>
  </si>
  <si>
    <t>猿</t>
  </si>
  <si>
    <t>oan</t>
  </si>
  <si>
    <t>說</t>
    <phoneticPr fontId="3" type="noConversion"/>
  </si>
  <si>
    <t>uat</t>
  </si>
  <si>
    <t>oat</t>
  </si>
  <si>
    <t>沽</t>
  </si>
  <si>
    <t>ou</t>
    <phoneticPr fontId="13" type="noConversion"/>
  </si>
  <si>
    <t>oo</t>
  </si>
  <si>
    <t>o͘</t>
  </si>
  <si>
    <t>嬌</t>
  </si>
  <si>
    <t>遙</t>
  </si>
  <si>
    <t>iau</t>
  </si>
  <si>
    <t>iao</t>
  </si>
  <si>
    <t>iau?</t>
  </si>
  <si>
    <t>iauh</t>
  </si>
  <si>
    <t>iaoh</t>
  </si>
  <si>
    <t>稽</t>
  </si>
  <si>
    <t>遞</t>
  </si>
  <si>
    <t>ㆤ</t>
    <phoneticPr fontId="13" type="noConversion"/>
  </si>
  <si>
    <t>ei</t>
  </si>
  <si>
    <t>恭</t>
  </si>
  <si>
    <t>中</t>
    <phoneticPr fontId="3" type="noConversion"/>
  </si>
  <si>
    <t>iong</t>
  </si>
  <si>
    <t>俗</t>
    <phoneticPr fontId="3" type="noConversion"/>
  </si>
  <si>
    <t>iok</t>
  </si>
  <si>
    <t>高</t>
  </si>
  <si>
    <t>果</t>
  </si>
  <si>
    <t>o</t>
    <phoneticPr fontId="13" type="noConversion"/>
  </si>
  <si>
    <t>o</t>
  </si>
  <si>
    <t>o?</t>
    <phoneticPr fontId="13" type="noConversion"/>
  </si>
  <si>
    <t>oh</t>
  </si>
  <si>
    <t>皆</t>
  </si>
  <si>
    <t>埃</t>
  </si>
  <si>
    <t>ai</t>
  </si>
  <si>
    <t>巾</t>
  </si>
  <si>
    <t>恩</t>
  </si>
  <si>
    <t>一</t>
    <phoneticPr fontId="3" type="noConversion"/>
  </si>
  <si>
    <t>it</t>
  </si>
  <si>
    <t>姜</t>
  </si>
  <si>
    <t>將</t>
    <phoneticPr fontId="3" type="noConversion"/>
  </si>
  <si>
    <t>iang</t>
  </si>
  <si>
    <t>爆</t>
    <phoneticPr fontId="3" type="noConversion"/>
  </si>
  <si>
    <t>iak̚</t>
  </si>
  <si>
    <t>iak</t>
  </si>
  <si>
    <t>甘</t>
  </si>
  <si>
    <t>堪</t>
  </si>
  <si>
    <t>ap</t>
  </si>
  <si>
    <t>瓜</t>
  </si>
  <si>
    <t>花</t>
  </si>
  <si>
    <t>oa</t>
  </si>
  <si>
    <t>ua?</t>
  </si>
  <si>
    <t>uah</t>
  </si>
  <si>
    <t>oah</t>
  </si>
  <si>
    <t>江</t>
  </si>
  <si>
    <t>ang</t>
  </si>
  <si>
    <t>角</t>
    <phoneticPr fontId="3" type="noConversion"/>
  </si>
  <si>
    <t>ak</t>
  </si>
  <si>
    <t>兼</t>
  </si>
  <si>
    <t>尖</t>
    <phoneticPr fontId="3" type="noConversion"/>
  </si>
  <si>
    <t>iam</t>
  </si>
  <si>
    <t>接</t>
    <phoneticPr fontId="3" type="noConversion"/>
  </si>
  <si>
    <t>iap̚</t>
  </si>
  <si>
    <t>iap</t>
  </si>
  <si>
    <t>交</t>
  </si>
  <si>
    <t>鬧</t>
  </si>
  <si>
    <t>ao</t>
  </si>
  <si>
    <t>au?</t>
  </si>
  <si>
    <t>auh</t>
  </si>
  <si>
    <t>aoh</t>
  </si>
  <si>
    <t>迦</t>
  </si>
  <si>
    <t>ia</t>
  </si>
  <si>
    <t>ia?</t>
  </si>
  <si>
    <t>iah</t>
  </si>
  <si>
    <t>檜</t>
  </si>
  <si>
    <t>話</t>
    <phoneticPr fontId="3" type="noConversion"/>
  </si>
  <si>
    <t>uei</t>
    <phoneticPr fontId="13" type="noConversion"/>
  </si>
  <si>
    <t>oe</t>
  </si>
  <si>
    <t>uei?</t>
    <phoneticPr fontId="13" type="noConversion"/>
  </si>
  <si>
    <t>ueh</t>
  </si>
  <si>
    <t>oeh</t>
  </si>
  <si>
    <t>監</t>
  </si>
  <si>
    <t>聽</t>
    <phoneticPr fontId="3" type="noConversion"/>
  </si>
  <si>
    <t>ã</t>
  </si>
  <si>
    <t>ann</t>
  </si>
  <si>
    <r>
      <t>a</t>
    </r>
    <r>
      <rPr>
        <sz val="24"/>
        <rFont val="Noto Sans TC Black"/>
        <family val="2"/>
        <charset val="136"/>
      </rPr>
      <t>ⁿ</t>
    </r>
  </si>
  <si>
    <t>na</t>
  </si>
  <si>
    <t>ã?</t>
  </si>
  <si>
    <t>ahnn</t>
  </si>
  <si>
    <t>annh</t>
  </si>
  <si>
    <r>
      <t>a</t>
    </r>
    <r>
      <rPr>
        <sz val="24"/>
        <rFont val="Noto Sans TC Black"/>
        <family val="2"/>
        <charset val="136"/>
      </rPr>
      <t>ⁿ</t>
    </r>
    <r>
      <rPr>
        <sz val="24"/>
        <rFont val="Times New Roman"/>
        <family val="1"/>
      </rPr>
      <t>h</t>
    </r>
  </si>
  <si>
    <t>nah</t>
  </si>
  <si>
    <t>艍</t>
  </si>
  <si>
    <t>夫</t>
  </si>
  <si>
    <t>u?</t>
  </si>
  <si>
    <t>uh</t>
  </si>
  <si>
    <t>膠</t>
  </si>
  <si>
    <t>些</t>
  </si>
  <si>
    <t>a?</t>
  </si>
  <si>
    <t>ah</t>
  </si>
  <si>
    <t>居</t>
  </si>
  <si>
    <t>爾</t>
    <phoneticPr fontId="3" type="noConversion"/>
  </si>
  <si>
    <t>逼</t>
  </si>
  <si>
    <t>i?</t>
  </si>
  <si>
    <t>ih</t>
  </si>
  <si>
    <t>丩</t>
  </si>
  <si>
    <t>油</t>
    <phoneticPr fontId="3" type="noConversion"/>
  </si>
  <si>
    <t>更</t>
  </si>
  <si>
    <t>爭</t>
    <phoneticPr fontId="3" type="noConversion"/>
  </si>
  <si>
    <t>ɛ̃</t>
    <phoneticPr fontId="13" type="noConversion"/>
  </si>
  <si>
    <t>enn</t>
  </si>
  <si>
    <r>
      <t>e</t>
    </r>
    <r>
      <rPr>
        <sz val="24"/>
        <rFont val="Noto Sans TC Black"/>
        <family val="2"/>
        <charset val="136"/>
      </rPr>
      <t>ⁿ</t>
    </r>
  </si>
  <si>
    <t>ne</t>
  </si>
  <si>
    <t>ɛ̃?</t>
    <phoneticPr fontId="13" type="noConversion"/>
  </si>
  <si>
    <t>ehnn</t>
  </si>
  <si>
    <t>ennh</t>
  </si>
  <si>
    <r>
      <t>e</t>
    </r>
    <r>
      <rPr>
        <sz val="24"/>
        <rFont val="Noto Sans TC Black"/>
        <family val="2"/>
        <charset val="136"/>
      </rPr>
      <t>ⁿ</t>
    </r>
    <r>
      <rPr>
        <sz val="24"/>
        <rFont val="Times New Roman"/>
        <family val="1"/>
      </rPr>
      <t>h</t>
    </r>
  </si>
  <si>
    <t>neh</t>
  </si>
  <si>
    <t>褌</t>
  </si>
  <si>
    <t>荒</t>
  </si>
  <si>
    <t>uinn</t>
  </si>
  <si>
    <r>
      <t>ui</t>
    </r>
    <r>
      <rPr>
        <sz val="24"/>
        <rFont val="Noto Sans TC Black"/>
        <family val="2"/>
        <charset val="136"/>
      </rPr>
      <t>ⁿ</t>
    </r>
  </si>
  <si>
    <t>nui</t>
  </si>
  <si>
    <t>茄</t>
  </si>
  <si>
    <t>少</t>
  </si>
  <si>
    <t>io</t>
    <phoneticPr fontId="13" type="noConversion"/>
  </si>
  <si>
    <t>io</t>
  </si>
  <si>
    <t>io?</t>
    <phoneticPr fontId="13" type="noConversion"/>
  </si>
  <si>
    <t>ioh</t>
  </si>
  <si>
    <t>梔</t>
  </si>
  <si>
    <t>庚</t>
    <phoneticPr fontId="3" type="noConversion"/>
  </si>
  <si>
    <t>inn</t>
  </si>
  <si>
    <r>
      <t>i</t>
    </r>
    <r>
      <rPr>
        <sz val="24"/>
        <rFont val="Noto Sans TC Black"/>
        <family val="2"/>
        <charset val="136"/>
      </rPr>
      <t>ⁿ</t>
    </r>
  </si>
  <si>
    <t>ni</t>
  </si>
  <si>
    <t>ㆪㆷ</t>
  </si>
  <si>
    <t>ĩ?</t>
  </si>
  <si>
    <t>ihnn</t>
  </si>
  <si>
    <t>innh</t>
  </si>
  <si>
    <r>
      <t>i</t>
    </r>
    <r>
      <rPr>
        <sz val="24"/>
        <rFont val="Noto Sans TC Black"/>
        <family val="2"/>
        <charset val="136"/>
      </rPr>
      <t>ⁿ</t>
    </r>
    <r>
      <rPr>
        <sz val="24"/>
        <rFont val="Times New Roman"/>
        <family val="1"/>
      </rPr>
      <t>h</t>
    </r>
  </si>
  <si>
    <t>nih</t>
  </si>
  <si>
    <t>薑</t>
  </si>
  <si>
    <t>腔</t>
    <phoneticPr fontId="3" type="noConversion"/>
  </si>
  <si>
    <t>ionn</t>
  </si>
  <si>
    <r>
      <t>io</t>
    </r>
    <r>
      <rPr>
        <sz val="24"/>
        <rFont val="Noto Sans TC Black"/>
        <family val="2"/>
        <charset val="136"/>
      </rPr>
      <t>ⁿ</t>
    </r>
  </si>
  <si>
    <t>nioo</t>
  </si>
  <si>
    <t>驚</t>
  </si>
  <si>
    <t>且</t>
  </si>
  <si>
    <t>iann</t>
  </si>
  <si>
    <t>iannh</t>
  </si>
  <si>
    <r>
      <t>ia</t>
    </r>
    <r>
      <rPr>
        <sz val="24"/>
        <rFont val="Noto Sans TC Black"/>
        <family val="2"/>
        <charset val="136"/>
      </rPr>
      <t>ⁿ</t>
    </r>
  </si>
  <si>
    <t>nia</t>
  </si>
  <si>
    <t>官</t>
  </si>
  <si>
    <t>uã</t>
    <phoneticPr fontId="13" type="noConversion"/>
  </si>
  <si>
    <t>uann</t>
  </si>
  <si>
    <r>
      <t>oa</t>
    </r>
    <r>
      <rPr>
        <sz val="24"/>
        <rFont val="Noto Sans TC Black"/>
        <family val="2"/>
        <charset val="136"/>
      </rPr>
      <t>ⁿ</t>
    </r>
  </si>
  <si>
    <t>nua</t>
  </si>
  <si>
    <t>鋼</t>
  </si>
  <si>
    <t>床</t>
  </si>
  <si>
    <t>ng</t>
  </si>
  <si>
    <t>伽</t>
  </si>
  <si>
    <t>會</t>
    <phoneticPr fontId="3" type="noConversion"/>
  </si>
  <si>
    <t>e?</t>
  </si>
  <si>
    <t>eh</t>
  </si>
  <si>
    <t>閒</t>
  </si>
  <si>
    <t>挨</t>
    <phoneticPr fontId="3" type="noConversion"/>
  </si>
  <si>
    <t>ãi</t>
    <phoneticPr fontId="13" type="noConversion"/>
  </si>
  <si>
    <t>ainn</t>
  </si>
  <si>
    <r>
      <t>ai</t>
    </r>
    <r>
      <rPr>
        <sz val="24"/>
        <rFont val="Noto Sans TC Black"/>
        <family val="2"/>
        <charset val="136"/>
      </rPr>
      <t>ⁿ</t>
    </r>
  </si>
  <si>
    <t>nai</t>
  </si>
  <si>
    <t>姑</t>
  </si>
  <si>
    <t>õu</t>
    <phoneticPr fontId="13" type="noConversion"/>
  </si>
  <si>
    <t>oonn</t>
  </si>
  <si>
    <t>onn</t>
    <phoneticPr fontId="13" type="noConversion"/>
  </si>
  <si>
    <r>
      <t>o</t>
    </r>
    <r>
      <rPr>
        <sz val="24"/>
        <rFont val="Noto Sans TC Black"/>
        <family val="2"/>
        <charset val="136"/>
      </rPr>
      <t>ⁿ</t>
    </r>
  </si>
  <si>
    <t>noo</t>
  </si>
  <si>
    <t>姆</t>
  </si>
  <si>
    <t>光</t>
  </si>
  <si>
    <t>闖</t>
  </si>
  <si>
    <t>uang</t>
  </si>
  <si>
    <t>oang</t>
  </si>
  <si>
    <t>ㄨㄚㆻ</t>
  </si>
  <si>
    <t>uak̚</t>
  </si>
  <si>
    <t>uak</t>
  </si>
  <si>
    <t>oak</t>
  </si>
  <si>
    <t>閂</t>
  </si>
  <si>
    <t>檨</t>
  </si>
  <si>
    <t>uãi</t>
    <phoneticPr fontId="13" type="noConversion"/>
  </si>
  <si>
    <t>uainn</t>
  </si>
  <si>
    <r>
      <t>oai</t>
    </r>
    <r>
      <rPr>
        <sz val="24"/>
        <rFont val="Noto Sans TC Black"/>
        <family val="2"/>
        <charset val="136"/>
      </rPr>
      <t>ⁿ</t>
    </r>
  </si>
  <si>
    <t>nuai</t>
  </si>
  <si>
    <t>uãi?</t>
    <phoneticPr fontId="13" type="noConversion"/>
  </si>
  <si>
    <t>uaihnn</t>
  </si>
  <si>
    <t>uainnh</t>
  </si>
  <si>
    <r>
      <t>oai</t>
    </r>
    <r>
      <rPr>
        <sz val="24"/>
        <rFont val="Noto Sans TC Black"/>
        <family val="2"/>
        <charset val="136"/>
      </rPr>
      <t>ⁿ</t>
    </r>
    <r>
      <rPr>
        <sz val="24"/>
        <rFont val="Times New Roman"/>
        <family val="1"/>
      </rPr>
      <t>h</t>
    </r>
  </si>
  <si>
    <t>nuaih</t>
  </si>
  <si>
    <t>糜</t>
  </si>
  <si>
    <t>ㄨㆥ</t>
  </si>
  <si>
    <t>uẽi</t>
    <phoneticPr fontId="13" type="noConversion"/>
  </si>
  <si>
    <t>uenn</t>
  </si>
  <si>
    <r>
      <t>oe</t>
    </r>
    <r>
      <rPr>
        <sz val="24"/>
        <rFont val="Noto Sans TC Black"/>
        <family val="2"/>
        <charset val="136"/>
      </rPr>
      <t>ⁿ</t>
    </r>
  </si>
  <si>
    <t>nue</t>
  </si>
  <si>
    <t>uẽi?</t>
    <phoneticPr fontId="13" type="noConversion"/>
  </si>
  <si>
    <t>嘄</t>
  </si>
  <si>
    <t>鳥</t>
  </si>
  <si>
    <t>iãu</t>
    <phoneticPr fontId="13" type="noConversion"/>
  </si>
  <si>
    <t>iaunn</t>
  </si>
  <si>
    <r>
      <t>iau</t>
    </r>
    <r>
      <rPr>
        <sz val="24"/>
        <rFont val="Noto Sans TC Black"/>
        <family val="2"/>
        <charset val="136"/>
      </rPr>
      <t>ⁿ</t>
    </r>
  </si>
  <si>
    <t>niao</t>
  </si>
  <si>
    <t>ㄧㆯㆷ</t>
  </si>
  <si>
    <t>iãu?</t>
    <phoneticPr fontId="13" type="noConversion"/>
  </si>
  <si>
    <t>iauhnn</t>
  </si>
  <si>
    <t>iaunnh</t>
  </si>
  <si>
    <r>
      <t>iau</t>
    </r>
    <r>
      <rPr>
        <sz val="24"/>
        <rFont val="Noto Sans TC Black"/>
        <family val="2"/>
        <charset val="136"/>
      </rPr>
      <t>ⁿ</t>
    </r>
    <r>
      <rPr>
        <sz val="24"/>
        <rFont val="Times New Roman"/>
        <family val="1"/>
      </rPr>
      <t>h</t>
    </r>
  </si>
  <si>
    <t>niaoh</t>
  </si>
  <si>
    <t>箴</t>
  </si>
  <si>
    <t>om</t>
  </si>
  <si>
    <t>op</t>
  </si>
  <si>
    <t>爻</t>
  </si>
  <si>
    <t>ㆯ</t>
  </si>
  <si>
    <t>ãu</t>
    <phoneticPr fontId="13" type="noConversion"/>
  </si>
  <si>
    <t>aunn</t>
  </si>
  <si>
    <r>
      <t>au</t>
    </r>
    <r>
      <rPr>
        <sz val="24"/>
        <rFont val="Noto Sans TC Black"/>
        <family val="2"/>
        <charset val="136"/>
      </rPr>
      <t>ⁿ</t>
    </r>
  </si>
  <si>
    <t>nao</t>
  </si>
  <si>
    <t>扛</t>
  </si>
  <si>
    <t>呼</t>
    <phoneticPr fontId="3" type="noConversion"/>
  </si>
  <si>
    <t>onn</t>
  </si>
  <si>
    <t>onnh</t>
  </si>
  <si>
    <t>牛</t>
  </si>
  <si>
    <t>香</t>
    <phoneticPr fontId="3" type="noConversion"/>
  </si>
  <si>
    <t>ĩu</t>
    <phoneticPr fontId="13" type="noConversion"/>
  </si>
  <si>
    <t>iunn</t>
  </si>
  <si>
    <r>
      <t>iu</t>
    </r>
    <r>
      <rPr>
        <sz val="24"/>
        <rFont val="Noto Sans TC Black"/>
        <family val="2"/>
        <charset val="136"/>
      </rPr>
      <t>ⁿ</t>
    </r>
  </si>
  <si>
    <t>niu</t>
  </si>
  <si>
    <t>漢字與拼音</t>
    <phoneticPr fontId="3" type="noConversion"/>
  </si>
  <si>
    <t>四聲八調</t>
    <phoneticPr fontId="55" type="noConversion"/>
  </si>
  <si>
    <t>W調名</t>
    <phoneticPr fontId="3" type="noConversion"/>
  </si>
  <si>
    <t>調值</t>
    <phoneticPr fontId="3" type="noConversion"/>
  </si>
  <si>
    <t>鍵盤按鍵</t>
    <phoneticPr fontId="3" type="noConversion"/>
  </si>
  <si>
    <t>方音符號</t>
    <phoneticPr fontId="57" type="noConversion"/>
  </si>
  <si>
    <t>台羅調號</t>
    <phoneticPr fontId="55" type="noConversion"/>
  </si>
  <si>
    <t>閩拼方案</t>
    <phoneticPr fontId="57" type="noConversion"/>
  </si>
  <si>
    <t>東</t>
    <phoneticPr fontId="3" type="noConversion"/>
  </si>
  <si>
    <t>陰平</t>
  </si>
  <si>
    <t>高音調</t>
    <phoneticPr fontId="3" type="noConversion"/>
  </si>
  <si>
    <t>;</t>
    <phoneticPr fontId="3" type="noConversion"/>
  </si>
  <si>
    <t/>
  </si>
  <si>
    <t>動</t>
    <phoneticPr fontId="3" type="noConversion"/>
  </si>
  <si>
    <t>陽去</t>
  </si>
  <si>
    <t>中音調</t>
    <phoneticPr fontId="3" type="noConversion"/>
  </si>
  <si>
    <t>-</t>
    <phoneticPr fontId="3" type="noConversion"/>
  </si>
  <si>
    <t>˫</t>
  </si>
  <si>
    <t>棟</t>
    <phoneticPr fontId="3" type="noConversion"/>
  </si>
  <si>
    <t>陰去</t>
  </si>
  <si>
    <t>低音調</t>
    <phoneticPr fontId="3" type="noConversion"/>
  </si>
  <si>
    <t>_</t>
    <phoneticPr fontId="3" type="noConversion"/>
  </si>
  <si>
    <t>˪</t>
  </si>
  <si>
    <t>董</t>
    <phoneticPr fontId="3" type="noConversion"/>
  </si>
  <si>
    <t>上声/陰上</t>
    <phoneticPr fontId="3" type="noConversion"/>
  </si>
  <si>
    <t>高降調</t>
    <phoneticPr fontId="3" type="noConversion"/>
  </si>
  <si>
    <t>\</t>
    <phoneticPr fontId="3" type="noConversion"/>
  </si>
  <si>
    <t>ˋ</t>
  </si>
  <si>
    <t>同</t>
    <phoneticPr fontId="3" type="noConversion"/>
  </si>
  <si>
    <t>陽平</t>
  </si>
  <si>
    <t>低升調</t>
    <phoneticPr fontId="3" type="noConversion"/>
  </si>
  <si>
    <t>/</t>
    <phoneticPr fontId="3" type="noConversion"/>
  </si>
  <si>
    <t>ˊ</t>
  </si>
  <si>
    <t>督</t>
    <phoneticPr fontId="3" type="noConversion"/>
  </si>
  <si>
    <t>tok4</t>
    <phoneticPr fontId="3" type="noConversion"/>
  </si>
  <si>
    <t>陰入</t>
  </si>
  <si>
    <t>低促調</t>
    <phoneticPr fontId="3" type="noConversion"/>
  </si>
  <si>
    <t>[</t>
    <phoneticPr fontId="3" type="noConversion"/>
  </si>
  <si>
    <t>獨</t>
    <phoneticPr fontId="3" type="noConversion"/>
  </si>
  <si>
    <t>tok8</t>
    <phoneticPr fontId="3" type="noConversion"/>
  </si>
  <si>
    <t>陽入</t>
  </si>
  <si>
    <t>高促調</t>
    <phoneticPr fontId="3" type="noConversion"/>
  </si>
  <si>
    <t>]</t>
    <phoneticPr fontId="3" type="noConversion"/>
  </si>
  <si>
    <t>˙</t>
  </si>
  <si>
    <t>陽上</t>
  </si>
  <si>
    <t>聲母與韻母表</t>
    <phoneticPr fontId="74" type="noConversion"/>
  </si>
  <si>
    <t>國際音標</t>
    <phoneticPr fontId="74" type="noConversion"/>
  </si>
  <si>
    <t>台語音標</t>
    <phoneticPr fontId="74" type="noConversion"/>
  </si>
  <si>
    <t>濁音</t>
  </si>
  <si>
    <t>鼻音</t>
  </si>
  <si>
    <t>擦音</t>
  </si>
  <si>
    <t>邊音</t>
  </si>
  <si>
    <t>ㄅ</t>
  </si>
  <si>
    <t>b</t>
    <phoneticPr fontId="74" type="noConversion"/>
  </si>
  <si>
    <t>1</t>
  </si>
  <si>
    <t>唇音</t>
  </si>
  <si>
    <t>ㄅ /p/</t>
  </si>
  <si>
    <t>ㄆ /pʰ/</t>
  </si>
  <si>
    <t>ㆠ /b/</t>
  </si>
  <si>
    <t>ㄇ /m/</t>
  </si>
  <si>
    <t>pʰ</t>
    <phoneticPr fontId="74" type="noConversion"/>
  </si>
  <si>
    <t>ㄆ</t>
  </si>
  <si>
    <t>q</t>
  </si>
  <si>
    <t>-</t>
  </si>
  <si>
    <t>舌尖音</t>
  </si>
  <si>
    <t>ㄉ /t/</t>
  </si>
  <si>
    <t>ㄊ /tʰ/</t>
  </si>
  <si>
    <t>ㄋ /n/</t>
  </si>
  <si>
    <t>ㄌ /l/</t>
  </si>
  <si>
    <t>ㆠ</t>
  </si>
  <si>
    <t>B</t>
    <phoneticPr fontId="74" type="noConversion"/>
  </si>
  <si>
    <t xml:space="preserve"> </t>
  </si>
  <si>
    <t>舌齒音</t>
  </si>
  <si>
    <t>ㄗ /ʦ/</t>
  </si>
  <si>
    <t>ㄘ /ʦʰ/</t>
  </si>
  <si>
    <t>ㆡ /ʣ/</t>
  </si>
  <si>
    <t>ㄙ /s/</t>
  </si>
  <si>
    <t>m</t>
    <phoneticPr fontId="74" type="noConversion"/>
  </si>
  <si>
    <t>ㄇ</t>
  </si>
  <si>
    <t>齦顎音</t>
  </si>
  <si>
    <t>ㄐ /ʨ/</t>
  </si>
  <si>
    <t>ㄑ /ʨʰ/</t>
  </si>
  <si>
    <t>ㆢ /ʥ/</t>
  </si>
  <si>
    <t>ㄒ /ɕ/</t>
  </si>
  <si>
    <t>ㄉ</t>
  </si>
  <si>
    <t>2</t>
  </si>
  <si>
    <t>(</t>
  </si>
  <si>
    <t>舌根音</t>
  </si>
  <si>
    <t>ㄍ /k/</t>
  </si>
  <si>
    <t>ㄎ /kʰ/</t>
  </si>
  <si>
    <t>ㆣ /g/</t>
  </si>
  <si>
    <t>ㄫ /ŋ/</t>
  </si>
  <si>
    <t>ㄊ</t>
  </si>
  <si>
    <t>w</t>
  </si>
  <si>
    <t>*</t>
  </si>
  <si>
    <t>喉音</t>
  </si>
  <si>
    <t>ㄏ /h/</t>
  </si>
  <si>
    <t>n</t>
    <phoneticPr fontId="74" type="noConversion"/>
  </si>
  <si>
    <t>ㄋ</t>
  </si>
  <si>
    <t>,</t>
  </si>
  <si>
    <t>ㄌ</t>
  </si>
  <si>
    <t>x</t>
  </si>
  <si>
    <t>ㄍ</t>
  </si>
  <si>
    <t>g</t>
    <phoneticPr fontId="74" type="noConversion"/>
  </si>
  <si>
    <t>;</t>
  </si>
  <si>
    <t>kʰ</t>
    <phoneticPr fontId="74" type="noConversion"/>
  </si>
  <si>
    <t>ㄎ</t>
  </si>
  <si>
    <t>ㆣ</t>
  </si>
  <si>
    <t>E</t>
  </si>
  <si>
    <t>h</t>
    <phoneticPr fontId="74" type="noConversion"/>
  </si>
  <si>
    <t>ㄏ</t>
  </si>
  <si>
    <t>ng</t>
    <phoneticPr fontId="74" type="noConversion"/>
  </si>
  <si>
    <t>ㄫ</t>
    <phoneticPr fontId="74" type="noConversion"/>
  </si>
  <si>
    <t>ㄗ</t>
  </si>
  <si>
    <t>y</t>
  </si>
  <si>
    <t>&lt;</t>
  </si>
  <si>
    <t>ㄘ</t>
  </si>
  <si>
    <t>0</t>
  </si>
  <si>
    <t>ㆡ</t>
    <phoneticPr fontId="74" type="noConversion"/>
  </si>
  <si>
    <t>Y</t>
    <phoneticPr fontId="74" type="noConversion"/>
  </si>
  <si>
    <t>s</t>
    <phoneticPr fontId="74" type="noConversion"/>
  </si>
  <si>
    <t>ㄙ</t>
  </si>
  <si>
    <t>zi</t>
    <phoneticPr fontId="74" type="noConversion"/>
  </si>
  <si>
    <t>ji</t>
    <phoneticPr fontId="74" type="noConversion"/>
  </si>
  <si>
    <t>ㄐ</t>
  </si>
  <si>
    <t>j</t>
    <phoneticPr fontId="74" type="noConversion"/>
  </si>
  <si>
    <t>3</t>
  </si>
  <si>
    <t>ci</t>
    <phoneticPr fontId="74" type="noConversion"/>
  </si>
  <si>
    <t>ㄑ</t>
  </si>
  <si>
    <t>4</t>
  </si>
  <si>
    <t>ㆢ</t>
  </si>
  <si>
    <t>5</t>
  </si>
  <si>
    <t>si</t>
    <phoneticPr fontId="74" type="noConversion"/>
  </si>
  <si>
    <t>ㄒ</t>
  </si>
  <si>
    <t>6</t>
  </si>
  <si>
    <t>i</t>
    <phoneticPr fontId="74" type="noConversion"/>
  </si>
  <si>
    <t>7</t>
  </si>
  <si>
    <t>ĩ</t>
    <phoneticPr fontId="74" type="noConversion"/>
  </si>
  <si>
    <t>I</t>
  </si>
  <si>
    <t>U</t>
  </si>
  <si>
    <t>u</t>
    <phoneticPr fontId="74" type="noConversion"/>
  </si>
  <si>
    <t>9</t>
  </si>
  <si>
    <t>ㆫ</t>
  </si>
  <si>
    <t>J</t>
  </si>
  <si>
    <t>a</t>
    <phoneticPr fontId="74" type="noConversion"/>
  </si>
  <si>
    <t>ã</t>
    <phoneticPr fontId="74" type="noConversion"/>
  </si>
  <si>
    <t>A</t>
  </si>
  <si>
    <t>O</t>
  </si>
  <si>
    <t>Q</t>
  </si>
  <si>
    <t>e</t>
    <phoneticPr fontId="74" type="noConversion"/>
  </si>
  <si>
    <t>X</t>
  </si>
  <si>
    <t>Y</t>
  </si>
  <si>
    <t>an</t>
    <phoneticPr fontId="74" type="noConversion"/>
  </si>
  <si>
    <t>@</t>
  </si>
  <si>
    <t>enn</t>
    <phoneticPr fontId="74" type="noConversion"/>
  </si>
  <si>
    <t>ㄣ</t>
    <phoneticPr fontId="74" type="noConversion"/>
  </si>
  <si>
    <t>N</t>
    <phoneticPr fontId="74" type="noConversion"/>
  </si>
  <si>
    <t>am</t>
    <phoneticPr fontId="74" type="noConversion"/>
  </si>
  <si>
    <t>om</t>
    <phoneticPr fontId="74" type="noConversion"/>
  </si>
  <si>
    <t>H</t>
    <phoneticPr fontId="74" type="noConversion"/>
  </si>
  <si>
    <t>ing</t>
    <phoneticPr fontId="74" type="noConversion"/>
  </si>
  <si>
    <t>m̩</t>
    <phoneticPr fontId="74" type="noConversion"/>
  </si>
  <si>
    <t>h0</t>
    <phoneticPr fontId="74" type="noConversion"/>
  </si>
  <si>
    <t>ㆷ</t>
    <phoneticPr fontId="74" type="noConversion"/>
  </si>
  <si>
    <t>ɕ</t>
    <phoneticPr fontId="74" type="noConversion"/>
  </si>
  <si>
    <t>韻母</t>
    <phoneticPr fontId="74" type="noConversion"/>
  </si>
  <si>
    <t>入聲（以 ㄚ 為例）</t>
    <phoneticPr fontId="74" type="noConversion"/>
  </si>
  <si>
    <t>注音符號</t>
  </si>
  <si>
    <t>字典編碼</t>
    <phoneticPr fontId="74" type="noConversion"/>
  </si>
  <si>
    <t>拼音字母</t>
    <phoneticPr fontId="74" type="noConversion"/>
  </si>
  <si>
    <t>舒聲注音</t>
    <phoneticPr fontId="74" type="noConversion"/>
  </si>
  <si>
    <t>促聲注音</t>
    <phoneticPr fontId="74" type="noConversion"/>
  </si>
  <si>
    <t>ㄧㆷ</t>
    <phoneticPr fontId="74" type="noConversion"/>
  </si>
  <si>
    <t>ㄚ</t>
    <phoneticPr fontId="74" type="noConversion"/>
  </si>
  <si>
    <t>ph</t>
    <phoneticPr fontId="74" type="noConversion"/>
  </si>
  <si>
    <t>ㄨㆷ</t>
    <phoneticPr fontId="74" type="noConversion"/>
  </si>
  <si>
    <t>ㄚㆷ</t>
    <phoneticPr fontId="74" type="noConversion"/>
  </si>
  <si>
    <t>台羅拼音</t>
  </si>
  <si>
    <t>ㆩ</t>
    <phoneticPr fontId="74" type="noConversion"/>
  </si>
  <si>
    <t>Na</t>
  </si>
  <si>
    <t>輸入碼</t>
    <phoneticPr fontId="74" type="noConversion"/>
  </si>
  <si>
    <t>ㆦ</t>
    <phoneticPr fontId="74" type="noConversion"/>
  </si>
  <si>
    <t>ㆩㆷ</t>
    <phoneticPr fontId="74" type="noConversion"/>
  </si>
  <si>
    <r>
      <t>ã</t>
    </r>
    <r>
      <rPr>
        <sz val="18"/>
        <rFont val="Tahoma"/>
        <family val="2"/>
      </rPr>
      <t>ʔ</t>
    </r>
    <phoneticPr fontId="74" type="noConversion"/>
  </si>
  <si>
    <t>annh</t>
    <phoneticPr fontId="74" type="noConversion"/>
  </si>
  <si>
    <t>按鍵字元</t>
  </si>
  <si>
    <t>aB</t>
    <phoneticPr fontId="74" type="noConversion"/>
  </si>
  <si>
    <t>ㄚㆴ</t>
    <phoneticPr fontId="74" type="noConversion"/>
  </si>
  <si>
    <r>
      <t>ap</t>
    </r>
    <r>
      <rPr>
        <sz val="18"/>
        <rFont val="Tahoma"/>
        <family val="2"/>
      </rPr>
      <t>̚</t>
    </r>
    <phoneticPr fontId="74" type="noConversion"/>
  </si>
  <si>
    <t>aB</t>
  </si>
  <si>
    <t>aD</t>
  </si>
  <si>
    <t>at̚</t>
    <phoneticPr fontId="74" type="noConversion"/>
  </si>
  <si>
    <t>ㄧㄨㆷ</t>
  </si>
  <si>
    <r>
      <t>a</t>
    </r>
    <r>
      <rPr>
        <sz val="18"/>
        <rFont val="Segoe UI"/>
        <family val="2"/>
      </rPr>
      <t>ŋ</t>
    </r>
    <phoneticPr fontId="74" type="noConversion"/>
  </si>
  <si>
    <t>aG</t>
  </si>
  <si>
    <t>D</t>
  </si>
  <si>
    <t>kh</t>
    <phoneticPr fontId="74" type="noConversion"/>
  </si>
  <si>
    <t>ㄚㆻ</t>
    <phoneticPr fontId="74" type="noConversion"/>
  </si>
  <si>
    <t>ak̚</t>
    <phoneticPr fontId="74" type="noConversion"/>
  </si>
  <si>
    <t>ak</t>
    <phoneticPr fontId="74" type="noConversion"/>
  </si>
  <si>
    <t>ㄫ</t>
  </si>
  <si>
    <t>iU</t>
  </si>
  <si>
    <t>y</t>
    <phoneticPr fontId="74" type="noConversion"/>
  </si>
  <si>
    <t>c</t>
    <phoneticPr fontId="74" type="noConversion"/>
  </si>
  <si>
    <t>ㆡ</t>
  </si>
  <si>
    <t>ㄨㆤ</t>
    <phoneticPr fontId="74" type="noConversion"/>
  </si>
  <si>
    <t>ㄨㆤㆷ</t>
    <phoneticPr fontId="74" type="noConversion"/>
  </si>
  <si>
    <t>uI</t>
  </si>
  <si>
    <t>r</t>
  </si>
  <si>
    <t>Ni</t>
  </si>
  <si>
    <t>inn</t>
    <phoneticPr fontId="74" type="noConversion"/>
  </si>
  <si>
    <t>Nu</t>
  </si>
  <si>
    <t>ann</t>
    <phoneticPr fontId="74" type="noConversion"/>
  </si>
  <si>
    <t>No</t>
  </si>
  <si>
    <t>onn</t>
    <phoneticPr fontId="74" type="noConversion"/>
  </si>
  <si>
    <t>Ne</t>
  </si>
  <si>
    <t>ㄜ</t>
    <phoneticPr fontId="74" type="noConversion"/>
  </si>
  <si>
    <t>NI</t>
  </si>
  <si>
    <t>NU</t>
  </si>
  <si>
    <t>Niu</t>
  </si>
  <si>
    <t>Nia</t>
  </si>
  <si>
    <t>Nio</t>
  </si>
  <si>
    <t>NiU</t>
  </si>
  <si>
    <t>iaunn</t>
    <phoneticPr fontId="74" type="noConversion"/>
  </si>
  <si>
    <t>unn</t>
    <phoneticPr fontId="74" type="noConversion"/>
  </si>
  <si>
    <t>Nui</t>
  </si>
  <si>
    <t>ai</t>
    <phoneticPr fontId="74" type="noConversion"/>
  </si>
  <si>
    <t>Nua</t>
  </si>
  <si>
    <t>ainn</t>
    <phoneticPr fontId="74" type="noConversion"/>
  </si>
  <si>
    <t>Nue</t>
  </si>
  <si>
    <t>L</t>
  </si>
  <si>
    <t>au</t>
    <phoneticPr fontId="74" type="noConversion"/>
  </si>
  <si>
    <t>NuI</t>
  </si>
  <si>
    <t>uainn</t>
    <phoneticPr fontId="74" type="noConversion"/>
  </si>
  <si>
    <t>aunn</t>
    <phoneticPr fontId="74" type="noConversion"/>
  </si>
  <si>
    <t>ㆬ</t>
    <phoneticPr fontId="74" type="noConversion"/>
  </si>
  <si>
    <t>ㄧㆬ</t>
    <phoneticPr fontId="74" type="noConversion"/>
  </si>
  <si>
    <t>iB</t>
  </si>
  <si>
    <t>ㄣ</t>
  </si>
  <si>
    <t>in</t>
    <phoneticPr fontId="74" type="noConversion"/>
  </si>
  <si>
    <t>ㆰ</t>
    <phoneticPr fontId="74" type="noConversion"/>
  </si>
  <si>
    <t>:</t>
  </si>
  <si>
    <t>ang</t>
    <phoneticPr fontId="74" type="noConversion"/>
  </si>
  <si>
    <t>oB</t>
  </si>
  <si>
    <t>/</t>
  </si>
  <si>
    <t>OG</t>
    <phoneticPr fontId="74" type="noConversion"/>
  </si>
  <si>
    <t>ong</t>
    <phoneticPr fontId="74" type="noConversion"/>
  </si>
  <si>
    <t>ㄧㆰ</t>
    <phoneticPr fontId="74" type="noConversion"/>
  </si>
  <si>
    <t>iaB</t>
  </si>
  <si>
    <t>ㄥ</t>
  </si>
  <si>
    <t>ㄣ韻尾</t>
    <phoneticPr fontId="74" type="noConversion"/>
  </si>
  <si>
    <t>iD</t>
  </si>
  <si>
    <t>uD</t>
  </si>
  <si>
    <t>iaD</t>
  </si>
  <si>
    <t>uaD</t>
  </si>
  <si>
    <t>ㆭ韻尾</t>
    <phoneticPr fontId="74" type="noConversion"/>
  </si>
  <si>
    <t>oG</t>
  </si>
  <si>
    <t>iaG</t>
  </si>
  <si>
    <t>ioG</t>
  </si>
  <si>
    <t>uaG</t>
  </si>
  <si>
    <t>韻化聲母</t>
    <phoneticPr fontId="74" type="noConversion"/>
  </si>
  <si>
    <t>B</t>
  </si>
  <si>
    <t>ㆭ</t>
    <phoneticPr fontId="74" type="noConversion"/>
  </si>
  <si>
    <t>G</t>
  </si>
  <si>
    <t>IPA</t>
    <phoneticPr fontId="3" type="noConversion"/>
  </si>
  <si>
    <t>布</t>
    <phoneticPr fontId="3" type="noConversion"/>
  </si>
  <si>
    <t>拍</t>
    <phoneticPr fontId="3" type="noConversion"/>
  </si>
  <si>
    <t>明</t>
  </si>
  <si>
    <t>明</t>
    <phoneticPr fontId="3" type="noConversion"/>
  </si>
  <si>
    <t>媽</t>
    <phoneticPr fontId="3" type="noConversion"/>
  </si>
  <si>
    <t>端</t>
  </si>
  <si>
    <t>端</t>
    <phoneticPr fontId="3" type="noConversion"/>
  </si>
  <si>
    <t>透</t>
  </si>
  <si>
    <t>透</t>
    <phoneticPr fontId="3" type="noConversion"/>
  </si>
  <si>
    <t>泥</t>
  </si>
  <si>
    <t>泥</t>
    <phoneticPr fontId="3" type="noConversion"/>
  </si>
  <si>
    <t>來</t>
  </si>
  <si>
    <t>來</t>
    <phoneticPr fontId="3" type="noConversion"/>
  </si>
  <si>
    <t>干</t>
    <phoneticPr fontId="3" type="noConversion"/>
  </si>
  <si>
    <t>快</t>
    <phoneticPr fontId="3" type="noConversion"/>
  </si>
  <si>
    <t>義</t>
    <phoneticPr fontId="3" type="noConversion"/>
  </si>
  <si>
    <t>吳</t>
    <phoneticPr fontId="3" type="noConversion"/>
  </si>
  <si>
    <t>走</t>
    <phoneticPr fontId="3" type="noConversion"/>
  </si>
  <si>
    <t>菜</t>
    <phoneticPr fontId="3" type="noConversion"/>
  </si>
  <si>
    <t>熱</t>
  </si>
  <si>
    <t>熱</t>
    <phoneticPr fontId="3" type="noConversion"/>
  </si>
  <si>
    <t>三</t>
    <phoneticPr fontId="3" type="noConversion"/>
  </si>
  <si>
    <t>chi</t>
  </si>
  <si>
    <t>chhi</t>
  </si>
  <si>
    <t>tsi</t>
  </si>
  <si>
    <t>tshi</t>
  </si>
  <si>
    <t>ji</t>
  </si>
  <si>
    <t>si</t>
  </si>
  <si>
    <t>精</t>
  </si>
  <si>
    <t>精</t>
    <phoneticPr fontId="3" type="noConversion"/>
  </si>
  <si>
    <t>七</t>
    <phoneticPr fontId="3" type="noConversion"/>
  </si>
  <si>
    <t>日</t>
  </si>
  <si>
    <t>日</t>
    <phoneticPr fontId="3" type="noConversion"/>
  </si>
  <si>
    <t>心</t>
  </si>
  <si>
    <t>心</t>
    <phoneticPr fontId="3" type="noConversion"/>
  </si>
  <si>
    <t>曉</t>
  </si>
  <si>
    <t>曉</t>
    <phoneticPr fontId="3" type="noConversion"/>
  </si>
  <si>
    <t>ʔ</t>
  </si>
  <si>
    <t>ʔ</t>
    <phoneticPr fontId="3" type="noConversion"/>
  </si>
  <si>
    <t>影</t>
  </si>
  <si>
    <t>影</t>
    <phoneticPr fontId="3" type="noConversion"/>
  </si>
  <si>
    <t>aⁿ</t>
  </si>
  <si>
    <t>ou</t>
  </si>
  <si>
    <t>õu</t>
  </si>
  <si>
    <t>oⁿ</t>
  </si>
  <si>
    <t>ɛ̃</t>
  </si>
  <si>
    <t>eⁿ</t>
  </si>
  <si>
    <t>iⁿ</t>
  </si>
  <si>
    <t>aiⁿ</t>
  </si>
  <si>
    <t>ãu</t>
  </si>
  <si>
    <t>auⁿ</t>
  </si>
  <si>
    <t>ian</t>
    <phoneticPr fontId="3" type="noConversion"/>
  </si>
  <si>
    <t>iat</t>
    <phoneticPr fontId="3" type="noConversion"/>
  </si>
  <si>
    <t>ㄧㄢ</t>
    <phoneticPr fontId="3" type="noConversion"/>
  </si>
  <si>
    <t>ㄧㄚㆵ</t>
    <phoneticPr fontId="3" type="noConversion"/>
  </si>
  <si>
    <t>ɔp</t>
  </si>
  <si>
    <t>ɔk</t>
  </si>
  <si>
    <t>u</t>
    <phoneticPr fontId="3" type="noConversion"/>
  </si>
  <si>
    <t>ㄧ</t>
    <phoneticPr fontId="74" type="noConversion"/>
  </si>
  <si>
    <t>ㄧㄚ</t>
    <phoneticPr fontId="74" type="noConversion"/>
  </si>
  <si>
    <t>ㄧㄨ</t>
    <phoneticPr fontId="74" type="noConversion"/>
  </si>
  <si>
    <t>ia</t>
    <phoneticPr fontId="74" type="noConversion"/>
  </si>
  <si>
    <t>iu</t>
    <phoneticPr fontId="74" type="noConversion"/>
  </si>
  <si>
    <t>ㄧㄥ</t>
    <phoneticPr fontId="74" type="noConversion"/>
  </si>
  <si>
    <t>ik</t>
    <phoneticPr fontId="74" type="noConversion"/>
  </si>
  <si>
    <t>iəŋ</t>
  </si>
  <si>
    <t>iək</t>
  </si>
  <si>
    <t>io</t>
    <phoneticPr fontId="74" type="noConversion"/>
  </si>
  <si>
    <t>iong</t>
    <phoneticPr fontId="74" type="noConversion"/>
  </si>
  <si>
    <t>iɔŋ</t>
  </si>
  <si>
    <t>ㄧㆲ</t>
    <phoneticPr fontId="74" type="noConversion"/>
  </si>
  <si>
    <t>ㄧㄜ</t>
    <phoneticPr fontId="74" type="noConversion"/>
  </si>
  <si>
    <t>ua</t>
    <phoneticPr fontId="74" type="noConversion"/>
  </si>
  <si>
    <t>ue</t>
    <phoneticPr fontId="74" type="noConversion"/>
  </si>
  <si>
    <t>ㄨㄚ</t>
    <phoneticPr fontId="74" type="noConversion"/>
  </si>
  <si>
    <t>ㄨㄧ</t>
    <phoneticPr fontId="74" type="noConversion"/>
  </si>
  <si>
    <t>ui</t>
    <phoneticPr fontId="74" type="noConversion"/>
  </si>
  <si>
    <t>ㄧㄠ</t>
    <phoneticPr fontId="74" type="noConversion"/>
  </si>
  <si>
    <t>ㄨㄞ</t>
    <phoneticPr fontId="74" type="noConversion"/>
  </si>
  <si>
    <t>iau</t>
    <phoneticPr fontId="74" type="noConversion"/>
  </si>
  <si>
    <t>uai</t>
    <phoneticPr fontId="74" type="noConversion"/>
  </si>
  <si>
    <t>ㄧㆩ</t>
    <phoneticPr fontId="74" type="noConversion"/>
  </si>
  <si>
    <t>ㄧㆫ</t>
    <phoneticPr fontId="74" type="noConversion"/>
  </si>
  <si>
    <t>iaⁿ</t>
  </si>
  <si>
    <t>iann</t>
    <phoneticPr fontId="74" type="noConversion"/>
  </si>
  <si>
    <t>uiⁿ</t>
  </si>
  <si>
    <t>uann</t>
    <phoneticPr fontId="74" type="noConversion"/>
  </si>
  <si>
    <t>uinn</t>
    <phoneticPr fontId="74" type="noConversion"/>
  </si>
  <si>
    <t>ㄨㆩ</t>
    <phoneticPr fontId="74" type="noConversion"/>
  </si>
  <si>
    <t>ㄨㆪ</t>
    <phoneticPr fontId="74" type="noConversion"/>
  </si>
  <si>
    <t>ㄧㆯ</t>
    <phoneticPr fontId="74" type="noConversion"/>
  </si>
  <si>
    <t>ㄨㆮ</t>
    <phoneticPr fontId="74" type="noConversion"/>
  </si>
  <si>
    <t>uãi</t>
    <phoneticPr fontId="74" type="noConversion"/>
  </si>
  <si>
    <t>t͡s</t>
    <phoneticPr fontId="3" type="noConversion"/>
  </si>
  <si>
    <t>iə</t>
    <phoneticPr fontId="74" type="noConversion"/>
  </si>
  <si>
    <r>
      <rPr>
        <sz val="24"/>
        <color rgb="FF000000"/>
        <rFont val="Iansui 094"/>
        <family val="3"/>
        <charset val="136"/>
      </rPr>
      <t>ŋ</t>
    </r>
    <phoneticPr fontId="74" type="noConversion"/>
  </si>
  <si>
    <t>見</t>
  </si>
  <si>
    <t>op</t>
    <phoneticPr fontId="74" type="noConversion"/>
  </si>
  <si>
    <t>ok</t>
    <phoneticPr fontId="74" type="noConversion"/>
  </si>
  <si>
    <t>iauⁿ</t>
  </si>
  <si>
    <t>ㆫ</t>
    <phoneticPr fontId="74" type="noConversion"/>
  </si>
  <si>
    <t>iũ</t>
    <phoneticPr fontId="74" type="noConversion"/>
  </si>
  <si>
    <t>iuⁿ</t>
  </si>
  <si>
    <t>iunn</t>
    <phoneticPr fontId="74" type="noConversion"/>
  </si>
  <si>
    <t>台語注音二式</t>
    <phoneticPr fontId="74" type="noConversion"/>
  </si>
  <si>
    <t>ci</t>
  </si>
  <si>
    <t>jji</t>
  </si>
  <si>
    <t>白話字</t>
    <phoneticPr fontId="3" type="noConversion"/>
  </si>
  <si>
    <t>台羅拼音</t>
    <phoneticPr fontId="3" type="noConversion"/>
  </si>
  <si>
    <t>a</t>
    <phoneticPr fontId="3" type="noConversion"/>
  </si>
  <si>
    <t>Na</t>
    <phoneticPr fontId="3" type="noConversion"/>
  </si>
  <si>
    <t>ah</t>
    <phoneticPr fontId="3" type="noConversion"/>
  </si>
  <si>
    <t>Nah</t>
    <phoneticPr fontId="3" type="noConversion"/>
  </si>
  <si>
    <t>am</t>
    <phoneticPr fontId="3" type="noConversion"/>
  </si>
  <si>
    <t>an</t>
    <phoneticPr fontId="3" type="noConversion"/>
  </si>
  <si>
    <t>ang</t>
    <phoneticPr fontId="3" type="noConversion"/>
  </si>
  <si>
    <t>ap</t>
    <phoneticPr fontId="3" type="noConversion"/>
  </si>
  <si>
    <t>at</t>
    <phoneticPr fontId="3" type="noConversion"/>
  </si>
  <si>
    <t>ai</t>
    <phoneticPr fontId="3" type="noConversion"/>
  </si>
  <si>
    <t>Nai</t>
    <phoneticPr fontId="3" type="noConversion"/>
  </si>
  <si>
    <t>aih</t>
  </si>
  <si>
    <t>aih</t>
    <phoneticPr fontId="3" type="noConversion"/>
  </si>
  <si>
    <t>au</t>
    <phoneticPr fontId="3" type="noConversion"/>
  </si>
  <si>
    <t>auh</t>
    <phoneticPr fontId="3" type="noConversion"/>
  </si>
  <si>
    <t>e</t>
    <phoneticPr fontId="3" type="noConversion"/>
  </si>
  <si>
    <t>Ne</t>
    <phoneticPr fontId="3" type="noConversion"/>
  </si>
  <si>
    <t>eh</t>
    <phoneticPr fontId="3" type="noConversion"/>
  </si>
  <si>
    <t>Neh</t>
    <phoneticPr fontId="3" type="noConversion"/>
  </si>
  <si>
    <t>i</t>
    <phoneticPr fontId="3" type="noConversion"/>
  </si>
  <si>
    <t>Ni</t>
    <phoneticPr fontId="3" type="noConversion"/>
  </si>
  <si>
    <t>ih</t>
    <phoneticPr fontId="3" type="noConversion"/>
  </si>
  <si>
    <t>im</t>
    <phoneticPr fontId="3" type="noConversion"/>
  </si>
  <si>
    <t>in</t>
    <phoneticPr fontId="3" type="noConversion"/>
  </si>
  <si>
    <t>ing</t>
    <phoneticPr fontId="3" type="noConversion"/>
  </si>
  <si>
    <t>ip</t>
    <phoneticPr fontId="3" type="noConversion"/>
  </si>
  <si>
    <t>it</t>
    <phoneticPr fontId="3" type="noConversion"/>
  </si>
  <si>
    <t>ik</t>
    <phoneticPr fontId="3" type="noConversion"/>
  </si>
  <si>
    <t>ia</t>
    <phoneticPr fontId="3" type="noConversion"/>
  </si>
  <si>
    <t>Nia</t>
    <phoneticPr fontId="3" type="noConversion"/>
  </si>
  <si>
    <t>iah</t>
    <phoneticPr fontId="3" type="noConversion"/>
  </si>
  <si>
    <t>Niah</t>
    <phoneticPr fontId="3" type="noConversion"/>
  </si>
  <si>
    <t>iam</t>
    <phoneticPr fontId="3" type="noConversion"/>
  </si>
  <si>
    <t>iang</t>
    <phoneticPr fontId="3" type="noConversion"/>
  </si>
  <si>
    <t>iap</t>
    <phoneticPr fontId="3" type="noConversion"/>
  </si>
  <si>
    <t>iak</t>
    <phoneticPr fontId="3" type="noConversion"/>
  </si>
  <si>
    <t>iau</t>
    <phoneticPr fontId="3" type="noConversion"/>
  </si>
  <si>
    <t>Niau</t>
    <phoneticPr fontId="3" type="noConversion"/>
  </si>
  <si>
    <t>iauh</t>
    <phoneticPr fontId="3" type="noConversion"/>
  </si>
  <si>
    <t>io</t>
    <phoneticPr fontId="3" type="noConversion"/>
  </si>
  <si>
    <t>ioo</t>
    <phoneticPr fontId="3" type="noConversion"/>
  </si>
  <si>
    <t>ioh</t>
    <phoneticPr fontId="3" type="noConversion"/>
  </si>
  <si>
    <t>iong</t>
    <phoneticPr fontId="3" type="noConversion"/>
  </si>
  <si>
    <t>iok</t>
    <phoneticPr fontId="3" type="noConversion"/>
  </si>
  <si>
    <t>iu</t>
    <phoneticPr fontId="3" type="noConversion"/>
  </si>
  <si>
    <t>Niu</t>
    <phoneticPr fontId="3" type="noConversion"/>
  </si>
  <si>
    <t>iuh</t>
  </si>
  <si>
    <t>iuh</t>
    <phoneticPr fontId="3" type="noConversion"/>
  </si>
  <si>
    <t>oo</t>
    <phoneticPr fontId="3" type="noConversion"/>
  </si>
  <si>
    <t>or</t>
    <phoneticPr fontId="3" type="noConversion"/>
  </si>
  <si>
    <t>Noo</t>
    <phoneticPr fontId="3" type="noConversion"/>
  </si>
  <si>
    <t>oh</t>
    <phoneticPr fontId="3" type="noConversion"/>
  </si>
  <si>
    <t>ooh</t>
  </si>
  <si>
    <t>ooh</t>
    <phoneticPr fontId="3" type="noConversion"/>
  </si>
  <si>
    <t>o?</t>
  </si>
  <si>
    <t>o?</t>
    <phoneticPr fontId="3" type="noConversion"/>
  </si>
  <si>
    <t>om</t>
    <phoneticPr fontId="3" type="noConversion"/>
  </si>
  <si>
    <t>ong</t>
    <phoneticPr fontId="3" type="noConversion"/>
  </si>
  <si>
    <t>op</t>
    <phoneticPr fontId="3" type="noConversion"/>
  </si>
  <si>
    <t>ok</t>
    <phoneticPr fontId="3" type="noConversion"/>
  </si>
  <si>
    <t>uh</t>
    <phoneticPr fontId="3" type="noConversion"/>
  </si>
  <si>
    <t>un</t>
    <phoneticPr fontId="3" type="noConversion"/>
  </si>
  <si>
    <t>ut</t>
    <phoneticPr fontId="3" type="noConversion"/>
  </si>
  <si>
    <t>ua</t>
    <phoneticPr fontId="3" type="noConversion"/>
  </si>
  <si>
    <t>Nua</t>
    <phoneticPr fontId="3" type="noConversion"/>
  </si>
  <si>
    <t>uah</t>
    <phoneticPr fontId="3" type="noConversion"/>
  </si>
  <si>
    <t>uan</t>
    <phoneticPr fontId="3" type="noConversion"/>
  </si>
  <si>
    <t>uang</t>
    <phoneticPr fontId="3" type="noConversion"/>
  </si>
  <si>
    <t>uat</t>
    <phoneticPr fontId="3" type="noConversion"/>
  </si>
  <si>
    <t>uai</t>
    <phoneticPr fontId="3" type="noConversion"/>
  </si>
  <si>
    <t>Nuai</t>
    <phoneticPr fontId="3" type="noConversion"/>
  </si>
  <si>
    <t>uaih</t>
    <phoneticPr fontId="3" type="noConversion"/>
  </si>
  <si>
    <t>Nuaih</t>
    <phoneticPr fontId="3" type="noConversion"/>
  </si>
  <si>
    <t>ue</t>
    <phoneticPr fontId="3" type="noConversion"/>
  </si>
  <si>
    <t>ueh</t>
    <phoneticPr fontId="3" type="noConversion"/>
  </si>
  <si>
    <t>ui</t>
    <phoneticPr fontId="3" type="noConversion"/>
  </si>
  <si>
    <t>Nui</t>
    <phoneticPr fontId="3" type="noConversion"/>
  </si>
  <si>
    <t>uih</t>
  </si>
  <si>
    <t>uih</t>
    <phoneticPr fontId="3" type="noConversion"/>
  </si>
  <si>
    <t>mh</t>
  </si>
  <si>
    <t>mh</t>
    <phoneticPr fontId="3" type="noConversion"/>
  </si>
  <si>
    <t>ngh</t>
  </si>
  <si>
    <t>ngh</t>
    <phoneticPr fontId="3" type="noConversion"/>
  </si>
  <si>
    <t>bb</t>
    <phoneticPr fontId="3" type="noConversion"/>
  </si>
  <si>
    <t>ln</t>
    <phoneticPr fontId="3" type="noConversion"/>
  </si>
  <si>
    <t>j</t>
    <phoneticPr fontId="3" type="noConversion"/>
  </si>
  <si>
    <t>gg</t>
    <phoneticPr fontId="3" type="noConversion"/>
  </si>
  <si>
    <t>iek</t>
    <phoneticPr fontId="3" type="noConversion"/>
  </si>
  <si>
    <t>ɛ</t>
  </si>
  <si>
    <t>orh</t>
    <phoneticPr fontId="3" type="noConversion"/>
  </si>
  <si>
    <t>ak</t>
    <phoneticPr fontId="3" type="noConversion"/>
  </si>
  <si>
    <t>ann</t>
    <phoneticPr fontId="3" type="noConversion"/>
  </si>
  <si>
    <t>annh</t>
    <phoneticPr fontId="3" type="noConversion"/>
  </si>
  <si>
    <t>enn</t>
    <phoneticPr fontId="3" type="noConversion"/>
  </si>
  <si>
    <t>ennh</t>
    <phoneticPr fontId="3" type="noConversion"/>
  </si>
  <si>
    <t>uinn</t>
    <phoneticPr fontId="3" type="noConversion"/>
  </si>
  <si>
    <t>ior</t>
    <phoneticPr fontId="3" type="noConversion"/>
  </si>
  <si>
    <t>iorh</t>
    <phoneticPr fontId="3" type="noConversion"/>
  </si>
  <si>
    <t>著</t>
    <phoneticPr fontId="3" type="noConversion"/>
  </si>
  <si>
    <t>inn</t>
    <phoneticPr fontId="3" type="noConversion"/>
  </si>
  <si>
    <t>innh</t>
    <phoneticPr fontId="3" type="noConversion"/>
  </si>
  <si>
    <t>ionn</t>
    <phoneticPr fontId="3" type="noConversion"/>
  </si>
  <si>
    <t>ioonn</t>
    <phoneticPr fontId="3" type="noConversion"/>
  </si>
  <si>
    <t>iann</t>
    <phoneticPr fontId="3" type="noConversion"/>
  </si>
  <si>
    <t>uann</t>
    <phoneticPr fontId="3" type="noConversion"/>
  </si>
  <si>
    <t>ainn</t>
    <phoneticPr fontId="3" type="noConversion"/>
  </si>
  <si>
    <t>oonn</t>
    <phoneticPr fontId="3" type="noConversion"/>
  </si>
  <si>
    <t>張</t>
    <phoneticPr fontId="3" type="noConversion"/>
  </si>
  <si>
    <t>uak</t>
    <phoneticPr fontId="3" type="noConversion"/>
  </si>
  <si>
    <t>uainn</t>
    <phoneticPr fontId="3" type="noConversion"/>
  </si>
  <si>
    <t>uainnh</t>
    <phoneticPr fontId="3" type="noConversion"/>
  </si>
  <si>
    <t>蹶</t>
    <phoneticPr fontId="3" type="noConversion"/>
  </si>
  <si>
    <t>uenn</t>
    <phoneticPr fontId="3" type="noConversion"/>
  </si>
  <si>
    <t>iaunn</t>
    <phoneticPr fontId="3" type="noConversion"/>
  </si>
  <si>
    <t>iaunnh</t>
    <phoneticPr fontId="3" type="noConversion"/>
  </si>
  <si>
    <t>oom</t>
    <phoneticPr fontId="3" type="noConversion"/>
  </si>
  <si>
    <t>丼</t>
    <phoneticPr fontId="3" type="noConversion"/>
  </si>
  <si>
    <t>oop</t>
    <phoneticPr fontId="3" type="noConversion"/>
  </si>
  <si>
    <t>吷</t>
    <phoneticPr fontId="3" type="noConversion"/>
  </si>
  <si>
    <t>aunn</t>
    <phoneticPr fontId="3" type="noConversion"/>
  </si>
  <si>
    <t>懸</t>
    <phoneticPr fontId="3" type="noConversion"/>
  </si>
  <si>
    <t>iunn</t>
    <phoneticPr fontId="3" type="noConversion"/>
  </si>
  <si>
    <t>識別號</t>
    <phoneticPr fontId="101" type="noConversion"/>
  </si>
  <si>
    <t>娘</t>
  </si>
  <si>
    <t>幫</t>
  </si>
  <si>
    <t>並</t>
  </si>
  <si>
    <t>群</t>
  </si>
  <si>
    <t>溪</t>
  </si>
  <si>
    <t>定</t>
  </si>
  <si>
    <t>知</t>
  </si>
  <si>
    <t>澄</t>
  </si>
  <si>
    <t>滂</t>
  </si>
  <si>
    <t>徹</t>
  </si>
  <si>
    <t>從</t>
  </si>
  <si>
    <t>莊</t>
  </si>
  <si>
    <t>邪</t>
  </si>
  <si>
    <t>禪</t>
  </si>
  <si>
    <t>云</t>
  </si>
  <si>
    <t>微</t>
  </si>
  <si>
    <t>疑</t>
  </si>
  <si>
    <t>清</t>
  </si>
  <si>
    <t>初</t>
  </si>
  <si>
    <t>昌</t>
  </si>
  <si>
    <t>非</t>
  </si>
  <si>
    <t>敷</t>
  </si>
  <si>
    <t>奉</t>
  </si>
  <si>
    <t>匣</t>
  </si>
  <si>
    <t>國際音標</t>
    <phoneticPr fontId="101" type="noConversion"/>
  </si>
  <si>
    <t>台語音標</t>
    <phoneticPr fontId="101" type="noConversion"/>
  </si>
  <si>
    <t>十五音</t>
    <phoneticPr fontId="101" type="noConversion"/>
  </si>
  <si>
    <t>廣韻</t>
    <phoneticPr fontId="101" type="noConversion"/>
  </si>
  <si>
    <t>全清</t>
  </si>
  <si>
    <t>次清</t>
  </si>
  <si>
    <t>全濁</t>
  </si>
  <si>
    <t>次濁</t>
  </si>
  <si>
    <t>濁</t>
  </si>
  <si>
    <t>《注音字母音類次序》民國八年（1919年）教育部公布</t>
    <phoneticPr fontId="13" type="noConversion"/>
  </si>
  <si>
    <t>牙音</t>
  </si>
  <si>
    <t>羣</t>
  </si>
  <si>
    <t>舌頭音</t>
  </si>
  <si>
    <t>聲母</t>
  </si>
  <si>
    <t>ㄅㄆㄇㄈ</t>
  </si>
  <si>
    <t>舌上音</t>
  </si>
  <si>
    <t>ㄉㄊㄋㄌ</t>
  </si>
  <si>
    <t>重脣音</t>
  </si>
  <si>
    <t>ㄍㄎㄫㄏ</t>
  </si>
  <si>
    <t>輕脣音</t>
  </si>
  <si>
    <t>舌面音</t>
  </si>
  <si>
    <t>ㄐㄑㄬㄒ</t>
  </si>
  <si>
    <t>齒頭音</t>
  </si>
  <si>
    <t>齒音</t>
  </si>
  <si>
    <t>ㄗㄘㄙ</t>
  </si>
  <si>
    <t>正齒音</t>
  </si>
  <si>
    <t>照</t>
  </si>
  <si>
    <t>穿</t>
  </si>
  <si>
    <t>牀</t>
  </si>
  <si>
    <t>審</t>
  </si>
  <si>
    <t>介母</t>
  </si>
  <si>
    <t>ㄧㄨㄩ</t>
  </si>
  <si>
    <t>喻</t>
  </si>
  <si>
    <t>韻母</t>
  </si>
  <si>
    <t>單韻母</t>
  </si>
  <si>
    <t>ㄚㄛㄝ</t>
  </si>
  <si>
    <t>半舌音</t>
  </si>
  <si>
    <t>複韻母</t>
  </si>
  <si>
    <t>ㄞㄟㄠㄡ</t>
  </si>
  <si>
    <t>半齒音</t>
  </si>
  <si>
    <t>帶聲韻母</t>
  </si>
  <si>
    <t>ㄢㄣㄤㄥ</t>
  </si>
  <si>
    <t>特殊韻母</t>
  </si>
  <si>
    <t>ㄦ</t>
  </si>
  <si>
    <t>註：本表按照傳統的發音部位列出三十六字母。另外請注意，三十六字母在《康熙字典》等韻圖的次序為：見溪羣疑，端透定泥，知徹澄娘，幫滂並明，非敷奉微，精清從心邪，照穿牀審禪，曉匣影喻，來日</t>
  </si>
  <si>
    <r>
      <rPr>
        <b/>
        <sz val="12"/>
        <color rgb="FF000000"/>
        <rFont val="Noto Sans TC"/>
        <family val="2"/>
        <charset val="136"/>
      </rPr>
      <t>守溫</t>
    </r>
    <r>
      <rPr>
        <b/>
        <sz val="12"/>
        <color rgb="FF000000"/>
        <rFont val="Times New Roman"/>
        <family val="1"/>
      </rPr>
      <t>30</t>
    </r>
    <r>
      <rPr>
        <b/>
        <sz val="12"/>
        <color rgb="FF000000"/>
        <rFont val="Noto Sans TC"/>
        <family val="2"/>
        <charset val="136"/>
      </rPr>
      <t>聲母</t>
    </r>
    <phoneticPr fontId="13" type="noConversion"/>
  </si>
  <si>
    <t>「見溪羣來疑」是牙音，「端透定泥」是舌頭音，「知徹澄日」是舌上音，「不芳並明」是脣音，「精清從」是齒頭音，「審穿禪照」是正齒音，「心邪曉」是喉中音清，「匣喻影」是喉中音濁。</t>
  </si>
  <si>
    <t>識別號</t>
    <phoneticPr fontId="13" type="noConversion"/>
  </si>
  <si>
    <t>韻母識別號</t>
    <phoneticPr fontId="13" type="noConversion"/>
  </si>
  <si>
    <t>舒促聲</t>
    <phoneticPr fontId="13" type="noConversion"/>
  </si>
  <si>
    <t>諄合3舒聲</t>
  </si>
  <si>
    <t>舒聲</t>
  </si>
  <si>
    <t>諄合3促聲</t>
  </si>
  <si>
    <t>促聲</t>
  </si>
  <si>
    <t>文合3舒聲</t>
  </si>
  <si>
    <t>文合3促聲</t>
  </si>
  <si>
    <t>魂合3舒聲</t>
  </si>
  <si>
    <t>魂合3促聲</t>
  </si>
  <si>
    <t>痕開1舒聲</t>
  </si>
  <si>
    <t>un</t>
    <phoneticPr fontId="57" type="noConversion"/>
  </si>
  <si>
    <t>痕開1促聲</t>
  </si>
  <si>
    <t>ut</t>
    <phoneticPr fontId="57" type="noConversion"/>
  </si>
  <si>
    <t>元開3舒聲</t>
  </si>
  <si>
    <t>元開3促聲</t>
  </si>
  <si>
    <t>先開4舒聲</t>
  </si>
  <si>
    <t>先開4促聲</t>
  </si>
  <si>
    <t>先合2舒聲</t>
  </si>
  <si>
    <t>先合2促聲</t>
  </si>
  <si>
    <t>仙開3舒聲</t>
  </si>
  <si>
    <t>仙開3促聲</t>
  </si>
  <si>
    <t>侵開3舒聲</t>
  </si>
  <si>
    <t>侵開3促聲</t>
  </si>
  <si>
    <t>支合3舒聲</t>
  </si>
  <si>
    <t>脂合3舒聲</t>
  </si>
  <si>
    <t>微合3舒聲</t>
  </si>
  <si>
    <t>寒開1舒聲</t>
  </si>
  <si>
    <t>寒開1促聲</t>
  </si>
  <si>
    <t>刪開2舒聲</t>
  </si>
  <si>
    <t>刪開2促聲</t>
  </si>
  <si>
    <t>山開2舒聲</t>
  </si>
  <si>
    <t>山開2促聲</t>
  </si>
  <si>
    <t>東開1舒聲</t>
  </si>
  <si>
    <t>東開1促聲</t>
  </si>
  <si>
    <t>冬開1舒聲</t>
  </si>
  <si>
    <t>冬開1促聲</t>
  </si>
  <si>
    <t>陽開3舒聲</t>
    <phoneticPr fontId="13" type="noConversion"/>
  </si>
  <si>
    <t>陽開3促聲</t>
    <phoneticPr fontId="13" type="noConversion"/>
  </si>
  <si>
    <t>唐開1舒聲</t>
  </si>
  <si>
    <t>唐開1促聲</t>
  </si>
  <si>
    <t>庚合2舒聲</t>
  </si>
  <si>
    <t>庚合2促聲</t>
  </si>
  <si>
    <t>耕合2舒聲</t>
  </si>
  <si>
    <t>耕合2促聲</t>
  </si>
  <si>
    <t>登合1舒聲</t>
  </si>
  <si>
    <t>登合1促聲</t>
  </si>
  <si>
    <t>佳合2舒聲</t>
  </si>
  <si>
    <t>uai</t>
    <phoneticPr fontId="57" type="noConversion"/>
  </si>
  <si>
    <t>皆合2舒聲</t>
  </si>
  <si>
    <t>夬合2舒聲</t>
  </si>
  <si>
    <t>庚開2舒聲</t>
  </si>
  <si>
    <t>ing</t>
    <phoneticPr fontId="57" type="noConversion"/>
  </si>
  <si>
    <t>庚開2促聲</t>
  </si>
  <si>
    <t>ik</t>
    <phoneticPr fontId="57" type="noConversion"/>
  </si>
  <si>
    <t>庚開3舒聲</t>
  </si>
  <si>
    <t>庚開3促聲</t>
  </si>
  <si>
    <t>庚合3舒聲</t>
  </si>
  <si>
    <t>庚合3促聲</t>
  </si>
  <si>
    <t>耕開2舒聲</t>
  </si>
  <si>
    <t>耕開2促聲</t>
  </si>
  <si>
    <t>清開3舒聲</t>
  </si>
  <si>
    <t>清開3促聲</t>
  </si>
  <si>
    <t>清合3舒聲</t>
  </si>
  <si>
    <t>清合3促聲</t>
  </si>
  <si>
    <t>青開4舒聲</t>
  </si>
  <si>
    <t>青開4促聲</t>
  </si>
  <si>
    <t>青合3舒聲</t>
  </si>
  <si>
    <t>青合3促聲</t>
  </si>
  <si>
    <t>蒸開3舒聲</t>
  </si>
  <si>
    <t>蒸開3促聲</t>
  </si>
  <si>
    <t>登開1舒聲</t>
  </si>
  <si>
    <t>登開1促聲</t>
  </si>
  <si>
    <t>元合3舒聲</t>
  </si>
  <si>
    <t>元合3促聲</t>
  </si>
  <si>
    <t>桓合1舒聲</t>
  </si>
  <si>
    <t>桓合1促聲</t>
  </si>
  <si>
    <t>刪合2舒聲</t>
  </si>
  <si>
    <t>刪合2促聲</t>
  </si>
  <si>
    <t>山合2舒聲</t>
  </si>
  <si>
    <t>山合2促聲</t>
  </si>
  <si>
    <t>仙合3舒聲</t>
  </si>
  <si>
    <t>仙合3促聲</t>
  </si>
  <si>
    <t>凡合3舒聲</t>
  </si>
  <si>
    <t>凡合3促聲</t>
  </si>
  <si>
    <t>模開1舒聲</t>
  </si>
  <si>
    <t>蕭開4舒聲</t>
  </si>
  <si>
    <t>宵開3舒聲</t>
  </si>
  <si>
    <t>東開3舒聲</t>
  </si>
  <si>
    <t>東開3促聲</t>
  </si>
  <si>
    <t>鍾開3舒聲</t>
  </si>
  <si>
    <t>鍾開3促聲</t>
  </si>
  <si>
    <t>陽合3舒聲</t>
    <phoneticPr fontId="13" type="noConversion"/>
  </si>
  <si>
    <t>陽合3促聲</t>
    <phoneticPr fontId="13" type="noConversion"/>
  </si>
  <si>
    <t>豪開1舒聲</t>
  </si>
  <si>
    <t>歌開1舒聲</t>
  </si>
  <si>
    <t>戈合1舒聲</t>
  </si>
  <si>
    <t>泰開1舒聲</t>
  </si>
  <si>
    <t>佳開2舒聲</t>
  </si>
  <si>
    <t>皆開2舒聲</t>
  </si>
  <si>
    <t>夬開2舒聲</t>
  </si>
  <si>
    <t>咍開1舒聲</t>
  </si>
  <si>
    <t>眞開3舒聲</t>
  </si>
  <si>
    <t>眞開3促聲</t>
  </si>
  <si>
    <t>臻開2舒聲</t>
  </si>
  <si>
    <t>in</t>
    <phoneticPr fontId="57" type="noConversion"/>
  </si>
  <si>
    <t>臻開2促聲</t>
  </si>
  <si>
    <t>it</t>
    <phoneticPr fontId="57" type="noConversion"/>
  </si>
  <si>
    <t>欣開3舒聲</t>
  </si>
  <si>
    <t>欣開3促聲</t>
  </si>
  <si>
    <t>覃開1舒聲</t>
  </si>
  <si>
    <t>覃開1促聲</t>
  </si>
  <si>
    <t>談開1舒聲</t>
  </si>
  <si>
    <t>談開1促聲</t>
  </si>
  <si>
    <t>咸開2舒聲</t>
  </si>
  <si>
    <t>咸開2促聲</t>
  </si>
  <si>
    <t>銜開2舒聲</t>
  </si>
  <si>
    <t>銜開2促聲</t>
  </si>
  <si>
    <t>泰合1舒聲</t>
  </si>
  <si>
    <t>麻合2舒聲</t>
  </si>
  <si>
    <t>江開2舒聲</t>
  </si>
  <si>
    <t>江開2促聲</t>
  </si>
  <si>
    <t>鹽開4舒聲</t>
  </si>
  <si>
    <t>鹽開4促聲</t>
  </si>
  <si>
    <t>添開4舒聲</t>
    <phoneticPr fontId="13" type="noConversion"/>
  </si>
  <si>
    <t>添開4促聲</t>
    <phoneticPr fontId="13" type="noConversion"/>
  </si>
  <si>
    <t>嚴開3舒聲</t>
  </si>
  <si>
    <t>嚴開3促聲</t>
  </si>
  <si>
    <t>肴開2舒聲</t>
  </si>
  <si>
    <t>戈開3舒聲</t>
  </si>
  <si>
    <t>戈合3舒聲</t>
  </si>
  <si>
    <t>麻開3舒聲</t>
  </si>
  <si>
    <t>齊合4舒聲</t>
  </si>
  <si>
    <t>祭合3舒聲</t>
  </si>
  <si>
    <t>灰合1舒聲</t>
  </si>
  <si>
    <t>廢合1舒聲</t>
  </si>
  <si>
    <t>虞開3舒聲</t>
  </si>
  <si>
    <t>麻開2舒聲</t>
  </si>
  <si>
    <t>支開3舒聲</t>
  </si>
  <si>
    <t>脂開3舒聲</t>
  </si>
  <si>
    <t>之開3舒聲</t>
  </si>
  <si>
    <t>微開3舒聲</t>
  </si>
  <si>
    <t>魚開3舒聲</t>
  </si>
  <si>
    <t>u</t>
    <phoneticPr fontId="57" type="noConversion"/>
  </si>
  <si>
    <t>尤開3舒聲</t>
  </si>
  <si>
    <t>幽開3舒聲</t>
  </si>
  <si>
    <t>iu</t>
    <phoneticPr fontId="57" type="noConversion"/>
  </si>
  <si>
    <t>侯開3舒聲</t>
  </si>
  <si>
    <t>沽</t>
    <phoneticPr fontId="13" type="noConversion"/>
  </si>
  <si>
    <t>oo</t>
    <phoneticPr fontId="13" type="noConversion"/>
  </si>
  <si>
    <t>齊開4舒聲</t>
  </si>
  <si>
    <t>祭開3舒聲</t>
  </si>
  <si>
    <t>廣韻</t>
    <phoneticPr fontId="13" type="noConversion"/>
  </si>
  <si>
    <t>十五音</t>
    <phoneticPr fontId="13" type="noConversion"/>
  </si>
  <si>
    <t>國際音標</t>
    <phoneticPr fontId="13" type="noConversion"/>
  </si>
  <si>
    <t>台語音標</t>
    <phoneticPr fontId="13" type="noConversion"/>
  </si>
  <si>
    <t>ɪŋ</t>
  </si>
  <si>
    <t>iɔk̚</t>
  </si>
  <si>
    <t>十五音序</t>
    <phoneticPr fontId="10" type="noConversion"/>
  </si>
  <si>
    <t>ui?</t>
  </si>
  <si>
    <t>ɛ?</t>
  </si>
  <si>
    <t>ou?</t>
  </si>
  <si>
    <t>o͘h</t>
  </si>
  <si>
    <t>ㄟ</t>
  </si>
  <si>
    <t>eih</t>
  </si>
  <si>
    <t>ei?</t>
  </si>
  <si>
    <t>ㄟㆷ</t>
  </si>
  <si>
    <t>ai?</t>
  </si>
  <si>
    <t>iaŋ</t>
  </si>
  <si>
    <t>ue?</t>
  </si>
  <si>
    <t>ahⁿ</t>
  </si>
  <si>
    <t>iu?</t>
  </si>
  <si>
    <t>ɛ̃?</t>
  </si>
  <si>
    <t>ehⁿ</t>
  </si>
  <si>
    <t>uinnh</t>
  </si>
  <si>
    <t>uĩ?</t>
  </si>
  <si>
    <t>uihⁿ</t>
  </si>
  <si>
    <t>nuih</t>
  </si>
  <si>
    <t>ㄨㆪㆷ</t>
  </si>
  <si>
    <t>io?</t>
  </si>
  <si>
    <t>iⁿh</t>
  </si>
  <si>
    <t>iɔ̃</t>
  </si>
  <si>
    <t>ioⁿ</t>
  </si>
  <si>
    <t>ionnh</t>
  </si>
  <si>
    <t>iɔ̃?</t>
  </si>
  <si>
    <t>iohⁿ</t>
  </si>
  <si>
    <t>niooh</t>
  </si>
  <si>
    <t>ㄧㆧㆷ</t>
  </si>
  <si>
    <t>iã?</t>
  </si>
  <si>
    <t>iahⁿ</t>
  </si>
  <si>
    <t>niah</t>
  </si>
  <si>
    <t>oaⁿ</t>
  </si>
  <si>
    <t>uannh</t>
  </si>
  <si>
    <t>uã?</t>
  </si>
  <si>
    <t>oahⁿ</t>
  </si>
  <si>
    <t>nuah</t>
  </si>
  <si>
    <t>ㄨㆩㆷ</t>
  </si>
  <si>
    <t>ŋ?</t>
  </si>
  <si>
    <t>aĩ</t>
  </si>
  <si>
    <t>ainnh</t>
  </si>
  <si>
    <t>aĩ?</t>
  </si>
  <si>
    <t>aihⁿ</t>
  </si>
  <si>
    <t>naih</t>
  </si>
  <si>
    <t>ㆮㆷ</t>
  </si>
  <si>
    <t>õu</t>
  </si>
  <si>
    <t>oonnh</t>
  </si>
  <si>
    <t>õu?</t>
  </si>
  <si>
    <t>ohⁿ</t>
  </si>
  <si>
    <t>nooh</t>
  </si>
  <si>
    <t>oaiⁿ</t>
  </si>
  <si>
    <t>uãi?</t>
  </si>
  <si>
    <t>oaiⁿh</t>
  </si>
  <si>
    <t>uẽi</t>
  </si>
  <si>
    <t>oeⁿ</t>
  </si>
  <si>
    <t>uennh</t>
  </si>
  <si>
    <t>uẽi?</t>
  </si>
  <si>
    <t>oehⁿ</t>
  </si>
  <si>
    <t>nueh</t>
  </si>
  <si>
    <t>ㄨㆥㆷ</t>
  </si>
  <si>
    <t>iãu</t>
  </si>
  <si>
    <t>iãu?</t>
  </si>
  <si>
    <t>iauⁿh</t>
  </si>
  <si>
    <t>aunnh</t>
  </si>
  <si>
    <t>ãu?</t>
  </si>
  <si>
    <t>auhⁿ</t>
  </si>
  <si>
    <t>naoh</t>
  </si>
  <si>
    <t>ㆯㆷ</t>
  </si>
  <si>
    <t>no</t>
  </si>
  <si>
    <t>ɔ̃h</t>
  </si>
  <si>
    <t>noh</t>
  </si>
  <si>
    <t>iunnh</t>
  </si>
  <si>
    <t>iũh</t>
  </si>
  <si>
    <t>iuhⁿ</t>
  </si>
  <si>
    <t>niuh</t>
  </si>
  <si>
    <t>台羅拼音</t>
    <phoneticPr fontId="10" type="noConversion"/>
  </si>
  <si>
    <t>方音符號</t>
    <phoneticPr fontId="3" type="noConversion"/>
  </si>
  <si>
    <t>Ø</t>
    <phoneticPr fontId="3" type="noConversion"/>
  </si>
  <si>
    <t>入</t>
    <phoneticPr fontId="3" type="noConversion"/>
  </si>
  <si>
    <t>出</t>
    <phoneticPr fontId="3" type="noConversion"/>
  </si>
  <si>
    <t>止</t>
    <phoneticPr fontId="3" type="noConversion"/>
  </si>
  <si>
    <t>測</t>
  </si>
  <si>
    <t>測</t>
    <phoneticPr fontId="3" type="noConversion"/>
  </si>
  <si>
    <t>惜</t>
  </si>
  <si>
    <t>惜</t>
    <phoneticPr fontId="3" type="noConversion"/>
  </si>
  <si>
    <t>bbn</t>
    <phoneticPr fontId="3" type="noConversion"/>
  </si>
  <si>
    <t>ggn</t>
    <phoneticPr fontId="3" type="noConversion"/>
  </si>
  <si>
    <t>詞</t>
    <phoneticPr fontId="3" type="noConversion"/>
  </si>
  <si>
    <t>阻</t>
    <phoneticPr fontId="3" type="noConversion"/>
  </si>
  <si>
    <t>Ø</t>
    <phoneticPr fontId="10" type="noConversion"/>
  </si>
  <si>
    <t>十五音韻母序</t>
    <phoneticPr fontId="10" type="noConversion"/>
  </si>
  <si>
    <t>不</t>
    <phoneticPr fontId="3" type="noConversion"/>
  </si>
  <si>
    <t>別</t>
    <phoneticPr fontId="3" type="noConversion"/>
  </si>
  <si>
    <t>蟄</t>
    <phoneticPr fontId="3" type="noConversion"/>
  </si>
  <si>
    <t>八</t>
    <phoneticPr fontId="3" type="noConversion"/>
  </si>
  <si>
    <t>識</t>
    <phoneticPr fontId="3" type="noConversion"/>
  </si>
  <si>
    <t>噭</t>
    <phoneticPr fontId="3" type="noConversion"/>
  </si>
  <si>
    <t>卜</t>
    <phoneticPr fontId="3" type="noConversion"/>
  </si>
  <si>
    <t>答</t>
    <phoneticPr fontId="3" type="noConversion"/>
  </si>
  <si>
    <t>缽</t>
    <phoneticPr fontId="3" type="noConversion"/>
  </si>
  <si>
    <t>暴</t>
    <phoneticPr fontId="3" type="noConversion"/>
  </si>
  <si>
    <t>壁</t>
    <phoneticPr fontId="3" type="noConversion"/>
  </si>
  <si>
    <t>拔</t>
    <phoneticPr fontId="3" type="noConversion"/>
  </si>
  <si>
    <t>含</t>
    <phoneticPr fontId="3" type="noConversion"/>
  </si>
  <si>
    <t>勃</t>
    <phoneticPr fontId="3" type="noConversion"/>
  </si>
  <si>
    <t>百</t>
    <phoneticPr fontId="3" type="noConversion"/>
  </si>
  <si>
    <t>挾</t>
    <phoneticPr fontId="3" type="noConversion"/>
  </si>
  <si>
    <t>欷</t>
  </si>
  <si>
    <t>伯</t>
    <phoneticPr fontId="3" type="noConversion"/>
  </si>
  <si>
    <t>伏</t>
    <phoneticPr fontId="3" type="noConversion"/>
  </si>
  <si>
    <t>ornn</t>
    <phoneticPr fontId="3" type="noConversion"/>
  </si>
  <si>
    <t>onn</t>
    <phoneticPr fontId="3" type="noConversion"/>
  </si>
  <si>
    <t>ㆧ</t>
    <phoneticPr fontId="3" type="noConversion"/>
  </si>
  <si>
    <t>ohnn</t>
    <phoneticPr fontId="3" type="noConversion"/>
  </si>
  <si>
    <t>ㆧㆷ</t>
    <phoneticPr fontId="3" type="noConversion"/>
  </si>
  <si>
    <t>noo</t>
    <phoneticPr fontId="3" type="noConversion"/>
  </si>
  <si>
    <t>onnh</t>
    <phoneticPr fontId="3" type="noConversion"/>
  </si>
  <si>
    <t>nooh</t>
    <phoneticPr fontId="3" type="noConversion"/>
  </si>
  <si>
    <t>õ</t>
  </si>
  <si>
    <t>õʔ</t>
  </si>
  <si>
    <r>
      <rPr>
        <strike/>
        <sz val="24"/>
        <color rgb="FFFF0000"/>
        <rFont val="Times New Roman"/>
        <family val="1"/>
      </rPr>
      <t>o</t>
    </r>
    <r>
      <rPr>
        <strike/>
        <vertAlign val="superscript"/>
        <sz val="24"/>
        <color rgb="FFFF0000"/>
        <rFont val="Times New Roman"/>
        <family val="1"/>
      </rPr>
      <t>n</t>
    </r>
    <r>
      <rPr>
        <strike/>
        <sz val="24"/>
        <color rgb="FFFF0000"/>
        <rFont val="Times New Roman"/>
        <family val="1"/>
      </rPr>
      <t>h</t>
    </r>
    <phoneticPr fontId="3" type="noConversion"/>
  </si>
  <si>
    <r>
      <rPr>
        <strike/>
        <sz val="24"/>
        <color rgb="FFFF0000"/>
        <rFont val="Times New Roman"/>
        <family val="1"/>
      </rPr>
      <t>o</t>
    </r>
    <r>
      <rPr>
        <strike/>
        <vertAlign val="superscript"/>
        <sz val="24"/>
        <color rgb="FFFF0000"/>
        <rFont val="Times New Roman"/>
        <family val="1"/>
      </rPr>
      <t>n</t>
    </r>
    <phoneticPr fontId="3" type="noConversion"/>
  </si>
  <si>
    <t>shi</t>
  </si>
  <si>
    <r>
      <rPr>
        <sz val="18"/>
        <rFont val="Noto Serif TC Black"/>
        <family val="1"/>
        <charset val="136"/>
      </rPr>
      <t>jj</t>
    </r>
    <r>
      <rPr>
        <sz val="18"/>
        <color rgb="FFFF0000"/>
        <rFont val="Noto Serif TC Black"/>
        <family val="1"/>
        <charset val="136"/>
      </rPr>
      <t>i</t>
    </r>
    <phoneticPr fontId="10" type="noConversion"/>
  </si>
  <si>
    <r>
      <rPr>
        <sz val="18"/>
        <rFont val="Noto Serif TC Black"/>
        <family val="1"/>
        <charset val="136"/>
      </rPr>
      <t>ch</t>
    </r>
    <r>
      <rPr>
        <sz val="18"/>
        <color rgb="FFFF0000"/>
        <rFont val="Noto Serif TC Black"/>
        <family val="1"/>
        <charset val="136"/>
      </rPr>
      <t>i</t>
    </r>
    <phoneticPr fontId="10" type="noConversion"/>
  </si>
  <si>
    <r>
      <rPr>
        <sz val="18"/>
        <rFont val="Noto Serif TC Black"/>
        <family val="1"/>
        <charset val="136"/>
      </rPr>
      <t>sh</t>
    </r>
    <r>
      <rPr>
        <sz val="18"/>
        <color rgb="FFFF0000"/>
        <rFont val="Noto Serif TC Black"/>
        <family val="1"/>
        <charset val="136"/>
      </rPr>
      <t>i</t>
    </r>
    <phoneticPr fontId="10" type="noConversion"/>
  </si>
  <si>
    <r>
      <rPr>
        <sz val="24"/>
        <color rgb="FF000000"/>
        <rFont val="Iansui 094"/>
        <family val="3"/>
        <charset val="136"/>
      </rPr>
      <t>ɡ</t>
    </r>
    <phoneticPr fontId="74" type="noConversion"/>
  </si>
  <si>
    <t>t͡sʰ</t>
    <phoneticPr fontId="74" type="noConversion"/>
  </si>
  <si>
    <t>d͡z</t>
    <phoneticPr fontId="74" type="noConversion"/>
  </si>
  <si>
    <t>t͡ɕ</t>
    <phoneticPr fontId="74" type="noConversion"/>
  </si>
  <si>
    <t>tɕʰ</t>
    <phoneticPr fontId="74" type="noConversion"/>
  </si>
  <si>
    <t>d͡ʑ</t>
    <phoneticPr fontId="74" type="noConversion"/>
  </si>
  <si>
    <t>ei</t>
    <phoneticPr fontId="74" type="noConversion"/>
  </si>
  <si>
    <t>ou</t>
    <phoneticPr fontId="74" type="noConversion"/>
  </si>
  <si>
    <t>ã</t>
    <phoneticPr fontId="74" type="noConversion"/>
  </si>
  <si>
    <t>iã</t>
    <phoneticPr fontId="74" type="noConversion"/>
  </si>
  <si>
    <t>ũ</t>
    <phoneticPr fontId="74" type="noConversion"/>
  </si>
  <si>
    <t>uã</t>
    <phoneticPr fontId="74" type="noConversion"/>
  </si>
  <si>
    <t>uĩ</t>
    <phoneticPr fontId="74" type="noConversion"/>
  </si>
  <si>
    <t>ãu</t>
    <phoneticPr fontId="74" type="noConversion"/>
  </si>
  <si>
    <t>ãi</t>
    <phoneticPr fontId="74" type="noConversion"/>
  </si>
  <si>
    <t>注音符號</t>
    <phoneticPr fontId="74" type="noConversion"/>
  </si>
  <si>
    <t>ㄆ</t>
    <phoneticPr fontId="74" type="noConversion"/>
  </si>
  <si>
    <t>ㆠ</t>
    <phoneticPr fontId="74" type="noConversion"/>
  </si>
  <si>
    <t>ㄇ</t>
    <phoneticPr fontId="74" type="noConversion"/>
  </si>
  <si>
    <t>ㄎ</t>
    <phoneticPr fontId="74" type="noConversion"/>
  </si>
  <si>
    <t>ㆣ</t>
    <phoneticPr fontId="74" type="noConversion"/>
  </si>
  <si>
    <t>ㄘ</t>
    <phoneticPr fontId="74" type="noConversion"/>
  </si>
  <si>
    <t>ㄙ</t>
    <phoneticPr fontId="74" type="noConversion"/>
  </si>
  <si>
    <t>ㄐ</t>
    <phoneticPr fontId="74" type="noConversion"/>
  </si>
  <si>
    <t>ㄑ</t>
    <phoneticPr fontId="74" type="noConversion"/>
  </si>
  <si>
    <t>ㆢ</t>
    <phoneticPr fontId="74" type="noConversion"/>
  </si>
  <si>
    <t>ㄒ</t>
    <phoneticPr fontId="74" type="noConversion"/>
  </si>
  <si>
    <t>ㄏ</t>
    <phoneticPr fontId="74" type="noConversion"/>
  </si>
  <si>
    <t>ㆤ</t>
    <phoneticPr fontId="74" type="noConversion"/>
  </si>
  <si>
    <t>ㆲ</t>
    <phoneticPr fontId="74" type="noConversion"/>
  </si>
  <si>
    <t>ㆦㆴ</t>
    <phoneticPr fontId="74" type="noConversion"/>
  </si>
  <si>
    <t>ㆦㆻ</t>
    <phoneticPr fontId="74" type="noConversion"/>
  </si>
  <si>
    <t>ㄨ</t>
    <phoneticPr fontId="74" type="noConversion"/>
  </si>
  <si>
    <t>ㄞ</t>
    <phoneticPr fontId="74" type="noConversion"/>
  </si>
  <si>
    <t>ㄠ</t>
    <phoneticPr fontId="74" type="noConversion"/>
  </si>
  <si>
    <t>ㆥ</t>
    <phoneticPr fontId="74" type="noConversion"/>
  </si>
  <si>
    <t>ㆪ</t>
    <phoneticPr fontId="74" type="noConversion"/>
  </si>
  <si>
    <t>ㆧ</t>
    <phoneticPr fontId="74" type="noConversion"/>
  </si>
  <si>
    <t>ㆯ</t>
    <phoneticPr fontId="74" type="noConversion"/>
  </si>
  <si>
    <t>ㆮ</t>
    <phoneticPr fontId="74" type="noConversion"/>
  </si>
  <si>
    <t>ㆱ</t>
    <phoneticPr fontId="74" type="noConversion"/>
  </si>
  <si>
    <t>ㄢ</t>
    <phoneticPr fontId="74" type="noConversion"/>
  </si>
  <si>
    <t>ㄤ</t>
    <phoneticPr fontId="74" type="noConversion"/>
  </si>
  <si>
    <t>ㆴ</t>
    <phoneticPr fontId="74" type="noConversion"/>
  </si>
  <si>
    <t>ㆵ</t>
    <phoneticPr fontId="74" type="noConversion"/>
  </si>
  <si>
    <t>ㆻ</t>
    <phoneticPr fontId="74" type="noConversion"/>
  </si>
  <si>
    <t>閩拼方案</t>
    <phoneticPr fontId="74" type="noConversion"/>
  </si>
  <si>
    <t>zzi</t>
  </si>
  <si>
    <t>zi</t>
  </si>
  <si>
    <t>十五音</t>
    <phoneticPr fontId="74" type="noConversion"/>
  </si>
  <si>
    <t>iat</t>
    <phoneticPr fontId="74" type="noConversion"/>
  </si>
  <si>
    <t>oo</t>
    <phoneticPr fontId="74" type="noConversion"/>
  </si>
  <si>
    <t>名</t>
    <phoneticPr fontId="3" type="noConversion"/>
  </si>
  <si>
    <t>捕</t>
    <phoneticPr fontId="3" type="noConversion"/>
  </si>
  <si>
    <t>掀</t>
    <phoneticPr fontId="3" type="noConversion"/>
  </si>
  <si>
    <t>ian</t>
    <phoneticPr fontId="74" type="noConversion"/>
  </si>
  <si>
    <t>肝</t>
    <phoneticPr fontId="3" type="noConversion"/>
  </si>
  <si>
    <t>邦</t>
    <phoneticPr fontId="3" type="noConversion"/>
  </si>
  <si>
    <t>uan</t>
    <phoneticPr fontId="74" type="noConversion"/>
  </si>
  <si>
    <t>iŋ</t>
    <phoneticPr fontId="3" type="noConversion"/>
  </si>
  <si>
    <t>iãu</t>
    <phoneticPr fontId="74" type="noConversion"/>
  </si>
  <si>
    <t>ㄧㆻ</t>
    <phoneticPr fontId="3" type="noConversion"/>
  </si>
  <si>
    <t>ㄧㆤㆻ</t>
    <phoneticPr fontId="74" type="noConversion"/>
  </si>
  <si>
    <t>iek</t>
    <phoneticPr fontId="74" type="noConversion"/>
  </si>
  <si>
    <t>益</t>
  </si>
  <si>
    <t>音標編碼</t>
    <phoneticPr fontId="3" type="noConversion"/>
  </si>
  <si>
    <t>unn</t>
    <phoneticPr fontId="3" type="noConversion"/>
  </si>
  <si>
    <t>廣韻</t>
    <phoneticPr fontId="3" type="noConversion"/>
  </si>
  <si>
    <t>曾</t>
    <phoneticPr fontId="3" type="noConversion"/>
  </si>
  <si>
    <t>清</t>
    <phoneticPr fontId="3" type="noConversion"/>
  </si>
  <si>
    <t>昌</t>
    <phoneticPr fontId="3" type="noConversion"/>
  </si>
  <si>
    <t>時</t>
    <phoneticPr fontId="3" type="noConversion"/>
  </si>
  <si>
    <t>莊</t>
    <phoneticPr fontId="3" type="noConversion"/>
  </si>
  <si>
    <t>初</t>
    <phoneticPr fontId="3" type="noConversion"/>
  </si>
  <si>
    <t>蔬</t>
  </si>
  <si>
    <t>神</t>
  </si>
  <si>
    <t>按鍵編碼</t>
    <phoneticPr fontId="74" type="noConversion"/>
  </si>
  <si>
    <t>按鍵位置</t>
    <phoneticPr fontId="74" type="noConversion"/>
  </si>
  <si>
    <t>Z</t>
  </si>
  <si>
    <t>C</t>
  </si>
  <si>
    <t>S</t>
  </si>
  <si>
    <t>V</t>
  </si>
  <si>
    <t>P</t>
  </si>
  <si>
    <t>H</t>
  </si>
  <si>
    <t>f</t>
  </si>
  <si>
    <t>v</t>
  </si>
  <si>
    <t>二</t>
    <phoneticPr fontId="3" type="noConversion"/>
  </si>
  <si>
    <t>五</t>
    <phoneticPr fontId="3" type="noConversion"/>
  </si>
  <si>
    <t>倒</t>
    <phoneticPr fontId="3" type="noConversion"/>
  </si>
  <si>
    <t>運</t>
    <phoneticPr fontId="3" type="noConversion"/>
  </si>
  <si>
    <t>揚</t>
    <phoneticPr fontId="3" type="noConversion"/>
  </si>
  <si>
    <t>弗</t>
  </si>
  <si>
    <t>四</t>
    <phoneticPr fontId="3" type="noConversion"/>
  </si>
  <si>
    <t>粽</t>
    <phoneticPr fontId="3" type="noConversion"/>
  </si>
  <si>
    <t>˥˥ </t>
  </si>
  <si>
    <t>˥˩</t>
  </si>
  <si>
    <t>˧˩</t>
  </si>
  <si>
    <t>˨˦ </t>
  </si>
  <si>
    <t>˧˧</t>
  </si>
  <si>
    <t>p0</t>
    <phoneticPr fontId="74" type="noConversion"/>
  </si>
  <si>
    <t>t0</t>
    <phoneticPr fontId="74" type="noConversion"/>
  </si>
  <si>
    <t>k0</t>
    <phoneticPr fontId="74" type="noConversion"/>
  </si>
  <si>
    <t>德俗</t>
    <phoneticPr fontId="3" type="noConversion"/>
  </si>
  <si>
    <t>叭別</t>
    <phoneticPr fontId="3" type="noConversion"/>
  </si>
  <si>
    <t>佰薄</t>
    <phoneticPr fontId="3" type="noConversion"/>
  </si>
  <si>
    <t>哈沓</t>
    <phoneticPr fontId="3" type="noConversion"/>
  </si>
  <si>
    <t>˧˨ʔ</t>
    <phoneticPr fontId="3" type="noConversion"/>
  </si>
  <si>
    <t>˦ʔ</t>
    <phoneticPr fontId="3" type="noConversion"/>
  </si>
  <si>
    <t>國際音標</t>
    <phoneticPr fontId="55" type="noConversion"/>
  </si>
  <si>
    <t>˦˦</t>
    <phoneticPr fontId="3" type="noConversion"/>
  </si>
  <si>
    <t>˧˧</t>
    <phoneticPr fontId="3" type="noConversion"/>
  </si>
  <si>
    <t>˧˩</t>
    <phoneticPr fontId="3" type="noConversion"/>
  </si>
  <si>
    <t>˥˩</t>
    <phoneticPr fontId="3" type="noConversion"/>
  </si>
  <si>
    <t>˨˦</t>
    <phoneticPr fontId="3" type="noConversion"/>
  </si>
  <si>
    <t>拼音調符</t>
    <phoneticPr fontId="3" type="noConversion"/>
  </si>
  <si>
    <t>á</t>
    <phoneticPr fontId="3" type="noConversion"/>
  </si>
  <si>
    <t>à</t>
    <phoneticPr fontId="3" type="noConversion"/>
  </si>
  <si>
    <r>
      <t>a</t>
    </r>
    <r>
      <rPr>
        <b/>
        <sz val="28"/>
        <color rgb="FFFF0000"/>
        <rFont val="Segoe UI Symbol"/>
        <family val="2"/>
      </rPr>
      <t>◌</t>
    </r>
    <phoneticPr fontId="3" type="noConversion"/>
  </si>
  <si>
    <r>
      <t>a̍</t>
    </r>
    <r>
      <rPr>
        <b/>
        <sz val="28"/>
        <color rgb="FFFF0000"/>
        <rFont val="Segoe UI Symbol"/>
        <family val="2"/>
      </rPr>
      <t>◌</t>
    </r>
    <phoneticPr fontId="3" type="noConversion"/>
  </si>
  <si>
    <t>ā</t>
    <phoneticPr fontId="3" type="noConversion"/>
  </si>
  <si>
    <t>â</t>
    <phoneticPr fontId="3" type="noConversion"/>
  </si>
  <si>
    <t>注音調符</t>
    <phoneticPr fontId="3" type="noConversion"/>
  </si>
  <si>
    <t>ㄚ</t>
    <phoneticPr fontId="3" type="noConversion"/>
  </si>
  <si>
    <t>ㄚ˪</t>
    <phoneticPr fontId="3" type="noConversion"/>
  </si>
  <si>
    <t>ㄚˋ</t>
    <phoneticPr fontId="3" type="noConversion"/>
  </si>
  <si>
    <t>ㄚ˫</t>
    <phoneticPr fontId="3" type="noConversion"/>
  </si>
  <si>
    <t>ㄚˊ</t>
    <phoneticPr fontId="3" type="noConversion"/>
  </si>
  <si>
    <r>
      <t>ㄚ</t>
    </r>
    <r>
      <rPr>
        <b/>
        <vertAlign val="subscript"/>
        <sz val="28"/>
        <color rgb="FFFF0000"/>
        <rFont val="霞鶩文楷等寬 TC"/>
        <family val="3"/>
        <charset val="136"/>
      </rPr>
      <t>◌</t>
    </r>
    <phoneticPr fontId="3" type="noConversion"/>
  </si>
  <si>
    <r>
      <t>ㄚ</t>
    </r>
    <r>
      <rPr>
        <b/>
        <vertAlign val="subscript"/>
        <sz val="28"/>
        <color rgb="FFFF0000"/>
        <rFont val="霞鶩文楷等寬 TC"/>
        <family val="3"/>
        <charset val="136"/>
      </rPr>
      <t>◌˙</t>
    </r>
    <phoneticPr fontId="3" type="noConversion"/>
  </si>
  <si>
    <t>方音調值</t>
    <phoneticPr fontId="3" type="noConversion"/>
  </si>
  <si>
    <t>p̚</t>
  </si>
  <si>
    <t>t̚</t>
  </si>
  <si>
    <t>k̚</t>
  </si>
  <si>
    <t>塞音(不送氣)</t>
  </si>
  <si>
    <t>塞音(送氣)</t>
  </si>
  <si>
    <t xml:space="preserve"> /pʰ/</t>
  </si>
  <si>
    <t xml:space="preserve"> /b/</t>
  </si>
  <si>
    <t xml:space="preserve"> /m/</t>
  </si>
  <si>
    <t xml:space="preserve"> /t/</t>
  </si>
  <si>
    <t xml:space="preserve"> /tʰ/</t>
  </si>
  <si>
    <t xml:space="preserve"> /n/</t>
  </si>
  <si>
    <t xml:space="preserve"> /l/</t>
  </si>
  <si>
    <t xml:space="preserve"> /ʦ/</t>
  </si>
  <si>
    <t xml:space="preserve"> /ʦʰ/</t>
  </si>
  <si>
    <t xml:space="preserve"> /ʣ/</t>
  </si>
  <si>
    <t xml:space="preserve"> /s/</t>
  </si>
  <si>
    <t xml:space="preserve"> /ʨ/</t>
  </si>
  <si>
    <t xml:space="preserve"> /ʨʰ/</t>
  </si>
  <si>
    <t xml:space="preserve"> /ʥ/</t>
  </si>
  <si>
    <t xml:space="preserve"> /ɕ/</t>
  </si>
  <si>
    <t xml:space="preserve"> /k/</t>
  </si>
  <si>
    <t xml:space="preserve"> /kʰ/</t>
  </si>
  <si>
    <t xml:space="preserve"> /g/</t>
  </si>
  <si>
    <t xml:space="preserve"> /ŋ/</t>
  </si>
  <si>
    <t xml:space="preserve"> /h/</t>
  </si>
  <si>
    <t>韻腹</t>
  </si>
  <si>
    <t>aʊ</t>
  </si>
  <si>
    <t>ɪaʊ</t>
  </si>
  <si>
    <t>ə</t>
  </si>
  <si>
    <t>陰聲韻</t>
  </si>
  <si>
    <t>舌尖中音</t>
    <phoneticPr fontId="3" type="noConversion"/>
  </si>
  <si>
    <t>舌尖前音</t>
    <phoneticPr fontId="3" type="noConversion"/>
  </si>
  <si>
    <t>零聲母</t>
  </si>
  <si>
    <t>零聲母</t>
    <phoneticPr fontId="3" type="noConversion"/>
  </si>
  <si>
    <t>清塞音或塞擦音</t>
    <phoneticPr fontId="3" type="noConversion"/>
  </si>
  <si>
    <t>濁音</t>
    <phoneticPr fontId="3" type="noConversion"/>
  </si>
  <si>
    <t>邊</t>
    <phoneticPr fontId="3" type="noConversion"/>
  </si>
  <si>
    <t>地</t>
    <phoneticPr fontId="3" type="noConversion"/>
  </si>
  <si>
    <t>求</t>
    <phoneticPr fontId="3" type="noConversion"/>
  </si>
  <si>
    <t>頗</t>
    <phoneticPr fontId="3" type="noConversion"/>
  </si>
  <si>
    <t>他</t>
    <phoneticPr fontId="3" type="noConversion"/>
  </si>
  <si>
    <t>去</t>
    <phoneticPr fontId="3" type="noConversion"/>
  </si>
  <si>
    <t>門</t>
    <phoneticPr fontId="3" type="noConversion"/>
  </si>
  <si>
    <t>毛</t>
    <phoneticPr fontId="3" type="noConversion"/>
  </si>
  <si>
    <t>耐</t>
    <phoneticPr fontId="3" type="noConversion"/>
  </si>
  <si>
    <t>雅</t>
    <phoneticPr fontId="3" type="noConversion"/>
  </si>
  <si>
    <t>柳</t>
    <phoneticPr fontId="3" type="noConversion"/>
  </si>
  <si>
    <t>且</t>
    <phoneticPr fontId="3" type="noConversion"/>
  </si>
  <si>
    <t>語</t>
    <phoneticPr fontId="3" type="noConversion"/>
  </si>
  <si>
    <t>喜</t>
    <phoneticPr fontId="3" type="noConversion"/>
  </si>
  <si>
    <t>發音部位</t>
    <phoneticPr fontId="3" type="noConversion"/>
  </si>
  <si>
    <t>ㄧㆬ</t>
    <phoneticPr fontId="3" type="noConversion"/>
  </si>
  <si>
    <t>ㄧㄣ</t>
    <phoneticPr fontId="3" type="noConversion"/>
  </si>
  <si>
    <t>ㄧㆰ</t>
    <phoneticPr fontId="3" type="noConversion"/>
  </si>
  <si>
    <t>ㄧㄤ</t>
    <phoneticPr fontId="3" type="noConversion"/>
  </si>
  <si>
    <t>艷</t>
    <phoneticPr fontId="3" type="noConversion"/>
  </si>
  <si>
    <t>ㄉㄧㆫ</t>
    <phoneticPr fontId="3" type="noConversion"/>
  </si>
  <si>
    <t>iɔ</t>
  </si>
  <si>
    <t>ㄧㆦ</t>
    <phoneticPr fontId="3" type="noConversion"/>
  </si>
  <si>
    <t>ㄧㆧ</t>
    <phoneticPr fontId="3" type="noConversion"/>
  </si>
  <si>
    <t>娘</t>
    <phoneticPr fontId="3" type="noConversion"/>
  </si>
  <si>
    <t>丈</t>
    <phoneticPr fontId="3" type="noConversion"/>
  </si>
  <si>
    <t>ㄨㄣ</t>
    <phoneticPr fontId="74" type="noConversion"/>
  </si>
  <si>
    <t>ㄨㄢ</t>
    <phoneticPr fontId="3" type="noConversion"/>
  </si>
  <si>
    <t>io͘</t>
    <phoneticPr fontId="3" type="noConversion"/>
  </si>
  <si>
    <t>J</t>
    <phoneticPr fontId="3" type="noConversion"/>
  </si>
  <si>
    <t>恩</t>
    <phoneticPr fontId="3" type="noConversion"/>
  </si>
  <si>
    <t>普</t>
    <phoneticPr fontId="3" type="noConversion"/>
  </si>
  <si>
    <t>微</t>
    <phoneticPr fontId="3" type="noConversion"/>
  </si>
  <si>
    <t>疏</t>
    <phoneticPr fontId="3" type="noConversion"/>
  </si>
  <si>
    <t>拼音字母</t>
    <phoneticPr fontId="3" type="noConversion"/>
  </si>
  <si>
    <r>
      <t>z</t>
    </r>
    <r>
      <rPr>
        <sz val="18"/>
        <color theme="1"/>
        <rFont val="Microsoft JhengHei UI"/>
        <family val="2"/>
        <charset val="136"/>
      </rPr>
      <t>/j(i)</t>
    </r>
    <phoneticPr fontId="3" type="noConversion"/>
  </si>
  <si>
    <t>c/ch(i)</t>
    <phoneticPr fontId="3" type="noConversion"/>
  </si>
  <si>
    <r>
      <t>j</t>
    </r>
    <r>
      <rPr>
        <sz val="18"/>
        <color theme="1"/>
        <rFont val="Microsoft JhengHei UI"/>
        <family val="2"/>
        <charset val="136"/>
      </rPr>
      <t>/jj(i)</t>
    </r>
    <phoneticPr fontId="3" type="noConversion"/>
  </si>
  <si>
    <t>s/sh(i)</t>
    <phoneticPr fontId="3" type="noConversion"/>
  </si>
  <si>
    <t>鼻音</t>
    <phoneticPr fontId="3" type="noConversion"/>
  </si>
  <si>
    <t>擦音</t>
    <phoneticPr fontId="3" type="noConversion"/>
  </si>
  <si>
    <t>邊音</t>
    <phoneticPr fontId="3" type="noConversion"/>
  </si>
  <si>
    <t>s</t>
    <phoneticPr fontId="3" type="noConversion"/>
  </si>
  <si>
    <t>ㄙ</t>
    <phoneticPr fontId="3" type="noConversion"/>
  </si>
  <si>
    <t>jj(i)</t>
    <phoneticPr fontId="3" type="noConversion"/>
  </si>
  <si>
    <t>zz(i)</t>
    <phoneticPr fontId="3" type="noConversion"/>
  </si>
  <si>
    <t>ch(i)</t>
    <phoneticPr fontId="3" type="noConversion"/>
  </si>
  <si>
    <t>sh(i)</t>
    <phoneticPr fontId="3" type="noConversion"/>
  </si>
  <si>
    <t>英</t>
    <phoneticPr fontId="3" type="noConversion"/>
  </si>
  <si>
    <t>陽聲韻</t>
  </si>
  <si>
    <t>入聲韻</t>
  </si>
  <si>
    <t>aŋ</t>
    <phoneticPr fontId="3" type="noConversion"/>
  </si>
  <si>
    <t>ap˺</t>
  </si>
  <si>
    <t>at˺</t>
  </si>
  <si>
    <t>ak˺</t>
  </si>
  <si>
    <t>ãʔ</t>
  </si>
  <si>
    <t>阿</t>
    <phoneticPr fontId="3" type="noConversion"/>
  </si>
  <si>
    <t>ㆩ</t>
    <phoneticPr fontId="3" type="noConversion"/>
  </si>
  <si>
    <t>餡</t>
    <phoneticPr fontId="3" type="noConversion"/>
  </si>
  <si>
    <t>ㆰ</t>
    <phoneticPr fontId="3" type="noConversion"/>
  </si>
  <si>
    <t>庵</t>
    <phoneticPr fontId="3" type="noConversion"/>
  </si>
  <si>
    <t>ㄢ</t>
    <phoneticPr fontId="3" type="noConversion"/>
  </si>
  <si>
    <t>安</t>
    <phoneticPr fontId="3" type="noConversion"/>
  </si>
  <si>
    <t>ㄤ</t>
    <phoneticPr fontId="3" type="noConversion"/>
  </si>
  <si>
    <t>尪</t>
    <phoneticPr fontId="3" type="noConversion"/>
  </si>
  <si>
    <t>ㄚㆴ</t>
    <phoneticPr fontId="3" type="noConversion"/>
  </si>
  <si>
    <t>壓</t>
    <phoneticPr fontId="3" type="noConversion"/>
  </si>
  <si>
    <t>ㄚㆵ</t>
    <phoneticPr fontId="3" type="noConversion"/>
  </si>
  <si>
    <t>遏</t>
    <phoneticPr fontId="3" type="noConversion"/>
  </si>
  <si>
    <t>ㄚㆻ</t>
    <phoneticPr fontId="3" type="noConversion"/>
  </si>
  <si>
    <t>握</t>
    <phoneticPr fontId="3" type="noConversion"/>
  </si>
  <si>
    <t>ㄚㆷ</t>
    <phoneticPr fontId="3" type="noConversion"/>
  </si>
  <si>
    <t>鴨</t>
    <phoneticPr fontId="3" type="noConversion"/>
  </si>
  <si>
    <t>ㆩㆷ</t>
    <phoneticPr fontId="3" type="noConversion"/>
  </si>
  <si>
    <t>熁</t>
  </si>
  <si>
    <t>ãi</t>
  </si>
  <si>
    <t>aiʔ</t>
  </si>
  <si>
    <t>ãiʔ</t>
  </si>
  <si>
    <t>ainnh</t>
    <phoneticPr fontId="3" type="noConversion"/>
  </si>
  <si>
    <t>ㄞ</t>
    <phoneticPr fontId="3" type="noConversion"/>
  </si>
  <si>
    <t>哀</t>
    <phoneticPr fontId="3" type="noConversion"/>
  </si>
  <si>
    <t>ㆮ</t>
    <phoneticPr fontId="3" type="noConversion"/>
  </si>
  <si>
    <t>閑</t>
    <phoneticPr fontId="3" type="noConversion"/>
  </si>
  <si>
    <r>
      <t>ㄞ</t>
    </r>
    <r>
      <rPr>
        <sz val="24"/>
        <color theme="7" tint="-0.249977111117893"/>
        <rFont val="Noto Sans TC"/>
        <family val="2"/>
        <charset val="136"/>
      </rPr>
      <t>ㆷ</t>
    </r>
    <phoneticPr fontId="3" type="noConversion"/>
  </si>
  <si>
    <t>邁</t>
    <phoneticPr fontId="3" type="noConversion"/>
  </si>
  <si>
    <r>
      <t>ㆮ</t>
    </r>
    <r>
      <rPr>
        <sz val="24"/>
        <color theme="7" tint="-0.249977111117893"/>
        <rFont val="Noto Sans TC"/>
        <family val="2"/>
        <charset val="136"/>
      </rPr>
      <t>ㆷ</t>
    </r>
    <phoneticPr fontId="3" type="noConversion"/>
  </si>
  <si>
    <t>擺</t>
    <phoneticPr fontId="3" type="noConversion"/>
  </si>
  <si>
    <t>ãʊ</t>
  </si>
  <si>
    <t>aʊʔ</t>
  </si>
  <si>
    <t>ãʊʔ</t>
  </si>
  <si>
    <t>aunnh</t>
    <phoneticPr fontId="3" type="noConversion"/>
  </si>
  <si>
    <t>ㄠ</t>
    <phoneticPr fontId="3" type="noConversion"/>
  </si>
  <si>
    <t>甌</t>
    <phoneticPr fontId="3" type="noConversion"/>
  </si>
  <si>
    <t>ㄠㆷ</t>
    <phoneticPr fontId="3" type="noConversion"/>
  </si>
  <si>
    <t>ㆯㆷ</t>
    <phoneticPr fontId="3" type="noConversion"/>
  </si>
  <si>
    <t>好</t>
    <phoneticPr fontId="3" type="noConversion"/>
  </si>
  <si>
    <t>ɛ</t>
    <phoneticPr fontId="3" type="noConversion"/>
  </si>
  <si>
    <t>ee</t>
    <phoneticPr fontId="3" type="noConversion"/>
  </si>
  <si>
    <t>əŋ</t>
    <phoneticPr fontId="3" type="noConversion"/>
  </si>
  <si>
    <t>eng</t>
    <phoneticPr fontId="3" type="noConversion"/>
  </si>
  <si>
    <t>ek</t>
    <phoneticPr fontId="3" type="noConversion"/>
  </si>
  <si>
    <t>ɛʔ</t>
    <phoneticPr fontId="3" type="noConversion"/>
  </si>
  <si>
    <t>eeh</t>
    <phoneticPr fontId="3" type="noConversion"/>
  </si>
  <si>
    <t>ㄝ</t>
    <phoneticPr fontId="3" type="noConversion"/>
  </si>
  <si>
    <t>ㄥ</t>
    <phoneticPr fontId="3" type="noConversion"/>
  </si>
  <si>
    <t>永</t>
    <phoneticPr fontId="3" type="noConversion"/>
  </si>
  <si>
    <r>
      <t>ㆤ</t>
    </r>
    <r>
      <rPr>
        <sz val="24"/>
        <color theme="7" tint="-0.249977111117893"/>
        <rFont val="Noto Sans TC"/>
        <family val="2"/>
        <charset val="136"/>
      </rPr>
      <t>ㆻ</t>
    </r>
    <phoneticPr fontId="3" type="noConversion"/>
  </si>
  <si>
    <t>ㄝㆷ</t>
    <phoneticPr fontId="3" type="noConversion"/>
  </si>
  <si>
    <t>格</t>
    <phoneticPr fontId="3" type="noConversion"/>
  </si>
  <si>
    <t>ẽ</t>
  </si>
  <si>
    <t>ɛ̃ʔ</t>
  </si>
  <si>
    <t>ㆤ</t>
    <phoneticPr fontId="3" type="noConversion"/>
  </si>
  <si>
    <t>稽</t>
    <phoneticPr fontId="3" type="noConversion"/>
  </si>
  <si>
    <t>ㆥ</t>
    <phoneticPr fontId="3" type="noConversion"/>
  </si>
  <si>
    <t>嬰</t>
    <phoneticPr fontId="3" type="noConversion"/>
  </si>
  <si>
    <t>ㆤㆷ</t>
    <phoneticPr fontId="3" type="noConversion"/>
  </si>
  <si>
    <t>厄</t>
    <phoneticPr fontId="3" type="noConversion"/>
  </si>
  <si>
    <t>ㆥㆷ</t>
    <phoneticPr fontId="3" type="noConversion"/>
  </si>
  <si>
    <t>擲</t>
    <phoneticPr fontId="3" type="noConversion"/>
  </si>
  <si>
    <t>ĩ</t>
  </si>
  <si>
    <t>ip˺</t>
  </si>
  <si>
    <t>it˺</t>
  </si>
  <si>
    <t>ik˺</t>
  </si>
  <si>
    <t>ĩʔ</t>
  </si>
  <si>
    <t>ㄧ</t>
    <phoneticPr fontId="3" type="noConversion"/>
  </si>
  <si>
    <t>伊</t>
    <phoneticPr fontId="3" type="noConversion"/>
  </si>
  <si>
    <t>ㆪ</t>
    <phoneticPr fontId="3" type="noConversion"/>
  </si>
  <si>
    <t>燕</t>
    <phoneticPr fontId="3" type="noConversion"/>
  </si>
  <si>
    <t>音</t>
    <phoneticPr fontId="3" type="noConversion"/>
  </si>
  <si>
    <t>因</t>
    <phoneticPr fontId="3" type="noConversion"/>
  </si>
  <si>
    <t>ㄧㄥ</t>
    <phoneticPr fontId="3" type="noConversion"/>
  </si>
  <si>
    <t>ㄧㆴ</t>
    <phoneticPr fontId="3" type="noConversion"/>
  </si>
  <si>
    <t>揖</t>
    <phoneticPr fontId="3" type="noConversion"/>
  </si>
  <si>
    <t>ㄧㆵ</t>
    <phoneticPr fontId="3" type="noConversion"/>
  </si>
  <si>
    <t>乙</t>
    <phoneticPr fontId="3" type="noConversion"/>
  </si>
  <si>
    <t>ㄧㆷ</t>
    <phoneticPr fontId="3" type="noConversion"/>
  </si>
  <si>
    <t>舌</t>
    <phoneticPr fontId="3" type="noConversion"/>
  </si>
  <si>
    <t>ㆪㆷ</t>
    <phoneticPr fontId="3" type="noConversion"/>
  </si>
  <si>
    <t>物</t>
    <phoneticPr fontId="3" type="noConversion"/>
  </si>
  <si>
    <t>iã</t>
  </si>
  <si>
    <t>iaŋ</t>
    <phoneticPr fontId="3" type="noConversion"/>
  </si>
  <si>
    <t>iap˺</t>
  </si>
  <si>
    <t>iat˺</t>
  </si>
  <si>
    <t>iak˺</t>
  </si>
  <si>
    <t>iaʔ</t>
  </si>
  <si>
    <t>iãʔ</t>
  </si>
  <si>
    <t>iannh</t>
    <phoneticPr fontId="3" type="noConversion"/>
  </si>
  <si>
    <t>ㄧㄚ</t>
    <phoneticPr fontId="3" type="noConversion"/>
  </si>
  <si>
    <t>耶</t>
    <phoneticPr fontId="3" type="noConversion"/>
  </si>
  <si>
    <t>ㄧㆩ</t>
    <phoneticPr fontId="3" type="noConversion"/>
  </si>
  <si>
    <t>纓</t>
    <phoneticPr fontId="3" type="noConversion"/>
  </si>
  <si>
    <t>閹</t>
    <phoneticPr fontId="3" type="noConversion"/>
  </si>
  <si>
    <t>煙</t>
    <phoneticPr fontId="3" type="noConversion"/>
  </si>
  <si>
    <t>雙</t>
    <phoneticPr fontId="3" type="noConversion"/>
  </si>
  <si>
    <t>ㄧㄚㆴ</t>
    <phoneticPr fontId="3" type="noConversion"/>
  </si>
  <si>
    <t>葉</t>
    <phoneticPr fontId="3" type="noConversion"/>
  </si>
  <si>
    <t>閱</t>
    <phoneticPr fontId="3" type="noConversion"/>
  </si>
  <si>
    <t>ㄧㄚㆻ</t>
    <phoneticPr fontId="3" type="noConversion"/>
  </si>
  <si>
    <t>約</t>
    <phoneticPr fontId="3" type="noConversion"/>
  </si>
  <si>
    <t>ㄧㄚㆷ</t>
    <phoneticPr fontId="3" type="noConversion"/>
  </si>
  <si>
    <t>役</t>
    <phoneticPr fontId="3" type="noConversion"/>
  </si>
  <si>
    <r>
      <t>ㄧㆩ</t>
    </r>
    <r>
      <rPr>
        <sz val="24"/>
        <color theme="7" tint="-0.249977111117893"/>
        <rFont val="Noto Sans TC"/>
        <family val="2"/>
        <charset val="136"/>
      </rPr>
      <t>ㆷ</t>
    </r>
    <phoneticPr fontId="3" type="noConversion"/>
  </si>
  <si>
    <t>iaʊ</t>
  </si>
  <si>
    <t>iãu</t>
  </si>
  <si>
    <t>iãʊʔ</t>
  </si>
  <si>
    <t>ㄧㄠ</t>
    <phoneticPr fontId="3" type="noConversion"/>
  </si>
  <si>
    <t>妖</t>
    <phoneticPr fontId="3" type="noConversion"/>
  </si>
  <si>
    <t>ㄧㆯ</t>
    <phoneticPr fontId="3" type="noConversion"/>
  </si>
  <si>
    <t>貓</t>
    <phoneticPr fontId="3" type="noConversion"/>
  </si>
  <si>
    <t>ㄧㄠㆷ</t>
    <phoneticPr fontId="3" type="noConversion"/>
  </si>
  <si>
    <t>沓</t>
    <phoneticPr fontId="3" type="noConversion"/>
  </si>
  <si>
    <t>ioʔ</t>
  </si>
  <si>
    <t>ㄧㄜ</t>
    <phoneticPr fontId="3" type="noConversion"/>
  </si>
  <si>
    <t>腰</t>
    <phoneticPr fontId="3" type="noConversion"/>
  </si>
  <si>
    <r>
      <t>ㄧㄜ</t>
    </r>
    <r>
      <rPr>
        <sz val="24"/>
        <color theme="7" tint="-0.249977111117893"/>
        <rFont val="Noto Sans TC"/>
        <family val="2"/>
        <charset val="136"/>
      </rPr>
      <t>ㆷ</t>
    </r>
    <phoneticPr fontId="3" type="noConversion"/>
  </si>
  <si>
    <t>着</t>
    <phoneticPr fontId="3" type="noConversion"/>
  </si>
  <si>
    <t>iɔ</t>
    <phoneticPr fontId="3" type="noConversion"/>
  </si>
  <si>
    <r>
      <rPr>
        <sz val="20"/>
        <color rgb="FFC00000"/>
        <rFont val="吳守禮標楷台語注音"/>
        <family val="2"/>
        <charset val="136"/>
      </rPr>
      <t>i</t>
    </r>
    <r>
      <rPr>
        <sz val="20"/>
        <color rgb="FFC00000"/>
        <rFont val="Arial"/>
        <family val="2"/>
      </rPr>
      <t>ɔŋ</t>
    </r>
    <phoneticPr fontId="3" type="noConversion"/>
  </si>
  <si>
    <t>iɔk˺</t>
  </si>
  <si>
    <t>iooh</t>
  </si>
  <si>
    <t>鴦</t>
    <phoneticPr fontId="3" type="noConversion"/>
  </si>
  <si>
    <t>ㄧㆲ</t>
    <phoneticPr fontId="3" type="noConversion"/>
  </si>
  <si>
    <t>雍</t>
    <phoneticPr fontId="3" type="noConversion"/>
  </si>
  <si>
    <t>ㄧㆦㆻ</t>
    <phoneticPr fontId="3" type="noConversion"/>
  </si>
  <si>
    <t>育</t>
    <phoneticPr fontId="3" type="noConversion"/>
  </si>
  <si>
    <t>iũ</t>
  </si>
  <si>
    <t>iuʔ</t>
  </si>
  <si>
    <t>iũʔ</t>
  </si>
  <si>
    <t>iunnh</t>
    <phoneticPr fontId="3" type="noConversion"/>
  </si>
  <si>
    <t>ㄧㄨ</t>
    <phoneticPr fontId="3" type="noConversion"/>
  </si>
  <si>
    <t>優</t>
    <phoneticPr fontId="3" type="noConversion"/>
  </si>
  <si>
    <t>ㄧㆫ</t>
    <phoneticPr fontId="3" type="noConversion"/>
  </si>
  <si>
    <t>ㄧㄨㆷ</t>
    <phoneticPr fontId="3" type="noConversion"/>
  </si>
  <si>
    <t>抽</t>
    <phoneticPr fontId="3" type="noConversion"/>
  </si>
  <si>
    <r>
      <t>ㄧㆫ</t>
    </r>
    <r>
      <rPr>
        <sz val="24"/>
        <color theme="7" tint="-0.249977111117893"/>
        <rFont val="Noto Sans TC"/>
        <family val="2"/>
        <charset val="136"/>
      </rPr>
      <t>ㆷ</t>
    </r>
    <phoneticPr fontId="3" type="noConversion"/>
  </si>
  <si>
    <t>咻</t>
    <phoneticPr fontId="3" type="noConversion"/>
  </si>
  <si>
    <t>ə</t>
    <phoneticPr fontId="3" type="noConversion"/>
  </si>
  <si>
    <t>er</t>
    <phoneticPr fontId="3" type="noConversion"/>
  </si>
  <si>
    <t>əʔ</t>
    <phoneticPr fontId="3" type="noConversion"/>
  </si>
  <si>
    <t>erh</t>
    <phoneticPr fontId="3" type="noConversion"/>
  </si>
  <si>
    <t>ㄜ</t>
    <phoneticPr fontId="3" type="noConversion"/>
  </si>
  <si>
    <t>鍋</t>
    <phoneticPr fontId="3" type="noConversion"/>
  </si>
  <si>
    <t>ㄜㆷ</t>
    <phoneticPr fontId="3" type="noConversion"/>
  </si>
  <si>
    <t>郭</t>
    <phoneticPr fontId="3" type="noConversion"/>
  </si>
  <si>
    <t>o</t>
    <phoneticPr fontId="3" type="noConversion"/>
  </si>
  <si>
    <t>蚵</t>
    <phoneticPr fontId="3" type="noConversion"/>
  </si>
  <si>
    <r>
      <t>ㄜ</t>
    </r>
    <r>
      <rPr>
        <sz val="24"/>
        <color theme="7" tint="-0.249977111117893"/>
        <rFont val="Noto Sans TC"/>
        <family val="2"/>
        <charset val="136"/>
      </rPr>
      <t>ㆷ</t>
    </r>
    <phoneticPr fontId="3" type="noConversion"/>
  </si>
  <si>
    <t>博</t>
    <phoneticPr fontId="3" type="noConversion"/>
  </si>
  <si>
    <t>ɔ</t>
    <phoneticPr fontId="3" type="noConversion"/>
  </si>
  <si>
    <t>ɔp˺</t>
  </si>
  <si>
    <t>ɔk˺</t>
  </si>
  <si>
    <t>ɔʔ</t>
    <phoneticPr fontId="3" type="noConversion"/>
  </si>
  <si>
    <t>ㆦ</t>
    <phoneticPr fontId="3" type="noConversion"/>
  </si>
  <si>
    <t>烏</t>
    <phoneticPr fontId="3" type="noConversion"/>
  </si>
  <si>
    <t>ㆱ</t>
    <phoneticPr fontId="3" type="noConversion"/>
  </si>
  <si>
    <t>ㆲ</t>
    <phoneticPr fontId="3" type="noConversion"/>
  </si>
  <si>
    <t>汪</t>
    <phoneticPr fontId="3" type="noConversion"/>
  </si>
  <si>
    <t>ㆦㆴ</t>
    <phoneticPr fontId="3" type="noConversion"/>
  </si>
  <si>
    <t>鞹</t>
  </si>
  <si>
    <t>ㆦㆻ</t>
    <phoneticPr fontId="3" type="noConversion"/>
  </si>
  <si>
    <t>惡</t>
    <phoneticPr fontId="3" type="noConversion"/>
  </si>
  <si>
    <t>ㆦㆷ</t>
    <phoneticPr fontId="3" type="noConversion"/>
  </si>
  <si>
    <t>瘼</t>
    <phoneticPr fontId="3" type="noConversion"/>
  </si>
  <si>
    <t>膜</t>
    <phoneticPr fontId="3" type="noConversion"/>
  </si>
  <si>
    <t>ɨ</t>
    <phoneticPr fontId="3" type="noConversion"/>
  </si>
  <si>
    <t>ir</t>
    <phoneticPr fontId="3" type="noConversion"/>
  </si>
  <si>
    <t>ɨm</t>
    <phoneticPr fontId="3" type="noConversion"/>
  </si>
  <si>
    <t>irm</t>
    <phoneticPr fontId="3" type="noConversion"/>
  </si>
  <si>
    <t>irn</t>
    <phoneticPr fontId="3" type="noConversion"/>
  </si>
  <si>
    <t>ɨŋ</t>
    <phoneticPr fontId="3" type="noConversion"/>
  </si>
  <si>
    <t>irng</t>
    <phoneticPr fontId="3" type="noConversion"/>
  </si>
  <si>
    <t>irp˺</t>
    <phoneticPr fontId="3" type="noConversion"/>
  </si>
  <si>
    <t>irp</t>
    <phoneticPr fontId="3" type="noConversion"/>
  </si>
  <si>
    <t>irt˺</t>
    <phoneticPr fontId="3" type="noConversion"/>
  </si>
  <si>
    <t>irt</t>
    <phoneticPr fontId="3" type="noConversion"/>
  </si>
  <si>
    <t>irk˺</t>
    <phoneticPr fontId="3" type="noConversion"/>
  </si>
  <si>
    <t>irk</t>
    <phoneticPr fontId="3" type="noConversion"/>
  </si>
  <si>
    <t>irh</t>
  </si>
  <si>
    <t>ㆨ</t>
    <phoneticPr fontId="3" type="noConversion"/>
  </si>
  <si>
    <t>於</t>
    <phoneticPr fontId="3" type="noConversion"/>
  </si>
  <si>
    <t>ㆨㆬ</t>
    <phoneticPr fontId="3" type="noConversion"/>
  </si>
  <si>
    <t>蔘</t>
    <phoneticPr fontId="3" type="noConversion"/>
  </si>
  <si>
    <t>ㆨㆭ</t>
    <phoneticPr fontId="3" type="noConversion"/>
  </si>
  <si>
    <t>登</t>
    <phoneticPr fontId="3" type="noConversion"/>
  </si>
  <si>
    <r>
      <rPr>
        <sz val="24"/>
        <color theme="7" tint="-0.249977111117893"/>
        <rFont val="Noto Sans TC"/>
        <family val="2"/>
        <charset val="136"/>
      </rPr>
      <t>ㆨ</t>
    </r>
    <r>
      <rPr>
        <sz val="24"/>
        <color theme="7" tint="-0.249977111117893"/>
        <rFont val="新細明體"/>
        <family val="1"/>
        <scheme val="minor"/>
      </rPr>
      <t>ㆴ</t>
    </r>
    <phoneticPr fontId="3" type="noConversion"/>
  </si>
  <si>
    <t>澀</t>
    <phoneticPr fontId="3" type="noConversion"/>
  </si>
  <si>
    <r>
      <rPr>
        <sz val="24"/>
        <color theme="7" tint="-0.249977111117893"/>
        <rFont val="Noto Sans TC"/>
        <family val="2"/>
        <charset val="136"/>
      </rPr>
      <t>ㆨ</t>
    </r>
    <r>
      <rPr>
        <sz val="24"/>
        <color theme="7" tint="-0.249977111117893"/>
        <rFont val="新細明體"/>
        <family val="2"/>
        <charset val="136"/>
        <scheme val="minor"/>
      </rPr>
      <t>ㆵ</t>
    </r>
    <phoneticPr fontId="3" type="noConversion"/>
  </si>
  <si>
    <t>核</t>
    <phoneticPr fontId="3" type="noConversion"/>
  </si>
  <si>
    <r>
      <rPr>
        <sz val="24"/>
        <color theme="7" tint="-0.249977111117893"/>
        <rFont val="Noto Sans TC"/>
        <family val="2"/>
        <charset val="136"/>
      </rPr>
      <t>ㆨ</t>
    </r>
    <r>
      <rPr>
        <sz val="24"/>
        <color theme="7" tint="-0.249977111117893"/>
        <rFont val="新細明體"/>
        <family val="2"/>
        <charset val="136"/>
        <scheme val="minor"/>
      </rPr>
      <t>ㆻ</t>
    </r>
    <phoneticPr fontId="3" type="noConversion"/>
  </si>
  <si>
    <t>疄</t>
    <phoneticPr fontId="3" type="noConversion"/>
  </si>
  <si>
    <t>ut˺</t>
    <phoneticPr fontId="3" type="noConversion"/>
  </si>
  <si>
    <t>ㄨ</t>
    <phoneticPr fontId="3" type="noConversion"/>
  </si>
  <si>
    <t>污</t>
    <phoneticPr fontId="3" type="noConversion"/>
  </si>
  <si>
    <t>ㄨㄣ</t>
    <phoneticPr fontId="3" type="noConversion"/>
  </si>
  <si>
    <t>溫</t>
    <phoneticPr fontId="3" type="noConversion"/>
  </si>
  <si>
    <t>ㄨㆵ</t>
    <phoneticPr fontId="3" type="noConversion"/>
  </si>
  <si>
    <t>熨</t>
    <phoneticPr fontId="3" type="noConversion"/>
  </si>
  <si>
    <t>ㄨㆷ</t>
    <phoneticPr fontId="3" type="noConversion"/>
  </si>
  <si>
    <t>突</t>
    <phoneticPr fontId="3" type="noConversion"/>
  </si>
  <si>
    <t>uã</t>
  </si>
  <si>
    <t>uat˺</t>
  </si>
  <si>
    <t>ㄨㄚ</t>
    <phoneticPr fontId="3" type="noConversion"/>
  </si>
  <si>
    <t>娃</t>
    <phoneticPr fontId="3" type="noConversion"/>
  </si>
  <si>
    <t>ㄨㆩ</t>
    <phoneticPr fontId="3" type="noConversion"/>
  </si>
  <si>
    <t>鞍</t>
    <phoneticPr fontId="3" type="noConversion"/>
  </si>
  <si>
    <t>冤</t>
    <phoneticPr fontId="3" type="noConversion"/>
  </si>
  <si>
    <t>ㄨㄤ</t>
    <phoneticPr fontId="3" type="noConversion"/>
  </si>
  <si>
    <t>嚁</t>
    <phoneticPr fontId="3" type="noConversion"/>
  </si>
  <si>
    <t>ㄨㄚㆵ</t>
    <phoneticPr fontId="3" type="noConversion"/>
  </si>
  <si>
    <t>越</t>
    <phoneticPr fontId="3" type="noConversion"/>
  </si>
  <si>
    <t>ㄨㄚㆷ</t>
    <phoneticPr fontId="3" type="noConversion"/>
  </si>
  <si>
    <t>活</t>
    <phoneticPr fontId="3" type="noConversion"/>
  </si>
  <si>
    <t>uãi</t>
  </si>
  <si>
    <t>ㄨㄞ</t>
    <phoneticPr fontId="3" type="noConversion"/>
  </si>
  <si>
    <t>歪</t>
    <phoneticPr fontId="3" type="noConversion"/>
  </si>
  <si>
    <t>ㄨㆮ</t>
    <phoneticPr fontId="3" type="noConversion"/>
  </si>
  <si>
    <t>關</t>
    <phoneticPr fontId="3" type="noConversion"/>
  </si>
  <si>
    <t>uɛ</t>
  </si>
  <si>
    <t>uɛ</t>
    <phoneticPr fontId="3" type="noConversion"/>
  </si>
  <si>
    <t>uee</t>
    <phoneticPr fontId="3" type="noConversion"/>
  </si>
  <si>
    <t>ueeh</t>
  </si>
  <si>
    <r>
      <t>ㄨ</t>
    </r>
    <r>
      <rPr>
        <sz val="24"/>
        <color rgb="FFFF0000"/>
        <rFont val="Noto Sans TC"/>
        <family val="2"/>
        <charset val="136"/>
      </rPr>
      <t>ㄝ</t>
    </r>
    <phoneticPr fontId="3" type="noConversion"/>
  </si>
  <si>
    <t>ㄨㆤ</t>
    <phoneticPr fontId="3" type="noConversion"/>
  </si>
  <si>
    <t>ㄨㆤㆷ</t>
    <phoneticPr fontId="3" type="noConversion"/>
  </si>
  <si>
    <t>劃</t>
    <phoneticPr fontId="3" type="noConversion"/>
  </si>
  <si>
    <t>ㄨㄧ</t>
    <phoneticPr fontId="3" type="noConversion"/>
  </si>
  <si>
    <t>威</t>
    <phoneticPr fontId="3" type="noConversion"/>
  </si>
  <si>
    <t>ɯi</t>
  </si>
  <si>
    <t>ɯi</t>
    <phoneticPr fontId="3" type="noConversion"/>
  </si>
  <si>
    <t>irinn</t>
    <phoneticPr fontId="3" type="noConversion"/>
  </si>
  <si>
    <t>ㆨㆪ</t>
    <phoneticPr fontId="3" type="noConversion"/>
  </si>
  <si>
    <t>əe</t>
  </si>
  <si>
    <t>əe</t>
    <phoneticPr fontId="3" type="noConversion"/>
  </si>
  <si>
    <t>ere</t>
    <phoneticPr fontId="3" type="noConversion"/>
  </si>
  <si>
    <t>əeʔ</t>
    <phoneticPr fontId="3" type="noConversion"/>
  </si>
  <si>
    <t>ereh</t>
    <phoneticPr fontId="3" type="noConversion"/>
  </si>
  <si>
    <t>ㄜㆤ</t>
    <phoneticPr fontId="3" type="noConversion"/>
  </si>
  <si>
    <r>
      <t>ㄜ</t>
    </r>
    <r>
      <rPr>
        <sz val="24"/>
        <color theme="7" tint="-0.249977111117893"/>
        <rFont val="Noto Sans TC"/>
        <family val="2"/>
        <charset val="136"/>
      </rPr>
      <t>ㆤㆷ</t>
    </r>
    <phoneticPr fontId="3" type="noConversion"/>
  </si>
  <si>
    <t>狹</t>
    <phoneticPr fontId="3" type="noConversion"/>
  </si>
  <si>
    <t>mʔ</t>
  </si>
  <si>
    <t>ㆬ</t>
    <phoneticPr fontId="3" type="noConversion"/>
  </si>
  <si>
    <t>姆</t>
    <phoneticPr fontId="3" type="noConversion"/>
  </si>
  <si>
    <t>ㆬㆷ</t>
    <phoneticPr fontId="3" type="noConversion"/>
  </si>
  <si>
    <t>默</t>
    <phoneticPr fontId="3" type="noConversion"/>
  </si>
  <si>
    <t>ŋʔ</t>
  </si>
  <si>
    <t>ㆭ</t>
    <phoneticPr fontId="3" type="noConversion"/>
  </si>
  <si>
    <t>秧</t>
    <phoneticPr fontId="3" type="noConversion"/>
  </si>
  <si>
    <t>ㆭㆷ</t>
    <phoneticPr fontId="3" type="noConversion"/>
  </si>
  <si>
    <t>iook</t>
    <phoneticPr fontId="3" type="noConversion"/>
  </si>
  <si>
    <t>ook</t>
    <phoneticPr fontId="3" type="noConversion"/>
  </si>
  <si>
    <t>oonnh</t>
    <phoneticPr fontId="3" type="noConversion"/>
  </si>
  <si>
    <t>ba</t>
  </si>
  <si>
    <t>ga</t>
  </si>
  <si>
    <t>ha</t>
  </si>
  <si>
    <t>ka</t>
  </si>
  <si>
    <t>kha</t>
  </si>
  <si>
    <t>la</t>
  </si>
  <si>
    <t>ma</t>
  </si>
  <si>
    <t>nga</t>
  </si>
  <si>
    <t>pa</t>
  </si>
  <si>
    <t>pha</t>
  </si>
  <si>
    <t>sa</t>
  </si>
  <si>
    <t>ta</t>
  </si>
  <si>
    <t>tha</t>
  </si>
  <si>
    <t>tsa</t>
  </si>
  <si>
    <t>tsha</t>
  </si>
  <si>
    <t>bah</t>
  </si>
  <si>
    <t>hah</t>
  </si>
  <si>
    <t>kah</t>
  </si>
  <si>
    <t>khah</t>
  </si>
  <si>
    <t>lah</t>
  </si>
  <si>
    <t>pah</t>
  </si>
  <si>
    <t>phah</t>
  </si>
  <si>
    <t>sah</t>
  </si>
  <si>
    <t>tah</t>
  </si>
  <si>
    <t>thah</t>
  </si>
  <si>
    <t>tsah</t>
  </si>
  <si>
    <t>tshah</t>
  </si>
  <si>
    <t>bai</t>
  </si>
  <si>
    <t>gai</t>
  </si>
  <si>
    <t>hai</t>
  </si>
  <si>
    <t>kai</t>
  </si>
  <si>
    <t>khai</t>
  </si>
  <si>
    <t>lai</t>
  </si>
  <si>
    <t>mai</t>
  </si>
  <si>
    <t>ngai</t>
  </si>
  <si>
    <t>pai</t>
  </si>
  <si>
    <t>phai</t>
  </si>
  <si>
    <t>sai</t>
  </si>
  <si>
    <t>tai</t>
  </si>
  <si>
    <t>thai</t>
  </si>
  <si>
    <t>tsai</t>
  </si>
  <si>
    <t>tshai</t>
  </si>
  <si>
    <t>hainn</t>
  </si>
  <si>
    <t>kainn</t>
  </si>
  <si>
    <t>khainn</t>
  </si>
  <si>
    <t>phainn</t>
  </si>
  <si>
    <t>tainn</t>
  </si>
  <si>
    <t>tsainn</t>
  </si>
  <si>
    <t>bak</t>
  </si>
  <si>
    <t>gak</t>
  </si>
  <si>
    <t>hak</t>
  </si>
  <si>
    <t>kak</t>
  </si>
  <si>
    <t>khak</t>
  </si>
  <si>
    <t>lak</t>
  </si>
  <si>
    <t>pak</t>
  </si>
  <si>
    <t>phak</t>
  </si>
  <si>
    <t>sak</t>
  </si>
  <si>
    <t>tak</t>
  </si>
  <si>
    <t>thak</t>
  </si>
  <si>
    <t>tsak</t>
  </si>
  <si>
    <t>tshak</t>
  </si>
  <si>
    <t>gam</t>
  </si>
  <si>
    <t>ham</t>
  </si>
  <si>
    <t>kam</t>
  </si>
  <si>
    <t>kham</t>
  </si>
  <si>
    <t>lam</t>
  </si>
  <si>
    <t>sam</t>
  </si>
  <si>
    <t>tam</t>
  </si>
  <si>
    <t>tham</t>
  </si>
  <si>
    <t>tsam</t>
  </si>
  <si>
    <t>tsham</t>
  </si>
  <si>
    <t>ban</t>
  </si>
  <si>
    <t>gan</t>
  </si>
  <si>
    <t>han</t>
  </si>
  <si>
    <t>kan</t>
  </si>
  <si>
    <t>khan</t>
  </si>
  <si>
    <t>lan</t>
  </si>
  <si>
    <t>pan</t>
  </si>
  <si>
    <t>phan</t>
  </si>
  <si>
    <t>san</t>
  </si>
  <si>
    <t>tan</t>
  </si>
  <si>
    <t>than</t>
  </si>
  <si>
    <t>tsan</t>
  </si>
  <si>
    <t>tshan</t>
  </si>
  <si>
    <t>bang</t>
  </si>
  <si>
    <t>gang</t>
  </si>
  <si>
    <t>hang</t>
  </si>
  <si>
    <t>kang</t>
  </si>
  <si>
    <t>khang</t>
  </si>
  <si>
    <t>lang</t>
  </si>
  <si>
    <t>pang</t>
  </si>
  <si>
    <t>phang</t>
  </si>
  <si>
    <t>sang</t>
  </si>
  <si>
    <t>tang</t>
  </si>
  <si>
    <t>thang</t>
  </si>
  <si>
    <t>tsang</t>
  </si>
  <si>
    <t>tshang</t>
  </si>
  <si>
    <t>hann</t>
  </si>
  <si>
    <t>kann</t>
  </si>
  <si>
    <t>khann</t>
  </si>
  <si>
    <t>phann</t>
  </si>
  <si>
    <t>sann</t>
  </si>
  <si>
    <t>tann</t>
  </si>
  <si>
    <t>thann</t>
  </si>
  <si>
    <t>tsann</t>
  </si>
  <si>
    <t>tshann</t>
  </si>
  <si>
    <t>hannh</t>
  </si>
  <si>
    <t>sannh</t>
  </si>
  <si>
    <t>hap</t>
  </si>
  <si>
    <t>kap</t>
  </si>
  <si>
    <t>khap</t>
  </si>
  <si>
    <t>lap</t>
  </si>
  <si>
    <t>sap</t>
  </si>
  <si>
    <t>tap</t>
  </si>
  <si>
    <t>thap</t>
  </si>
  <si>
    <t>tsap</t>
  </si>
  <si>
    <t>tshap</t>
  </si>
  <si>
    <t>bat</t>
  </si>
  <si>
    <t>hat</t>
  </si>
  <si>
    <t>kat</t>
  </si>
  <si>
    <t>khat</t>
  </si>
  <si>
    <t>lat</t>
  </si>
  <si>
    <t>pat</t>
  </si>
  <si>
    <t>sat</t>
  </si>
  <si>
    <t>tat</t>
  </si>
  <si>
    <t>that</t>
  </si>
  <si>
    <t>tsat</t>
  </si>
  <si>
    <t>tshat</t>
  </si>
  <si>
    <t>bau</t>
  </si>
  <si>
    <t>gau</t>
  </si>
  <si>
    <t>hau</t>
  </si>
  <si>
    <t>kau</t>
  </si>
  <si>
    <t>khau</t>
  </si>
  <si>
    <t>lau</t>
  </si>
  <si>
    <t>mau</t>
  </si>
  <si>
    <t>nau</t>
  </si>
  <si>
    <t>ngau</t>
  </si>
  <si>
    <t>pau</t>
  </si>
  <si>
    <t>phau</t>
  </si>
  <si>
    <t>sau</t>
  </si>
  <si>
    <t>tau</t>
  </si>
  <si>
    <t>thau</t>
  </si>
  <si>
    <t>tsau</t>
  </si>
  <si>
    <t>tshau</t>
  </si>
  <si>
    <t>kauh</t>
  </si>
  <si>
    <t>lauh</t>
  </si>
  <si>
    <t>mauh</t>
  </si>
  <si>
    <t>nauh</t>
  </si>
  <si>
    <t>phauh</t>
  </si>
  <si>
    <t>tauh</t>
  </si>
  <si>
    <t>tshauh</t>
  </si>
  <si>
    <t>be</t>
  </si>
  <si>
    <t>ge</t>
  </si>
  <si>
    <t>he</t>
  </si>
  <si>
    <t>ke</t>
  </si>
  <si>
    <t>khe</t>
  </si>
  <si>
    <t>le</t>
  </si>
  <si>
    <t>me</t>
  </si>
  <si>
    <t>nge</t>
  </si>
  <si>
    <t>pe</t>
  </si>
  <si>
    <t>phe</t>
  </si>
  <si>
    <t>se</t>
  </si>
  <si>
    <t>te</t>
  </si>
  <si>
    <t>the</t>
  </si>
  <si>
    <t>tse</t>
  </si>
  <si>
    <t>tshe</t>
  </si>
  <si>
    <t>beh</t>
  </si>
  <si>
    <t>heh</t>
  </si>
  <si>
    <t>keh</t>
  </si>
  <si>
    <t>kheh</t>
  </si>
  <si>
    <t>leh</t>
  </si>
  <si>
    <t>meh</t>
  </si>
  <si>
    <t>ngeh</t>
  </si>
  <si>
    <t>peh</t>
  </si>
  <si>
    <t>seh</t>
  </si>
  <si>
    <t>teh</t>
  </si>
  <si>
    <t>theh</t>
  </si>
  <si>
    <t>tseh</t>
  </si>
  <si>
    <t>tsheh</t>
  </si>
  <si>
    <t>henn</t>
  </si>
  <si>
    <t>kenn</t>
  </si>
  <si>
    <t>khenn</t>
  </si>
  <si>
    <t>penn</t>
  </si>
  <si>
    <t>phenn</t>
  </si>
  <si>
    <t>senn</t>
  </si>
  <si>
    <t>tenn</t>
  </si>
  <si>
    <t>thenn</t>
  </si>
  <si>
    <t>tsenn</t>
  </si>
  <si>
    <t>tshenn</t>
  </si>
  <si>
    <t>hennh</t>
  </si>
  <si>
    <t>khennh</t>
  </si>
  <si>
    <t>bi</t>
  </si>
  <si>
    <t>gi</t>
  </si>
  <si>
    <t>hi</t>
  </si>
  <si>
    <t>ki</t>
  </si>
  <si>
    <t>khi</t>
  </si>
  <si>
    <t>li</t>
  </si>
  <si>
    <t>mi</t>
  </si>
  <si>
    <t>pi</t>
  </si>
  <si>
    <t>phi</t>
  </si>
  <si>
    <t>ti</t>
  </si>
  <si>
    <t>thi</t>
  </si>
  <si>
    <t>gia</t>
  </si>
  <si>
    <t>hia</t>
  </si>
  <si>
    <t>jia</t>
  </si>
  <si>
    <t>kia</t>
  </si>
  <si>
    <t>khia</t>
  </si>
  <si>
    <t>mia</t>
  </si>
  <si>
    <t>ngia</t>
  </si>
  <si>
    <t>sia</t>
  </si>
  <si>
    <t>tia</t>
  </si>
  <si>
    <t>tsia</t>
  </si>
  <si>
    <t>tshia</t>
  </si>
  <si>
    <t>giah</t>
  </si>
  <si>
    <t>hiah</t>
  </si>
  <si>
    <t>kiah</t>
  </si>
  <si>
    <t>khiah</t>
  </si>
  <si>
    <t>liah</t>
  </si>
  <si>
    <t>piah</t>
  </si>
  <si>
    <t>phiah</t>
  </si>
  <si>
    <t>siah</t>
  </si>
  <si>
    <t>tiah</t>
  </si>
  <si>
    <t>thiah</t>
  </si>
  <si>
    <t>tsiah</t>
  </si>
  <si>
    <t>tshiah</t>
  </si>
  <si>
    <t>khiak</t>
  </si>
  <si>
    <t>piak</t>
  </si>
  <si>
    <t>phiak</t>
  </si>
  <si>
    <t>siak</t>
  </si>
  <si>
    <t>tiak</t>
  </si>
  <si>
    <t>tshiak</t>
  </si>
  <si>
    <t>giam</t>
  </si>
  <si>
    <t>hiam</t>
  </si>
  <si>
    <t>jiam</t>
  </si>
  <si>
    <t>kiam</t>
  </si>
  <si>
    <t>khiam</t>
  </si>
  <si>
    <t>liam</t>
  </si>
  <si>
    <t>siam</t>
  </si>
  <si>
    <t>tiam</t>
  </si>
  <si>
    <t>thiam</t>
  </si>
  <si>
    <t>tsiam</t>
  </si>
  <si>
    <t>tshiam</t>
  </si>
  <si>
    <t>bian</t>
  </si>
  <si>
    <t>gian</t>
  </si>
  <si>
    <t>hian</t>
  </si>
  <si>
    <t>jian</t>
  </si>
  <si>
    <t>kian</t>
  </si>
  <si>
    <t>khian</t>
  </si>
  <si>
    <t>lian</t>
  </si>
  <si>
    <t>pian</t>
  </si>
  <si>
    <t>phian</t>
  </si>
  <si>
    <t>sian</t>
  </si>
  <si>
    <t>tian</t>
  </si>
  <si>
    <t>thian</t>
  </si>
  <si>
    <t>tsian</t>
  </si>
  <si>
    <t>tshian</t>
  </si>
  <si>
    <t>giang</t>
  </si>
  <si>
    <t>hiang</t>
  </si>
  <si>
    <t>jiang</t>
  </si>
  <si>
    <t>khiang</t>
  </si>
  <si>
    <t>liang</t>
  </si>
  <si>
    <t>piang</t>
  </si>
  <si>
    <t>phiang</t>
  </si>
  <si>
    <t>siang</t>
  </si>
  <si>
    <t>tsiang</t>
  </si>
  <si>
    <t>tshiang</t>
  </si>
  <si>
    <t>hiann</t>
  </si>
  <si>
    <t>kiann</t>
  </si>
  <si>
    <t>piann</t>
  </si>
  <si>
    <t>siann</t>
  </si>
  <si>
    <t>tiann</t>
  </si>
  <si>
    <t>thiann</t>
  </si>
  <si>
    <t>tsiann</t>
  </si>
  <si>
    <t>tshiann</t>
  </si>
  <si>
    <t>hiannh</t>
  </si>
  <si>
    <t>giap</t>
  </si>
  <si>
    <t>hiap</t>
  </si>
  <si>
    <t>jiap</t>
  </si>
  <si>
    <t>kiap</t>
  </si>
  <si>
    <t>khiap</t>
  </si>
  <si>
    <t>liap</t>
  </si>
  <si>
    <t>siap</t>
  </si>
  <si>
    <t>tiap</t>
  </si>
  <si>
    <t>thiap</t>
  </si>
  <si>
    <t>tsiap</t>
  </si>
  <si>
    <t>tshiap</t>
  </si>
  <si>
    <t>biat</t>
  </si>
  <si>
    <t>giat</t>
  </si>
  <si>
    <t>hiat</t>
  </si>
  <si>
    <t>jiat</t>
  </si>
  <si>
    <t>kiat</t>
  </si>
  <si>
    <t>khiat</t>
  </si>
  <si>
    <t>liat</t>
  </si>
  <si>
    <t>piat</t>
  </si>
  <si>
    <t>phiat</t>
  </si>
  <si>
    <t>siat</t>
  </si>
  <si>
    <t>tiat</t>
  </si>
  <si>
    <t>thiat</t>
  </si>
  <si>
    <t>tsiat</t>
  </si>
  <si>
    <t>tshiat</t>
  </si>
  <si>
    <t>biau</t>
  </si>
  <si>
    <t>giau</t>
  </si>
  <si>
    <t>hiau</t>
  </si>
  <si>
    <t>jiau</t>
  </si>
  <si>
    <t>kiau</t>
  </si>
  <si>
    <t>khiau</t>
  </si>
  <si>
    <t>liau</t>
  </si>
  <si>
    <t>miau</t>
  </si>
  <si>
    <t>niau</t>
  </si>
  <si>
    <t>ngiau</t>
  </si>
  <si>
    <t>piau</t>
  </si>
  <si>
    <t>phiau</t>
  </si>
  <si>
    <t>siau</t>
  </si>
  <si>
    <t>tiau</t>
  </si>
  <si>
    <t>thiau</t>
  </si>
  <si>
    <t>tsiau</t>
  </si>
  <si>
    <t>tshiau</t>
  </si>
  <si>
    <t>hiauh</t>
  </si>
  <si>
    <t>khiauh</t>
  </si>
  <si>
    <t>ngiauh</t>
  </si>
  <si>
    <t>bih</t>
  </si>
  <si>
    <t>khih</t>
  </si>
  <si>
    <t>mih</t>
  </si>
  <si>
    <t>pih</t>
  </si>
  <si>
    <t>phih</t>
  </si>
  <si>
    <t>sih</t>
  </si>
  <si>
    <t>tih</t>
  </si>
  <si>
    <t>thih</t>
  </si>
  <si>
    <t>tsih</t>
  </si>
  <si>
    <t>tshih</t>
  </si>
  <si>
    <t>bik</t>
  </si>
  <si>
    <t>gik</t>
  </si>
  <si>
    <t>hik</t>
  </si>
  <si>
    <t>kik</t>
  </si>
  <si>
    <t>lik</t>
  </si>
  <si>
    <t>pik</t>
  </si>
  <si>
    <t>phik</t>
  </si>
  <si>
    <t>sik</t>
  </si>
  <si>
    <t>tik</t>
  </si>
  <si>
    <t>thik</t>
  </si>
  <si>
    <t>tsik</t>
  </si>
  <si>
    <t>tshik</t>
  </si>
  <si>
    <t>gim</t>
  </si>
  <si>
    <t>him</t>
  </si>
  <si>
    <t>jim</t>
  </si>
  <si>
    <t>kim</t>
  </si>
  <si>
    <t>khim</t>
  </si>
  <si>
    <t>lim</t>
  </si>
  <si>
    <t>sim</t>
  </si>
  <si>
    <t>tim</t>
  </si>
  <si>
    <t>thim</t>
  </si>
  <si>
    <t>tsim</t>
  </si>
  <si>
    <t>tshim</t>
  </si>
  <si>
    <t>bin</t>
  </si>
  <si>
    <t>gin</t>
  </si>
  <si>
    <t>hin</t>
  </si>
  <si>
    <t>jin</t>
  </si>
  <si>
    <t>kin</t>
  </si>
  <si>
    <t>khin</t>
  </si>
  <si>
    <t>lin</t>
  </si>
  <si>
    <t>pin</t>
  </si>
  <si>
    <t>phin</t>
  </si>
  <si>
    <t>sin</t>
  </si>
  <si>
    <t>tin</t>
  </si>
  <si>
    <t>thin</t>
  </si>
  <si>
    <t>tsin</t>
  </si>
  <si>
    <t>tshin</t>
  </si>
  <si>
    <t>bing</t>
  </si>
  <si>
    <t>ging</t>
  </si>
  <si>
    <t>hing</t>
  </si>
  <si>
    <t>king</t>
  </si>
  <si>
    <t>khing</t>
  </si>
  <si>
    <t>ling</t>
  </si>
  <si>
    <t>ping</t>
  </si>
  <si>
    <t>phing</t>
  </si>
  <si>
    <t>sing</t>
  </si>
  <si>
    <t>ting</t>
  </si>
  <si>
    <t>thing</t>
  </si>
  <si>
    <t>tsing</t>
  </si>
  <si>
    <t>tshing</t>
  </si>
  <si>
    <t>hinn</t>
  </si>
  <si>
    <t>kinn</t>
  </si>
  <si>
    <t>khinn</t>
  </si>
  <si>
    <t>sinn</t>
  </si>
  <si>
    <t>tinn</t>
  </si>
  <si>
    <t>thinn</t>
  </si>
  <si>
    <t>tsinn</t>
  </si>
  <si>
    <t>tshinn</t>
  </si>
  <si>
    <t>bio</t>
  </si>
  <si>
    <t>gio</t>
  </si>
  <si>
    <t>hio</t>
  </si>
  <si>
    <t>jio</t>
  </si>
  <si>
    <t>kio</t>
  </si>
  <si>
    <t>khio</t>
  </si>
  <si>
    <t>lio</t>
  </si>
  <si>
    <t>pio</t>
  </si>
  <si>
    <t>phio</t>
  </si>
  <si>
    <t>sio</t>
  </si>
  <si>
    <t>tio</t>
  </si>
  <si>
    <t>thio</t>
  </si>
  <si>
    <t>tsio</t>
  </si>
  <si>
    <t>tshio</t>
  </si>
  <si>
    <t>gioh</t>
  </si>
  <si>
    <t>hioh</t>
  </si>
  <si>
    <t>kioh</t>
  </si>
  <si>
    <t>khioh</t>
  </si>
  <si>
    <t>lioh</t>
  </si>
  <si>
    <t>sioh</t>
  </si>
  <si>
    <t>tioh</t>
  </si>
  <si>
    <t>tsioh</t>
  </si>
  <si>
    <t>tshioh</t>
  </si>
  <si>
    <t>giok</t>
  </si>
  <si>
    <t>hiok</t>
  </si>
  <si>
    <t>jiok</t>
  </si>
  <si>
    <t>kiok</t>
  </si>
  <si>
    <t>khiok</t>
  </si>
  <si>
    <t>liok</t>
  </si>
  <si>
    <t>siok</t>
  </si>
  <si>
    <t>tiok</t>
  </si>
  <si>
    <t>thiok</t>
  </si>
  <si>
    <t>tsiok</t>
  </si>
  <si>
    <t>tshiok</t>
  </si>
  <si>
    <t>giong</t>
  </si>
  <si>
    <t>hiong</t>
  </si>
  <si>
    <t>jiong</t>
  </si>
  <si>
    <t>kiong</t>
  </si>
  <si>
    <t>khiong</t>
  </si>
  <si>
    <t>liong</t>
  </si>
  <si>
    <t>siong</t>
  </si>
  <si>
    <t>tiong</t>
  </si>
  <si>
    <t>thiong</t>
  </si>
  <si>
    <t>tsiong</t>
  </si>
  <si>
    <t>tshiong</t>
  </si>
  <si>
    <t>hip</t>
  </si>
  <si>
    <t>jip</t>
  </si>
  <si>
    <t>kip</t>
  </si>
  <si>
    <t>khip</t>
  </si>
  <si>
    <t>lip</t>
  </si>
  <si>
    <t>sip</t>
  </si>
  <si>
    <t>tsip</t>
  </si>
  <si>
    <t>tship</t>
  </si>
  <si>
    <t>bit</t>
  </si>
  <si>
    <t>hit</t>
  </si>
  <si>
    <t>jit</t>
  </si>
  <si>
    <t>kit</t>
  </si>
  <si>
    <t>khit</t>
  </si>
  <si>
    <t>pit</t>
  </si>
  <si>
    <t>phit</t>
  </si>
  <si>
    <t>sit</t>
  </si>
  <si>
    <t>tit</t>
  </si>
  <si>
    <t>tsit</t>
  </si>
  <si>
    <t>tshit</t>
  </si>
  <si>
    <t>biu</t>
  </si>
  <si>
    <t>giu</t>
  </si>
  <si>
    <t>hiu</t>
  </si>
  <si>
    <t>jiu</t>
  </si>
  <si>
    <t>kiu</t>
  </si>
  <si>
    <t>khiu</t>
  </si>
  <si>
    <t>liu</t>
  </si>
  <si>
    <t>piu</t>
  </si>
  <si>
    <t>siu</t>
  </si>
  <si>
    <t>tiu</t>
  </si>
  <si>
    <t>thiu</t>
  </si>
  <si>
    <t>tsiu</t>
  </si>
  <si>
    <t>tshiu</t>
  </si>
  <si>
    <t>hiunn</t>
  </si>
  <si>
    <t>kiunn</t>
  </si>
  <si>
    <t>khiunn</t>
  </si>
  <si>
    <t>siunn</t>
  </si>
  <si>
    <t>tiunn</t>
  </si>
  <si>
    <t>tsiunn</t>
  </si>
  <si>
    <t>tshiunn</t>
  </si>
  <si>
    <t>hiunnh</t>
  </si>
  <si>
    <t>hm</t>
  </si>
  <si>
    <t>hmh</t>
  </si>
  <si>
    <t>hng</t>
  </si>
  <si>
    <t>kng</t>
  </si>
  <si>
    <t>khng</t>
  </si>
  <si>
    <t>mng</t>
  </si>
  <si>
    <t>nng</t>
  </si>
  <si>
    <t>png</t>
  </si>
  <si>
    <t>sng</t>
  </si>
  <si>
    <t>tng</t>
  </si>
  <si>
    <t>thng</t>
  </si>
  <si>
    <t>tsng</t>
  </si>
  <si>
    <t>tshng</t>
  </si>
  <si>
    <t>hngh</t>
  </si>
  <si>
    <t>phngh</t>
  </si>
  <si>
    <t>sngh</t>
  </si>
  <si>
    <t>tshngh</t>
  </si>
  <si>
    <t>bo</t>
  </si>
  <si>
    <t>go</t>
  </si>
  <si>
    <t>ho</t>
  </si>
  <si>
    <t>ko</t>
  </si>
  <si>
    <t>kho</t>
  </si>
  <si>
    <t>lo</t>
  </si>
  <si>
    <t>po</t>
  </si>
  <si>
    <t>pho</t>
  </si>
  <si>
    <t>so</t>
  </si>
  <si>
    <t>to</t>
  </si>
  <si>
    <t>tho</t>
  </si>
  <si>
    <t>tso</t>
  </si>
  <si>
    <t>tsho</t>
  </si>
  <si>
    <t>hoh</t>
  </si>
  <si>
    <t>koh</t>
  </si>
  <si>
    <t>loh</t>
  </si>
  <si>
    <t>poh</t>
  </si>
  <si>
    <t>phoh</t>
  </si>
  <si>
    <t>soh</t>
  </si>
  <si>
    <t>toh</t>
  </si>
  <si>
    <t>thoh</t>
  </si>
  <si>
    <t>tsoh</t>
  </si>
  <si>
    <t>tshoh</t>
  </si>
  <si>
    <t>bok</t>
  </si>
  <si>
    <t>gok</t>
  </si>
  <si>
    <t>hok</t>
  </si>
  <si>
    <t>kok</t>
  </si>
  <si>
    <t>khok</t>
  </si>
  <si>
    <t>lok</t>
  </si>
  <si>
    <t>pok</t>
  </si>
  <si>
    <t>phok</t>
  </si>
  <si>
    <t>sok</t>
  </si>
  <si>
    <t>tok</t>
  </si>
  <si>
    <t>thok</t>
  </si>
  <si>
    <t>tsok</t>
  </si>
  <si>
    <t>tshok</t>
  </si>
  <si>
    <t>som</t>
  </si>
  <si>
    <t>tom</t>
  </si>
  <si>
    <t>bong</t>
  </si>
  <si>
    <t>gong</t>
  </si>
  <si>
    <t>hong</t>
  </si>
  <si>
    <t>kong</t>
  </si>
  <si>
    <t>khong</t>
  </si>
  <si>
    <t>long</t>
  </si>
  <si>
    <t>pong</t>
  </si>
  <si>
    <t>phong</t>
  </si>
  <si>
    <t>song</t>
  </si>
  <si>
    <t>tong</t>
  </si>
  <si>
    <t>thong</t>
  </si>
  <si>
    <t>tsong</t>
  </si>
  <si>
    <t>tshong</t>
  </si>
  <si>
    <t>honn</t>
  </si>
  <si>
    <t>konn</t>
  </si>
  <si>
    <t>honnh</t>
  </si>
  <si>
    <t>boo</t>
  </si>
  <si>
    <t>goo</t>
  </si>
  <si>
    <t>hoo</t>
  </si>
  <si>
    <t>koo</t>
  </si>
  <si>
    <t>khoo</t>
  </si>
  <si>
    <t>loo</t>
  </si>
  <si>
    <t>moo</t>
  </si>
  <si>
    <t>ngoo</t>
  </si>
  <si>
    <t>poo</t>
  </si>
  <si>
    <t>phoo</t>
  </si>
  <si>
    <t>soo</t>
  </si>
  <si>
    <t>too</t>
  </si>
  <si>
    <t>thoo</t>
  </si>
  <si>
    <t>tsoo</t>
  </si>
  <si>
    <t>tshoo</t>
  </si>
  <si>
    <t>mooh</t>
  </si>
  <si>
    <t>bu</t>
  </si>
  <si>
    <t>gu</t>
  </si>
  <si>
    <t>hu</t>
  </si>
  <si>
    <t>ju</t>
  </si>
  <si>
    <t>ku</t>
  </si>
  <si>
    <t>khu</t>
  </si>
  <si>
    <t>lu</t>
  </si>
  <si>
    <t>pu</t>
  </si>
  <si>
    <t>phu</t>
  </si>
  <si>
    <t>su</t>
  </si>
  <si>
    <t>tu</t>
  </si>
  <si>
    <t>thu</t>
  </si>
  <si>
    <t>tsu</t>
  </si>
  <si>
    <t>tshu</t>
  </si>
  <si>
    <t>bua</t>
  </si>
  <si>
    <t>gua</t>
  </si>
  <si>
    <t>hua</t>
  </si>
  <si>
    <t>kua</t>
  </si>
  <si>
    <t>khua</t>
  </si>
  <si>
    <t>lua</t>
  </si>
  <si>
    <t>mua</t>
  </si>
  <si>
    <t>pua</t>
  </si>
  <si>
    <t>phua</t>
  </si>
  <si>
    <t>sua</t>
  </si>
  <si>
    <t>tua</t>
  </si>
  <si>
    <t>thua</t>
  </si>
  <si>
    <t>tsua</t>
  </si>
  <si>
    <t>tshua</t>
  </si>
  <si>
    <t>buah</t>
  </si>
  <si>
    <t>huah</t>
  </si>
  <si>
    <t>juah</t>
  </si>
  <si>
    <t>kuah</t>
  </si>
  <si>
    <t>khuah</t>
  </si>
  <si>
    <t>luah</t>
  </si>
  <si>
    <t>puah</t>
  </si>
  <si>
    <t>phuah</t>
  </si>
  <si>
    <t>suah</t>
  </si>
  <si>
    <t>thuah</t>
  </si>
  <si>
    <t>tsuah</t>
  </si>
  <si>
    <t>tshuah</t>
  </si>
  <si>
    <t>huai</t>
  </si>
  <si>
    <t>kuai</t>
  </si>
  <si>
    <t>khuai</t>
  </si>
  <si>
    <t>suai</t>
  </si>
  <si>
    <t>huainn</t>
  </si>
  <si>
    <t>kuainn</t>
  </si>
  <si>
    <t>suainn</t>
  </si>
  <si>
    <t>tsuainn</t>
  </si>
  <si>
    <t>buan</t>
  </si>
  <si>
    <t>guan</t>
  </si>
  <si>
    <t>huan</t>
  </si>
  <si>
    <t>kuan</t>
  </si>
  <si>
    <t>khuan</t>
  </si>
  <si>
    <t>luan</t>
  </si>
  <si>
    <t>puan</t>
  </si>
  <si>
    <t>phuan</t>
  </si>
  <si>
    <t>suan</t>
  </si>
  <si>
    <t>tuan</t>
  </si>
  <si>
    <t>thuan</t>
  </si>
  <si>
    <t>tsuan</t>
  </si>
  <si>
    <t>tshuan</t>
  </si>
  <si>
    <t>tshuang</t>
  </si>
  <si>
    <t>huann</t>
  </si>
  <si>
    <t>kuann</t>
  </si>
  <si>
    <t>khuann</t>
  </si>
  <si>
    <t>puann</t>
  </si>
  <si>
    <t>phuann</t>
  </si>
  <si>
    <t>suann</t>
  </si>
  <si>
    <t>tuann</t>
  </si>
  <si>
    <t>thuann</t>
  </si>
  <si>
    <t>tshuann</t>
  </si>
  <si>
    <t>buat</t>
  </si>
  <si>
    <t>guat</t>
  </si>
  <si>
    <t>huat</t>
  </si>
  <si>
    <t>kuat</t>
  </si>
  <si>
    <t>khuat</t>
  </si>
  <si>
    <t>luat</t>
  </si>
  <si>
    <t>puat</t>
  </si>
  <si>
    <t>phuat</t>
  </si>
  <si>
    <t>suat</t>
  </si>
  <si>
    <t>tuat</t>
  </si>
  <si>
    <t>thuat</t>
  </si>
  <si>
    <t>tsuat</t>
  </si>
  <si>
    <t>bue</t>
  </si>
  <si>
    <t>gue</t>
  </si>
  <si>
    <t>hue</t>
  </si>
  <si>
    <t>jue</t>
  </si>
  <si>
    <t>kue</t>
  </si>
  <si>
    <t>khue</t>
  </si>
  <si>
    <t>lue</t>
  </si>
  <si>
    <t>pue</t>
  </si>
  <si>
    <t>phue</t>
  </si>
  <si>
    <t>sue</t>
  </si>
  <si>
    <t>tue</t>
  </si>
  <si>
    <t>tsue</t>
  </si>
  <si>
    <t>tshue</t>
  </si>
  <si>
    <t>bueh</t>
  </si>
  <si>
    <t>gueh</t>
  </si>
  <si>
    <t>hueh</t>
  </si>
  <si>
    <t>kueh</t>
  </si>
  <si>
    <t>khueh</t>
  </si>
  <si>
    <t>pueh</t>
  </si>
  <si>
    <t>phueh</t>
  </si>
  <si>
    <t>sueh</t>
  </si>
  <si>
    <t>khuh</t>
  </si>
  <si>
    <t>puh</t>
  </si>
  <si>
    <t>phuh</t>
  </si>
  <si>
    <t>tuh</t>
  </si>
  <si>
    <t>thuh</t>
  </si>
  <si>
    <t>tsuh</t>
  </si>
  <si>
    <t>tshuh</t>
  </si>
  <si>
    <t>bui</t>
  </si>
  <si>
    <t>gui</t>
  </si>
  <si>
    <t>hui</t>
  </si>
  <si>
    <t>kui</t>
  </si>
  <si>
    <t>khui</t>
  </si>
  <si>
    <t>lui</t>
  </si>
  <si>
    <t>mui</t>
  </si>
  <si>
    <t>pui</t>
  </si>
  <si>
    <t>phui</t>
  </si>
  <si>
    <t>sui</t>
  </si>
  <si>
    <t>tui</t>
  </si>
  <si>
    <t>thui</t>
  </si>
  <si>
    <t>tsui</t>
  </si>
  <si>
    <t>tshui</t>
  </si>
  <si>
    <t>bun</t>
  </si>
  <si>
    <t>gun</t>
  </si>
  <si>
    <t>hun</t>
  </si>
  <si>
    <t>jun</t>
  </si>
  <si>
    <t>kun</t>
  </si>
  <si>
    <t>khun</t>
  </si>
  <si>
    <t>lun</t>
  </si>
  <si>
    <t>pun</t>
  </si>
  <si>
    <t>phun</t>
  </si>
  <si>
    <t>sun</t>
  </si>
  <si>
    <t>tun</t>
  </si>
  <si>
    <t>thun</t>
  </si>
  <si>
    <t>tsun</t>
  </si>
  <si>
    <t>tshun</t>
  </si>
  <si>
    <t>but</t>
  </si>
  <si>
    <t>hut</t>
  </si>
  <si>
    <t>kut</t>
  </si>
  <si>
    <t>khut</t>
  </si>
  <si>
    <t>lut</t>
  </si>
  <si>
    <t>put</t>
  </si>
  <si>
    <t>phut</t>
  </si>
  <si>
    <t>sut</t>
  </si>
  <si>
    <t>tut</t>
  </si>
  <si>
    <t>thut</t>
  </si>
  <si>
    <t>tsut</t>
  </si>
  <si>
    <t>tshut</t>
  </si>
  <si>
    <t>韻腹國際音標</t>
  </si>
  <si>
    <t>國際音標</t>
  </si>
  <si>
    <t>羅馬拼音字母</t>
  </si>
  <si>
    <t>漢字範例</t>
  </si>
  <si>
    <t>阿</t>
  </si>
  <si>
    <t>餡</t>
  </si>
  <si>
    <t>庵</t>
  </si>
  <si>
    <t>安</t>
  </si>
  <si>
    <t>尪</t>
  </si>
  <si>
    <t>壓</t>
  </si>
  <si>
    <t>遏</t>
  </si>
  <si>
    <t>握</t>
  </si>
  <si>
    <t>鴨</t>
  </si>
  <si>
    <t>哀</t>
  </si>
  <si>
    <t>閑</t>
  </si>
  <si>
    <t>邁</t>
  </si>
  <si>
    <t>甌</t>
  </si>
  <si>
    <t>暴</t>
  </si>
  <si>
    <t>家</t>
  </si>
  <si>
    <t>永</t>
  </si>
  <si>
    <t>ㆤㆻ</t>
  </si>
  <si>
    <t>格</t>
  </si>
  <si>
    <t>嬰</t>
  </si>
  <si>
    <t>厄</t>
  </si>
  <si>
    <t>伊</t>
  </si>
  <si>
    <t>燕</t>
  </si>
  <si>
    <t>音</t>
  </si>
  <si>
    <t>因</t>
  </si>
  <si>
    <t>揖</t>
  </si>
  <si>
    <t>乙</t>
  </si>
  <si>
    <t>舌</t>
  </si>
  <si>
    <t>耶</t>
  </si>
  <si>
    <t>纓</t>
  </si>
  <si>
    <t>閹</t>
  </si>
  <si>
    <t>煙</t>
  </si>
  <si>
    <t>雙</t>
  </si>
  <si>
    <t>葉</t>
  </si>
  <si>
    <t>閱</t>
  </si>
  <si>
    <t>約</t>
  </si>
  <si>
    <t>役</t>
  </si>
  <si>
    <t>妖</t>
  </si>
  <si>
    <t>貓</t>
  </si>
  <si>
    <t>沓</t>
  </si>
  <si>
    <t>腰</t>
  </si>
  <si>
    <t>ioo</t>
  </si>
  <si>
    <t>ioonn</t>
  </si>
  <si>
    <t>iook</t>
  </si>
  <si>
    <t>着</t>
  </si>
  <si>
    <t>ㄧㆦ</t>
  </si>
  <si>
    <t>鴦</t>
  </si>
  <si>
    <t>雍</t>
  </si>
  <si>
    <t>育</t>
  </si>
  <si>
    <t>優</t>
  </si>
  <si>
    <t>er</t>
  </si>
  <si>
    <t>抽</t>
  </si>
  <si>
    <t>əʔ</t>
  </si>
  <si>
    <t>erh</t>
  </si>
  <si>
    <t>鍋</t>
  </si>
  <si>
    <t>or</t>
  </si>
  <si>
    <t>郭</t>
  </si>
  <si>
    <t>orh</t>
  </si>
  <si>
    <t>蚵</t>
  </si>
  <si>
    <t>oom</t>
  </si>
  <si>
    <t>oop</t>
  </si>
  <si>
    <t>ook</t>
  </si>
  <si>
    <t>博</t>
  </si>
  <si>
    <t>烏</t>
  </si>
  <si>
    <t>ɨ</t>
  </si>
  <si>
    <t>ir</t>
  </si>
  <si>
    <t>好</t>
  </si>
  <si>
    <t>丼</t>
  </si>
  <si>
    <t>ɨm</t>
  </si>
  <si>
    <t>irm</t>
  </si>
  <si>
    <t>irn</t>
  </si>
  <si>
    <t>汪</t>
  </si>
  <si>
    <t>irng</t>
  </si>
  <si>
    <t>irp˺</t>
  </si>
  <si>
    <t>irp</t>
  </si>
  <si>
    <t>irt˺</t>
  </si>
  <si>
    <t>irt</t>
  </si>
  <si>
    <t>惡</t>
  </si>
  <si>
    <t>irk˺</t>
  </si>
  <si>
    <t>irk</t>
  </si>
  <si>
    <t>瘼</t>
  </si>
  <si>
    <t>ㆨ</t>
  </si>
  <si>
    <t>於</t>
  </si>
  <si>
    <t>ㆨㆬ</t>
  </si>
  <si>
    <t>蔘</t>
  </si>
  <si>
    <t>ㆨㆭ</t>
  </si>
  <si>
    <t>登</t>
  </si>
  <si>
    <t>ㆨㆴ</t>
  </si>
  <si>
    <t>澀</t>
  </si>
  <si>
    <t>ㆨㆵ</t>
  </si>
  <si>
    <t>核</t>
  </si>
  <si>
    <t>ut˺</t>
  </si>
  <si>
    <t>ㆨㆻ</t>
  </si>
  <si>
    <t>疄</t>
  </si>
  <si>
    <t>污</t>
  </si>
  <si>
    <t>溫</t>
  </si>
  <si>
    <t>熨</t>
  </si>
  <si>
    <t>突</t>
  </si>
  <si>
    <t>娃</t>
  </si>
  <si>
    <t>鞍</t>
  </si>
  <si>
    <t>冤</t>
  </si>
  <si>
    <t>嚁</t>
  </si>
  <si>
    <t>越</t>
  </si>
  <si>
    <t>活</t>
  </si>
  <si>
    <t>歪</t>
  </si>
  <si>
    <t>uee</t>
  </si>
  <si>
    <t>關</t>
  </si>
  <si>
    <t>ㄨㄝ</t>
  </si>
  <si>
    <t>話</t>
  </si>
  <si>
    <t>劃</t>
  </si>
  <si>
    <t>威</t>
  </si>
  <si>
    <t>irinn</t>
  </si>
  <si>
    <t>ere</t>
  </si>
  <si>
    <t>ㆨㆪ</t>
  </si>
  <si>
    <t>əeʔ</t>
  </si>
  <si>
    <t>ereh</t>
  </si>
  <si>
    <t>ㄜㆤ</t>
  </si>
  <si>
    <t>挨</t>
  </si>
  <si>
    <t>ㄜㆤㆷ</t>
  </si>
  <si>
    <t>狹</t>
  </si>
  <si>
    <t>默</t>
  </si>
  <si>
    <t>聲母分類</t>
  </si>
  <si>
    <t>zz(i)</t>
  </si>
  <si>
    <t>ch(i)</t>
  </si>
  <si>
    <t>jj(i)</t>
  </si>
  <si>
    <t>sh(i)</t>
  </si>
  <si>
    <t>擺</t>
  </si>
  <si>
    <t>擲</t>
  </si>
  <si>
    <t>物</t>
  </si>
  <si>
    <t>挾</t>
  </si>
  <si>
    <t>咻</t>
  </si>
  <si>
    <t>膜</t>
  </si>
  <si>
    <t>秧</t>
  </si>
  <si>
    <t xml:space="preserve"> /p/</t>
    <phoneticPr fontId="3" type="noConversion"/>
  </si>
  <si>
    <t xml:space="preserve"> p</t>
  </si>
  <si>
    <t xml:space="preserve"> pʰ</t>
  </si>
  <si>
    <t xml:space="preserve"> b</t>
  </si>
  <si>
    <t xml:space="preserve"> m</t>
  </si>
  <si>
    <t xml:space="preserve"> t</t>
  </si>
  <si>
    <t xml:space="preserve"> tʰ</t>
  </si>
  <si>
    <t xml:space="preserve"> n</t>
  </si>
  <si>
    <t xml:space="preserve"> l</t>
  </si>
  <si>
    <t xml:space="preserve"> ʦ</t>
  </si>
  <si>
    <t xml:space="preserve"> ʦʰ</t>
  </si>
  <si>
    <t xml:space="preserve"> ʣ</t>
  </si>
  <si>
    <t xml:space="preserve"> s</t>
  </si>
  <si>
    <t xml:space="preserve"> ʨ</t>
  </si>
  <si>
    <t xml:space="preserve"> ʨʰ</t>
  </si>
  <si>
    <t xml:space="preserve"> ʥ</t>
  </si>
  <si>
    <t xml:space="preserve"> ɕ</t>
  </si>
  <si>
    <t xml:space="preserve"> k</t>
  </si>
  <si>
    <t xml:space="preserve"> kʰ</t>
  </si>
  <si>
    <t xml:space="preserve"> g</t>
  </si>
  <si>
    <t xml:space="preserve"> ŋ</t>
  </si>
  <si>
    <t xml:space="preserve"> h</t>
  </si>
  <si>
    <r>
      <rPr>
        <sz val="24"/>
        <color theme="1"/>
        <rFont val="新細明體"/>
        <family val="2"/>
        <charset val="136"/>
      </rPr>
      <t>唇音</t>
    </r>
  </si>
  <si>
    <r>
      <rPr>
        <sz val="24"/>
        <color theme="1"/>
        <rFont val="新細明體"/>
        <family val="2"/>
        <charset val="136"/>
      </rPr>
      <t>舌尖中音</t>
    </r>
  </si>
  <si>
    <r>
      <rPr>
        <sz val="24"/>
        <color theme="1"/>
        <rFont val="新細明體"/>
        <family val="2"/>
        <charset val="136"/>
      </rPr>
      <t>舌尖前音</t>
    </r>
  </si>
  <si>
    <r>
      <rPr>
        <sz val="24"/>
        <color theme="1"/>
        <rFont val="新細明體"/>
        <family val="2"/>
        <charset val="136"/>
      </rPr>
      <t>齦顎音</t>
    </r>
  </si>
  <si>
    <r>
      <rPr>
        <sz val="24"/>
        <color theme="1"/>
        <rFont val="新細明體"/>
        <family val="2"/>
        <charset val="136"/>
      </rPr>
      <t>舌根音</t>
    </r>
  </si>
  <si>
    <r>
      <rPr>
        <sz val="24"/>
        <color theme="1"/>
        <rFont val="新細明體"/>
        <family val="2"/>
        <charset val="136"/>
      </rPr>
      <t>喉音</t>
    </r>
  </si>
  <si>
    <r>
      <rPr>
        <sz val="24"/>
        <color theme="1"/>
        <rFont val="新細明體"/>
        <family val="2"/>
        <charset val="136"/>
      </rPr>
      <t>零聲母</t>
    </r>
  </si>
  <si>
    <r>
      <t>a</t>
    </r>
    <r>
      <rPr>
        <sz val="24"/>
        <color theme="1"/>
        <rFont val="新細明體"/>
        <family val="2"/>
        <charset val="136"/>
      </rPr>
      <t>ŋ</t>
    </r>
  </si>
  <si>
    <r>
      <t>a</t>
    </r>
    <r>
      <rPr>
        <sz val="24"/>
        <color theme="1"/>
        <rFont val="新細明體"/>
        <family val="2"/>
        <charset val="136"/>
      </rPr>
      <t>ɪ</t>
    </r>
  </si>
  <si>
    <r>
      <t>a</t>
    </r>
    <r>
      <rPr>
        <sz val="24"/>
        <color theme="1"/>
        <rFont val="新細明體"/>
        <family val="2"/>
        <charset val="136"/>
      </rPr>
      <t>ʊ</t>
    </r>
  </si>
  <si>
    <r>
      <t>ã</t>
    </r>
    <r>
      <rPr>
        <sz val="24"/>
        <color theme="1"/>
        <rFont val="新細明體"/>
        <family val="2"/>
        <charset val="136"/>
      </rPr>
      <t>ʊ</t>
    </r>
  </si>
  <si>
    <r>
      <t>a</t>
    </r>
    <r>
      <rPr>
        <sz val="24"/>
        <color theme="1"/>
        <rFont val="新細明體"/>
        <family val="2"/>
        <charset val="136"/>
      </rPr>
      <t>ʊ</t>
    </r>
    <r>
      <rPr>
        <sz val="24"/>
        <color theme="1"/>
        <rFont val="Arial"/>
        <family val="2"/>
      </rPr>
      <t>ʔ</t>
    </r>
  </si>
  <si>
    <r>
      <t>ã</t>
    </r>
    <r>
      <rPr>
        <sz val="24"/>
        <color theme="1"/>
        <rFont val="新細明體"/>
        <family val="2"/>
        <charset val="136"/>
      </rPr>
      <t>ʊ</t>
    </r>
    <r>
      <rPr>
        <sz val="24"/>
        <color theme="1"/>
        <rFont val="Arial"/>
        <family val="2"/>
      </rPr>
      <t>ʔ</t>
    </r>
  </si>
  <si>
    <r>
      <rPr>
        <sz val="24"/>
        <color theme="1"/>
        <rFont val="新細明體"/>
        <family val="2"/>
        <charset val="136"/>
      </rPr>
      <t>ɛ</t>
    </r>
  </si>
  <si>
    <r>
      <t>ə</t>
    </r>
    <r>
      <rPr>
        <sz val="24"/>
        <color theme="1"/>
        <rFont val="新細明體"/>
        <family val="2"/>
        <charset val="136"/>
      </rPr>
      <t>ŋ</t>
    </r>
  </si>
  <si>
    <r>
      <rPr>
        <sz val="24"/>
        <color theme="1"/>
        <rFont val="新細明體"/>
        <family val="2"/>
        <charset val="136"/>
      </rPr>
      <t>ɛ</t>
    </r>
    <r>
      <rPr>
        <sz val="24"/>
        <color theme="1"/>
        <rFont val="Arial"/>
        <family val="2"/>
      </rPr>
      <t>ʔ</t>
    </r>
  </si>
  <si>
    <r>
      <rPr>
        <sz val="24"/>
        <color theme="1"/>
        <rFont val="新細明體"/>
        <family val="2"/>
        <charset val="136"/>
      </rPr>
      <t>ɛ</t>
    </r>
    <r>
      <rPr>
        <sz val="24"/>
        <color theme="1"/>
        <rFont val="Arial"/>
        <family val="2"/>
      </rPr>
      <t>̃ʔ</t>
    </r>
  </si>
  <si>
    <r>
      <t>i</t>
    </r>
    <r>
      <rPr>
        <sz val="24"/>
        <color theme="1"/>
        <rFont val="新細明體"/>
        <family val="2"/>
        <charset val="136"/>
      </rPr>
      <t>ŋ</t>
    </r>
  </si>
  <si>
    <r>
      <rPr>
        <sz val="24"/>
        <color theme="1"/>
        <rFont val="新細明體"/>
        <family val="2"/>
        <charset val="136"/>
      </rPr>
      <t>ɪ</t>
    </r>
    <r>
      <rPr>
        <sz val="24"/>
        <color theme="1"/>
        <rFont val="Arial"/>
        <family val="2"/>
      </rPr>
      <t>a</t>
    </r>
  </si>
  <si>
    <r>
      <t>ia</t>
    </r>
    <r>
      <rPr>
        <sz val="24"/>
        <color theme="1"/>
        <rFont val="新細明體"/>
        <family val="2"/>
        <charset val="136"/>
      </rPr>
      <t>ŋ</t>
    </r>
  </si>
  <si>
    <r>
      <rPr>
        <sz val="24"/>
        <color theme="1"/>
        <rFont val="新細明體"/>
        <family val="2"/>
        <charset val="136"/>
      </rPr>
      <t>ɪ</t>
    </r>
    <r>
      <rPr>
        <sz val="24"/>
        <color theme="1"/>
        <rFont val="Arial"/>
        <family val="2"/>
      </rPr>
      <t>a</t>
    </r>
    <r>
      <rPr>
        <sz val="24"/>
        <color theme="1"/>
        <rFont val="新細明體"/>
        <family val="2"/>
        <charset val="136"/>
      </rPr>
      <t>ʊ</t>
    </r>
  </si>
  <si>
    <r>
      <t>ia</t>
    </r>
    <r>
      <rPr>
        <sz val="24"/>
        <color theme="1"/>
        <rFont val="新細明體"/>
        <family val="2"/>
        <charset val="136"/>
      </rPr>
      <t>ʊ</t>
    </r>
  </si>
  <si>
    <r>
      <t>iã</t>
    </r>
    <r>
      <rPr>
        <sz val="24"/>
        <color theme="1"/>
        <rFont val="新細明體"/>
        <family val="2"/>
        <charset val="136"/>
      </rPr>
      <t>ʊ</t>
    </r>
    <r>
      <rPr>
        <sz val="24"/>
        <color theme="1"/>
        <rFont val="Arial"/>
        <family val="2"/>
      </rPr>
      <t>ʔ</t>
    </r>
  </si>
  <si>
    <r>
      <t>i</t>
    </r>
    <r>
      <rPr>
        <sz val="24"/>
        <color theme="1"/>
        <rFont val="新細明體"/>
        <family val="2"/>
        <charset val="136"/>
      </rPr>
      <t>ɔ</t>
    </r>
  </si>
  <si>
    <r>
      <t>i</t>
    </r>
    <r>
      <rPr>
        <sz val="24"/>
        <color theme="1"/>
        <rFont val="新細明體"/>
        <family val="2"/>
        <charset val="136"/>
      </rPr>
      <t>ɔ</t>
    </r>
    <r>
      <rPr>
        <sz val="24"/>
        <color theme="1"/>
        <rFont val="Arial"/>
        <family val="2"/>
      </rPr>
      <t>̃</t>
    </r>
  </si>
  <si>
    <r>
      <t>i</t>
    </r>
    <r>
      <rPr>
        <sz val="24"/>
        <color theme="1"/>
        <rFont val="新細明體"/>
        <family val="2"/>
        <charset val="136"/>
      </rPr>
      <t>ɔŋ</t>
    </r>
  </si>
  <si>
    <r>
      <t>i</t>
    </r>
    <r>
      <rPr>
        <sz val="24"/>
        <color theme="1"/>
        <rFont val="新細明體"/>
        <family val="2"/>
        <charset val="136"/>
      </rPr>
      <t>ɔ</t>
    </r>
    <r>
      <rPr>
        <sz val="24"/>
        <color theme="1"/>
        <rFont val="Arial"/>
        <family val="2"/>
      </rPr>
      <t>k˺</t>
    </r>
  </si>
  <si>
    <r>
      <rPr>
        <sz val="24"/>
        <color theme="1"/>
        <rFont val="新細明體"/>
        <family val="2"/>
        <charset val="136"/>
      </rPr>
      <t>ɔ</t>
    </r>
  </si>
  <si>
    <r>
      <rPr>
        <sz val="24"/>
        <color theme="1"/>
        <rFont val="新細明體"/>
        <family val="2"/>
        <charset val="136"/>
      </rPr>
      <t>ɔ</t>
    </r>
    <r>
      <rPr>
        <sz val="24"/>
        <color theme="1"/>
        <rFont val="Arial"/>
        <family val="2"/>
      </rPr>
      <t>̃</t>
    </r>
  </si>
  <si>
    <r>
      <rPr>
        <sz val="24"/>
        <color theme="1"/>
        <rFont val="新細明體"/>
        <family val="2"/>
        <charset val="136"/>
      </rPr>
      <t>ɔ</t>
    </r>
    <r>
      <rPr>
        <sz val="24"/>
        <color theme="1"/>
        <rFont val="Arial"/>
        <family val="2"/>
      </rPr>
      <t>m</t>
    </r>
  </si>
  <si>
    <r>
      <rPr>
        <sz val="24"/>
        <color theme="1"/>
        <rFont val="新細明體"/>
        <family val="2"/>
        <charset val="136"/>
      </rPr>
      <t>ɔŋ</t>
    </r>
  </si>
  <si>
    <r>
      <rPr>
        <sz val="24"/>
        <color theme="1"/>
        <rFont val="新細明體"/>
        <family val="2"/>
        <charset val="136"/>
      </rPr>
      <t>ɔ</t>
    </r>
    <r>
      <rPr>
        <sz val="24"/>
        <color theme="1"/>
        <rFont val="Arial"/>
        <family val="2"/>
      </rPr>
      <t>p˺</t>
    </r>
  </si>
  <si>
    <r>
      <rPr>
        <sz val="24"/>
        <color theme="1"/>
        <rFont val="新細明體"/>
        <family val="2"/>
        <charset val="136"/>
      </rPr>
      <t>ɔ</t>
    </r>
    <r>
      <rPr>
        <sz val="24"/>
        <color theme="1"/>
        <rFont val="Arial"/>
        <family val="2"/>
      </rPr>
      <t>k˺</t>
    </r>
  </si>
  <si>
    <r>
      <rPr>
        <sz val="24"/>
        <color theme="1"/>
        <rFont val="新細明體"/>
        <family val="2"/>
        <charset val="136"/>
      </rPr>
      <t>ɔ</t>
    </r>
    <r>
      <rPr>
        <sz val="24"/>
        <color theme="1"/>
        <rFont val="Arial"/>
        <family val="2"/>
      </rPr>
      <t>ʔ</t>
    </r>
  </si>
  <si>
    <r>
      <rPr>
        <sz val="24"/>
        <color theme="1"/>
        <rFont val="新細明體"/>
        <family val="2"/>
        <charset val="136"/>
      </rPr>
      <t>ɔ</t>
    </r>
    <r>
      <rPr>
        <sz val="24"/>
        <color theme="1"/>
        <rFont val="Arial"/>
        <family val="2"/>
      </rPr>
      <t>̃ʔ</t>
    </r>
  </si>
  <si>
    <r>
      <t>ɨ</t>
    </r>
    <r>
      <rPr>
        <sz val="24"/>
        <color theme="1"/>
        <rFont val="新細明體"/>
        <family val="2"/>
        <charset val="136"/>
      </rPr>
      <t>ŋ</t>
    </r>
  </si>
  <si>
    <r>
      <t>u</t>
    </r>
    <r>
      <rPr>
        <sz val="24"/>
        <color theme="1"/>
        <rFont val="新細明體"/>
        <family val="2"/>
        <charset val="136"/>
      </rPr>
      <t>ɛ</t>
    </r>
  </si>
  <si>
    <r>
      <rPr>
        <sz val="24"/>
        <color theme="1"/>
        <rFont val="新細明體"/>
        <family val="2"/>
        <charset val="136"/>
      </rPr>
      <t>ŋ</t>
    </r>
    <r>
      <rPr>
        <sz val="24"/>
        <color theme="1"/>
        <rFont val="Arial"/>
        <family val="2"/>
      </rPr>
      <t>̍</t>
    </r>
  </si>
  <si>
    <r>
      <rPr>
        <sz val="24"/>
        <color theme="1"/>
        <rFont val="新細明體"/>
        <family val="2"/>
        <charset val="136"/>
      </rPr>
      <t>ŋ</t>
    </r>
  </si>
  <si>
    <r>
      <rPr>
        <sz val="24"/>
        <color theme="1"/>
        <rFont val="新細明體"/>
        <family val="2"/>
        <charset val="136"/>
      </rPr>
      <t>ŋ</t>
    </r>
    <r>
      <rPr>
        <sz val="24"/>
        <color theme="1"/>
        <rFont val="Arial"/>
        <family val="2"/>
      </rPr>
      <t>ʔ</t>
    </r>
  </si>
  <si>
    <t>注音二式</t>
  </si>
  <si>
    <t>注音二式</t>
    <phoneticPr fontId="3" type="noConversion"/>
  </si>
  <si>
    <t>注音二式</t>
    <phoneticPr fontId="10" type="noConversion"/>
  </si>
  <si>
    <r>
      <rPr>
        <sz val="24"/>
        <color rgb="FFFF0000"/>
        <rFont val="Noto Serif TC Black"/>
        <family val="1"/>
        <charset val="136"/>
      </rPr>
      <t>ɛ</t>
    </r>
  </si>
  <si>
    <r>
      <rPr>
        <sz val="24"/>
        <color rgb="FFFF0000"/>
        <rFont val="MS Gothic"/>
        <family val="3"/>
        <charset val="128"/>
      </rPr>
      <t>ɛ</t>
    </r>
    <r>
      <rPr>
        <sz val="24"/>
        <color rgb="FFFF0000"/>
        <rFont val="Times New Roman"/>
        <family val="1"/>
      </rPr>
      <t>?</t>
    </r>
    <phoneticPr fontId="13" type="noConversion"/>
  </si>
  <si>
    <r>
      <rPr>
        <sz val="24"/>
        <color rgb="FFFF0000"/>
        <rFont val="Noto Serif TC Black"/>
        <family val="1"/>
        <charset val="136"/>
      </rPr>
      <t>ɔŋ</t>
    </r>
  </si>
  <si>
    <r>
      <rPr>
        <sz val="24"/>
        <color rgb="FFFF0000"/>
        <rFont val="Noto Serif TC Black"/>
        <family val="1"/>
        <charset val="136"/>
      </rPr>
      <t>ɔ</t>
    </r>
    <r>
      <rPr>
        <sz val="24"/>
        <color rgb="FFFF0000"/>
        <rFont val="Times New Roman"/>
        <family val="1"/>
      </rPr>
      <t>k̚</t>
    </r>
  </si>
  <si>
    <r>
      <t>i</t>
    </r>
    <r>
      <rPr>
        <sz val="24"/>
        <color rgb="FFFF0000"/>
        <rFont val="Noto Serif TC Black"/>
        <family val="1"/>
        <charset val="136"/>
      </rPr>
      <t>ŋ</t>
    </r>
  </si>
  <si>
    <r>
      <t>i</t>
    </r>
    <r>
      <rPr>
        <sz val="24"/>
        <color rgb="FFFF0000"/>
        <rFont val="Noto Serif TC Black"/>
        <family val="1"/>
        <charset val="136"/>
      </rPr>
      <t>ɔŋ</t>
    </r>
  </si>
  <si>
    <r>
      <t>i</t>
    </r>
    <r>
      <rPr>
        <sz val="24"/>
        <color rgb="FFFF0000"/>
        <rFont val="Noto Serif TC Black"/>
        <family val="1"/>
        <charset val="136"/>
      </rPr>
      <t>ɔ</t>
    </r>
    <r>
      <rPr>
        <sz val="24"/>
        <color rgb="FFFF0000"/>
        <rFont val="Times New Roman"/>
        <family val="1"/>
      </rPr>
      <t>k̚</t>
    </r>
  </si>
  <si>
    <r>
      <t>ia</t>
    </r>
    <r>
      <rPr>
        <sz val="24"/>
        <color rgb="FFFF0000"/>
        <rFont val="Noto Serif TC Black"/>
        <family val="1"/>
        <charset val="136"/>
      </rPr>
      <t>ŋ</t>
    </r>
  </si>
  <si>
    <r>
      <t>a</t>
    </r>
    <r>
      <rPr>
        <sz val="24"/>
        <color rgb="FFFF0000"/>
        <rFont val="Noto Serif TC Black"/>
        <family val="1"/>
        <charset val="136"/>
      </rPr>
      <t>ŋ</t>
    </r>
  </si>
  <si>
    <r>
      <t>i</t>
    </r>
    <r>
      <rPr>
        <sz val="24"/>
        <color rgb="FFFF0000"/>
        <rFont val="Times New Roman"/>
        <family val="3"/>
        <charset val="136"/>
      </rPr>
      <t>ɔ</t>
    </r>
    <r>
      <rPr>
        <sz val="24"/>
        <color rgb="FFFF0000"/>
        <rFont val="Times New Roman"/>
        <family val="1"/>
      </rPr>
      <t>̃</t>
    </r>
    <phoneticPr fontId="13" type="noConversion"/>
  </si>
  <si>
    <r>
      <rPr>
        <sz val="24"/>
        <color rgb="FFFF0000"/>
        <rFont val="Noto Serif TC Black"/>
        <family val="1"/>
        <charset val="136"/>
      </rPr>
      <t>ŋ</t>
    </r>
    <r>
      <rPr>
        <sz val="24"/>
        <color rgb="FFFF0000"/>
        <rFont val="Times New Roman"/>
        <family val="1"/>
      </rPr>
      <t>̍</t>
    </r>
  </si>
  <si>
    <r>
      <t>ua</t>
    </r>
    <r>
      <rPr>
        <sz val="24"/>
        <color rgb="FFFF0000"/>
        <rFont val="Noto Serif TC Black"/>
        <family val="1"/>
        <charset val="136"/>
      </rPr>
      <t>ŋ</t>
    </r>
  </si>
  <si>
    <r>
      <rPr>
        <sz val="24"/>
        <color rgb="FFFF0000"/>
        <rFont val="Noto Serif TC Black"/>
        <family val="1"/>
        <charset val="136"/>
      </rPr>
      <t>ɔ</t>
    </r>
    <r>
      <rPr>
        <sz val="24"/>
        <color rgb="FFFF0000"/>
        <rFont val="Times New Roman"/>
        <family val="1"/>
      </rPr>
      <t>m</t>
    </r>
  </si>
  <si>
    <r>
      <rPr>
        <sz val="24"/>
        <color rgb="FFFF0000"/>
        <rFont val="Noto Serif TC Black"/>
        <family val="1"/>
        <charset val="136"/>
      </rPr>
      <t>ɔ</t>
    </r>
    <r>
      <rPr>
        <sz val="24"/>
        <color rgb="FFFF0000"/>
        <rFont val="Times New Roman"/>
        <family val="1"/>
      </rPr>
      <t>p̚</t>
    </r>
  </si>
  <si>
    <t>台語音標</t>
  </si>
  <si>
    <t>雅俗通</t>
    <phoneticPr fontId="3" type="noConversion"/>
  </si>
  <si>
    <t>十五音</t>
  </si>
  <si>
    <t>漢字例</t>
  </si>
  <si>
    <t>方音符號</t>
  </si>
  <si>
    <t>白話字</t>
  </si>
  <si>
    <t>閩拼方案</t>
  </si>
  <si>
    <t>舒促聲</t>
  </si>
  <si>
    <t>十五音識別碼</t>
  </si>
  <si>
    <t>十五音韻母序</t>
  </si>
  <si>
    <t>君舒</t>
  </si>
  <si>
    <t>不</t>
  </si>
  <si>
    <t>君促</t>
  </si>
  <si>
    <t>掀</t>
  </si>
  <si>
    <t>堅舒</t>
  </si>
  <si>
    <t>別</t>
  </si>
  <si>
    <t>堅促</t>
  </si>
  <si>
    <t>金舒</t>
  </si>
  <si>
    <t>蟄</t>
  </si>
  <si>
    <t>金促</t>
  </si>
  <si>
    <t>規舒</t>
  </si>
  <si>
    <t>嘉舒</t>
  </si>
  <si>
    <t>10</t>
  </si>
  <si>
    <t>八</t>
  </si>
  <si>
    <t>嘉促</t>
  </si>
  <si>
    <t>11</t>
  </si>
  <si>
    <t>干舒</t>
  </si>
  <si>
    <t>12</t>
  </si>
  <si>
    <t>識</t>
  </si>
  <si>
    <t>干促</t>
  </si>
  <si>
    <t>13</t>
  </si>
  <si>
    <t>風</t>
  </si>
  <si>
    <t>公舒</t>
  </si>
  <si>
    <t>14</t>
  </si>
  <si>
    <t>福</t>
  </si>
  <si>
    <t>公促</t>
  </si>
  <si>
    <t>15</t>
  </si>
  <si>
    <t>乖舒</t>
  </si>
  <si>
    <t>8</t>
  </si>
  <si>
    <t>16</t>
  </si>
  <si>
    <t>乖促</t>
  </si>
  <si>
    <t>17</t>
  </si>
  <si>
    <t>經舒</t>
  </si>
  <si>
    <t>18</t>
  </si>
  <si>
    <t>經促</t>
  </si>
  <si>
    <t>19</t>
  </si>
  <si>
    <t>觀舒</t>
  </si>
  <si>
    <t>20</t>
  </si>
  <si>
    <t>說</t>
  </si>
  <si>
    <t>觀促</t>
  </si>
  <si>
    <t>21</t>
  </si>
  <si>
    <t>捕</t>
  </si>
  <si>
    <t>沽舒</t>
  </si>
  <si>
    <t>23</t>
  </si>
  <si>
    <t>嬌舒</t>
  </si>
  <si>
    <t>24</t>
  </si>
  <si>
    <t>噭</t>
  </si>
  <si>
    <t>嬌促</t>
  </si>
  <si>
    <t>25</t>
  </si>
  <si>
    <t>稽舒</t>
  </si>
  <si>
    <t>27</t>
  </si>
  <si>
    <t>中</t>
  </si>
  <si>
    <t>恭舒</t>
  </si>
  <si>
    <t>28</t>
  </si>
  <si>
    <t>俗</t>
  </si>
  <si>
    <t>恭促</t>
  </si>
  <si>
    <t>29</t>
  </si>
  <si>
    <t>高舒</t>
  </si>
  <si>
    <t>30</t>
  </si>
  <si>
    <t>卜</t>
  </si>
  <si>
    <t>高促</t>
  </si>
  <si>
    <t>31</t>
  </si>
  <si>
    <t>皆舒</t>
  </si>
  <si>
    <t>33</t>
  </si>
  <si>
    <t>巾舒</t>
  </si>
  <si>
    <t>34</t>
  </si>
  <si>
    <t>一</t>
  </si>
  <si>
    <t>巾促</t>
  </si>
  <si>
    <t>35</t>
  </si>
  <si>
    <t>將</t>
  </si>
  <si>
    <t>姜舒</t>
  </si>
  <si>
    <t>36</t>
  </si>
  <si>
    <t>爆</t>
  </si>
  <si>
    <t>姜促</t>
  </si>
  <si>
    <t>37</t>
  </si>
  <si>
    <t>甘舒</t>
  </si>
  <si>
    <t>38</t>
  </si>
  <si>
    <t>答</t>
  </si>
  <si>
    <t>甘促</t>
  </si>
  <si>
    <t>39</t>
  </si>
  <si>
    <t>瓜舒</t>
  </si>
  <si>
    <t>40</t>
  </si>
  <si>
    <t>缽</t>
  </si>
  <si>
    <t>瓜促</t>
  </si>
  <si>
    <t>41</t>
  </si>
  <si>
    <t>邦</t>
  </si>
  <si>
    <t>江舒</t>
  </si>
  <si>
    <t>42</t>
  </si>
  <si>
    <t>角</t>
  </si>
  <si>
    <t>江促</t>
  </si>
  <si>
    <t>43</t>
  </si>
  <si>
    <t>尖</t>
  </si>
  <si>
    <t>兼舒</t>
  </si>
  <si>
    <t>22</t>
  </si>
  <si>
    <t>44</t>
  </si>
  <si>
    <t>接</t>
  </si>
  <si>
    <t>兼促</t>
  </si>
  <si>
    <t>45</t>
  </si>
  <si>
    <t>交舒</t>
  </si>
  <si>
    <t>46</t>
  </si>
  <si>
    <t>交促</t>
  </si>
  <si>
    <t>47</t>
  </si>
  <si>
    <t>名</t>
  </si>
  <si>
    <t>迦舒</t>
  </si>
  <si>
    <t>48</t>
  </si>
  <si>
    <t>壁</t>
  </si>
  <si>
    <t>迦促</t>
  </si>
  <si>
    <t>49</t>
  </si>
  <si>
    <t>uei</t>
  </si>
  <si>
    <t>檜舒</t>
  </si>
  <si>
    <t>50</t>
  </si>
  <si>
    <t>拔</t>
  </si>
  <si>
    <t>uei?</t>
  </si>
  <si>
    <t>檜促</t>
  </si>
  <si>
    <t>51</t>
  </si>
  <si>
    <t>聽</t>
  </si>
  <si>
    <t>監舒</t>
  </si>
  <si>
    <t>26</t>
  </si>
  <si>
    <t>52</t>
  </si>
  <si>
    <t>含</t>
  </si>
  <si>
    <t>aⁿh</t>
  </si>
  <si>
    <t>監促</t>
  </si>
  <si>
    <t>53</t>
  </si>
  <si>
    <t>艍舒</t>
  </si>
  <si>
    <t>54</t>
  </si>
  <si>
    <t>勃</t>
  </si>
  <si>
    <t>艍促</t>
  </si>
  <si>
    <t>55</t>
  </si>
  <si>
    <t>膠舒</t>
  </si>
  <si>
    <t>56</t>
  </si>
  <si>
    <t>百</t>
  </si>
  <si>
    <t>膠促</t>
  </si>
  <si>
    <t>57</t>
  </si>
  <si>
    <t>爾</t>
  </si>
  <si>
    <t>居舒</t>
  </si>
  <si>
    <t>58</t>
  </si>
  <si>
    <t>居促</t>
  </si>
  <si>
    <t>59</t>
  </si>
  <si>
    <t>油</t>
  </si>
  <si>
    <t>丩舒</t>
  </si>
  <si>
    <t>61</t>
  </si>
  <si>
    <t>爭</t>
  </si>
  <si>
    <t>更舒</t>
  </si>
  <si>
    <t>62</t>
  </si>
  <si>
    <t>eⁿh</t>
  </si>
  <si>
    <t>更促</t>
  </si>
  <si>
    <t>63</t>
  </si>
  <si>
    <t>褌舒</t>
  </si>
  <si>
    <t>32</t>
  </si>
  <si>
    <t>65</t>
  </si>
  <si>
    <t>ior</t>
  </si>
  <si>
    <t>茄舒</t>
  </si>
  <si>
    <t>66</t>
  </si>
  <si>
    <t>著</t>
  </si>
  <si>
    <t>iorh</t>
  </si>
  <si>
    <t>茄促</t>
  </si>
  <si>
    <t>67</t>
  </si>
  <si>
    <t>庚</t>
  </si>
  <si>
    <t>梔舒</t>
  </si>
  <si>
    <t>68</t>
  </si>
  <si>
    <t>梔促</t>
  </si>
  <si>
    <t>69</t>
  </si>
  <si>
    <t>腔</t>
  </si>
  <si>
    <t>薑舒</t>
  </si>
  <si>
    <t>71</t>
  </si>
  <si>
    <t>驚舒</t>
  </si>
  <si>
    <t>73</t>
  </si>
  <si>
    <t>肝</t>
  </si>
  <si>
    <t>官舒</t>
  </si>
  <si>
    <t>75</t>
  </si>
  <si>
    <t>鋼舒</t>
  </si>
  <si>
    <t>77</t>
  </si>
  <si>
    <t>會</t>
  </si>
  <si>
    <t>伽舒</t>
  </si>
  <si>
    <t>78</t>
  </si>
  <si>
    <t>伯</t>
  </si>
  <si>
    <t>伽促</t>
  </si>
  <si>
    <t>79</t>
  </si>
  <si>
    <t>ãi</t>
  </si>
  <si>
    <t>閒舒</t>
  </si>
  <si>
    <t>81</t>
  </si>
  <si>
    <t>張</t>
  </si>
  <si>
    <t>姑舒</t>
  </si>
  <si>
    <t>83</t>
  </si>
  <si>
    <t>姆舒</t>
  </si>
  <si>
    <t>85</t>
  </si>
  <si>
    <t>光舒</t>
  </si>
  <si>
    <t>86</t>
  </si>
  <si>
    <t>伏</t>
  </si>
  <si>
    <t>光促</t>
  </si>
  <si>
    <t>87</t>
  </si>
  <si>
    <t>閂舒</t>
  </si>
  <si>
    <t>88</t>
  </si>
  <si>
    <t>蹶</t>
  </si>
  <si>
    <t>閂促</t>
  </si>
  <si>
    <t>89</t>
  </si>
  <si>
    <t>糜舒</t>
  </si>
  <si>
    <t>91</t>
  </si>
  <si>
    <t>嘄舒</t>
  </si>
  <si>
    <t>92</t>
  </si>
  <si>
    <t>嘄促</t>
  </si>
  <si>
    <t>93</t>
  </si>
  <si>
    <t>箴舒</t>
  </si>
  <si>
    <t>94</t>
  </si>
  <si>
    <t>吷</t>
  </si>
  <si>
    <t>箴促</t>
  </si>
  <si>
    <t>95</t>
  </si>
  <si>
    <t>懸</t>
  </si>
  <si>
    <t>爻舒</t>
  </si>
  <si>
    <t>97</t>
  </si>
  <si>
    <t>呼</t>
  </si>
  <si>
    <t>on</t>
  </si>
  <si>
    <t>ornn</t>
  </si>
  <si>
    <t>扛舒</t>
  </si>
  <si>
    <t>98</t>
  </si>
  <si>
    <t>ohnn</t>
  </si>
  <si>
    <t>onh</t>
  </si>
  <si>
    <t>扛促</t>
  </si>
  <si>
    <t>99</t>
  </si>
  <si>
    <t>香</t>
  </si>
  <si>
    <t>ĩu</t>
  </si>
  <si>
    <t>牛舒</t>
  </si>
  <si>
    <t>羅馬拼音字母</t>
    <phoneticPr fontId="3" type="noConversion"/>
  </si>
  <si>
    <t>數值ID</t>
    <phoneticPr fontId="3" type="noConversion"/>
  </si>
  <si>
    <t>台語注音二式</t>
    <phoneticPr fontId="3" type="noConversion"/>
  </si>
  <si>
    <t>zi</t>
    <phoneticPr fontId="3" type="noConversion"/>
  </si>
  <si>
    <t>ci</t>
    <phoneticPr fontId="3" type="noConversion"/>
  </si>
  <si>
    <t>ji</t>
    <phoneticPr fontId="3" type="noConversion"/>
  </si>
  <si>
    <t>j(i)</t>
    <phoneticPr fontId="3" type="noConversion"/>
  </si>
  <si>
    <t>si</t>
    <phoneticPr fontId="3" type="noConversion"/>
  </si>
  <si>
    <t>方音符號</t>
    <phoneticPr fontId="7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</si>
</sst>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General;;"/>
    <numFmt numFmtId="177" formatCode="0_ "/>
    <numFmt numFmtId="178" formatCode="&quot;[ &quot;@&quot; ]&quot;"/>
    <numFmt numFmtId="179" formatCode="General;\-General;;@"/>
    <numFmt numFmtId="180" formatCode="0.00_ "/>
  </numFmts>
  <fonts count="212">
    <font>
      <sz val="12"/>
      <color theme="1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b/>
      <sz val="18"/>
      <color rgb="FF0C0301"/>
      <name val="Helvetica"/>
      <family val="2"/>
    </font>
    <font>
      <sz val="9"/>
      <name val="新細明體"/>
      <family val="2"/>
      <charset val="136"/>
      <scheme val="minor"/>
    </font>
    <font>
      <sz val="18"/>
      <color rgb="FF0C0301"/>
      <name val="Helvetica"/>
      <family val="2"/>
    </font>
    <font>
      <sz val="10"/>
      <color rgb="FF000000"/>
      <name val="Linux Libertine G"/>
      <family val="2"/>
    </font>
    <font>
      <sz val="16"/>
      <color theme="0" tint="-0.14999847407452621"/>
      <name val="Noto Sans TC Medium"/>
      <family val="2"/>
      <charset val="136"/>
    </font>
    <font>
      <sz val="18"/>
      <color rgb="FF000000"/>
      <name val="Noto Serif TC Black"/>
      <family val="1"/>
      <charset val="136"/>
    </font>
    <font>
      <sz val="18"/>
      <color rgb="FF000000"/>
      <name val="Linux Libertine G"/>
      <family val="2"/>
    </font>
    <font>
      <b/>
      <sz val="18"/>
      <color rgb="FF000000"/>
      <name val="Noto Serif TC Black"/>
      <family val="1"/>
      <charset val="136"/>
    </font>
    <font>
      <sz val="9"/>
      <name val="cwTeX 仿宋體"/>
      <family val="3"/>
      <charset val="136"/>
    </font>
    <font>
      <b/>
      <sz val="18"/>
      <color rgb="FFFF0000"/>
      <name val="Noto Serif TC Black"/>
      <family val="1"/>
      <charset val="136"/>
    </font>
    <font>
      <sz val="18"/>
      <color rgb="FFFF0000"/>
      <name val="Noto Serif TC Black"/>
      <family val="1"/>
      <charset val="136"/>
    </font>
    <font>
      <sz val="9"/>
      <name val="Noto Sans TC"/>
      <family val="2"/>
      <charset val="136"/>
    </font>
    <font>
      <sz val="18"/>
      <color rgb="FF000000"/>
      <name val="蘋方-繁 標準體"/>
      <charset val="136"/>
    </font>
    <font>
      <sz val="36"/>
      <color rgb="FF000000"/>
      <name val="Noto Serif TC Black"/>
      <family val="1"/>
      <charset val="136"/>
    </font>
    <font>
      <sz val="36"/>
      <color rgb="FF000000"/>
      <name val="吳守禮細明台語注音"/>
      <family val="1"/>
      <charset val="136"/>
    </font>
    <font>
      <b/>
      <sz val="28"/>
      <color rgb="FF000000"/>
      <name val="字咍源雲明體 台羅方音 L"/>
      <family val="1"/>
      <charset val="136"/>
    </font>
    <font>
      <b/>
      <sz val="24"/>
      <color rgb="FFFF0000"/>
      <name val="字咍源雲明體 方音 L"/>
      <family val="1"/>
      <charset val="136"/>
    </font>
    <font>
      <sz val="24"/>
      <color rgb="FF000000"/>
      <name val="Noto Serif TC Black"/>
      <family val="1"/>
      <charset val="136"/>
    </font>
    <font>
      <sz val="18"/>
      <color theme="8" tint="0.39997558519241921"/>
      <name val="Noto Serif TC Black"/>
      <family val="1"/>
      <charset val="136"/>
    </font>
    <font>
      <sz val="16"/>
      <color rgb="FFFF0000"/>
      <name val="Noto Serif TC Black"/>
      <family val="1"/>
      <charset val="136"/>
    </font>
    <font>
      <sz val="36"/>
      <color rgb="FF000000"/>
      <name val="吳守禮細明台語破音01"/>
      <family val="1"/>
      <charset val="136"/>
    </font>
    <font>
      <sz val="24"/>
      <color rgb="FFFF0000"/>
      <name val="Noto Serif TC Black"/>
      <family val="1"/>
      <charset val="136"/>
    </font>
    <font>
      <sz val="36"/>
      <color rgb="FF000000"/>
      <name val="吳守禮細明台語破音03"/>
      <family val="1"/>
      <charset val="136"/>
    </font>
    <font>
      <sz val="36"/>
      <color theme="8" tint="0.39997558519241921"/>
      <name val="Noto Serif TC Black"/>
      <family val="1"/>
      <charset val="136"/>
    </font>
    <font>
      <b/>
      <sz val="28"/>
      <color theme="8" tint="0.39997558519241921"/>
      <name val="字咍源雲明體 台羅方音 L"/>
      <family val="1"/>
      <charset val="136"/>
    </font>
    <font>
      <sz val="24"/>
      <color theme="8" tint="0.39997558519241921"/>
      <name val="Noto Serif TC Black"/>
      <family val="1"/>
      <charset val="136"/>
    </font>
    <font>
      <sz val="12"/>
      <color rgb="FFFF0000"/>
      <name val="Noto Serif TC Black"/>
      <family val="1"/>
      <charset val="136"/>
    </font>
    <font>
      <sz val="12"/>
      <color rgb="FFFF0000"/>
      <name val="Noto Sans TC"/>
      <family val="2"/>
      <charset val="136"/>
    </font>
    <font>
      <sz val="18"/>
      <color theme="4" tint="0.79998168889431442"/>
      <name val="Arial"/>
      <family val="2"/>
    </font>
    <font>
      <sz val="28"/>
      <name val="Noto Serif TC Black"/>
      <family val="1"/>
      <charset val="136"/>
    </font>
    <font>
      <sz val="24"/>
      <color theme="8"/>
      <name val="Noto Serif TC Black"/>
      <family val="1"/>
      <charset val="136"/>
    </font>
    <font>
      <sz val="16"/>
      <color theme="1"/>
      <name val="Noto Sans TC"/>
      <family val="2"/>
      <charset val="136"/>
    </font>
    <font>
      <u/>
      <sz val="16"/>
      <color theme="10"/>
      <name val="Noto Sans TC"/>
      <family val="2"/>
      <charset val="136"/>
    </font>
    <font>
      <sz val="16"/>
      <color rgb="FF000000"/>
      <name val="Noto Sans TC Medium"/>
      <family val="2"/>
      <charset val="136"/>
    </font>
    <font>
      <b/>
      <sz val="16"/>
      <color rgb="FFFFFFFF"/>
      <name val="Noto Sans TC Black"/>
      <family val="2"/>
      <charset val="136"/>
    </font>
    <font>
      <sz val="24"/>
      <name val="Noto Sans TC Medium"/>
      <family val="2"/>
      <charset val="136"/>
    </font>
    <font>
      <sz val="20"/>
      <name val="Noto Sans TC Medium"/>
      <family val="2"/>
      <charset val="136"/>
    </font>
    <font>
      <sz val="11"/>
      <name val="Noto Sans TC Medium"/>
      <family val="2"/>
      <charset val="136"/>
    </font>
    <font>
      <sz val="28"/>
      <name val="吳守禮細明台語注音"/>
      <family val="1"/>
      <charset val="136"/>
    </font>
    <font>
      <sz val="24"/>
      <name val="Times New Roman"/>
      <family val="1"/>
    </font>
    <font>
      <sz val="16"/>
      <color theme="1"/>
      <name val="Noto Sans TC Medium"/>
      <family val="2"/>
      <charset val="136"/>
    </font>
    <font>
      <sz val="28"/>
      <name val="Noto Sans TC Medium"/>
      <family val="2"/>
      <charset val="136"/>
    </font>
    <font>
      <sz val="16"/>
      <color rgb="FFFF0000"/>
      <name val="Noto Sans TC Medium"/>
      <family val="2"/>
      <charset val="136"/>
    </font>
    <font>
      <sz val="28"/>
      <color rgb="FFFF0000"/>
      <name val="吳守禮細明台語破音01"/>
      <family val="1"/>
      <charset val="136"/>
    </font>
    <font>
      <sz val="24"/>
      <name val="Noto Serif TC Black"/>
      <family val="1"/>
      <charset val="136"/>
    </font>
    <font>
      <sz val="24"/>
      <color rgb="FFFF0000"/>
      <name val="Times New Roman"/>
      <family val="1"/>
    </font>
    <font>
      <sz val="28"/>
      <name val="字咍源雲明體 方音 L"/>
      <family val="1"/>
      <charset val="136"/>
    </font>
    <font>
      <sz val="28"/>
      <name val="吳守禮細明台語破音01"/>
      <family val="1"/>
      <charset val="136"/>
    </font>
    <font>
      <sz val="28"/>
      <name val="吳守禮細明台語破音02"/>
      <family val="1"/>
      <charset val="136"/>
    </font>
    <font>
      <sz val="24"/>
      <name val="Noto Sans TC Black"/>
      <family val="2"/>
      <charset val="136"/>
    </font>
    <font>
      <sz val="28"/>
      <name val="吳守禮細明台語破音04"/>
      <family val="1"/>
      <charset val="136"/>
    </font>
    <font>
      <sz val="28"/>
      <name val="吳守禮細明台語破音03"/>
      <family val="1"/>
      <charset val="136"/>
    </font>
    <font>
      <b/>
      <sz val="16"/>
      <color theme="0"/>
      <name val="Noto Sans TC Medium"/>
      <family val="2"/>
      <charset val="136"/>
    </font>
    <font>
      <sz val="9"/>
      <name val="新細明體"/>
      <family val="3"/>
      <charset val="136"/>
      <scheme val="minor"/>
    </font>
    <font>
      <b/>
      <sz val="16"/>
      <color theme="0"/>
      <name val="Noto Sans TC"/>
      <family val="2"/>
    </font>
    <font>
      <sz val="9"/>
      <name val="黒体-繁"/>
      <family val="2"/>
      <charset val="136"/>
    </font>
    <font>
      <sz val="36"/>
      <color theme="1"/>
      <name val="字咍源雲明體 台羅方音 L"/>
      <family val="1"/>
      <charset val="136"/>
    </font>
    <font>
      <sz val="16"/>
      <color theme="1"/>
      <name val="Noto Serif TC Black"/>
      <family val="1"/>
      <charset val="136"/>
    </font>
    <font>
      <sz val="22"/>
      <name val="Arial"/>
      <family val="2"/>
    </font>
    <font>
      <b/>
      <sz val="28"/>
      <color rgb="FFFF0000"/>
      <name val="Arial"/>
      <family val="2"/>
    </font>
    <font>
      <sz val="10"/>
      <color rgb="FF000000"/>
      <name val="新細明體"/>
      <family val="1"/>
      <charset val="136"/>
      <scheme val="minor"/>
    </font>
    <font>
      <sz val="36"/>
      <color theme="1"/>
      <name val="Noto Sans TC Medium"/>
      <family val="2"/>
      <charset val="136"/>
    </font>
    <font>
      <sz val="28"/>
      <color theme="1"/>
      <name val="Noto Sans TC"/>
      <family val="2"/>
    </font>
    <font>
      <sz val="16"/>
      <color theme="1"/>
      <name val="Noto Serif TC Black"/>
      <family val="1"/>
    </font>
    <font>
      <sz val="36"/>
      <color theme="1"/>
      <name val="Noto Sans TC Medium"/>
      <family val="2"/>
    </font>
    <font>
      <sz val="36"/>
      <color theme="0" tint="-0.249977111117893"/>
      <name val="Noto Serif TC Black"/>
      <family val="1"/>
      <charset val="136"/>
    </font>
    <font>
      <sz val="16"/>
      <color theme="0" tint="-0.249977111117893"/>
      <name val="Noto Serif TC Black"/>
      <family val="1"/>
    </font>
    <font>
      <sz val="16"/>
      <color theme="0" tint="-0.249977111117893"/>
      <name val="Arial"/>
      <family val="2"/>
    </font>
    <font>
      <sz val="16"/>
      <color theme="0" tint="-0.249977111117893"/>
      <name val="Noto Sans TC Medium"/>
      <family val="2"/>
      <charset val="136"/>
    </font>
    <font>
      <sz val="18"/>
      <color theme="0" tint="-0.249977111117893"/>
      <name val="Noto Sans TC"/>
      <family val="2"/>
    </font>
    <font>
      <sz val="12"/>
      <name val="宋体"/>
      <family val="3"/>
      <charset val="136"/>
    </font>
    <font>
      <sz val="16"/>
      <color rgb="FF000000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b/>
      <sz val="16"/>
      <color rgb="FFC00000"/>
      <name val="Noto Sans TC"/>
      <family val="2"/>
      <charset val="136"/>
    </font>
    <font>
      <sz val="10"/>
      <color rgb="FF000000"/>
      <name val="Noto Serif TC Medium"/>
      <family val="1"/>
      <charset val="136"/>
    </font>
    <font>
      <sz val="24"/>
      <color rgb="FF000000"/>
      <name val="Iansui 094"/>
      <family val="3"/>
      <charset val="136"/>
    </font>
    <font>
      <sz val="18"/>
      <name val="Noto Serif TC Medium"/>
      <family val="1"/>
      <charset val="136"/>
    </font>
    <font>
      <sz val="18"/>
      <color theme="8"/>
      <name val="Noto Serif TC Medium"/>
      <family val="1"/>
      <charset val="136"/>
    </font>
    <font>
      <sz val="24"/>
      <color rgb="FFFF0000"/>
      <name val="Iansui 094"/>
      <family val="3"/>
      <charset val="136"/>
    </font>
    <font>
      <sz val="24"/>
      <color rgb="FF000000"/>
      <name val="Noto Serif TC Medium"/>
      <family val="1"/>
      <charset val="136"/>
    </font>
    <font>
      <sz val="16"/>
      <name val="LXGW WenKai"/>
      <family val="1"/>
      <charset val="136"/>
    </font>
    <font>
      <sz val="16"/>
      <color rgb="FF000000"/>
      <name val="LXGW WenKai"/>
      <family val="1"/>
      <charset val="136"/>
    </font>
    <font>
      <sz val="16"/>
      <color rgb="FF000000"/>
      <name val="Noto Serif TC Medium"/>
      <family val="1"/>
      <charset val="136"/>
    </font>
    <font>
      <sz val="16"/>
      <name val="Iansui 094"/>
      <family val="3"/>
      <charset val="136"/>
    </font>
    <font>
      <sz val="16"/>
      <color rgb="FF000000"/>
      <name val="Iansui 094"/>
      <family val="3"/>
      <charset val="136"/>
    </font>
    <font>
      <sz val="16"/>
      <name val="Noto Serif TC Medium"/>
      <family val="1"/>
      <charset val="136"/>
    </font>
    <font>
      <b/>
      <sz val="18"/>
      <color rgb="FFFF0000"/>
      <name val="Noto Serif TC Medium"/>
      <family val="1"/>
      <charset val="136"/>
    </font>
    <font>
      <sz val="18"/>
      <color rgb="FFFF0000"/>
      <name val="Noto Serif TC Medium"/>
      <family val="1"/>
      <charset val="136"/>
    </font>
    <font>
      <sz val="18"/>
      <name val="Tahoma"/>
      <family val="2"/>
    </font>
    <font>
      <sz val="18"/>
      <name val="Segoe UI"/>
      <family val="2"/>
    </font>
    <font>
      <sz val="24"/>
      <color rgb="FF000000"/>
      <name val="吳守禮細明台語注音"/>
      <family val="1"/>
      <charset val="136"/>
    </font>
    <font>
      <sz val="24"/>
      <color theme="1"/>
      <name val="Arial"/>
      <family val="2"/>
    </font>
    <font>
      <sz val="16"/>
      <name val="Noto Sans TC"/>
      <family val="2"/>
      <charset val="136"/>
    </font>
    <font>
      <sz val="16"/>
      <color rgb="FF000000"/>
      <name val="Noto Sans TC"/>
      <family val="2"/>
      <charset val="136"/>
    </font>
    <font>
      <sz val="36"/>
      <color rgb="FFFF0000"/>
      <name val="吳守禮細明台語注音"/>
      <family val="1"/>
      <charset val="136"/>
    </font>
    <font>
      <sz val="36"/>
      <color rgb="FF000000"/>
      <name val="吳守禮細明台語破音02"/>
      <family val="1"/>
      <charset val="136"/>
    </font>
    <font>
      <sz val="18"/>
      <color theme="1"/>
      <name val="Microsoft JhengHei UI"/>
      <family val="2"/>
      <charset val="136"/>
    </font>
    <font>
      <sz val="28"/>
      <name val="吳守禮細明台語破音06"/>
      <family val="1"/>
      <charset val="136"/>
    </font>
    <font>
      <sz val="10"/>
      <name val="宋体"/>
      <family val="3"/>
      <charset val="136"/>
    </font>
    <font>
      <sz val="9"/>
      <name val="BopomofoRuby1909-v1"/>
      <family val="3"/>
      <charset val="136"/>
    </font>
    <font>
      <sz val="20"/>
      <name val="Noto Serif TC Black"/>
      <family val="1"/>
      <charset val="136"/>
    </font>
    <font>
      <sz val="20"/>
      <name val="Noto Sans TC"/>
      <family val="2"/>
      <charset val="136"/>
    </font>
    <font>
      <sz val="20"/>
      <name val="Noto Serif TC Black"/>
      <family val="1"/>
      <charset val="128"/>
    </font>
    <font>
      <sz val="18"/>
      <color theme="0"/>
      <name val="Noto Serif TC Black"/>
      <family val="1"/>
    </font>
    <font>
      <sz val="18"/>
      <color theme="0"/>
      <name val="Noto Serif TC Black"/>
      <family val="1"/>
      <charset val="136"/>
    </font>
    <font>
      <sz val="18"/>
      <name val="Noto Serif TC Black"/>
      <family val="1"/>
      <charset val="136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00"/>
      <name val="Times New Roman"/>
      <family val="2"/>
      <charset val="136"/>
    </font>
    <font>
      <b/>
      <sz val="12"/>
      <color rgb="FF000000"/>
      <name val="Noto Sans TC"/>
      <family val="2"/>
      <charset val="136"/>
    </font>
    <font>
      <b/>
      <sz val="16"/>
      <color theme="0"/>
      <name val="Noto Sans TC Medium"/>
      <family val="2"/>
    </font>
    <font>
      <sz val="18"/>
      <color theme="1"/>
      <name val="Arial"/>
      <family val="2"/>
    </font>
    <font>
      <sz val="20"/>
      <name val="Arial"/>
      <family val="2"/>
    </font>
    <font>
      <b/>
      <sz val="18"/>
      <color rgb="FFC00000"/>
      <name val="Noto Serif TC SemiBold"/>
      <family val="1"/>
      <charset val="136"/>
    </font>
    <font>
      <b/>
      <sz val="16"/>
      <name val="Arial"/>
      <family val="2"/>
    </font>
    <font>
      <sz val="18"/>
      <color theme="0"/>
      <name val="Arial"/>
      <family val="2"/>
    </font>
    <font>
      <sz val="16"/>
      <color rgb="FF00B0F0"/>
      <name val="Arial"/>
      <family val="2"/>
    </font>
    <font>
      <sz val="10"/>
      <color rgb="FF000000"/>
      <name val="Arial"/>
      <family val="2"/>
    </font>
    <font>
      <b/>
      <sz val="16"/>
      <color rgb="FFFFFFFF"/>
      <name val="Noto Sans TC"/>
      <family val="2"/>
      <charset val="136"/>
    </font>
    <font>
      <b/>
      <sz val="16"/>
      <color rgb="FFFFFFFF"/>
      <name val="Noto Sans TC"/>
      <family val="2"/>
    </font>
    <font>
      <sz val="16"/>
      <color rgb="FF000000"/>
      <name val="Linux Libertine G"/>
      <family val="2"/>
    </font>
    <font>
      <sz val="14"/>
      <color theme="1"/>
      <name val="Arial"/>
      <family val="2"/>
    </font>
    <font>
      <sz val="24"/>
      <color theme="1"/>
      <name val="Noto Sans TC"/>
      <family val="2"/>
      <charset val="136"/>
    </font>
    <font>
      <b/>
      <sz val="28"/>
      <color rgb="FFFF0000"/>
      <name val="字咍源雲明體 台羅方音 L"/>
      <family val="1"/>
      <charset val="136"/>
    </font>
    <font>
      <strike/>
      <sz val="24"/>
      <color rgb="FFFF0000"/>
      <name val="Times New Roman"/>
      <family val="1"/>
    </font>
    <font>
      <strike/>
      <vertAlign val="superscript"/>
      <sz val="24"/>
      <color rgb="FFFF0000"/>
      <name val="Times New Roman"/>
      <family val="1"/>
    </font>
    <font>
      <b/>
      <sz val="12"/>
      <color rgb="FFFFFF00"/>
      <name val="Noto Sans TC Black"/>
      <family val="2"/>
      <charset val="136"/>
    </font>
    <font>
      <sz val="28"/>
      <name val="霞鶩文楷等寬 TC"/>
      <family val="3"/>
      <charset val="136"/>
    </font>
    <font>
      <b/>
      <sz val="24"/>
      <color theme="8" tint="0.39997558519241921"/>
      <name val="Noto Serif TC Black"/>
      <family val="1"/>
      <charset val="136"/>
    </font>
    <font>
      <b/>
      <sz val="36"/>
      <color rgb="FF000000"/>
      <name val="吳守禮細明台語注音"/>
      <family val="1"/>
      <charset val="136"/>
    </font>
    <font>
      <sz val="18"/>
      <name val="Arial"/>
      <family val="2"/>
    </font>
    <font>
      <sz val="36"/>
      <color rgb="FFFF0000"/>
      <name val="Noto Serif TC Black"/>
      <family val="1"/>
      <charset val="136"/>
    </font>
    <font>
      <sz val="36"/>
      <color rgb="FF000000"/>
      <name val="字咍源雲明體 方音 L"/>
      <family val="1"/>
      <charset val="136"/>
    </font>
    <font>
      <sz val="18"/>
      <color rgb="FFFF0000"/>
      <name val="Arial"/>
      <family val="2"/>
    </font>
    <font>
      <sz val="28"/>
      <color rgb="FFFF0000"/>
      <name val="霞鶩文楷等寬 TC"/>
      <family val="3"/>
      <charset val="136"/>
    </font>
    <font>
      <sz val="36"/>
      <color rgb="FF000000"/>
      <name val="吳守禮標楷台語破音06"/>
      <family val="3"/>
      <charset val="136"/>
    </font>
    <font>
      <b/>
      <sz val="18"/>
      <color rgb="FFFF0000"/>
      <name val="Arial"/>
      <family val="2"/>
    </font>
    <font>
      <sz val="16"/>
      <color rgb="FFFF0000"/>
      <name val="Noto Sans TC"/>
      <family val="2"/>
      <charset val="136"/>
    </font>
    <font>
      <sz val="18"/>
      <name val="Segoe UI"/>
      <family val="1"/>
      <charset val="1"/>
    </font>
    <font>
      <sz val="18"/>
      <name val="Times New Roman"/>
      <family val="1"/>
      <charset val="254"/>
    </font>
    <font>
      <sz val="16"/>
      <color theme="1"/>
      <name val="Segoe UI"/>
      <family val="1"/>
      <charset val="1"/>
    </font>
    <font>
      <b/>
      <sz val="28"/>
      <color rgb="FFFF0000"/>
      <name val="Segoe UI Symbol"/>
      <family val="2"/>
    </font>
    <font>
      <b/>
      <sz val="28"/>
      <color rgb="FFFF0000"/>
      <name val="霞鶩文楷等寬 TC"/>
      <family val="3"/>
      <charset val="136"/>
    </font>
    <font>
      <b/>
      <vertAlign val="subscript"/>
      <sz val="28"/>
      <color rgb="FFFF0000"/>
      <name val="霞鶩文楷等寬 TC"/>
      <family val="3"/>
      <charset val="136"/>
    </font>
    <font>
      <sz val="24"/>
      <color theme="1"/>
      <name val="新細明體"/>
      <family val="2"/>
      <charset val="136"/>
      <scheme val="minor"/>
    </font>
    <font>
      <sz val="20"/>
      <color theme="1"/>
      <name val="新細明體"/>
      <family val="2"/>
      <charset val="136"/>
      <scheme val="minor"/>
    </font>
    <font>
      <sz val="36"/>
      <color rgb="FFFF0000"/>
      <name val="吳守禮細明台語破音02"/>
      <family val="1"/>
      <charset val="136"/>
    </font>
    <font>
      <sz val="36"/>
      <color rgb="FF000000"/>
      <name val="吳守禮細明台語破音05"/>
      <family val="1"/>
      <charset val="136"/>
    </font>
    <font>
      <strike/>
      <sz val="18"/>
      <color rgb="FFFF0000"/>
      <name val="Noto Serif TC Medium"/>
      <family val="1"/>
      <charset val="136"/>
    </font>
    <font>
      <b/>
      <sz val="16"/>
      <color theme="0"/>
      <name val="Noto Sans TC Black"/>
      <family val="2"/>
      <charset val="136"/>
    </font>
    <font>
      <b/>
      <sz val="18"/>
      <color theme="0"/>
      <name val="Noto Sans TC Black"/>
      <family val="2"/>
      <charset val="136"/>
    </font>
    <font>
      <sz val="36"/>
      <color rgb="FFFF0000"/>
      <name val="吳守禮細明台語破音03"/>
      <family val="1"/>
      <charset val="136"/>
    </font>
    <font>
      <sz val="18"/>
      <color theme="1"/>
      <name val="Noto Serif TC Medium"/>
      <family val="1"/>
      <charset val="136"/>
    </font>
    <font>
      <sz val="20"/>
      <color theme="1"/>
      <name val="Noto Serif TC Black"/>
      <family val="1"/>
      <charset val="136"/>
    </font>
    <font>
      <sz val="24"/>
      <color theme="1"/>
      <name val="Noto Serif TC Black"/>
      <family val="1"/>
      <charset val="136"/>
    </font>
    <font>
      <b/>
      <sz val="16"/>
      <color theme="1"/>
      <name val="Noto Serif TC Black"/>
      <family val="1"/>
      <charset val="136"/>
    </font>
    <font>
      <b/>
      <sz val="20"/>
      <color rgb="FF0C0301"/>
      <name val="Noto Serif TC Black"/>
      <family val="1"/>
      <charset val="136"/>
    </font>
    <font>
      <sz val="28"/>
      <color theme="1"/>
      <name val="新細明體"/>
      <family val="1"/>
      <scheme val="minor"/>
    </font>
    <font>
      <sz val="28"/>
      <color theme="8" tint="-0.249977111117893"/>
      <name val="Noto Sans TC Black"/>
      <family val="2"/>
      <charset val="136"/>
    </font>
    <font>
      <sz val="24"/>
      <color theme="7" tint="-0.249977111117893"/>
      <name val="新細明體"/>
      <family val="1"/>
      <scheme val="minor"/>
    </font>
    <font>
      <sz val="36"/>
      <color theme="9" tint="-0.249977111117893"/>
      <name val="吳守禮標楷台語注音"/>
      <family val="3"/>
      <charset val="136"/>
    </font>
    <font>
      <sz val="28"/>
      <color rgb="FFC00000"/>
      <name val="Arial"/>
      <family val="2"/>
    </font>
    <font>
      <b/>
      <sz val="20"/>
      <color theme="5" tint="0.39997558519241921"/>
      <name val="Noto Serif TC Black"/>
      <family val="1"/>
      <charset val="136"/>
    </font>
    <font>
      <sz val="18"/>
      <color theme="7" tint="-0.499984740745262"/>
      <name val="Noto Serif TC Black"/>
      <family val="1"/>
      <charset val="136"/>
    </font>
    <font>
      <b/>
      <sz val="18"/>
      <color theme="7" tint="-0.499984740745262"/>
      <name val="Arial"/>
      <family val="2"/>
    </font>
    <font>
      <sz val="20"/>
      <color rgb="FFC00000"/>
      <name val="Arial"/>
      <family val="2"/>
    </font>
    <font>
      <sz val="16"/>
      <color theme="8" tint="-0.249977111117893"/>
      <name val="Noto Sans TC Black"/>
      <family val="2"/>
      <charset val="136"/>
    </font>
    <font>
      <sz val="36"/>
      <color theme="9" tint="-0.249977111117893"/>
      <name val="吳守禮標楷台語破音01"/>
      <family val="3"/>
      <charset val="136"/>
    </font>
    <font>
      <sz val="24"/>
      <color theme="7" tint="-0.249977111117893"/>
      <name val="Noto Sans TC"/>
      <family val="2"/>
      <charset val="136"/>
    </font>
    <font>
      <sz val="36"/>
      <color theme="9" tint="-0.249977111117893"/>
      <name val="吳守禮標楷台語破音02"/>
      <family val="3"/>
      <charset val="136"/>
    </font>
    <font>
      <sz val="36"/>
      <color theme="9" tint="-0.249977111117893"/>
      <name val="吳守禮標楷台語破音03"/>
      <family val="3"/>
      <charset val="136"/>
    </font>
    <font>
      <sz val="36"/>
      <color theme="9" tint="-0.249977111117893"/>
      <name val="吳守禮標楷台語破音05"/>
      <family val="3"/>
      <charset val="136"/>
    </font>
    <font>
      <sz val="36"/>
      <color theme="9" tint="-0.249977111117893"/>
      <name val="全字庫正楷體"/>
      <family val="4"/>
      <charset val="136"/>
    </font>
    <font>
      <sz val="36"/>
      <color theme="9" tint="-0.249977111117893"/>
      <name val="台灣楷體"/>
      <family val="3"/>
      <charset val="136"/>
    </font>
    <font>
      <sz val="36"/>
      <color theme="9" tint="-0.249977111117893"/>
      <name val="吳守禮標楷台語破音06"/>
      <family val="3"/>
      <charset val="136"/>
    </font>
    <font>
      <sz val="36"/>
      <color theme="9" tint="-0.249977111117893"/>
      <name val="字咍芫荽 方音 R"/>
      <family val="1"/>
      <charset val="136"/>
    </font>
    <font>
      <sz val="36"/>
      <color theme="9" tint="-0.249977111117893"/>
      <name val="吳守禮標楷台語破音08"/>
      <family val="3"/>
      <charset val="136"/>
    </font>
    <font>
      <sz val="20"/>
      <color rgb="FFC00000"/>
      <name val="Arial"/>
      <family val="2"/>
      <charset val="136"/>
    </font>
    <font>
      <sz val="20"/>
      <color rgb="FFC00000"/>
      <name val="吳守禮標楷台語注音"/>
      <family val="2"/>
      <charset val="136"/>
    </font>
    <font>
      <strike/>
      <sz val="20"/>
      <color rgb="FFC00000"/>
      <name val="Arial"/>
      <family val="2"/>
    </font>
    <font>
      <sz val="24"/>
      <color theme="7" tint="-0.249977111117893"/>
      <name val="新細明體"/>
      <family val="2"/>
      <charset val="136"/>
      <scheme val="minor"/>
    </font>
    <font>
      <sz val="24"/>
      <color rgb="FFFF0000"/>
      <name val="Noto Sans TC"/>
      <family val="2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6"/>
      <color rgb="FFFF0000"/>
      <name val="Noto Sans TC Black"/>
      <family val="2"/>
      <charset val="136"/>
    </font>
    <font>
      <sz val="18"/>
      <color theme="1"/>
      <name val="新細明體"/>
      <family val="2"/>
      <charset val="136"/>
      <scheme val="minor"/>
    </font>
    <font>
      <sz val="24"/>
      <color theme="1"/>
      <name val="新細明體"/>
      <family val="2"/>
      <charset val="136"/>
    </font>
    <font>
      <b/>
      <sz val="12"/>
      <color theme="1"/>
      <name val="Noto Serif TC Black"/>
      <family val="1"/>
      <charset val="136"/>
    </font>
    <font>
      <sz val="36"/>
      <color theme="1"/>
      <name val="新細明體"/>
      <family val="2"/>
      <charset val="136"/>
      <scheme val="minor"/>
    </font>
    <font>
      <sz val="24"/>
      <color rgb="FF0070C0"/>
      <name val="霞鶩文楷 TC"/>
      <family val="1"/>
      <charset val="136"/>
    </font>
    <font>
      <sz val="36"/>
      <color rgb="FFC00000"/>
      <name val="吳守禮標楷台語注音"/>
      <family val="3"/>
      <charset val="136"/>
    </font>
    <font>
      <sz val="24"/>
      <color theme="7" tint="-0.249977111117893"/>
      <name val="霞鶩文楷 TC"/>
      <family val="1"/>
      <charset val="136"/>
    </font>
    <font>
      <sz val="36"/>
      <color rgb="FFC00000"/>
      <name val="吳守禮標楷台語破音01"/>
      <family val="3"/>
      <charset val="136"/>
    </font>
    <font>
      <sz val="36"/>
      <color rgb="FFC00000"/>
      <name val="吳守禮標楷台語破音02"/>
      <family val="3"/>
      <charset val="136"/>
    </font>
    <font>
      <sz val="36"/>
      <color rgb="FFC00000"/>
      <name val="吳守禮標楷台語破音03"/>
      <family val="3"/>
      <charset val="136"/>
    </font>
    <font>
      <sz val="36"/>
      <color rgb="FFC00000"/>
      <name val="吳守禮標楷台語破音05"/>
      <family val="3"/>
      <charset val="136"/>
    </font>
    <font>
      <sz val="36"/>
      <color rgb="FFC00000"/>
      <name val="全字庫正楷體"/>
      <family val="4"/>
      <charset val="136"/>
    </font>
    <font>
      <sz val="36"/>
      <color rgb="FFC00000"/>
      <name val="台灣楷體"/>
      <family val="3"/>
      <charset val="136"/>
    </font>
    <font>
      <sz val="36"/>
      <color rgb="FFC00000"/>
      <name val="吳守禮標楷台語破音06"/>
      <family val="3"/>
      <charset val="136"/>
    </font>
    <font>
      <sz val="36"/>
      <color rgb="FFC00000"/>
      <name val="字咍芫荽 方音 R"/>
      <family val="1"/>
      <charset val="136"/>
    </font>
    <font>
      <sz val="36"/>
      <color rgb="FFC00000"/>
      <name val="吳守禮標楷台語破音08"/>
      <family val="3"/>
      <charset val="136"/>
    </font>
    <font>
      <sz val="36"/>
      <color rgb="FFC00000"/>
      <name val="新細明體"/>
      <family val="2"/>
      <charset val="136"/>
      <scheme val="minor"/>
    </font>
    <font>
      <sz val="24"/>
      <color rgb="FFFF0000"/>
      <name val="MS Gothic"/>
      <family val="3"/>
      <charset val="128"/>
    </font>
    <font>
      <sz val="24"/>
      <color rgb="FFFF0000"/>
      <name val="Times New Roman"/>
      <family val="3"/>
      <charset val="136"/>
    </font>
    <font>
      <sz val="24"/>
      <color rgb="FFFF0000"/>
      <name val="Times New Roman"/>
      <family val="1"/>
      <charset val="136"/>
    </font>
    <font>
      <b/>
      <sz val="16"/>
      <color rgb="FFFFFF00"/>
      <name val="Noto Sans TC Black"/>
      <family val="2"/>
      <charset val="136"/>
    </font>
    <font>
      <sz val="36"/>
      <color rgb="FFC00000"/>
      <name val="霞鶩文楷 TC"/>
      <family val="1"/>
      <charset val="136"/>
    </font>
    <font>
      <sz val="16"/>
      <color rgb="FFFFFF00"/>
      <name val="Noto Sans TC Medium"/>
      <family val="2"/>
      <charset val="136"/>
    </font>
    <font>
      <sz val="12"/>
      <color rgb="FFFFFF00"/>
      <name val="Noto Sans TC Medium"/>
      <family val="2"/>
    </font>
  </fonts>
  <fills count="3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9DAF8"/>
        <bgColor rgb="FFCFE2F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45818E"/>
        <bgColor rgb="FF45818E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DE9D9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theme="4"/>
        <bgColor theme="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1E2F10"/>
      </left>
      <right style="medium">
        <color rgb="FF1E2F10"/>
      </right>
      <top style="medium">
        <color rgb="FF1E2F10"/>
      </top>
      <bottom style="medium">
        <color rgb="FF1E2F10"/>
      </bottom>
      <diagonal/>
    </border>
    <border>
      <left/>
      <right style="medium">
        <color rgb="FF1E2F10"/>
      </right>
      <top/>
      <bottom/>
      <diagonal/>
    </border>
    <border>
      <left style="medium">
        <color rgb="FF0E1F00"/>
      </left>
      <right style="medium">
        <color rgb="FF0E1F00"/>
      </right>
      <top style="medium">
        <color rgb="FF0E1F00"/>
      </top>
      <bottom/>
      <diagonal/>
    </border>
    <border>
      <left style="medium">
        <color rgb="FF0E1F00"/>
      </left>
      <right style="medium">
        <color rgb="FF0E1F00"/>
      </right>
      <top style="medium">
        <color rgb="FF0E1F00"/>
      </top>
      <bottom style="medium">
        <color rgb="FF0E1F00"/>
      </bottom>
      <diagonal/>
    </border>
    <border>
      <left style="medium">
        <color rgb="FF0E1F00"/>
      </left>
      <right style="medium">
        <color rgb="FF0E1F00"/>
      </right>
      <top/>
      <bottom/>
      <diagonal/>
    </border>
    <border>
      <left style="medium">
        <color rgb="FF0E1F00"/>
      </left>
      <right style="medium">
        <color rgb="FF0E1F00"/>
      </right>
      <top/>
      <bottom style="medium">
        <color rgb="FF0E1F00"/>
      </bottom>
      <diagonal/>
    </border>
    <border>
      <left style="medium">
        <color rgb="FF0E1F00"/>
      </left>
      <right/>
      <top style="medium">
        <color rgb="FF0E1F00"/>
      </top>
      <bottom style="medium">
        <color rgb="FF0E1F00"/>
      </bottom>
      <diagonal/>
    </border>
    <border>
      <left/>
      <right style="medium">
        <color rgb="FF0E1F00"/>
      </right>
      <top style="medium">
        <color rgb="FF0E1F00"/>
      </top>
      <bottom style="medium">
        <color rgb="FF0E1F00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auto="1"/>
      </left>
      <right style="dashed">
        <color theme="0" tint="-0.14996795556505021"/>
      </right>
      <top style="thin">
        <color auto="1"/>
      </top>
      <bottom style="dashed">
        <color theme="0" tint="-0.14996795556505021"/>
      </bottom>
      <diagonal/>
    </border>
    <border>
      <left style="dashed">
        <color theme="0" tint="-0.14996795556505021"/>
      </left>
      <right style="thin">
        <color auto="1"/>
      </right>
      <top style="thin">
        <color auto="1"/>
      </top>
      <bottom style="dashed">
        <color theme="0" tint="-0.14996795556505021"/>
      </bottom>
      <diagonal/>
    </border>
    <border>
      <left style="thin">
        <color auto="1"/>
      </left>
      <right style="dashed">
        <color theme="0" tint="-0.14996795556505021"/>
      </right>
      <top style="dashed">
        <color theme="0" tint="-0.14996795556505021"/>
      </top>
      <bottom style="thin">
        <color auto="1"/>
      </bottom>
      <diagonal/>
    </border>
    <border>
      <left style="dashed">
        <color theme="0" tint="-0.14996795556505021"/>
      </left>
      <right style="thin">
        <color auto="1"/>
      </right>
      <top style="dashed">
        <color theme="0" tint="-0.14996795556505021"/>
      </top>
      <bottom style="thin">
        <color auto="1"/>
      </bottom>
      <diagonal/>
    </border>
  </borders>
  <cellStyleXfs count="13">
    <xf numFmtId="0" fontId="0" fillId="0" borderId="0">
      <alignment vertical="center"/>
    </xf>
    <xf numFmtId="0" fontId="1" fillId="0" borderId="0">
      <alignment vertical="center"/>
    </xf>
    <xf numFmtId="0" fontId="5" fillId="0" borderId="0"/>
    <xf numFmtId="0" fontId="33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/>
    <xf numFmtId="0" fontId="72" fillId="0" borderId="0"/>
    <xf numFmtId="0" fontId="73" fillId="0" borderId="0"/>
    <xf numFmtId="0" fontId="100" fillId="0" borderId="0"/>
    <xf numFmtId="0" fontId="33" fillId="0" borderId="0">
      <alignment vertical="center"/>
    </xf>
    <xf numFmtId="0" fontId="1" fillId="0" borderId="0">
      <alignment vertical="center"/>
    </xf>
    <xf numFmtId="0" fontId="5" fillId="0" borderId="0"/>
  </cellStyleXfs>
  <cellXfs count="447">
    <xf numFmtId="0" fontId="0" fillId="0" borderId="0" xfId="0">
      <alignment vertical="center"/>
    </xf>
    <xf numFmtId="0" fontId="2" fillId="2" borderId="1" xfId="1" applyFont="1" applyFill="1" applyBorder="1">
      <alignment vertical="center"/>
    </xf>
    <xf numFmtId="0" fontId="2" fillId="2" borderId="1" xfId="1" applyFont="1" applyFill="1" applyBorder="1" applyAlignment="1">
      <alignment horizontal="center" vertical="center"/>
    </xf>
    <xf numFmtId="0" fontId="1" fillId="0" borderId="0" xfId="1">
      <alignment vertical="center"/>
    </xf>
    <xf numFmtId="0" fontId="4" fillId="0" borderId="1" xfId="1" applyFont="1" applyBorder="1">
      <alignment vertical="center"/>
    </xf>
    <xf numFmtId="0" fontId="4" fillId="3" borderId="1" xfId="1" applyFont="1" applyFill="1" applyBorder="1">
      <alignment vertical="center"/>
    </xf>
    <xf numFmtId="0" fontId="6" fillId="0" borderId="0" xfId="2" applyFont="1" applyAlignment="1">
      <alignment horizontal="center" vertical="center"/>
    </xf>
    <xf numFmtId="0" fontId="6" fillId="0" borderId="0" xfId="2" applyFont="1" applyAlignment="1">
      <alignment horizontal="left" vertical="center"/>
    </xf>
    <xf numFmtId="0" fontId="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left" vertical="center"/>
    </xf>
    <xf numFmtId="0" fontId="9" fillId="4" borderId="2" xfId="2" applyFont="1" applyFill="1" applyBorder="1" applyAlignment="1">
      <alignment horizontal="center" vertical="center" wrapText="1"/>
    </xf>
    <xf numFmtId="0" fontId="9" fillId="4" borderId="3" xfId="2" applyFont="1" applyFill="1" applyBorder="1" applyAlignment="1">
      <alignment horizontal="center" vertical="center" wrapText="1"/>
    </xf>
    <xf numFmtId="0" fontId="9" fillId="4" borderId="4" xfId="2" applyFont="1" applyFill="1" applyBorder="1" applyAlignment="1">
      <alignment horizontal="center" vertical="center" wrapText="1"/>
    </xf>
    <xf numFmtId="0" fontId="11" fillId="4" borderId="4" xfId="2" applyFont="1" applyFill="1" applyBorder="1" applyAlignment="1">
      <alignment horizontal="center" vertical="center" wrapText="1"/>
    </xf>
    <xf numFmtId="0" fontId="7" fillId="4" borderId="4" xfId="2" applyFont="1" applyFill="1" applyBorder="1" applyAlignment="1">
      <alignment horizontal="center" vertical="center" wrapText="1"/>
    </xf>
    <xf numFmtId="0" fontId="7" fillId="4" borderId="3" xfId="2" applyFont="1" applyFill="1" applyBorder="1" applyAlignment="1">
      <alignment horizontal="center" vertical="center" wrapText="1"/>
    </xf>
    <xf numFmtId="0" fontId="9" fillId="4" borderId="1" xfId="2" applyFont="1" applyFill="1" applyBorder="1" applyAlignment="1">
      <alignment horizontal="left" vertical="center" wrapText="1"/>
    </xf>
    <xf numFmtId="0" fontId="14" fillId="0" borderId="0" xfId="2" applyFont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0" fontId="20" fillId="0" borderId="1" xfId="2" applyFont="1" applyBorder="1" applyAlignment="1">
      <alignment horizontal="left" vertical="center" wrapText="1"/>
    </xf>
    <xf numFmtId="0" fontId="20" fillId="0" borderId="0" xfId="2" applyFont="1" applyAlignment="1">
      <alignment horizontal="center" vertical="center" wrapText="1"/>
    </xf>
    <xf numFmtId="0" fontId="21" fillId="0" borderId="0" xfId="2" applyFont="1" applyAlignment="1">
      <alignment horizontal="center" vertical="center" wrapText="1"/>
    </xf>
    <xf numFmtId="0" fontId="22" fillId="0" borderId="1" xfId="2" applyFont="1" applyBorder="1" applyAlignment="1">
      <alignment horizontal="center" vertical="center" wrapText="1"/>
    </xf>
    <xf numFmtId="0" fontId="9" fillId="4" borderId="1" xfId="2" applyFont="1" applyFill="1" applyBorder="1" applyAlignment="1">
      <alignment horizontal="center" vertical="center" wrapText="1"/>
    </xf>
    <xf numFmtId="0" fontId="23" fillId="0" borderId="1" xfId="2" applyFont="1" applyBorder="1" applyAlignment="1">
      <alignment horizontal="center" vertical="center" wrapText="1"/>
    </xf>
    <xf numFmtId="0" fontId="24" fillId="0" borderId="1" xfId="2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0" fontId="28" fillId="0" borderId="1" xfId="2" applyFont="1" applyBorder="1" applyAlignment="1">
      <alignment horizontal="left" vertical="center" wrapText="1"/>
    </xf>
    <xf numFmtId="0" fontId="7" fillId="0" borderId="7" xfId="2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2" applyFont="1" applyAlignment="1">
      <alignment horizontal="center" vertical="center"/>
    </xf>
    <xf numFmtId="0" fontId="32" fillId="0" borderId="0" xfId="2" applyFont="1" applyAlignment="1">
      <alignment horizontal="center" vertical="top"/>
    </xf>
    <xf numFmtId="0" fontId="33" fillId="0" borderId="0" xfId="3">
      <alignment vertical="center"/>
    </xf>
    <xf numFmtId="0" fontId="33" fillId="0" borderId="0" xfId="3" applyAlignment="1">
      <alignment horizontal="left" vertical="center"/>
    </xf>
    <xf numFmtId="0" fontId="33" fillId="0" borderId="0" xfId="3" applyAlignment="1">
      <alignment horizontal="center" vertical="center"/>
    </xf>
    <xf numFmtId="0" fontId="35" fillId="0" borderId="0" xfId="2" applyFont="1" applyAlignment="1">
      <alignment horizontal="center"/>
    </xf>
    <xf numFmtId="0" fontId="35" fillId="0" borderId="0" xfId="2" applyFont="1" applyAlignment="1">
      <alignment horizontal="right" vertical="center" indent="1"/>
    </xf>
    <xf numFmtId="0" fontId="35" fillId="0" borderId="0" xfId="2" applyFont="1"/>
    <xf numFmtId="0" fontId="35" fillId="0" borderId="0" xfId="2" applyFont="1" applyAlignment="1">
      <alignment horizontal="left" indent="1"/>
    </xf>
    <xf numFmtId="0" fontId="35" fillId="0" borderId="0" xfId="2" applyFont="1" applyAlignment="1">
      <alignment horizontal="left" vertical="center" indent="1"/>
    </xf>
    <xf numFmtId="0" fontId="36" fillId="6" borderId="10" xfId="2" applyFont="1" applyFill="1" applyBorder="1" applyAlignment="1">
      <alignment horizontal="center" vertical="center"/>
    </xf>
    <xf numFmtId="0" fontId="54" fillId="9" borderId="1" xfId="0" applyFont="1" applyFill="1" applyBorder="1" applyAlignment="1">
      <alignment horizontal="center" vertical="center"/>
    </xf>
    <xf numFmtId="0" fontId="56" fillId="9" borderId="1" xfId="3" applyFont="1" applyFill="1" applyBorder="1" applyAlignment="1">
      <alignment horizontal="center" vertical="center"/>
    </xf>
    <xf numFmtId="0" fontId="58" fillId="10" borderId="1" xfId="5" applyFont="1" applyFill="1" applyBorder="1" applyAlignment="1">
      <alignment horizontal="center"/>
    </xf>
    <xf numFmtId="0" fontId="59" fillId="10" borderId="1" xfId="5" applyFont="1" applyFill="1" applyBorder="1" applyAlignment="1">
      <alignment horizontal="left" vertical="center" indent="1"/>
    </xf>
    <xf numFmtId="0" fontId="59" fillId="10" borderId="1" xfId="5" applyFont="1" applyFill="1" applyBorder="1" applyAlignment="1">
      <alignment horizontal="center" vertical="center"/>
    </xf>
    <xf numFmtId="0" fontId="60" fillId="10" borderId="1" xfId="2" applyFont="1" applyFill="1" applyBorder="1" applyAlignment="1">
      <alignment horizontal="center" vertical="center"/>
    </xf>
    <xf numFmtId="0" fontId="61" fillId="10" borderId="1" xfId="2" applyFont="1" applyFill="1" applyBorder="1" applyAlignment="1">
      <alignment horizontal="center" vertical="center"/>
    </xf>
    <xf numFmtId="0" fontId="63" fillId="10" borderId="1" xfId="6" applyFont="1" applyFill="1" applyBorder="1" applyAlignment="1">
      <alignment horizontal="center" vertical="center"/>
    </xf>
    <xf numFmtId="0" fontId="64" fillId="10" borderId="1" xfId="3" applyFont="1" applyFill="1" applyBorder="1" applyAlignment="1">
      <alignment horizontal="center" vertical="center"/>
    </xf>
    <xf numFmtId="0" fontId="58" fillId="5" borderId="1" xfId="5" applyFont="1" applyFill="1" applyBorder="1" applyAlignment="1">
      <alignment horizontal="center"/>
    </xf>
    <xf numFmtId="0" fontId="65" fillId="5" borderId="1" xfId="5" applyFont="1" applyFill="1" applyBorder="1" applyAlignment="1">
      <alignment horizontal="left" vertical="center" indent="1"/>
    </xf>
    <xf numFmtId="0" fontId="65" fillId="5" borderId="1" xfId="5" applyFont="1" applyFill="1" applyBorder="1" applyAlignment="1">
      <alignment horizontal="center" vertical="center"/>
    </xf>
    <xf numFmtId="0" fontId="60" fillId="5" borderId="1" xfId="2" applyFont="1" applyFill="1" applyBorder="1" applyAlignment="1">
      <alignment horizontal="center" vertical="center"/>
    </xf>
    <xf numFmtId="0" fontId="61" fillId="5" borderId="1" xfId="2" quotePrefix="1" applyFont="1" applyFill="1" applyBorder="1" applyAlignment="1">
      <alignment horizontal="center" vertical="center"/>
    </xf>
    <xf numFmtId="0" fontId="66" fillId="5" borderId="1" xfId="6" applyFont="1" applyFill="1" applyBorder="1" applyAlignment="1">
      <alignment horizontal="center" vertical="center"/>
    </xf>
    <xf numFmtId="0" fontId="64" fillId="5" borderId="1" xfId="3" applyFont="1" applyFill="1" applyBorder="1" applyAlignment="1">
      <alignment horizontal="center" vertical="center"/>
    </xf>
    <xf numFmtId="0" fontId="66" fillId="10" borderId="1" xfId="6" applyFont="1" applyFill="1" applyBorder="1" applyAlignment="1">
      <alignment horizontal="center" vertical="center"/>
    </xf>
    <xf numFmtId="0" fontId="61" fillId="5" borderId="1" xfId="2" applyFont="1" applyFill="1" applyBorder="1" applyAlignment="1">
      <alignment horizontal="center" vertical="center"/>
    </xf>
    <xf numFmtId="0" fontId="61" fillId="10" borderId="1" xfId="2" quotePrefix="1" applyFont="1" applyFill="1" applyBorder="1" applyAlignment="1">
      <alignment horizontal="center" vertical="center"/>
    </xf>
    <xf numFmtId="0" fontId="67" fillId="5" borderId="1" xfId="5" applyFont="1" applyFill="1" applyBorder="1" applyAlignment="1">
      <alignment horizontal="center" vertical="center"/>
    </xf>
    <xf numFmtId="0" fontId="68" fillId="5" borderId="1" xfId="5" applyFont="1" applyFill="1" applyBorder="1" applyAlignment="1">
      <alignment horizontal="center" vertical="center"/>
    </xf>
    <xf numFmtId="0" fontId="69" fillId="5" borderId="1" xfId="2" applyFont="1" applyFill="1" applyBorder="1" applyAlignment="1">
      <alignment horizontal="center" vertical="center"/>
    </xf>
    <xf numFmtId="0" fontId="70" fillId="5" borderId="1" xfId="6" applyFont="1" applyFill="1" applyBorder="1" applyAlignment="1">
      <alignment horizontal="center" vertical="center"/>
    </xf>
    <xf numFmtId="0" fontId="71" fillId="5" borderId="1" xfId="3" applyFont="1" applyFill="1" applyBorder="1" applyAlignment="1">
      <alignment horizontal="center" vertical="center"/>
    </xf>
    <xf numFmtId="0" fontId="76" fillId="0" borderId="0" xfId="8" applyFont="1" applyAlignment="1">
      <alignment horizontal="center" vertical="center"/>
    </xf>
    <xf numFmtId="0" fontId="76" fillId="0" borderId="0" xfId="8" applyFont="1" applyAlignment="1">
      <alignment horizontal="left" vertical="center" indent="1"/>
    </xf>
    <xf numFmtId="0" fontId="77" fillId="0" borderId="0" xfId="8" applyFont="1" applyAlignment="1">
      <alignment horizontal="center" vertical="center"/>
    </xf>
    <xf numFmtId="0" fontId="77" fillId="14" borderId="18" xfId="8" applyFont="1" applyFill="1" applyBorder="1" applyAlignment="1">
      <alignment horizontal="center" vertical="center"/>
    </xf>
    <xf numFmtId="0" fontId="78" fillId="11" borderId="18" xfId="8" applyFont="1" applyFill="1" applyBorder="1" applyAlignment="1">
      <alignment horizontal="center" vertical="center"/>
    </xf>
    <xf numFmtId="0" fontId="77" fillId="14" borderId="0" xfId="8" applyFont="1" applyFill="1" applyAlignment="1">
      <alignment horizontal="center" vertical="center"/>
    </xf>
    <xf numFmtId="0" fontId="78" fillId="11" borderId="0" xfId="8" applyFont="1" applyFill="1" applyAlignment="1">
      <alignment horizontal="center" vertical="center"/>
    </xf>
    <xf numFmtId="0" fontId="77" fillId="14" borderId="19" xfId="8" applyFont="1" applyFill="1" applyBorder="1" applyAlignment="1">
      <alignment horizontal="center" vertical="center"/>
    </xf>
    <xf numFmtId="0" fontId="78" fillId="11" borderId="19" xfId="8" applyFont="1" applyFill="1" applyBorder="1" applyAlignment="1">
      <alignment horizontal="center" vertical="center"/>
    </xf>
    <xf numFmtId="0" fontId="78" fillId="11" borderId="20" xfId="8" applyFont="1" applyFill="1" applyBorder="1" applyAlignment="1">
      <alignment horizontal="center" vertical="center"/>
    </xf>
    <xf numFmtId="0" fontId="79" fillId="7" borderId="0" xfId="8" applyFont="1" applyFill="1" applyAlignment="1">
      <alignment horizontal="left" vertical="center" indent="1"/>
    </xf>
    <xf numFmtId="0" fontId="80" fillId="14" borderId="0" xfId="8" applyFont="1" applyFill="1" applyAlignment="1">
      <alignment horizontal="center" vertical="center"/>
    </xf>
    <xf numFmtId="0" fontId="75" fillId="0" borderId="0" xfId="8" applyFont="1" applyAlignment="1">
      <alignment horizontal="left" vertical="center" indent="1"/>
    </xf>
    <xf numFmtId="0" fontId="76" fillId="0" borderId="0" xfId="8" applyFont="1" applyAlignment="1">
      <alignment horizontal="left" vertical="center" indent="3"/>
    </xf>
    <xf numFmtId="0" fontId="81" fillId="0" borderId="0" xfId="8" applyFont="1" applyAlignment="1">
      <alignment horizontal="left" vertical="center" indent="1"/>
    </xf>
    <xf numFmtId="0" fontId="83" fillId="14" borderId="21" xfId="8" applyFont="1" applyFill="1" applyBorder="1" applyAlignment="1">
      <alignment horizontal="center" vertical="center"/>
    </xf>
    <xf numFmtId="0" fontId="82" fillId="11" borderId="21" xfId="8" applyFont="1" applyFill="1" applyBorder="1" applyAlignment="1">
      <alignment horizontal="center" vertical="center"/>
    </xf>
    <xf numFmtId="0" fontId="84" fillId="0" borderId="0" xfId="8" applyFont="1" applyAlignment="1">
      <alignment horizontal="center" vertical="center"/>
    </xf>
    <xf numFmtId="0" fontId="85" fillId="12" borderId="21" xfId="8" applyFont="1" applyFill="1" applyBorder="1" applyAlignment="1">
      <alignment horizontal="center" vertical="center"/>
    </xf>
    <xf numFmtId="0" fontId="86" fillId="14" borderId="21" xfId="8" applyFont="1" applyFill="1" applyBorder="1" applyAlignment="1">
      <alignment horizontal="left" vertical="center" indent="1"/>
    </xf>
    <xf numFmtId="0" fontId="85" fillId="15" borderId="21" xfId="8" applyFont="1" applyFill="1" applyBorder="1" applyAlignment="1">
      <alignment horizontal="center" vertical="center"/>
    </xf>
    <xf numFmtId="0" fontId="85" fillId="13" borderId="21" xfId="8" applyFont="1" applyFill="1" applyBorder="1" applyAlignment="1">
      <alignment horizontal="center" vertical="center"/>
    </xf>
    <xf numFmtId="0" fontId="87" fillId="12" borderId="1" xfId="8" applyFont="1" applyFill="1" applyBorder="1" applyAlignment="1">
      <alignment horizontal="left" vertical="center" indent="1"/>
    </xf>
    <xf numFmtId="0" fontId="79" fillId="7" borderId="1" xfId="8" applyFont="1" applyFill="1" applyBorder="1" applyAlignment="1">
      <alignment horizontal="left" vertical="center" indent="1"/>
    </xf>
    <xf numFmtId="0" fontId="79" fillId="8" borderId="1" xfId="8" applyFont="1" applyFill="1" applyBorder="1" applyAlignment="1">
      <alignment horizontal="left" vertical="center" indent="1"/>
    </xf>
    <xf numFmtId="0" fontId="78" fillId="15" borderId="0" xfId="8" applyFont="1" applyFill="1" applyAlignment="1">
      <alignment horizontal="center" vertical="center"/>
    </xf>
    <xf numFmtId="0" fontId="78" fillId="13" borderId="0" xfId="8" applyFont="1" applyFill="1" applyAlignment="1">
      <alignment horizontal="left" vertical="center" indent="3"/>
    </xf>
    <xf numFmtId="0" fontId="77" fillId="14" borderId="0" xfId="8" applyFont="1" applyFill="1" applyAlignment="1">
      <alignment horizontal="left" vertical="center" indent="1"/>
    </xf>
    <xf numFmtId="0" fontId="78" fillId="11" borderId="0" xfId="8" applyFont="1" applyFill="1" applyAlignment="1">
      <alignment horizontal="left" vertical="center" indent="2"/>
    </xf>
    <xf numFmtId="0" fontId="78" fillId="15" borderId="0" xfId="8" applyFont="1" applyFill="1" applyAlignment="1">
      <alignment horizontal="left" vertical="center" indent="2"/>
    </xf>
    <xf numFmtId="0" fontId="78" fillId="13" borderId="0" xfId="8" applyFont="1" applyFill="1" applyAlignment="1">
      <alignment horizontal="left" vertical="center" indent="2"/>
    </xf>
    <xf numFmtId="0" fontId="84" fillId="14" borderId="1" xfId="8" applyFont="1" applyFill="1" applyBorder="1" applyAlignment="1">
      <alignment horizontal="left" vertical="center" indent="1"/>
    </xf>
    <xf numFmtId="0" fontId="81" fillId="14" borderId="1" xfId="8" applyFont="1" applyFill="1" applyBorder="1" applyAlignment="1">
      <alignment horizontal="left" vertical="center" indent="1"/>
    </xf>
    <xf numFmtId="0" fontId="88" fillId="15" borderId="0" xfId="8" applyFont="1" applyFill="1" applyAlignment="1">
      <alignment horizontal="center" vertical="center"/>
    </xf>
    <xf numFmtId="0" fontId="87" fillId="13" borderId="1" xfId="8" applyFont="1" applyFill="1" applyBorder="1" applyAlignment="1">
      <alignment horizontal="left" vertical="center" indent="1"/>
    </xf>
    <xf numFmtId="176" fontId="78" fillId="13" borderId="1" xfId="8" applyNumberFormat="1" applyFont="1" applyFill="1" applyBorder="1" applyAlignment="1">
      <alignment horizontal="left" vertical="center" indent="1"/>
    </xf>
    <xf numFmtId="0" fontId="89" fillId="15" borderId="0" xfId="8" applyFont="1" applyFill="1" applyAlignment="1">
      <alignment horizontal="center" vertical="center"/>
    </xf>
    <xf numFmtId="0" fontId="89" fillId="15" borderId="0" xfId="8" applyFont="1" applyFill="1" applyAlignment="1">
      <alignment horizontal="left" vertical="center" indent="2"/>
    </xf>
    <xf numFmtId="0" fontId="87" fillId="15" borderId="1" xfId="8" applyFont="1" applyFill="1" applyBorder="1" applyAlignment="1">
      <alignment horizontal="left" vertical="center" indent="1"/>
    </xf>
    <xf numFmtId="176" fontId="78" fillId="15" borderId="1" xfId="8" applyNumberFormat="1" applyFont="1" applyFill="1" applyBorder="1" applyAlignment="1">
      <alignment horizontal="left" vertical="center" indent="1"/>
    </xf>
    <xf numFmtId="0" fontId="87" fillId="11" borderId="1" xfId="8" applyFont="1" applyFill="1" applyBorder="1" applyAlignment="1">
      <alignment horizontal="left" vertical="center" indent="1"/>
    </xf>
    <xf numFmtId="176" fontId="78" fillId="11" borderId="1" xfId="8" applyNumberFormat="1" applyFont="1" applyFill="1" applyBorder="1" applyAlignment="1">
      <alignment horizontal="left" vertical="center" indent="1"/>
    </xf>
    <xf numFmtId="0" fontId="79" fillId="8" borderId="18" xfId="8" applyFont="1" applyFill="1" applyBorder="1" applyAlignment="1">
      <alignment horizontal="left" vertical="center" indent="1"/>
    </xf>
    <xf numFmtId="0" fontId="78" fillId="15" borderId="18" xfId="8" applyFont="1" applyFill="1" applyBorder="1" applyAlignment="1">
      <alignment horizontal="center" vertical="center"/>
    </xf>
    <xf numFmtId="0" fontId="78" fillId="13" borderId="18" xfId="8" applyFont="1" applyFill="1" applyBorder="1" applyAlignment="1">
      <alignment horizontal="left" vertical="center" indent="3"/>
    </xf>
    <xf numFmtId="0" fontId="79" fillId="8" borderId="0" xfId="8" applyFont="1" applyFill="1" applyAlignment="1">
      <alignment horizontal="left" vertical="center" indent="1"/>
    </xf>
    <xf numFmtId="0" fontId="79" fillId="8" borderId="19" xfId="8" applyFont="1" applyFill="1" applyBorder="1" applyAlignment="1">
      <alignment horizontal="left" vertical="center" indent="1"/>
    </xf>
    <xf numFmtId="0" fontId="78" fillId="15" borderId="19" xfId="8" applyFont="1" applyFill="1" applyBorder="1" applyAlignment="1">
      <alignment horizontal="center" vertical="center"/>
    </xf>
    <xf numFmtId="0" fontId="78" fillId="13" borderId="19" xfId="8" applyFont="1" applyFill="1" applyBorder="1" applyAlignment="1">
      <alignment horizontal="left" vertical="center" indent="3"/>
    </xf>
    <xf numFmtId="0" fontId="77" fillId="14" borderId="20" xfId="8" applyFont="1" applyFill="1" applyBorder="1" applyAlignment="1">
      <alignment horizontal="center" vertical="center"/>
    </xf>
    <xf numFmtId="0" fontId="78" fillId="15" borderId="20" xfId="8" applyFont="1" applyFill="1" applyBorder="1" applyAlignment="1">
      <alignment horizontal="center" vertical="center"/>
    </xf>
    <xf numFmtId="0" fontId="78" fillId="13" borderId="20" xfId="8" applyFont="1" applyFill="1" applyBorder="1" applyAlignment="1">
      <alignment horizontal="left" vertical="center" indent="3"/>
    </xf>
    <xf numFmtId="0" fontId="79" fillId="7" borderId="18" xfId="8" applyFont="1" applyFill="1" applyBorder="1" applyAlignment="1">
      <alignment horizontal="left" vertical="center" indent="1"/>
    </xf>
    <xf numFmtId="0" fontId="79" fillId="7" borderId="19" xfId="8" applyFont="1" applyFill="1" applyBorder="1" applyAlignment="1">
      <alignment horizontal="left" vertical="center" indent="1"/>
    </xf>
    <xf numFmtId="0" fontId="81" fillId="14" borderId="0" xfId="8" applyFont="1" applyFill="1" applyAlignment="1">
      <alignment horizontal="left" vertical="center" indent="1"/>
    </xf>
    <xf numFmtId="0" fontId="92" fillId="14" borderId="0" xfId="8" applyFont="1" applyFill="1" applyAlignment="1">
      <alignment horizontal="center" vertical="center"/>
    </xf>
    <xf numFmtId="0" fontId="92" fillId="14" borderId="18" xfId="8" applyFont="1" applyFill="1" applyBorder="1" applyAlignment="1">
      <alignment horizontal="center" vertical="center"/>
    </xf>
    <xf numFmtId="0" fontId="92" fillId="14" borderId="19" xfId="8" applyFont="1" applyFill="1" applyBorder="1" applyAlignment="1">
      <alignment horizontal="center" vertical="center"/>
    </xf>
    <xf numFmtId="0" fontId="94" fillId="13" borderId="21" xfId="8" applyFont="1" applyFill="1" applyBorder="1" applyAlignment="1">
      <alignment horizontal="center" vertical="center"/>
    </xf>
    <xf numFmtId="0" fontId="94" fillId="12" borderId="21" xfId="8" applyFont="1" applyFill="1" applyBorder="1" applyAlignment="1">
      <alignment horizontal="center" vertical="center"/>
    </xf>
    <xf numFmtId="0" fontId="95" fillId="14" borderId="21" xfId="8" applyFont="1" applyFill="1" applyBorder="1" applyAlignment="1">
      <alignment horizontal="center" vertical="center"/>
    </xf>
    <xf numFmtId="0" fontId="94" fillId="15" borderId="21" xfId="8" applyFont="1" applyFill="1" applyBorder="1" applyAlignment="1">
      <alignment horizontal="center" vertical="center"/>
    </xf>
    <xf numFmtId="0" fontId="94" fillId="11" borderId="21" xfId="8" applyFont="1" applyFill="1" applyBorder="1" applyAlignment="1">
      <alignment horizontal="center" vertical="center"/>
    </xf>
    <xf numFmtId="0" fontId="16" fillId="14" borderId="0" xfId="8" applyFont="1" applyFill="1" applyAlignment="1">
      <alignment horizontal="center" vertical="center"/>
    </xf>
    <xf numFmtId="0" fontId="16" fillId="14" borderId="18" xfId="8" applyFont="1" applyFill="1" applyBorder="1" applyAlignment="1">
      <alignment horizontal="center" vertical="center"/>
    </xf>
    <xf numFmtId="0" fontId="22" fillId="14" borderId="19" xfId="8" applyFont="1" applyFill="1" applyBorder="1" applyAlignment="1">
      <alignment horizontal="center" vertical="center"/>
    </xf>
    <xf numFmtId="0" fontId="24" fillId="14" borderId="0" xfId="8" applyFont="1" applyFill="1" applyAlignment="1">
      <alignment horizontal="center" vertical="center"/>
    </xf>
    <xf numFmtId="0" fontId="16" fillId="14" borderId="19" xfId="8" applyFont="1" applyFill="1" applyBorder="1" applyAlignment="1">
      <alignment horizontal="center" vertical="center"/>
    </xf>
    <xf numFmtId="0" fontId="22" fillId="14" borderId="0" xfId="8" applyFont="1" applyFill="1" applyAlignment="1">
      <alignment horizontal="center" vertical="center"/>
    </xf>
    <xf numFmtId="0" fontId="16" fillId="14" borderId="20" xfId="8" applyFont="1" applyFill="1" applyBorder="1" applyAlignment="1">
      <alignment horizontal="center" vertical="center"/>
    </xf>
    <xf numFmtId="0" fontId="96" fillId="14" borderId="0" xfId="8" applyFont="1" applyFill="1" applyAlignment="1">
      <alignment horizontal="center" vertical="center"/>
    </xf>
    <xf numFmtId="0" fontId="96" fillId="14" borderId="19" xfId="8" applyFont="1" applyFill="1" applyBorder="1" applyAlignment="1">
      <alignment horizontal="center" vertical="center"/>
    </xf>
    <xf numFmtId="0" fontId="97" fillId="14" borderId="0" xfId="8" applyFont="1" applyFill="1" applyAlignment="1">
      <alignment horizontal="center" vertical="center"/>
    </xf>
    <xf numFmtId="0" fontId="2" fillId="2" borderId="5" xfId="1" applyFont="1" applyFill="1" applyBorder="1">
      <alignment vertical="center"/>
    </xf>
    <xf numFmtId="0" fontId="98" fillId="17" borderId="1" xfId="1" applyFont="1" applyFill="1" applyBorder="1">
      <alignment vertical="center"/>
    </xf>
    <xf numFmtId="0" fontId="1" fillId="0" borderId="0" xfId="1" applyAlignment="1">
      <alignment horizontal="center" vertical="center"/>
    </xf>
    <xf numFmtId="0" fontId="4" fillId="18" borderId="1" xfId="1" applyFont="1" applyFill="1" applyBorder="1">
      <alignment vertical="center"/>
    </xf>
    <xf numFmtId="0" fontId="102" fillId="0" borderId="0" xfId="9" applyFont="1"/>
    <xf numFmtId="0" fontId="102" fillId="0" borderId="0" xfId="9" applyFont="1" applyAlignment="1">
      <alignment horizontal="center"/>
    </xf>
    <xf numFmtId="0" fontId="102" fillId="0" borderId="0" xfId="9" applyFont="1" applyAlignment="1">
      <alignment vertical="center"/>
    </xf>
    <xf numFmtId="0" fontId="102" fillId="0" borderId="0" xfId="9" applyFont="1" applyAlignment="1">
      <alignment horizontal="left" indent="1"/>
    </xf>
    <xf numFmtId="176" fontId="103" fillId="0" borderId="0" xfId="9" applyNumberFormat="1" applyFont="1" applyAlignment="1">
      <alignment horizontal="left" indent="1"/>
    </xf>
    <xf numFmtId="0" fontId="104" fillId="0" borderId="0" xfId="9" applyFont="1" applyAlignment="1">
      <alignment horizontal="left" indent="1"/>
    </xf>
    <xf numFmtId="0" fontId="104" fillId="0" borderId="0" xfId="9" applyFont="1" applyAlignment="1">
      <alignment horizontal="center"/>
    </xf>
    <xf numFmtId="0" fontId="105" fillId="0" borderId="0" xfId="9" applyFont="1" applyAlignment="1">
      <alignment horizontal="center"/>
    </xf>
    <xf numFmtId="0" fontId="106" fillId="0" borderId="0" xfId="9" applyFont="1" applyAlignment="1">
      <alignment horizontal="center" vertical="center"/>
    </xf>
    <xf numFmtId="0" fontId="107" fillId="0" borderId="0" xfId="9" applyFont="1"/>
    <xf numFmtId="0" fontId="108" fillId="19" borderId="23" xfId="3" applyFont="1" applyFill="1" applyBorder="1" applyAlignment="1">
      <alignment vertical="center" wrapText="1"/>
    </xf>
    <xf numFmtId="0" fontId="109" fillId="20" borderId="23" xfId="3" applyFont="1" applyFill="1" applyBorder="1" applyAlignment="1">
      <alignment horizontal="center" vertical="center" wrapText="1"/>
    </xf>
    <xf numFmtId="0" fontId="33" fillId="19" borderId="24" xfId="3" applyFill="1" applyBorder="1">
      <alignment vertical="center"/>
    </xf>
    <xf numFmtId="0" fontId="109" fillId="20" borderId="26" xfId="3" applyFont="1" applyFill="1" applyBorder="1" applyAlignment="1">
      <alignment horizontal="center" vertical="center" wrapText="1"/>
    </xf>
    <xf numFmtId="0" fontId="108" fillId="19" borderId="26" xfId="3" applyFont="1" applyFill="1" applyBorder="1" applyAlignment="1">
      <alignment vertical="center" wrapText="1"/>
    </xf>
    <xf numFmtId="0" fontId="108" fillId="19" borderId="0" xfId="3" applyFont="1" applyFill="1">
      <alignment vertical="center"/>
    </xf>
    <xf numFmtId="0" fontId="108" fillId="19" borderId="0" xfId="3" applyFont="1" applyFill="1" applyAlignment="1">
      <alignment vertical="center" wrapText="1"/>
    </xf>
    <xf numFmtId="0" fontId="110" fillId="20" borderId="0" xfId="3" applyFont="1" applyFill="1" applyAlignment="1">
      <alignment horizontal="center" vertical="center" wrapText="1"/>
    </xf>
    <xf numFmtId="0" fontId="108" fillId="0" borderId="0" xfId="3" applyFont="1">
      <alignment vertical="center"/>
    </xf>
    <xf numFmtId="0" fontId="112" fillId="16" borderId="31" xfId="10" applyFont="1" applyFill="1" applyBorder="1" applyAlignment="1">
      <alignment horizontal="center" vertical="center" wrapText="1"/>
    </xf>
    <xf numFmtId="0" fontId="112" fillId="16" borderId="32" xfId="10" applyFont="1" applyFill="1" applyBorder="1" applyAlignment="1">
      <alignment horizontal="center" vertical="center" wrapText="1"/>
    </xf>
    <xf numFmtId="0" fontId="1" fillId="0" borderId="0" xfId="11" applyAlignment="1">
      <alignment horizontal="center" vertical="center"/>
    </xf>
    <xf numFmtId="0" fontId="113" fillId="0" borderId="0" xfId="11" applyFont="1">
      <alignment vertical="center"/>
    </xf>
    <xf numFmtId="0" fontId="114" fillId="0" borderId="0" xfId="9" applyFont="1" applyAlignment="1">
      <alignment horizontal="center"/>
    </xf>
    <xf numFmtId="0" fontId="33" fillId="0" borderId="0" xfId="10">
      <alignment vertical="center"/>
    </xf>
    <xf numFmtId="0" fontId="115" fillId="0" borderId="0" xfId="11" applyFont="1" applyAlignment="1">
      <alignment horizontal="center" vertical="center"/>
    </xf>
    <xf numFmtId="0" fontId="33" fillId="0" borderId="0" xfId="10" applyAlignment="1">
      <alignment horizontal="center" vertical="center"/>
    </xf>
    <xf numFmtId="0" fontId="116" fillId="0" borderId="0" xfId="10" applyFont="1">
      <alignment vertical="center"/>
    </xf>
    <xf numFmtId="0" fontId="114" fillId="0" borderId="0" xfId="9" applyFont="1" applyAlignment="1">
      <alignment horizontal="left" indent="1"/>
    </xf>
    <xf numFmtId="0" fontId="1" fillId="0" borderId="0" xfId="11">
      <alignment vertical="center"/>
    </xf>
    <xf numFmtId="177" fontId="117" fillId="21" borderId="0" xfId="11" applyNumberFormat="1" applyFont="1" applyFill="1" applyAlignment="1">
      <alignment horizontal="center" vertical="center"/>
    </xf>
    <xf numFmtId="0" fontId="118" fillId="0" borderId="0" xfId="12" applyFont="1" applyAlignment="1">
      <alignment horizontal="center" vertical="center"/>
    </xf>
    <xf numFmtId="0" fontId="5" fillId="0" borderId="0" xfId="12" applyAlignment="1">
      <alignment horizontal="center"/>
    </xf>
    <xf numFmtId="0" fontId="119" fillId="0" borderId="0" xfId="12" applyFont="1" applyAlignment="1">
      <alignment horizontal="left" vertical="center" indent="1"/>
    </xf>
    <xf numFmtId="0" fontId="5" fillId="0" borderId="0" xfId="12" applyAlignment="1">
      <alignment horizontal="left" indent="1"/>
    </xf>
    <xf numFmtId="0" fontId="5" fillId="0" borderId="0" xfId="12"/>
    <xf numFmtId="0" fontId="120" fillId="6" borderId="10" xfId="12" applyFont="1" applyFill="1" applyBorder="1" applyAlignment="1">
      <alignment horizontal="center" vertical="center"/>
    </xf>
    <xf numFmtId="0" fontId="121" fillId="6" borderId="12" xfId="12" applyFont="1" applyFill="1" applyBorder="1" applyAlignment="1">
      <alignment horizontal="center" vertical="center"/>
    </xf>
    <xf numFmtId="0" fontId="121" fillId="6" borderId="11" xfId="12" applyFont="1" applyFill="1" applyBorder="1" applyAlignment="1">
      <alignment horizontal="center" vertical="center"/>
    </xf>
    <xf numFmtId="0" fontId="122" fillId="0" borderId="0" xfId="12" applyFont="1"/>
    <xf numFmtId="0" fontId="123" fillId="0" borderId="13" xfId="12" applyFont="1" applyBorder="1" applyAlignment="1">
      <alignment horizontal="center" vertical="center"/>
    </xf>
    <xf numFmtId="176" fontId="93" fillId="0" borderId="15" xfId="12" applyNumberFormat="1" applyFont="1" applyBorder="1" applyAlignment="1">
      <alignment horizontal="left" vertical="center" indent="1"/>
    </xf>
    <xf numFmtId="176" fontId="124" fillId="0" borderId="15" xfId="12" applyNumberFormat="1" applyFont="1" applyBorder="1" applyAlignment="1">
      <alignment horizontal="left" vertical="center" indent="1"/>
    </xf>
    <xf numFmtId="0" fontId="93" fillId="0" borderId="15" xfId="12" applyFont="1" applyBorder="1" applyAlignment="1">
      <alignment horizontal="center" vertical="center"/>
    </xf>
    <xf numFmtId="0" fontId="123" fillId="0" borderId="14" xfId="12" applyFont="1" applyBorder="1" applyAlignment="1">
      <alignment horizontal="center" vertical="center"/>
    </xf>
    <xf numFmtId="0" fontId="123" fillId="0" borderId="22" xfId="12" applyFont="1" applyBorder="1" applyAlignment="1">
      <alignment horizontal="center" vertical="center"/>
    </xf>
    <xf numFmtId="176" fontId="93" fillId="0" borderId="17" xfId="12" applyNumberFormat="1" applyFont="1" applyBorder="1" applyAlignment="1">
      <alignment horizontal="left" vertical="center" indent="1"/>
    </xf>
    <xf numFmtId="176" fontId="124" fillId="0" borderId="17" xfId="12" applyNumberFormat="1" applyFont="1" applyBorder="1" applyAlignment="1">
      <alignment horizontal="left" vertical="center" indent="1"/>
    </xf>
    <xf numFmtId="0" fontId="93" fillId="0" borderId="17" xfId="12" applyFont="1" applyBorder="1" applyAlignment="1">
      <alignment horizontal="center" vertical="center"/>
    </xf>
    <xf numFmtId="0" fontId="123" fillId="0" borderId="16" xfId="12" applyFont="1" applyBorder="1" applyAlignment="1">
      <alignment horizontal="center" vertical="center"/>
    </xf>
    <xf numFmtId="0" fontId="102" fillId="0" borderId="0" xfId="9" applyFont="1" applyAlignment="1">
      <alignment horizontal="center" vertical="center"/>
    </xf>
    <xf numFmtId="0" fontId="104" fillId="0" borderId="0" xfId="9" applyFont="1" applyAlignment="1">
      <alignment horizontal="center" vertical="center"/>
    </xf>
    <xf numFmtId="0" fontId="105" fillId="0" borderId="0" xfId="9" applyFont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 wrapText="1"/>
    </xf>
    <xf numFmtId="0" fontId="16" fillId="5" borderId="1" xfId="2" applyFont="1" applyFill="1" applyBorder="1" applyAlignment="1">
      <alignment horizontal="center" vertical="center" wrapText="1"/>
    </xf>
    <xf numFmtId="0" fontId="97" fillId="5" borderId="1" xfId="2" applyFont="1" applyFill="1" applyBorder="1" applyAlignment="1">
      <alignment horizontal="center" vertical="center" wrapText="1"/>
    </xf>
    <xf numFmtId="0" fontId="23" fillId="0" borderId="1" xfId="2" applyFont="1" applyBorder="1" applyAlignment="1">
      <alignment horizontal="center" vertical="center"/>
    </xf>
    <xf numFmtId="0" fontId="125" fillId="0" borderId="1" xfId="2" applyFont="1" applyBorder="1" applyAlignment="1">
      <alignment horizontal="center" vertical="center" wrapText="1"/>
    </xf>
    <xf numFmtId="0" fontId="69" fillId="0" borderId="0" xfId="0" applyFont="1" applyAlignment="1">
      <alignment horizontal="center" vertical="center"/>
    </xf>
    <xf numFmtId="0" fontId="131" fillId="0" borderId="9" xfId="2" applyFont="1" applyBorder="1" applyAlignment="1">
      <alignment horizontal="center" vertical="center" wrapText="1"/>
    </xf>
    <xf numFmtId="0" fontId="20" fillId="0" borderId="0" xfId="2" applyFont="1" applyAlignment="1">
      <alignment horizontal="left" vertical="center" wrapText="1"/>
    </xf>
    <xf numFmtId="0" fontId="89" fillId="13" borderId="19" xfId="8" applyFont="1" applyFill="1" applyBorder="1" applyAlignment="1">
      <alignment horizontal="left" vertical="center" indent="3"/>
    </xf>
    <xf numFmtId="0" fontId="15" fillId="14" borderId="0" xfId="8" applyFont="1" applyFill="1" applyAlignment="1">
      <alignment horizontal="center" vertical="center"/>
    </xf>
    <xf numFmtId="0" fontId="15" fillId="14" borderId="18" xfId="8" applyFont="1" applyFill="1" applyBorder="1" applyAlignment="1">
      <alignment horizontal="center" vertical="center"/>
    </xf>
    <xf numFmtId="0" fontId="15" fillId="14" borderId="19" xfId="8" applyFont="1" applyFill="1" applyBorder="1" applyAlignment="1">
      <alignment horizontal="center" vertical="center"/>
    </xf>
    <xf numFmtId="0" fontId="132" fillId="13" borderId="0" xfId="8" applyFont="1" applyFill="1" applyAlignment="1">
      <alignment horizontal="left" vertical="center" indent="3"/>
    </xf>
    <xf numFmtId="0" fontId="132" fillId="13" borderId="18" xfId="8" applyFont="1" applyFill="1" applyBorder="1" applyAlignment="1">
      <alignment horizontal="left" vertical="center" indent="3"/>
    </xf>
    <xf numFmtId="0" fontId="132" fillId="13" borderId="19" xfId="8" applyFont="1" applyFill="1" applyBorder="1" applyAlignment="1">
      <alignment horizontal="left" vertical="center" indent="3"/>
    </xf>
    <xf numFmtId="0" fontId="76" fillId="0" borderId="0" xfId="8" applyFont="1" applyAlignment="1">
      <alignment vertical="center"/>
    </xf>
    <xf numFmtId="0" fontId="129" fillId="13" borderId="0" xfId="8" applyFont="1" applyFill="1" applyAlignment="1">
      <alignment vertical="center"/>
    </xf>
    <xf numFmtId="0" fontId="129" fillId="13" borderId="18" xfId="8" applyFont="1" applyFill="1" applyBorder="1" applyAlignment="1">
      <alignment vertical="center"/>
    </xf>
    <xf numFmtId="0" fontId="129" fillId="13" borderId="19" xfId="8" applyFont="1" applyFill="1" applyBorder="1" applyAlignment="1">
      <alignment vertical="center"/>
    </xf>
    <xf numFmtId="0" fontId="15" fillId="14" borderId="20" xfId="8" applyFont="1" applyFill="1" applyBorder="1" applyAlignment="1">
      <alignment horizontal="center" vertical="center"/>
    </xf>
    <xf numFmtId="0" fontId="134" fillId="14" borderId="0" xfId="8" applyFont="1" applyFill="1" applyAlignment="1">
      <alignment horizontal="center" vertical="center"/>
    </xf>
    <xf numFmtId="0" fontId="135" fillId="13" borderId="0" xfId="8" applyFont="1" applyFill="1" applyAlignment="1">
      <alignment horizontal="left" vertical="center" indent="3"/>
    </xf>
    <xf numFmtId="0" fontId="136" fillId="13" borderId="0" xfId="8" applyFont="1" applyFill="1" applyAlignment="1">
      <alignment vertical="center"/>
    </xf>
    <xf numFmtId="0" fontId="133" fillId="14" borderId="0" xfId="8" applyFont="1" applyFill="1" applyAlignment="1">
      <alignment horizontal="center" vertical="center"/>
    </xf>
    <xf numFmtId="0" fontId="89" fillId="13" borderId="0" xfId="8" applyFont="1" applyFill="1" applyAlignment="1">
      <alignment horizontal="left" vertical="center" indent="3"/>
    </xf>
    <xf numFmtId="0" fontId="89" fillId="11" borderId="0" xfId="8" applyFont="1" applyFill="1" applyAlignment="1">
      <alignment horizontal="center" vertical="center"/>
    </xf>
    <xf numFmtId="0" fontId="132" fillId="13" borderId="0" xfId="8" quotePrefix="1" applyFont="1" applyFill="1" applyAlignment="1">
      <alignment horizontal="left" vertical="center" indent="3"/>
    </xf>
    <xf numFmtId="0" fontId="129" fillId="13" borderId="0" xfId="8" quotePrefix="1" applyFont="1" applyFill="1" applyAlignment="1">
      <alignment vertical="center"/>
    </xf>
    <xf numFmtId="0" fontId="78" fillId="13" borderId="0" xfId="8" quotePrefix="1" applyFont="1" applyFill="1" applyAlignment="1">
      <alignment horizontal="left" vertical="center" indent="3"/>
    </xf>
    <xf numFmtId="0" fontId="24" fillId="14" borderId="19" xfId="8" applyFont="1" applyFill="1" applyBorder="1" applyAlignment="1">
      <alignment horizontal="center" vertical="center"/>
    </xf>
    <xf numFmtId="0" fontId="97" fillId="14" borderId="19" xfId="8" applyFont="1" applyFill="1" applyBorder="1" applyAlignment="1">
      <alignment horizontal="center" vertical="center"/>
    </xf>
    <xf numFmtId="0" fontId="138" fillId="13" borderId="0" xfId="8" quotePrefix="1" applyFont="1" applyFill="1" applyAlignment="1">
      <alignment horizontal="left" vertical="center" indent="3"/>
    </xf>
    <xf numFmtId="0" fontId="138" fillId="13" borderId="19" xfId="8" applyFont="1" applyFill="1" applyBorder="1" applyAlignment="1">
      <alignment horizontal="left" vertical="center" indent="3"/>
    </xf>
    <xf numFmtId="0" fontId="137" fillId="14" borderId="19" xfId="8" applyFont="1" applyFill="1" applyBorder="1" applyAlignment="1">
      <alignment horizontal="center" vertical="center"/>
    </xf>
    <xf numFmtId="0" fontId="79" fillId="7" borderId="0" xfId="8" applyFont="1" applyFill="1" applyAlignment="1">
      <alignment horizontal="center" vertical="center"/>
    </xf>
    <xf numFmtId="176" fontId="102" fillId="0" borderId="0" xfId="9" applyNumberFormat="1" applyFont="1" applyAlignment="1">
      <alignment horizontal="left" indent="1"/>
    </xf>
    <xf numFmtId="0" fontId="102" fillId="0" borderId="0" xfId="2" applyFont="1" applyAlignment="1">
      <alignment horizontal="center"/>
    </xf>
    <xf numFmtId="0" fontId="80" fillId="0" borderId="0" xfId="8" applyFont="1" applyAlignment="1">
      <alignment horizontal="center" vertical="center"/>
    </xf>
    <xf numFmtId="0" fontId="139" fillId="14" borderId="21" xfId="8" applyFont="1" applyFill="1" applyBorder="1" applyAlignment="1">
      <alignment horizontal="center" vertical="center"/>
    </xf>
    <xf numFmtId="0" fontId="96" fillId="14" borderId="18" xfId="8" applyFont="1" applyFill="1" applyBorder="1" applyAlignment="1">
      <alignment horizontal="center" vertical="center"/>
    </xf>
    <xf numFmtId="0" fontId="19" fillId="14" borderId="18" xfId="8" applyFont="1" applyFill="1" applyBorder="1" applyAlignment="1">
      <alignment horizontal="center" vertical="center"/>
    </xf>
    <xf numFmtId="0" fontId="19" fillId="14" borderId="0" xfId="8" applyFont="1" applyFill="1" applyAlignment="1">
      <alignment horizontal="center" vertical="center"/>
    </xf>
    <xf numFmtId="0" fontId="19" fillId="14" borderId="19" xfId="8" applyFont="1" applyFill="1" applyBorder="1" applyAlignment="1">
      <alignment horizontal="center" vertical="center"/>
    </xf>
    <xf numFmtId="0" fontId="140" fillId="13" borderId="19" xfId="8" applyFont="1" applyFill="1" applyBorder="1" applyAlignment="1">
      <alignment horizontal="left" vertical="center" indent="3"/>
    </xf>
    <xf numFmtId="0" fontId="141" fillId="13" borderId="0" xfId="8" applyFont="1" applyFill="1" applyAlignment="1">
      <alignment horizontal="left" vertical="center" indent="3"/>
    </xf>
    <xf numFmtId="0" fontId="142" fillId="10" borderId="1" xfId="5" applyFont="1" applyFill="1" applyBorder="1" applyAlignment="1">
      <alignment horizontal="center" vertical="center"/>
    </xf>
    <xf numFmtId="0" fontId="142" fillId="5" borderId="1" xfId="5" applyFont="1" applyFill="1" applyBorder="1" applyAlignment="1">
      <alignment horizontal="center" vertical="center"/>
    </xf>
    <xf numFmtId="0" fontId="144" fillId="10" borderId="1" xfId="2" applyFont="1" applyFill="1" applyBorder="1" applyAlignment="1">
      <alignment horizontal="center" vertical="center"/>
    </xf>
    <xf numFmtId="0" fontId="144" fillId="5" borderId="1" xfId="2" quotePrefix="1" applyFont="1" applyFill="1" applyBorder="1" applyAlignment="1">
      <alignment horizontal="center" vertical="center"/>
    </xf>
    <xf numFmtId="0" fontId="144" fillId="5" borderId="1" xfId="2" applyFont="1" applyFill="1" applyBorder="1" applyAlignment="1">
      <alignment horizontal="center" vertical="center"/>
    </xf>
    <xf numFmtId="0" fontId="144" fillId="10" borderId="1" xfId="2" quotePrefix="1" applyFont="1" applyFill="1" applyBorder="1" applyAlignment="1">
      <alignment horizontal="center" vertical="center"/>
    </xf>
    <xf numFmtId="0" fontId="146" fillId="0" borderId="0" xfId="0" applyFont="1">
      <alignment vertical="center"/>
    </xf>
    <xf numFmtId="0" fontId="147" fillId="0" borderId="0" xfId="0" applyFont="1">
      <alignment vertical="center"/>
    </xf>
    <xf numFmtId="0" fontId="146" fillId="0" borderId="0" xfId="0" applyFont="1" applyAlignment="1">
      <alignment horizontal="center" vertical="center"/>
    </xf>
    <xf numFmtId="0" fontId="132" fillId="13" borderId="20" xfId="8" applyFont="1" applyFill="1" applyBorder="1" applyAlignment="1">
      <alignment horizontal="left" vertical="center" indent="3"/>
    </xf>
    <xf numFmtId="0" fontId="129" fillId="13" borderId="20" xfId="8" applyFont="1" applyFill="1" applyBorder="1" applyAlignment="1">
      <alignment vertical="center"/>
    </xf>
    <xf numFmtId="0" fontId="148" fillId="14" borderId="0" xfId="8" applyFont="1" applyFill="1" applyAlignment="1">
      <alignment horizontal="center" vertical="center"/>
    </xf>
    <xf numFmtId="0" fontId="148" fillId="3" borderId="1" xfId="1" applyFont="1" applyFill="1" applyBorder="1">
      <alignment vertical="center"/>
    </xf>
    <xf numFmtId="0" fontId="2" fillId="2" borderId="4" xfId="1" applyFont="1" applyFill="1" applyBorder="1">
      <alignment vertical="center"/>
    </xf>
    <xf numFmtId="0" fontId="4" fillId="3" borderId="4" xfId="1" applyFont="1" applyFill="1" applyBorder="1">
      <alignment vertical="center"/>
    </xf>
    <xf numFmtId="0" fontId="148" fillId="14" borderId="19" xfId="8" applyFont="1" applyFill="1" applyBorder="1" applyAlignment="1">
      <alignment horizontal="center" vertical="center"/>
    </xf>
    <xf numFmtId="0" fontId="4" fillId="0" borderId="4" xfId="1" applyFont="1" applyBorder="1">
      <alignment vertical="center"/>
    </xf>
    <xf numFmtId="0" fontId="97" fillId="0" borderId="4" xfId="1" applyFont="1" applyBorder="1">
      <alignment vertical="center"/>
    </xf>
    <xf numFmtId="0" fontId="149" fillId="14" borderId="0" xfId="8" applyFont="1" applyFill="1" applyAlignment="1">
      <alignment horizontal="center" vertical="center"/>
    </xf>
    <xf numFmtId="0" fontId="149" fillId="0" borderId="4" xfId="1" applyFont="1" applyBorder="1">
      <alignment vertical="center"/>
    </xf>
    <xf numFmtId="0" fontId="4" fillId="0" borderId="5" xfId="1" applyFont="1" applyBorder="1">
      <alignment vertical="center"/>
    </xf>
    <xf numFmtId="0" fontId="2" fillId="2" borderId="0" xfId="1" applyFont="1" applyFill="1">
      <alignment vertical="center"/>
    </xf>
    <xf numFmtId="0" fontId="4" fillId="3" borderId="0" xfId="1" applyFont="1" applyFill="1">
      <alignment vertical="center"/>
    </xf>
    <xf numFmtId="0" fontId="15" fillId="2" borderId="0" xfId="8" applyFont="1" applyFill="1" applyAlignment="1">
      <alignment horizontal="center" vertical="center"/>
    </xf>
    <xf numFmtId="0" fontId="133" fillId="2" borderId="0" xfId="8" applyFont="1" applyFill="1" applyAlignment="1">
      <alignment horizontal="center" vertical="center"/>
    </xf>
    <xf numFmtId="0" fontId="96" fillId="2" borderId="0" xfId="8" applyFont="1" applyFill="1" applyAlignment="1">
      <alignment horizontal="center" vertical="center"/>
    </xf>
    <xf numFmtId="0" fontId="80" fillId="2" borderId="0" xfId="8" applyFont="1" applyFill="1" applyAlignment="1">
      <alignment horizontal="center" vertical="center"/>
    </xf>
    <xf numFmtId="0" fontId="89" fillId="23" borderId="0" xfId="8" applyFont="1" applyFill="1" applyAlignment="1">
      <alignment horizontal="left" vertical="center" indent="3"/>
    </xf>
    <xf numFmtId="0" fontId="77" fillId="13" borderId="0" xfId="8" applyFont="1" applyFill="1" applyAlignment="1">
      <alignment horizontal="left" vertical="center" indent="3"/>
    </xf>
    <xf numFmtId="0" fontId="77" fillId="15" borderId="0" xfId="8" applyFont="1" applyFill="1" applyAlignment="1">
      <alignment horizontal="center" vertical="center"/>
    </xf>
    <xf numFmtId="0" fontId="77" fillId="2" borderId="19" xfId="8" applyFont="1" applyFill="1" applyBorder="1" applyAlignment="1">
      <alignment horizontal="center" vertical="center"/>
    </xf>
    <xf numFmtId="0" fontId="77" fillId="2" borderId="0" xfId="8" applyFont="1" applyFill="1" applyAlignment="1">
      <alignment horizontal="center" vertical="center"/>
    </xf>
    <xf numFmtId="0" fontId="150" fillId="13" borderId="0" xfId="8" applyFont="1" applyFill="1" applyAlignment="1">
      <alignment horizontal="left" vertical="center" indent="3"/>
    </xf>
    <xf numFmtId="0" fontId="150" fillId="13" borderId="0" xfId="8" quotePrefix="1" applyFont="1" applyFill="1" applyAlignment="1">
      <alignment horizontal="left" vertical="center" indent="3"/>
    </xf>
    <xf numFmtId="0" fontId="78" fillId="23" borderId="19" xfId="8" applyFont="1" applyFill="1" applyBorder="1" applyAlignment="1">
      <alignment horizontal="left" vertical="center" indent="3"/>
    </xf>
    <xf numFmtId="0" fontId="77" fillId="2" borderId="19" xfId="8" applyFont="1" applyFill="1" applyBorder="1" applyAlignment="1">
      <alignment horizontal="left" vertical="center"/>
    </xf>
    <xf numFmtId="0" fontId="151" fillId="24" borderId="21" xfId="8" applyFont="1" applyFill="1" applyBorder="1" applyAlignment="1">
      <alignment horizontal="center" vertical="center"/>
    </xf>
    <xf numFmtId="0" fontId="152" fillId="9" borderId="0" xfId="8" applyFont="1" applyFill="1" applyAlignment="1">
      <alignment horizontal="left" vertical="center" indent="1"/>
    </xf>
    <xf numFmtId="0" fontId="152" fillId="9" borderId="18" xfId="8" applyFont="1" applyFill="1" applyBorder="1" applyAlignment="1">
      <alignment horizontal="left" vertical="center" indent="1"/>
    </xf>
    <xf numFmtId="0" fontId="152" fillId="9" borderId="19" xfId="8" applyFont="1" applyFill="1" applyBorder="1" applyAlignment="1">
      <alignment horizontal="left" vertical="center" indent="1"/>
    </xf>
    <xf numFmtId="0" fontId="152" fillId="9" borderId="20" xfId="8" applyFont="1" applyFill="1" applyBorder="1" applyAlignment="1">
      <alignment horizontal="left" vertical="center" indent="1"/>
    </xf>
    <xf numFmtId="0" fontId="153" fillId="14" borderId="0" xfId="8" applyFont="1" applyFill="1" applyAlignment="1">
      <alignment horizontal="center" vertical="center"/>
    </xf>
    <xf numFmtId="0" fontId="89" fillId="15" borderId="19" xfId="8" applyFont="1" applyFill="1" applyBorder="1" applyAlignment="1">
      <alignment horizontal="center" vertical="center"/>
    </xf>
    <xf numFmtId="0" fontId="154" fillId="17" borderId="4" xfId="1" applyFont="1" applyFill="1" applyBorder="1" applyAlignment="1">
      <alignment horizontal="center" vertical="center"/>
    </xf>
    <xf numFmtId="0" fontId="159" fillId="0" borderId="33" xfId="0" applyFont="1" applyBorder="1" applyAlignment="1">
      <alignment horizontal="center" vertical="center"/>
    </xf>
    <xf numFmtId="0" fontId="160" fillId="0" borderId="34" xfId="0" applyFont="1" applyBorder="1" applyAlignment="1">
      <alignment horizontal="center" vertical="center"/>
    </xf>
    <xf numFmtId="0" fontId="161" fillId="0" borderId="35" xfId="0" applyFont="1" applyBorder="1" applyAlignment="1">
      <alignment horizontal="center" vertical="center"/>
    </xf>
    <xf numFmtId="0" fontId="162" fillId="0" borderId="36" xfId="0" applyFont="1" applyBorder="1" applyAlignment="1">
      <alignment horizontal="center" vertical="center"/>
    </xf>
    <xf numFmtId="178" fontId="163" fillId="0" borderId="33" xfId="0" applyNumberFormat="1" applyFont="1" applyBorder="1" applyAlignment="1">
      <alignment horizontal="center" vertical="center"/>
    </xf>
    <xf numFmtId="0" fontId="161" fillId="22" borderId="35" xfId="0" applyFont="1" applyFill="1" applyBorder="1" applyAlignment="1">
      <alignment horizontal="center" vertical="center"/>
    </xf>
    <xf numFmtId="0" fontId="165" fillId="25" borderId="6" xfId="0" applyFont="1" applyFill="1" applyBorder="1" applyAlignment="1">
      <alignment horizontal="centerContinuous" vertical="center"/>
    </xf>
    <xf numFmtId="0" fontId="165" fillId="25" borderId="20" xfId="0" applyFont="1" applyFill="1" applyBorder="1" applyAlignment="1">
      <alignment horizontal="centerContinuous" vertical="center"/>
    </xf>
    <xf numFmtId="0" fontId="165" fillId="25" borderId="5" xfId="0" applyFont="1" applyFill="1" applyBorder="1" applyAlignment="1">
      <alignment horizontal="centerContinuous" vertical="center"/>
    </xf>
    <xf numFmtId="0" fontId="113" fillId="0" borderId="0" xfId="0" applyFont="1">
      <alignment vertical="center"/>
    </xf>
    <xf numFmtId="178" fontId="166" fillId="25" borderId="6" xfId="0" applyNumberFormat="1" applyFont="1" applyFill="1" applyBorder="1" applyAlignment="1">
      <alignment horizontal="centerContinuous" vertical="center"/>
    </xf>
    <xf numFmtId="178" fontId="166" fillId="25" borderId="20" xfId="0" applyNumberFormat="1" applyFont="1" applyFill="1" applyBorder="1" applyAlignment="1">
      <alignment horizontal="centerContinuous" vertical="center"/>
    </xf>
    <xf numFmtId="178" fontId="166" fillId="25" borderId="5" xfId="0" applyNumberFormat="1" applyFont="1" applyFill="1" applyBorder="1" applyAlignment="1">
      <alignment horizontal="centerContinuous" vertical="center"/>
    </xf>
    <xf numFmtId="178" fontId="167" fillId="0" borderId="33" xfId="0" applyNumberFormat="1" applyFont="1" applyBorder="1" applyAlignment="1">
      <alignment horizontal="center" vertical="center"/>
    </xf>
    <xf numFmtId="0" fontId="168" fillId="0" borderId="34" xfId="0" applyFont="1" applyBorder="1" applyAlignment="1">
      <alignment horizontal="center" vertical="center"/>
    </xf>
    <xf numFmtId="0" fontId="169" fillId="0" borderId="36" xfId="0" applyFont="1" applyBorder="1" applyAlignment="1">
      <alignment horizontal="center" vertical="center"/>
    </xf>
    <xf numFmtId="0" fontId="171" fillId="0" borderId="36" xfId="0" applyFont="1" applyBorder="1" applyAlignment="1">
      <alignment horizontal="center" vertical="center"/>
    </xf>
    <xf numFmtId="0" fontId="172" fillId="0" borderId="36" xfId="0" applyFont="1" applyBorder="1" applyAlignment="1">
      <alignment horizontal="center" vertical="center"/>
    </xf>
    <xf numFmtId="0" fontId="170" fillId="0" borderId="35" xfId="0" applyFont="1" applyBorder="1" applyAlignment="1">
      <alignment horizontal="center" vertical="center"/>
    </xf>
    <xf numFmtId="0" fontId="173" fillId="0" borderId="36" xfId="0" applyFont="1" applyBorder="1" applyAlignment="1">
      <alignment horizontal="center" vertical="center"/>
    </xf>
    <xf numFmtId="178" fontId="167" fillId="26" borderId="33" xfId="0" applyNumberFormat="1" applyFont="1" applyFill="1" applyBorder="1" applyAlignment="1">
      <alignment horizontal="center" vertical="center"/>
    </xf>
    <xf numFmtId="0" fontId="168" fillId="26" borderId="34" xfId="0" applyFont="1" applyFill="1" applyBorder="1" applyAlignment="1">
      <alignment horizontal="center" vertical="center"/>
    </xf>
    <xf numFmtId="0" fontId="161" fillId="26" borderId="35" xfId="0" applyFont="1" applyFill="1" applyBorder="1" applyAlignment="1">
      <alignment horizontal="center" vertical="center"/>
    </xf>
    <xf numFmtId="0" fontId="174" fillId="26" borderId="36" xfId="0" applyFont="1" applyFill="1" applyBorder="1" applyAlignment="1">
      <alignment horizontal="center" vertical="center"/>
    </xf>
    <xf numFmtId="0" fontId="170" fillId="26" borderId="35" xfId="0" applyFont="1" applyFill="1" applyBorder="1" applyAlignment="1">
      <alignment horizontal="center" vertical="center"/>
    </xf>
    <xf numFmtId="0" fontId="175" fillId="26" borderId="36" xfId="0" applyFont="1" applyFill="1" applyBorder="1" applyAlignment="1">
      <alignment horizontal="center" vertical="center"/>
    </xf>
    <xf numFmtId="0" fontId="162" fillId="26" borderId="36" xfId="0" applyFont="1" applyFill="1" applyBorder="1" applyAlignment="1">
      <alignment horizontal="center" vertical="center"/>
    </xf>
    <xf numFmtId="0" fontId="176" fillId="0" borderId="36" xfId="0" applyFont="1" applyBorder="1" applyAlignment="1">
      <alignment horizontal="center" vertical="center"/>
    </xf>
    <xf numFmtId="0" fontId="177" fillId="0" borderId="36" xfId="0" applyFont="1" applyBorder="1" applyAlignment="1">
      <alignment horizontal="center" vertical="center"/>
    </xf>
    <xf numFmtId="0" fontId="178" fillId="0" borderId="36" xfId="0" applyFont="1" applyBorder="1" applyAlignment="1">
      <alignment horizontal="center" vertical="center"/>
    </xf>
    <xf numFmtId="178" fontId="179" fillId="0" borderId="33" xfId="0" applyNumberFormat="1" applyFont="1" applyBorder="1" applyAlignment="1">
      <alignment horizontal="center" vertical="center"/>
    </xf>
    <xf numFmtId="178" fontId="181" fillId="0" borderId="33" xfId="0" applyNumberFormat="1" applyFont="1" applyBorder="1" applyAlignment="1">
      <alignment horizontal="center" vertical="center"/>
    </xf>
    <xf numFmtId="0" fontId="171" fillId="26" borderId="36" xfId="0" applyFont="1" applyFill="1" applyBorder="1" applyAlignment="1">
      <alignment horizontal="center" vertical="center"/>
    </xf>
    <xf numFmtId="178" fontId="167" fillId="27" borderId="33" xfId="0" applyNumberFormat="1" applyFont="1" applyFill="1" applyBorder="1" applyAlignment="1">
      <alignment horizontal="center" vertical="center"/>
    </xf>
    <xf numFmtId="0" fontId="168" fillId="27" borderId="34" xfId="0" applyFont="1" applyFill="1" applyBorder="1" applyAlignment="1">
      <alignment horizontal="center" vertical="center"/>
    </xf>
    <xf numFmtId="0" fontId="161" fillId="27" borderId="35" xfId="0" applyFont="1" applyFill="1" applyBorder="1" applyAlignment="1">
      <alignment horizontal="center" vertical="center"/>
    </xf>
    <xf numFmtId="0" fontId="174" fillId="27" borderId="36" xfId="0" applyFont="1" applyFill="1" applyBorder="1" applyAlignment="1">
      <alignment horizontal="center" vertical="center"/>
    </xf>
    <xf numFmtId="0" fontId="175" fillId="27" borderId="36" xfId="0" applyFont="1" applyFill="1" applyBorder="1" applyAlignment="1">
      <alignment horizontal="center" vertical="center"/>
    </xf>
    <xf numFmtId="0" fontId="170" fillId="27" borderId="35" xfId="0" applyFont="1" applyFill="1" applyBorder="1" applyAlignment="1">
      <alignment horizontal="center" vertical="center"/>
    </xf>
    <xf numFmtId="0" fontId="182" fillId="27" borderId="35" xfId="0" applyFont="1" applyFill="1" applyBorder="1" applyAlignment="1">
      <alignment horizontal="center" vertical="center"/>
    </xf>
    <xf numFmtId="0" fontId="187" fillId="26" borderId="34" xfId="0" applyFont="1" applyFill="1" applyBorder="1" applyAlignment="1">
      <alignment horizontal="center" vertical="center"/>
    </xf>
    <xf numFmtId="0" fontId="187" fillId="0" borderId="34" xfId="0" applyFont="1" applyBorder="1" applyAlignment="1">
      <alignment horizontal="center" vertical="center"/>
    </xf>
    <xf numFmtId="0" fontId="113" fillId="28" borderId="1" xfId="0" applyFont="1" applyFill="1" applyBorder="1">
      <alignment vertical="center"/>
    </xf>
    <xf numFmtId="0" fontId="188" fillId="0" borderId="0" xfId="0" applyFont="1">
      <alignment vertical="center"/>
    </xf>
    <xf numFmtId="0" fontId="113" fillId="0" borderId="1" xfId="0" applyFont="1" applyBorder="1">
      <alignment vertical="center"/>
    </xf>
    <xf numFmtId="0" fontId="146" fillId="0" borderId="0" xfId="0" applyFont="1" applyAlignment="1">
      <alignment horizontal="left" vertical="center" indent="2"/>
    </xf>
    <xf numFmtId="0" fontId="190" fillId="25" borderId="1" xfId="0" applyFont="1" applyFill="1" applyBorder="1" applyAlignment="1">
      <alignment horizontal="center" vertical="center"/>
    </xf>
    <xf numFmtId="0" fontId="93" fillId="0" borderId="1" xfId="0" applyFont="1" applyBorder="1">
      <alignment vertical="center"/>
    </xf>
    <xf numFmtId="178" fontId="93" fillId="0" borderId="1" xfId="0" applyNumberFormat="1" applyFont="1" applyBorder="1" applyAlignment="1">
      <alignment horizontal="left" vertical="center" indent="2"/>
    </xf>
    <xf numFmtId="0" fontId="93" fillId="0" borderId="1" xfId="0" applyFont="1" applyBorder="1" applyAlignment="1">
      <alignment horizontal="left" vertical="center" indent="2"/>
    </xf>
    <xf numFmtId="0" fontId="191" fillId="0" borderId="0" xfId="0" applyFont="1" applyAlignment="1">
      <alignment horizontal="center" vertical="center"/>
    </xf>
    <xf numFmtId="0" fontId="192" fillId="0" borderId="1" xfId="0" applyFont="1" applyBorder="1" applyAlignment="1">
      <alignment horizontal="center" vertical="center"/>
    </xf>
    <xf numFmtId="0" fontId="193" fillId="0" borderId="1" xfId="0" applyFont="1" applyBorder="1" applyAlignment="1">
      <alignment horizontal="center" vertical="center"/>
    </xf>
    <xf numFmtId="0" fontId="194" fillId="0" borderId="1" xfId="0" applyFont="1" applyBorder="1">
      <alignment vertical="center"/>
    </xf>
    <xf numFmtId="0" fontId="195" fillId="0" borderId="1" xfId="0" applyFont="1" applyBorder="1" applyAlignment="1">
      <alignment horizontal="center" vertical="center"/>
    </xf>
    <xf numFmtId="0" fontId="196" fillId="0" borderId="1" xfId="0" applyFont="1" applyBorder="1" applyAlignment="1">
      <alignment horizontal="center" vertical="center"/>
    </xf>
    <xf numFmtId="0" fontId="197" fillId="0" borderId="1" xfId="0" applyFont="1" applyBorder="1" applyAlignment="1">
      <alignment horizontal="center" vertical="center"/>
    </xf>
    <xf numFmtId="0" fontId="198" fillId="0" borderId="1" xfId="0" applyFont="1" applyBorder="1" applyAlignment="1">
      <alignment horizontal="center" vertical="center"/>
    </xf>
    <xf numFmtId="0" fontId="199" fillId="0" borderId="1" xfId="0" applyFont="1" applyBorder="1" applyAlignment="1">
      <alignment horizontal="center" vertical="center"/>
    </xf>
    <xf numFmtId="0" fontId="200" fillId="0" borderId="1" xfId="0" applyFont="1" applyBorder="1" applyAlignment="1">
      <alignment horizontal="center" vertical="center"/>
    </xf>
    <xf numFmtId="0" fontId="201" fillId="0" borderId="1" xfId="0" applyFont="1" applyBorder="1" applyAlignment="1">
      <alignment horizontal="center" vertical="center"/>
    </xf>
    <xf numFmtId="0" fontId="202" fillId="0" borderId="1" xfId="0" applyFont="1" applyBorder="1" applyAlignment="1">
      <alignment horizontal="center" vertical="center"/>
    </xf>
    <xf numFmtId="0" fontId="203" fillId="0" borderId="1" xfId="0" applyFont="1" applyBorder="1" applyAlignment="1">
      <alignment horizontal="center" vertical="center"/>
    </xf>
    <xf numFmtId="178" fontId="167" fillId="29" borderId="33" xfId="0" applyNumberFormat="1" applyFont="1" applyFill="1" applyBorder="1" applyAlignment="1">
      <alignment horizontal="center" vertical="center"/>
    </xf>
    <xf numFmtId="0" fontId="168" fillId="29" borderId="34" xfId="0" applyFont="1" applyFill="1" applyBorder="1" applyAlignment="1">
      <alignment horizontal="center" vertical="center"/>
    </xf>
    <xf numFmtId="0" fontId="161" fillId="29" borderId="35" xfId="0" applyFont="1" applyFill="1" applyBorder="1" applyAlignment="1">
      <alignment horizontal="center" vertical="center"/>
    </xf>
    <xf numFmtId="0" fontId="169" fillId="29" borderId="36" xfId="0" applyFont="1" applyFill="1" applyBorder="1" applyAlignment="1">
      <alignment horizontal="center" vertical="center"/>
    </xf>
    <xf numFmtId="0" fontId="146" fillId="29" borderId="1" xfId="0" applyFont="1" applyFill="1" applyBorder="1" applyAlignment="1">
      <alignment horizontal="left" vertical="center" indent="2"/>
    </xf>
    <xf numFmtId="0" fontId="194" fillId="29" borderId="1" xfId="0" applyFont="1" applyFill="1" applyBorder="1">
      <alignment vertical="center"/>
    </xf>
    <xf numFmtId="0" fontId="204" fillId="29" borderId="1" xfId="0" applyFont="1" applyFill="1" applyBorder="1" applyAlignment="1">
      <alignment horizontal="center" vertical="center"/>
    </xf>
    <xf numFmtId="0" fontId="15" fillId="0" borderId="1" xfId="2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/>
    </xf>
    <xf numFmtId="0" fontId="46" fillId="0" borderId="1" xfId="2" applyFont="1" applyBorder="1" applyAlignment="1">
      <alignment horizontal="center" vertical="center" wrapText="1"/>
    </xf>
    <xf numFmtId="0" fontId="25" fillId="0" borderId="1" xfId="2" applyFont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 wrapText="1"/>
    </xf>
    <xf numFmtId="0" fontId="130" fillId="0" borderId="1" xfId="2" applyFont="1" applyBorder="1" applyAlignment="1">
      <alignment horizontal="center" vertical="center" wrapText="1"/>
    </xf>
    <xf numFmtId="0" fontId="26" fillId="0" borderId="1" xfId="2" applyFont="1" applyBorder="1" applyAlignment="1">
      <alignment horizontal="center" vertical="center" wrapText="1"/>
    </xf>
    <xf numFmtId="0" fontId="11" fillId="4" borderId="1" xfId="2" applyFont="1" applyFill="1" applyBorder="1" applyAlignment="1">
      <alignment horizontal="center" vertical="center" wrapText="1"/>
    </xf>
    <xf numFmtId="0" fontId="42" fillId="0" borderId="13" xfId="2" applyFont="1" applyBorder="1" applyAlignment="1">
      <alignment horizontal="left" vertical="center" indent="1"/>
    </xf>
    <xf numFmtId="0" fontId="44" fillId="0" borderId="13" xfId="2" applyFont="1" applyBorder="1" applyAlignment="1">
      <alignment horizontal="left" vertical="center" indent="1"/>
    </xf>
    <xf numFmtId="0" fontId="42" fillId="0" borderId="22" xfId="2" applyFont="1" applyBorder="1" applyAlignment="1">
      <alignment horizontal="left" vertical="center" indent="1"/>
    </xf>
    <xf numFmtId="0" fontId="36" fillId="6" borderId="1" xfId="2" applyFont="1" applyFill="1" applyBorder="1" applyAlignment="1">
      <alignment horizontal="center" vertical="center"/>
    </xf>
    <xf numFmtId="0" fontId="208" fillId="6" borderId="1" xfId="2" applyFont="1" applyFill="1" applyBorder="1" applyAlignment="1">
      <alignment horizontal="center" vertical="center"/>
    </xf>
    <xf numFmtId="0" fontId="128" fillId="6" borderId="1" xfId="2" applyFont="1" applyFill="1" applyBorder="1" applyAlignment="1">
      <alignment horizontal="center" vertical="center"/>
    </xf>
    <xf numFmtId="0" fontId="209" fillId="0" borderId="1" xfId="0" applyFont="1" applyBorder="1" applyAlignment="1">
      <alignment horizontal="center" vertical="center"/>
    </xf>
    <xf numFmtId="179" fontId="37" fillId="0" borderId="1" xfId="2" applyNumberFormat="1" applyFont="1" applyBorder="1" applyAlignment="1">
      <alignment horizontal="right" vertical="center" indent="1"/>
    </xf>
    <xf numFmtId="179" fontId="40" fillId="0" borderId="1" xfId="2" applyNumberFormat="1" applyFont="1" applyBorder="1" applyAlignment="1">
      <alignment horizontal="center" vertical="center"/>
    </xf>
    <xf numFmtId="179" fontId="47" fillId="0" borderId="1" xfId="2" applyNumberFormat="1" applyFont="1" applyBorder="1" applyAlignment="1">
      <alignment horizontal="left" vertical="center" indent="1"/>
    </xf>
    <xf numFmtId="179" fontId="31" fillId="0" borderId="1" xfId="2" applyNumberFormat="1" applyFont="1" applyBorder="1" applyAlignment="1">
      <alignment horizontal="center" vertical="center"/>
    </xf>
    <xf numFmtId="179" fontId="37" fillId="0" borderId="1" xfId="2" applyNumberFormat="1" applyFont="1" applyBorder="1" applyAlignment="1">
      <alignment horizontal="left" vertical="center" indent="1"/>
    </xf>
    <xf numFmtId="179" fontId="42" fillId="0" borderId="1" xfId="2" applyNumberFormat="1" applyFont="1" applyBorder="1" applyAlignment="1">
      <alignment horizontal="left" vertical="center" indent="1"/>
    </xf>
    <xf numFmtId="179" fontId="41" fillId="0" borderId="1" xfId="2" applyNumberFormat="1" applyFont="1" applyBorder="1" applyAlignment="1">
      <alignment horizontal="left" vertical="center" indent="1"/>
    </xf>
    <xf numFmtId="179" fontId="38" fillId="0" borderId="1" xfId="2" applyNumberFormat="1" applyFont="1" applyBorder="1" applyAlignment="1">
      <alignment horizontal="center" vertical="center" wrapText="1"/>
    </xf>
    <xf numFmtId="179" fontId="43" fillId="0" borderId="1" xfId="2" applyNumberFormat="1" applyFont="1" applyBorder="1" applyAlignment="1">
      <alignment horizontal="center" vertical="center"/>
    </xf>
    <xf numFmtId="179" fontId="37" fillId="0" borderId="1" xfId="2" applyNumberFormat="1" applyFont="1" applyBorder="1" applyAlignment="1">
      <alignment horizontal="center" vertical="center"/>
    </xf>
    <xf numFmtId="179" fontId="44" fillId="0" borderId="1" xfId="2" applyNumberFormat="1" applyFont="1" applyBorder="1" applyAlignment="1">
      <alignment horizontal="left" vertical="center" indent="1"/>
    </xf>
    <xf numFmtId="179" fontId="50" fillId="0" borderId="1" xfId="2" applyNumberFormat="1" applyFont="1" applyBorder="1" applyAlignment="1">
      <alignment horizontal="center" vertical="center"/>
    </xf>
    <xf numFmtId="179" fontId="41" fillId="7" borderId="1" xfId="2" applyNumberFormat="1" applyFont="1" applyFill="1" applyBorder="1" applyAlignment="1">
      <alignment horizontal="left" vertical="center" indent="1"/>
    </xf>
    <xf numFmtId="179" fontId="47" fillId="7" borderId="1" xfId="2" applyNumberFormat="1" applyFont="1" applyFill="1" applyBorder="1" applyAlignment="1">
      <alignment horizontal="left" vertical="center" indent="1"/>
    </xf>
    <xf numFmtId="179" fontId="45" fillId="8" borderId="1" xfId="2" applyNumberFormat="1" applyFont="1" applyFill="1" applyBorder="1" applyAlignment="1">
      <alignment horizontal="center" vertical="center"/>
    </xf>
    <xf numFmtId="179" fontId="49" fillId="0" borderId="1" xfId="2" applyNumberFormat="1" applyFont="1" applyBorder="1" applyAlignment="1">
      <alignment horizontal="center" vertical="center"/>
    </xf>
    <xf numFmtId="179" fontId="126" fillId="0" borderId="1" xfId="2" applyNumberFormat="1" applyFont="1" applyBorder="1" applyAlignment="1">
      <alignment horizontal="left" vertical="center" indent="1"/>
    </xf>
    <xf numFmtId="179" fontId="48" fillId="0" borderId="1" xfId="2" applyNumberFormat="1" applyFont="1" applyBorder="1" applyAlignment="1">
      <alignment horizontal="center" vertical="center"/>
    </xf>
    <xf numFmtId="179" fontId="37" fillId="7" borderId="1" xfId="2" applyNumberFormat="1" applyFont="1" applyFill="1" applyBorder="1" applyAlignment="1">
      <alignment horizontal="left" vertical="center" indent="1"/>
    </xf>
    <xf numFmtId="179" fontId="53" fillId="0" borderId="1" xfId="2" applyNumberFormat="1" applyFont="1" applyBorder="1" applyAlignment="1">
      <alignment horizontal="center" vertical="center"/>
    </xf>
    <xf numFmtId="179" fontId="99" fillId="0" borderId="1" xfId="2" applyNumberFormat="1" applyFont="1" applyBorder="1" applyAlignment="1">
      <alignment horizontal="center" vertical="center"/>
    </xf>
    <xf numFmtId="179" fontId="52" fillId="0" borderId="1" xfId="2" applyNumberFormat="1" applyFont="1" applyBorder="1" applyAlignment="1">
      <alignment horizontal="center" vertical="center"/>
    </xf>
    <xf numFmtId="179" fontId="126" fillId="2" borderId="1" xfId="2" applyNumberFormat="1" applyFont="1" applyFill="1" applyBorder="1" applyAlignment="1">
      <alignment horizontal="left" vertical="center" indent="1"/>
    </xf>
    <xf numFmtId="179" fontId="41" fillId="22" borderId="1" xfId="2" applyNumberFormat="1" applyFont="1" applyFill="1" applyBorder="1" applyAlignment="1">
      <alignment horizontal="left" vertical="center" indent="1"/>
    </xf>
    <xf numFmtId="179" fontId="207" fillId="0" borderId="1" xfId="2" applyNumberFormat="1" applyFont="1" applyBorder="1" applyAlignment="1">
      <alignment horizontal="left" vertical="center" indent="1"/>
    </xf>
    <xf numFmtId="0" fontId="35" fillId="0" borderId="1" xfId="2" applyFont="1" applyBorder="1"/>
    <xf numFmtId="0" fontId="210" fillId="30" borderId="1" xfId="2" applyFont="1" applyFill="1" applyBorder="1"/>
    <xf numFmtId="0" fontId="35" fillId="0" borderId="1" xfId="2" applyFont="1" applyBorder="1" applyAlignment="1">
      <alignment horizontal="center" vertical="center"/>
    </xf>
    <xf numFmtId="0" fontId="35" fillId="0" borderId="6" xfId="2" applyFont="1" applyBorder="1" applyAlignment="1">
      <alignment horizontal="center" vertical="center"/>
    </xf>
    <xf numFmtId="0" fontId="211" fillId="30" borderId="2" xfId="2" applyFont="1" applyFill="1" applyBorder="1" applyAlignment="1">
      <alignment horizontal="center" vertical="center"/>
    </xf>
    <xf numFmtId="0" fontId="211" fillId="30" borderId="4" xfId="2" applyFont="1" applyFill="1" applyBorder="1" applyAlignment="1">
      <alignment horizontal="center" vertical="center"/>
    </xf>
    <xf numFmtId="0" fontId="211" fillId="30" borderId="3" xfId="2" applyFont="1" applyFill="1" applyBorder="1" applyAlignment="1">
      <alignment horizontal="center" vertical="center"/>
    </xf>
    <xf numFmtId="0" fontId="35" fillId="0" borderId="9" xfId="2" applyFont="1" applyBorder="1" applyAlignment="1">
      <alignment horizontal="center" vertical="center"/>
    </xf>
    <xf numFmtId="0" fontId="35" fillId="0" borderId="8" xfId="2" applyFont="1" applyBorder="1" applyAlignment="1">
      <alignment horizontal="center" vertical="center"/>
    </xf>
    <xf numFmtId="180" fontId="35" fillId="0" borderId="5" xfId="2" applyNumberFormat="1" applyFont="1" applyBorder="1" applyAlignment="1">
      <alignment horizontal="center" vertical="center"/>
    </xf>
    <xf numFmtId="180" fontId="35" fillId="0" borderId="7" xfId="2" applyNumberFormat="1" applyFont="1" applyBorder="1" applyAlignment="1">
      <alignment horizontal="center" vertical="center"/>
    </xf>
    <xf numFmtId="0" fontId="158" fillId="2" borderId="9" xfId="0" applyFont="1" applyFill="1" applyBorder="1" applyAlignment="1">
      <alignment horizontal="distributed" vertical="distributed" indent="1"/>
    </xf>
    <xf numFmtId="0" fontId="158" fillId="2" borderId="4" xfId="0" applyFont="1" applyFill="1" applyBorder="1" applyAlignment="1">
      <alignment horizontal="distributed" vertical="distributed" indent="1"/>
    </xf>
    <xf numFmtId="0" fontId="164" fillId="2" borderId="9" xfId="0" applyFont="1" applyFill="1" applyBorder="1" applyAlignment="1">
      <alignment horizontal="distributed" vertical="center" indent="1"/>
    </xf>
    <xf numFmtId="0" fontId="164" fillId="2" borderId="4" xfId="0" applyFont="1" applyFill="1" applyBorder="1" applyAlignment="1">
      <alignment horizontal="distributed" vertical="center" indent="1"/>
    </xf>
    <xf numFmtId="0" fontId="157" fillId="2" borderId="8" xfId="0" applyFont="1" applyFill="1" applyBorder="1" applyAlignment="1">
      <alignment horizontal="center" vertical="center"/>
    </xf>
    <xf numFmtId="0" fontId="157" fillId="2" borderId="7" xfId="0" applyFont="1" applyFill="1" applyBorder="1" applyAlignment="1">
      <alignment horizontal="center" vertical="center"/>
    </xf>
    <xf numFmtId="0" fontId="157" fillId="2" borderId="3" xfId="0" applyFont="1" applyFill="1" applyBorder="1" applyAlignment="1">
      <alignment horizontal="center" vertical="center"/>
    </xf>
    <xf numFmtId="0" fontId="157" fillId="2" borderId="2" xfId="0" applyFont="1" applyFill="1" applyBorder="1" applyAlignment="1">
      <alignment horizontal="center" vertical="center"/>
    </xf>
    <xf numFmtId="0" fontId="157" fillId="2" borderId="6" xfId="0" applyFont="1" applyFill="1" applyBorder="1" applyAlignment="1">
      <alignment horizontal="center" vertical="center"/>
    </xf>
    <xf numFmtId="0" fontId="157" fillId="2" borderId="5" xfId="0" applyFont="1" applyFill="1" applyBorder="1" applyAlignment="1">
      <alignment horizontal="center" vertical="center"/>
    </xf>
    <xf numFmtId="0" fontId="155" fillId="2" borderId="8" xfId="0" applyFont="1" applyFill="1" applyBorder="1" applyAlignment="1">
      <alignment horizontal="center" vertical="center"/>
    </xf>
    <xf numFmtId="0" fontId="155" fillId="2" borderId="7" xfId="0" applyFont="1" applyFill="1" applyBorder="1" applyAlignment="1">
      <alignment horizontal="center" vertical="center"/>
    </xf>
    <xf numFmtId="0" fontId="155" fillId="2" borderId="3" xfId="0" applyFont="1" applyFill="1" applyBorder="1" applyAlignment="1">
      <alignment horizontal="center" vertical="center"/>
    </xf>
    <xf numFmtId="0" fontId="155" fillId="2" borderId="2" xfId="0" applyFont="1" applyFill="1" applyBorder="1" applyAlignment="1">
      <alignment horizontal="center" vertical="center"/>
    </xf>
    <xf numFmtId="0" fontId="156" fillId="2" borderId="6" xfId="0" applyFont="1" applyFill="1" applyBorder="1" applyAlignment="1">
      <alignment horizontal="center" vertical="center"/>
    </xf>
    <xf numFmtId="0" fontId="156" fillId="2" borderId="20" xfId="0" applyFont="1" applyFill="1" applyBorder="1" applyAlignment="1">
      <alignment horizontal="center" vertical="center"/>
    </xf>
    <xf numFmtId="0" fontId="156" fillId="2" borderId="5" xfId="0" applyFont="1" applyFill="1" applyBorder="1" applyAlignment="1">
      <alignment horizontal="center" vertical="center"/>
    </xf>
    <xf numFmtId="178" fontId="166" fillId="25" borderId="9" xfId="0" applyNumberFormat="1" applyFont="1" applyFill="1" applyBorder="1" applyAlignment="1">
      <alignment horizontal="center" vertical="center"/>
    </xf>
    <xf numFmtId="178" fontId="166" fillId="25" borderId="4" xfId="0" applyNumberFormat="1" applyFont="1" applyFill="1" applyBorder="1" applyAlignment="1">
      <alignment horizontal="center" vertical="center"/>
    </xf>
    <xf numFmtId="178" fontId="166" fillId="25" borderId="6" xfId="0" applyNumberFormat="1" applyFont="1" applyFill="1" applyBorder="1" applyAlignment="1">
      <alignment horizontal="center" vertical="center"/>
    </xf>
    <xf numFmtId="178" fontId="166" fillId="25" borderId="5" xfId="0" applyNumberFormat="1" applyFont="1" applyFill="1" applyBorder="1" applyAlignment="1">
      <alignment horizontal="center" vertical="center"/>
    </xf>
    <xf numFmtId="0" fontId="165" fillId="25" borderId="1" xfId="0" applyFont="1" applyFill="1" applyBorder="1" applyAlignment="1">
      <alignment horizontal="center" vertical="center"/>
    </xf>
    <xf numFmtId="0" fontId="54" fillId="9" borderId="6" xfId="0" applyFont="1" applyFill="1" applyBorder="1" applyAlignment="1">
      <alignment horizontal="center" vertical="center"/>
    </xf>
    <xf numFmtId="0" fontId="54" fillId="9" borderId="5" xfId="0" applyFont="1" applyFill="1" applyBorder="1" applyAlignment="1">
      <alignment horizontal="center" vertical="center"/>
    </xf>
    <xf numFmtId="0" fontId="1" fillId="17" borderId="6" xfId="1" applyFill="1" applyBorder="1" applyAlignment="1">
      <alignment horizontal="center" vertical="center"/>
    </xf>
    <xf numFmtId="0" fontId="1" fillId="17" borderId="5" xfId="1" applyFill="1" applyBorder="1" applyAlignment="1">
      <alignment horizontal="center" vertical="center"/>
    </xf>
    <xf numFmtId="0" fontId="1" fillId="17" borderId="20" xfId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98" fillId="17" borderId="6" xfId="1" applyFont="1" applyFill="1" applyBorder="1" applyAlignment="1">
      <alignment horizontal="center" vertical="center"/>
    </xf>
    <xf numFmtId="0" fontId="1" fillId="17" borderId="8" xfId="1" applyFill="1" applyBorder="1" applyAlignment="1">
      <alignment horizontal="center" vertical="center"/>
    </xf>
    <xf numFmtId="0" fontId="1" fillId="17" borderId="7" xfId="1" applyFill="1" applyBorder="1" applyAlignment="1">
      <alignment horizontal="center" vertical="center"/>
    </xf>
    <xf numFmtId="0" fontId="109" fillId="20" borderId="25" xfId="3" applyFont="1" applyFill="1" applyBorder="1" applyAlignment="1">
      <alignment horizontal="center" vertical="center" wrapText="1"/>
    </xf>
    <xf numFmtId="0" fontId="109" fillId="20" borderId="27" xfId="3" applyFont="1" applyFill="1" applyBorder="1" applyAlignment="1">
      <alignment horizontal="center" vertical="center" wrapText="1"/>
    </xf>
    <xf numFmtId="0" fontId="109" fillId="20" borderId="28" xfId="3" applyFont="1" applyFill="1" applyBorder="1" applyAlignment="1">
      <alignment horizontal="center" vertical="center" wrapText="1"/>
    </xf>
    <xf numFmtId="0" fontId="109" fillId="20" borderId="29" xfId="3" applyFont="1" applyFill="1" applyBorder="1" applyAlignment="1">
      <alignment horizontal="center" vertical="center" wrapText="1"/>
    </xf>
    <xf numFmtId="0" fontId="109" fillId="20" borderId="30" xfId="3" applyFont="1" applyFill="1" applyBorder="1" applyAlignment="1">
      <alignment horizontal="center" vertical="center" wrapText="1"/>
    </xf>
  </cellXfs>
  <cellStyles count="13">
    <cellStyle name="一般" xfId="0" builtinId="0"/>
    <cellStyle name="一般 2" xfId="2" xr:uid="{D247E282-D333-4823-8EBE-26581E05D28A}"/>
    <cellStyle name="一般 2 2" xfId="9" xr:uid="{28D417CC-D1E6-4199-8E85-C39B27F95D37}"/>
    <cellStyle name="一般 2 4" xfId="12" xr:uid="{702E0FEF-5D6A-4DCE-98A1-3EF0C1021598}"/>
    <cellStyle name="一般 3" xfId="3" xr:uid="{7D22A882-B7F1-4C90-BF03-BC2004EAA331}"/>
    <cellStyle name="一般 3 2" xfId="11" xr:uid="{B0B040C5-893F-4386-89DA-E566F50069D6}"/>
    <cellStyle name="一般 4" xfId="1" xr:uid="{F5E2738F-4CC6-4192-90F1-5D7DD44D679C}"/>
    <cellStyle name="一般 4 2" xfId="6" xr:uid="{B464D2FA-1F10-4091-B207-943B67E6BDFD}"/>
    <cellStyle name="一般 4 3" xfId="7" xr:uid="{65BD2DF4-53BA-4F06-8A1E-53C18EBC9469}"/>
    <cellStyle name="一般 5" xfId="5" xr:uid="{5C744D81-7DD2-4CF0-A54C-920C3F1F79B4}"/>
    <cellStyle name="一般 6" xfId="8" xr:uid="{7AEB944C-9DD6-4322-AEC0-376B3043DF2D}"/>
    <cellStyle name="一般 6 2" xfId="10" xr:uid="{09FE8AD8-5737-4D51-BE1C-1130BEC1A526}"/>
    <cellStyle name="超連結 2" xfId="4" xr:uid="{D3E96EC5-9C39-4EF7-8E8E-97BCC4EF8CC9}"/>
  </cellStyles>
  <dxfs count="88"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Arial"/>
        <family val="2"/>
        <scheme val="none"/>
      </font>
      <numFmt numFmtId="176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Arial"/>
        <family val="2"/>
        <scheme val="none"/>
      </font>
      <numFmt numFmtId="176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Arial"/>
        <family val="2"/>
        <scheme val="none"/>
      </font>
      <numFmt numFmtId="176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Arial"/>
        <family val="2"/>
        <scheme val="none"/>
      </font>
      <numFmt numFmtId="176" formatCode="General;;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Noto Sans TC"/>
        <family val="2"/>
        <charset val="136"/>
        <scheme val="none"/>
      </font>
      <numFmt numFmtId="176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Arial"/>
        <family val="2"/>
        <scheme val="none"/>
      </font>
      <numFmt numFmtId="176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Arial"/>
        <family val="2"/>
        <scheme val="none"/>
      </font>
      <numFmt numFmtId="176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Noto Sans TC"/>
        <family val="2"/>
        <scheme val="none"/>
      </font>
      <fill>
        <patternFill patternType="solid">
          <fgColor rgb="FF45818E"/>
          <bgColor rgb="FF45818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erif TC SemiBold"/>
        <family val="1"/>
        <charset val="136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</dxf>
    <dxf>
      <font>
        <sz val="20"/>
        <color auto="1"/>
        <name val="Arial"/>
        <family val="2"/>
        <scheme val="none"/>
      </font>
      <numFmt numFmtId="0" formatCode="General"/>
      <alignment horizontal="left" vertical="bottom" textRotation="0" wrapText="0" indent="1" justifyLastLine="0" shrinkToFit="0" readingOrder="0"/>
    </dxf>
    <dxf>
      <font>
        <sz val="20"/>
        <color auto="1"/>
        <name val="Arial"/>
        <family val="2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family val="2"/>
        <scheme val="none"/>
      </font>
    </dxf>
    <dxf>
      <border outline="0">
        <top style="thin">
          <color rgb="FF215C98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Noto Sans TC Medium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Noto Serif TC Black"/>
        <family val="1"/>
        <charset val="136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Noto Serif TC Black"/>
        <family val="1"/>
        <charset val="136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Noto Serif TC Black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Noto Serif TC Black"/>
        <family val="1"/>
        <charset val="136"/>
        <scheme val="none"/>
      </font>
      <numFmt numFmtId="176" formatCode="General;;"/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Noto Sans TC"/>
        <family val="2"/>
        <charset val="136"/>
        <scheme val="none"/>
      </font>
      <numFmt numFmtId="176" formatCode="General;;"/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Noto Serif TC Black"/>
        <family val="1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8" tint="0.59999389629810485"/>
        <name val="Noto Serif TC Black"/>
        <family val="1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Noto Serif TC Black"/>
        <family val="1"/>
        <charset val="136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6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Noto Sans TC Medium"/>
        <family val="2"/>
        <charset val="136"/>
        <scheme val="none"/>
      </font>
      <numFmt numFmtId="179" formatCode="General;\-General;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auto="1"/>
        <name val="Noto Sans TC Medium"/>
        <family val="2"/>
        <charset val="136"/>
        <scheme val="none"/>
      </font>
      <numFmt numFmtId="179" formatCode="General;\-General;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Noto Sans TC Medium"/>
        <family val="2"/>
        <charset val="136"/>
        <scheme val="none"/>
      </font>
      <numFmt numFmtId="179" formatCode="General;\-General;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Times New Roman"/>
        <family val="1"/>
        <scheme val="none"/>
      </font>
      <numFmt numFmtId="179" formatCode="General;\-General;;@"/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Times New Roman"/>
        <family val="1"/>
        <scheme val="none"/>
      </font>
      <numFmt numFmtId="179" formatCode="General;\-General;;@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Times New Roman"/>
        <family val="1"/>
        <scheme val="none"/>
      </font>
      <numFmt numFmtId="179" formatCode="General;\-General;;@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Times New Roman"/>
        <family val="1"/>
        <scheme val="none"/>
      </font>
      <numFmt numFmtId="179" formatCode="General;\-General;;@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9" formatCode="General;\-General;;@"/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auto="1"/>
        <name val="Noto Serif TC Black"/>
        <family val="1"/>
        <charset val="136"/>
        <scheme val="none"/>
      </font>
      <numFmt numFmtId="179" formatCode="General;\-General;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auto="1"/>
        <name val="Noto Serif TC Black"/>
        <family val="1"/>
        <charset val="136"/>
        <scheme val="none"/>
      </font>
      <numFmt numFmtId="179" formatCode="General;\-General;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FF0000"/>
        <name val="Times New Roman"/>
        <family val="1"/>
        <scheme val="none"/>
      </font>
      <numFmt numFmtId="179" formatCode="General;\-General;;@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Noto Sans TC Medium"/>
        <family val="2"/>
        <charset val="136"/>
        <scheme val="none"/>
      </font>
      <numFmt numFmtId="179" formatCode="General;\-General;;@"/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Noto Sans TC Medium"/>
        <family val="2"/>
        <charset val="136"/>
        <scheme val="none"/>
      </font>
      <numFmt numFmtId="179" formatCode="General;\-General;;@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Noto Sans TC Black"/>
        <family val="2"/>
        <charset val="136"/>
        <scheme val="none"/>
      </font>
      <fill>
        <patternFill patternType="solid">
          <fgColor rgb="FF45818E"/>
          <bgColor rgb="FF45818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8" tint="0.39997558519241921"/>
        <name val="Noto Serif TC Black"/>
        <family val="1"/>
        <charset val="136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8" tint="0.39997558519241921"/>
        <name val="Noto Serif TC Black"/>
        <family val="1"/>
        <charset val="136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8" tint="0.39997558519241921"/>
        <name val="Noto Serif TC Black"/>
        <family val="1"/>
        <charset val="136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8" tint="0.39997558519241921"/>
        <name val="Noto Serif TC Black"/>
        <family val="1"/>
        <charset val="136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8" tint="0.39997558519241921"/>
        <name val="Noto Serif TC Black"/>
        <family val="1"/>
        <charset val="136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8" tint="0.39997558519241921"/>
        <name val="Noto Serif TC Black"/>
        <family val="1"/>
        <charset val="136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theme="8" tint="0.39997558519241921"/>
        <name val="字咍源雲明體 台羅方音 L"/>
        <family val="1"/>
        <charset val="136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8" tint="0.39997558519241921"/>
        <name val="Noto Serif TC Black"/>
        <family val="1"/>
        <charset val="136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rgb="FFFF0000"/>
        <name val="字咍源雲明體 方音 L"/>
        <family val="1"/>
        <charset val="136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000000"/>
        <name val="吳守禮細明台語注音"/>
        <family val="1"/>
        <charset val="136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erif TC Black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erif TC Black"/>
        <family val="1"/>
        <charset val="136"/>
        <scheme val="none"/>
      </font>
      <fill>
        <patternFill patternType="solid">
          <fgColor rgb="FFCFE2F3"/>
          <bgColor rgb="FFC9DAF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numFmt numFmtId="180" formatCode="0.00_ 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numFmt numFmtId="180" formatCode="0.00_ 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00"/>
        <name val="Noto Sans TC Medium"/>
        <family val="2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14</xdr:row>
      <xdr:rowOff>0</xdr:rowOff>
    </xdr:from>
    <xdr:ext cx="9028571" cy="3714286"/>
    <xdr:pic>
      <xdr:nvPicPr>
        <xdr:cNvPr id="2" name="圖片 1">
          <a:extLst>
            <a:ext uri="{FF2B5EF4-FFF2-40B4-BE49-F238E27FC236}">
              <a16:creationId xmlns:a16="http://schemas.microsoft.com/office/drawing/2014/main" id="{6ACBCE20-640B-4287-8C73-ED1E296DA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50300" y="9696450"/>
          <a:ext cx="9028571" cy="371428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14</xdr:row>
      <xdr:rowOff>0</xdr:rowOff>
    </xdr:from>
    <xdr:ext cx="9028571" cy="3714286"/>
    <xdr:pic>
      <xdr:nvPicPr>
        <xdr:cNvPr id="2" name="圖片 1">
          <a:extLst>
            <a:ext uri="{FF2B5EF4-FFF2-40B4-BE49-F238E27FC236}">
              <a16:creationId xmlns:a16="http://schemas.microsoft.com/office/drawing/2014/main" id="{66C9C9AD-F766-40B9-AC77-88318497E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50300" y="9696450"/>
          <a:ext cx="9028571" cy="371428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14</xdr:row>
      <xdr:rowOff>0</xdr:rowOff>
    </xdr:from>
    <xdr:ext cx="9028571" cy="3714286"/>
    <xdr:pic>
      <xdr:nvPicPr>
        <xdr:cNvPr id="2" name="圖片 1">
          <a:extLst>
            <a:ext uri="{FF2B5EF4-FFF2-40B4-BE49-F238E27FC236}">
              <a16:creationId xmlns:a16="http://schemas.microsoft.com/office/drawing/2014/main" id="{832FB63D-BE9F-463C-8D45-60C27B5B1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50300" y="9696450"/>
          <a:ext cx="9028571" cy="371428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19050</xdr:colOff>
      <xdr:row>0</xdr:row>
      <xdr:rowOff>295275</xdr:rowOff>
    </xdr:from>
    <xdr:to>
      <xdr:col>21</xdr:col>
      <xdr:colOff>94498</xdr:colOff>
      <xdr:row>14</xdr:row>
      <xdr:rowOff>323231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B3D72E7-4B18-4B4D-A1E6-601A251A3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78050" y="295275"/>
          <a:ext cx="6019048" cy="495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853628f16e3ee33/&#27827;&#27931;&#35441;/&#28450;&#35486;&#27880;&#38899;&#23565;&#29031;&#34920;.xlsx" TargetMode="External"/><Relationship Id="rId1" Type="http://schemas.openxmlformats.org/officeDocument/2006/relationships/externalLinkPath" Target="https://d.docs.live.net/e853628f16e3ee33/&#27827;&#27931;&#35441;/&#28450;&#35486;&#27880;&#38899;&#23565;&#29031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work/Piau-Im/output7/&#12304;&#27827;&#27931;&#25991;&#35712;&#27880;&#38899;-&#38313;&#25340;&#35519;&#34399;&#12305;&#12298;&#23450;&#39080;&#27874;&#12299;.xlsx" TargetMode="External"/><Relationship Id="rId2" Type="http://schemas.openxmlformats.org/officeDocument/2006/relationships/externalLinkPath" Target="file:///C:\work\Piau-Im\output7\&#12304;&#27827;&#27931;&#25991;&#35712;&#27880;&#38899;-&#38313;&#25340;&#35519;&#34399;&#12305;&#12298;&#23450;&#39080;&#27874;&#12299;.xlsx" TargetMode="External"/><Relationship Id="rId1" Type="http://schemas.openxmlformats.org/officeDocument/2006/relationships/externalLinkPath" Target="/work/Piau-Im/output7/&#12304;&#27827;&#27931;&#25991;&#35712;&#27880;&#38899;-&#38313;&#25340;&#35519;&#34399;&#12305;&#12298;&#23450;&#39080;&#27874;&#122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昔時賢文"/>
      <sheetName val="昔時賢文 (自動翻譯)"/>
      <sheetName val="字典01"/>
      <sheetName val="雅俗通字庫"/>
      <sheetName val="注音聲母碼"/>
      <sheetName val="注音韻母碼"/>
      <sheetName val="方音-音節表"/>
      <sheetName val="台語ㄅㄆㄇ-聲母碼"/>
      <sheetName val="台語ㄅㄆㄇ-韻母碼"/>
      <sheetName val="台語ㄅㄆㄇ轉換對照表"/>
      <sheetName val="聲調表"/>
      <sheetName val="聲母碼"/>
      <sheetName val="韻母碼 (台羅)"/>
      <sheetName val="聲母對照表"/>
      <sheetName val="十五音-聲母"/>
      <sheetName val="韻母碼"/>
      <sheetName val="韻母對照表"/>
      <sheetName val="十五音-韻母"/>
      <sheetName val="十五音韻母比較表"/>
      <sheetName val="十五音-韻母八音反切"/>
      <sheetName val="方音-聲母"/>
      <sheetName val="方音-韻母"/>
      <sheetName val="方音．組合韻母表"/>
      <sheetName val="方音符號表"/>
      <sheetName val="方音符號．鍵盤"/>
      <sheetName val="閩拼-聲母"/>
      <sheetName val="閩拼-韻母"/>
      <sheetName val="聲母對照表（舊）"/>
      <sheetName val="韻母對照表（舊）"/>
      <sheetName val="閩拼-韻母八音反切"/>
      <sheetName val="閩拼-聲調"/>
      <sheetName val="白話字-音節表"/>
      <sheetName val="白話字-韻母八音反切"/>
      <sheetName val="台羅拼音-音節表"/>
      <sheetName val="台羅-韻母八音反切"/>
      <sheetName val="增補彙音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D6">
            <v>1</v>
          </cell>
          <cell r="E6" t="str">
            <v>b</v>
          </cell>
          <cell r="F6" t="str">
            <v>b</v>
          </cell>
          <cell r="G6" t="str">
            <v>門</v>
          </cell>
          <cell r="H6" t="str">
            <v>b</v>
          </cell>
          <cell r="I6" t="str">
            <v>b</v>
          </cell>
          <cell r="J6" t="str">
            <v>bb</v>
          </cell>
          <cell r="K6" t="str">
            <v>ㆠ</v>
          </cell>
        </row>
        <row r="7">
          <cell r="D7">
            <v>2</v>
          </cell>
          <cell r="E7" t="str">
            <v>ch</v>
          </cell>
          <cell r="F7" t="str">
            <v>ʦ</v>
          </cell>
          <cell r="G7" t="str">
            <v>曾</v>
          </cell>
          <cell r="H7" t="str">
            <v>ch</v>
          </cell>
          <cell r="I7" t="str">
            <v>ts</v>
          </cell>
          <cell r="J7" t="str">
            <v>z</v>
          </cell>
          <cell r="K7" t="str">
            <v>ㄗ</v>
          </cell>
        </row>
        <row r="8">
          <cell r="D8">
            <v>3</v>
          </cell>
          <cell r="E8" t="str">
            <v>chh</v>
          </cell>
          <cell r="F8" t="str">
            <v>ʦʰ</v>
          </cell>
          <cell r="G8" t="str">
            <v>出</v>
          </cell>
          <cell r="H8" t="str">
            <v>chh</v>
          </cell>
          <cell r="I8" t="str">
            <v>tsh</v>
          </cell>
          <cell r="J8" t="str">
            <v>c</v>
          </cell>
          <cell r="K8" t="str">
            <v>ㄘ</v>
          </cell>
        </row>
        <row r="9">
          <cell r="D9">
            <v>4</v>
          </cell>
          <cell r="E9" t="str">
            <v>g</v>
          </cell>
          <cell r="F9" t="str">
            <v>ɡ</v>
          </cell>
          <cell r="G9" t="str">
            <v>語</v>
          </cell>
          <cell r="H9" t="str">
            <v>g</v>
          </cell>
          <cell r="I9" t="str">
            <v>g</v>
          </cell>
          <cell r="J9" t="str">
            <v>gg</v>
          </cell>
          <cell r="K9" t="str">
            <v>ㆣ</v>
          </cell>
        </row>
        <row r="10">
          <cell r="D10">
            <v>5</v>
          </cell>
          <cell r="E10" t="str">
            <v>h</v>
          </cell>
          <cell r="F10" t="str">
            <v>h</v>
          </cell>
          <cell r="G10" t="str">
            <v>喜</v>
          </cell>
          <cell r="H10" t="str">
            <v>h</v>
          </cell>
          <cell r="I10" t="str">
            <v>h</v>
          </cell>
          <cell r="J10" t="str">
            <v>h</v>
          </cell>
          <cell r="K10" t="str">
            <v>ㄏ</v>
          </cell>
        </row>
        <row r="11">
          <cell r="D11">
            <v>6</v>
          </cell>
          <cell r="E11" t="str">
            <v>j</v>
          </cell>
          <cell r="F11" t="str">
            <v>ʣ</v>
          </cell>
          <cell r="G11" t="str">
            <v>入</v>
          </cell>
          <cell r="H11" t="str">
            <v>j</v>
          </cell>
          <cell r="I11" t="str">
            <v>j</v>
          </cell>
          <cell r="J11" t="str">
            <v>zz</v>
          </cell>
          <cell r="K11" t="str">
            <v>ㆡ</v>
          </cell>
        </row>
        <row r="12">
          <cell r="D12">
            <v>7</v>
          </cell>
          <cell r="E12" t="str">
            <v>k</v>
          </cell>
          <cell r="F12" t="str">
            <v>k</v>
          </cell>
          <cell r="G12" t="str">
            <v>求</v>
          </cell>
          <cell r="H12" t="str">
            <v>k</v>
          </cell>
          <cell r="I12" t="str">
            <v>k</v>
          </cell>
          <cell r="J12" t="str">
            <v>g</v>
          </cell>
          <cell r="K12" t="str">
            <v>ㄍ</v>
          </cell>
        </row>
        <row r="13">
          <cell r="D13">
            <v>8</v>
          </cell>
          <cell r="E13" t="str">
            <v>kh</v>
          </cell>
          <cell r="F13" t="str">
            <v>kʰ</v>
          </cell>
          <cell r="G13" t="str">
            <v>去</v>
          </cell>
          <cell r="H13" t="str">
            <v>kh</v>
          </cell>
          <cell r="I13" t="str">
            <v>kh</v>
          </cell>
          <cell r="J13" t="str">
            <v>k</v>
          </cell>
          <cell r="K13" t="str">
            <v>ㄎ</v>
          </cell>
        </row>
        <row r="14">
          <cell r="D14">
            <v>9</v>
          </cell>
          <cell r="E14" t="str">
            <v>l</v>
          </cell>
          <cell r="F14" t="str">
            <v>l</v>
          </cell>
          <cell r="G14" t="str">
            <v>柳</v>
          </cell>
          <cell r="H14" t="str">
            <v>l</v>
          </cell>
          <cell r="I14" t="str">
            <v>l</v>
          </cell>
          <cell r="J14" t="str">
            <v>l</v>
          </cell>
          <cell r="K14" t="str">
            <v>ㄌ</v>
          </cell>
        </row>
        <row r="15">
          <cell r="D15">
            <v>10</v>
          </cell>
          <cell r="E15" t="str">
            <v>m</v>
          </cell>
          <cell r="F15" t="str">
            <v>m</v>
          </cell>
          <cell r="G15" t="str">
            <v>毛</v>
          </cell>
          <cell r="H15" t="str">
            <v>m</v>
          </cell>
          <cell r="I15" t="str">
            <v>m</v>
          </cell>
          <cell r="J15" t="str">
            <v>bbn</v>
          </cell>
          <cell r="K15" t="str">
            <v>ㄇ</v>
          </cell>
        </row>
        <row r="16">
          <cell r="D16">
            <v>11</v>
          </cell>
          <cell r="E16" t="str">
            <v>n</v>
          </cell>
          <cell r="F16" t="str">
            <v>n</v>
          </cell>
          <cell r="G16" t="str">
            <v>耐</v>
          </cell>
          <cell r="H16" t="str">
            <v>n</v>
          </cell>
          <cell r="I16" t="str">
            <v>n</v>
          </cell>
          <cell r="J16" t="str">
            <v>ln</v>
          </cell>
          <cell r="K16" t="str">
            <v>ㄋ</v>
          </cell>
        </row>
        <row r="17">
          <cell r="D17">
            <v>12</v>
          </cell>
          <cell r="E17" t="str">
            <v>ng</v>
          </cell>
          <cell r="F17" t="str">
            <v>ŋ</v>
          </cell>
          <cell r="G17" t="str">
            <v>雅</v>
          </cell>
          <cell r="H17" t="str">
            <v>ng</v>
          </cell>
          <cell r="I17" t="str">
            <v>ng</v>
          </cell>
          <cell r="J17" t="str">
            <v>ggn</v>
          </cell>
          <cell r="K17" t="str">
            <v>ㄫ</v>
          </cell>
        </row>
        <row r="18">
          <cell r="D18">
            <v>13</v>
          </cell>
          <cell r="E18" t="str">
            <v>p</v>
          </cell>
          <cell r="F18" t="str">
            <v>p</v>
          </cell>
          <cell r="G18" t="str">
            <v>邊</v>
          </cell>
          <cell r="H18" t="str">
            <v>p</v>
          </cell>
          <cell r="I18" t="str">
            <v>p</v>
          </cell>
          <cell r="J18" t="str">
            <v>b</v>
          </cell>
          <cell r="K18" t="str">
            <v>ㄅ</v>
          </cell>
        </row>
        <row r="19">
          <cell r="D19">
            <v>14</v>
          </cell>
          <cell r="E19" t="str">
            <v>ph</v>
          </cell>
          <cell r="F19" t="str">
            <v>pʰ</v>
          </cell>
          <cell r="G19" t="str">
            <v>頗</v>
          </cell>
          <cell r="H19" t="str">
            <v>ph</v>
          </cell>
          <cell r="I19" t="str">
            <v>ph</v>
          </cell>
          <cell r="J19" t="str">
            <v>p</v>
          </cell>
          <cell r="K19" t="str">
            <v>ㄆ</v>
          </cell>
        </row>
        <row r="20">
          <cell r="D20">
            <v>15</v>
          </cell>
          <cell r="E20" t="str">
            <v>s</v>
          </cell>
          <cell r="F20" t="str">
            <v>s</v>
          </cell>
          <cell r="G20" t="str">
            <v>時</v>
          </cell>
          <cell r="H20" t="str">
            <v>s</v>
          </cell>
          <cell r="I20" t="str">
            <v>s</v>
          </cell>
          <cell r="J20" t="str">
            <v>s</v>
          </cell>
          <cell r="K20" t="str">
            <v>ㄙ</v>
          </cell>
        </row>
        <row r="21">
          <cell r="D21">
            <v>16</v>
          </cell>
          <cell r="E21" t="str">
            <v>t</v>
          </cell>
          <cell r="F21" t="str">
            <v>t</v>
          </cell>
          <cell r="G21" t="str">
            <v>地</v>
          </cell>
          <cell r="H21" t="str">
            <v>t</v>
          </cell>
          <cell r="I21" t="str">
            <v>t</v>
          </cell>
          <cell r="J21" t="str">
            <v>d</v>
          </cell>
          <cell r="K21" t="str">
            <v>ㄉ</v>
          </cell>
        </row>
        <row r="22">
          <cell r="D22">
            <v>17</v>
          </cell>
          <cell r="E22" t="str">
            <v>th</v>
          </cell>
          <cell r="F22" t="str">
            <v>tʰ</v>
          </cell>
          <cell r="G22" t="str">
            <v>他</v>
          </cell>
          <cell r="H22" t="str">
            <v>th</v>
          </cell>
          <cell r="I22" t="str">
            <v>th</v>
          </cell>
          <cell r="J22" t="str">
            <v>t</v>
          </cell>
          <cell r="K22" t="str">
            <v>ㄊ</v>
          </cell>
        </row>
      </sheetData>
      <sheetData sheetId="12" refreshError="1"/>
      <sheetData sheetId="13" refreshError="1"/>
      <sheetData sheetId="14" refreshError="1"/>
      <sheetData sheetId="15">
        <row r="5">
          <cell r="F5">
            <v>1</v>
          </cell>
          <cell r="G5" t="str">
            <v>a</v>
          </cell>
          <cell r="H5" t="str">
            <v>a</v>
          </cell>
          <cell r="I5" t="str">
            <v>膠</v>
          </cell>
          <cell r="J5" t="str">
            <v>a</v>
          </cell>
          <cell r="K5" t="str">
            <v>a</v>
          </cell>
          <cell r="L5" t="str">
            <v>a</v>
          </cell>
          <cell r="M5" t="str">
            <v>ㄚ</v>
          </cell>
        </row>
        <row r="6">
          <cell r="F6">
            <v>2</v>
          </cell>
          <cell r="G6" t="str">
            <v>ann</v>
          </cell>
          <cell r="H6" t="str">
            <v>ã</v>
          </cell>
          <cell r="I6" t="str">
            <v>監</v>
          </cell>
          <cell r="J6" t="str">
            <v>aⁿ</v>
          </cell>
          <cell r="K6" t="str">
            <v>ann</v>
          </cell>
          <cell r="L6" t="str">
            <v>na</v>
          </cell>
          <cell r="M6" t="str">
            <v>ㆩ</v>
          </cell>
        </row>
        <row r="7">
          <cell r="F7">
            <v>3</v>
          </cell>
          <cell r="G7" t="str">
            <v>ah</v>
          </cell>
          <cell r="H7" t="str">
            <v>a?</v>
          </cell>
          <cell r="I7" t="str">
            <v>膠</v>
          </cell>
          <cell r="J7" t="str">
            <v>ah</v>
          </cell>
          <cell r="K7" t="str">
            <v>ah</v>
          </cell>
          <cell r="L7" t="str">
            <v>ah</v>
          </cell>
          <cell r="M7" t="str">
            <v>ㄚㆷ</v>
          </cell>
        </row>
        <row r="8">
          <cell r="F8">
            <v>4</v>
          </cell>
          <cell r="G8" t="str">
            <v>ahnn</v>
          </cell>
          <cell r="H8" t="str">
            <v>ã?</v>
          </cell>
          <cell r="I8" t="str">
            <v>監</v>
          </cell>
          <cell r="J8" t="str">
            <v>ahⁿ</v>
          </cell>
          <cell r="K8" t="str">
            <v>annh</v>
          </cell>
          <cell r="L8" t="str">
            <v>nah</v>
          </cell>
          <cell r="M8" t="str">
            <v>ㆩㆷ</v>
          </cell>
        </row>
        <row r="9">
          <cell r="F9">
            <v>5</v>
          </cell>
          <cell r="G9" t="str">
            <v>ai</v>
          </cell>
          <cell r="H9" t="str">
            <v>ai</v>
          </cell>
          <cell r="I9" t="str">
            <v>皆</v>
          </cell>
          <cell r="J9" t="str">
            <v>ai</v>
          </cell>
          <cell r="K9" t="str">
            <v>ai</v>
          </cell>
          <cell r="L9" t="str">
            <v>ai</v>
          </cell>
          <cell r="M9" t="str">
            <v>ㄞ</v>
          </cell>
        </row>
        <row r="10">
          <cell r="F10">
            <v>6</v>
          </cell>
          <cell r="G10" t="str">
            <v>ainn</v>
          </cell>
          <cell r="H10" t="str">
            <v>ãĩ</v>
          </cell>
          <cell r="I10" t="str">
            <v>閒</v>
          </cell>
          <cell r="J10" t="str">
            <v>aiⁿ</v>
          </cell>
          <cell r="K10" t="str">
            <v>ainn</v>
          </cell>
          <cell r="L10" t="str">
            <v>nai</v>
          </cell>
          <cell r="M10" t="str">
            <v>ㆮ</v>
          </cell>
        </row>
        <row r="11">
          <cell r="F11">
            <v>7</v>
          </cell>
          <cell r="G11" t="str">
            <v>ak</v>
          </cell>
          <cell r="H11" t="str">
            <v>ak̚</v>
          </cell>
          <cell r="I11" t="str">
            <v>江</v>
          </cell>
          <cell r="J11" t="str">
            <v>ak</v>
          </cell>
          <cell r="K11" t="str">
            <v>ak</v>
          </cell>
          <cell r="L11" t="str">
            <v>ak</v>
          </cell>
          <cell r="M11" t="str">
            <v>ㄚㆻ</v>
          </cell>
        </row>
        <row r="12">
          <cell r="F12">
            <v>8</v>
          </cell>
          <cell r="G12" t="str">
            <v>am</v>
          </cell>
          <cell r="H12" t="str">
            <v>am</v>
          </cell>
          <cell r="I12" t="str">
            <v>甘</v>
          </cell>
          <cell r="J12" t="str">
            <v>am</v>
          </cell>
          <cell r="K12" t="str">
            <v>am</v>
          </cell>
          <cell r="L12" t="str">
            <v>am</v>
          </cell>
          <cell r="M12" t="str">
            <v>ㆰ</v>
          </cell>
        </row>
        <row r="13">
          <cell r="F13">
            <v>9</v>
          </cell>
          <cell r="G13" t="str">
            <v>an</v>
          </cell>
          <cell r="H13" t="str">
            <v>an</v>
          </cell>
          <cell r="I13" t="str">
            <v>干</v>
          </cell>
          <cell r="J13" t="str">
            <v>an</v>
          </cell>
          <cell r="K13" t="str">
            <v>an</v>
          </cell>
          <cell r="L13" t="str">
            <v>an</v>
          </cell>
          <cell r="M13" t="str">
            <v>ㄢ</v>
          </cell>
        </row>
        <row r="14">
          <cell r="F14">
            <v>10</v>
          </cell>
          <cell r="G14" t="str">
            <v>ang</v>
          </cell>
          <cell r="H14" t="str">
            <v>aŋ</v>
          </cell>
          <cell r="I14" t="str">
            <v>江</v>
          </cell>
          <cell r="J14" t="str">
            <v>ang</v>
          </cell>
          <cell r="K14" t="str">
            <v>ang</v>
          </cell>
          <cell r="L14" t="str">
            <v>ang</v>
          </cell>
          <cell r="M14" t="str">
            <v>ㄤ</v>
          </cell>
        </row>
        <row r="15">
          <cell r="F15">
            <v>11</v>
          </cell>
          <cell r="G15" t="str">
            <v>ap</v>
          </cell>
          <cell r="H15" t="str">
            <v>ap̚</v>
          </cell>
          <cell r="I15" t="str">
            <v>甘</v>
          </cell>
          <cell r="J15" t="str">
            <v>ap</v>
          </cell>
          <cell r="K15" t="str">
            <v>ap</v>
          </cell>
          <cell r="L15" t="str">
            <v>ap</v>
          </cell>
          <cell r="M15" t="str">
            <v>ㄚㆴ</v>
          </cell>
        </row>
        <row r="16">
          <cell r="F16">
            <v>12</v>
          </cell>
          <cell r="G16" t="str">
            <v>at</v>
          </cell>
          <cell r="H16" t="str">
            <v>at̚</v>
          </cell>
          <cell r="I16" t="str">
            <v>干</v>
          </cell>
          <cell r="J16" t="str">
            <v>at</v>
          </cell>
          <cell r="K16" t="str">
            <v>ap</v>
          </cell>
          <cell r="L16" t="str">
            <v>at</v>
          </cell>
          <cell r="M16" t="str">
            <v>ㄚㆵ</v>
          </cell>
        </row>
        <row r="17">
          <cell r="F17">
            <v>13</v>
          </cell>
          <cell r="G17" t="str">
            <v>au</v>
          </cell>
          <cell r="H17" t="str">
            <v>aʊ</v>
          </cell>
          <cell r="I17" t="str">
            <v>交</v>
          </cell>
          <cell r="J17" t="str">
            <v>au</v>
          </cell>
          <cell r="K17" t="str">
            <v>au</v>
          </cell>
          <cell r="L17" t="str">
            <v>ao</v>
          </cell>
          <cell r="M17" t="str">
            <v>ㄠ</v>
          </cell>
        </row>
        <row r="18">
          <cell r="F18">
            <v>14</v>
          </cell>
          <cell r="G18" t="str">
            <v>auh</v>
          </cell>
          <cell r="H18" t="str">
            <v>au?</v>
          </cell>
          <cell r="I18" t="str">
            <v>交</v>
          </cell>
          <cell r="J18" t="str">
            <v>auh</v>
          </cell>
          <cell r="K18" t="str">
            <v>auh</v>
          </cell>
          <cell r="L18" t="str">
            <v>aoh</v>
          </cell>
          <cell r="M18" t="str">
            <v>ㄠㆷ</v>
          </cell>
        </row>
        <row r="19">
          <cell r="F19">
            <v>15</v>
          </cell>
          <cell r="G19" t="str">
            <v>e</v>
          </cell>
          <cell r="H19" t="str">
            <v>e</v>
          </cell>
          <cell r="I19" t="str">
            <v>伽</v>
          </cell>
          <cell r="J19" t="str">
            <v>e</v>
          </cell>
          <cell r="K19" t="str">
            <v>e</v>
          </cell>
          <cell r="L19" t="str">
            <v>e</v>
          </cell>
          <cell r="M19" t="str">
            <v>ㆤ</v>
          </cell>
        </row>
        <row r="20">
          <cell r="F20">
            <v>16</v>
          </cell>
          <cell r="G20" t="str">
            <v>enn</v>
          </cell>
          <cell r="H20" t="str">
            <v>ẽ</v>
          </cell>
          <cell r="I20" t="str">
            <v>更</v>
          </cell>
          <cell r="J20" t="str">
            <v>eⁿ</v>
          </cell>
          <cell r="K20" t="str">
            <v>enn</v>
          </cell>
          <cell r="L20" t="str">
            <v>ne</v>
          </cell>
          <cell r="M20" t="str">
            <v>ㆥ</v>
          </cell>
        </row>
        <row r="21">
          <cell r="F21">
            <v>17</v>
          </cell>
          <cell r="G21" t="str">
            <v>eh</v>
          </cell>
          <cell r="H21" t="str">
            <v>e?</v>
          </cell>
          <cell r="I21" t="str">
            <v>伽</v>
          </cell>
          <cell r="J21" t="str">
            <v>eh</v>
          </cell>
          <cell r="K21" t="str">
            <v>eh</v>
          </cell>
          <cell r="L21" t="str">
            <v>eh</v>
          </cell>
          <cell r="M21" t="str">
            <v>ㆤㆷ</v>
          </cell>
        </row>
        <row r="22">
          <cell r="F22">
            <v>18</v>
          </cell>
          <cell r="G22" t="str">
            <v>ehnn</v>
          </cell>
          <cell r="H22" t="str">
            <v>ẽ?</v>
          </cell>
          <cell r="I22" t="str">
            <v>更</v>
          </cell>
          <cell r="J22" t="str">
            <v>ehⁿ</v>
          </cell>
          <cell r="K22" t="str">
            <v>ennh</v>
          </cell>
          <cell r="L22" t="str">
            <v>neh</v>
          </cell>
          <cell r="M22" t="str">
            <v>ㆥㆷ</v>
          </cell>
        </row>
        <row r="23">
          <cell r="F23">
            <v>19</v>
          </cell>
          <cell r="G23" t="str">
            <v>ek</v>
          </cell>
          <cell r="H23" t="str">
            <v>ik̚</v>
          </cell>
          <cell r="I23" t="str">
            <v>經</v>
          </cell>
          <cell r="J23" t="str">
            <v>ek</v>
          </cell>
          <cell r="K23" t="str">
            <v>ik</v>
          </cell>
          <cell r="L23" t="str">
            <v>ik</v>
          </cell>
          <cell r="M23" t="str">
            <v>ㄧㆻ</v>
          </cell>
        </row>
        <row r="24">
          <cell r="F24">
            <v>20</v>
          </cell>
          <cell r="G24" t="str">
            <v>eng</v>
          </cell>
          <cell r="H24" t="str">
            <v>ɪŋ</v>
          </cell>
          <cell r="I24" t="str">
            <v>經</v>
          </cell>
          <cell r="J24" t="str">
            <v>eng</v>
          </cell>
          <cell r="K24" t="str">
            <v>ing</v>
          </cell>
          <cell r="L24" t="str">
            <v>ing</v>
          </cell>
          <cell r="M24" t="str">
            <v>ㄧㄥ</v>
          </cell>
        </row>
        <row r="25">
          <cell r="F25">
            <v>21</v>
          </cell>
          <cell r="G25" t="str">
            <v>i</v>
          </cell>
          <cell r="H25" t="str">
            <v>i</v>
          </cell>
          <cell r="I25" t="str">
            <v>居</v>
          </cell>
          <cell r="J25" t="str">
            <v>i</v>
          </cell>
          <cell r="K25" t="str">
            <v>i</v>
          </cell>
          <cell r="L25" t="str">
            <v>i</v>
          </cell>
          <cell r="M25" t="str">
            <v>ㄧ</v>
          </cell>
        </row>
        <row r="26">
          <cell r="F26">
            <v>22</v>
          </cell>
          <cell r="G26" t="str">
            <v>inn</v>
          </cell>
          <cell r="H26" t="str">
            <v>ĩ</v>
          </cell>
          <cell r="I26" t="str">
            <v>梔</v>
          </cell>
          <cell r="J26" t="str">
            <v>iⁿ</v>
          </cell>
          <cell r="K26" t="str">
            <v>inn</v>
          </cell>
          <cell r="L26" t="str">
            <v>ni</v>
          </cell>
          <cell r="M26" t="str">
            <v>ㆪ</v>
          </cell>
        </row>
        <row r="27">
          <cell r="F27">
            <v>23</v>
          </cell>
          <cell r="G27" t="str">
            <v>ia</v>
          </cell>
          <cell r="H27" t="str">
            <v>ia</v>
          </cell>
          <cell r="I27" t="str">
            <v>迦</v>
          </cell>
          <cell r="J27" t="str">
            <v>ia</v>
          </cell>
          <cell r="K27" t="str">
            <v>ia</v>
          </cell>
          <cell r="L27" t="str">
            <v>ia</v>
          </cell>
          <cell r="M27" t="str">
            <v>ㄧㄚ</v>
          </cell>
        </row>
        <row r="28">
          <cell r="F28">
            <v>24</v>
          </cell>
          <cell r="G28" t="str">
            <v>iann</v>
          </cell>
          <cell r="H28" t="str">
            <v>ĩã</v>
          </cell>
          <cell r="I28" t="str">
            <v>驚</v>
          </cell>
          <cell r="J28" t="str">
            <v>iaⁿ</v>
          </cell>
          <cell r="K28" t="str">
            <v>iann</v>
          </cell>
          <cell r="L28" t="str">
            <v>nia</v>
          </cell>
          <cell r="M28" t="str">
            <v>ㄧㆩ</v>
          </cell>
        </row>
        <row r="29">
          <cell r="F29">
            <v>25</v>
          </cell>
          <cell r="G29" t="str">
            <v>iah</v>
          </cell>
          <cell r="H29" t="str">
            <v>ia?</v>
          </cell>
          <cell r="I29" t="str">
            <v>迦</v>
          </cell>
          <cell r="J29" t="str">
            <v>iah</v>
          </cell>
          <cell r="K29" t="str">
            <v>iah</v>
          </cell>
          <cell r="L29" t="str">
            <v>iah</v>
          </cell>
          <cell r="M29" t="str">
            <v>ㄧㄚㆷ</v>
          </cell>
        </row>
        <row r="30">
          <cell r="F30">
            <v>26</v>
          </cell>
          <cell r="G30" t="str">
            <v>iannh</v>
          </cell>
          <cell r="H30" t="str">
            <v>iãh</v>
          </cell>
          <cell r="I30" t="str">
            <v>驚</v>
          </cell>
          <cell r="J30" t="str">
            <v>iahⁿ</v>
          </cell>
          <cell r="K30" t="str">
            <v>iannh</v>
          </cell>
          <cell r="L30" t="str">
            <v>niah</v>
          </cell>
          <cell r="M30" t="str">
            <v>ㄧㆩㆷ</v>
          </cell>
        </row>
        <row r="31">
          <cell r="F31">
            <v>27</v>
          </cell>
          <cell r="G31" t="str">
            <v>iak</v>
          </cell>
          <cell r="H31" t="str">
            <v>iak̚</v>
          </cell>
          <cell r="I31" t="str">
            <v>姜</v>
          </cell>
          <cell r="J31" t="str">
            <v>iak</v>
          </cell>
          <cell r="K31" t="str">
            <v>iak</v>
          </cell>
          <cell r="L31" t="str">
            <v>iak</v>
          </cell>
          <cell r="M31" t="str">
            <v>ㄧㄚㆻ</v>
          </cell>
        </row>
        <row r="32">
          <cell r="F32">
            <v>28</v>
          </cell>
          <cell r="G32" t="str">
            <v>iam</v>
          </cell>
          <cell r="H32" t="str">
            <v>iam</v>
          </cell>
          <cell r="I32" t="str">
            <v>兼</v>
          </cell>
          <cell r="J32" t="str">
            <v>iam</v>
          </cell>
          <cell r="K32" t="str">
            <v>iam</v>
          </cell>
          <cell r="L32" t="str">
            <v>iam</v>
          </cell>
          <cell r="M32" t="str">
            <v>ㄧㆰ</v>
          </cell>
        </row>
        <row r="33">
          <cell r="F33">
            <v>29</v>
          </cell>
          <cell r="G33" t="str">
            <v>ian</v>
          </cell>
          <cell r="H33" t="str">
            <v>ian</v>
          </cell>
          <cell r="I33" t="str">
            <v>堅</v>
          </cell>
          <cell r="J33" t="str">
            <v>ian</v>
          </cell>
          <cell r="K33" t="str">
            <v>ian</v>
          </cell>
          <cell r="L33" t="str">
            <v>ian</v>
          </cell>
          <cell r="M33" t="str">
            <v>ㄧㄢ</v>
          </cell>
        </row>
        <row r="34">
          <cell r="F34">
            <v>30</v>
          </cell>
          <cell r="G34" t="str">
            <v>iang</v>
          </cell>
          <cell r="H34" t="str">
            <v>iaŋ</v>
          </cell>
          <cell r="I34" t="str">
            <v>姜</v>
          </cell>
          <cell r="J34" t="str">
            <v>iang</v>
          </cell>
          <cell r="K34" t="str">
            <v>iang</v>
          </cell>
          <cell r="L34" t="str">
            <v>iang</v>
          </cell>
          <cell r="M34" t="str">
            <v>ㄧㄤ</v>
          </cell>
        </row>
        <row r="35">
          <cell r="F35">
            <v>31</v>
          </cell>
          <cell r="G35" t="str">
            <v>iap</v>
          </cell>
          <cell r="H35" t="str">
            <v>iap̚</v>
          </cell>
          <cell r="I35" t="str">
            <v>兼</v>
          </cell>
          <cell r="J35" t="str">
            <v>iap</v>
          </cell>
          <cell r="K35" t="str">
            <v>iap</v>
          </cell>
          <cell r="L35" t="str">
            <v>iap</v>
          </cell>
          <cell r="M35" t="str">
            <v>ㄧㄚㆴ</v>
          </cell>
        </row>
        <row r="36">
          <cell r="F36">
            <v>32</v>
          </cell>
          <cell r="G36" t="str">
            <v>iat</v>
          </cell>
          <cell r="H36" t="str">
            <v>iat̚</v>
          </cell>
          <cell r="I36" t="str">
            <v>堅</v>
          </cell>
          <cell r="J36" t="str">
            <v>iat</v>
          </cell>
          <cell r="K36" t="str">
            <v>iat</v>
          </cell>
          <cell r="L36" t="str">
            <v>iat</v>
          </cell>
          <cell r="M36" t="str">
            <v>ㄧㄚㆵ</v>
          </cell>
        </row>
        <row r="37">
          <cell r="F37">
            <v>33</v>
          </cell>
          <cell r="G37" t="str">
            <v>iau</v>
          </cell>
          <cell r="H37" t="str">
            <v>iaʊ</v>
          </cell>
          <cell r="I37" t="str">
            <v>嬌</v>
          </cell>
          <cell r="J37" t="str">
            <v>iau</v>
          </cell>
          <cell r="K37" t="str">
            <v>iau</v>
          </cell>
          <cell r="L37" t="str">
            <v>iao</v>
          </cell>
          <cell r="M37" t="str">
            <v>ㄧㄠ</v>
          </cell>
        </row>
        <row r="38">
          <cell r="F38">
            <v>34</v>
          </cell>
          <cell r="G38" t="str">
            <v>iaunn</v>
          </cell>
          <cell r="H38" t="str">
            <v>ĩãũ</v>
          </cell>
          <cell r="I38" t="str">
            <v>嘄</v>
          </cell>
          <cell r="J38" t="str">
            <v>iauⁿ</v>
          </cell>
          <cell r="K38" t="str">
            <v>iaunn</v>
          </cell>
          <cell r="L38" t="str">
            <v>niao</v>
          </cell>
          <cell r="M38" t="str">
            <v>ㄧㆯ</v>
          </cell>
        </row>
        <row r="39">
          <cell r="F39">
            <v>35</v>
          </cell>
          <cell r="G39" t="str">
            <v>iauh</v>
          </cell>
          <cell r="H39" t="str">
            <v>iau?</v>
          </cell>
          <cell r="I39" t="str">
            <v>嬌</v>
          </cell>
          <cell r="J39" t="str">
            <v>iauh</v>
          </cell>
          <cell r="K39" t="str">
            <v>iauh</v>
          </cell>
          <cell r="L39" t="str">
            <v>iaoh</v>
          </cell>
          <cell r="M39" t="str">
            <v>ㄧㄠㆷ</v>
          </cell>
        </row>
        <row r="40">
          <cell r="F40">
            <v>36</v>
          </cell>
          <cell r="G40" t="str">
            <v>ih</v>
          </cell>
          <cell r="H40" t="str">
            <v>i?</v>
          </cell>
          <cell r="I40" t="str">
            <v>居</v>
          </cell>
          <cell r="J40" t="str">
            <v>ih</v>
          </cell>
          <cell r="K40" t="str">
            <v>ih</v>
          </cell>
          <cell r="L40" t="str">
            <v>ih</v>
          </cell>
          <cell r="M40" t="str">
            <v>ㄧㆷ</v>
          </cell>
        </row>
        <row r="41">
          <cell r="F41">
            <v>37</v>
          </cell>
          <cell r="G41" t="str">
            <v>im</v>
          </cell>
          <cell r="H41" t="str">
            <v>im</v>
          </cell>
          <cell r="I41" t="str">
            <v>金</v>
          </cell>
          <cell r="J41" t="str">
            <v>im</v>
          </cell>
          <cell r="K41" t="str">
            <v>im</v>
          </cell>
          <cell r="L41" t="str">
            <v>im</v>
          </cell>
          <cell r="M41" t="str">
            <v>ㄧㆬ</v>
          </cell>
        </row>
        <row r="42">
          <cell r="F42">
            <v>38</v>
          </cell>
          <cell r="G42" t="str">
            <v>in</v>
          </cell>
          <cell r="H42" t="str">
            <v>in</v>
          </cell>
          <cell r="I42" t="str">
            <v>巾</v>
          </cell>
          <cell r="J42" t="str">
            <v>in</v>
          </cell>
          <cell r="K42" t="str">
            <v>in</v>
          </cell>
          <cell r="L42" t="str">
            <v>in</v>
          </cell>
          <cell r="M42" t="str">
            <v>ㄧㄣ</v>
          </cell>
        </row>
        <row r="43">
          <cell r="F43">
            <v>39</v>
          </cell>
          <cell r="G43" t="str">
            <v>io</v>
          </cell>
          <cell r="H43" t="str">
            <v>io</v>
          </cell>
          <cell r="I43" t="str">
            <v>茄</v>
          </cell>
          <cell r="J43" t="str">
            <v>io</v>
          </cell>
          <cell r="K43" t="str">
            <v>io</v>
          </cell>
          <cell r="L43" t="str">
            <v>io</v>
          </cell>
          <cell r="M43" t="str">
            <v>ㄧㄜ</v>
          </cell>
        </row>
        <row r="44">
          <cell r="F44">
            <v>40</v>
          </cell>
          <cell r="G44" t="str">
            <v>ioh</v>
          </cell>
          <cell r="H44" t="str">
            <v>iə?</v>
          </cell>
          <cell r="I44" t="str">
            <v>茄</v>
          </cell>
          <cell r="J44" t="str">
            <v>ioh</v>
          </cell>
          <cell r="K44" t="str">
            <v>ioh</v>
          </cell>
          <cell r="L44" t="str">
            <v>ioh</v>
          </cell>
          <cell r="M44" t="str">
            <v>ㄧㄜㆷ</v>
          </cell>
        </row>
        <row r="45">
          <cell r="F45">
            <v>41</v>
          </cell>
          <cell r="G45" t="str">
            <v>iok</v>
          </cell>
          <cell r="H45" t="str">
            <v>iɔk̚</v>
          </cell>
          <cell r="I45" t="str">
            <v>恭</v>
          </cell>
          <cell r="J45" t="str">
            <v>iok</v>
          </cell>
          <cell r="K45" t="str">
            <v>iok</v>
          </cell>
          <cell r="L45" t="str">
            <v>iok</v>
          </cell>
          <cell r="M45" t="str">
            <v>ㄧㆦㆻ</v>
          </cell>
        </row>
        <row r="46">
          <cell r="F46">
            <v>42</v>
          </cell>
          <cell r="G46" t="str">
            <v>iong</v>
          </cell>
          <cell r="H46" t="str">
            <v>iɔŋ</v>
          </cell>
          <cell r="I46" t="str">
            <v>恭</v>
          </cell>
          <cell r="J46" t="str">
            <v>iong</v>
          </cell>
          <cell r="K46" t="str">
            <v>iong</v>
          </cell>
          <cell r="L46" t="str">
            <v>iong</v>
          </cell>
          <cell r="M46" t="str">
            <v>ㄧㆲ</v>
          </cell>
        </row>
        <row r="47">
          <cell r="F47">
            <v>43</v>
          </cell>
          <cell r="G47" t="str">
            <v>ip</v>
          </cell>
          <cell r="H47" t="str">
            <v>ip̚</v>
          </cell>
          <cell r="I47" t="str">
            <v>金</v>
          </cell>
          <cell r="J47" t="str">
            <v>ip</v>
          </cell>
          <cell r="K47" t="str">
            <v>ip</v>
          </cell>
          <cell r="L47" t="str">
            <v>ip</v>
          </cell>
          <cell r="M47" t="str">
            <v>ㄧㆴ</v>
          </cell>
        </row>
        <row r="48">
          <cell r="F48">
            <v>44</v>
          </cell>
          <cell r="G48" t="str">
            <v>it</v>
          </cell>
          <cell r="H48" t="str">
            <v>it̚</v>
          </cell>
          <cell r="I48" t="str">
            <v>巾</v>
          </cell>
          <cell r="J48" t="str">
            <v>it</v>
          </cell>
          <cell r="K48" t="str">
            <v>it</v>
          </cell>
          <cell r="L48" t="str">
            <v>it</v>
          </cell>
          <cell r="M48" t="str">
            <v>ㄧㆵ</v>
          </cell>
        </row>
        <row r="49">
          <cell r="F49">
            <v>45</v>
          </cell>
          <cell r="G49" t="str">
            <v>iu</v>
          </cell>
          <cell r="H49" t="str">
            <v>iu</v>
          </cell>
          <cell r="I49" t="str">
            <v>丩</v>
          </cell>
          <cell r="J49" t="str">
            <v>iu</v>
          </cell>
          <cell r="K49" t="str">
            <v>iu</v>
          </cell>
          <cell r="L49" t="str">
            <v>iu</v>
          </cell>
          <cell r="M49" t="str">
            <v>ㄧㄨ</v>
          </cell>
        </row>
        <row r="50">
          <cell r="F50">
            <v>46</v>
          </cell>
          <cell r="G50" t="str">
            <v>iunn</v>
          </cell>
          <cell r="H50" t="str">
            <v>ĩũ</v>
          </cell>
          <cell r="I50" t="str">
            <v>牛</v>
          </cell>
          <cell r="J50" t="str">
            <v>iuⁿ</v>
          </cell>
          <cell r="K50" t="str">
            <v>iunn</v>
          </cell>
          <cell r="L50" t="str">
            <v>niu</v>
          </cell>
          <cell r="M50" t="str">
            <v>ㄧㆫ</v>
          </cell>
        </row>
        <row r="51">
          <cell r="F51">
            <v>47</v>
          </cell>
          <cell r="G51" t="str">
            <v>iunnh</v>
          </cell>
          <cell r="H51" t="str">
            <v>iũh</v>
          </cell>
          <cell r="I51" t="str">
            <v>牛</v>
          </cell>
          <cell r="J51" t="str">
            <v>iuhⁿ</v>
          </cell>
          <cell r="K51" t="str">
            <v>iunnh</v>
          </cell>
          <cell r="L51" t="str">
            <v>niuh</v>
          </cell>
          <cell r="M51" t="str">
            <v>ㄧㆫㆷ</v>
          </cell>
        </row>
        <row r="52">
          <cell r="F52">
            <v>48</v>
          </cell>
          <cell r="G52" t="str">
            <v>m</v>
          </cell>
          <cell r="H52" t="str">
            <v>m̩</v>
          </cell>
          <cell r="I52" t="str">
            <v>姆</v>
          </cell>
          <cell r="J52" t="str">
            <v>m</v>
          </cell>
          <cell r="K52" t="str">
            <v>m</v>
          </cell>
          <cell r="L52" t="str">
            <v>m</v>
          </cell>
          <cell r="M52" t="str">
            <v>ㆬ</v>
          </cell>
        </row>
        <row r="53">
          <cell r="F53">
            <v>49</v>
          </cell>
          <cell r="G53" t="str">
            <v>mh</v>
          </cell>
          <cell r="H53" t="str">
            <v>m̩h</v>
          </cell>
          <cell r="I53" t="str">
            <v>姆</v>
          </cell>
          <cell r="J53" t="str">
            <v>mh</v>
          </cell>
          <cell r="K53" t="str">
            <v>mh</v>
          </cell>
          <cell r="L53" t="str">
            <v>mh</v>
          </cell>
          <cell r="M53" t="str">
            <v>ㆬㆷ</v>
          </cell>
        </row>
        <row r="54">
          <cell r="F54">
            <v>50</v>
          </cell>
          <cell r="G54" t="str">
            <v>ng</v>
          </cell>
          <cell r="H54" t="str">
            <v>ŋ̍</v>
          </cell>
          <cell r="I54" t="str">
            <v>鋼</v>
          </cell>
          <cell r="J54" t="str">
            <v>ng</v>
          </cell>
          <cell r="K54" t="str">
            <v>ng</v>
          </cell>
          <cell r="L54" t="str">
            <v>ng</v>
          </cell>
          <cell r="M54" t="str">
            <v>ㆭ</v>
          </cell>
        </row>
        <row r="55">
          <cell r="F55">
            <v>51</v>
          </cell>
          <cell r="G55" t="str">
            <v>ngh</v>
          </cell>
          <cell r="H55" t="str">
            <v>ŋ̍h</v>
          </cell>
          <cell r="I55" t="str">
            <v>鋼</v>
          </cell>
          <cell r="J55" t="str">
            <v>ngh</v>
          </cell>
          <cell r="K55" t="str">
            <v>ngh</v>
          </cell>
          <cell r="L55" t="str">
            <v>ngh</v>
          </cell>
          <cell r="M55" t="str">
            <v>ㆭㆷ</v>
          </cell>
        </row>
        <row r="56">
          <cell r="F56">
            <v>52</v>
          </cell>
          <cell r="G56" t="str">
            <v>o</v>
          </cell>
          <cell r="H56" t="str">
            <v>o</v>
          </cell>
          <cell r="I56" t="str">
            <v>高</v>
          </cell>
          <cell r="J56" t="str">
            <v>o</v>
          </cell>
          <cell r="K56" t="str">
            <v>o</v>
          </cell>
          <cell r="L56" t="str">
            <v>o</v>
          </cell>
          <cell r="M56" t="str">
            <v>ㄜ</v>
          </cell>
        </row>
        <row r="57">
          <cell r="F57">
            <v>53</v>
          </cell>
          <cell r="G57" t="str">
            <v>onn</v>
          </cell>
          <cell r="H57" t="str">
            <v>ɔ̃</v>
          </cell>
          <cell r="I57" t="str">
            <v>姑</v>
          </cell>
          <cell r="J57" t="str">
            <v>oⁿ</v>
          </cell>
          <cell r="K57" t="str">
            <v>onn</v>
          </cell>
          <cell r="L57" t="str">
            <v>noo</v>
          </cell>
          <cell r="M57" t="str">
            <v>ㆧ</v>
          </cell>
        </row>
        <row r="58">
          <cell r="F58">
            <v>54</v>
          </cell>
          <cell r="G58" t="str">
            <v>oo</v>
          </cell>
          <cell r="H58" t="str">
            <v>ɔ</v>
          </cell>
          <cell r="I58" t="str">
            <v>沽</v>
          </cell>
          <cell r="J58" t="str">
            <v>o͘</v>
          </cell>
          <cell r="K58" t="str">
            <v>oo</v>
          </cell>
          <cell r="L58" t="str">
            <v>oo</v>
          </cell>
          <cell r="M58" t="str">
            <v>ㆦ</v>
          </cell>
        </row>
        <row r="59">
          <cell r="F59">
            <v>55</v>
          </cell>
          <cell r="G59" t="str">
            <v>oa</v>
          </cell>
          <cell r="H59" t="str">
            <v>ua</v>
          </cell>
          <cell r="I59" t="str">
            <v>瓜</v>
          </cell>
          <cell r="J59" t="str">
            <v>oa</v>
          </cell>
          <cell r="K59" t="str">
            <v>ua</v>
          </cell>
          <cell r="L59" t="str">
            <v>ua</v>
          </cell>
          <cell r="M59" t="str">
            <v>ㄨㄚ</v>
          </cell>
        </row>
        <row r="60">
          <cell r="F60">
            <v>56</v>
          </cell>
          <cell r="G60" t="str">
            <v>oann</v>
          </cell>
          <cell r="H60" t="str">
            <v>ũã</v>
          </cell>
          <cell r="I60" t="str">
            <v>官</v>
          </cell>
          <cell r="J60" t="str">
            <v>oaⁿ</v>
          </cell>
          <cell r="K60" t="str">
            <v>uann</v>
          </cell>
          <cell r="L60" t="str">
            <v>nua</v>
          </cell>
          <cell r="M60" t="str">
            <v>ㄨㆩ</v>
          </cell>
        </row>
        <row r="61">
          <cell r="F61">
            <v>57</v>
          </cell>
          <cell r="G61" t="str">
            <v>oah</v>
          </cell>
          <cell r="H61" t="str">
            <v>ua?</v>
          </cell>
          <cell r="I61" t="str">
            <v>瓜</v>
          </cell>
          <cell r="J61" t="str">
            <v>oah</v>
          </cell>
          <cell r="K61" t="str">
            <v>uah</v>
          </cell>
          <cell r="L61" t="str">
            <v>uah</v>
          </cell>
          <cell r="M61" t="str">
            <v>ㄨㄚㆷ</v>
          </cell>
        </row>
        <row r="62">
          <cell r="F62">
            <v>58</v>
          </cell>
          <cell r="G62" t="str">
            <v>oai</v>
          </cell>
          <cell r="H62" t="str">
            <v>uai</v>
          </cell>
          <cell r="I62" t="str">
            <v>乖</v>
          </cell>
          <cell r="J62" t="str">
            <v>oai</v>
          </cell>
          <cell r="K62" t="str">
            <v>uai</v>
          </cell>
          <cell r="L62" t="str">
            <v>uai</v>
          </cell>
          <cell r="M62" t="str">
            <v>ㄨㄞ</v>
          </cell>
        </row>
        <row r="63">
          <cell r="F63">
            <v>59</v>
          </cell>
          <cell r="G63" t="str">
            <v>oainn</v>
          </cell>
          <cell r="H63" t="str">
            <v>ũãĩ</v>
          </cell>
          <cell r="I63" t="str">
            <v>閂</v>
          </cell>
          <cell r="J63" t="str">
            <v>oaiⁿ</v>
          </cell>
          <cell r="K63" t="str">
            <v>uainn</v>
          </cell>
          <cell r="L63" t="str">
            <v>nuai</v>
          </cell>
          <cell r="M63" t="str">
            <v>ㄨㆮ</v>
          </cell>
        </row>
        <row r="64">
          <cell r="F64">
            <v>60</v>
          </cell>
          <cell r="G64" t="str">
            <v>oan</v>
          </cell>
          <cell r="H64" t="str">
            <v>uan</v>
          </cell>
          <cell r="I64" t="str">
            <v>觀</v>
          </cell>
          <cell r="J64" t="str">
            <v>oan</v>
          </cell>
          <cell r="K64" t="str">
            <v>uan</v>
          </cell>
          <cell r="L64" t="str">
            <v>uan</v>
          </cell>
          <cell r="M64" t="str">
            <v>ㄨㄢ</v>
          </cell>
        </row>
        <row r="65">
          <cell r="F65">
            <v>61</v>
          </cell>
          <cell r="G65" t="str">
            <v>oang</v>
          </cell>
          <cell r="H65" t="str">
            <v>uaŋ</v>
          </cell>
          <cell r="I65" t="str">
            <v>光</v>
          </cell>
          <cell r="J65" t="str">
            <v>oang</v>
          </cell>
          <cell r="K65" t="str">
            <v>uang</v>
          </cell>
          <cell r="L65" t="str">
            <v>uang</v>
          </cell>
          <cell r="M65" t="str">
            <v>ㄨㄤ</v>
          </cell>
        </row>
        <row r="66">
          <cell r="F66">
            <v>62</v>
          </cell>
          <cell r="G66" t="str">
            <v>oat</v>
          </cell>
          <cell r="H66" t="str">
            <v>uat̚</v>
          </cell>
          <cell r="I66" t="str">
            <v>觀</v>
          </cell>
          <cell r="J66" t="str">
            <v>oat</v>
          </cell>
          <cell r="K66" t="str">
            <v>uat</v>
          </cell>
          <cell r="L66" t="str">
            <v>uat</v>
          </cell>
          <cell r="M66" t="str">
            <v>ㄨㄚㆵ</v>
          </cell>
        </row>
        <row r="67">
          <cell r="F67">
            <v>63</v>
          </cell>
          <cell r="G67" t="str">
            <v>oe</v>
          </cell>
          <cell r="H67" t="str">
            <v>ue</v>
          </cell>
          <cell r="I67" t="str">
            <v>檜</v>
          </cell>
          <cell r="J67" t="str">
            <v>oe</v>
          </cell>
          <cell r="K67" t="str">
            <v>ue</v>
          </cell>
          <cell r="L67" t="str">
            <v>ue</v>
          </cell>
          <cell r="M67" t="str">
            <v>ㄨㆤ</v>
          </cell>
        </row>
        <row r="68">
          <cell r="F68">
            <v>64</v>
          </cell>
          <cell r="G68" t="str">
            <v>oeh</v>
          </cell>
          <cell r="H68" t="str">
            <v>ue?</v>
          </cell>
          <cell r="I68" t="str">
            <v>檜</v>
          </cell>
          <cell r="J68" t="str">
            <v>oeh</v>
          </cell>
          <cell r="K68" t="str">
            <v>ueh</v>
          </cell>
          <cell r="L68" t="str">
            <v>ueh</v>
          </cell>
          <cell r="M68" t="str">
            <v>ㄨㆤㆷ</v>
          </cell>
        </row>
        <row r="69">
          <cell r="F69">
            <v>65</v>
          </cell>
          <cell r="G69" t="str">
            <v>oh</v>
          </cell>
          <cell r="H69" t="str">
            <v>ə?</v>
          </cell>
          <cell r="I69" t="str">
            <v>高</v>
          </cell>
          <cell r="J69" t="str">
            <v>oh</v>
          </cell>
          <cell r="K69" t="str">
            <v>oh</v>
          </cell>
          <cell r="L69" t="str">
            <v>oh</v>
          </cell>
          <cell r="M69" t="str">
            <v>ㄜㆷ</v>
          </cell>
        </row>
        <row r="70">
          <cell r="F70">
            <v>67</v>
          </cell>
          <cell r="G70" t="str">
            <v>onnh</v>
          </cell>
          <cell r="H70" t="str">
            <v>ɔ̃?</v>
          </cell>
          <cell r="I70" t="str">
            <v>姑</v>
          </cell>
          <cell r="J70" t="str">
            <v>ohⁿ</v>
          </cell>
          <cell r="K70" t="str">
            <v>onnh</v>
          </cell>
          <cell r="L70" t="str">
            <v>nooh</v>
          </cell>
          <cell r="M70" t="str">
            <v>ㆧㆷ</v>
          </cell>
        </row>
        <row r="71">
          <cell r="F71">
            <v>68</v>
          </cell>
          <cell r="G71" t="str">
            <v>ok</v>
          </cell>
          <cell r="H71" t="str">
            <v>ɔk̚</v>
          </cell>
          <cell r="I71" t="str">
            <v>公</v>
          </cell>
          <cell r="J71" t="str">
            <v>ok</v>
          </cell>
          <cell r="K71" t="str">
            <v>ok</v>
          </cell>
          <cell r="L71" t="str">
            <v>ok</v>
          </cell>
          <cell r="M71" t="str">
            <v>ㆦㆻ</v>
          </cell>
        </row>
        <row r="72">
          <cell r="F72">
            <v>69</v>
          </cell>
          <cell r="G72" t="str">
            <v>om</v>
          </cell>
          <cell r="H72" t="str">
            <v>ɔm</v>
          </cell>
          <cell r="I72" t="str">
            <v>箴</v>
          </cell>
          <cell r="J72" t="str">
            <v>om</v>
          </cell>
          <cell r="K72" t="str">
            <v>om</v>
          </cell>
          <cell r="L72" t="str">
            <v>om</v>
          </cell>
          <cell r="M72" t="str">
            <v>ㆱ</v>
          </cell>
        </row>
        <row r="73">
          <cell r="F73">
            <v>70</v>
          </cell>
          <cell r="G73" t="str">
            <v>ong</v>
          </cell>
          <cell r="H73" t="str">
            <v>ɔŋ</v>
          </cell>
          <cell r="I73" t="str">
            <v>公</v>
          </cell>
          <cell r="J73" t="str">
            <v>ong</v>
          </cell>
          <cell r="K73" t="str">
            <v>ong</v>
          </cell>
          <cell r="L73" t="str">
            <v>ong</v>
          </cell>
          <cell r="M73" t="str">
            <v>ㆲ</v>
          </cell>
        </row>
        <row r="74">
          <cell r="F74">
            <v>71</v>
          </cell>
          <cell r="G74" t="str">
            <v>u</v>
          </cell>
          <cell r="H74" t="str">
            <v>u</v>
          </cell>
          <cell r="I74" t="str">
            <v>艍</v>
          </cell>
          <cell r="J74" t="str">
            <v>u</v>
          </cell>
          <cell r="K74" t="str">
            <v>u</v>
          </cell>
          <cell r="L74" t="str">
            <v>u</v>
          </cell>
          <cell r="M74" t="str">
            <v>ㄨ</v>
          </cell>
        </row>
        <row r="75">
          <cell r="F75">
            <v>72</v>
          </cell>
          <cell r="G75" t="str">
            <v>uh</v>
          </cell>
          <cell r="H75" t="str">
            <v>u?</v>
          </cell>
          <cell r="I75" t="str">
            <v>艍</v>
          </cell>
          <cell r="J75" t="str">
            <v>uh</v>
          </cell>
          <cell r="K75" t="str">
            <v>uh</v>
          </cell>
          <cell r="L75" t="str">
            <v>uh</v>
          </cell>
          <cell r="M75" t="str">
            <v>ㄨㆷ</v>
          </cell>
        </row>
        <row r="76">
          <cell r="F76">
            <v>73</v>
          </cell>
          <cell r="G76" t="str">
            <v>ui</v>
          </cell>
          <cell r="H76" t="str">
            <v>ui</v>
          </cell>
          <cell r="I76" t="str">
            <v>規</v>
          </cell>
          <cell r="J76" t="str">
            <v>ui</v>
          </cell>
          <cell r="K76" t="str">
            <v>ui</v>
          </cell>
          <cell r="L76" t="str">
            <v>ui</v>
          </cell>
          <cell r="M76" t="str">
            <v>ㄨㄧ</v>
          </cell>
        </row>
        <row r="77">
          <cell r="F77">
            <v>74</v>
          </cell>
          <cell r="G77" t="str">
            <v>un</v>
          </cell>
          <cell r="H77" t="str">
            <v>un</v>
          </cell>
          <cell r="I77" t="str">
            <v>君</v>
          </cell>
          <cell r="J77" t="str">
            <v>un</v>
          </cell>
          <cell r="K77" t="str">
            <v>un</v>
          </cell>
          <cell r="L77" t="str">
            <v>un</v>
          </cell>
          <cell r="M77" t="str">
            <v>ㄨㄣ</v>
          </cell>
        </row>
        <row r="78">
          <cell r="F78">
            <v>75</v>
          </cell>
          <cell r="G78" t="str">
            <v>ut</v>
          </cell>
          <cell r="H78" t="str">
            <v>ut̚</v>
          </cell>
          <cell r="I78" t="str">
            <v>君</v>
          </cell>
          <cell r="J78" t="str">
            <v>ut</v>
          </cell>
          <cell r="K78" t="str">
            <v>ut</v>
          </cell>
          <cell r="L78" t="str">
            <v>ut</v>
          </cell>
          <cell r="M78" t="str">
            <v>ㄨㆵ</v>
          </cell>
        </row>
      </sheetData>
      <sheetData sheetId="16">
        <row r="6">
          <cell r="B6">
            <v>1</v>
          </cell>
          <cell r="C6">
            <v>1</v>
          </cell>
          <cell r="D6" t="str">
            <v>君</v>
          </cell>
          <cell r="E6" t="str">
            <v>舒聲</v>
          </cell>
          <cell r="F6" t="str">
            <v>un</v>
          </cell>
          <cell r="G6" t="str">
            <v>un</v>
          </cell>
          <cell r="H6" t="str">
            <v>un</v>
          </cell>
          <cell r="I6" t="str">
            <v>un</v>
          </cell>
          <cell r="J6" t="str">
            <v>un</v>
          </cell>
          <cell r="K6" t="str">
            <v>ㄨㄣ</v>
          </cell>
        </row>
        <row r="7">
          <cell r="B7">
            <v>2</v>
          </cell>
          <cell r="C7">
            <v>1</v>
          </cell>
          <cell r="D7" t="str">
            <v>君</v>
          </cell>
          <cell r="E7" t="str">
            <v>入聲</v>
          </cell>
          <cell r="F7" t="str">
            <v>ut</v>
          </cell>
          <cell r="G7" t="str">
            <v>ut̚</v>
          </cell>
          <cell r="H7" t="str">
            <v>ut</v>
          </cell>
          <cell r="I7" t="str">
            <v>ut</v>
          </cell>
          <cell r="J7" t="str">
            <v>ut</v>
          </cell>
          <cell r="K7" t="str">
            <v>ㄨㆵ</v>
          </cell>
        </row>
        <row r="8">
          <cell r="B8">
            <v>3</v>
          </cell>
          <cell r="C8">
            <v>2</v>
          </cell>
          <cell r="D8" t="str">
            <v>堅</v>
          </cell>
          <cell r="E8" t="str">
            <v>舒聲</v>
          </cell>
          <cell r="F8" t="str">
            <v>ian</v>
          </cell>
          <cell r="G8" t="str">
            <v>ian</v>
          </cell>
          <cell r="H8" t="str">
            <v>ian</v>
          </cell>
          <cell r="I8" t="str">
            <v>ian</v>
          </cell>
          <cell r="J8" t="str">
            <v>ian</v>
          </cell>
          <cell r="K8" t="str">
            <v>ㄧㄢ</v>
          </cell>
        </row>
        <row r="9">
          <cell r="B9">
            <v>4</v>
          </cell>
          <cell r="C9">
            <v>2</v>
          </cell>
          <cell r="D9" t="str">
            <v>堅</v>
          </cell>
          <cell r="E9" t="str">
            <v>入聲</v>
          </cell>
          <cell r="F9" t="str">
            <v>iat</v>
          </cell>
          <cell r="G9" t="str">
            <v>iat̚</v>
          </cell>
          <cell r="H9" t="str">
            <v>iat</v>
          </cell>
          <cell r="I9" t="str">
            <v>iat</v>
          </cell>
          <cell r="J9" t="str">
            <v>iat</v>
          </cell>
          <cell r="K9" t="str">
            <v>ㄧㄚㆵ</v>
          </cell>
        </row>
        <row r="10">
          <cell r="B10">
            <v>5</v>
          </cell>
          <cell r="C10">
            <v>3</v>
          </cell>
          <cell r="D10" t="str">
            <v>金</v>
          </cell>
          <cell r="E10" t="str">
            <v>舒聲</v>
          </cell>
          <cell r="F10" t="str">
            <v>im</v>
          </cell>
          <cell r="G10" t="str">
            <v>im</v>
          </cell>
          <cell r="H10" t="str">
            <v>im</v>
          </cell>
          <cell r="I10" t="str">
            <v>im</v>
          </cell>
          <cell r="J10" t="str">
            <v>im</v>
          </cell>
          <cell r="K10" t="str">
            <v>ㄧㆬ</v>
          </cell>
        </row>
        <row r="11">
          <cell r="B11">
            <v>6</v>
          </cell>
          <cell r="C11">
            <v>3</v>
          </cell>
          <cell r="D11" t="str">
            <v>金</v>
          </cell>
          <cell r="E11" t="str">
            <v>入聲</v>
          </cell>
          <cell r="F11" t="str">
            <v>ip</v>
          </cell>
          <cell r="G11" t="str">
            <v>ip̚</v>
          </cell>
          <cell r="H11" t="str">
            <v>ip</v>
          </cell>
          <cell r="I11" t="str">
            <v>ip</v>
          </cell>
          <cell r="J11" t="str">
            <v>ip</v>
          </cell>
          <cell r="K11" t="str">
            <v>ㄧㆴ</v>
          </cell>
        </row>
        <row r="12">
          <cell r="B12">
            <v>7</v>
          </cell>
          <cell r="C12">
            <v>4</v>
          </cell>
          <cell r="D12" t="str">
            <v>規</v>
          </cell>
          <cell r="E12" t="str">
            <v>舒聲</v>
          </cell>
          <cell r="F12" t="str">
            <v>ui</v>
          </cell>
          <cell r="G12" t="str">
            <v>ui</v>
          </cell>
          <cell r="H12" t="str">
            <v>ui</v>
          </cell>
          <cell r="I12" t="str">
            <v>ui</v>
          </cell>
          <cell r="J12" t="str">
            <v>ui</v>
          </cell>
          <cell r="K12" t="str">
            <v>ㄨㄧ</v>
          </cell>
        </row>
        <row r="13">
          <cell r="B13">
            <v>8</v>
          </cell>
          <cell r="C13">
            <v>4</v>
          </cell>
          <cell r="D13" t="str">
            <v>規</v>
          </cell>
          <cell r="E13" t="str">
            <v>入聲</v>
          </cell>
          <cell r="F13" t="str">
            <v>uih</v>
          </cell>
          <cell r="G13" t="str">
            <v>ui?</v>
          </cell>
          <cell r="H13" t="str">
            <v>uih</v>
          </cell>
          <cell r="I13" t="str">
            <v>uih</v>
          </cell>
          <cell r="J13" t="str">
            <v>uih</v>
          </cell>
          <cell r="K13" t="str">
            <v>ㄨㄧㆷ</v>
          </cell>
        </row>
        <row r="14">
          <cell r="B14">
            <v>9</v>
          </cell>
          <cell r="C14">
            <v>5</v>
          </cell>
          <cell r="D14" t="str">
            <v>嘉</v>
          </cell>
          <cell r="E14" t="str">
            <v>舒聲</v>
          </cell>
          <cell r="F14" t="str">
            <v>ee</v>
          </cell>
          <cell r="G14" t="str">
            <v>ɛ</v>
          </cell>
          <cell r="H14" t="str">
            <v>ee</v>
          </cell>
          <cell r="I14" t="str">
            <v>ee</v>
          </cell>
          <cell r="J14" t="str">
            <v>e</v>
          </cell>
          <cell r="K14" t="str">
            <v>ㄝ</v>
          </cell>
        </row>
        <row r="15">
          <cell r="B15">
            <v>10</v>
          </cell>
          <cell r="C15">
            <v>5</v>
          </cell>
          <cell r="D15" t="str">
            <v>嘉</v>
          </cell>
          <cell r="E15" t="str">
            <v>入聲</v>
          </cell>
          <cell r="F15" t="str">
            <v>eeh</v>
          </cell>
          <cell r="G15" t="str">
            <v>ɛ?</v>
          </cell>
          <cell r="H15" t="str">
            <v>eeh</v>
          </cell>
          <cell r="I15" t="str">
            <v>eh</v>
          </cell>
          <cell r="J15" t="str">
            <v>eh</v>
          </cell>
          <cell r="K15" t="str">
            <v>ㄝㆷ</v>
          </cell>
        </row>
        <row r="16">
          <cell r="B16">
            <v>11</v>
          </cell>
          <cell r="C16">
            <v>6</v>
          </cell>
          <cell r="D16" t="str">
            <v>干</v>
          </cell>
          <cell r="E16" t="str">
            <v>舒聲</v>
          </cell>
          <cell r="F16" t="str">
            <v>an</v>
          </cell>
          <cell r="G16" t="str">
            <v>an</v>
          </cell>
          <cell r="H16" t="str">
            <v>an</v>
          </cell>
          <cell r="I16" t="str">
            <v>an</v>
          </cell>
          <cell r="J16" t="str">
            <v>an</v>
          </cell>
          <cell r="K16" t="str">
            <v>ㄢ</v>
          </cell>
        </row>
        <row r="17">
          <cell r="B17">
            <v>12</v>
          </cell>
          <cell r="C17">
            <v>6</v>
          </cell>
          <cell r="D17" t="str">
            <v>干</v>
          </cell>
          <cell r="E17" t="str">
            <v>入聲</v>
          </cell>
          <cell r="F17" t="str">
            <v>at</v>
          </cell>
          <cell r="G17" t="str">
            <v>at̚</v>
          </cell>
          <cell r="H17" t="str">
            <v>at</v>
          </cell>
          <cell r="I17" t="str">
            <v>ap</v>
          </cell>
          <cell r="J17" t="str">
            <v>at</v>
          </cell>
          <cell r="K17" t="str">
            <v>ㄚㆵ</v>
          </cell>
        </row>
        <row r="18">
          <cell r="B18">
            <v>13</v>
          </cell>
          <cell r="C18">
            <v>7</v>
          </cell>
          <cell r="D18" t="str">
            <v>公</v>
          </cell>
          <cell r="E18" t="str">
            <v>舒聲</v>
          </cell>
          <cell r="F18" t="str">
            <v>ong</v>
          </cell>
          <cell r="G18" t="str">
            <v>ɔŋ</v>
          </cell>
          <cell r="H18" t="str">
            <v>ong</v>
          </cell>
          <cell r="I18" t="str">
            <v>ong</v>
          </cell>
          <cell r="J18" t="str">
            <v>ong</v>
          </cell>
          <cell r="K18" t="str">
            <v>ㆲ</v>
          </cell>
        </row>
        <row r="19">
          <cell r="B19">
            <v>14</v>
          </cell>
          <cell r="C19">
            <v>7</v>
          </cell>
          <cell r="D19" t="str">
            <v>公</v>
          </cell>
          <cell r="E19" t="str">
            <v>入聲</v>
          </cell>
          <cell r="F19" t="str">
            <v>ok</v>
          </cell>
          <cell r="G19" t="str">
            <v>ɔk̚</v>
          </cell>
          <cell r="H19" t="str">
            <v>ok</v>
          </cell>
          <cell r="I19" t="str">
            <v>ok</v>
          </cell>
          <cell r="J19" t="str">
            <v>ok</v>
          </cell>
          <cell r="K19" t="str">
            <v>ㆦㆻ</v>
          </cell>
        </row>
        <row r="20">
          <cell r="B20">
            <v>15</v>
          </cell>
          <cell r="C20">
            <v>8</v>
          </cell>
          <cell r="D20" t="str">
            <v>乖</v>
          </cell>
          <cell r="E20" t="str">
            <v>舒聲</v>
          </cell>
          <cell r="F20" t="str">
            <v>oai</v>
          </cell>
          <cell r="G20" t="str">
            <v>uai</v>
          </cell>
          <cell r="H20" t="str">
            <v>oai</v>
          </cell>
          <cell r="I20" t="str">
            <v>uai</v>
          </cell>
          <cell r="J20" t="str">
            <v>uai</v>
          </cell>
          <cell r="K20" t="str">
            <v>ㄨㄞ</v>
          </cell>
        </row>
        <row r="21">
          <cell r="B21">
            <v>16</v>
          </cell>
          <cell r="C21">
            <v>8</v>
          </cell>
          <cell r="D21" t="str">
            <v>乖</v>
          </cell>
          <cell r="E21" t="str">
            <v>入聲</v>
          </cell>
          <cell r="F21" t="str">
            <v>oaih</v>
          </cell>
          <cell r="G21" t="str">
            <v>uai?</v>
          </cell>
          <cell r="H21" t="str">
            <v>oaih</v>
          </cell>
          <cell r="I21" t="str">
            <v>uaih</v>
          </cell>
          <cell r="J21" t="str">
            <v>uaih</v>
          </cell>
          <cell r="K21" t="str">
            <v>ㄨㄞㆷ</v>
          </cell>
        </row>
        <row r="22">
          <cell r="B22">
            <v>17</v>
          </cell>
          <cell r="C22">
            <v>9</v>
          </cell>
          <cell r="D22" t="str">
            <v>經</v>
          </cell>
          <cell r="E22" t="str">
            <v>舒聲</v>
          </cell>
          <cell r="F22" t="str">
            <v>eng</v>
          </cell>
          <cell r="G22" t="str">
            <v>ɪŋ</v>
          </cell>
          <cell r="H22" t="str">
            <v>eng</v>
          </cell>
          <cell r="I22" t="str">
            <v>ing</v>
          </cell>
          <cell r="J22" t="str">
            <v>ing</v>
          </cell>
          <cell r="K22" t="str">
            <v>ㄧㄥ</v>
          </cell>
        </row>
        <row r="23">
          <cell r="B23">
            <v>18</v>
          </cell>
          <cell r="C23">
            <v>9</v>
          </cell>
          <cell r="D23" t="str">
            <v>經</v>
          </cell>
          <cell r="E23" t="str">
            <v>入聲</v>
          </cell>
          <cell r="F23" t="str">
            <v>ek</v>
          </cell>
          <cell r="G23" t="str">
            <v>ik̚</v>
          </cell>
          <cell r="H23" t="str">
            <v>ek</v>
          </cell>
          <cell r="I23" t="str">
            <v>ik</v>
          </cell>
          <cell r="J23" t="str">
            <v>ik</v>
          </cell>
          <cell r="K23" t="str">
            <v>ㄧㆻ</v>
          </cell>
        </row>
        <row r="24">
          <cell r="B24">
            <v>19</v>
          </cell>
          <cell r="C24">
            <v>10</v>
          </cell>
          <cell r="D24" t="str">
            <v>觀</v>
          </cell>
          <cell r="E24" t="str">
            <v>舒聲</v>
          </cell>
          <cell r="F24" t="str">
            <v>oan</v>
          </cell>
          <cell r="G24" t="str">
            <v>uan</v>
          </cell>
          <cell r="H24" t="str">
            <v>oan</v>
          </cell>
          <cell r="I24" t="str">
            <v>uan</v>
          </cell>
          <cell r="J24" t="str">
            <v>uan</v>
          </cell>
          <cell r="K24" t="str">
            <v>ㄨㄢ</v>
          </cell>
        </row>
        <row r="25">
          <cell r="B25">
            <v>20</v>
          </cell>
          <cell r="C25">
            <v>10</v>
          </cell>
          <cell r="D25" t="str">
            <v>觀</v>
          </cell>
          <cell r="E25" t="str">
            <v>入聲</v>
          </cell>
          <cell r="F25" t="str">
            <v>oat</v>
          </cell>
          <cell r="G25" t="str">
            <v>uat̚</v>
          </cell>
          <cell r="H25" t="str">
            <v>oat</v>
          </cell>
          <cell r="I25" t="str">
            <v>uat</v>
          </cell>
          <cell r="J25" t="str">
            <v>uat</v>
          </cell>
          <cell r="K25" t="str">
            <v>ㄨㄚㆵ</v>
          </cell>
        </row>
        <row r="26">
          <cell r="B26">
            <v>21</v>
          </cell>
          <cell r="C26">
            <v>11</v>
          </cell>
          <cell r="D26" t="str">
            <v>沽</v>
          </cell>
          <cell r="E26" t="str">
            <v>舒聲</v>
          </cell>
          <cell r="F26" t="str">
            <v>oo</v>
          </cell>
          <cell r="G26" t="str">
            <v>ɔ</v>
          </cell>
          <cell r="H26" t="str">
            <v>o͘</v>
          </cell>
          <cell r="I26" t="str">
            <v>oo</v>
          </cell>
          <cell r="J26" t="str">
            <v>oo</v>
          </cell>
          <cell r="K26" t="str">
            <v>ㆦ</v>
          </cell>
        </row>
        <row r="27">
          <cell r="B27">
            <v>22</v>
          </cell>
          <cell r="C27">
            <v>11</v>
          </cell>
          <cell r="D27" t="str">
            <v>沽</v>
          </cell>
          <cell r="E27" t="str">
            <v>入聲</v>
          </cell>
          <cell r="F27" t="str">
            <v>ooh</v>
          </cell>
          <cell r="G27" t="str">
            <v>ɔu?</v>
          </cell>
          <cell r="H27" t="str">
            <v>o͘h</v>
          </cell>
          <cell r="I27" t="str">
            <v>ooh</v>
          </cell>
          <cell r="J27" t="str">
            <v>ooh</v>
          </cell>
          <cell r="K27" t="str">
            <v>ㆦㆷ</v>
          </cell>
        </row>
        <row r="28">
          <cell r="B28">
            <v>23</v>
          </cell>
          <cell r="C28">
            <v>12</v>
          </cell>
          <cell r="D28" t="str">
            <v>嬌</v>
          </cell>
          <cell r="E28" t="str">
            <v>舒聲</v>
          </cell>
          <cell r="F28" t="str">
            <v>iau</v>
          </cell>
          <cell r="G28" t="str">
            <v>iaʊ</v>
          </cell>
          <cell r="H28" t="str">
            <v>iau</v>
          </cell>
          <cell r="I28" t="str">
            <v>iau</v>
          </cell>
          <cell r="J28" t="str">
            <v>iao</v>
          </cell>
          <cell r="K28" t="str">
            <v>ㄧㄠ</v>
          </cell>
        </row>
        <row r="29">
          <cell r="B29">
            <v>24</v>
          </cell>
          <cell r="C29">
            <v>12</v>
          </cell>
          <cell r="D29" t="str">
            <v>嬌</v>
          </cell>
          <cell r="E29" t="str">
            <v>入聲</v>
          </cell>
          <cell r="F29" t="str">
            <v>iauh</v>
          </cell>
          <cell r="G29" t="str">
            <v>iau?</v>
          </cell>
          <cell r="H29" t="str">
            <v>iauh</v>
          </cell>
          <cell r="I29" t="str">
            <v>iauh</v>
          </cell>
          <cell r="J29" t="str">
            <v>iaoh</v>
          </cell>
          <cell r="K29" t="str">
            <v>ㄧㄠㆷ</v>
          </cell>
        </row>
        <row r="30">
          <cell r="B30">
            <v>25</v>
          </cell>
          <cell r="C30">
            <v>13</v>
          </cell>
          <cell r="D30" t="str">
            <v>稽</v>
          </cell>
          <cell r="E30" t="str">
            <v>舒聲</v>
          </cell>
          <cell r="F30" t="str">
            <v>ei</v>
          </cell>
          <cell r="G30" t="str">
            <v>ei</v>
          </cell>
          <cell r="H30" t="str">
            <v>ei</v>
          </cell>
          <cell r="I30" t="str">
            <v>e</v>
          </cell>
          <cell r="J30" t="str">
            <v>e</v>
          </cell>
          <cell r="K30" t="str">
            <v>ㄟ</v>
          </cell>
        </row>
        <row r="31">
          <cell r="B31">
            <v>26</v>
          </cell>
          <cell r="C31">
            <v>13</v>
          </cell>
          <cell r="D31" t="str">
            <v>稽</v>
          </cell>
          <cell r="E31" t="str">
            <v>入聲</v>
          </cell>
          <cell r="F31" t="str">
            <v>eih</v>
          </cell>
          <cell r="G31" t="str">
            <v>ei?</v>
          </cell>
          <cell r="H31" t="str">
            <v>eih</v>
          </cell>
          <cell r="I31" t="str">
            <v>eh</v>
          </cell>
          <cell r="J31" t="str">
            <v>eh</v>
          </cell>
          <cell r="K31" t="str">
            <v>ㄟㆷ</v>
          </cell>
        </row>
        <row r="32">
          <cell r="B32">
            <v>27</v>
          </cell>
          <cell r="C32">
            <v>14</v>
          </cell>
          <cell r="D32" t="str">
            <v>恭</v>
          </cell>
          <cell r="E32" t="str">
            <v>舒聲</v>
          </cell>
          <cell r="F32" t="str">
            <v>iong</v>
          </cell>
          <cell r="G32" t="str">
            <v>iɔŋ</v>
          </cell>
          <cell r="H32" t="str">
            <v>iong</v>
          </cell>
          <cell r="I32" t="str">
            <v>iong</v>
          </cell>
          <cell r="J32" t="str">
            <v>iong</v>
          </cell>
          <cell r="K32" t="str">
            <v>ㄧㆲ</v>
          </cell>
        </row>
        <row r="33">
          <cell r="B33">
            <v>28</v>
          </cell>
          <cell r="C33">
            <v>14</v>
          </cell>
          <cell r="D33" t="str">
            <v>恭</v>
          </cell>
          <cell r="E33" t="str">
            <v>入聲</v>
          </cell>
          <cell r="F33" t="str">
            <v>iok</v>
          </cell>
          <cell r="G33" t="str">
            <v>iɔk̚</v>
          </cell>
          <cell r="H33" t="str">
            <v>iok</v>
          </cell>
          <cell r="I33" t="str">
            <v>iok</v>
          </cell>
          <cell r="J33" t="str">
            <v>iok</v>
          </cell>
          <cell r="K33" t="str">
            <v>ㄧㆦㆻ</v>
          </cell>
        </row>
        <row r="34">
          <cell r="B34">
            <v>29</v>
          </cell>
          <cell r="C34">
            <v>15</v>
          </cell>
          <cell r="D34" t="str">
            <v>高</v>
          </cell>
          <cell r="E34" t="str">
            <v>舒聲</v>
          </cell>
          <cell r="F34" t="str">
            <v>o</v>
          </cell>
          <cell r="G34" t="str">
            <v>o</v>
          </cell>
          <cell r="H34" t="str">
            <v>o</v>
          </cell>
          <cell r="I34" t="str">
            <v>o</v>
          </cell>
          <cell r="J34" t="str">
            <v>o</v>
          </cell>
          <cell r="K34" t="str">
            <v>ㄜ</v>
          </cell>
        </row>
        <row r="35">
          <cell r="B35">
            <v>30</v>
          </cell>
          <cell r="C35">
            <v>15</v>
          </cell>
          <cell r="D35" t="str">
            <v>高</v>
          </cell>
          <cell r="E35" t="str">
            <v>入聲</v>
          </cell>
          <cell r="F35" t="str">
            <v>oh</v>
          </cell>
          <cell r="G35" t="str">
            <v>ə?</v>
          </cell>
          <cell r="H35" t="str">
            <v>oh</v>
          </cell>
          <cell r="I35" t="str">
            <v>oh</v>
          </cell>
          <cell r="J35" t="str">
            <v>oh</v>
          </cell>
          <cell r="K35" t="str">
            <v>ㄜㆷ</v>
          </cell>
        </row>
        <row r="36">
          <cell r="B36">
            <v>31</v>
          </cell>
          <cell r="C36">
            <v>16</v>
          </cell>
          <cell r="D36" t="str">
            <v>皆</v>
          </cell>
          <cell r="E36" t="str">
            <v>舒聲</v>
          </cell>
          <cell r="F36" t="str">
            <v>ai</v>
          </cell>
          <cell r="G36" t="str">
            <v>ai</v>
          </cell>
          <cell r="H36" t="str">
            <v>ai</v>
          </cell>
          <cell r="I36" t="str">
            <v>ai</v>
          </cell>
          <cell r="J36" t="str">
            <v>ai</v>
          </cell>
          <cell r="K36" t="str">
            <v>ㄞ</v>
          </cell>
        </row>
        <row r="37">
          <cell r="B37">
            <v>32</v>
          </cell>
          <cell r="C37">
            <v>16</v>
          </cell>
          <cell r="D37" t="str">
            <v>皆</v>
          </cell>
          <cell r="E37" t="str">
            <v>入聲</v>
          </cell>
          <cell r="F37" t="str">
            <v>aih</v>
          </cell>
          <cell r="G37" t="str">
            <v>ai?</v>
          </cell>
          <cell r="H37" t="str">
            <v>aih</v>
          </cell>
          <cell r="I37" t="str">
            <v>aih</v>
          </cell>
          <cell r="J37" t="str">
            <v>aih</v>
          </cell>
          <cell r="K37" t="str">
            <v>ㄞㆷ</v>
          </cell>
        </row>
        <row r="38">
          <cell r="B38">
            <v>33</v>
          </cell>
          <cell r="C38">
            <v>17</v>
          </cell>
          <cell r="D38" t="str">
            <v>巾</v>
          </cell>
          <cell r="E38" t="str">
            <v>舒聲</v>
          </cell>
          <cell r="F38" t="str">
            <v>in</v>
          </cell>
          <cell r="G38" t="str">
            <v>in</v>
          </cell>
          <cell r="H38" t="str">
            <v>in</v>
          </cell>
          <cell r="I38" t="str">
            <v>in</v>
          </cell>
          <cell r="J38" t="str">
            <v>in</v>
          </cell>
          <cell r="K38" t="str">
            <v>ㄧㄣ</v>
          </cell>
        </row>
        <row r="39">
          <cell r="B39">
            <v>34</v>
          </cell>
          <cell r="C39">
            <v>17</v>
          </cell>
          <cell r="D39" t="str">
            <v>巾</v>
          </cell>
          <cell r="E39" t="str">
            <v>入聲</v>
          </cell>
          <cell r="F39" t="str">
            <v>it</v>
          </cell>
          <cell r="G39" t="str">
            <v>it̚</v>
          </cell>
          <cell r="H39" t="str">
            <v>it</v>
          </cell>
          <cell r="I39" t="str">
            <v>it</v>
          </cell>
          <cell r="J39" t="str">
            <v>it</v>
          </cell>
          <cell r="K39" t="str">
            <v>ㄧㆵ</v>
          </cell>
        </row>
        <row r="40">
          <cell r="B40">
            <v>35</v>
          </cell>
          <cell r="C40">
            <v>18</v>
          </cell>
          <cell r="D40" t="str">
            <v>姜</v>
          </cell>
          <cell r="E40" t="str">
            <v>舒聲</v>
          </cell>
          <cell r="F40" t="str">
            <v>iang</v>
          </cell>
          <cell r="G40" t="str">
            <v>iaŋ</v>
          </cell>
          <cell r="H40" t="str">
            <v>iang</v>
          </cell>
          <cell r="I40" t="str">
            <v>iang</v>
          </cell>
          <cell r="J40" t="str">
            <v>iang</v>
          </cell>
          <cell r="K40" t="str">
            <v>ㄧㄤ</v>
          </cell>
        </row>
        <row r="41">
          <cell r="B41">
            <v>36</v>
          </cell>
          <cell r="C41">
            <v>18</v>
          </cell>
          <cell r="D41" t="str">
            <v>姜</v>
          </cell>
          <cell r="E41" t="str">
            <v>入聲</v>
          </cell>
          <cell r="F41" t="str">
            <v>iak</v>
          </cell>
          <cell r="G41" t="str">
            <v>iak̚</v>
          </cell>
          <cell r="H41" t="str">
            <v>iak</v>
          </cell>
          <cell r="I41" t="str">
            <v>iak</v>
          </cell>
          <cell r="J41" t="str">
            <v>iak</v>
          </cell>
          <cell r="K41" t="str">
            <v>ㄧㄚㆻ</v>
          </cell>
        </row>
        <row r="42">
          <cell r="B42">
            <v>37</v>
          </cell>
          <cell r="C42">
            <v>19</v>
          </cell>
          <cell r="D42" t="str">
            <v>甘</v>
          </cell>
          <cell r="E42" t="str">
            <v>舒聲</v>
          </cell>
          <cell r="F42" t="str">
            <v>am</v>
          </cell>
          <cell r="G42" t="str">
            <v>am</v>
          </cell>
          <cell r="H42" t="str">
            <v>am</v>
          </cell>
          <cell r="I42" t="str">
            <v>am</v>
          </cell>
          <cell r="J42" t="str">
            <v>am</v>
          </cell>
          <cell r="K42" t="str">
            <v>ㆰ</v>
          </cell>
        </row>
        <row r="43">
          <cell r="B43">
            <v>38</v>
          </cell>
          <cell r="C43">
            <v>19</v>
          </cell>
          <cell r="D43" t="str">
            <v>甘</v>
          </cell>
          <cell r="E43" t="str">
            <v>入聲</v>
          </cell>
          <cell r="F43" t="str">
            <v>ap</v>
          </cell>
          <cell r="G43" t="str">
            <v>ap̚</v>
          </cell>
          <cell r="H43" t="str">
            <v>ap</v>
          </cell>
          <cell r="I43" t="str">
            <v>ap</v>
          </cell>
          <cell r="J43" t="str">
            <v>ap</v>
          </cell>
          <cell r="K43" t="str">
            <v>ㄚㆴ</v>
          </cell>
        </row>
        <row r="44">
          <cell r="B44">
            <v>39</v>
          </cell>
          <cell r="C44">
            <v>20</v>
          </cell>
          <cell r="D44" t="str">
            <v>瓜</v>
          </cell>
          <cell r="E44" t="str">
            <v>舒聲</v>
          </cell>
          <cell r="F44" t="str">
            <v>oa</v>
          </cell>
          <cell r="G44" t="str">
            <v>ua</v>
          </cell>
          <cell r="H44" t="str">
            <v>oa</v>
          </cell>
          <cell r="I44" t="str">
            <v>ua</v>
          </cell>
          <cell r="J44" t="str">
            <v>ua</v>
          </cell>
          <cell r="K44" t="str">
            <v>ㄨㄚ</v>
          </cell>
        </row>
        <row r="45">
          <cell r="B45">
            <v>40</v>
          </cell>
          <cell r="C45">
            <v>20</v>
          </cell>
          <cell r="D45" t="str">
            <v>瓜</v>
          </cell>
          <cell r="E45" t="str">
            <v>入聲</v>
          </cell>
          <cell r="F45" t="str">
            <v>oah</v>
          </cell>
          <cell r="G45" t="str">
            <v>ua?</v>
          </cell>
          <cell r="H45" t="str">
            <v>oah</v>
          </cell>
          <cell r="I45" t="str">
            <v>uah</v>
          </cell>
          <cell r="J45" t="str">
            <v>uah</v>
          </cell>
          <cell r="K45" t="str">
            <v>ㄨㄚㆷ</v>
          </cell>
        </row>
        <row r="46">
          <cell r="B46">
            <v>41</v>
          </cell>
          <cell r="C46">
            <v>21</v>
          </cell>
          <cell r="D46" t="str">
            <v>江</v>
          </cell>
          <cell r="E46" t="str">
            <v>舒聲</v>
          </cell>
          <cell r="F46" t="str">
            <v>ang</v>
          </cell>
          <cell r="G46" t="str">
            <v>aŋ</v>
          </cell>
          <cell r="H46" t="str">
            <v>ang</v>
          </cell>
          <cell r="I46" t="str">
            <v>ang</v>
          </cell>
          <cell r="J46" t="str">
            <v>ang</v>
          </cell>
          <cell r="K46" t="str">
            <v>ㄤ</v>
          </cell>
        </row>
        <row r="47">
          <cell r="B47">
            <v>42</v>
          </cell>
          <cell r="C47">
            <v>21</v>
          </cell>
          <cell r="D47" t="str">
            <v>江</v>
          </cell>
          <cell r="E47" t="str">
            <v>入聲</v>
          </cell>
          <cell r="F47" t="str">
            <v>ak</v>
          </cell>
          <cell r="G47" t="str">
            <v>ak̚</v>
          </cell>
          <cell r="H47" t="str">
            <v>ak</v>
          </cell>
          <cell r="I47" t="str">
            <v>ak</v>
          </cell>
          <cell r="J47" t="str">
            <v>ak</v>
          </cell>
          <cell r="K47" t="str">
            <v>ㄚㆻ</v>
          </cell>
        </row>
        <row r="48">
          <cell r="B48">
            <v>43</v>
          </cell>
          <cell r="C48">
            <v>22</v>
          </cell>
          <cell r="D48" t="str">
            <v>兼</v>
          </cell>
          <cell r="E48" t="str">
            <v>舒聲</v>
          </cell>
          <cell r="F48" t="str">
            <v>iam</v>
          </cell>
          <cell r="G48" t="str">
            <v>iam</v>
          </cell>
          <cell r="H48" t="str">
            <v>iam</v>
          </cell>
          <cell r="I48" t="str">
            <v>iam</v>
          </cell>
          <cell r="J48" t="str">
            <v>iam</v>
          </cell>
          <cell r="K48" t="str">
            <v>ㄧㆰ</v>
          </cell>
        </row>
        <row r="49">
          <cell r="B49">
            <v>44</v>
          </cell>
          <cell r="C49">
            <v>22</v>
          </cell>
          <cell r="D49" t="str">
            <v>兼</v>
          </cell>
          <cell r="E49" t="str">
            <v>入聲</v>
          </cell>
          <cell r="F49" t="str">
            <v>iap</v>
          </cell>
          <cell r="G49" t="str">
            <v>iap̚</v>
          </cell>
          <cell r="H49" t="str">
            <v>iap</v>
          </cell>
          <cell r="I49" t="str">
            <v>iap</v>
          </cell>
          <cell r="J49" t="str">
            <v>iap</v>
          </cell>
          <cell r="K49" t="str">
            <v>ㄧㄚㆴ</v>
          </cell>
        </row>
        <row r="50">
          <cell r="B50">
            <v>45</v>
          </cell>
          <cell r="C50">
            <v>23</v>
          </cell>
          <cell r="D50" t="str">
            <v>交</v>
          </cell>
          <cell r="E50" t="str">
            <v>舒聲</v>
          </cell>
          <cell r="F50" t="str">
            <v>au</v>
          </cell>
          <cell r="G50" t="str">
            <v>aʊ</v>
          </cell>
          <cell r="H50" t="str">
            <v>au</v>
          </cell>
          <cell r="I50" t="str">
            <v>au</v>
          </cell>
          <cell r="J50" t="str">
            <v>ao</v>
          </cell>
          <cell r="K50" t="str">
            <v>ㄠ</v>
          </cell>
        </row>
        <row r="51">
          <cell r="B51">
            <v>46</v>
          </cell>
          <cell r="C51">
            <v>23</v>
          </cell>
          <cell r="D51" t="str">
            <v>交</v>
          </cell>
          <cell r="E51" t="str">
            <v>入聲</v>
          </cell>
          <cell r="F51" t="str">
            <v>auh</v>
          </cell>
          <cell r="G51" t="str">
            <v>au?</v>
          </cell>
          <cell r="H51" t="str">
            <v>auh</v>
          </cell>
          <cell r="I51" t="str">
            <v>auh</v>
          </cell>
          <cell r="J51" t="str">
            <v>aoh</v>
          </cell>
          <cell r="K51" t="str">
            <v>ㄠㆷ</v>
          </cell>
        </row>
        <row r="52">
          <cell r="B52">
            <v>47</v>
          </cell>
          <cell r="C52">
            <v>24</v>
          </cell>
          <cell r="D52" t="str">
            <v>迦</v>
          </cell>
          <cell r="E52" t="str">
            <v>舒聲</v>
          </cell>
          <cell r="F52" t="str">
            <v>ia</v>
          </cell>
          <cell r="G52" t="str">
            <v>ia</v>
          </cell>
          <cell r="H52" t="str">
            <v>ia</v>
          </cell>
          <cell r="I52" t="str">
            <v>ia</v>
          </cell>
          <cell r="J52" t="str">
            <v>ia</v>
          </cell>
          <cell r="K52" t="str">
            <v>ㄧㄚ</v>
          </cell>
        </row>
        <row r="53">
          <cell r="B53">
            <v>48</v>
          </cell>
          <cell r="C53">
            <v>24</v>
          </cell>
          <cell r="D53" t="str">
            <v>迦</v>
          </cell>
          <cell r="E53" t="str">
            <v>入聲</v>
          </cell>
          <cell r="F53" t="str">
            <v>iah</v>
          </cell>
          <cell r="G53" t="str">
            <v>ia?</v>
          </cell>
          <cell r="H53" t="str">
            <v>iah</v>
          </cell>
          <cell r="I53" t="str">
            <v>iah</v>
          </cell>
          <cell r="J53" t="str">
            <v>iah</v>
          </cell>
          <cell r="K53" t="str">
            <v>ㄧㄚㆷ</v>
          </cell>
        </row>
        <row r="54">
          <cell r="B54">
            <v>49</v>
          </cell>
          <cell r="C54">
            <v>25</v>
          </cell>
          <cell r="D54" t="str">
            <v>檜</v>
          </cell>
          <cell r="E54" t="str">
            <v>舒聲</v>
          </cell>
          <cell r="F54" t="str">
            <v>oe</v>
          </cell>
          <cell r="G54" t="str">
            <v>ue</v>
          </cell>
          <cell r="H54" t="str">
            <v>oe</v>
          </cell>
          <cell r="I54" t="str">
            <v>ue</v>
          </cell>
          <cell r="J54" t="str">
            <v>ue</v>
          </cell>
          <cell r="K54" t="str">
            <v>ㄨㆤ</v>
          </cell>
        </row>
        <row r="55">
          <cell r="B55">
            <v>50</v>
          </cell>
          <cell r="C55">
            <v>25</v>
          </cell>
          <cell r="D55" t="str">
            <v>檜</v>
          </cell>
          <cell r="E55" t="str">
            <v>入聲</v>
          </cell>
          <cell r="F55" t="str">
            <v>oeh</v>
          </cell>
          <cell r="G55" t="str">
            <v>ue?</v>
          </cell>
          <cell r="H55" t="str">
            <v>oeh</v>
          </cell>
          <cell r="I55" t="str">
            <v>ueh</v>
          </cell>
          <cell r="J55" t="str">
            <v>ueh</v>
          </cell>
          <cell r="K55" t="str">
            <v>ㄨㆤㆷ</v>
          </cell>
        </row>
        <row r="56">
          <cell r="B56">
            <v>51</v>
          </cell>
          <cell r="C56">
            <v>26</v>
          </cell>
          <cell r="D56" t="str">
            <v>監</v>
          </cell>
          <cell r="E56" t="str">
            <v>舒聲</v>
          </cell>
          <cell r="F56" t="str">
            <v>ann</v>
          </cell>
          <cell r="G56" t="str">
            <v>ã</v>
          </cell>
          <cell r="H56" t="str">
            <v>aⁿ</v>
          </cell>
          <cell r="I56" t="str">
            <v>ann</v>
          </cell>
          <cell r="J56" t="str">
            <v>na</v>
          </cell>
          <cell r="K56" t="str">
            <v>ㆩ</v>
          </cell>
        </row>
        <row r="57">
          <cell r="B57">
            <v>52</v>
          </cell>
          <cell r="C57">
            <v>26</v>
          </cell>
          <cell r="D57" t="str">
            <v>監</v>
          </cell>
          <cell r="E57" t="str">
            <v>入聲</v>
          </cell>
          <cell r="F57" t="str">
            <v>ahnn</v>
          </cell>
          <cell r="G57" t="str">
            <v>ã?</v>
          </cell>
          <cell r="H57" t="str">
            <v>ahⁿ</v>
          </cell>
          <cell r="I57" t="str">
            <v>annh</v>
          </cell>
          <cell r="J57" t="str">
            <v>nah</v>
          </cell>
          <cell r="K57" t="str">
            <v>ㆩㆷ</v>
          </cell>
        </row>
        <row r="58">
          <cell r="B58">
            <v>53</v>
          </cell>
          <cell r="C58">
            <v>27</v>
          </cell>
          <cell r="D58" t="str">
            <v>艍</v>
          </cell>
          <cell r="E58" t="str">
            <v>舒聲</v>
          </cell>
          <cell r="F58" t="str">
            <v>u</v>
          </cell>
          <cell r="G58" t="str">
            <v>u</v>
          </cell>
          <cell r="H58" t="str">
            <v>u</v>
          </cell>
          <cell r="I58" t="str">
            <v>u</v>
          </cell>
          <cell r="J58" t="str">
            <v>u</v>
          </cell>
          <cell r="K58" t="str">
            <v>ㄨ</v>
          </cell>
        </row>
        <row r="59">
          <cell r="B59">
            <v>54</v>
          </cell>
          <cell r="C59">
            <v>27</v>
          </cell>
          <cell r="D59" t="str">
            <v>艍</v>
          </cell>
          <cell r="E59" t="str">
            <v>入聲</v>
          </cell>
          <cell r="F59" t="str">
            <v>uh</v>
          </cell>
          <cell r="G59" t="str">
            <v>u?</v>
          </cell>
          <cell r="H59" t="str">
            <v>uh</v>
          </cell>
          <cell r="I59" t="str">
            <v>uh</v>
          </cell>
          <cell r="J59" t="str">
            <v>uh</v>
          </cell>
          <cell r="K59" t="str">
            <v>ㄨㆷ</v>
          </cell>
        </row>
        <row r="60">
          <cell r="B60">
            <v>55</v>
          </cell>
          <cell r="C60">
            <v>28</v>
          </cell>
          <cell r="D60" t="str">
            <v>膠</v>
          </cell>
          <cell r="E60" t="str">
            <v>舒聲</v>
          </cell>
          <cell r="F60" t="str">
            <v>a</v>
          </cell>
          <cell r="G60" t="str">
            <v>a</v>
          </cell>
          <cell r="H60" t="str">
            <v>a</v>
          </cell>
          <cell r="I60" t="str">
            <v>a</v>
          </cell>
          <cell r="J60" t="str">
            <v>a</v>
          </cell>
          <cell r="K60" t="str">
            <v>ㄚ</v>
          </cell>
        </row>
        <row r="61">
          <cell r="B61">
            <v>56</v>
          </cell>
          <cell r="C61">
            <v>28</v>
          </cell>
          <cell r="D61" t="str">
            <v>膠</v>
          </cell>
          <cell r="E61" t="str">
            <v>入聲</v>
          </cell>
          <cell r="F61" t="str">
            <v>ah</v>
          </cell>
          <cell r="G61" t="str">
            <v>a?</v>
          </cell>
          <cell r="H61" t="str">
            <v>ah</v>
          </cell>
          <cell r="I61" t="str">
            <v>ah</v>
          </cell>
          <cell r="J61" t="str">
            <v>ah</v>
          </cell>
          <cell r="K61" t="str">
            <v>ㄚㆷ</v>
          </cell>
        </row>
        <row r="62">
          <cell r="B62">
            <v>57</v>
          </cell>
          <cell r="C62">
            <v>29</v>
          </cell>
          <cell r="D62" t="str">
            <v>居</v>
          </cell>
          <cell r="E62" t="str">
            <v>舒聲</v>
          </cell>
          <cell r="F62" t="str">
            <v>i</v>
          </cell>
          <cell r="G62" t="str">
            <v>i</v>
          </cell>
          <cell r="H62" t="str">
            <v>i</v>
          </cell>
          <cell r="I62" t="str">
            <v>i</v>
          </cell>
          <cell r="J62" t="str">
            <v>i</v>
          </cell>
          <cell r="K62" t="str">
            <v>ㄧ</v>
          </cell>
        </row>
        <row r="63">
          <cell r="B63">
            <v>58</v>
          </cell>
          <cell r="C63">
            <v>29</v>
          </cell>
          <cell r="D63" t="str">
            <v>居</v>
          </cell>
          <cell r="E63" t="str">
            <v>入聲</v>
          </cell>
          <cell r="F63" t="str">
            <v>ih</v>
          </cell>
          <cell r="G63" t="str">
            <v>i?</v>
          </cell>
          <cell r="H63" t="str">
            <v>ih</v>
          </cell>
          <cell r="I63" t="str">
            <v>ih</v>
          </cell>
          <cell r="J63" t="str">
            <v>ih</v>
          </cell>
          <cell r="K63" t="str">
            <v>ㄧㆷ</v>
          </cell>
        </row>
        <row r="64">
          <cell r="B64">
            <v>59</v>
          </cell>
          <cell r="C64">
            <v>30</v>
          </cell>
          <cell r="D64" t="str">
            <v>丩</v>
          </cell>
          <cell r="E64" t="str">
            <v>舒聲</v>
          </cell>
          <cell r="F64" t="str">
            <v>iu</v>
          </cell>
          <cell r="G64" t="str">
            <v>iu</v>
          </cell>
          <cell r="H64" t="str">
            <v>iu</v>
          </cell>
          <cell r="I64" t="str">
            <v>iu</v>
          </cell>
          <cell r="J64" t="str">
            <v>iu</v>
          </cell>
          <cell r="K64" t="str">
            <v>ㄧㄨ</v>
          </cell>
        </row>
        <row r="65">
          <cell r="B65">
            <v>60</v>
          </cell>
          <cell r="C65">
            <v>30</v>
          </cell>
          <cell r="D65" t="str">
            <v>丩</v>
          </cell>
          <cell r="E65" t="str">
            <v>入聲</v>
          </cell>
          <cell r="F65" t="str">
            <v>iuh</v>
          </cell>
          <cell r="G65" t="str">
            <v>iu?</v>
          </cell>
          <cell r="H65" t="str">
            <v>iuh</v>
          </cell>
          <cell r="I65" t="str">
            <v>iuh</v>
          </cell>
          <cell r="J65" t="str">
            <v>iuh</v>
          </cell>
          <cell r="K65" t="str">
            <v>ㄧㄨㆷ</v>
          </cell>
        </row>
        <row r="66">
          <cell r="B66">
            <v>61</v>
          </cell>
          <cell r="C66">
            <v>31</v>
          </cell>
          <cell r="D66" t="str">
            <v>更</v>
          </cell>
          <cell r="E66" t="str">
            <v>舒聲</v>
          </cell>
          <cell r="F66" t="str">
            <v>enn</v>
          </cell>
          <cell r="G66" t="str">
            <v>ẽ</v>
          </cell>
          <cell r="H66" t="str">
            <v>eⁿ</v>
          </cell>
          <cell r="I66" t="str">
            <v>enn</v>
          </cell>
          <cell r="J66" t="str">
            <v>ne</v>
          </cell>
          <cell r="K66" t="str">
            <v>ㆥ</v>
          </cell>
        </row>
        <row r="67">
          <cell r="B67">
            <v>62</v>
          </cell>
          <cell r="C67">
            <v>31</v>
          </cell>
          <cell r="D67" t="str">
            <v>更</v>
          </cell>
          <cell r="E67" t="str">
            <v>入聲</v>
          </cell>
          <cell r="F67" t="str">
            <v>ehnn</v>
          </cell>
          <cell r="G67" t="str">
            <v>ẽ?</v>
          </cell>
          <cell r="H67" t="str">
            <v>ehⁿ</v>
          </cell>
          <cell r="I67" t="str">
            <v>ennh</v>
          </cell>
          <cell r="J67" t="str">
            <v>neh</v>
          </cell>
          <cell r="K67" t="str">
            <v>ㆥㆷ</v>
          </cell>
        </row>
        <row r="68">
          <cell r="B68">
            <v>63</v>
          </cell>
          <cell r="C68">
            <v>32</v>
          </cell>
          <cell r="D68" t="str">
            <v>褌</v>
          </cell>
          <cell r="E68" t="str">
            <v>舒聲</v>
          </cell>
          <cell r="F68" t="str">
            <v>uinn</v>
          </cell>
          <cell r="G68" t="str">
            <v>ũĩ</v>
          </cell>
          <cell r="H68" t="str">
            <v>uiⁿ</v>
          </cell>
          <cell r="I68" t="str">
            <v>uinn</v>
          </cell>
          <cell r="J68" t="str">
            <v>nui</v>
          </cell>
          <cell r="K68" t="str">
            <v>ㄨㆪ</v>
          </cell>
        </row>
        <row r="69">
          <cell r="B69">
            <v>64</v>
          </cell>
          <cell r="C69">
            <v>32</v>
          </cell>
          <cell r="D69" t="str">
            <v>褌</v>
          </cell>
          <cell r="E69" t="str">
            <v>入聲</v>
          </cell>
          <cell r="F69" t="str">
            <v>uinnh</v>
          </cell>
          <cell r="G69" t="str">
            <v>ũĩ?</v>
          </cell>
          <cell r="H69" t="str">
            <v>uihⁿ</v>
          </cell>
          <cell r="I69" t="str">
            <v>uinnh</v>
          </cell>
          <cell r="J69" t="str">
            <v>nuih</v>
          </cell>
          <cell r="K69" t="str">
            <v>ㄨㆪㆷ</v>
          </cell>
        </row>
        <row r="70">
          <cell r="B70">
            <v>65</v>
          </cell>
          <cell r="C70">
            <v>33</v>
          </cell>
          <cell r="D70" t="str">
            <v>茄</v>
          </cell>
          <cell r="E70" t="str">
            <v>舒聲</v>
          </cell>
          <cell r="F70" t="str">
            <v>io</v>
          </cell>
          <cell r="G70" t="str">
            <v>io</v>
          </cell>
          <cell r="H70" t="str">
            <v>io</v>
          </cell>
          <cell r="I70" t="str">
            <v>io</v>
          </cell>
          <cell r="J70" t="str">
            <v>io</v>
          </cell>
          <cell r="K70" t="str">
            <v>ㄧㄜ</v>
          </cell>
        </row>
        <row r="71">
          <cell r="B71">
            <v>66</v>
          </cell>
          <cell r="C71">
            <v>33</v>
          </cell>
          <cell r="D71" t="str">
            <v>茄</v>
          </cell>
          <cell r="E71" t="str">
            <v>入聲</v>
          </cell>
          <cell r="F71" t="str">
            <v>ioh</v>
          </cell>
          <cell r="G71" t="str">
            <v>iə?</v>
          </cell>
          <cell r="H71" t="str">
            <v>ioh</v>
          </cell>
          <cell r="I71" t="str">
            <v>ioh</v>
          </cell>
          <cell r="J71" t="str">
            <v>ioh</v>
          </cell>
          <cell r="K71" t="str">
            <v>ㄧㄜㆷ</v>
          </cell>
        </row>
        <row r="72">
          <cell r="B72">
            <v>67</v>
          </cell>
          <cell r="C72">
            <v>34</v>
          </cell>
          <cell r="D72" t="str">
            <v>梔</v>
          </cell>
          <cell r="E72" t="str">
            <v>舒聲</v>
          </cell>
          <cell r="F72" t="str">
            <v>inn</v>
          </cell>
          <cell r="G72" t="str">
            <v>ĩ</v>
          </cell>
          <cell r="H72" t="str">
            <v>iⁿ</v>
          </cell>
          <cell r="I72" t="str">
            <v>inn</v>
          </cell>
          <cell r="J72" t="str">
            <v>ni</v>
          </cell>
          <cell r="K72" t="str">
            <v>ㆪ</v>
          </cell>
        </row>
        <row r="73">
          <cell r="B73">
            <v>68</v>
          </cell>
          <cell r="C73">
            <v>34</v>
          </cell>
          <cell r="D73" t="str">
            <v>梔</v>
          </cell>
          <cell r="E73" t="str">
            <v>入聲</v>
          </cell>
          <cell r="F73" t="str">
            <v>ihnn</v>
          </cell>
          <cell r="G73" t="str">
            <v>ĩ?</v>
          </cell>
          <cell r="H73" t="str">
            <v>iⁿh</v>
          </cell>
          <cell r="I73" t="str">
            <v>innh</v>
          </cell>
          <cell r="J73" t="str">
            <v>nih</v>
          </cell>
          <cell r="K73" t="str">
            <v>ㆪ</v>
          </cell>
        </row>
        <row r="74">
          <cell r="B74">
            <v>69</v>
          </cell>
          <cell r="C74">
            <v>35</v>
          </cell>
          <cell r="D74" t="str">
            <v>薑</v>
          </cell>
          <cell r="E74" t="str">
            <v>舒聲</v>
          </cell>
          <cell r="F74" t="str">
            <v>ionn</v>
          </cell>
          <cell r="G74" t="str">
            <v>ĩɔ̃</v>
          </cell>
          <cell r="H74" t="str">
            <v>ioⁿ</v>
          </cell>
          <cell r="I74" t="str">
            <v>ionn</v>
          </cell>
          <cell r="J74" t="str">
            <v>nioo</v>
          </cell>
          <cell r="K74" t="str">
            <v>ㄧㆧ</v>
          </cell>
        </row>
        <row r="75">
          <cell r="B75">
            <v>70</v>
          </cell>
          <cell r="C75">
            <v>35</v>
          </cell>
          <cell r="D75" t="str">
            <v>薑</v>
          </cell>
          <cell r="E75" t="str">
            <v>入聲</v>
          </cell>
          <cell r="F75" t="str">
            <v>ionnh</v>
          </cell>
          <cell r="G75" t="str">
            <v>ĩɔ̃?</v>
          </cell>
          <cell r="H75" t="str">
            <v>iohⁿ</v>
          </cell>
          <cell r="I75" t="str">
            <v>ionnh</v>
          </cell>
          <cell r="J75" t="str">
            <v>niooh</v>
          </cell>
          <cell r="K75" t="str">
            <v>ㄧㆧㆷ</v>
          </cell>
        </row>
        <row r="76">
          <cell r="B76">
            <v>71</v>
          </cell>
          <cell r="C76">
            <v>36</v>
          </cell>
          <cell r="D76" t="str">
            <v>驚</v>
          </cell>
          <cell r="E76" t="str">
            <v>舒聲</v>
          </cell>
          <cell r="F76" t="str">
            <v>iann</v>
          </cell>
          <cell r="G76" t="str">
            <v>ĩã</v>
          </cell>
          <cell r="H76" t="str">
            <v>iaⁿ</v>
          </cell>
          <cell r="I76" t="str">
            <v>iann</v>
          </cell>
          <cell r="J76" t="str">
            <v>nia</v>
          </cell>
          <cell r="K76" t="str">
            <v>ㄧㆩ</v>
          </cell>
        </row>
        <row r="77">
          <cell r="B77">
            <v>72</v>
          </cell>
          <cell r="C77">
            <v>36</v>
          </cell>
          <cell r="D77" t="str">
            <v>驚</v>
          </cell>
          <cell r="E77" t="str">
            <v>入聲</v>
          </cell>
          <cell r="F77" t="str">
            <v>iannh</v>
          </cell>
          <cell r="G77" t="str">
            <v>iãh</v>
          </cell>
          <cell r="H77" t="str">
            <v>iahⁿ</v>
          </cell>
          <cell r="I77" t="str">
            <v>iannh</v>
          </cell>
          <cell r="J77" t="str">
            <v>niah</v>
          </cell>
          <cell r="K77" t="str">
            <v>ㄧㆩㆷ</v>
          </cell>
        </row>
        <row r="78">
          <cell r="B78">
            <v>73</v>
          </cell>
          <cell r="C78">
            <v>37</v>
          </cell>
          <cell r="D78" t="str">
            <v>官</v>
          </cell>
          <cell r="E78" t="str">
            <v>舒聲</v>
          </cell>
          <cell r="F78" t="str">
            <v>oann</v>
          </cell>
          <cell r="G78" t="str">
            <v>ũã</v>
          </cell>
          <cell r="H78" t="str">
            <v>oaⁿ</v>
          </cell>
          <cell r="I78" t="str">
            <v>uann</v>
          </cell>
          <cell r="J78" t="str">
            <v>nua</v>
          </cell>
          <cell r="K78" t="str">
            <v>ㄨㆩ</v>
          </cell>
        </row>
        <row r="79">
          <cell r="B79">
            <v>74</v>
          </cell>
          <cell r="C79">
            <v>37</v>
          </cell>
          <cell r="D79" t="str">
            <v>官</v>
          </cell>
          <cell r="E79" t="str">
            <v>入聲</v>
          </cell>
          <cell r="F79" t="str">
            <v>oannh</v>
          </cell>
          <cell r="G79" t="str">
            <v>ũã?</v>
          </cell>
          <cell r="H79" t="str">
            <v>oahⁿ</v>
          </cell>
          <cell r="I79" t="str">
            <v>uannh</v>
          </cell>
          <cell r="J79" t="str">
            <v>nuah</v>
          </cell>
          <cell r="K79" t="str">
            <v>ㄨㆩㆷ</v>
          </cell>
        </row>
        <row r="80">
          <cell r="B80">
            <v>75</v>
          </cell>
          <cell r="C80">
            <v>38</v>
          </cell>
          <cell r="D80" t="str">
            <v>鋼</v>
          </cell>
          <cell r="E80" t="str">
            <v>舒聲</v>
          </cell>
          <cell r="F80" t="str">
            <v>ng</v>
          </cell>
          <cell r="G80" t="str">
            <v>ŋ̍</v>
          </cell>
          <cell r="H80" t="str">
            <v>ng</v>
          </cell>
          <cell r="I80" t="str">
            <v>ng</v>
          </cell>
          <cell r="J80" t="str">
            <v>ng</v>
          </cell>
          <cell r="K80" t="str">
            <v>ㆭ</v>
          </cell>
        </row>
        <row r="81">
          <cell r="B81">
            <v>76</v>
          </cell>
          <cell r="C81">
            <v>38</v>
          </cell>
          <cell r="D81" t="str">
            <v>鋼</v>
          </cell>
          <cell r="E81" t="str">
            <v>入聲</v>
          </cell>
          <cell r="F81" t="str">
            <v>ngh</v>
          </cell>
          <cell r="G81" t="str">
            <v>ŋ̍h</v>
          </cell>
          <cell r="H81" t="str">
            <v>ngh</v>
          </cell>
          <cell r="I81" t="str">
            <v>ngh</v>
          </cell>
          <cell r="J81" t="str">
            <v>ngh</v>
          </cell>
          <cell r="K81" t="str">
            <v>ㆭㆷ</v>
          </cell>
        </row>
        <row r="82">
          <cell r="B82">
            <v>77</v>
          </cell>
          <cell r="C82">
            <v>39</v>
          </cell>
          <cell r="D82" t="str">
            <v>伽</v>
          </cell>
          <cell r="E82" t="str">
            <v>舒聲</v>
          </cell>
          <cell r="F82" t="str">
            <v>e</v>
          </cell>
          <cell r="G82" t="str">
            <v>e</v>
          </cell>
          <cell r="H82" t="str">
            <v>e</v>
          </cell>
          <cell r="I82" t="str">
            <v>e</v>
          </cell>
          <cell r="J82" t="str">
            <v>e</v>
          </cell>
          <cell r="K82" t="str">
            <v>ㆤ</v>
          </cell>
        </row>
        <row r="83">
          <cell r="B83">
            <v>78</v>
          </cell>
          <cell r="C83">
            <v>39</v>
          </cell>
          <cell r="D83" t="str">
            <v>伽</v>
          </cell>
          <cell r="E83" t="str">
            <v>入聲</v>
          </cell>
          <cell r="F83" t="str">
            <v>eh</v>
          </cell>
          <cell r="G83" t="str">
            <v>e?</v>
          </cell>
          <cell r="H83" t="str">
            <v>eh</v>
          </cell>
          <cell r="I83" t="str">
            <v>eh</v>
          </cell>
          <cell r="J83" t="str">
            <v>eh</v>
          </cell>
          <cell r="K83" t="str">
            <v>ㆤㆷ</v>
          </cell>
        </row>
        <row r="84">
          <cell r="B84">
            <v>79</v>
          </cell>
          <cell r="C84">
            <v>40</v>
          </cell>
          <cell r="D84" t="str">
            <v>閒</v>
          </cell>
          <cell r="E84" t="str">
            <v>舒聲</v>
          </cell>
          <cell r="F84" t="str">
            <v>ainn</v>
          </cell>
          <cell r="G84" t="str">
            <v>ãĩ</v>
          </cell>
          <cell r="H84" t="str">
            <v>aiⁿ</v>
          </cell>
          <cell r="I84" t="str">
            <v>ainn</v>
          </cell>
          <cell r="J84" t="str">
            <v>nai</v>
          </cell>
          <cell r="K84" t="str">
            <v>ㆮ</v>
          </cell>
        </row>
        <row r="85">
          <cell r="B85">
            <v>80</v>
          </cell>
          <cell r="C85">
            <v>40</v>
          </cell>
          <cell r="D85" t="str">
            <v>閒</v>
          </cell>
          <cell r="E85" t="str">
            <v>入聲</v>
          </cell>
          <cell r="F85" t="str">
            <v>ainnh</v>
          </cell>
          <cell r="G85" t="str">
            <v>ãĩ?</v>
          </cell>
          <cell r="H85" t="str">
            <v>aihⁿ</v>
          </cell>
          <cell r="I85" t="str">
            <v>ainnh</v>
          </cell>
          <cell r="J85" t="str">
            <v>naih</v>
          </cell>
          <cell r="K85" t="str">
            <v>ㆮㆷ</v>
          </cell>
        </row>
        <row r="86">
          <cell r="B86">
            <v>81</v>
          </cell>
          <cell r="C86">
            <v>41</v>
          </cell>
          <cell r="D86" t="str">
            <v>姑</v>
          </cell>
          <cell r="E86" t="str">
            <v>舒聲</v>
          </cell>
          <cell r="F86" t="str">
            <v>onn</v>
          </cell>
          <cell r="G86" t="str">
            <v>ɔ̃</v>
          </cell>
          <cell r="H86" t="str">
            <v>oⁿ</v>
          </cell>
          <cell r="I86" t="str">
            <v>onn</v>
          </cell>
          <cell r="J86" t="str">
            <v>noo</v>
          </cell>
          <cell r="K86" t="str">
            <v>ㆧ</v>
          </cell>
        </row>
        <row r="87">
          <cell r="B87">
            <v>82</v>
          </cell>
          <cell r="C87">
            <v>41</v>
          </cell>
          <cell r="D87" t="str">
            <v>姑</v>
          </cell>
          <cell r="E87" t="str">
            <v>入聲</v>
          </cell>
          <cell r="F87" t="str">
            <v>onnh</v>
          </cell>
          <cell r="G87" t="str">
            <v>ɔ̃?</v>
          </cell>
          <cell r="H87" t="str">
            <v>ohⁿ</v>
          </cell>
          <cell r="I87" t="str">
            <v>onnh</v>
          </cell>
          <cell r="J87" t="str">
            <v>nooh</v>
          </cell>
          <cell r="K87" t="str">
            <v>ㆧㆷ</v>
          </cell>
        </row>
        <row r="88">
          <cell r="B88">
            <v>83</v>
          </cell>
          <cell r="C88">
            <v>42</v>
          </cell>
          <cell r="D88" t="str">
            <v>姆</v>
          </cell>
          <cell r="E88" t="str">
            <v>舒聲</v>
          </cell>
          <cell r="F88" t="str">
            <v>m</v>
          </cell>
          <cell r="G88" t="str">
            <v>m̩</v>
          </cell>
          <cell r="H88" t="str">
            <v>m</v>
          </cell>
          <cell r="I88" t="str">
            <v>m</v>
          </cell>
          <cell r="J88" t="str">
            <v>m</v>
          </cell>
          <cell r="K88" t="str">
            <v>ㆬ</v>
          </cell>
        </row>
        <row r="89">
          <cell r="B89">
            <v>84</v>
          </cell>
          <cell r="C89">
            <v>42</v>
          </cell>
          <cell r="D89" t="str">
            <v>姆</v>
          </cell>
          <cell r="E89" t="str">
            <v>入聲</v>
          </cell>
          <cell r="F89" t="str">
            <v>mh</v>
          </cell>
          <cell r="G89" t="str">
            <v>m̩h</v>
          </cell>
          <cell r="H89" t="str">
            <v>mh</v>
          </cell>
          <cell r="I89" t="str">
            <v>mh</v>
          </cell>
          <cell r="J89" t="str">
            <v>mh</v>
          </cell>
          <cell r="K89" t="str">
            <v>ㆬㆷ</v>
          </cell>
        </row>
        <row r="90">
          <cell r="B90">
            <v>85</v>
          </cell>
          <cell r="C90">
            <v>43</v>
          </cell>
          <cell r="D90" t="str">
            <v>光</v>
          </cell>
          <cell r="E90" t="str">
            <v>舒聲</v>
          </cell>
          <cell r="F90" t="str">
            <v>oang</v>
          </cell>
          <cell r="G90" t="str">
            <v>uaŋ</v>
          </cell>
          <cell r="H90" t="str">
            <v>oang</v>
          </cell>
          <cell r="I90" t="str">
            <v>uang</v>
          </cell>
          <cell r="J90" t="str">
            <v>uang</v>
          </cell>
          <cell r="K90" t="str">
            <v>ㄨㄤ</v>
          </cell>
        </row>
        <row r="91">
          <cell r="B91">
            <v>86</v>
          </cell>
          <cell r="C91">
            <v>43</v>
          </cell>
          <cell r="D91" t="str">
            <v>光</v>
          </cell>
          <cell r="E91" t="str">
            <v>入聲</v>
          </cell>
          <cell r="F91" t="str">
            <v>oak</v>
          </cell>
          <cell r="G91" t="str">
            <v>uak̚</v>
          </cell>
          <cell r="H91" t="str">
            <v>oak</v>
          </cell>
          <cell r="I91" t="str">
            <v>uak</v>
          </cell>
          <cell r="J91" t="str">
            <v>uak</v>
          </cell>
          <cell r="K91" t="str">
            <v>ㄨㄚㆻ</v>
          </cell>
        </row>
        <row r="92">
          <cell r="B92">
            <v>87</v>
          </cell>
          <cell r="C92">
            <v>44</v>
          </cell>
          <cell r="D92" t="str">
            <v>閂</v>
          </cell>
          <cell r="E92" t="str">
            <v>舒聲</v>
          </cell>
          <cell r="F92" t="str">
            <v>oainn</v>
          </cell>
          <cell r="G92" t="str">
            <v>ũãĩ</v>
          </cell>
          <cell r="H92" t="str">
            <v>oaiⁿ</v>
          </cell>
          <cell r="I92" t="str">
            <v>uainn</v>
          </cell>
          <cell r="J92" t="str">
            <v>nuai</v>
          </cell>
          <cell r="K92" t="str">
            <v>ㄨㆮ</v>
          </cell>
        </row>
        <row r="93">
          <cell r="B93">
            <v>88</v>
          </cell>
          <cell r="C93">
            <v>44</v>
          </cell>
          <cell r="D93" t="str">
            <v>閂</v>
          </cell>
          <cell r="E93" t="str">
            <v>入聲</v>
          </cell>
          <cell r="F93" t="str">
            <v>oaihnn</v>
          </cell>
          <cell r="G93" t="str">
            <v>uãĩ?</v>
          </cell>
          <cell r="H93" t="str">
            <v>oaiⁿh</v>
          </cell>
          <cell r="I93" t="str">
            <v>uainnh</v>
          </cell>
          <cell r="J93" t="str">
            <v>nuaih</v>
          </cell>
          <cell r="K93" t="str">
            <v>ㄨㆮㆷ</v>
          </cell>
        </row>
        <row r="94">
          <cell r="B94">
            <v>89</v>
          </cell>
          <cell r="C94">
            <v>45</v>
          </cell>
          <cell r="D94" t="str">
            <v>糜</v>
          </cell>
          <cell r="E94" t="str">
            <v>舒聲</v>
          </cell>
          <cell r="F94" t="str">
            <v>oenn</v>
          </cell>
          <cell r="G94" t="str">
            <v>ũẽ</v>
          </cell>
          <cell r="H94" t="str">
            <v>oeⁿ</v>
          </cell>
          <cell r="I94" t="str">
            <v>uenn</v>
          </cell>
          <cell r="J94" t="str">
            <v>nue</v>
          </cell>
          <cell r="K94" t="str">
            <v>ㄨㆥ</v>
          </cell>
        </row>
        <row r="95">
          <cell r="B95">
            <v>90</v>
          </cell>
          <cell r="C95">
            <v>45</v>
          </cell>
          <cell r="D95" t="str">
            <v>糜</v>
          </cell>
          <cell r="E95" t="str">
            <v>入聲</v>
          </cell>
          <cell r="F95" t="str">
            <v>oennh</v>
          </cell>
          <cell r="G95" t="str">
            <v>ũẽ?</v>
          </cell>
          <cell r="H95" t="str">
            <v>oehⁿ</v>
          </cell>
          <cell r="I95" t="str">
            <v>uennh</v>
          </cell>
          <cell r="J95" t="str">
            <v>nueh</v>
          </cell>
          <cell r="K95" t="str">
            <v>ㄨㆥㆷ</v>
          </cell>
        </row>
        <row r="96">
          <cell r="B96">
            <v>91</v>
          </cell>
          <cell r="C96">
            <v>46</v>
          </cell>
          <cell r="D96" t="str">
            <v>嘄</v>
          </cell>
          <cell r="E96" t="str">
            <v>舒聲</v>
          </cell>
          <cell r="F96" t="str">
            <v>iaunn</v>
          </cell>
          <cell r="G96" t="str">
            <v>ĩãũ</v>
          </cell>
          <cell r="H96" t="str">
            <v>iauⁿ</v>
          </cell>
          <cell r="I96" t="str">
            <v>iaunn</v>
          </cell>
          <cell r="J96" t="str">
            <v>niao</v>
          </cell>
          <cell r="K96" t="str">
            <v>ㄧㆯ</v>
          </cell>
        </row>
        <row r="97">
          <cell r="B97">
            <v>92</v>
          </cell>
          <cell r="C97">
            <v>46</v>
          </cell>
          <cell r="D97" t="str">
            <v>嘄</v>
          </cell>
          <cell r="E97" t="str">
            <v>入聲</v>
          </cell>
          <cell r="F97" t="str">
            <v>iauhnn</v>
          </cell>
          <cell r="G97" t="str">
            <v>ĩãũ?</v>
          </cell>
          <cell r="H97" t="str">
            <v>iauⁿh</v>
          </cell>
          <cell r="I97" t="str">
            <v>iaunnh</v>
          </cell>
          <cell r="J97" t="str">
            <v>niaoh</v>
          </cell>
          <cell r="K97" t="str">
            <v>ㄧㆯㆷ</v>
          </cell>
        </row>
        <row r="98">
          <cell r="B98">
            <v>93</v>
          </cell>
          <cell r="C98">
            <v>47</v>
          </cell>
          <cell r="D98" t="str">
            <v>箴</v>
          </cell>
          <cell r="E98" t="str">
            <v>舒聲</v>
          </cell>
          <cell r="F98" t="str">
            <v>om</v>
          </cell>
          <cell r="G98" t="str">
            <v>ɔm</v>
          </cell>
          <cell r="H98" t="str">
            <v>om</v>
          </cell>
          <cell r="I98" t="str">
            <v>om</v>
          </cell>
          <cell r="J98" t="str">
            <v>om</v>
          </cell>
          <cell r="K98" t="str">
            <v>ㆱ</v>
          </cell>
        </row>
        <row r="99">
          <cell r="B99">
            <v>94</v>
          </cell>
          <cell r="C99">
            <v>47</v>
          </cell>
          <cell r="D99" t="str">
            <v>箴</v>
          </cell>
          <cell r="E99" t="str">
            <v>入聲</v>
          </cell>
          <cell r="F99" t="str">
            <v>op</v>
          </cell>
          <cell r="G99" t="str">
            <v>ɔp̚</v>
          </cell>
          <cell r="H99" t="str">
            <v>op</v>
          </cell>
          <cell r="I99" t="str">
            <v>op</v>
          </cell>
          <cell r="J99" t="str">
            <v>op</v>
          </cell>
          <cell r="K99" t="str">
            <v>ㆦㆴ</v>
          </cell>
        </row>
        <row r="100">
          <cell r="B100">
            <v>95</v>
          </cell>
          <cell r="C100">
            <v>48</v>
          </cell>
          <cell r="D100" t="str">
            <v>爻</v>
          </cell>
          <cell r="E100" t="str">
            <v>舒聲</v>
          </cell>
          <cell r="F100" t="str">
            <v>aunn</v>
          </cell>
          <cell r="G100" t="str">
            <v>ãũ</v>
          </cell>
          <cell r="H100" t="str">
            <v>auⁿ</v>
          </cell>
          <cell r="I100" t="str">
            <v>aunn</v>
          </cell>
          <cell r="J100" t="str">
            <v>nao</v>
          </cell>
          <cell r="K100" t="str">
            <v>ㆯ</v>
          </cell>
        </row>
        <row r="101">
          <cell r="B101">
            <v>96</v>
          </cell>
          <cell r="C101">
            <v>48</v>
          </cell>
          <cell r="D101" t="str">
            <v>爻</v>
          </cell>
          <cell r="E101" t="str">
            <v>入聲</v>
          </cell>
          <cell r="F101" t="str">
            <v>aunnh</v>
          </cell>
          <cell r="G101" t="str">
            <v>ãũ?</v>
          </cell>
          <cell r="H101" t="str">
            <v>auhⁿ</v>
          </cell>
          <cell r="I101" t="str">
            <v>aunnh</v>
          </cell>
          <cell r="J101" t="str">
            <v>naoh</v>
          </cell>
          <cell r="K101" t="str">
            <v>ㆯㆷ</v>
          </cell>
        </row>
        <row r="102">
          <cell r="B102">
            <v>97</v>
          </cell>
          <cell r="C102">
            <v>49</v>
          </cell>
          <cell r="D102" t="str">
            <v>扛</v>
          </cell>
          <cell r="E102" t="str">
            <v>舒聲</v>
          </cell>
          <cell r="F102" t="str">
            <v>onn</v>
          </cell>
          <cell r="G102" t="str">
            <v>õ</v>
          </cell>
          <cell r="H102" t="str">
            <v>oⁿ</v>
          </cell>
          <cell r="I102" t="str">
            <v>onn</v>
          </cell>
          <cell r="J102" t="str">
            <v>no</v>
          </cell>
          <cell r="K102" t="str">
            <v>ㆧ</v>
          </cell>
        </row>
        <row r="103">
          <cell r="B103">
            <v>98</v>
          </cell>
          <cell r="C103">
            <v>49</v>
          </cell>
          <cell r="D103" t="str">
            <v>扛</v>
          </cell>
          <cell r="E103" t="str">
            <v>入聲</v>
          </cell>
          <cell r="F103" t="str">
            <v>ohnn</v>
          </cell>
          <cell r="G103" t="str">
            <v>õh</v>
          </cell>
          <cell r="H103" t="str">
            <v>ohⁿ</v>
          </cell>
          <cell r="I103" t="str">
            <v>onnh</v>
          </cell>
          <cell r="J103" t="str">
            <v>noh</v>
          </cell>
          <cell r="K103" t="str">
            <v>ㆧㆷ</v>
          </cell>
        </row>
        <row r="104">
          <cell r="B104">
            <v>99</v>
          </cell>
          <cell r="C104">
            <v>50</v>
          </cell>
          <cell r="D104" t="str">
            <v>牛</v>
          </cell>
          <cell r="E104" t="str">
            <v>舒聲</v>
          </cell>
          <cell r="F104" t="str">
            <v>iunn</v>
          </cell>
          <cell r="G104" t="str">
            <v>ĩũ</v>
          </cell>
          <cell r="H104" t="str">
            <v>iuⁿ</v>
          </cell>
          <cell r="I104" t="str">
            <v>iunn</v>
          </cell>
          <cell r="J104" t="str">
            <v>niu</v>
          </cell>
          <cell r="K104" t="str">
            <v>ㄧㆫ</v>
          </cell>
        </row>
        <row r="105">
          <cell r="B105">
            <v>100</v>
          </cell>
          <cell r="C105">
            <v>50</v>
          </cell>
          <cell r="D105" t="str">
            <v>牛</v>
          </cell>
          <cell r="E105" t="str">
            <v>入聲</v>
          </cell>
          <cell r="F105" t="str">
            <v>iunnh</v>
          </cell>
          <cell r="G105" t="str">
            <v>iũh</v>
          </cell>
          <cell r="H105" t="str">
            <v>iuhⁿ</v>
          </cell>
          <cell r="I105" t="str">
            <v>iunnh</v>
          </cell>
          <cell r="J105" t="str">
            <v>niuh</v>
          </cell>
          <cell r="K105" t="str">
            <v>ㄧㆫㆷ</v>
          </cell>
        </row>
      </sheetData>
      <sheetData sheetId="17">
        <row r="5">
          <cell r="B5">
            <v>1</v>
          </cell>
          <cell r="C5" t="str">
            <v>君</v>
          </cell>
          <cell r="D5" t="str">
            <v>un</v>
          </cell>
          <cell r="E5" t="str">
            <v>ut</v>
          </cell>
          <cell r="F5" t="str">
            <v>un</v>
          </cell>
          <cell r="G5" t="str">
            <v>ut̚</v>
          </cell>
          <cell r="H5" t="str">
            <v>un</v>
          </cell>
          <cell r="I5" t="str">
            <v>ut</v>
          </cell>
          <cell r="J5" t="str">
            <v>un</v>
          </cell>
          <cell r="K5" t="str">
            <v>ut</v>
          </cell>
          <cell r="L5" t="str">
            <v>un</v>
          </cell>
          <cell r="M5" t="str">
            <v>ut</v>
          </cell>
          <cell r="N5" t="str">
            <v>ㄨㄣ</v>
          </cell>
          <cell r="O5" t="str">
            <v>ㄨㆵ</v>
          </cell>
          <cell r="P5" t="str">
            <v>wun</v>
          </cell>
          <cell r="Q5" t="str">
            <v>wut</v>
          </cell>
        </row>
        <row r="6">
          <cell r="B6">
            <v>2</v>
          </cell>
          <cell r="C6" t="str">
            <v>堅</v>
          </cell>
          <cell r="D6" t="str">
            <v>ian</v>
          </cell>
          <cell r="E6" t="str">
            <v>iat</v>
          </cell>
          <cell r="F6" t="str">
            <v>ian</v>
          </cell>
          <cell r="G6" t="str">
            <v>iat̚</v>
          </cell>
          <cell r="H6" t="str">
            <v>ian</v>
          </cell>
          <cell r="I6" t="str">
            <v>iat</v>
          </cell>
          <cell r="J6" t="str">
            <v>ian</v>
          </cell>
          <cell r="K6" t="str">
            <v>iat</v>
          </cell>
          <cell r="L6" t="str">
            <v>ian</v>
          </cell>
          <cell r="M6" t="str">
            <v>iat</v>
          </cell>
          <cell r="N6" t="str">
            <v>ㄧㄢ</v>
          </cell>
          <cell r="O6" t="str">
            <v>ㄧㄚㆵ</v>
          </cell>
          <cell r="P6" t="str">
            <v>ëen</v>
          </cell>
          <cell r="Q6" t="str">
            <v>ëet</v>
          </cell>
        </row>
        <row r="7">
          <cell r="B7">
            <v>3</v>
          </cell>
          <cell r="C7" t="str">
            <v>金</v>
          </cell>
          <cell r="D7" t="str">
            <v>im</v>
          </cell>
          <cell r="E7" t="str">
            <v>ip</v>
          </cell>
          <cell r="F7" t="str">
            <v>im</v>
          </cell>
          <cell r="G7" t="str">
            <v>ip̚</v>
          </cell>
          <cell r="H7" t="str">
            <v>im</v>
          </cell>
          <cell r="I7" t="str">
            <v>ip</v>
          </cell>
          <cell r="J7" t="str">
            <v>im</v>
          </cell>
          <cell r="K7" t="str">
            <v>ip</v>
          </cell>
          <cell r="L7" t="str">
            <v>im</v>
          </cell>
          <cell r="M7" t="str">
            <v>ip</v>
          </cell>
          <cell r="N7" t="str">
            <v>ㄧㆬ</v>
          </cell>
          <cell r="O7" t="str">
            <v>ㄧㆴ</v>
          </cell>
          <cell r="P7" t="str">
            <v>im</v>
          </cell>
          <cell r="Q7" t="str">
            <v>ip</v>
          </cell>
        </row>
        <row r="8">
          <cell r="B8">
            <v>4</v>
          </cell>
          <cell r="C8" t="str">
            <v>規</v>
          </cell>
          <cell r="D8" t="str">
            <v>ui</v>
          </cell>
          <cell r="E8" t="str">
            <v>uih</v>
          </cell>
          <cell r="F8" t="str">
            <v>ui</v>
          </cell>
          <cell r="G8" t="str">
            <v>ui?</v>
          </cell>
          <cell r="H8" t="str">
            <v>ui</v>
          </cell>
          <cell r="I8" t="str">
            <v>uih</v>
          </cell>
          <cell r="J8" t="str">
            <v>ui</v>
          </cell>
          <cell r="K8" t="str">
            <v>uih</v>
          </cell>
          <cell r="L8" t="str">
            <v>ui</v>
          </cell>
          <cell r="M8" t="str">
            <v>uih</v>
          </cell>
          <cell r="N8" t="str">
            <v>ㄨㄧ</v>
          </cell>
          <cell r="O8" t="str">
            <v>ㄨㄧㆷ</v>
          </cell>
          <cell r="P8" t="str">
            <v>wuy</v>
          </cell>
        </row>
        <row r="9">
          <cell r="B9">
            <v>5</v>
          </cell>
          <cell r="C9" t="str">
            <v>嘉</v>
          </cell>
          <cell r="D9" t="str">
            <v>ee</v>
          </cell>
          <cell r="E9" t="str">
            <v>eeh</v>
          </cell>
          <cell r="F9" t="str">
            <v>ɛ</v>
          </cell>
          <cell r="G9" t="str">
            <v>ɛ?</v>
          </cell>
          <cell r="H9" t="str">
            <v>ee</v>
          </cell>
          <cell r="I9" t="str">
            <v>eeh</v>
          </cell>
          <cell r="J9" t="str">
            <v>ee</v>
          </cell>
          <cell r="K9" t="str">
            <v>eh</v>
          </cell>
          <cell r="L9" t="str">
            <v>e</v>
          </cell>
          <cell r="M9" t="str">
            <v>eh</v>
          </cell>
          <cell r="N9" t="str">
            <v>ㄝ</v>
          </cell>
          <cell r="O9" t="str">
            <v>ㄝㆷ</v>
          </cell>
          <cell r="P9" t="str">
            <v>ay</v>
          </cell>
          <cell r="Q9" t="str">
            <v>ăyh</v>
          </cell>
          <cell r="R9" t="str">
            <v>彙音【嘉】韻母為：e</v>
          </cell>
        </row>
        <row r="10">
          <cell r="B10">
            <v>6</v>
          </cell>
          <cell r="C10" t="str">
            <v>干</v>
          </cell>
          <cell r="D10" t="str">
            <v>an</v>
          </cell>
          <cell r="E10" t="str">
            <v>at</v>
          </cell>
          <cell r="F10" t="str">
            <v>an</v>
          </cell>
          <cell r="G10" t="str">
            <v>at̚</v>
          </cell>
          <cell r="H10" t="str">
            <v>an</v>
          </cell>
          <cell r="I10" t="str">
            <v>at</v>
          </cell>
          <cell r="J10" t="str">
            <v>an</v>
          </cell>
          <cell r="K10" t="str">
            <v>ap</v>
          </cell>
          <cell r="L10" t="str">
            <v>an</v>
          </cell>
          <cell r="M10" t="str">
            <v>at</v>
          </cell>
          <cell r="N10" t="str">
            <v>ㄢ</v>
          </cell>
          <cell r="O10" t="str">
            <v>ㄚㆵ</v>
          </cell>
          <cell r="P10" t="str">
            <v>an</v>
          </cell>
          <cell r="Q10" t="str">
            <v>at</v>
          </cell>
        </row>
        <row r="11">
          <cell r="B11">
            <v>7</v>
          </cell>
          <cell r="C11" t="str">
            <v>公</v>
          </cell>
          <cell r="D11" t="str">
            <v>ong</v>
          </cell>
          <cell r="E11" t="str">
            <v>ok</v>
          </cell>
          <cell r="F11" t="str">
            <v>ɔŋ</v>
          </cell>
          <cell r="G11" t="str">
            <v>ɔk̚</v>
          </cell>
          <cell r="H11" t="str">
            <v>ong</v>
          </cell>
          <cell r="I11" t="str">
            <v>ok</v>
          </cell>
          <cell r="J11" t="str">
            <v>ong</v>
          </cell>
          <cell r="K11" t="str">
            <v>ok</v>
          </cell>
          <cell r="L11" t="str">
            <v>ong</v>
          </cell>
          <cell r="M11" t="str">
            <v>ok</v>
          </cell>
          <cell r="N11" t="str">
            <v>ㆲ</v>
          </cell>
          <cell r="O11" t="str">
            <v>ㆦㆻ</v>
          </cell>
          <cell r="P11" t="str">
            <v>ong</v>
          </cell>
          <cell r="Q11" t="str">
            <v>ok</v>
          </cell>
        </row>
        <row r="12">
          <cell r="B12">
            <v>8</v>
          </cell>
          <cell r="C12" t="str">
            <v>乖</v>
          </cell>
          <cell r="D12" t="str">
            <v>oai</v>
          </cell>
          <cell r="E12" t="str">
            <v>oaih</v>
          </cell>
          <cell r="F12" t="str">
            <v>uai</v>
          </cell>
          <cell r="G12" t="str">
            <v>uai?</v>
          </cell>
          <cell r="H12" t="str">
            <v>oai</v>
          </cell>
          <cell r="I12" t="str">
            <v>oaih</v>
          </cell>
          <cell r="J12" t="str">
            <v>uai</v>
          </cell>
          <cell r="K12" t="str">
            <v>uaih</v>
          </cell>
          <cell r="L12" t="str">
            <v>uai</v>
          </cell>
          <cell r="M12" t="str">
            <v>uaih</v>
          </cell>
          <cell r="N12" t="str">
            <v>ㄨㄞ</v>
          </cell>
          <cell r="O12" t="str">
            <v>ㄨㄞㆷ</v>
          </cell>
          <cell r="P12" t="str">
            <v>wae</v>
          </cell>
          <cell r="Q12" t="str">
            <v>waĕh</v>
          </cell>
        </row>
        <row r="13">
          <cell r="B13">
            <v>9</v>
          </cell>
          <cell r="C13" t="str">
            <v>經</v>
          </cell>
          <cell r="D13" t="str">
            <v>eng</v>
          </cell>
          <cell r="E13" t="str">
            <v>ek</v>
          </cell>
          <cell r="F13" t="str">
            <v>ɪŋ</v>
          </cell>
          <cell r="G13" t="str">
            <v>ik̚</v>
          </cell>
          <cell r="H13" t="str">
            <v>eng</v>
          </cell>
          <cell r="I13" t="str">
            <v>ek</v>
          </cell>
          <cell r="J13" t="str">
            <v>ing</v>
          </cell>
          <cell r="K13" t="str">
            <v>ik</v>
          </cell>
          <cell r="L13" t="str">
            <v>ing</v>
          </cell>
          <cell r="M13" t="str">
            <v>ik</v>
          </cell>
          <cell r="N13" t="str">
            <v>ㄧㄥ</v>
          </cell>
          <cell r="O13" t="str">
            <v>ㄧㆻ</v>
          </cell>
          <cell r="P13" t="str">
            <v>eng</v>
          </cell>
          <cell r="Q13" t="str">
            <v>ek</v>
          </cell>
        </row>
        <row r="14">
          <cell r="B14">
            <v>10</v>
          </cell>
          <cell r="C14" t="str">
            <v>觀</v>
          </cell>
          <cell r="D14" t="str">
            <v>oan</v>
          </cell>
          <cell r="E14" t="str">
            <v>oat</v>
          </cell>
          <cell r="F14" t="str">
            <v>uan</v>
          </cell>
          <cell r="G14" t="str">
            <v>uat̚</v>
          </cell>
          <cell r="H14" t="str">
            <v>oan</v>
          </cell>
          <cell r="I14" t="str">
            <v>oat</v>
          </cell>
          <cell r="J14" t="str">
            <v>uan</v>
          </cell>
          <cell r="K14" t="str">
            <v>uat</v>
          </cell>
          <cell r="L14" t="str">
            <v>uan</v>
          </cell>
          <cell r="M14" t="str">
            <v>uat</v>
          </cell>
          <cell r="N14" t="str">
            <v>ㄨㄢ</v>
          </cell>
          <cell r="O14" t="str">
            <v>ㄨㄚㆵ</v>
          </cell>
          <cell r="P14" t="str">
            <v>wan</v>
          </cell>
          <cell r="Q14" t="str">
            <v>wat</v>
          </cell>
        </row>
        <row r="15">
          <cell r="B15">
            <v>11</v>
          </cell>
          <cell r="C15" t="str">
            <v>沽</v>
          </cell>
          <cell r="D15" t="str">
            <v>oo</v>
          </cell>
          <cell r="E15" t="str">
            <v>ooh</v>
          </cell>
          <cell r="F15" t="str">
            <v>ɔ</v>
          </cell>
          <cell r="G15" t="str">
            <v>ɔu?</v>
          </cell>
          <cell r="H15" t="str">
            <v>o͘</v>
          </cell>
          <cell r="I15" t="str">
            <v>o͘h</v>
          </cell>
          <cell r="J15" t="str">
            <v>oo</v>
          </cell>
          <cell r="K15" t="str">
            <v>ooh</v>
          </cell>
          <cell r="L15" t="str">
            <v>oo</v>
          </cell>
          <cell r="M15" t="str">
            <v>ooh</v>
          </cell>
          <cell r="N15" t="str">
            <v>ㆦ</v>
          </cell>
          <cell r="O15" t="str">
            <v>ㆦㆷ</v>
          </cell>
          <cell r="P15" t="str">
            <v>oe</v>
          </cell>
          <cell r="R15" t="str">
            <v>白話字的/ɔ/ [o͘] 有時寫成[ou]，因為[o͘]右上角的那點不易見。台羅 oo = ou</v>
          </cell>
        </row>
        <row r="16">
          <cell r="B16">
            <v>12</v>
          </cell>
          <cell r="C16" t="str">
            <v>嬌</v>
          </cell>
          <cell r="D16" t="str">
            <v>iau</v>
          </cell>
          <cell r="E16" t="str">
            <v>iauh</v>
          </cell>
          <cell r="F16" t="str">
            <v>iaʊ</v>
          </cell>
          <cell r="G16" t="str">
            <v>iau?</v>
          </cell>
          <cell r="H16" t="str">
            <v>iau</v>
          </cell>
          <cell r="I16" t="str">
            <v>iauh</v>
          </cell>
          <cell r="J16" t="str">
            <v>iau</v>
          </cell>
          <cell r="K16" t="str">
            <v>iauh</v>
          </cell>
          <cell r="L16" t="str">
            <v>iao</v>
          </cell>
          <cell r="M16" t="str">
            <v>iaoh</v>
          </cell>
          <cell r="N16" t="str">
            <v>ㄧㄠ</v>
          </cell>
          <cell r="O16" t="str">
            <v>ㄧㄠㆷ</v>
          </cell>
          <cell r="P16" t="str">
            <v>eaou</v>
          </cell>
          <cell r="Q16" t="str">
            <v>eaoŭh</v>
          </cell>
        </row>
        <row r="17">
          <cell r="B17">
            <v>13</v>
          </cell>
          <cell r="C17" t="str">
            <v>稽</v>
          </cell>
          <cell r="D17" t="str">
            <v>ei</v>
          </cell>
          <cell r="E17" t="str">
            <v>eih</v>
          </cell>
          <cell r="F17" t="str">
            <v>ei</v>
          </cell>
          <cell r="G17" t="str">
            <v>ei?</v>
          </cell>
          <cell r="H17" t="str">
            <v>ei</v>
          </cell>
          <cell r="I17" t="str">
            <v>eih</v>
          </cell>
          <cell r="J17" t="str">
            <v>e</v>
          </cell>
          <cell r="K17" t="str">
            <v>eh</v>
          </cell>
          <cell r="L17" t="str">
            <v>e</v>
          </cell>
          <cell r="M17" t="str">
            <v>eh</v>
          </cell>
          <cell r="N17" t="str">
            <v>ㄟ</v>
          </cell>
          <cell r="O17" t="str">
            <v>ㄟㆷ</v>
          </cell>
          <cell r="P17" t="str">
            <v>ey</v>
          </cell>
          <cell r="R17" t="str">
            <v>啼：【雅俗通】Thei2 (他稽下平）；【台羅】The5</v>
          </cell>
        </row>
        <row r="18">
          <cell r="B18">
            <v>14</v>
          </cell>
          <cell r="C18" t="str">
            <v>恭</v>
          </cell>
          <cell r="D18" t="str">
            <v>iong</v>
          </cell>
          <cell r="E18" t="str">
            <v>iok</v>
          </cell>
          <cell r="F18" t="str">
            <v>iɔŋ</v>
          </cell>
          <cell r="G18" t="str">
            <v>iɔk̚</v>
          </cell>
          <cell r="H18" t="str">
            <v>iong</v>
          </cell>
          <cell r="I18" t="str">
            <v>iok</v>
          </cell>
          <cell r="J18" t="str">
            <v>iong</v>
          </cell>
          <cell r="K18" t="str">
            <v>iok</v>
          </cell>
          <cell r="L18" t="str">
            <v>iong</v>
          </cell>
          <cell r="M18" t="str">
            <v>iok</v>
          </cell>
          <cell r="N18" t="str">
            <v>ㄧㆲ</v>
          </cell>
          <cell r="O18" t="str">
            <v>ㄧㆦㆻ</v>
          </cell>
          <cell r="P18" t="str">
            <v>ëung</v>
          </cell>
          <cell r="Q18" t="str">
            <v>ëuk</v>
          </cell>
        </row>
        <row r="19">
          <cell r="B19">
            <v>15</v>
          </cell>
          <cell r="C19" t="str">
            <v>高</v>
          </cell>
          <cell r="D19" t="str">
            <v>o</v>
          </cell>
          <cell r="E19" t="str">
            <v>oh</v>
          </cell>
          <cell r="F19" t="str">
            <v>o</v>
          </cell>
          <cell r="G19" t="str">
            <v>ə?</v>
          </cell>
          <cell r="H19" t="str">
            <v>o</v>
          </cell>
          <cell r="I19" t="str">
            <v>oh</v>
          </cell>
          <cell r="J19" t="str">
            <v>o</v>
          </cell>
          <cell r="K19" t="str">
            <v>oh</v>
          </cell>
          <cell r="L19" t="str">
            <v>o</v>
          </cell>
          <cell r="M19" t="str">
            <v>oh</v>
          </cell>
          <cell r="N19" t="str">
            <v>ㄜ</v>
          </cell>
          <cell r="O19" t="str">
            <v>ㄜㆷ</v>
          </cell>
          <cell r="P19" t="str">
            <v>o</v>
          </cell>
          <cell r="Q19" t="str">
            <v>ŏh</v>
          </cell>
        </row>
        <row r="20">
          <cell r="B20">
            <v>16</v>
          </cell>
          <cell r="C20" t="str">
            <v>皆</v>
          </cell>
          <cell r="D20" t="str">
            <v>ai</v>
          </cell>
          <cell r="E20" t="str">
            <v>aih</v>
          </cell>
          <cell r="F20" t="str">
            <v>ai</v>
          </cell>
          <cell r="G20" t="str">
            <v>ai?</v>
          </cell>
          <cell r="H20" t="str">
            <v>ai</v>
          </cell>
          <cell r="I20" t="str">
            <v>aih</v>
          </cell>
          <cell r="J20" t="str">
            <v>ai</v>
          </cell>
          <cell r="K20" t="str">
            <v>aih</v>
          </cell>
          <cell r="L20" t="str">
            <v>ai</v>
          </cell>
          <cell r="M20" t="str">
            <v>aih</v>
          </cell>
          <cell r="N20" t="str">
            <v>ㄞ</v>
          </cell>
          <cell r="O20" t="str">
            <v>ㄞㆷ</v>
          </cell>
          <cell r="P20" t="str">
            <v>ae</v>
          </cell>
        </row>
        <row r="21">
          <cell r="B21">
            <v>17</v>
          </cell>
          <cell r="C21" t="str">
            <v>巾</v>
          </cell>
          <cell r="D21" t="str">
            <v>in</v>
          </cell>
          <cell r="E21" t="str">
            <v>it</v>
          </cell>
          <cell r="F21" t="str">
            <v>in</v>
          </cell>
          <cell r="G21" t="str">
            <v>it̚</v>
          </cell>
          <cell r="H21" t="str">
            <v>in</v>
          </cell>
          <cell r="I21" t="str">
            <v>it</v>
          </cell>
          <cell r="J21" t="str">
            <v>in</v>
          </cell>
          <cell r="K21" t="str">
            <v>it</v>
          </cell>
          <cell r="L21" t="str">
            <v>in</v>
          </cell>
          <cell r="M21" t="str">
            <v>it</v>
          </cell>
          <cell r="N21" t="str">
            <v>ㄧㄣ</v>
          </cell>
          <cell r="O21" t="str">
            <v>ㄧㆵ</v>
          </cell>
          <cell r="P21" t="str">
            <v>in</v>
          </cell>
          <cell r="Q21" t="str">
            <v>it</v>
          </cell>
        </row>
        <row r="22">
          <cell r="B22">
            <v>18</v>
          </cell>
          <cell r="C22" t="str">
            <v>姜</v>
          </cell>
          <cell r="D22" t="str">
            <v>iang</v>
          </cell>
          <cell r="E22" t="str">
            <v>iak</v>
          </cell>
          <cell r="F22" t="str">
            <v>iaŋ</v>
          </cell>
          <cell r="G22" t="str">
            <v>iak̚</v>
          </cell>
          <cell r="H22" t="str">
            <v>iang</v>
          </cell>
          <cell r="I22" t="str">
            <v>iak</v>
          </cell>
          <cell r="J22" t="str">
            <v>iang</v>
          </cell>
          <cell r="K22" t="str">
            <v>iak</v>
          </cell>
          <cell r="L22" t="str">
            <v>iang</v>
          </cell>
          <cell r="M22" t="str">
            <v>iak</v>
          </cell>
          <cell r="N22" t="str">
            <v>ㄧㄤ</v>
          </cell>
          <cell r="O22" t="str">
            <v>ㄧㄚㆻ</v>
          </cell>
          <cell r="P22" t="str">
            <v>ëang</v>
          </cell>
          <cell r="Q22" t="str">
            <v>ëak</v>
          </cell>
        </row>
        <row r="23">
          <cell r="B23">
            <v>19</v>
          </cell>
          <cell r="C23" t="str">
            <v>甘</v>
          </cell>
          <cell r="D23" t="str">
            <v>am</v>
          </cell>
          <cell r="E23" t="str">
            <v>ap</v>
          </cell>
          <cell r="F23" t="str">
            <v>am</v>
          </cell>
          <cell r="G23" t="str">
            <v>ap̚</v>
          </cell>
          <cell r="H23" t="str">
            <v>am</v>
          </cell>
          <cell r="I23" t="str">
            <v>ap</v>
          </cell>
          <cell r="J23" t="str">
            <v>am</v>
          </cell>
          <cell r="K23" t="str">
            <v>ap</v>
          </cell>
          <cell r="L23" t="str">
            <v>am</v>
          </cell>
          <cell r="M23" t="str">
            <v>ap</v>
          </cell>
          <cell r="N23" t="str">
            <v>ㆰ</v>
          </cell>
          <cell r="O23" t="str">
            <v>ㄚㆴ</v>
          </cell>
          <cell r="P23" t="str">
            <v>am</v>
          </cell>
          <cell r="Q23" t="str">
            <v>ap</v>
          </cell>
        </row>
        <row r="24">
          <cell r="B24">
            <v>20</v>
          </cell>
          <cell r="C24" t="str">
            <v>瓜</v>
          </cell>
          <cell r="D24" t="str">
            <v>oa</v>
          </cell>
          <cell r="E24" t="str">
            <v>oah</v>
          </cell>
          <cell r="F24" t="str">
            <v>ua</v>
          </cell>
          <cell r="G24" t="str">
            <v>ua?</v>
          </cell>
          <cell r="H24" t="str">
            <v>oa</v>
          </cell>
          <cell r="I24" t="str">
            <v>oah</v>
          </cell>
          <cell r="J24" t="str">
            <v>ua</v>
          </cell>
          <cell r="K24" t="str">
            <v>uah</v>
          </cell>
          <cell r="L24" t="str">
            <v>ua</v>
          </cell>
          <cell r="M24" t="str">
            <v>uah</v>
          </cell>
          <cell r="N24" t="str">
            <v>ㄨㄚ</v>
          </cell>
          <cell r="O24" t="str">
            <v>ㄨㄚㆷ</v>
          </cell>
          <cell r="P24" t="str">
            <v>wa</v>
          </cell>
          <cell r="Q24" t="str">
            <v>wăh</v>
          </cell>
        </row>
        <row r="25">
          <cell r="B25">
            <v>21</v>
          </cell>
          <cell r="C25" t="str">
            <v>江</v>
          </cell>
          <cell r="D25" t="str">
            <v>ang</v>
          </cell>
          <cell r="E25" t="str">
            <v>ak</v>
          </cell>
          <cell r="F25" t="str">
            <v>aŋ</v>
          </cell>
          <cell r="G25" t="str">
            <v>ak̚</v>
          </cell>
          <cell r="H25" t="str">
            <v>ang</v>
          </cell>
          <cell r="I25" t="str">
            <v>ak</v>
          </cell>
          <cell r="J25" t="str">
            <v>ang</v>
          </cell>
          <cell r="K25" t="str">
            <v>ak</v>
          </cell>
          <cell r="L25" t="str">
            <v>ang</v>
          </cell>
          <cell r="M25" t="str">
            <v>ak</v>
          </cell>
          <cell r="N25" t="str">
            <v>ㄤ</v>
          </cell>
          <cell r="O25" t="str">
            <v>ㄚㆻ</v>
          </cell>
          <cell r="P25" t="str">
            <v>ang</v>
          </cell>
          <cell r="Q25" t="str">
            <v>ak</v>
          </cell>
        </row>
        <row r="26">
          <cell r="B26">
            <v>22</v>
          </cell>
          <cell r="C26" t="str">
            <v>兼</v>
          </cell>
          <cell r="D26" t="str">
            <v>iam</v>
          </cell>
          <cell r="E26" t="str">
            <v>iap</v>
          </cell>
          <cell r="F26" t="str">
            <v>iam</v>
          </cell>
          <cell r="G26" t="str">
            <v>iap̚</v>
          </cell>
          <cell r="H26" t="str">
            <v>iam</v>
          </cell>
          <cell r="I26" t="str">
            <v>iap</v>
          </cell>
          <cell r="J26" t="str">
            <v>iam</v>
          </cell>
          <cell r="K26" t="str">
            <v>iap</v>
          </cell>
          <cell r="L26" t="str">
            <v>iam</v>
          </cell>
          <cell r="M26" t="str">
            <v>iap</v>
          </cell>
          <cell r="N26" t="str">
            <v>ㄧㆰ</v>
          </cell>
          <cell r="O26" t="str">
            <v>ㄧㄚㆴ</v>
          </cell>
          <cell r="P26" t="str">
            <v>ëem</v>
          </cell>
          <cell r="Q26" t="str">
            <v>ëep</v>
          </cell>
        </row>
        <row r="27">
          <cell r="B27">
            <v>23</v>
          </cell>
          <cell r="C27" t="str">
            <v>交</v>
          </cell>
          <cell r="D27" t="str">
            <v>au</v>
          </cell>
          <cell r="E27" t="str">
            <v>auh</v>
          </cell>
          <cell r="F27" t="str">
            <v>aʊ</v>
          </cell>
          <cell r="G27" t="str">
            <v>au?</v>
          </cell>
          <cell r="H27" t="str">
            <v>au</v>
          </cell>
          <cell r="I27" t="str">
            <v>auh</v>
          </cell>
          <cell r="J27" t="str">
            <v>au</v>
          </cell>
          <cell r="K27" t="str">
            <v>auh</v>
          </cell>
          <cell r="L27" t="str">
            <v>ao</v>
          </cell>
          <cell r="M27" t="str">
            <v>aoh</v>
          </cell>
          <cell r="N27" t="str">
            <v>ㄠ</v>
          </cell>
          <cell r="O27" t="str">
            <v>ㄠㆷ</v>
          </cell>
          <cell r="P27" t="str">
            <v>aou</v>
          </cell>
          <cell r="Q27" t="str">
            <v>aoŭh</v>
          </cell>
          <cell r="R27" t="str">
            <v>aʊ</v>
          </cell>
        </row>
        <row r="28">
          <cell r="B28">
            <v>24</v>
          </cell>
          <cell r="C28" t="str">
            <v>迦</v>
          </cell>
          <cell r="D28" t="str">
            <v>ia</v>
          </cell>
          <cell r="E28" t="str">
            <v>iah</v>
          </cell>
          <cell r="F28" t="str">
            <v>ia</v>
          </cell>
          <cell r="G28" t="str">
            <v>ia?</v>
          </cell>
          <cell r="H28" t="str">
            <v>ia</v>
          </cell>
          <cell r="I28" t="str">
            <v>iah</v>
          </cell>
          <cell r="J28" t="str">
            <v>ia</v>
          </cell>
          <cell r="K28" t="str">
            <v>iah</v>
          </cell>
          <cell r="L28" t="str">
            <v>ia</v>
          </cell>
          <cell r="M28" t="str">
            <v>iah</v>
          </cell>
          <cell r="N28" t="str">
            <v>ㄧㄚ</v>
          </cell>
          <cell r="O28" t="str">
            <v>ㄧㄚㆷ</v>
          </cell>
          <cell r="P28" t="str">
            <v>ëa</v>
          </cell>
          <cell r="Q28" t="str">
            <v>ëăh</v>
          </cell>
          <cell r="R28" t="str">
            <v>【若】：梵文譯音用字，僅限翻念外來語特殊用法。例：般若波羅密多。</v>
          </cell>
        </row>
        <row r="29">
          <cell r="B29">
            <v>25</v>
          </cell>
          <cell r="C29" t="str">
            <v>檜</v>
          </cell>
          <cell r="D29" t="str">
            <v>oe</v>
          </cell>
          <cell r="E29" t="str">
            <v>oeh</v>
          </cell>
          <cell r="F29" t="str">
            <v>ue</v>
          </cell>
          <cell r="G29" t="str">
            <v>ue?</v>
          </cell>
          <cell r="H29" t="str">
            <v>oe</v>
          </cell>
          <cell r="I29" t="str">
            <v>oeh</v>
          </cell>
          <cell r="J29" t="str">
            <v>ue</v>
          </cell>
          <cell r="K29" t="str">
            <v>ueh</v>
          </cell>
          <cell r="L29" t="str">
            <v>ue</v>
          </cell>
          <cell r="M29" t="str">
            <v>ueh</v>
          </cell>
          <cell r="N29" t="str">
            <v>ㄨㆤ</v>
          </cell>
          <cell r="O29" t="str">
            <v>ㄨㆤㆷ</v>
          </cell>
          <cell r="P29" t="str">
            <v>öey</v>
          </cell>
          <cell r="Q29" t="str">
            <v>öĕyh</v>
          </cell>
        </row>
        <row r="30">
          <cell r="B30">
            <v>26</v>
          </cell>
          <cell r="C30" t="str">
            <v>監</v>
          </cell>
          <cell r="D30" t="str">
            <v>ann</v>
          </cell>
          <cell r="E30" t="str">
            <v>ahnn</v>
          </cell>
          <cell r="F30" t="str">
            <v>ã</v>
          </cell>
          <cell r="G30" t="str">
            <v>ã?</v>
          </cell>
          <cell r="H30" t="str">
            <v>aⁿ</v>
          </cell>
          <cell r="I30" t="str">
            <v>ahⁿ</v>
          </cell>
          <cell r="J30" t="str">
            <v>ann</v>
          </cell>
          <cell r="K30" t="str">
            <v>annh</v>
          </cell>
          <cell r="L30" t="str">
            <v>na</v>
          </cell>
          <cell r="M30" t="str">
            <v>nah</v>
          </cell>
          <cell r="N30" t="str">
            <v>ㆩ</v>
          </cell>
          <cell r="O30" t="str">
            <v>ㆩㆷ</v>
          </cell>
          <cell r="P30" t="str">
            <v>ⁿa</v>
          </cell>
          <cell r="Q30" t="str">
            <v>ⁿăh</v>
          </cell>
          <cell r="R30" t="str">
            <v>Lann = Na</v>
          </cell>
        </row>
        <row r="31">
          <cell r="B31">
            <v>27</v>
          </cell>
          <cell r="C31" t="str">
            <v>艍</v>
          </cell>
          <cell r="D31" t="str">
            <v>u</v>
          </cell>
          <cell r="E31" t="str">
            <v>uh</v>
          </cell>
          <cell r="F31" t="str">
            <v>u</v>
          </cell>
          <cell r="G31" t="str">
            <v>u?</v>
          </cell>
          <cell r="H31" t="str">
            <v>u</v>
          </cell>
          <cell r="I31" t="str">
            <v>uh</v>
          </cell>
          <cell r="J31" t="str">
            <v>u</v>
          </cell>
          <cell r="K31" t="str">
            <v>uh</v>
          </cell>
          <cell r="L31" t="str">
            <v>u</v>
          </cell>
          <cell r="M31" t="str">
            <v>uh</v>
          </cell>
          <cell r="N31" t="str">
            <v>ㄨ</v>
          </cell>
          <cell r="O31" t="str">
            <v>ㄨㆷ</v>
          </cell>
          <cell r="P31" t="str">
            <v>oo</v>
          </cell>
          <cell r="Q31" t="str">
            <v>oŏh</v>
          </cell>
          <cell r="R31" t="str">
            <v>海腔</v>
          </cell>
        </row>
        <row r="32">
          <cell r="B32">
            <v>28</v>
          </cell>
          <cell r="C32" t="str">
            <v>膠</v>
          </cell>
          <cell r="D32" t="str">
            <v>a</v>
          </cell>
          <cell r="E32" t="str">
            <v>ah</v>
          </cell>
          <cell r="F32" t="str">
            <v>a</v>
          </cell>
          <cell r="G32" t="str">
            <v>a?</v>
          </cell>
          <cell r="H32" t="str">
            <v>a</v>
          </cell>
          <cell r="I32" t="str">
            <v>ah</v>
          </cell>
          <cell r="J32" t="str">
            <v>a</v>
          </cell>
          <cell r="K32" t="str">
            <v>ah</v>
          </cell>
          <cell r="L32" t="str">
            <v>a</v>
          </cell>
          <cell r="M32" t="str">
            <v>ah</v>
          </cell>
          <cell r="N32" t="str">
            <v>ㄚ</v>
          </cell>
          <cell r="O32" t="str">
            <v>ㄚㆷ</v>
          </cell>
          <cell r="P32" t="str">
            <v>a</v>
          </cell>
          <cell r="Q32" t="str">
            <v>ăh</v>
          </cell>
        </row>
        <row r="33">
          <cell r="B33">
            <v>29</v>
          </cell>
          <cell r="C33" t="str">
            <v>居</v>
          </cell>
          <cell r="D33" t="str">
            <v>i</v>
          </cell>
          <cell r="E33" t="str">
            <v>ih</v>
          </cell>
          <cell r="F33" t="str">
            <v>i</v>
          </cell>
          <cell r="G33" t="str">
            <v>i?</v>
          </cell>
          <cell r="H33" t="str">
            <v>i</v>
          </cell>
          <cell r="I33" t="str">
            <v>ih</v>
          </cell>
          <cell r="J33" t="str">
            <v>i</v>
          </cell>
          <cell r="K33" t="str">
            <v>ih</v>
          </cell>
          <cell r="L33" t="str">
            <v>i</v>
          </cell>
          <cell r="M33" t="str">
            <v>ih</v>
          </cell>
          <cell r="N33" t="str">
            <v>ㄧ</v>
          </cell>
          <cell r="O33" t="str">
            <v>ㄧㆷ</v>
          </cell>
          <cell r="P33" t="str">
            <v>e</v>
          </cell>
          <cell r="Q33" t="str">
            <v>eĕh</v>
          </cell>
        </row>
        <row r="34">
          <cell r="B34">
            <v>30</v>
          </cell>
          <cell r="C34" t="str">
            <v>丩</v>
          </cell>
          <cell r="D34" t="str">
            <v>iu</v>
          </cell>
          <cell r="E34" t="str">
            <v>iuh</v>
          </cell>
          <cell r="F34" t="str">
            <v>iu</v>
          </cell>
          <cell r="G34" t="str">
            <v>iu?</v>
          </cell>
          <cell r="H34" t="str">
            <v>iu</v>
          </cell>
          <cell r="I34" t="str">
            <v>iuh</v>
          </cell>
          <cell r="J34" t="str">
            <v>iu</v>
          </cell>
          <cell r="K34" t="str">
            <v>iuh</v>
          </cell>
          <cell r="L34" t="str">
            <v>iu</v>
          </cell>
          <cell r="M34" t="str">
            <v>iuh</v>
          </cell>
          <cell r="N34" t="str">
            <v>ㄧㄨ</v>
          </cell>
          <cell r="O34" t="str">
            <v>ㄧㄨㆷ</v>
          </cell>
          <cell r="P34" t="str">
            <v>ew</v>
          </cell>
        </row>
        <row r="35">
          <cell r="B35">
            <v>31</v>
          </cell>
          <cell r="C35" t="str">
            <v>更</v>
          </cell>
          <cell r="D35" t="str">
            <v>enn</v>
          </cell>
          <cell r="E35" t="str">
            <v>ehnn</v>
          </cell>
          <cell r="F35" t="str">
            <v>ẽ</v>
          </cell>
          <cell r="G35" t="str">
            <v>ẽ?</v>
          </cell>
          <cell r="H35" t="str">
            <v>eⁿ</v>
          </cell>
          <cell r="I35" t="str">
            <v>ehⁿ</v>
          </cell>
          <cell r="J35" t="str">
            <v>enn</v>
          </cell>
          <cell r="K35" t="str">
            <v>ennh</v>
          </cell>
          <cell r="L35" t="str">
            <v>ne</v>
          </cell>
          <cell r="M35" t="str">
            <v>neh</v>
          </cell>
          <cell r="N35" t="str">
            <v>ㆥ</v>
          </cell>
          <cell r="O35" t="str">
            <v>ㆥㆷ</v>
          </cell>
          <cell r="P35" t="str">
            <v>aiⁿᶢ</v>
          </cell>
          <cell r="Q35" t="str">
            <v>aĭⁿᶢh</v>
          </cell>
          <cell r="R35" t="str">
            <v>箏</v>
          </cell>
        </row>
        <row r="36">
          <cell r="B36">
            <v>32</v>
          </cell>
          <cell r="C36" t="str">
            <v>褌</v>
          </cell>
          <cell r="D36" t="str">
            <v>uinn</v>
          </cell>
          <cell r="E36" t="str">
            <v>uinnh</v>
          </cell>
          <cell r="F36" t="str">
            <v>ũĩ</v>
          </cell>
          <cell r="G36" t="str">
            <v>ũĩ?</v>
          </cell>
          <cell r="H36" t="str">
            <v>uiⁿ</v>
          </cell>
          <cell r="I36" t="str">
            <v>uihⁿ</v>
          </cell>
          <cell r="J36" t="str">
            <v>uinn</v>
          </cell>
          <cell r="K36" t="str">
            <v>uinnh</v>
          </cell>
          <cell r="L36" t="str">
            <v>nui</v>
          </cell>
          <cell r="M36" t="str">
            <v>nuih</v>
          </cell>
          <cell r="N36" t="str">
            <v>ㄨㆪ</v>
          </cell>
          <cell r="O36" t="str">
            <v>ㄨㆪㆷ</v>
          </cell>
          <cell r="P36" t="str">
            <v>wuiⁿᶢ</v>
          </cell>
          <cell r="R36" t="str">
            <v>【彙音】褌：-ng</v>
          </cell>
        </row>
        <row r="37">
          <cell r="B37">
            <v>33</v>
          </cell>
          <cell r="C37" t="str">
            <v>茄</v>
          </cell>
          <cell r="D37" t="str">
            <v>io</v>
          </cell>
          <cell r="E37" t="str">
            <v>ioh</v>
          </cell>
          <cell r="F37" t="str">
            <v>io</v>
          </cell>
          <cell r="G37" t="str">
            <v>iə?</v>
          </cell>
          <cell r="H37" t="str">
            <v>io</v>
          </cell>
          <cell r="I37" t="str">
            <v>ioh</v>
          </cell>
          <cell r="J37" t="str">
            <v>io</v>
          </cell>
          <cell r="K37" t="str">
            <v>ioh</v>
          </cell>
          <cell r="L37" t="str">
            <v>io</v>
          </cell>
          <cell r="M37" t="str">
            <v>ioh</v>
          </cell>
          <cell r="N37" t="str">
            <v>ㄧㄜ</v>
          </cell>
          <cell r="O37" t="str">
            <v>ㄧㄜㆷ</v>
          </cell>
          <cell r="P37" t="str">
            <v>ëo</v>
          </cell>
          <cell r="Q37" t="str">
            <v>ëŏh</v>
          </cell>
        </row>
        <row r="38">
          <cell r="B38">
            <v>34</v>
          </cell>
          <cell r="C38" t="str">
            <v>梔</v>
          </cell>
          <cell r="D38" t="str">
            <v>inn</v>
          </cell>
          <cell r="E38" t="str">
            <v>ihnn</v>
          </cell>
          <cell r="F38" t="str">
            <v>ĩ</v>
          </cell>
          <cell r="G38" t="str">
            <v>ĩ?</v>
          </cell>
          <cell r="H38" t="str">
            <v>iⁿ</v>
          </cell>
          <cell r="I38" t="str">
            <v>iⁿh</v>
          </cell>
          <cell r="J38" t="str">
            <v>inn</v>
          </cell>
          <cell r="K38" t="str">
            <v>innh</v>
          </cell>
          <cell r="L38" t="str">
            <v>ni</v>
          </cell>
          <cell r="M38" t="str">
            <v>nih</v>
          </cell>
          <cell r="N38" t="str">
            <v>ㆪ</v>
          </cell>
          <cell r="O38" t="str">
            <v>ㆪ</v>
          </cell>
          <cell r="P38" t="str">
            <v>eeⁿᶢ</v>
          </cell>
          <cell r="Q38" t="str">
            <v>eĕⁿᶢh</v>
          </cell>
        </row>
        <row r="39">
          <cell r="B39">
            <v>35</v>
          </cell>
          <cell r="C39" t="str">
            <v>薑</v>
          </cell>
          <cell r="D39" t="str">
            <v>ionn</v>
          </cell>
          <cell r="E39" t="str">
            <v>ionnh</v>
          </cell>
          <cell r="F39" t="str">
            <v>ĩɔ̃</v>
          </cell>
          <cell r="G39" t="str">
            <v>ĩɔ̃?</v>
          </cell>
          <cell r="H39" t="str">
            <v>ioⁿ</v>
          </cell>
          <cell r="I39" t="str">
            <v>iohⁿ</v>
          </cell>
          <cell r="J39" t="str">
            <v>ionn</v>
          </cell>
          <cell r="K39" t="str">
            <v>ionnh</v>
          </cell>
          <cell r="L39" t="str">
            <v>nioo</v>
          </cell>
          <cell r="M39" t="str">
            <v>niooh</v>
          </cell>
          <cell r="N39" t="str">
            <v>ㄧㆧ</v>
          </cell>
          <cell r="O39" t="str">
            <v>ㄧㆧㆷ</v>
          </cell>
          <cell r="P39" t="str">
            <v>ëoⁿᶢ</v>
          </cell>
          <cell r="R39" t="str">
            <v>彙音的薑轉到牛</v>
          </cell>
        </row>
        <row r="40">
          <cell r="B40">
            <v>36</v>
          </cell>
          <cell r="C40" t="str">
            <v>驚</v>
          </cell>
          <cell r="D40" t="str">
            <v>iann</v>
          </cell>
          <cell r="E40" t="str">
            <v>iannh</v>
          </cell>
          <cell r="F40" t="str">
            <v>ĩã</v>
          </cell>
          <cell r="G40" t="str">
            <v>iãh</v>
          </cell>
          <cell r="H40" t="str">
            <v>iaⁿ</v>
          </cell>
          <cell r="I40" t="str">
            <v>iahⁿ</v>
          </cell>
          <cell r="J40" t="str">
            <v>iann</v>
          </cell>
          <cell r="K40" t="str">
            <v>iannh</v>
          </cell>
          <cell r="L40" t="str">
            <v>nia</v>
          </cell>
          <cell r="M40" t="str">
            <v>niah</v>
          </cell>
          <cell r="N40" t="str">
            <v>ㄧㆩ</v>
          </cell>
          <cell r="O40" t="str">
            <v>ㄧㆩㆷ</v>
          </cell>
          <cell r="P40" t="str">
            <v>ëⁿa</v>
          </cell>
          <cell r="R40" t="str">
            <v>娘： Liann5</v>
          </cell>
        </row>
        <row r="41">
          <cell r="B41">
            <v>37</v>
          </cell>
          <cell r="C41" t="str">
            <v>官</v>
          </cell>
          <cell r="D41" t="str">
            <v>oann</v>
          </cell>
          <cell r="E41" t="str">
            <v>oannh</v>
          </cell>
          <cell r="F41" t="str">
            <v>ũã</v>
          </cell>
          <cell r="G41" t="str">
            <v>ũã?</v>
          </cell>
          <cell r="H41" t="str">
            <v>oaⁿ</v>
          </cell>
          <cell r="I41" t="str">
            <v>oahⁿ</v>
          </cell>
          <cell r="J41" t="str">
            <v>uann</v>
          </cell>
          <cell r="K41" t="str">
            <v>uannh</v>
          </cell>
          <cell r="L41" t="str">
            <v>nua</v>
          </cell>
          <cell r="M41" t="str">
            <v>nuah</v>
          </cell>
          <cell r="N41" t="str">
            <v>ㄨㆩ</v>
          </cell>
          <cell r="O41" t="str">
            <v>ㄨㆩㆷ</v>
          </cell>
          <cell r="P41" t="str">
            <v>wⁿa</v>
          </cell>
        </row>
        <row r="42">
          <cell r="B42">
            <v>38</v>
          </cell>
          <cell r="C42" t="str">
            <v>鋼</v>
          </cell>
          <cell r="D42" t="str">
            <v>ng</v>
          </cell>
          <cell r="E42" t="str">
            <v>ngh</v>
          </cell>
          <cell r="F42" t="str">
            <v>ŋ̍</v>
          </cell>
          <cell r="G42" t="str">
            <v>ŋ̍h</v>
          </cell>
          <cell r="H42" t="str">
            <v>ng</v>
          </cell>
          <cell r="I42" t="str">
            <v>ngh</v>
          </cell>
          <cell r="J42" t="str">
            <v>ng</v>
          </cell>
          <cell r="K42" t="str">
            <v>ngh</v>
          </cell>
          <cell r="L42" t="str">
            <v>ng</v>
          </cell>
          <cell r="M42" t="str">
            <v>ngh</v>
          </cell>
          <cell r="N42" t="str">
            <v>ㆭ</v>
          </cell>
          <cell r="O42" t="str">
            <v>ㆭㆷ</v>
          </cell>
          <cell r="P42" t="str">
            <v>eⁿᶢ</v>
          </cell>
        </row>
        <row r="43">
          <cell r="B43">
            <v>39</v>
          </cell>
          <cell r="C43" t="str">
            <v>伽</v>
          </cell>
          <cell r="D43" t="str">
            <v>e</v>
          </cell>
          <cell r="E43" t="str">
            <v>eh</v>
          </cell>
          <cell r="F43" t="str">
            <v>e</v>
          </cell>
          <cell r="G43" t="str">
            <v>e?</v>
          </cell>
          <cell r="H43" t="str">
            <v>e</v>
          </cell>
          <cell r="I43" t="str">
            <v>eh</v>
          </cell>
          <cell r="J43" t="str">
            <v>e</v>
          </cell>
          <cell r="K43" t="str">
            <v>eh</v>
          </cell>
          <cell r="L43" t="str">
            <v>e</v>
          </cell>
          <cell r="M43" t="str">
            <v>eh</v>
          </cell>
          <cell r="N43" t="str">
            <v>ㆤ</v>
          </cell>
          <cell r="O43" t="str">
            <v>ㆤㆷ</v>
          </cell>
          <cell r="P43" t="str">
            <v>ay</v>
          </cell>
          <cell r="Q43" t="str">
            <v>ăyh</v>
          </cell>
        </row>
        <row r="44">
          <cell r="B44">
            <v>40</v>
          </cell>
          <cell r="C44" t="str">
            <v>閒</v>
          </cell>
          <cell r="D44" t="str">
            <v>ainn</v>
          </cell>
          <cell r="E44" t="str">
            <v>ainnh</v>
          </cell>
          <cell r="F44" t="str">
            <v>ãĩ</v>
          </cell>
          <cell r="G44" t="str">
            <v>ãĩ?</v>
          </cell>
          <cell r="H44" t="str">
            <v>aiⁿ</v>
          </cell>
          <cell r="I44" t="str">
            <v>aihⁿ</v>
          </cell>
          <cell r="J44" t="str">
            <v>ainn</v>
          </cell>
          <cell r="K44" t="str">
            <v>ainnh</v>
          </cell>
          <cell r="L44" t="str">
            <v>nai</v>
          </cell>
          <cell r="M44" t="str">
            <v>naih</v>
          </cell>
          <cell r="N44" t="str">
            <v>ㆮ</v>
          </cell>
          <cell r="O44" t="str">
            <v>ㆮㆷ</v>
          </cell>
          <cell r="P44" t="str">
            <v>aeⁿᶢ</v>
          </cell>
          <cell r="R44" t="str">
            <v>閒：Kainn1，為「同安」音；間：Kainn1</v>
          </cell>
        </row>
        <row r="45">
          <cell r="B45">
            <v>41</v>
          </cell>
          <cell r="C45" t="str">
            <v>姑</v>
          </cell>
          <cell r="D45" t="str">
            <v>onn</v>
          </cell>
          <cell r="E45" t="str">
            <v>onnh</v>
          </cell>
          <cell r="F45" t="str">
            <v>ɔ̃</v>
          </cell>
          <cell r="G45" t="str">
            <v>ɔ̃?</v>
          </cell>
          <cell r="H45" t="str">
            <v>oⁿ</v>
          </cell>
          <cell r="I45" t="str">
            <v>ohⁿ</v>
          </cell>
          <cell r="J45" t="str">
            <v>onn</v>
          </cell>
          <cell r="K45" t="str">
            <v>onnh</v>
          </cell>
          <cell r="L45" t="str">
            <v>noo</v>
          </cell>
          <cell r="M45" t="str">
            <v>nooh</v>
          </cell>
          <cell r="N45" t="str">
            <v>ㆧ</v>
          </cell>
          <cell r="O45" t="str">
            <v>ㆧㆷ</v>
          </cell>
          <cell r="P45" t="str">
            <v>ⁿoe</v>
          </cell>
          <cell r="R45" t="str">
            <v>台羅 oonn = ounn</v>
          </cell>
        </row>
        <row r="46">
          <cell r="B46">
            <v>42</v>
          </cell>
          <cell r="C46" t="str">
            <v>姆</v>
          </cell>
          <cell r="D46" t="str">
            <v>m</v>
          </cell>
          <cell r="E46" t="str">
            <v>mh</v>
          </cell>
          <cell r="F46" t="str">
            <v>m̩</v>
          </cell>
          <cell r="G46" t="str">
            <v>m̩h</v>
          </cell>
          <cell r="H46" t="str">
            <v>m</v>
          </cell>
          <cell r="I46" t="str">
            <v>mh</v>
          </cell>
          <cell r="J46" t="str">
            <v>m</v>
          </cell>
          <cell r="K46" t="str">
            <v>mh</v>
          </cell>
          <cell r="L46" t="str">
            <v>m</v>
          </cell>
          <cell r="M46" t="str">
            <v>mh</v>
          </cell>
          <cell r="N46" t="str">
            <v>ㆬ</v>
          </cell>
          <cell r="O46" t="str">
            <v>ㆬㆷ</v>
          </cell>
          <cell r="P46" t="str">
            <v>uᵐ</v>
          </cell>
        </row>
        <row r="47">
          <cell r="B47">
            <v>43</v>
          </cell>
          <cell r="C47" t="str">
            <v>光</v>
          </cell>
          <cell r="D47" t="str">
            <v>oang</v>
          </cell>
          <cell r="E47" t="str">
            <v>oak</v>
          </cell>
          <cell r="F47" t="str">
            <v>uaŋ</v>
          </cell>
          <cell r="G47" t="str">
            <v>uak̚</v>
          </cell>
          <cell r="H47" t="str">
            <v>oang</v>
          </cell>
          <cell r="I47" t="str">
            <v>oak</v>
          </cell>
          <cell r="J47" t="str">
            <v>uang</v>
          </cell>
          <cell r="K47" t="str">
            <v>uak</v>
          </cell>
          <cell r="L47" t="str">
            <v>uang</v>
          </cell>
          <cell r="M47" t="str">
            <v>uak</v>
          </cell>
          <cell r="N47" t="str">
            <v>ㄨㄤ</v>
          </cell>
          <cell r="O47" t="str">
            <v>ㄨㄚㆻ</v>
          </cell>
          <cell r="P47" t="str">
            <v>wang</v>
          </cell>
          <cell r="Q47" t="str">
            <v>wak</v>
          </cell>
        </row>
        <row r="48">
          <cell r="B48">
            <v>44</v>
          </cell>
          <cell r="C48" t="str">
            <v>閂</v>
          </cell>
          <cell r="D48" t="str">
            <v>oainn</v>
          </cell>
          <cell r="E48" t="str">
            <v>oaihnn</v>
          </cell>
          <cell r="F48" t="str">
            <v>ũãĩ</v>
          </cell>
          <cell r="G48" t="str">
            <v>uãĩ?</v>
          </cell>
          <cell r="H48" t="str">
            <v>oaiⁿ</v>
          </cell>
          <cell r="I48" t="str">
            <v>oaiⁿh</v>
          </cell>
          <cell r="J48" t="str">
            <v>uainn</v>
          </cell>
          <cell r="K48" t="str">
            <v>uainnh</v>
          </cell>
          <cell r="L48" t="str">
            <v>nuai</v>
          </cell>
          <cell r="M48" t="str">
            <v>nuaih</v>
          </cell>
          <cell r="N48" t="str">
            <v>ㄨㆮ</v>
          </cell>
          <cell r="O48" t="str">
            <v>ㄨㆮㆷ</v>
          </cell>
          <cell r="P48" t="str">
            <v>waeⁿᶢ</v>
          </cell>
          <cell r="Q48" t="str">
            <v>waĕⁿᶢh</v>
          </cell>
          <cell r="R48" t="str">
            <v>閂 (Tshuann) : 興事的意思</v>
          </cell>
        </row>
        <row r="49">
          <cell r="B49">
            <v>45</v>
          </cell>
          <cell r="C49" t="str">
            <v>糜</v>
          </cell>
          <cell r="D49" t="str">
            <v>oenn</v>
          </cell>
          <cell r="E49" t="str">
            <v>oennh</v>
          </cell>
          <cell r="F49" t="str">
            <v>ũẽ</v>
          </cell>
          <cell r="G49" t="str">
            <v>ũẽ?</v>
          </cell>
          <cell r="H49" t="str">
            <v>oeⁿ</v>
          </cell>
          <cell r="I49" t="str">
            <v>oehⁿ</v>
          </cell>
          <cell r="J49" t="str">
            <v>uenn</v>
          </cell>
          <cell r="K49" t="str">
            <v>uennh</v>
          </cell>
          <cell r="L49" t="str">
            <v>nue</v>
          </cell>
          <cell r="M49" t="str">
            <v>nueh</v>
          </cell>
          <cell r="N49" t="str">
            <v>ㄨㆥ</v>
          </cell>
          <cell r="O49" t="str">
            <v>ㄨㆥㆷ</v>
          </cell>
          <cell r="P49" t="str">
            <v>ⁿöey</v>
          </cell>
          <cell r="R49" t="str">
            <v>檜、糜：現在漳州各地主要腔口不存在 /i/ 尾，亦爲簡便故，今式羅馬字僅寫ue</v>
          </cell>
        </row>
        <row r="50">
          <cell r="B50">
            <v>46</v>
          </cell>
          <cell r="C50" t="str">
            <v>嘄</v>
          </cell>
          <cell r="D50" t="str">
            <v>iaunn</v>
          </cell>
          <cell r="E50" t="str">
            <v>iauhnn</v>
          </cell>
          <cell r="F50" t="str">
            <v>ĩãũ</v>
          </cell>
          <cell r="G50" t="str">
            <v>ĩãũ?</v>
          </cell>
          <cell r="H50" t="str">
            <v>iauⁿ</v>
          </cell>
          <cell r="I50" t="str">
            <v>iauⁿh</v>
          </cell>
          <cell r="J50" t="str">
            <v>iaunn</v>
          </cell>
          <cell r="K50" t="str">
            <v>iaunnh</v>
          </cell>
          <cell r="L50" t="str">
            <v>niao</v>
          </cell>
          <cell r="M50" t="str">
            <v>niaoh</v>
          </cell>
          <cell r="N50" t="str">
            <v>ㄧㆯ</v>
          </cell>
          <cell r="O50" t="str">
            <v>ㄧㆯㆷ</v>
          </cell>
          <cell r="P50" t="str">
            <v>ⁿeaou</v>
          </cell>
          <cell r="Q50" t="str">
            <v>ⁿeaoŭh</v>
          </cell>
        </row>
        <row r="51">
          <cell r="B51">
            <v>47</v>
          </cell>
          <cell r="C51" t="str">
            <v>箴</v>
          </cell>
          <cell r="D51" t="str">
            <v>om</v>
          </cell>
          <cell r="E51" t="str">
            <v>op</v>
          </cell>
          <cell r="F51" t="str">
            <v>ɔm</v>
          </cell>
          <cell r="G51" t="str">
            <v>ɔp̚</v>
          </cell>
          <cell r="H51" t="str">
            <v>om</v>
          </cell>
          <cell r="I51" t="str">
            <v>op</v>
          </cell>
          <cell r="J51" t="str">
            <v>om</v>
          </cell>
          <cell r="K51" t="str">
            <v>op</v>
          </cell>
          <cell r="L51" t="str">
            <v>om</v>
          </cell>
          <cell r="M51" t="str">
            <v>op</v>
          </cell>
          <cell r="N51" t="str">
            <v>ㆱ</v>
          </cell>
          <cell r="O51" t="str">
            <v>ㆦㆴ</v>
          </cell>
          <cell r="P51" t="str">
            <v>om</v>
          </cell>
          <cell r="Q51" t="str">
            <v>ŏmh</v>
          </cell>
        </row>
        <row r="52">
          <cell r="B52">
            <v>48</v>
          </cell>
          <cell r="C52" t="str">
            <v>爻</v>
          </cell>
          <cell r="D52" t="str">
            <v>aunn</v>
          </cell>
          <cell r="E52" t="str">
            <v>aunnh</v>
          </cell>
          <cell r="F52" t="str">
            <v>ãũ</v>
          </cell>
          <cell r="G52" t="str">
            <v>ãũ?</v>
          </cell>
          <cell r="H52" t="str">
            <v>auⁿ</v>
          </cell>
          <cell r="I52" t="str">
            <v>auhⁿ</v>
          </cell>
          <cell r="J52" t="str">
            <v>aunn</v>
          </cell>
          <cell r="K52" t="str">
            <v>aunnh</v>
          </cell>
          <cell r="L52" t="str">
            <v>nao</v>
          </cell>
          <cell r="M52" t="str">
            <v>naoh</v>
          </cell>
          <cell r="N52" t="str">
            <v>ㆯ</v>
          </cell>
          <cell r="O52" t="str">
            <v>ㆯㆷ</v>
          </cell>
          <cell r="P52" t="str">
            <v>ⁿaou</v>
          </cell>
        </row>
        <row r="53">
          <cell r="B53">
            <v>49</v>
          </cell>
          <cell r="C53" t="str">
            <v>扛</v>
          </cell>
          <cell r="D53" t="str">
            <v>onn</v>
          </cell>
          <cell r="E53" t="str">
            <v>ohnn</v>
          </cell>
          <cell r="F53" t="str">
            <v>õ</v>
          </cell>
          <cell r="G53" t="str">
            <v>õh</v>
          </cell>
          <cell r="H53" t="str">
            <v>oⁿ</v>
          </cell>
          <cell r="I53" t="str">
            <v>ohⁿ</v>
          </cell>
          <cell r="J53" t="str">
            <v>onn</v>
          </cell>
          <cell r="K53" t="str">
            <v>onnh</v>
          </cell>
          <cell r="L53" t="str">
            <v>no</v>
          </cell>
          <cell r="M53" t="str">
            <v>noh</v>
          </cell>
          <cell r="N53" t="str">
            <v>ㆧ</v>
          </cell>
          <cell r="O53" t="str">
            <v>ㆧㆷ</v>
          </cell>
          <cell r="P53" t="str">
            <v>ⁿo</v>
          </cell>
          <cell r="Q53" t="str">
            <v>ⁿŏh</v>
          </cell>
          <cell r="R53" t="str">
            <v>長泰音</v>
          </cell>
        </row>
        <row r="54">
          <cell r="B54">
            <v>50</v>
          </cell>
          <cell r="C54" t="str">
            <v>牛</v>
          </cell>
          <cell r="D54" t="str">
            <v>iunn</v>
          </cell>
          <cell r="E54" t="str">
            <v>iunnh</v>
          </cell>
          <cell r="F54" t="str">
            <v>ĩũ</v>
          </cell>
          <cell r="G54" t="str">
            <v>iũh</v>
          </cell>
          <cell r="H54" t="str">
            <v>iuⁿ</v>
          </cell>
          <cell r="I54" t="str">
            <v>iuhⁿ</v>
          </cell>
          <cell r="J54" t="str">
            <v>iunn</v>
          </cell>
          <cell r="K54" t="str">
            <v>iunnh</v>
          </cell>
          <cell r="L54" t="str">
            <v>niu</v>
          </cell>
          <cell r="M54" t="str">
            <v>niuh</v>
          </cell>
          <cell r="N54" t="str">
            <v>ㄧㆫ</v>
          </cell>
          <cell r="O54" t="str">
            <v>ㄧㆫㆷ</v>
          </cell>
          <cell r="P54" t="str">
            <v>ⁿew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5">
          <cell r="R5" t="str">
            <v>ūn</v>
          </cell>
          <cell r="S5" t="str">
            <v>ún</v>
          </cell>
          <cell r="T5" t="str">
            <v>ǔn</v>
          </cell>
          <cell r="U5" t="str">
            <v>ǔt</v>
          </cell>
          <cell r="V5" t="str">
            <v>ùn</v>
          </cell>
          <cell r="W5" t="str">
            <v>ûn</v>
          </cell>
          <cell r="X5" t="str">
            <v>ūn</v>
          </cell>
          <cell r="Y5" t="str">
            <v>út</v>
          </cell>
        </row>
        <row r="6">
          <cell r="R6" t="str">
            <v>iān</v>
          </cell>
          <cell r="S6" t="str">
            <v>ián</v>
          </cell>
          <cell r="T6" t="str">
            <v>iǎn</v>
          </cell>
          <cell r="U6" t="str">
            <v>iǎt</v>
          </cell>
          <cell r="V6" t="str">
            <v>iàn</v>
          </cell>
          <cell r="W6" t="str">
            <v>iân</v>
          </cell>
          <cell r="X6" t="str">
            <v>iān</v>
          </cell>
          <cell r="Y6" t="str">
            <v>iát</v>
          </cell>
        </row>
        <row r="7">
          <cell r="R7" t="str">
            <v>īm</v>
          </cell>
          <cell r="S7" t="str">
            <v>ím</v>
          </cell>
          <cell r="T7" t="str">
            <v>ǐm</v>
          </cell>
          <cell r="U7" t="str">
            <v>ǐp</v>
          </cell>
          <cell r="V7" t="str">
            <v>ìm</v>
          </cell>
          <cell r="W7" t="str">
            <v>îm</v>
          </cell>
          <cell r="X7" t="str">
            <v>īm</v>
          </cell>
          <cell r="Y7" t="str">
            <v>íp</v>
          </cell>
        </row>
        <row r="8">
          <cell r="R8" t="str">
            <v>ūi</v>
          </cell>
          <cell r="S8" t="str">
            <v>úi</v>
          </cell>
          <cell r="T8" t="str">
            <v>ǔi</v>
          </cell>
          <cell r="U8" t="str">
            <v>ǔih</v>
          </cell>
          <cell r="V8" t="str">
            <v>ùi</v>
          </cell>
          <cell r="W8" t="str">
            <v>ûi</v>
          </cell>
          <cell r="X8" t="str">
            <v>ūi</v>
          </cell>
          <cell r="Y8" t="str">
            <v>úih</v>
          </cell>
        </row>
        <row r="9">
          <cell r="R9" t="str">
            <v>ē</v>
          </cell>
          <cell r="S9" t="str">
            <v>é</v>
          </cell>
          <cell r="T9" t="str">
            <v>ě</v>
          </cell>
          <cell r="U9" t="str">
            <v>ěh</v>
          </cell>
          <cell r="V9" t="str">
            <v>è</v>
          </cell>
          <cell r="W9" t="str">
            <v>ê</v>
          </cell>
          <cell r="X9" t="str">
            <v>ē</v>
          </cell>
          <cell r="Y9" t="str">
            <v>éh</v>
          </cell>
        </row>
        <row r="10">
          <cell r="R10" t="str">
            <v>ān</v>
          </cell>
          <cell r="S10" t="str">
            <v>án</v>
          </cell>
          <cell r="T10" t="str">
            <v>ǎn</v>
          </cell>
          <cell r="U10" t="str">
            <v>ǎt</v>
          </cell>
          <cell r="V10" t="str">
            <v>àn</v>
          </cell>
          <cell r="W10" t="str">
            <v>ân</v>
          </cell>
          <cell r="X10" t="str">
            <v>ān</v>
          </cell>
          <cell r="Y10" t="str">
            <v>át</v>
          </cell>
        </row>
        <row r="11">
          <cell r="R11" t="str">
            <v>ōng</v>
          </cell>
          <cell r="S11" t="str">
            <v>óng</v>
          </cell>
          <cell r="T11" t="str">
            <v>ǒng</v>
          </cell>
          <cell r="U11" t="str">
            <v>ǒk</v>
          </cell>
          <cell r="V11" t="str">
            <v>òng</v>
          </cell>
          <cell r="W11" t="str">
            <v>ông</v>
          </cell>
          <cell r="X11" t="str">
            <v>ōng</v>
          </cell>
          <cell r="Y11" t="str">
            <v>ók</v>
          </cell>
        </row>
        <row r="12">
          <cell r="R12" t="str">
            <v>uāi</v>
          </cell>
          <cell r="S12" t="str">
            <v>uái</v>
          </cell>
          <cell r="T12" t="str">
            <v>uǎi</v>
          </cell>
          <cell r="U12" t="str">
            <v>uǎih</v>
          </cell>
          <cell r="V12" t="str">
            <v>uài</v>
          </cell>
          <cell r="W12" t="str">
            <v>uâi</v>
          </cell>
          <cell r="X12" t="str">
            <v>uāi</v>
          </cell>
          <cell r="Y12" t="str">
            <v>uáih</v>
          </cell>
        </row>
        <row r="13">
          <cell r="R13" t="str">
            <v>īng</v>
          </cell>
          <cell r="S13" t="str">
            <v>íng</v>
          </cell>
          <cell r="T13" t="str">
            <v>ǐng</v>
          </cell>
          <cell r="U13" t="str">
            <v>ǐk</v>
          </cell>
          <cell r="V13" t="str">
            <v>ìng</v>
          </cell>
          <cell r="W13" t="str">
            <v>îng</v>
          </cell>
          <cell r="X13" t="str">
            <v>īng</v>
          </cell>
          <cell r="Y13" t="str">
            <v>ík</v>
          </cell>
        </row>
        <row r="14">
          <cell r="R14" t="str">
            <v>uān</v>
          </cell>
          <cell r="S14" t="str">
            <v>uán</v>
          </cell>
          <cell r="T14" t="str">
            <v>uǎn</v>
          </cell>
          <cell r="U14" t="str">
            <v>uǎt</v>
          </cell>
          <cell r="V14" t="str">
            <v>uàn</v>
          </cell>
          <cell r="W14" t="str">
            <v>uân</v>
          </cell>
          <cell r="X14" t="str">
            <v>uān</v>
          </cell>
          <cell r="Y14" t="str">
            <v>uát</v>
          </cell>
        </row>
        <row r="15">
          <cell r="R15" t="str">
            <v>ōo</v>
          </cell>
          <cell r="S15" t="str">
            <v>óo</v>
          </cell>
          <cell r="T15" t="str">
            <v>ǒo</v>
          </cell>
          <cell r="U15" t="str">
            <v>ǒoh</v>
          </cell>
          <cell r="V15" t="str">
            <v>òo</v>
          </cell>
          <cell r="W15" t="str">
            <v>ôo</v>
          </cell>
          <cell r="X15" t="str">
            <v>ōo</v>
          </cell>
          <cell r="Y15" t="str">
            <v>óoh</v>
          </cell>
        </row>
        <row r="16">
          <cell r="R16" t="str">
            <v>iāo</v>
          </cell>
          <cell r="S16" t="str">
            <v>iáo</v>
          </cell>
          <cell r="T16" t="str">
            <v>iǎo</v>
          </cell>
          <cell r="U16" t="str">
            <v>iǎoh</v>
          </cell>
          <cell r="V16" t="str">
            <v>iào</v>
          </cell>
          <cell r="W16" t="str">
            <v>iâo</v>
          </cell>
          <cell r="X16" t="str">
            <v>iāo</v>
          </cell>
          <cell r="Y16" t="str">
            <v>iáoh</v>
          </cell>
        </row>
        <row r="17">
          <cell r="R17" t="str">
            <v>ē</v>
          </cell>
          <cell r="S17" t="str">
            <v>é</v>
          </cell>
          <cell r="T17" t="str">
            <v>ě</v>
          </cell>
          <cell r="U17" t="str">
            <v>ěh</v>
          </cell>
          <cell r="V17" t="str">
            <v>è</v>
          </cell>
          <cell r="W17" t="str">
            <v>ê</v>
          </cell>
          <cell r="X17" t="str">
            <v>ē</v>
          </cell>
          <cell r="Y17" t="str">
            <v>éh</v>
          </cell>
        </row>
        <row r="18">
          <cell r="R18" t="str">
            <v>iōng</v>
          </cell>
          <cell r="S18" t="str">
            <v>ióng</v>
          </cell>
          <cell r="T18" t="str">
            <v>iǒng</v>
          </cell>
          <cell r="U18" t="str">
            <v>iǒk</v>
          </cell>
          <cell r="V18" t="str">
            <v>iòng</v>
          </cell>
          <cell r="W18" t="str">
            <v>iông</v>
          </cell>
          <cell r="X18" t="str">
            <v>iōng</v>
          </cell>
          <cell r="Y18" t="str">
            <v>iók</v>
          </cell>
        </row>
        <row r="19">
          <cell r="R19" t="str">
            <v>ō</v>
          </cell>
          <cell r="S19" t="str">
            <v>ó</v>
          </cell>
          <cell r="T19" t="str">
            <v>ǒ</v>
          </cell>
          <cell r="U19" t="str">
            <v>ǒh</v>
          </cell>
          <cell r="V19" t="str">
            <v>ò</v>
          </cell>
          <cell r="W19" t="str">
            <v>ô</v>
          </cell>
          <cell r="X19" t="str">
            <v>ō</v>
          </cell>
          <cell r="Y19" t="str">
            <v>óh</v>
          </cell>
        </row>
        <row r="20">
          <cell r="R20" t="str">
            <v>āi</v>
          </cell>
          <cell r="S20" t="str">
            <v>ái</v>
          </cell>
          <cell r="T20" t="str">
            <v>ǎi</v>
          </cell>
          <cell r="U20" t="str">
            <v>ǎih</v>
          </cell>
          <cell r="V20" t="str">
            <v>ài</v>
          </cell>
          <cell r="W20" t="str">
            <v>âi</v>
          </cell>
          <cell r="X20" t="str">
            <v>āi</v>
          </cell>
          <cell r="Y20" t="str">
            <v>áih</v>
          </cell>
        </row>
        <row r="21">
          <cell r="R21" t="str">
            <v>īn</v>
          </cell>
          <cell r="S21" t="str">
            <v>ín</v>
          </cell>
          <cell r="T21" t="str">
            <v>ǐn</v>
          </cell>
          <cell r="U21" t="str">
            <v>ǐt</v>
          </cell>
          <cell r="V21" t="str">
            <v>ìn</v>
          </cell>
          <cell r="W21" t="str">
            <v>în</v>
          </cell>
          <cell r="X21" t="str">
            <v>īn</v>
          </cell>
          <cell r="Y21" t="str">
            <v>ít</v>
          </cell>
        </row>
        <row r="22">
          <cell r="R22" t="str">
            <v>iāng</v>
          </cell>
          <cell r="S22" t="str">
            <v>iáng</v>
          </cell>
          <cell r="T22" t="str">
            <v>iǎng</v>
          </cell>
          <cell r="U22" t="str">
            <v>iǎk</v>
          </cell>
          <cell r="V22" t="str">
            <v>iàng</v>
          </cell>
          <cell r="W22" t="str">
            <v>iâng</v>
          </cell>
          <cell r="X22" t="str">
            <v>iāng</v>
          </cell>
          <cell r="Y22" t="str">
            <v>iák</v>
          </cell>
        </row>
        <row r="23">
          <cell r="R23" t="str">
            <v>ām</v>
          </cell>
          <cell r="S23" t="str">
            <v>ám</v>
          </cell>
          <cell r="T23" t="str">
            <v>ǎm</v>
          </cell>
          <cell r="U23" t="str">
            <v>ǎp</v>
          </cell>
          <cell r="V23" t="str">
            <v>àm</v>
          </cell>
          <cell r="W23" t="str">
            <v>âm</v>
          </cell>
          <cell r="X23" t="str">
            <v>ām</v>
          </cell>
          <cell r="Y23" t="str">
            <v>áp</v>
          </cell>
        </row>
        <row r="24">
          <cell r="R24" t="str">
            <v>ūa</v>
          </cell>
          <cell r="S24" t="str">
            <v>úa</v>
          </cell>
          <cell r="T24" t="str">
            <v>ǔa</v>
          </cell>
          <cell r="U24" t="str">
            <v>ǔah</v>
          </cell>
          <cell r="V24" t="str">
            <v>ùa</v>
          </cell>
          <cell r="W24" t="str">
            <v>ûa</v>
          </cell>
          <cell r="X24" t="str">
            <v>ūa</v>
          </cell>
          <cell r="Y24" t="str">
            <v>úah</v>
          </cell>
        </row>
        <row r="25">
          <cell r="R25" t="str">
            <v>āng</v>
          </cell>
          <cell r="S25" t="str">
            <v>áng</v>
          </cell>
          <cell r="T25" t="str">
            <v>ǎng</v>
          </cell>
          <cell r="U25" t="str">
            <v>ǎk</v>
          </cell>
          <cell r="V25" t="str">
            <v>àng</v>
          </cell>
          <cell r="W25" t="str">
            <v>âng</v>
          </cell>
          <cell r="X25" t="str">
            <v>āng</v>
          </cell>
          <cell r="Y25" t="str">
            <v>ák</v>
          </cell>
        </row>
        <row r="26">
          <cell r="R26" t="str">
            <v>iām</v>
          </cell>
          <cell r="S26" t="str">
            <v>iám</v>
          </cell>
          <cell r="T26" t="str">
            <v>iǎm</v>
          </cell>
          <cell r="U26" t="str">
            <v>iǎp</v>
          </cell>
          <cell r="V26" t="str">
            <v>iàm</v>
          </cell>
          <cell r="W26" t="str">
            <v>iâm</v>
          </cell>
          <cell r="X26" t="str">
            <v>iām</v>
          </cell>
          <cell r="Y26" t="str">
            <v>iáp</v>
          </cell>
        </row>
        <row r="27">
          <cell r="R27" t="str">
            <v>āo</v>
          </cell>
          <cell r="S27" t="str">
            <v>áo</v>
          </cell>
          <cell r="T27" t="str">
            <v>ǎo</v>
          </cell>
          <cell r="U27" t="str">
            <v>ǎoh</v>
          </cell>
          <cell r="V27" t="str">
            <v>ào</v>
          </cell>
          <cell r="W27" t="str">
            <v>âo</v>
          </cell>
          <cell r="X27" t="str">
            <v>āo</v>
          </cell>
          <cell r="Y27" t="str">
            <v>áoh</v>
          </cell>
        </row>
        <row r="28">
          <cell r="R28" t="str">
            <v>iā</v>
          </cell>
          <cell r="S28" t="str">
            <v>iá</v>
          </cell>
          <cell r="T28" t="str">
            <v>iǎ</v>
          </cell>
          <cell r="U28" t="str">
            <v>iǎh</v>
          </cell>
          <cell r="V28" t="str">
            <v>ià</v>
          </cell>
          <cell r="W28" t="str">
            <v>iâ</v>
          </cell>
          <cell r="X28" t="str">
            <v>iā</v>
          </cell>
          <cell r="Y28" t="str">
            <v>iáh</v>
          </cell>
        </row>
        <row r="29">
          <cell r="R29" t="str">
            <v>ūe</v>
          </cell>
          <cell r="S29" t="str">
            <v>úe</v>
          </cell>
          <cell r="T29" t="str">
            <v>ǔe</v>
          </cell>
          <cell r="U29" t="str">
            <v>ǔeh</v>
          </cell>
          <cell r="V29" t="str">
            <v>ùe</v>
          </cell>
          <cell r="W29" t="str">
            <v>ûe</v>
          </cell>
          <cell r="X29" t="str">
            <v>ūe</v>
          </cell>
          <cell r="Y29" t="str">
            <v>úeh</v>
          </cell>
        </row>
        <row r="30">
          <cell r="R30" t="str">
            <v>nā</v>
          </cell>
          <cell r="S30" t="str">
            <v>ná</v>
          </cell>
          <cell r="T30" t="str">
            <v>nǎ</v>
          </cell>
          <cell r="U30" t="str">
            <v>nǎh</v>
          </cell>
          <cell r="V30" t="str">
            <v>nà</v>
          </cell>
          <cell r="W30" t="str">
            <v>nâ</v>
          </cell>
          <cell r="X30" t="str">
            <v>nā</v>
          </cell>
          <cell r="Y30" t="str">
            <v>náh</v>
          </cell>
        </row>
        <row r="31">
          <cell r="R31" t="str">
            <v>ū</v>
          </cell>
          <cell r="S31" t="str">
            <v>ú</v>
          </cell>
          <cell r="T31" t="str">
            <v>ǔ</v>
          </cell>
          <cell r="U31" t="str">
            <v>ǔh</v>
          </cell>
          <cell r="V31" t="str">
            <v>ù</v>
          </cell>
          <cell r="W31" t="str">
            <v>û</v>
          </cell>
          <cell r="X31" t="str">
            <v>ū</v>
          </cell>
          <cell r="Y31" t="str">
            <v>úh</v>
          </cell>
        </row>
        <row r="32">
          <cell r="R32" t="str">
            <v>ā</v>
          </cell>
          <cell r="S32" t="str">
            <v>á</v>
          </cell>
          <cell r="T32" t="str">
            <v>ǎ</v>
          </cell>
          <cell r="U32" t="str">
            <v>ǎh</v>
          </cell>
          <cell r="V32" t="str">
            <v>à</v>
          </cell>
          <cell r="W32" t="str">
            <v>â</v>
          </cell>
          <cell r="X32" t="str">
            <v>ā</v>
          </cell>
          <cell r="Y32" t="str">
            <v>áh</v>
          </cell>
        </row>
        <row r="33">
          <cell r="R33" t="str">
            <v>ī</v>
          </cell>
          <cell r="S33" t="str">
            <v>í</v>
          </cell>
          <cell r="T33" t="str">
            <v>ǐ</v>
          </cell>
          <cell r="U33" t="str">
            <v>ǐh</v>
          </cell>
          <cell r="V33" t="str">
            <v>ì</v>
          </cell>
          <cell r="W33" t="str">
            <v>î</v>
          </cell>
          <cell r="X33" t="str">
            <v>ī</v>
          </cell>
          <cell r="Y33" t="str">
            <v>íh</v>
          </cell>
        </row>
        <row r="34">
          <cell r="R34" t="str">
            <v>iū</v>
          </cell>
          <cell r="S34" t="str">
            <v>iú</v>
          </cell>
          <cell r="T34" t="str">
            <v>iǔ</v>
          </cell>
          <cell r="U34" t="str">
            <v>iǔh</v>
          </cell>
          <cell r="V34" t="str">
            <v>iù</v>
          </cell>
          <cell r="W34" t="str">
            <v>iû</v>
          </cell>
          <cell r="X34" t="str">
            <v>iū</v>
          </cell>
          <cell r="Y34" t="str">
            <v>iúh</v>
          </cell>
        </row>
        <row r="35">
          <cell r="R35" t="str">
            <v>nē</v>
          </cell>
          <cell r="S35" t="str">
            <v>né</v>
          </cell>
          <cell r="T35" t="str">
            <v>ně</v>
          </cell>
          <cell r="U35" t="str">
            <v>něh</v>
          </cell>
          <cell r="V35" t="str">
            <v>nè</v>
          </cell>
          <cell r="W35" t="str">
            <v>nê</v>
          </cell>
          <cell r="X35" t="str">
            <v>nē</v>
          </cell>
          <cell r="Y35" t="str">
            <v>néh</v>
          </cell>
        </row>
        <row r="36">
          <cell r="R36" t="str">
            <v>nūi</v>
          </cell>
          <cell r="S36" t="str">
            <v>núi</v>
          </cell>
          <cell r="T36" t="str">
            <v>nǔi</v>
          </cell>
          <cell r="U36" t="str">
            <v>nǔih</v>
          </cell>
          <cell r="V36" t="str">
            <v>nùi</v>
          </cell>
          <cell r="W36" t="str">
            <v>nûi</v>
          </cell>
          <cell r="X36" t="str">
            <v>nūi</v>
          </cell>
          <cell r="Y36" t="str">
            <v>núih</v>
          </cell>
        </row>
        <row r="37">
          <cell r="R37" t="str">
            <v>iō</v>
          </cell>
          <cell r="S37" t="str">
            <v>ió</v>
          </cell>
          <cell r="T37" t="str">
            <v>iǒ</v>
          </cell>
          <cell r="U37" t="str">
            <v>iǒh</v>
          </cell>
          <cell r="V37" t="str">
            <v>iò</v>
          </cell>
          <cell r="W37" t="str">
            <v>iô</v>
          </cell>
          <cell r="X37" t="str">
            <v>iō</v>
          </cell>
          <cell r="Y37" t="str">
            <v>ióh</v>
          </cell>
        </row>
        <row r="38">
          <cell r="R38" t="str">
            <v>nī</v>
          </cell>
          <cell r="S38" t="str">
            <v>ní</v>
          </cell>
          <cell r="T38" t="str">
            <v>nǐ</v>
          </cell>
          <cell r="U38" t="str">
            <v>nǐh</v>
          </cell>
          <cell r="V38" t="str">
            <v>nì</v>
          </cell>
          <cell r="W38" t="str">
            <v>nî</v>
          </cell>
          <cell r="X38" t="str">
            <v>nī</v>
          </cell>
          <cell r="Y38" t="str">
            <v>níh</v>
          </cell>
        </row>
        <row r="39">
          <cell r="R39" t="str">
            <v>niōō</v>
          </cell>
          <cell r="S39" t="str">
            <v>nióó</v>
          </cell>
          <cell r="T39" t="str">
            <v>niǒǒ</v>
          </cell>
          <cell r="U39" t="str">
            <v>niǒǒh</v>
          </cell>
          <cell r="V39" t="str">
            <v>niòò</v>
          </cell>
          <cell r="W39" t="str">
            <v>niôô</v>
          </cell>
          <cell r="X39" t="str">
            <v>niōō</v>
          </cell>
          <cell r="Y39" t="str">
            <v>nióóh</v>
          </cell>
        </row>
        <row r="40">
          <cell r="R40" t="str">
            <v>niā</v>
          </cell>
          <cell r="S40" t="str">
            <v>niá</v>
          </cell>
          <cell r="T40" t="str">
            <v>niǎ</v>
          </cell>
          <cell r="U40" t="str">
            <v>niǎh</v>
          </cell>
          <cell r="V40" t="str">
            <v>nià</v>
          </cell>
          <cell r="W40" t="str">
            <v>niâ</v>
          </cell>
          <cell r="X40" t="str">
            <v>niā</v>
          </cell>
          <cell r="Y40" t="str">
            <v>niáh</v>
          </cell>
        </row>
        <row r="41">
          <cell r="R41" t="str">
            <v>nūa</v>
          </cell>
          <cell r="S41" t="str">
            <v>núa</v>
          </cell>
          <cell r="T41" t="str">
            <v>nǔa</v>
          </cell>
          <cell r="U41" t="str">
            <v>nǔah</v>
          </cell>
          <cell r="V41" t="str">
            <v>nùa</v>
          </cell>
          <cell r="W41" t="str">
            <v>nûa</v>
          </cell>
          <cell r="X41" t="str">
            <v>nūa</v>
          </cell>
          <cell r="Y41" t="str">
            <v>núah</v>
          </cell>
        </row>
        <row r="42">
          <cell r="R42" t="str">
            <v>n̄g</v>
          </cell>
          <cell r="S42" t="str">
            <v>ńg</v>
          </cell>
          <cell r="T42" t="str">
            <v>ňg</v>
          </cell>
          <cell r="U42" t="str">
            <v>ňh</v>
          </cell>
          <cell r="V42" t="str">
            <v>ǹg</v>
          </cell>
          <cell r="W42" t="str">
            <v>n̂g</v>
          </cell>
          <cell r="X42" t="str">
            <v>n̄g</v>
          </cell>
          <cell r="Y42" t="str">
            <v>ńgh</v>
          </cell>
        </row>
        <row r="43">
          <cell r="R43" t="str">
            <v>ē</v>
          </cell>
          <cell r="S43" t="str">
            <v>é</v>
          </cell>
          <cell r="T43" t="str">
            <v>ě</v>
          </cell>
          <cell r="U43" t="str">
            <v>ěh</v>
          </cell>
          <cell r="V43" t="str">
            <v>è</v>
          </cell>
          <cell r="W43" t="str">
            <v>ê</v>
          </cell>
          <cell r="X43" t="str">
            <v>ē</v>
          </cell>
          <cell r="Y43" t="str">
            <v>éh</v>
          </cell>
        </row>
        <row r="44">
          <cell r="R44" t="str">
            <v>nāi</v>
          </cell>
          <cell r="S44" t="str">
            <v>nái</v>
          </cell>
          <cell r="T44" t="str">
            <v>nǎi</v>
          </cell>
          <cell r="U44" t="str">
            <v>nǎih</v>
          </cell>
          <cell r="V44" t="str">
            <v>nài</v>
          </cell>
          <cell r="W44" t="str">
            <v>nâi</v>
          </cell>
          <cell r="X44" t="str">
            <v>nāi</v>
          </cell>
          <cell r="Y44" t="str">
            <v>náih</v>
          </cell>
        </row>
        <row r="45">
          <cell r="R45" t="str">
            <v>nōō</v>
          </cell>
          <cell r="S45" t="str">
            <v>nóó</v>
          </cell>
          <cell r="T45" t="str">
            <v>nǒǒ</v>
          </cell>
          <cell r="U45" t="str">
            <v>nǒǒh</v>
          </cell>
          <cell r="V45" t="str">
            <v>nòò</v>
          </cell>
          <cell r="W45" t="str">
            <v>nôô</v>
          </cell>
          <cell r="X45" t="str">
            <v>nōō</v>
          </cell>
          <cell r="Y45" t="str">
            <v>nóóh</v>
          </cell>
        </row>
        <row r="46">
          <cell r="R46" t="str">
            <v>m̄</v>
          </cell>
          <cell r="S46" t="str">
            <v>ḿ</v>
          </cell>
          <cell r="T46" t="str">
            <v>m̌</v>
          </cell>
          <cell r="U46" t="str">
            <v>m̌h</v>
          </cell>
          <cell r="V46" t="str">
            <v>m̀</v>
          </cell>
          <cell r="W46" t="str">
            <v>m̂</v>
          </cell>
          <cell r="X46" t="str">
            <v>m̄</v>
          </cell>
          <cell r="Y46" t="str">
            <v>ḿh</v>
          </cell>
        </row>
        <row r="47">
          <cell r="R47" t="str">
            <v>uāng</v>
          </cell>
          <cell r="S47" t="str">
            <v>uáng</v>
          </cell>
          <cell r="T47" t="str">
            <v>uǎng</v>
          </cell>
          <cell r="U47" t="str">
            <v>uǎk</v>
          </cell>
          <cell r="V47" t="str">
            <v>uàng</v>
          </cell>
          <cell r="W47" t="str">
            <v>uâng</v>
          </cell>
          <cell r="X47" t="str">
            <v>uāng</v>
          </cell>
          <cell r="Y47" t="str">
            <v>uák</v>
          </cell>
        </row>
        <row r="48">
          <cell r="R48" t="str">
            <v>nuāi</v>
          </cell>
          <cell r="S48" t="str">
            <v>nuái</v>
          </cell>
          <cell r="T48" t="str">
            <v>nuǎi</v>
          </cell>
          <cell r="U48" t="str">
            <v>nuǎih</v>
          </cell>
          <cell r="V48" t="str">
            <v>nuài</v>
          </cell>
          <cell r="W48" t="str">
            <v>nuâi</v>
          </cell>
          <cell r="X48" t="str">
            <v>nuāi</v>
          </cell>
          <cell r="Y48" t="str">
            <v>nuáih</v>
          </cell>
        </row>
        <row r="49">
          <cell r="R49" t="str">
            <v>nūe</v>
          </cell>
          <cell r="S49" t="str">
            <v>núe</v>
          </cell>
          <cell r="T49" t="str">
            <v>nǔe</v>
          </cell>
          <cell r="U49" t="str">
            <v>nǔeh</v>
          </cell>
          <cell r="V49" t="str">
            <v>nùe</v>
          </cell>
          <cell r="W49" t="str">
            <v>nûe</v>
          </cell>
          <cell r="X49" t="str">
            <v>nūe</v>
          </cell>
          <cell r="Y49" t="str">
            <v>núeh</v>
          </cell>
        </row>
        <row r="50">
          <cell r="R50" t="str">
            <v>niāo</v>
          </cell>
          <cell r="S50" t="str">
            <v>niáo</v>
          </cell>
          <cell r="T50" t="str">
            <v>niǎo</v>
          </cell>
          <cell r="U50" t="str">
            <v>niǎoh</v>
          </cell>
          <cell r="V50" t="str">
            <v>niào</v>
          </cell>
          <cell r="W50" t="str">
            <v>niâo</v>
          </cell>
          <cell r="X50" t="str">
            <v>niāo</v>
          </cell>
          <cell r="Y50" t="str">
            <v>niáoh</v>
          </cell>
        </row>
        <row r="51">
          <cell r="R51" t="str">
            <v>ōm</v>
          </cell>
          <cell r="S51" t="str">
            <v>óm</v>
          </cell>
          <cell r="T51" t="str">
            <v>ǒm</v>
          </cell>
          <cell r="U51" t="str">
            <v>ǒp</v>
          </cell>
          <cell r="V51" t="str">
            <v>òm</v>
          </cell>
          <cell r="W51" t="str">
            <v>ôm</v>
          </cell>
          <cell r="X51" t="str">
            <v>ōm</v>
          </cell>
          <cell r="Y51" t="str">
            <v>óp</v>
          </cell>
        </row>
        <row r="52">
          <cell r="R52" t="str">
            <v>nāo</v>
          </cell>
          <cell r="S52" t="str">
            <v>náo</v>
          </cell>
          <cell r="T52" t="str">
            <v>nǎo</v>
          </cell>
          <cell r="U52" t="str">
            <v>nǎoh</v>
          </cell>
          <cell r="V52" t="str">
            <v>nào</v>
          </cell>
          <cell r="W52" t="str">
            <v>nâo</v>
          </cell>
          <cell r="X52" t="str">
            <v>nāo</v>
          </cell>
          <cell r="Y52" t="str">
            <v>náoh</v>
          </cell>
        </row>
        <row r="53">
          <cell r="R53" t="str">
            <v>nō</v>
          </cell>
          <cell r="S53" t="str">
            <v>nó</v>
          </cell>
          <cell r="T53" t="str">
            <v>nǒ</v>
          </cell>
          <cell r="U53" t="str">
            <v>nǒh</v>
          </cell>
          <cell r="V53" t="str">
            <v>nò</v>
          </cell>
          <cell r="W53" t="str">
            <v>nô</v>
          </cell>
          <cell r="X53" t="str">
            <v>nō</v>
          </cell>
          <cell r="Y53" t="str">
            <v>nóh</v>
          </cell>
        </row>
        <row r="54">
          <cell r="R54" t="str">
            <v>niū</v>
          </cell>
          <cell r="S54" t="str">
            <v>niú</v>
          </cell>
          <cell r="T54" t="str">
            <v>niǔ</v>
          </cell>
          <cell r="U54" t="str">
            <v>niǔh</v>
          </cell>
          <cell r="V54" t="str">
            <v>niù</v>
          </cell>
          <cell r="W54" t="str">
            <v>niû</v>
          </cell>
          <cell r="X54" t="str">
            <v>niū</v>
          </cell>
          <cell r="Y54" t="str">
            <v>niúh</v>
          </cell>
        </row>
      </sheetData>
      <sheetData sheetId="30" refreshError="1"/>
      <sheetData sheetId="31" refreshError="1"/>
      <sheetData sheetId="32">
        <row r="5">
          <cell r="R5" t="str">
            <v>un</v>
          </cell>
          <cell r="S5" t="str">
            <v>ún</v>
          </cell>
          <cell r="T5" t="str">
            <v>ùn</v>
          </cell>
          <cell r="U5" t="str">
            <v>ut</v>
          </cell>
          <cell r="V5" t="str">
            <v>ûn</v>
          </cell>
          <cell r="W5" t="str">
            <v>ùn</v>
          </cell>
          <cell r="X5" t="str">
            <v>ūn</v>
          </cell>
          <cell r="Y5" t="str">
            <v>u̍t</v>
          </cell>
        </row>
        <row r="6">
          <cell r="R6" t="str">
            <v>ian</v>
          </cell>
          <cell r="S6" t="str">
            <v>ián</v>
          </cell>
          <cell r="T6" t="str">
            <v>iàn</v>
          </cell>
          <cell r="U6" t="str">
            <v>iat</v>
          </cell>
          <cell r="V6" t="str">
            <v>iân</v>
          </cell>
          <cell r="W6" t="str">
            <v>iàn</v>
          </cell>
          <cell r="X6" t="str">
            <v>iān</v>
          </cell>
          <cell r="Y6" t="str">
            <v>ia̍t</v>
          </cell>
        </row>
        <row r="7">
          <cell r="R7" t="str">
            <v>im</v>
          </cell>
          <cell r="S7" t="str">
            <v>ím</v>
          </cell>
          <cell r="T7" t="str">
            <v>ìm</v>
          </cell>
          <cell r="U7" t="str">
            <v>ip</v>
          </cell>
          <cell r="V7" t="str">
            <v>îm</v>
          </cell>
          <cell r="W7" t="str">
            <v>ìm</v>
          </cell>
          <cell r="X7" t="str">
            <v>īm</v>
          </cell>
          <cell r="Y7" t="str">
            <v>i̍p</v>
          </cell>
        </row>
        <row r="8">
          <cell r="R8" t="str">
            <v>ui</v>
          </cell>
          <cell r="S8" t="str">
            <v>úi</v>
          </cell>
          <cell r="T8" t="str">
            <v>ùi</v>
          </cell>
          <cell r="U8" t="str">
            <v>uih</v>
          </cell>
          <cell r="V8" t="str">
            <v>ûi</v>
          </cell>
          <cell r="W8" t="str">
            <v>ùi</v>
          </cell>
          <cell r="X8" t="str">
            <v>ūi</v>
          </cell>
          <cell r="Y8" t="str">
            <v>u̍ih</v>
          </cell>
        </row>
        <row r="9">
          <cell r="R9" t="str">
            <v>ee</v>
          </cell>
          <cell r="S9" t="str">
            <v>éé</v>
          </cell>
          <cell r="T9" t="str">
            <v>èè</v>
          </cell>
          <cell r="U9" t="str">
            <v>eeh</v>
          </cell>
          <cell r="V9" t="str">
            <v>êê</v>
          </cell>
          <cell r="W9" t="str">
            <v>èè</v>
          </cell>
          <cell r="X9" t="str">
            <v>ēē</v>
          </cell>
          <cell r="Y9" t="str">
            <v>e̍e̍h</v>
          </cell>
        </row>
        <row r="10">
          <cell r="R10" t="str">
            <v>an</v>
          </cell>
          <cell r="S10" t="str">
            <v>án</v>
          </cell>
          <cell r="T10" t="str">
            <v>àn</v>
          </cell>
          <cell r="U10" t="str">
            <v>at</v>
          </cell>
          <cell r="V10" t="str">
            <v>ân</v>
          </cell>
          <cell r="W10" t="str">
            <v>àn</v>
          </cell>
          <cell r="X10" t="str">
            <v>ān</v>
          </cell>
          <cell r="Y10" t="str">
            <v>a̍t</v>
          </cell>
        </row>
        <row r="11">
          <cell r="R11" t="str">
            <v>ong</v>
          </cell>
          <cell r="S11" t="str">
            <v>óng</v>
          </cell>
          <cell r="T11" t="str">
            <v>òng</v>
          </cell>
          <cell r="U11" t="str">
            <v>ok</v>
          </cell>
          <cell r="V11" t="str">
            <v>ông</v>
          </cell>
          <cell r="W11" t="str">
            <v>òng</v>
          </cell>
          <cell r="X11" t="str">
            <v>ōng</v>
          </cell>
          <cell r="Y11" t="str">
            <v>o̍k</v>
          </cell>
        </row>
        <row r="12">
          <cell r="R12" t="str">
            <v>oai</v>
          </cell>
          <cell r="S12" t="str">
            <v>oái</v>
          </cell>
          <cell r="T12" t="str">
            <v>oài</v>
          </cell>
          <cell r="U12" t="str">
            <v>oaih</v>
          </cell>
          <cell r="V12" t="str">
            <v>oâi</v>
          </cell>
          <cell r="W12" t="str">
            <v>oài</v>
          </cell>
          <cell r="X12" t="str">
            <v>oāi</v>
          </cell>
          <cell r="Y12" t="str">
            <v>oa̍ih</v>
          </cell>
        </row>
        <row r="13">
          <cell r="R13" t="str">
            <v>eng</v>
          </cell>
          <cell r="S13" t="str">
            <v>éng</v>
          </cell>
          <cell r="T13" t="str">
            <v>èng</v>
          </cell>
          <cell r="U13" t="str">
            <v>ek</v>
          </cell>
          <cell r="V13" t="str">
            <v>êng</v>
          </cell>
          <cell r="W13" t="str">
            <v>èng</v>
          </cell>
          <cell r="X13" t="str">
            <v>ēng</v>
          </cell>
          <cell r="Y13" t="str">
            <v>e̍k</v>
          </cell>
        </row>
        <row r="14">
          <cell r="R14" t="str">
            <v>oan</v>
          </cell>
          <cell r="S14" t="str">
            <v>oán</v>
          </cell>
          <cell r="T14" t="str">
            <v>oàn</v>
          </cell>
          <cell r="U14" t="str">
            <v>oat</v>
          </cell>
          <cell r="V14" t="str">
            <v>oân</v>
          </cell>
          <cell r="W14" t="str">
            <v>oàn</v>
          </cell>
          <cell r="X14" t="str">
            <v>oān</v>
          </cell>
          <cell r="Y14" t="str">
            <v>oa̍t</v>
          </cell>
        </row>
        <row r="15">
          <cell r="R15" t="str">
            <v>o͘</v>
          </cell>
          <cell r="S15" t="str">
            <v>ó͘</v>
          </cell>
          <cell r="T15" t="str">
            <v>ò͘</v>
          </cell>
          <cell r="U15" t="str">
            <v>o͘h</v>
          </cell>
          <cell r="V15" t="str">
            <v>ô͘</v>
          </cell>
          <cell r="W15" t="str">
            <v xml:space="preserve"> ò͘</v>
          </cell>
          <cell r="X15" t="str">
            <v>ō͘</v>
          </cell>
          <cell r="Y15" t="str">
            <v>o̍͘h</v>
          </cell>
        </row>
        <row r="16">
          <cell r="R16" t="str">
            <v>iau</v>
          </cell>
          <cell r="S16" t="str">
            <v>iáu</v>
          </cell>
          <cell r="T16" t="str">
            <v>iàu</v>
          </cell>
          <cell r="U16" t="str">
            <v>iauh</v>
          </cell>
          <cell r="V16" t="str">
            <v>iâu</v>
          </cell>
          <cell r="W16" t="str">
            <v>iàu</v>
          </cell>
          <cell r="X16" t="str">
            <v>iāu</v>
          </cell>
          <cell r="Y16" t="str">
            <v>ia̍uh</v>
          </cell>
        </row>
        <row r="17">
          <cell r="R17" t="str">
            <v>ei</v>
          </cell>
          <cell r="S17" t="str">
            <v>éi</v>
          </cell>
          <cell r="T17" t="str">
            <v>èi</v>
          </cell>
          <cell r="U17" t="str">
            <v>eih</v>
          </cell>
          <cell r="V17" t="str">
            <v>êi</v>
          </cell>
          <cell r="W17" t="str">
            <v>èi</v>
          </cell>
          <cell r="X17" t="str">
            <v>ēi</v>
          </cell>
          <cell r="Y17" t="str">
            <v>e̍ih</v>
          </cell>
        </row>
        <row r="18">
          <cell r="R18" t="str">
            <v>iong</v>
          </cell>
          <cell r="S18" t="str">
            <v>ióng</v>
          </cell>
          <cell r="T18" t="str">
            <v>iòng</v>
          </cell>
          <cell r="U18" t="str">
            <v>iok</v>
          </cell>
          <cell r="V18" t="str">
            <v>iông</v>
          </cell>
          <cell r="W18" t="str">
            <v>iòng</v>
          </cell>
          <cell r="X18" t="str">
            <v>iōng</v>
          </cell>
          <cell r="Y18" t="str">
            <v>io̍k</v>
          </cell>
        </row>
        <row r="19">
          <cell r="R19" t="str">
            <v>o</v>
          </cell>
          <cell r="S19" t="str">
            <v>ó</v>
          </cell>
          <cell r="T19" t="str">
            <v>ò</v>
          </cell>
          <cell r="U19" t="str">
            <v>oh</v>
          </cell>
          <cell r="V19" t="str">
            <v>ô</v>
          </cell>
          <cell r="W19" t="str">
            <v>ò</v>
          </cell>
          <cell r="X19" t="str">
            <v>ō</v>
          </cell>
          <cell r="Y19" t="str">
            <v>o̍h</v>
          </cell>
        </row>
        <row r="20">
          <cell r="R20" t="str">
            <v>ai</v>
          </cell>
          <cell r="S20" t="str">
            <v>ái</v>
          </cell>
          <cell r="T20" t="str">
            <v>ài</v>
          </cell>
          <cell r="U20" t="str">
            <v>aih</v>
          </cell>
          <cell r="V20" t="str">
            <v>âi</v>
          </cell>
          <cell r="W20" t="str">
            <v>ài</v>
          </cell>
          <cell r="X20" t="str">
            <v>āi</v>
          </cell>
          <cell r="Y20" t="str">
            <v>a̍ih</v>
          </cell>
        </row>
        <row r="21">
          <cell r="R21" t="str">
            <v>in</v>
          </cell>
          <cell r="S21" t="str">
            <v>ín</v>
          </cell>
          <cell r="T21" t="str">
            <v>ìn</v>
          </cell>
          <cell r="U21" t="str">
            <v>it</v>
          </cell>
          <cell r="V21" t="str">
            <v>în</v>
          </cell>
          <cell r="W21" t="str">
            <v>ìn</v>
          </cell>
          <cell r="X21" t="str">
            <v>īn</v>
          </cell>
          <cell r="Y21" t="str">
            <v>i̍t</v>
          </cell>
        </row>
        <row r="22">
          <cell r="R22" t="str">
            <v>iang</v>
          </cell>
          <cell r="S22" t="str">
            <v>iáng</v>
          </cell>
          <cell r="T22" t="str">
            <v>iàng</v>
          </cell>
          <cell r="U22" t="str">
            <v>iak</v>
          </cell>
          <cell r="V22" t="str">
            <v>iâng</v>
          </cell>
          <cell r="W22" t="str">
            <v>iàng</v>
          </cell>
          <cell r="X22" t="str">
            <v>iāng</v>
          </cell>
          <cell r="Y22" t="str">
            <v>ia̍k</v>
          </cell>
        </row>
        <row r="23">
          <cell r="R23" t="str">
            <v>am</v>
          </cell>
          <cell r="S23" t="str">
            <v>ám</v>
          </cell>
          <cell r="T23" t="str">
            <v>àm</v>
          </cell>
          <cell r="U23" t="str">
            <v>ap</v>
          </cell>
          <cell r="V23" t="str">
            <v>âm</v>
          </cell>
          <cell r="W23" t="str">
            <v>àm</v>
          </cell>
          <cell r="X23" t="str">
            <v>ām</v>
          </cell>
          <cell r="Y23" t="str">
            <v>a̍p</v>
          </cell>
        </row>
        <row r="24">
          <cell r="R24" t="str">
            <v>oa</v>
          </cell>
          <cell r="S24" t="str">
            <v>óa</v>
          </cell>
          <cell r="T24" t="str">
            <v>òa</v>
          </cell>
          <cell r="U24" t="str">
            <v>oah</v>
          </cell>
          <cell r="V24" t="str">
            <v>ôa</v>
          </cell>
          <cell r="W24" t="str">
            <v>òa</v>
          </cell>
          <cell r="X24" t="str">
            <v>ōa</v>
          </cell>
          <cell r="Y24" t="str">
            <v>o̍ah</v>
          </cell>
        </row>
        <row r="25">
          <cell r="R25" t="str">
            <v>ang</v>
          </cell>
          <cell r="S25" t="str">
            <v>áng</v>
          </cell>
          <cell r="T25" t="str">
            <v>àng</v>
          </cell>
          <cell r="U25" t="str">
            <v>ak</v>
          </cell>
          <cell r="V25" t="str">
            <v>âng</v>
          </cell>
          <cell r="W25" t="str">
            <v>àng</v>
          </cell>
          <cell r="X25" t="str">
            <v>āng</v>
          </cell>
          <cell r="Y25" t="str">
            <v>a̍k</v>
          </cell>
        </row>
        <row r="26">
          <cell r="R26" t="str">
            <v>iam</v>
          </cell>
          <cell r="S26" t="str">
            <v>iám</v>
          </cell>
          <cell r="T26" t="str">
            <v>iàm</v>
          </cell>
          <cell r="U26" t="str">
            <v>iap</v>
          </cell>
          <cell r="V26" t="str">
            <v>iâm</v>
          </cell>
          <cell r="W26" t="str">
            <v>iàm</v>
          </cell>
          <cell r="X26" t="str">
            <v>iām</v>
          </cell>
          <cell r="Y26" t="str">
            <v>ia̍p</v>
          </cell>
        </row>
        <row r="27">
          <cell r="R27" t="str">
            <v>au</v>
          </cell>
          <cell r="S27" t="str">
            <v>áu</v>
          </cell>
          <cell r="T27" t="str">
            <v>àu</v>
          </cell>
          <cell r="U27" t="str">
            <v>auh</v>
          </cell>
          <cell r="V27" t="str">
            <v>âu</v>
          </cell>
          <cell r="W27" t="str">
            <v>àu</v>
          </cell>
          <cell r="X27" t="str">
            <v>āu</v>
          </cell>
          <cell r="Y27" t="str">
            <v>a̍uh</v>
          </cell>
        </row>
        <row r="28">
          <cell r="R28" t="str">
            <v>ia</v>
          </cell>
          <cell r="S28" t="str">
            <v>iá</v>
          </cell>
          <cell r="T28" t="str">
            <v>ià</v>
          </cell>
          <cell r="U28" t="str">
            <v>iah</v>
          </cell>
          <cell r="V28" t="str">
            <v>iâ</v>
          </cell>
          <cell r="W28" t="str">
            <v>ià</v>
          </cell>
          <cell r="X28" t="str">
            <v>iā</v>
          </cell>
          <cell r="Y28" t="str">
            <v>ia̍h</v>
          </cell>
        </row>
        <row r="29">
          <cell r="R29" t="str">
            <v>oe</v>
          </cell>
          <cell r="S29" t="str">
            <v>óe</v>
          </cell>
          <cell r="T29" t="str">
            <v>òe</v>
          </cell>
          <cell r="U29" t="str">
            <v>oeh</v>
          </cell>
          <cell r="V29" t="str">
            <v>ôe</v>
          </cell>
          <cell r="W29" t="str">
            <v>òe</v>
          </cell>
          <cell r="X29" t="str">
            <v>ōe</v>
          </cell>
          <cell r="Y29" t="str">
            <v>o̍eh</v>
          </cell>
        </row>
        <row r="30">
          <cell r="R30" t="str">
            <v>ann</v>
          </cell>
          <cell r="S30" t="str">
            <v>ánn</v>
          </cell>
          <cell r="T30" t="str">
            <v>ànn</v>
          </cell>
          <cell r="U30" t="str">
            <v>ahnn</v>
          </cell>
          <cell r="V30" t="str">
            <v>ânn</v>
          </cell>
          <cell r="W30" t="str">
            <v>ànn</v>
          </cell>
          <cell r="X30" t="str">
            <v>ānn</v>
          </cell>
          <cell r="Y30" t="str">
            <v>a̍hnn</v>
          </cell>
        </row>
        <row r="31">
          <cell r="R31" t="str">
            <v>u</v>
          </cell>
          <cell r="S31" t="str">
            <v>ú</v>
          </cell>
          <cell r="T31" t="str">
            <v>ù</v>
          </cell>
          <cell r="U31" t="str">
            <v>uh</v>
          </cell>
          <cell r="V31" t="str">
            <v>û</v>
          </cell>
          <cell r="W31" t="str">
            <v>ù</v>
          </cell>
          <cell r="X31" t="str">
            <v>ū</v>
          </cell>
          <cell r="Y31" t="str">
            <v>u̍h</v>
          </cell>
        </row>
        <row r="32">
          <cell r="R32" t="str">
            <v>a</v>
          </cell>
          <cell r="S32" t="str">
            <v>á</v>
          </cell>
          <cell r="T32" t="str">
            <v>à</v>
          </cell>
          <cell r="U32" t="str">
            <v>ah</v>
          </cell>
          <cell r="V32" t="str">
            <v>â</v>
          </cell>
          <cell r="W32" t="str">
            <v>à</v>
          </cell>
          <cell r="X32" t="str">
            <v>ā</v>
          </cell>
          <cell r="Y32" t="str">
            <v>a̍h</v>
          </cell>
        </row>
        <row r="33">
          <cell r="R33" t="str">
            <v>i</v>
          </cell>
          <cell r="S33" t="str">
            <v>í</v>
          </cell>
          <cell r="T33" t="str">
            <v>ì</v>
          </cell>
          <cell r="U33" t="str">
            <v>ih</v>
          </cell>
          <cell r="V33" t="str">
            <v>î</v>
          </cell>
          <cell r="W33" t="str">
            <v>ì</v>
          </cell>
          <cell r="X33" t="str">
            <v>ī</v>
          </cell>
          <cell r="Y33" t="str">
            <v>i̍h</v>
          </cell>
        </row>
        <row r="34">
          <cell r="R34" t="str">
            <v>iu</v>
          </cell>
          <cell r="S34" t="str">
            <v>iú</v>
          </cell>
          <cell r="T34" t="str">
            <v>iù</v>
          </cell>
          <cell r="U34" t="str">
            <v>iuh</v>
          </cell>
          <cell r="V34" t="str">
            <v>iû</v>
          </cell>
          <cell r="W34" t="str">
            <v>iù</v>
          </cell>
          <cell r="X34" t="str">
            <v>iū</v>
          </cell>
          <cell r="Y34" t="str">
            <v>iu̍h</v>
          </cell>
        </row>
        <row r="35">
          <cell r="R35" t="str">
            <v>enn</v>
          </cell>
          <cell r="S35" t="str">
            <v>énn</v>
          </cell>
          <cell r="T35" t="str">
            <v>ènn</v>
          </cell>
          <cell r="U35" t="str">
            <v>ehnn</v>
          </cell>
          <cell r="V35" t="str">
            <v>ênn</v>
          </cell>
          <cell r="W35" t="str">
            <v>ènn</v>
          </cell>
          <cell r="X35" t="str">
            <v>ēnn</v>
          </cell>
          <cell r="Y35" t="str">
            <v>e̍hnn</v>
          </cell>
        </row>
        <row r="36">
          <cell r="R36" t="str">
            <v>uinn</v>
          </cell>
          <cell r="S36" t="str">
            <v>úinn</v>
          </cell>
          <cell r="T36" t="str">
            <v>ùinn</v>
          </cell>
          <cell r="U36" t="str">
            <v>uinnh</v>
          </cell>
          <cell r="V36" t="str">
            <v>ûinn</v>
          </cell>
          <cell r="W36" t="str">
            <v>ùinn</v>
          </cell>
          <cell r="X36" t="str">
            <v>ūinn</v>
          </cell>
          <cell r="Y36" t="str">
            <v>u̍innh</v>
          </cell>
        </row>
        <row r="37">
          <cell r="R37" t="str">
            <v>io</v>
          </cell>
          <cell r="S37" t="str">
            <v>ió</v>
          </cell>
          <cell r="T37" t="str">
            <v>iò</v>
          </cell>
          <cell r="U37" t="str">
            <v>ioh</v>
          </cell>
          <cell r="V37" t="str">
            <v>iô</v>
          </cell>
          <cell r="W37" t="str">
            <v>iò</v>
          </cell>
          <cell r="X37" t="str">
            <v>iō</v>
          </cell>
          <cell r="Y37" t="str">
            <v>io̍h</v>
          </cell>
        </row>
        <row r="38">
          <cell r="R38" t="str">
            <v>inn</v>
          </cell>
          <cell r="S38" t="str">
            <v>ínn</v>
          </cell>
          <cell r="T38" t="str">
            <v>ìnn</v>
          </cell>
          <cell r="U38" t="str">
            <v>ihnn</v>
          </cell>
          <cell r="V38" t="str">
            <v>înn</v>
          </cell>
          <cell r="W38" t="str">
            <v>ìnn</v>
          </cell>
          <cell r="X38" t="str">
            <v>īnn</v>
          </cell>
          <cell r="Y38" t="str">
            <v>i̍hnn</v>
          </cell>
        </row>
        <row r="39">
          <cell r="R39" t="str">
            <v>ionn</v>
          </cell>
          <cell r="S39" t="str">
            <v>iónn</v>
          </cell>
          <cell r="T39" t="str">
            <v>iònn</v>
          </cell>
          <cell r="U39" t="str">
            <v>ionnh</v>
          </cell>
          <cell r="V39" t="str">
            <v>iônn</v>
          </cell>
          <cell r="W39" t="str">
            <v>iònn</v>
          </cell>
          <cell r="X39" t="str">
            <v>iōnn</v>
          </cell>
          <cell r="Y39" t="str">
            <v>io̍nnh</v>
          </cell>
        </row>
        <row r="40">
          <cell r="R40" t="str">
            <v>iann</v>
          </cell>
          <cell r="S40" t="str">
            <v>iánn</v>
          </cell>
          <cell r="T40" t="str">
            <v>iànn</v>
          </cell>
          <cell r="U40" t="str">
            <v>iannh</v>
          </cell>
          <cell r="V40" t="str">
            <v>iânn</v>
          </cell>
          <cell r="W40" t="str">
            <v>iànn</v>
          </cell>
          <cell r="X40" t="str">
            <v>iānn</v>
          </cell>
          <cell r="Y40" t="str">
            <v>ia̍nnh</v>
          </cell>
        </row>
        <row r="41">
          <cell r="R41" t="str">
            <v>oann</v>
          </cell>
          <cell r="S41" t="str">
            <v>óann</v>
          </cell>
          <cell r="T41" t="str">
            <v>òann</v>
          </cell>
          <cell r="U41" t="str">
            <v>oannh</v>
          </cell>
          <cell r="V41" t="str">
            <v>ôann</v>
          </cell>
          <cell r="W41" t="str">
            <v>òann</v>
          </cell>
          <cell r="X41" t="str">
            <v>ōann</v>
          </cell>
          <cell r="Y41" t="str">
            <v>o̍annh</v>
          </cell>
        </row>
        <row r="42">
          <cell r="R42" t="str">
            <v>ng</v>
          </cell>
          <cell r="S42" t="str">
            <v>ńg</v>
          </cell>
          <cell r="T42" t="str">
            <v xml:space="preserve">ǹ </v>
          </cell>
          <cell r="U42" t="str">
            <v>ngh</v>
          </cell>
          <cell r="V42" t="str">
            <v>n̂g</v>
          </cell>
          <cell r="W42" t="str">
            <v>0</v>
          </cell>
          <cell r="X42" t="str">
            <v>n̄g</v>
          </cell>
          <cell r="Y42" t="str">
            <v>n̍gh</v>
          </cell>
        </row>
        <row r="43">
          <cell r="R43" t="str">
            <v>e</v>
          </cell>
          <cell r="S43" t="str">
            <v>é</v>
          </cell>
          <cell r="T43" t="str">
            <v>è</v>
          </cell>
          <cell r="U43" t="str">
            <v>eh</v>
          </cell>
          <cell r="V43" t="str">
            <v>ê</v>
          </cell>
          <cell r="W43" t="str">
            <v>è</v>
          </cell>
          <cell r="X43" t="str">
            <v>ē</v>
          </cell>
          <cell r="Y43" t="str">
            <v>e̍h</v>
          </cell>
        </row>
        <row r="44">
          <cell r="R44" t="str">
            <v>ainn</v>
          </cell>
          <cell r="S44" t="str">
            <v>áinn</v>
          </cell>
          <cell r="T44" t="str">
            <v>àinn</v>
          </cell>
          <cell r="U44" t="str">
            <v>ainnh</v>
          </cell>
          <cell r="V44" t="str">
            <v>âinn</v>
          </cell>
          <cell r="W44" t="str">
            <v>àinn</v>
          </cell>
          <cell r="X44" t="str">
            <v>āinn</v>
          </cell>
          <cell r="Y44" t="str">
            <v>a̍innh</v>
          </cell>
        </row>
        <row r="45">
          <cell r="R45" t="str">
            <v>onn</v>
          </cell>
          <cell r="S45" t="str">
            <v>ónn</v>
          </cell>
          <cell r="T45" t="str">
            <v>ònn</v>
          </cell>
          <cell r="U45" t="str">
            <v>onnh</v>
          </cell>
          <cell r="V45" t="str">
            <v>ônn</v>
          </cell>
          <cell r="W45" t="str">
            <v>ònn</v>
          </cell>
          <cell r="X45" t="str">
            <v>ōnn</v>
          </cell>
          <cell r="Y45" t="str">
            <v>o̍nnh</v>
          </cell>
        </row>
        <row r="46">
          <cell r="R46" t="str">
            <v>m</v>
          </cell>
          <cell r="S46" t="str">
            <v xml:space="preserve"> ḿ</v>
          </cell>
          <cell r="T46" t="str">
            <v>m̀</v>
          </cell>
          <cell r="U46" t="str">
            <v>mh</v>
          </cell>
          <cell r="V46" t="str">
            <v>m̂</v>
          </cell>
          <cell r="W46" t="str">
            <v>m̀</v>
          </cell>
          <cell r="X46" t="str">
            <v>m̄</v>
          </cell>
          <cell r="Y46" t="str">
            <v>m̍hh</v>
          </cell>
        </row>
        <row r="47">
          <cell r="R47" t="str">
            <v>oang</v>
          </cell>
          <cell r="S47" t="str">
            <v>oáng</v>
          </cell>
          <cell r="T47" t="str">
            <v>oàng</v>
          </cell>
          <cell r="U47" t="str">
            <v>oak</v>
          </cell>
          <cell r="V47" t="str">
            <v>oâng</v>
          </cell>
          <cell r="W47" t="str">
            <v>oàng</v>
          </cell>
          <cell r="X47" t="str">
            <v>oāng</v>
          </cell>
          <cell r="Y47" t="str">
            <v>oa̍k</v>
          </cell>
        </row>
        <row r="48">
          <cell r="R48" t="str">
            <v>oainn</v>
          </cell>
          <cell r="S48" t="str">
            <v>oáinn</v>
          </cell>
          <cell r="T48" t="str">
            <v>oàinn</v>
          </cell>
          <cell r="U48" t="str">
            <v>oaihnn</v>
          </cell>
          <cell r="V48" t="str">
            <v>oâinn</v>
          </cell>
          <cell r="W48" t="str">
            <v>oàinn</v>
          </cell>
          <cell r="X48" t="str">
            <v>oāinn</v>
          </cell>
          <cell r="Y48" t="str">
            <v>oa̍ihnn</v>
          </cell>
        </row>
        <row r="49">
          <cell r="R49" t="str">
            <v>oenn</v>
          </cell>
          <cell r="S49" t="str">
            <v>óenn</v>
          </cell>
          <cell r="T49" t="str">
            <v>òenn</v>
          </cell>
          <cell r="U49" t="str">
            <v>oennh</v>
          </cell>
          <cell r="V49" t="str">
            <v>ôenn</v>
          </cell>
          <cell r="W49" t="str">
            <v>òenn</v>
          </cell>
          <cell r="X49" t="str">
            <v>ōenn</v>
          </cell>
          <cell r="Y49" t="str">
            <v>o̍ennh</v>
          </cell>
        </row>
        <row r="50">
          <cell r="R50" t="str">
            <v>iaunn</v>
          </cell>
          <cell r="S50" t="str">
            <v>iáunn</v>
          </cell>
          <cell r="T50" t="str">
            <v>iàunn</v>
          </cell>
          <cell r="U50" t="str">
            <v>iauhnn</v>
          </cell>
          <cell r="V50" t="str">
            <v>iâunn</v>
          </cell>
          <cell r="W50" t="str">
            <v>iàunn</v>
          </cell>
          <cell r="X50" t="str">
            <v>iāunn</v>
          </cell>
          <cell r="Y50" t="str">
            <v>ia̍uhnn</v>
          </cell>
        </row>
        <row r="51">
          <cell r="R51" t="str">
            <v>om</v>
          </cell>
          <cell r="S51" t="str">
            <v>óm</v>
          </cell>
          <cell r="T51" t="str">
            <v>òm</v>
          </cell>
          <cell r="U51" t="str">
            <v>op</v>
          </cell>
          <cell r="V51" t="str">
            <v>ôm</v>
          </cell>
          <cell r="W51" t="str">
            <v>òm</v>
          </cell>
          <cell r="X51" t="str">
            <v>ōm</v>
          </cell>
          <cell r="Y51" t="str">
            <v>o̍p</v>
          </cell>
        </row>
        <row r="52">
          <cell r="R52" t="str">
            <v>aunn</v>
          </cell>
          <cell r="S52" t="str">
            <v>áunn</v>
          </cell>
          <cell r="T52" t="str">
            <v>àunn</v>
          </cell>
          <cell r="U52" t="str">
            <v>aunnh</v>
          </cell>
          <cell r="V52" t="str">
            <v>âunn</v>
          </cell>
          <cell r="W52" t="str">
            <v>àunn</v>
          </cell>
          <cell r="X52" t="str">
            <v>āunn</v>
          </cell>
          <cell r="Y52" t="str">
            <v>a̍unnh</v>
          </cell>
        </row>
        <row r="53">
          <cell r="R53" t="str">
            <v>onn</v>
          </cell>
          <cell r="S53" t="str">
            <v>ónn</v>
          </cell>
          <cell r="T53" t="str">
            <v>ònn</v>
          </cell>
          <cell r="U53" t="str">
            <v>ohnn</v>
          </cell>
          <cell r="V53" t="str">
            <v>ônn</v>
          </cell>
          <cell r="W53" t="str">
            <v>ònn</v>
          </cell>
          <cell r="X53" t="str">
            <v>ōnn</v>
          </cell>
          <cell r="Y53" t="str">
            <v>o̍hnn</v>
          </cell>
        </row>
        <row r="54">
          <cell r="R54" t="str">
            <v>iunn</v>
          </cell>
          <cell r="S54" t="str">
            <v>iúnn</v>
          </cell>
          <cell r="T54" t="str">
            <v>iùnn</v>
          </cell>
          <cell r="U54" t="str">
            <v>iunnh</v>
          </cell>
          <cell r="V54" t="str">
            <v>iûnn</v>
          </cell>
          <cell r="W54" t="str">
            <v>iùnn</v>
          </cell>
          <cell r="X54" t="str">
            <v>iūnn</v>
          </cell>
          <cell r="Y54" t="str">
            <v>iu̍nnh</v>
          </cell>
        </row>
      </sheetData>
      <sheetData sheetId="33" refreshError="1"/>
      <sheetData sheetId="34">
        <row r="5">
          <cell r="R5" t="str">
            <v>un</v>
          </cell>
          <cell r="S5" t="str">
            <v>ún</v>
          </cell>
          <cell r="T5" t="str">
            <v>ùn</v>
          </cell>
          <cell r="U5" t="str">
            <v>ut</v>
          </cell>
          <cell r="V5" t="str">
            <v>ûn</v>
          </cell>
          <cell r="W5" t="str">
            <v>ùn</v>
          </cell>
          <cell r="X5" t="str">
            <v>ūn</v>
          </cell>
          <cell r="Y5" t="str">
            <v>u̍t</v>
          </cell>
        </row>
        <row r="6">
          <cell r="R6" t="str">
            <v>ian</v>
          </cell>
          <cell r="S6" t="str">
            <v>ián</v>
          </cell>
          <cell r="T6" t="str">
            <v>iàn</v>
          </cell>
          <cell r="U6" t="str">
            <v>iat</v>
          </cell>
          <cell r="V6" t="str">
            <v>iân</v>
          </cell>
          <cell r="W6" t="str">
            <v>iàn</v>
          </cell>
          <cell r="X6" t="str">
            <v>iān</v>
          </cell>
          <cell r="Y6" t="str">
            <v>ia̍t</v>
          </cell>
        </row>
        <row r="7">
          <cell r="R7" t="str">
            <v>im</v>
          </cell>
          <cell r="S7" t="str">
            <v>ím</v>
          </cell>
          <cell r="T7" t="str">
            <v>ìm</v>
          </cell>
          <cell r="U7" t="str">
            <v>ip</v>
          </cell>
          <cell r="V7" t="str">
            <v>îm</v>
          </cell>
          <cell r="W7" t="str">
            <v>ìm</v>
          </cell>
          <cell r="X7" t="str">
            <v>īm</v>
          </cell>
          <cell r="Y7" t="str">
            <v>i̍p</v>
          </cell>
        </row>
        <row r="8">
          <cell r="R8" t="str">
            <v>ui</v>
          </cell>
          <cell r="S8" t="str">
            <v>úi</v>
          </cell>
          <cell r="T8" t="str">
            <v>ùi</v>
          </cell>
          <cell r="U8" t="str">
            <v>uih</v>
          </cell>
          <cell r="V8" t="str">
            <v>ûi</v>
          </cell>
          <cell r="W8" t="str">
            <v>ùi</v>
          </cell>
          <cell r="X8" t="str">
            <v>ūi</v>
          </cell>
          <cell r="Y8" t="str">
            <v>u̍ih</v>
          </cell>
        </row>
        <row r="9">
          <cell r="R9" t="str">
            <v>ee</v>
          </cell>
          <cell r="S9" t="str">
            <v>éé</v>
          </cell>
          <cell r="T9" t="str">
            <v>èè</v>
          </cell>
          <cell r="U9" t="str">
            <v>eh</v>
          </cell>
          <cell r="V9" t="str">
            <v>êê</v>
          </cell>
          <cell r="W9" t="str">
            <v>èè</v>
          </cell>
          <cell r="X9" t="str">
            <v>ēē</v>
          </cell>
          <cell r="Y9" t="str">
            <v>e̍h</v>
          </cell>
        </row>
        <row r="10">
          <cell r="R10" t="str">
            <v>an</v>
          </cell>
          <cell r="S10" t="str">
            <v>án</v>
          </cell>
          <cell r="T10" t="str">
            <v>àn</v>
          </cell>
          <cell r="U10" t="str">
            <v>ap</v>
          </cell>
          <cell r="V10" t="str">
            <v>ân</v>
          </cell>
          <cell r="W10" t="str">
            <v>àn</v>
          </cell>
          <cell r="X10" t="str">
            <v>ān</v>
          </cell>
          <cell r="Y10" t="str">
            <v>a̍p</v>
          </cell>
        </row>
        <row r="11">
          <cell r="R11" t="str">
            <v>ong</v>
          </cell>
          <cell r="S11" t="str">
            <v>óng</v>
          </cell>
          <cell r="T11" t="str">
            <v>òng</v>
          </cell>
          <cell r="U11" t="str">
            <v>ok</v>
          </cell>
          <cell r="V11" t="str">
            <v>ông</v>
          </cell>
          <cell r="W11" t="str">
            <v>òng</v>
          </cell>
          <cell r="X11" t="str">
            <v>ōng</v>
          </cell>
          <cell r="Y11" t="str">
            <v>o̍k</v>
          </cell>
        </row>
        <row r="12">
          <cell r="R12" t="str">
            <v>uai</v>
          </cell>
          <cell r="S12" t="str">
            <v>uái</v>
          </cell>
          <cell r="T12" t="str">
            <v>uài</v>
          </cell>
          <cell r="U12" t="str">
            <v>uaih</v>
          </cell>
          <cell r="V12" t="str">
            <v>uâi</v>
          </cell>
          <cell r="W12" t="str">
            <v>uài</v>
          </cell>
          <cell r="X12" t="str">
            <v>uāi</v>
          </cell>
          <cell r="Y12" t="str">
            <v>ua̍ih</v>
          </cell>
        </row>
        <row r="13">
          <cell r="R13" t="str">
            <v>ing</v>
          </cell>
          <cell r="S13" t="str">
            <v>íng</v>
          </cell>
          <cell r="T13" t="str">
            <v>ìng</v>
          </cell>
          <cell r="U13" t="str">
            <v>ik</v>
          </cell>
          <cell r="V13" t="str">
            <v>îng</v>
          </cell>
          <cell r="W13" t="str">
            <v>ìng</v>
          </cell>
          <cell r="X13" t="str">
            <v>īng</v>
          </cell>
          <cell r="Y13" t="str">
            <v>i̍k</v>
          </cell>
        </row>
        <row r="14">
          <cell r="R14" t="str">
            <v>uan</v>
          </cell>
          <cell r="S14" t="str">
            <v>uán</v>
          </cell>
          <cell r="T14" t="str">
            <v>uàn</v>
          </cell>
          <cell r="U14" t="str">
            <v>uat</v>
          </cell>
          <cell r="V14" t="str">
            <v>uân</v>
          </cell>
          <cell r="W14" t="str">
            <v>uàn</v>
          </cell>
          <cell r="X14" t="str">
            <v>uān</v>
          </cell>
          <cell r="Y14" t="str">
            <v>ua̍t</v>
          </cell>
        </row>
        <row r="15">
          <cell r="R15" t="str">
            <v>oo</v>
          </cell>
          <cell r="S15" t="str">
            <v>óo</v>
          </cell>
          <cell r="T15" t="str">
            <v>òo</v>
          </cell>
          <cell r="U15" t="str">
            <v>ooh</v>
          </cell>
          <cell r="V15" t="str">
            <v>ôo</v>
          </cell>
          <cell r="W15" t="str">
            <v>0</v>
          </cell>
          <cell r="X15" t="str">
            <v>ōo</v>
          </cell>
          <cell r="Y15" t="str">
            <v>o̍oh</v>
          </cell>
        </row>
        <row r="16">
          <cell r="R16" t="str">
            <v>iau</v>
          </cell>
          <cell r="S16" t="str">
            <v>iáu</v>
          </cell>
          <cell r="T16" t="str">
            <v>iàu</v>
          </cell>
          <cell r="U16" t="str">
            <v>iauh</v>
          </cell>
          <cell r="V16" t="str">
            <v>iâu</v>
          </cell>
          <cell r="W16" t="str">
            <v>iàu</v>
          </cell>
          <cell r="X16" t="str">
            <v>iāu</v>
          </cell>
          <cell r="Y16" t="str">
            <v>ia̍uh</v>
          </cell>
        </row>
        <row r="17">
          <cell r="R17" t="str">
            <v>e</v>
          </cell>
          <cell r="S17" t="str">
            <v>é</v>
          </cell>
          <cell r="T17" t="str">
            <v>è</v>
          </cell>
          <cell r="U17" t="str">
            <v>eh</v>
          </cell>
          <cell r="V17" t="str">
            <v>ê</v>
          </cell>
          <cell r="W17" t="str">
            <v>è</v>
          </cell>
          <cell r="X17" t="str">
            <v>ē</v>
          </cell>
          <cell r="Y17" t="str">
            <v>e̍h</v>
          </cell>
        </row>
        <row r="18">
          <cell r="R18" t="str">
            <v>iong</v>
          </cell>
          <cell r="S18" t="str">
            <v>ióng</v>
          </cell>
          <cell r="T18" t="str">
            <v>iòng</v>
          </cell>
          <cell r="U18" t="str">
            <v>iok</v>
          </cell>
          <cell r="V18" t="str">
            <v>iông</v>
          </cell>
          <cell r="W18" t="str">
            <v>iòng</v>
          </cell>
          <cell r="X18" t="str">
            <v>iōng</v>
          </cell>
          <cell r="Y18" t="str">
            <v>io̍k</v>
          </cell>
        </row>
        <row r="19">
          <cell r="R19" t="str">
            <v>o</v>
          </cell>
          <cell r="S19" t="str">
            <v>ó</v>
          </cell>
          <cell r="T19" t="str">
            <v>ò</v>
          </cell>
          <cell r="U19" t="str">
            <v>oh</v>
          </cell>
          <cell r="V19" t="str">
            <v>ô</v>
          </cell>
          <cell r="W19" t="str">
            <v>ò</v>
          </cell>
          <cell r="X19" t="str">
            <v>ō</v>
          </cell>
          <cell r="Y19" t="str">
            <v>o̍h</v>
          </cell>
        </row>
        <row r="20">
          <cell r="R20" t="str">
            <v>ai</v>
          </cell>
          <cell r="S20" t="str">
            <v>ái</v>
          </cell>
          <cell r="T20" t="str">
            <v>ài</v>
          </cell>
          <cell r="U20" t="str">
            <v>aih</v>
          </cell>
          <cell r="V20" t="str">
            <v>âi</v>
          </cell>
          <cell r="W20" t="str">
            <v>ài</v>
          </cell>
          <cell r="X20" t="str">
            <v>āi</v>
          </cell>
          <cell r="Y20" t="str">
            <v>a̍ih</v>
          </cell>
        </row>
        <row r="21">
          <cell r="R21" t="str">
            <v>in</v>
          </cell>
          <cell r="S21" t="str">
            <v>ín</v>
          </cell>
          <cell r="T21" t="str">
            <v>ìn</v>
          </cell>
          <cell r="U21" t="str">
            <v>it</v>
          </cell>
          <cell r="V21" t="str">
            <v>în</v>
          </cell>
          <cell r="W21" t="str">
            <v>ìn</v>
          </cell>
          <cell r="X21" t="str">
            <v>īn</v>
          </cell>
          <cell r="Y21" t="str">
            <v>i̍t</v>
          </cell>
        </row>
        <row r="22">
          <cell r="R22" t="str">
            <v>iang</v>
          </cell>
          <cell r="S22" t="str">
            <v>iáng</v>
          </cell>
          <cell r="T22" t="str">
            <v>iàng</v>
          </cell>
          <cell r="U22" t="str">
            <v>iak</v>
          </cell>
          <cell r="V22" t="str">
            <v>iâng</v>
          </cell>
          <cell r="W22" t="str">
            <v>iàng</v>
          </cell>
          <cell r="X22" t="str">
            <v>iāng</v>
          </cell>
          <cell r="Y22" t="str">
            <v>ia̍k</v>
          </cell>
        </row>
        <row r="23">
          <cell r="R23" t="str">
            <v>am</v>
          </cell>
          <cell r="S23" t="str">
            <v>ám</v>
          </cell>
          <cell r="T23" t="str">
            <v>àm</v>
          </cell>
          <cell r="U23" t="str">
            <v>ap</v>
          </cell>
          <cell r="V23" t="str">
            <v>âm</v>
          </cell>
          <cell r="W23" t="str">
            <v>àm</v>
          </cell>
          <cell r="X23" t="str">
            <v>ām</v>
          </cell>
          <cell r="Y23" t="str">
            <v>a̍p</v>
          </cell>
        </row>
        <row r="24">
          <cell r="R24" t="str">
            <v>ua</v>
          </cell>
          <cell r="S24" t="str">
            <v>úa</v>
          </cell>
          <cell r="T24" t="str">
            <v>ùa</v>
          </cell>
          <cell r="U24" t="str">
            <v>uah</v>
          </cell>
          <cell r="V24" t="str">
            <v>ûa</v>
          </cell>
          <cell r="W24" t="str">
            <v>ùa</v>
          </cell>
          <cell r="X24" t="str">
            <v>ūa</v>
          </cell>
          <cell r="Y24" t="str">
            <v>u̍ah</v>
          </cell>
        </row>
        <row r="25">
          <cell r="R25" t="str">
            <v>ang</v>
          </cell>
          <cell r="S25" t="str">
            <v>áng</v>
          </cell>
          <cell r="T25" t="str">
            <v>àng</v>
          </cell>
          <cell r="U25" t="str">
            <v>ak</v>
          </cell>
          <cell r="V25" t="str">
            <v>âng</v>
          </cell>
          <cell r="W25" t="str">
            <v>àng</v>
          </cell>
          <cell r="X25" t="str">
            <v>āng</v>
          </cell>
          <cell r="Y25" t="str">
            <v>a̍k</v>
          </cell>
        </row>
        <row r="26">
          <cell r="R26" t="str">
            <v>iam</v>
          </cell>
          <cell r="S26" t="str">
            <v>iám</v>
          </cell>
          <cell r="T26" t="str">
            <v>iàm</v>
          </cell>
          <cell r="U26" t="str">
            <v>iap</v>
          </cell>
          <cell r="V26" t="str">
            <v>iâm</v>
          </cell>
          <cell r="W26" t="str">
            <v>iàm</v>
          </cell>
          <cell r="X26" t="str">
            <v>iām</v>
          </cell>
          <cell r="Y26" t="str">
            <v>ia̍p</v>
          </cell>
        </row>
        <row r="27">
          <cell r="R27" t="str">
            <v>au</v>
          </cell>
          <cell r="S27" t="str">
            <v>áu</v>
          </cell>
          <cell r="T27" t="str">
            <v>àu</v>
          </cell>
          <cell r="U27" t="str">
            <v>auh</v>
          </cell>
          <cell r="V27" t="str">
            <v>âu</v>
          </cell>
          <cell r="W27" t="str">
            <v>àu</v>
          </cell>
          <cell r="X27" t="str">
            <v>āu</v>
          </cell>
          <cell r="Y27" t="str">
            <v>a̍uh</v>
          </cell>
        </row>
        <row r="28">
          <cell r="R28" t="str">
            <v>ia</v>
          </cell>
          <cell r="S28" t="str">
            <v>iá</v>
          </cell>
          <cell r="T28" t="str">
            <v>ià</v>
          </cell>
          <cell r="U28" t="str">
            <v>iah</v>
          </cell>
          <cell r="V28" t="str">
            <v>iâ</v>
          </cell>
          <cell r="W28" t="str">
            <v>ià</v>
          </cell>
          <cell r="X28" t="str">
            <v>iā</v>
          </cell>
          <cell r="Y28" t="str">
            <v>ia̍h</v>
          </cell>
        </row>
        <row r="29">
          <cell r="R29" t="str">
            <v>ue</v>
          </cell>
          <cell r="S29" t="str">
            <v>úe</v>
          </cell>
          <cell r="T29" t="str">
            <v>ùe</v>
          </cell>
          <cell r="U29" t="str">
            <v>ueh</v>
          </cell>
          <cell r="V29" t="str">
            <v>ûe</v>
          </cell>
          <cell r="W29" t="str">
            <v>ùe</v>
          </cell>
          <cell r="X29" t="str">
            <v>ūe</v>
          </cell>
          <cell r="Y29" t="str">
            <v>u̍eh</v>
          </cell>
        </row>
        <row r="30">
          <cell r="R30" t="str">
            <v>ann</v>
          </cell>
          <cell r="S30" t="str">
            <v>ánn</v>
          </cell>
          <cell r="T30" t="str">
            <v>ànn</v>
          </cell>
          <cell r="U30" t="str">
            <v>annh</v>
          </cell>
          <cell r="V30" t="str">
            <v>ânn</v>
          </cell>
          <cell r="W30" t="str">
            <v>ànn</v>
          </cell>
          <cell r="X30" t="str">
            <v>ānn</v>
          </cell>
          <cell r="Y30" t="str">
            <v>a̍nnh</v>
          </cell>
        </row>
        <row r="31">
          <cell r="R31" t="str">
            <v>u</v>
          </cell>
          <cell r="S31" t="str">
            <v>ú</v>
          </cell>
          <cell r="T31" t="str">
            <v>ù</v>
          </cell>
          <cell r="U31" t="str">
            <v>uh</v>
          </cell>
          <cell r="V31" t="str">
            <v>û</v>
          </cell>
          <cell r="W31" t="str">
            <v>ù</v>
          </cell>
          <cell r="X31" t="str">
            <v>ū</v>
          </cell>
          <cell r="Y31" t="str">
            <v>u̍h</v>
          </cell>
        </row>
        <row r="32">
          <cell r="R32" t="str">
            <v>a</v>
          </cell>
          <cell r="S32" t="str">
            <v>á</v>
          </cell>
          <cell r="T32" t="str">
            <v>à</v>
          </cell>
          <cell r="U32" t="str">
            <v>ah</v>
          </cell>
          <cell r="V32" t="str">
            <v>â</v>
          </cell>
          <cell r="W32" t="str">
            <v>à</v>
          </cell>
          <cell r="X32" t="str">
            <v>ā</v>
          </cell>
          <cell r="Y32" t="str">
            <v>a̍h</v>
          </cell>
        </row>
        <row r="33">
          <cell r="R33" t="str">
            <v>i</v>
          </cell>
          <cell r="S33" t="str">
            <v>í</v>
          </cell>
          <cell r="T33" t="str">
            <v>ì</v>
          </cell>
          <cell r="U33" t="str">
            <v>ih</v>
          </cell>
          <cell r="V33" t="str">
            <v>î</v>
          </cell>
          <cell r="W33" t="str">
            <v>ì</v>
          </cell>
          <cell r="X33" t="str">
            <v>ī</v>
          </cell>
          <cell r="Y33" t="str">
            <v>i̍h</v>
          </cell>
        </row>
        <row r="34">
          <cell r="R34" t="str">
            <v>iu</v>
          </cell>
          <cell r="S34" t="str">
            <v>iú</v>
          </cell>
          <cell r="T34" t="str">
            <v>iù</v>
          </cell>
          <cell r="U34" t="str">
            <v>iuh</v>
          </cell>
          <cell r="V34" t="str">
            <v>iû</v>
          </cell>
          <cell r="W34" t="str">
            <v>iù</v>
          </cell>
          <cell r="X34" t="str">
            <v>iū</v>
          </cell>
          <cell r="Y34" t="str">
            <v>iu̍h</v>
          </cell>
        </row>
        <row r="35">
          <cell r="R35" t="str">
            <v>enn</v>
          </cell>
          <cell r="S35" t="str">
            <v>énn</v>
          </cell>
          <cell r="T35" t="str">
            <v>ènn</v>
          </cell>
          <cell r="U35" t="str">
            <v>ennh</v>
          </cell>
          <cell r="V35" t="str">
            <v>ênn</v>
          </cell>
          <cell r="W35" t="str">
            <v>ènn</v>
          </cell>
          <cell r="X35" t="str">
            <v>ēnn</v>
          </cell>
          <cell r="Y35" t="str">
            <v>e̍nnh</v>
          </cell>
        </row>
        <row r="36">
          <cell r="R36" t="str">
            <v>uinn</v>
          </cell>
          <cell r="S36" t="str">
            <v>úinn</v>
          </cell>
          <cell r="T36" t="str">
            <v>ùinn</v>
          </cell>
          <cell r="U36" t="str">
            <v>uinnh</v>
          </cell>
          <cell r="V36" t="str">
            <v>ûinn</v>
          </cell>
          <cell r="W36" t="str">
            <v>ùinn</v>
          </cell>
          <cell r="X36" t="str">
            <v>ūinn</v>
          </cell>
          <cell r="Y36" t="str">
            <v>u̍innh</v>
          </cell>
        </row>
        <row r="37">
          <cell r="R37" t="str">
            <v>io</v>
          </cell>
          <cell r="S37" t="str">
            <v>ió</v>
          </cell>
          <cell r="T37" t="str">
            <v>iò</v>
          </cell>
          <cell r="U37" t="str">
            <v>ioh</v>
          </cell>
          <cell r="V37" t="str">
            <v>iô</v>
          </cell>
          <cell r="W37" t="str">
            <v>iò</v>
          </cell>
          <cell r="X37" t="str">
            <v>iō</v>
          </cell>
          <cell r="Y37" t="str">
            <v>io̍h</v>
          </cell>
        </row>
        <row r="38">
          <cell r="R38" t="str">
            <v>inn</v>
          </cell>
          <cell r="S38" t="str">
            <v>ínn</v>
          </cell>
          <cell r="T38" t="str">
            <v>ìnn</v>
          </cell>
          <cell r="U38" t="str">
            <v>innh</v>
          </cell>
          <cell r="V38" t="str">
            <v>înn</v>
          </cell>
          <cell r="W38" t="str">
            <v>ìnn</v>
          </cell>
          <cell r="X38" t="str">
            <v>īnn</v>
          </cell>
          <cell r="Y38" t="str">
            <v>i̍nnh</v>
          </cell>
        </row>
        <row r="39">
          <cell r="R39" t="str">
            <v>ionn</v>
          </cell>
          <cell r="S39" t="str">
            <v>iónn</v>
          </cell>
          <cell r="T39" t="str">
            <v>iònn</v>
          </cell>
          <cell r="U39" t="str">
            <v>ionnh</v>
          </cell>
          <cell r="V39" t="str">
            <v>iônn</v>
          </cell>
          <cell r="W39" t="str">
            <v>iònn</v>
          </cell>
          <cell r="X39" t="str">
            <v>iōnn</v>
          </cell>
          <cell r="Y39" t="str">
            <v>io̍nnh</v>
          </cell>
        </row>
        <row r="40">
          <cell r="R40" t="str">
            <v>iann</v>
          </cell>
          <cell r="S40" t="str">
            <v>iánn</v>
          </cell>
          <cell r="T40" t="str">
            <v>iànn</v>
          </cell>
          <cell r="U40" t="str">
            <v>iannh</v>
          </cell>
          <cell r="V40" t="str">
            <v>iânn</v>
          </cell>
          <cell r="W40" t="str">
            <v>iànn</v>
          </cell>
          <cell r="X40" t="str">
            <v>iānn</v>
          </cell>
          <cell r="Y40" t="str">
            <v>ia̍nnh</v>
          </cell>
        </row>
        <row r="41">
          <cell r="R41" t="str">
            <v>uann</v>
          </cell>
          <cell r="S41" t="str">
            <v>úann</v>
          </cell>
          <cell r="T41" t="str">
            <v>ùann</v>
          </cell>
          <cell r="U41" t="str">
            <v>uannh</v>
          </cell>
          <cell r="V41" t="str">
            <v>ûann</v>
          </cell>
          <cell r="W41" t="str">
            <v>ùann</v>
          </cell>
          <cell r="X41" t="str">
            <v>ūann</v>
          </cell>
          <cell r="Y41" t="str">
            <v>u̍annh</v>
          </cell>
        </row>
        <row r="42">
          <cell r="R42" t="str">
            <v>ng</v>
          </cell>
          <cell r="S42" t="str">
            <v>ńg</v>
          </cell>
          <cell r="T42" t="str">
            <v xml:space="preserve">ǹ </v>
          </cell>
          <cell r="U42" t="str">
            <v>ngh</v>
          </cell>
          <cell r="V42" t="str">
            <v>n̂gh</v>
          </cell>
          <cell r="W42" t="str">
            <v>0</v>
          </cell>
          <cell r="X42" t="str">
            <v>n̄g</v>
          </cell>
          <cell r="Y42" t="str">
            <v>n̍gh</v>
          </cell>
        </row>
        <row r="43">
          <cell r="R43" t="str">
            <v>e</v>
          </cell>
          <cell r="S43" t="str">
            <v>é</v>
          </cell>
          <cell r="T43" t="str">
            <v>è</v>
          </cell>
          <cell r="U43" t="str">
            <v>eh</v>
          </cell>
          <cell r="V43" t="str">
            <v>ê</v>
          </cell>
          <cell r="W43" t="str">
            <v>è</v>
          </cell>
          <cell r="X43" t="str">
            <v>ē</v>
          </cell>
          <cell r="Y43" t="str">
            <v>e̍h</v>
          </cell>
        </row>
        <row r="44">
          <cell r="R44" t="str">
            <v>ainn</v>
          </cell>
          <cell r="S44" t="str">
            <v>áinn</v>
          </cell>
          <cell r="T44" t="str">
            <v>àinn</v>
          </cell>
          <cell r="U44" t="str">
            <v>ainnh</v>
          </cell>
          <cell r="V44" t="str">
            <v>âinn</v>
          </cell>
          <cell r="W44" t="str">
            <v>àinn</v>
          </cell>
          <cell r="X44" t="str">
            <v>āinn</v>
          </cell>
          <cell r="Y44" t="str">
            <v>a̍innh</v>
          </cell>
        </row>
        <row r="45">
          <cell r="R45" t="str">
            <v>onn</v>
          </cell>
          <cell r="S45" t="str">
            <v>ónn</v>
          </cell>
          <cell r="T45" t="str">
            <v>ònn</v>
          </cell>
          <cell r="U45" t="str">
            <v>onnh</v>
          </cell>
          <cell r="V45" t="str">
            <v>ônn</v>
          </cell>
          <cell r="W45" t="str">
            <v>ònn</v>
          </cell>
          <cell r="X45" t="str">
            <v>ōnn</v>
          </cell>
          <cell r="Y45" t="str">
            <v>o̍nnh</v>
          </cell>
        </row>
        <row r="46">
          <cell r="R46" t="str">
            <v>m</v>
          </cell>
          <cell r="S46" t="str">
            <v xml:space="preserve"> ḿ</v>
          </cell>
          <cell r="T46" t="str">
            <v>m̀</v>
          </cell>
          <cell r="U46" t="str">
            <v>mh</v>
          </cell>
          <cell r="V46" t="str">
            <v>m̂</v>
          </cell>
          <cell r="W46" t="str">
            <v>m̀</v>
          </cell>
          <cell r="X46" t="str">
            <v>m̄</v>
          </cell>
          <cell r="Y46" t="str">
            <v>m̍h</v>
          </cell>
        </row>
        <row r="47">
          <cell r="R47" t="str">
            <v>uang</v>
          </cell>
          <cell r="S47" t="str">
            <v>uáng</v>
          </cell>
          <cell r="T47" t="str">
            <v>uàng</v>
          </cell>
          <cell r="U47" t="str">
            <v>uak</v>
          </cell>
          <cell r="V47" t="str">
            <v>uâng</v>
          </cell>
          <cell r="W47" t="str">
            <v>uàng</v>
          </cell>
          <cell r="X47" t="str">
            <v>uāng</v>
          </cell>
          <cell r="Y47" t="str">
            <v>ua̍k</v>
          </cell>
        </row>
        <row r="48">
          <cell r="R48" t="str">
            <v>uainn</v>
          </cell>
          <cell r="S48" t="str">
            <v>uáinn</v>
          </cell>
          <cell r="T48" t="str">
            <v>uàinn</v>
          </cell>
          <cell r="U48" t="str">
            <v>uainnh</v>
          </cell>
          <cell r="V48" t="str">
            <v>uâinn</v>
          </cell>
          <cell r="W48" t="str">
            <v>uàinn</v>
          </cell>
          <cell r="X48" t="str">
            <v>uāinn</v>
          </cell>
          <cell r="Y48" t="str">
            <v>ua̍innh</v>
          </cell>
        </row>
        <row r="49">
          <cell r="R49" t="str">
            <v>uenn</v>
          </cell>
          <cell r="S49" t="str">
            <v>úenn</v>
          </cell>
          <cell r="T49" t="str">
            <v>ùenn</v>
          </cell>
          <cell r="U49" t="str">
            <v>uennh</v>
          </cell>
          <cell r="V49" t="str">
            <v>ûenn</v>
          </cell>
          <cell r="W49" t="str">
            <v>ùenn</v>
          </cell>
          <cell r="X49" t="str">
            <v>ūenn</v>
          </cell>
          <cell r="Y49" t="str">
            <v>u̍ennh</v>
          </cell>
        </row>
        <row r="50">
          <cell r="R50" t="str">
            <v>iaunn</v>
          </cell>
          <cell r="S50" t="str">
            <v>iáunn</v>
          </cell>
          <cell r="T50" t="str">
            <v>iàunn</v>
          </cell>
          <cell r="U50" t="str">
            <v>iaunnh</v>
          </cell>
          <cell r="V50" t="str">
            <v>iâunn</v>
          </cell>
          <cell r="W50" t="str">
            <v>iàunn</v>
          </cell>
          <cell r="X50" t="str">
            <v>iāunn</v>
          </cell>
          <cell r="Y50" t="str">
            <v>ia̍unnh</v>
          </cell>
        </row>
        <row r="51">
          <cell r="R51" t="str">
            <v>om</v>
          </cell>
          <cell r="S51" t="str">
            <v>óm</v>
          </cell>
          <cell r="T51" t="str">
            <v>òm</v>
          </cell>
          <cell r="U51" t="str">
            <v>op</v>
          </cell>
          <cell r="V51" t="str">
            <v>ôm</v>
          </cell>
          <cell r="W51" t="str">
            <v>òm</v>
          </cell>
          <cell r="X51" t="str">
            <v>ōm</v>
          </cell>
          <cell r="Y51" t="str">
            <v>o̍p</v>
          </cell>
        </row>
        <row r="52">
          <cell r="R52" t="str">
            <v>aunn</v>
          </cell>
          <cell r="S52" t="str">
            <v>áunn</v>
          </cell>
          <cell r="T52" t="str">
            <v>àunn</v>
          </cell>
          <cell r="U52" t="str">
            <v>aunnh</v>
          </cell>
          <cell r="V52" t="str">
            <v>âunn</v>
          </cell>
          <cell r="W52" t="str">
            <v>àunn</v>
          </cell>
          <cell r="X52" t="str">
            <v>āunn</v>
          </cell>
          <cell r="Y52" t="str">
            <v>a̍unnh</v>
          </cell>
        </row>
        <row r="53">
          <cell r="R53" t="str">
            <v>onn</v>
          </cell>
          <cell r="S53" t="str">
            <v>ónn</v>
          </cell>
          <cell r="T53" t="str">
            <v>ònn</v>
          </cell>
          <cell r="U53" t="str">
            <v>onnh</v>
          </cell>
          <cell r="V53" t="str">
            <v>ônn</v>
          </cell>
          <cell r="W53" t="str">
            <v>ònn</v>
          </cell>
          <cell r="X53" t="str">
            <v>ōnn</v>
          </cell>
          <cell r="Y53" t="str">
            <v>o̍nnh</v>
          </cell>
        </row>
        <row r="54">
          <cell r="R54" t="str">
            <v>iunn</v>
          </cell>
          <cell r="S54" t="str">
            <v>iúnn</v>
          </cell>
          <cell r="T54" t="str">
            <v>iùnn</v>
          </cell>
          <cell r="U54" t="str">
            <v>iunnh</v>
          </cell>
          <cell r="V54" t="str">
            <v>iûnn</v>
          </cell>
          <cell r="W54" t="str">
            <v>iùnn</v>
          </cell>
          <cell r="X54" t="str">
            <v>iūnn</v>
          </cell>
          <cell r="Y54" t="str">
            <v>iu̍nnh</v>
          </cell>
        </row>
      </sheetData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nv"/>
      <sheetName val="人工標音字庫"/>
      <sheetName val="標音字庫 ( before a210)"/>
      <sheetName val="標音字庫"/>
      <sheetName val="缺字表"/>
      <sheetName val="漢字注音"/>
      <sheetName val="漢字注音 (白話音)"/>
      <sheetName val="漢字注音 (2)"/>
      <sheetName val="人工標音字庫 (2)"/>
      <sheetName val="漢字注音 (範例)"/>
      <sheetName val="缺字表 (範例)"/>
      <sheetName val="標音字庫 (範例)"/>
    </sheetNames>
    <sheetDataSet>
      <sheetData sheetId="0">
        <row r="10">
          <cell r="C10" t="b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D8707DA-38C9-4391-B00A-3815A3B755EC}" name="韻母清單" displayName="韻母清單" ref="K1:X85" totalsRowShown="0" headerRowDxfId="87" dataDxfId="85" headerRowBorderDxfId="86" tableBorderDxfId="84" totalsRowBorderDxfId="83" headerRowCellStyle="一般 2" dataCellStyle="一般 2">
  <sortState xmlns:xlrd2="http://schemas.microsoft.com/office/spreadsheetml/2017/richdata2" ref="K2:X85">
    <sortCondition ref="L2:L85"/>
  </sortState>
  <tableColumns count="14">
    <tableColumn id="1" xr3:uid="{CF352346-2562-401F-9C0A-116C19CF355E}" name="識別號" dataDxfId="82" dataCellStyle="一般 2"/>
    <tableColumn id="14" xr3:uid="{2920D7A6-7766-41D8-BEE6-086A4A1F5C83}" name="數值ID" dataDxfId="81" dataCellStyle="一般 2">
      <calculatedColumnFormula xml:space="preserve"> VALUE(韻母清單[[#This Row],[識別號]])</calculatedColumnFormula>
    </tableColumn>
    <tableColumn id="2" xr3:uid="{3267BCA5-C55B-4C95-B863-65F229B3292A}" name="漢字例" dataDxfId="80" dataCellStyle="一般 2"/>
    <tableColumn id="3" xr3:uid="{46101D7D-4913-4400-9297-449109F9CB1F}" name="國際音標" dataDxfId="79" dataCellStyle="一般 2"/>
    <tableColumn id="4" xr3:uid="{A0250C54-4166-492F-921C-F6755D1EE171}" name="十五音" dataDxfId="78" dataCellStyle="一般 2"/>
    <tableColumn id="5" xr3:uid="{DAB090A9-FD25-4C66-A704-CC252294A6DE}" name="方音符號" dataDxfId="77" dataCellStyle="一般 2"/>
    <tableColumn id="6" xr3:uid="{63682EC6-BC24-425E-8D58-2F67C32612A4}" name="台語音標" dataDxfId="76" dataCellStyle="一般 2"/>
    <tableColumn id="7" xr3:uid="{BF5D439C-1A86-49E7-BD3A-AF0974EC7040}" name="台羅拼音" dataDxfId="75" dataCellStyle="一般 2"/>
    <tableColumn id="8" xr3:uid="{F97526AB-277E-40AE-8C43-07DF00BF1FC9}" name="白話字" dataDxfId="74" dataCellStyle="一般 2"/>
    <tableColumn id="9" xr3:uid="{3327840C-3E59-427A-9B90-09C51BB5B7B8}" name="閩拼方案" dataDxfId="73" dataCellStyle="一般 2"/>
    <tableColumn id="10" xr3:uid="{B7654EF4-03E3-4AB6-B538-A38774CCEC06}" name="注音二式" dataDxfId="72" dataCellStyle="一般 2"/>
    <tableColumn id="11" xr3:uid="{F7C9711A-4DA5-4E59-9EB2-D570EA1D9839}" name="舒促聲" dataDxfId="71" dataCellStyle="一般 2"/>
    <tableColumn id="12" xr3:uid="{A3862A5B-DE77-45D5-B6A3-CA9B836CD337}" name="十五音識別碼" dataDxfId="70" dataCellStyle="一般 2"/>
    <tableColumn id="13" xr3:uid="{4389A9B3-CCE8-434A-8618-CF83300766DB}" name="十五音韻母序" dataDxfId="69" dataCellStyle="一般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2E6AF-6482-43A6-A6CF-5AE54A3226A8}" name="聲母對照資料表" displayName="聲母對照資料表" ref="A3:L25" totalsRowShown="0" headerRowDxfId="68" dataDxfId="66" headerRowBorderDxfId="67" tableBorderDxfId="65" headerRowCellStyle="一般 2" dataCellStyle="一般 2">
  <autoFilter ref="A3:L25" xr:uid="{8AA51E20-570E-4CC9-94D2-8022795FFB40}"/>
  <sortState xmlns:xlrd2="http://schemas.microsoft.com/office/spreadsheetml/2017/richdata2" ref="A4:L21">
    <sortCondition ref="A3:A21"/>
  </sortState>
  <tableColumns count="12">
    <tableColumn id="1" xr3:uid="{4F02DE63-A34F-4AC5-811F-76E9E9F5CF86}" name="識別號" dataDxfId="64" dataCellStyle="一般 2"/>
    <tableColumn id="12" xr3:uid="{59911653-3799-4719-B3B7-6AC566229088}" name="漢字例" dataDxfId="63" dataCellStyle="一般 2"/>
    <tableColumn id="3" xr3:uid="{33109781-C70B-4FA0-B295-59CF5ACA7709}" name="國際音標" dataDxfId="62" dataCellStyle="一般 2"/>
    <tableColumn id="8" xr3:uid="{93E5B775-CC94-4A6F-A479-8B691356D1BA}" name="十五音" dataDxfId="61" dataCellStyle="一般 2"/>
    <tableColumn id="7" xr3:uid="{3A668E1A-F5F1-4584-BF92-8D4F45B6B10D}" name="方音符號" dataDxfId="60" dataCellStyle="一般 2"/>
    <tableColumn id="2" xr3:uid="{B4F65F3C-A17D-409F-B28D-A975CFCF263D}" name="台語音標" dataDxfId="59" dataCellStyle="一般 2"/>
    <tableColumn id="5" xr3:uid="{D3C2605A-036E-46C4-9406-5B5749A5532D}" name="台羅拼音" dataDxfId="58" dataCellStyle="一般 2"/>
    <tableColumn id="4" xr3:uid="{E9A61BFC-9729-4D1E-8FB0-D848C36F3062}" name="白話字" dataDxfId="57" dataCellStyle="一般 2"/>
    <tableColumn id="6" xr3:uid="{D6672F3B-C563-42CB-B003-0BFA82653BC9}" name="閩拼方案" dataDxfId="56" dataCellStyle="一般 2"/>
    <tableColumn id="11" xr3:uid="{DB427305-8208-4247-9FAB-C1250933BDA1}" name="注音二式" dataDxfId="55" dataCellStyle="一般 2"/>
    <tableColumn id="10" xr3:uid="{081BC246-5BDC-4727-A77E-F0C6DF7C110D}" name="字長" dataDxfId="54" dataCellStyle="一般 2">
      <calculatedColumnFormula xml:space="preserve"> LEN(聲母對照資料表[[#This Row],[台語音標]])</calculatedColumnFormula>
    </tableColumn>
    <tableColumn id="9" xr3:uid="{A26A392B-5FB7-4733-A772-5ABAEC87B1FD}" name="備註" dataDxfId="53" dataCellStyle="一般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FEBEF3-6258-47BD-9ACC-FD17E99C0B54}" name="韻母對照資料表" displayName="韻母對照資料表" ref="B3:O103" totalsRowShown="0" headerRowDxfId="52" headerRowBorderDxfId="51" tableBorderDxfId="50" totalsRowBorderDxfId="49" headerRowCellStyle="一般 2">
  <tableColumns count="14">
    <tableColumn id="1" xr3:uid="{4734525C-3B75-40E7-87BC-264ED788D163}" name="識別號" dataDxfId="48" dataCellStyle="一般 2"/>
    <tableColumn id="14" xr3:uid="{276EDBAF-7780-455A-83C1-691E9D463183}" name="漢字例" dataDxfId="47" dataCellStyle="一般 2"/>
    <tableColumn id="3" xr3:uid="{8E9BF31C-985B-4F64-A0C1-86570B1C234C}" name="國際音標" dataDxfId="46" dataCellStyle="一般 2"/>
    <tableColumn id="8" xr3:uid="{90A8630B-7EE2-4441-8D5C-FC965A9EC36A}" name="十五音" dataDxfId="45" dataCellStyle="一般 2"/>
    <tableColumn id="7" xr3:uid="{5B84B27B-462B-4EFA-AA84-558A314B23EC}" name="方音符號" dataDxfId="44" dataCellStyle="一般 2"/>
    <tableColumn id="2" xr3:uid="{BA07BA63-ABBC-4242-8AF2-428AADE99536}" name="台語音標" dataDxfId="43" dataCellStyle="一般 2"/>
    <tableColumn id="5" xr3:uid="{E2EA03EB-ACE4-44C9-941C-6A1E1129C467}" name="台羅拼音" dataDxfId="42" dataCellStyle="一般 2"/>
    <tableColumn id="4" xr3:uid="{05CFFD50-C566-4C24-AA68-74C6AAC7C12D}" name="白話字" dataDxfId="41" dataCellStyle="一般 2"/>
    <tableColumn id="6" xr3:uid="{D843D61D-B7B7-466B-8521-68AB2FE6A862}" name="閩拼方案" dataDxfId="40" dataCellStyle="一般 2"/>
    <tableColumn id="13" xr3:uid="{58192BD3-7105-4748-8F43-F1E6F0D1E51B}" name="注音二式" dataDxfId="39" dataCellStyle="一般 2"/>
    <tableColumn id="9" xr3:uid="{47CB45C4-E526-4D31-B9B9-B3F50F2959D7}" name="舒促聲" dataDxfId="38" dataCellStyle="一般 2"/>
    <tableColumn id="12" xr3:uid="{EDFDC711-A82A-4081-B493-0D85234294E7}" name="十五音識別碼" dataDxfId="37" dataCellStyle="一般 2">
      <calculatedColumnFormula>韻母對照資料表[[#This Row],[十五音]]&amp;LEFT(韻母對照資料表[[#This Row],[舒促聲]],1)</calculatedColumnFormula>
    </tableColumn>
    <tableColumn id="10" xr3:uid="{0F1D531B-0769-453D-80E5-392C82C6EC8A}" name="十五音韻母序" dataDxfId="36" dataCellStyle="一般 2"/>
    <tableColumn id="11" xr3:uid="{E38F3A1C-E2EC-42CE-A1AC-4E4641D25B03}" name="字長" dataDxfId="35" dataCellStyle="一般 2">
      <calculatedColumnFormula>IF(韻母對照資料表[[#This Row],[台語音標]]="", 0, LEN(韻母對照資料表[[#This Row],[台語音標]]))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B28F47-B784-4487-8031-4E44CCD26981}" name="廣韻聲母對照資料表" displayName="廣韻聲母對照資料表" ref="A1:F49" totalsRowShown="0" headerRowDxfId="34" dataDxfId="33" headerRowCellStyle="一般 2" dataCellStyle="一般 2">
  <autoFilter ref="A1:F49" xr:uid="{289BE24E-3969-4C52-AB3B-76600C4FA756}"/>
  <tableColumns count="6">
    <tableColumn id="1" xr3:uid="{D0FEAE4E-9A40-421A-99C3-6261DD6ED46E}" name="識別號" dataDxfId="32" dataCellStyle="一般 2"/>
    <tableColumn id="6" xr3:uid="{9BB9B31D-0C96-48C1-8F2A-6D64BBF30C78}" name="國際音標" dataDxfId="31" dataCellStyle="一般 2 2"/>
    <tableColumn id="4" xr3:uid="{EF645BF0-D1EB-4C08-8936-4FD6537BE8CD}" name="台語音標" dataDxfId="30" dataCellStyle="一般 2 2"/>
    <tableColumn id="7" xr3:uid="{E8C2778C-CB4E-42BB-B74F-E8A54F4C7BAB}" name="方音符號" dataDxfId="29" dataCellStyle="一般 2 2"/>
    <tableColumn id="3" xr3:uid="{E32C9B2B-4A5C-478D-9A44-C229E9AD0360}" name="十五音" dataDxfId="28" dataCellStyle="一般 2 2"/>
    <tableColumn id="2" xr3:uid="{A5CD8104-9094-4875-AB52-D96EECAE0B4B}" name="廣韻" dataDxfId="27" dataCellStyle="一般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F1E49E-D2C0-4205-A1D5-54D23BFFD0FC}" name="廣韻韻母對照資料表" displayName="廣韻韻母對照資料表" ref="A1:G141" totalsRowShown="0" headerRowDxfId="26" headerRowBorderDxfId="25" tableBorderDxfId="24" headerRowCellStyle="一般 6">
  <autoFilter ref="A1:G141" xr:uid="{FB8BC323-B839-4175-B3A6-11E5180F6065}"/>
  <tableColumns count="7">
    <tableColumn id="1" xr3:uid="{1F2FD83D-FE92-4287-A3CA-0ED4BE1A30F4}" name="識別號" dataDxfId="23" dataCellStyle="一般 3"/>
    <tableColumn id="9" xr3:uid="{2B7D48D8-EECE-4C4C-A49D-BC6B491168D8}" name="韻母識別號" dataDxfId="22" dataCellStyle="一般 2"/>
    <tableColumn id="8" xr3:uid="{3AF7218B-341B-439F-A090-5195182A55F8}" name="國際音標" dataDxfId="21" dataCellStyle="一般 2 2"/>
    <tableColumn id="5" xr3:uid="{ABE8F9FF-C3A0-4E28-B6B2-E1831B075621}" name="台語音標" dataDxfId="20" dataCellStyle="一般 6 2"/>
    <tableColumn id="2" xr3:uid="{9833B29A-9243-4B9A-9196-B9B8F88AF3AA}" name="廣韻" dataCellStyle="一般 6"/>
    <tableColumn id="3" xr3:uid="{3D7F9E98-ED50-451F-8687-2A1DC25B7991}" name="十五音" dataDxfId="19" dataCellStyle="一般 3"/>
    <tableColumn id="4" xr3:uid="{DDBE30F5-7CE2-4C0A-A3BE-DD68B8F151EF}" name="舒促聲" dataDxfId="18" dataCellStyle="一般 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79D3E0-2810-4B30-954F-087F6740D10F}" name="韻母對照資料表6" displayName="韻母對照資料表6" ref="B4:K104" totalsRowShown="0" headerRowDxfId="17" headerRowBorderDxfId="16" tableBorderDxfId="15" totalsRowBorderDxfId="14" headerRowCellStyle="一般 2 4">
  <autoFilter ref="B4:K104" xr:uid="{AA4CBF3C-4DEA-AE42-A98A-4705DAE1A77B}"/>
  <sortState xmlns:xlrd2="http://schemas.microsoft.com/office/spreadsheetml/2017/richdata2" ref="B5:K104">
    <sortCondition ref="B5:B104"/>
  </sortState>
  <tableColumns count="10">
    <tableColumn id="1" xr3:uid="{C4366965-3DB4-4415-97CE-BB896523EB84}" name="識別號" dataDxfId="13" dataCellStyle="一般 2 4"/>
    <tableColumn id="3" xr3:uid="{DE087FE5-1ACC-4A66-A81B-59DD970529F0}" name="國際音標" dataDxfId="12" dataCellStyle="一般 2 4"/>
    <tableColumn id="2" xr3:uid="{087E4D9E-34DA-4C04-AEBD-7B6FD5FB851E}" name="台語音標" dataDxfId="11" dataCellStyle="一般 2 4"/>
    <tableColumn id="7" xr3:uid="{94D1F450-D954-42E7-BA2B-65A92DD52284}" name="方音符號" dataDxfId="10" dataCellStyle="一般 2 4"/>
    <tableColumn id="8" xr3:uid="{9875F80F-414F-4A30-AABB-81838D4398C9}" name="十五音" dataDxfId="9" dataCellStyle="一般 2 4"/>
    <tableColumn id="4" xr3:uid="{AEE87344-96C0-40C9-AA1F-AB6E5D3EF014}" name="白話字" dataDxfId="8" dataCellStyle="一般 2 4"/>
    <tableColumn id="6" xr3:uid="{A28D2104-2746-4717-87E3-A5D3783E2FCE}" name="台羅拼音" dataDxfId="7" dataCellStyle="一般 2 4"/>
    <tableColumn id="5" xr3:uid="{57A788C0-9815-4219-8B3D-48897F8667B8}" name="閩拼方案" dataDxfId="6" dataCellStyle="一般 2 4"/>
    <tableColumn id="9" xr3:uid="{3562E0EB-B2BF-4483-AF8D-2BA2A236ACD4}" name="舒促聲" dataDxfId="5" dataCellStyle="一般 2 4"/>
    <tableColumn id="10" xr3:uid="{3DF45DA9-7943-4977-81A9-9D1A1D1D442A}" name="十五音序" dataDxfId="4" dataCellStyle="一般 2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CA6A-DD8B-4926-87BC-41F49546C675}">
  <sheetPr>
    <tabColor rgb="FFFF0000"/>
  </sheetPr>
  <dimension ref="B1:CF92"/>
  <sheetViews>
    <sheetView showGridLines="0" zoomScale="60" zoomScaleNormal="60" workbookViewId="0">
      <selection activeCell="B2" sqref="B2:H78"/>
    </sheetView>
  </sheetViews>
  <sheetFormatPr defaultColWidth="13.625" defaultRowHeight="39" outlineLevelCol="1"/>
  <cols>
    <col min="1" max="1" width="8" style="70" customWidth="1"/>
    <col min="2" max="2" width="8.5" style="70" customWidth="1"/>
    <col min="3" max="4" width="16.25" style="71" customWidth="1"/>
    <col min="5" max="5" width="16.25" style="82" customWidth="1"/>
    <col min="6" max="6" width="14.5" style="215" bestFit="1" customWidth="1"/>
    <col min="7" max="7" width="16.25" style="71" customWidth="1" collapsed="1"/>
    <col min="8" max="8" width="16.25" style="71" customWidth="1"/>
    <col min="9" max="9" width="16.25" style="71" hidden="1" customWidth="1" outlineLevel="1"/>
    <col min="10" max="10" width="16.25" style="71" customWidth="1" collapsed="1"/>
    <col min="11" max="12" width="16.25" style="71" customWidth="1"/>
    <col min="13" max="14" width="16.25" style="69" customWidth="1"/>
    <col min="15" max="15" width="8" style="70" customWidth="1"/>
    <col min="16" max="16" width="8.5" style="70" customWidth="1"/>
    <col min="17" max="17" width="15.875" style="82" customWidth="1"/>
    <col min="18" max="18" width="15.875" style="69" customWidth="1"/>
    <col min="19" max="20" width="15.875" style="83" customWidth="1"/>
    <col min="21" max="21" width="8" style="70" customWidth="1"/>
    <col min="22" max="22" width="8.5" style="70" customWidth="1"/>
    <col min="23" max="24" width="15.875" style="83" customWidth="1"/>
    <col min="25" max="25" width="15.875" style="69" customWidth="1"/>
    <col min="26" max="26" width="15.875" style="82" customWidth="1"/>
    <col min="27" max="27" width="9.5" style="70" customWidth="1"/>
    <col min="28" max="28" width="10.625" style="70" customWidth="1"/>
    <col min="29" max="29" width="33.75" style="70" customWidth="1"/>
    <col min="30" max="16384" width="13.625" style="70"/>
  </cols>
  <sheetData>
    <row r="1" spans="2:84">
      <c r="B1" s="81" t="s">
        <v>1429</v>
      </c>
      <c r="I1" s="237"/>
      <c r="P1" s="81" t="s">
        <v>1549</v>
      </c>
      <c r="V1" s="81" t="s">
        <v>1550</v>
      </c>
    </row>
    <row r="2" spans="2:84" s="86" customFormat="1" ht="30.75" thickBot="1">
      <c r="B2" s="281" t="s">
        <v>1019</v>
      </c>
      <c r="C2" s="127" t="s">
        <v>1430</v>
      </c>
      <c r="D2" s="129" t="s">
        <v>1757</v>
      </c>
      <c r="E2" s="127" t="s">
        <v>1753</v>
      </c>
      <c r="F2" s="127" t="s">
        <v>3881</v>
      </c>
      <c r="G2" s="129" t="s">
        <v>2287</v>
      </c>
      <c r="H2" s="129" t="s">
        <v>978</v>
      </c>
      <c r="I2" s="238" t="s">
        <v>2305</v>
      </c>
      <c r="J2" s="127" t="s">
        <v>1431</v>
      </c>
      <c r="K2" s="129" t="s">
        <v>1756</v>
      </c>
      <c r="L2" s="129" t="s">
        <v>2284</v>
      </c>
      <c r="M2" s="130" t="s">
        <v>2314</v>
      </c>
      <c r="N2" s="131" t="s">
        <v>2315</v>
      </c>
      <c r="P2" s="87" t="s">
        <v>1019</v>
      </c>
      <c r="Q2" s="90" t="s">
        <v>1431</v>
      </c>
      <c r="R2" s="89" t="s">
        <v>2303</v>
      </c>
      <c r="S2" s="88" t="s">
        <v>1554</v>
      </c>
      <c r="T2" s="88" t="s">
        <v>1555</v>
      </c>
      <c r="V2" s="87" t="s">
        <v>1019</v>
      </c>
      <c r="W2" s="84" t="s">
        <v>1551</v>
      </c>
      <c r="X2" s="85" t="s">
        <v>1430</v>
      </c>
      <c r="Y2" s="89" t="s">
        <v>1552</v>
      </c>
      <c r="Z2" s="90" t="s">
        <v>1553</v>
      </c>
      <c r="AC2" s="91" t="s">
        <v>1019</v>
      </c>
      <c r="AD2" s="92">
        <v>1</v>
      </c>
      <c r="AE2" s="92">
        <f t="shared" ref="AE2:CF2" si="0">AD2+1</f>
        <v>2</v>
      </c>
      <c r="AF2" s="92">
        <f t="shared" si="0"/>
        <v>3</v>
      </c>
      <c r="AG2" s="92">
        <f t="shared" si="0"/>
        <v>4</v>
      </c>
      <c r="AH2" s="93">
        <f t="shared" si="0"/>
        <v>5</v>
      </c>
      <c r="AI2" s="93">
        <f t="shared" si="0"/>
        <v>6</v>
      </c>
      <c r="AJ2" s="93">
        <f t="shared" si="0"/>
        <v>7</v>
      </c>
      <c r="AK2" s="93">
        <f t="shared" si="0"/>
        <v>8</v>
      </c>
      <c r="AL2" s="92">
        <f t="shared" si="0"/>
        <v>9</v>
      </c>
      <c r="AM2" s="92">
        <f t="shared" si="0"/>
        <v>10</v>
      </c>
      <c r="AN2" s="92">
        <f t="shared" si="0"/>
        <v>11</v>
      </c>
      <c r="AO2" s="92">
        <f t="shared" si="0"/>
        <v>12</v>
      </c>
      <c r="AP2" s="93">
        <f t="shared" si="0"/>
        <v>13</v>
      </c>
      <c r="AQ2" s="93">
        <f t="shared" si="0"/>
        <v>14</v>
      </c>
      <c r="AR2" s="93">
        <f t="shared" si="0"/>
        <v>15</v>
      </c>
      <c r="AS2" s="93">
        <f t="shared" si="0"/>
        <v>16</v>
      </c>
      <c r="AT2" s="92">
        <f t="shared" si="0"/>
        <v>17</v>
      </c>
      <c r="AU2" s="92">
        <f t="shared" si="0"/>
        <v>18</v>
      </c>
      <c r="AV2" s="92">
        <f t="shared" si="0"/>
        <v>19</v>
      </c>
      <c r="AW2" s="92">
        <f t="shared" si="0"/>
        <v>20</v>
      </c>
      <c r="AX2" s="93">
        <f t="shared" si="0"/>
        <v>21</v>
      </c>
      <c r="AY2" s="92">
        <f t="shared" si="0"/>
        <v>22</v>
      </c>
      <c r="AZ2" s="92">
        <f t="shared" si="0"/>
        <v>23</v>
      </c>
      <c r="BA2" s="92">
        <f t="shared" si="0"/>
        <v>24</v>
      </c>
      <c r="BB2" s="92">
        <f t="shared" si="0"/>
        <v>25</v>
      </c>
      <c r="BC2" s="92">
        <f t="shared" si="0"/>
        <v>26</v>
      </c>
      <c r="BD2" s="92">
        <f t="shared" si="0"/>
        <v>27</v>
      </c>
      <c r="BE2" s="92">
        <f t="shared" si="0"/>
        <v>28</v>
      </c>
      <c r="BF2" s="92">
        <f t="shared" si="0"/>
        <v>29</v>
      </c>
      <c r="BG2" s="92">
        <f t="shared" si="0"/>
        <v>30</v>
      </c>
      <c r="BH2" s="92">
        <f t="shared" si="0"/>
        <v>31</v>
      </c>
      <c r="BI2" s="92">
        <f t="shared" si="0"/>
        <v>32</v>
      </c>
      <c r="BJ2" s="92">
        <f t="shared" si="0"/>
        <v>33</v>
      </c>
      <c r="BK2" s="92">
        <f t="shared" si="0"/>
        <v>34</v>
      </c>
      <c r="BL2" s="92">
        <f t="shared" si="0"/>
        <v>35</v>
      </c>
      <c r="BM2" s="92">
        <f t="shared" si="0"/>
        <v>36</v>
      </c>
      <c r="BN2" s="92">
        <f t="shared" si="0"/>
        <v>37</v>
      </c>
      <c r="BO2" s="92">
        <f t="shared" si="0"/>
        <v>38</v>
      </c>
      <c r="BP2" s="92">
        <f t="shared" si="0"/>
        <v>39</v>
      </c>
      <c r="BQ2" s="92">
        <f t="shared" si="0"/>
        <v>40</v>
      </c>
      <c r="BR2" s="92">
        <f t="shared" si="0"/>
        <v>41</v>
      </c>
      <c r="BS2" s="92">
        <f t="shared" si="0"/>
        <v>42</v>
      </c>
      <c r="BT2" s="92">
        <f t="shared" si="0"/>
        <v>43</v>
      </c>
      <c r="BU2" s="92">
        <f t="shared" si="0"/>
        <v>44</v>
      </c>
      <c r="BV2" s="92">
        <f t="shared" si="0"/>
        <v>45</v>
      </c>
      <c r="BW2" s="92">
        <f t="shared" si="0"/>
        <v>46</v>
      </c>
      <c r="BX2" s="92">
        <f t="shared" si="0"/>
        <v>47</v>
      </c>
      <c r="BY2" s="92">
        <f t="shared" si="0"/>
        <v>48</v>
      </c>
      <c r="BZ2" s="92">
        <f t="shared" si="0"/>
        <v>49</v>
      </c>
      <c r="CA2" s="92">
        <f t="shared" si="0"/>
        <v>50</v>
      </c>
      <c r="CB2" s="92">
        <f t="shared" si="0"/>
        <v>51</v>
      </c>
      <c r="CC2" s="92">
        <f t="shared" si="0"/>
        <v>52</v>
      </c>
      <c r="CD2" s="92">
        <f t="shared" si="0"/>
        <v>53</v>
      </c>
      <c r="CE2" s="92">
        <f t="shared" si="0"/>
        <v>54</v>
      </c>
      <c r="CF2" s="92">
        <f t="shared" si="0"/>
        <v>55</v>
      </c>
    </row>
    <row r="3" spans="2:84" ht="58.5" thickTop="1">
      <c r="B3" s="282" cm="1">
        <f t="array" ref="B3" xml:space="preserve"> ROW() - ROW($2:$2)</f>
        <v>1</v>
      </c>
      <c r="C3" s="212" t="s">
        <v>1437</v>
      </c>
      <c r="D3" s="74" t="str" cm="1">
        <f t="array" ref="D3" xml:space="preserve"> IFERROR( INDEX(聲母對照資料表[台羅拼音], MATCH(TRUE, EXACT($J3, 聲母碼),0)), "")</f>
        <v>b</v>
      </c>
      <c r="E3" s="95" t="str" cm="1">
        <f t="array" ref="E3" xml:space="preserve"> IFERROR( INDEX(聲母對照資料表[注音二式], MATCH(TRUE, EXACT($J3, 聲母碼),0)), "")</f>
        <v>bb</v>
      </c>
      <c r="F3" s="216" t="s">
        <v>2255</v>
      </c>
      <c r="G3" s="209" t="str" cm="1">
        <f t="array" ref="G3" xml:space="preserve"> IFERROR( INDEX(聲母對照資料表[十五音], MATCH(TRUE, EXACT($J3, 聲母碼),0)), "")</f>
        <v>門</v>
      </c>
      <c r="H3" s="132" t="s">
        <v>2436</v>
      </c>
      <c r="I3" s="139" t="str" cm="1">
        <f t="array" ref="I3" xml:space="preserve"> INDEX(廣韻聲母對照資料表[廣韻], MATCH(TRUE, EXACT($J3, 廣韻聲母對照資料表[台語音標]),0))</f>
        <v>明</v>
      </c>
      <c r="J3" s="212" t="s">
        <v>1437</v>
      </c>
      <c r="K3" s="74" t="str" cm="1">
        <f t="array" ref="K3" xml:space="preserve"> IFERROR( INDEX(聲母對照資料表[白話字], MATCH(TRUE, EXACT($J3, 聲母碼),0)), "")</f>
        <v>b</v>
      </c>
      <c r="L3" s="74" t="str" cm="1">
        <f t="array" ref="L3" xml:space="preserve"> IFERROR( INDEX(聲母對照資料表[閩拼方案], MATCH(TRUE, EXACT($J3, 聲母碼),0)), "")</f>
        <v>bb</v>
      </c>
      <c r="M3" s="105" t="str" cm="1">
        <f t="array" ref="M3" xml:space="preserve"> IFERROR( INDEX(韻母對照資料表[閩拼方案], MATCH(TRUE, EXACT($J3, 韻母對照資料表[台語音標]),0)), "")</f>
        <v/>
      </c>
      <c r="N3" s="75" t="str" cm="1">
        <f t="array" ref="N3" xml:space="preserve"> IFERROR( INDEX(韻母對照資料表[注音二式], MATCH(TRUE, EXACT($J3, 韻母對照資料表[台語音標]),0)), "")</f>
        <v/>
      </c>
      <c r="P3" s="234">
        <v>1</v>
      </c>
      <c r="Q3" s="95" t="s">
        <v>260</v>
      </c>
      <c r="R3" s="94" t="s">
        <v>260</v>
      </c>
      <c r="S3" s="96" t="s">
        <v>261</v>
      </c>
      <c r="T3" s="96" t="s">
        <v>1556</v>
      </c>
      <c r="V3" s="79">
        <v>1</v>
      </c>
      <c r="W3" s="96" t="s">
        <v>1557</v>
      </c>
      <c r="X3" s="97" t="s">
        <v>18</v>
      </c>
      <c r="Y3" s="98" t="s">
        <v>18</v>
      </c>
      <c r="Z3" s="99" t="s">
        <v>18</v>
      </c>
      <c r="AC3" s="100" t="s">
        <v>1551</v>
      </c>
      <c r="AD3" s="101" t="str" cm="1">
        <f t="array" aca="1" ref="AD3" ca="1" xml:space="preserve"> INDIRECT( ADDRESS( ROW($F$2) + AD$2, COLUMN($F$2)) )</f>
        <v>ㆠ</v>
      </c>
      <c r="AE3" s="101" t="str" cm="1">
        <f t="array" aca="1" ref="AE3" ca="1" xml:space="preserve"> INDIRECT( ADDRESS( ROW($F$2) + AE$2, COLUMN($F$2)) )</f>
        <v>ㄅ</v>
      </c>
      <c r="AF3" s="101" t="str" cm="1">
        <f t="array" aca="1" ref="AF3" ca="1" xml:space="preserve"> INDIRECT( ADDRESS( ROW($F$2) + AF$2, COLUMN($F$2)) )</f>
        <v>ㄆ</v>
      </c>
      <c r="AG3" s="101" t="str" cm="1">
        <f t="array" aca="1" ref="AG3" ca="1" xml:space="preserve"> INDIRECT( ADDRESS( ROW($F$2) + AG$2, COLUMN($F$2)) )</f>
        <v>ㄇ</v>
      </c>
      <c r="AH3" s="101" t="str" cm="1">
        <f t="array" aca="1" ref="AH3" ca="1" xml:space="preserve"> INDIRECT( ADDRESS( ROW($F$2) + AH$2, COLUMN($F$2)) )</f>
        <v>ㄉ</v>
      </c>
      <c r="AI3" s="101" t="str" cm="1">
        <f t="array" aca="1" ref="AI3" ca="1" xml:space="preserve"> INDIRECT( ADDRESS( ROW($F$2) + AI$2, COLUMN($F$2)) )</f>
        <v>ㄊ</v>
      </c>
      <c r="AJ3" s="101" t="str" cm="1">
        <f t="array" aca="1" ref="AJ3" ca="1" xml:space="preserve"> INDIRECT( ADDRESS( ROW($F$2) + AJ$2, COLUMN($F$2)) )</f>
        <v>ㄋ</v>
      </c>
      <c r="AK3" s="101" t="str" cm="1">
        <f t="array" aca="1" ref="AK3" ca="1" xml:space="preserve"> INDIRECT( ADDRESS( ROW($F$2) + AK$2, COLUMN($F$2)) )</f>
        <v>ㄌ</v>
      </c>
      <c r="AL3" s="101" t="str" cm="1">
        <f t="array" aca="1" ref="AL3" ca="1" xml:space="preserve"> INDIRECT( ADDRESS( ROW($F$2) + AL$2, COLUMN($F$2)) )</f>
        <v>ㆣ</v>
      </c>
      <c r="AM3" s="101" t="str" cm="1">
        <f t="array" aca="1" ref="AM3" ca="1" xml:space="preserve"> INDIRECT( ADDRESS( ROW($F$2) + AM$2, COLUMN($F$2)) )</f>
        <v>ㄍ</v>
      </c>
      <c r="AN3" s="101" t="str" cm="1">
        <f t="array" aca="1" ref="AN3" ca="1" xml:space="preserve"> INDIRECT( ADDRESS( ROW($F$2) + AN$2, COLUMN($F$2)) )</f>
        <v>ㄎ</v>
      </c>
      <c r="AO3" s="101" t="str" cm="1">
        <f t="array" aca="1" ref="AO3" ca="1" xml:space="preserve"> INDIRECT( ADDRESS( ROW($F$2) + AO$2, COLUMN($F$2)) )</f>
        <v>ㄫ</v>
      </c>
      <c r="AP3" s="101" t="str" cm="1">
        <f t="array" aca="1" ref="AP3" ca="1" xml:space="preserve"> INDIRECT( ADDRESS( ROW($F$2) + AP$2, COLUMN($F$2)) )</f>
        <v>ㆡ</v>
      </c>
      <c r="AQ3" s="101" t="str" cm="1">
        <f t="array" aca="1" ref="AQ3" ca="1" xml:space="preserve"> INDIRECT( ADDRESS( ROW($F$2) + AQ$2, COLUMN($F$2)) )</f>
        <v>ㄗ</v>
      </c>
      <c r="AR3" s="101" t="str" cm="1">
        <f t="array" aca="1" ref="AR3" ca="1" xml:space="preserve"> INDIRECT( ADDRESS( ROW($F$2) + AR$2, COLUMN($F$2)) )</f>
        <v>ㄘ</v>
      </c>
      <c r="AS3" s="101" t="str" cm="1">
        <f t="array" aca="1" ref="AS3" ca="1" xml:space="preserve"> INDIRECT( ADDRESS( ROW($F$2) + AS$2, COLUMN($F$2)) )</f>
        <v>ㄙ</v>
      </c>
      <c r="AT3" s="101" t="str" cm="1">
        <f t="array" aca="1" ref="AT3" ca="1" xml:space="preserve"> INDIRECT( ADDRESS( ROW($F$2) + AT$2, COLUMN($F$2)) )</f>
        <v>ㆢ</v>
      </c>
      <c r="AU3" s="101" t="str" cm="1">
        <f t="array" aca="1" ref="AU3" ca="1" xml:space="preserve"> INDIRECT( ADDRESS( ROW($F$2) + AU$2, COLUMN($F$2)) )</f>
        <v>ㄐ</v>
      </c>
      <c r="AV3" s="101" t="str" cm="1">
        <f t="array" aca="1" ref="AV3" ca="1" xml:space="preserve"> INDIRECT( ADDRESS( ROW($F$2) + AV$2, COLUMN($F$2)) )</f>
        <v>ㄑ</v>
      </c>
      <c r="AW3" s="101" t="str" cm="1">
        <f t="array" aca="1" ref="AW3" ca="1" xml:space="preserve"> INDIRECT( ADDRESS( ROW($F$2) + AW$2, COLUMN($F$2)) )</f>
        <v>ㄒ</v>
      </c>
      <c r="AX3" s="101" t="str" cm="1">
        <f t="array" aca="1" ref="AX3" ca="1" xml:space="preserve"> INDIRECT( ADDRESS( ROW($F$2) + AX$2, COLUMN($F$2)) )</f>
        <v>ㄏ</v>
      </c>
      <c r="AY3" s="101" t="str" cm="1">
        <f t="array" aca="1" ref="AY3" ca="1" xml:space="preserve"> INDIRECT( ADDRESS( ROW($F$2) + AY$2, COLUMN($F$2)) )</f>
        <v>Ø</v>
      </c>
      <c r="AZ3" s="101" t="str" cm="1">
        <f t="array" aca="1" ref="AZ3" ca="1" xml:space="preserve"> INDIRECT( ADDRESS( ROW($F$2) + AZ$2, COLUMN($F$2)) )</f>
        <v>ㄚ</v>
      </c>
      <c r="BA3" s="101" t="str" cm="1">
        <f t="array" aca="1" ref="BA3" ca="1" xml:space="preserve"> INDIRECT( ADDRESS( ROW($F$2) + BA$2, COLUMN($F$2)) )</f>
        <v>ㆩ</v>
      </c>
      <c r="BB3" s="101" t="str" cm="1">
        <f t="array" aca="1" ref="BB3" ca="1" xml:space="preserve"> INDIRECT( ADDRESS( ROW($F$2) + BB$2, COLUMN($F$2)) )</f>
        <v>ㆰ</v>
      </c>
      <c r="BC3" s="101" t="str" cm="1">
        <f t="array" aca="1" ref="BC3" ca="1" xml:space="preserve"> INDIRECT( ADDRESS( ROW($F$2) + BC$2, COLUMN($F$2)) )</f>
        <v>ㄢ</v>
      </c>
      <c r="BD3" s="101" t="str" cm="1">
        <f t="array" aca="1" ref="BD3" ca="1" xml:space="preserve"> INDIRECT( ADDRESS( ROW($F$2) + BD$2, COLUMN($F$2)) )</f>
        <v>ㄤ</v>
      </c>
      <c r="BE3" s="101" t="str" cm="1">
        <f t="array" aca="1" ref="BE3" ca="1" xml:space="preserve"> INDIRECT( ADDRESS( ROW($F$2) + BE$2, COLUMN($F$2)) )</f>
        <v>ㄞ</v>
      </c>
      <c r="BF3" s="101" t="str" cm="1">
        <f t="array" aca="1" ref="BF3" ca="1" xml:space="preserve"> INDIRECT( ADDRESS( ROW($F$2) + BF$2, COLUMN($F$2)) )</f>
        <v>ㆮ</v>
      </c>
      <c r="BG3" s="101" t="str" cm="1">
        <f t="array" aca="1" ref="BG3" ca="1" xml:space="preserve"> INDIRECT( ADDRESS( ROW($F$2) + BG$2, COLUMN($F$2)) )</f>
        <v>ㄠ</v>
      </c>
      <c r="BH3" s="101" t="str" cm="1">
        <f t="array" aca="1" ref="BH3" ca="1" xml:space="preserve"> INDIRECT( ADDRESS( ROW($F$2) + BH$2, COLUMN($F$2)) )</f>
        <v>ㆯ</v>
      </c>
      <c r="BI3" s="101" t="str" cm="1">
        <f t="array" aca="1" ref="BI3" ca="1" xml:space="preserve"> INDIRECT( ADDRESS( ROW($F$2) + BI$2, COLUMN($F$2)) )</f>
        <v>ㆤ</v>
      </c>
      <c r="BJ3" s="101" t="str" cm="1">
        <f t="array" aca="1" ref="BJ3" ca="1" xml:space="preserve"> INDIRECT( ADDRESS( ROW($F$2) + BJ$2, COLUMN($F$2)) )</f>
        <v>ㆥ</v>
      </c>
      <c r="BK3" s="101" t="str" cm="1">
        <f t="array" aca="1" ref="BK3" ca="1" xml:space="preserve"> INDIRECT( ADDRESS( ROW($F$2) + BK$2, COLUMN($F$2)) )</f>
        <v>ㄧ</v>
      </c>
      <c r="BL3" s="101" t="str" cm="1">
        <f t="array" aca="1" ref="BL3" ca="1" xml:space="preserve"> INDIRECT( ADDRESS( ROW($F$2) + BL$2, COLUMN($F$2)) )</f>
        <v>ㆪ</v>
      </c>
      <c r="BM3" s="101" t="str" cm="1">
        <f t="array" aca="1" ref="BM3" ca="1" xml:space="preserve"> INDIRECT( ADDRESS( ROW($F$2) + BM$2, COLUMN($F$2)) )</f>
        <v>ㄧㆬ</v>
      </c>
      <c r="BN3" s="101" t="str" cm="1">
        <f t="array" aca="1" ref="BN3" ca="1" xml:space="preserve"> INDIRECT( ADDRESS( ROW($F$2) + BN$2, COLUMN($F$2)) )</f>
        <v>ㄧㄣ</v>
      </c>
      <c r="BO3" s="101" t="str" cm="1">
        <f t="array" aca="1" ref="BO3" ca="1" xml:space="preserve"> INDIRECT( ADDRESS( ROW($F$2) + BO$2, COLUMN($F$2)) )</f>
        <v>ㄧㄥ</v>
      </c>
      <c r="BP3" s="101" t="str" cm="1">
        <f t="array" aca="1" ref="BP3" ca="1" xml:space="preserve"> INDIRECT( ADDRESS( ROW($F$2) + BP$2, COLUMN($F$2)) )</f>
        <v>ㄧㆻ</v>
      </c>
      <c r="BQ3" s="101" t="str" cm="1">
        <f t="array" aca="1" ref="BQ3" ca="1" xml:space="preserve"> INDIRECT( ADDRESS( ROW($F$2) + BQ$2, COLUMN($F$2)) )</f>
        <v>ㄧㄥ</v>
      </c>
      <c r="BR3" s="101" t="str" cm="1">
        <f t="array" aca="1" ref="BR3" ca="1" xml:space="preserve"> INDIRECT( ADDRESS( ROW($F$2) + BR$2, COLUMN($F$2)) )</f>
        <v>ㄧㆤㆻ</v>
      </c>
      <c r="BS3" s="101" t="str" cm="1">
        <f t="array" aca="1" ref="BS3" ca="1" xml:space="preserve"> INDIRECT( ADDRESS( ROW($F$2) + BS$2, COLUMN($F$2)) )</f>
        <v>ㄧㄚ</v>
      </c>
      <c r="BT3" s="101" t="str" cm="1">
        <f t="array" aca="1" ref="BT3" ca="1" xml:space="preserve"> INDIRECT( ADDRESS( ROW($F$2) + BT$2, COLUMN($F$2)) )</f>
        <v>ㄧㆩ</v>
      </c>
      <c r="BU3" s="101" t="str" cm="1">
        <f t="array" aca="1" ref="BU3" ca="1" xml:space="preserve"> INDIRECT( ADDRESS( ROW($F$2) + BU$2, COLUMN($F$2)) )</f>
        <v>ㄧㆰ</v>
      </c>
      <c r="BV3" s="101" t="str" cm="1">
        <f t="array" aca="1" ref="BV3" ca="1" xml:space="preserve"> INDIRECT( ADDRESS( ROW($F$2) + BV$2, COLUMN($F$2)) )</f>
        <v>ㄧㄢ</v>
      </c>
      <c r="BW3" s="101" t="str" cm="1">
        <f t="array" aca="1" ref="BW3" ca="1" xml:space="preserve"> INDIRECT( ADDRESS( ROW($F$2) + BW$2, COLUMN($F$2)) )</f>
        <v>ㄧㄚㆵ</v>
      </c>
      <c r="BX3" s="101" t="str" cm="1">
        <f t="array" aca="1" ref="BX3" ca="1" xml:space="preserve"> INDIRECT( ADDRESS( ROW($F$2) + BX$2, COLUMN($F$2)) )</f>
        <v>ㄧㄤ</v>
      </c>
      <c r="BY3" s="101" t="str" cm="1">
        <f t="array" aca="1" ref="BY3" ca="1" xml:space="preserve"> INDIRECT( ADDRESS( ROW($F$2) + BY$2, COLUMN($F$2)) )</f>
        <v>ㄧㄠ</v>
      </c>
      <c r="BZ3" s="101" t="str" cm="1">
        <f t="array" aca="1" ref="BZ3" ca="1" xml:space="preserve"> INDIRECT( ADDRESS( ROW($F$2) + BZ$2, COLUMN($F$2)) )</f>
        <v>ㄧㆯ</v>
      </c>
      <c r="CA3" s="101" t="str" cm="1">
        <f t="array" aca="1" ref="CA3" ca="1" xml:space="preserve"> INDIRECT( ADDRESS( ROW($F$2) + CA$2, COLUMN($F$2)) )</f>
        <v>ㄧㄜ</v>
      </c>
      <c r="CB3" s="101" t="str" cm="1">
        <f t="array" aca="1" ref="CB3" ca="1" xml:space="preserve"> INDIRECT( ADDRESS( ROW($F$2) + CB$2, COLUMN($F$2)) )</f>
        <v>ㄧㆦ</v>
      </c>
      <c r="CC3" s="101" t="str" cm="1">
        <f t="array" aca="1" ref="CC3" ca="1" xml:space="preserve"> INDIRECT( ADDRESS( ROW($F$2) + CC$2, COLUMN($F$2)) )</f>
        <v>ㄧㆧ</v>
      </c>
      <c r="CD3" s="101" t="str" cm="1">
        <f t="array" aca="1" ref="CD3" ca="1" xml:space="preserve"> INDIRECT( ADDRESS( ROW($F$2) + CD$2, COLUMN($F$2)) )</f>
        <v>ㄧㆲ</v>
      </c>
      <c r="CE3" s="101" t="str" cm="1">
        <f t="array" aca="1" ref="CE3" ca="1" xml:space="preserve"> INDIRECT( ADDRESS( ROW($F$2) + CE$2, COLUMN($F$2)) )</f>
        <v>ㄧㄨ</v>
      </c>
      <c r="CF3" s="101" t="str" cm="1">
        <f t="array" aca="1" ref="CF3" ca="1" xml:space="preserve"> INDIRECT( ADDRESS( ROW($F$2) + CF$2, COLUMN($F$2)) )</f>
        <v>ㄧㆫ</v>
      </c>
    </row>
    <row r="4" spans="2:84" ht="57.75">
      <c r="B4" s="282" cm="1">
        <f t="array" ref="B4" xml:space="preserve"> ROW() - ROW($2:$2)</f>
        <v>2</v>
      </c>
      <c r="C4" s="212" t="s">
        <v>2</v>
      </c>
      <c r="D4" s="74" t="str" cm="1">
        <f t="array" ref="D4" xml:space="preserve"> IFERROR( INDEX(聲母對照資料表[台羅拼音], MATCH(TRUE, EXACT($J4, 聲母碼),0)), "")</f>
        <v>p</v>
      </c>
      <c r="E4" s="95" t="str" cm="1">
        <f t="array" ref="E4" xml:space="preserve"> IFERROR( INDEX(聲母對照資料表[注音二式], MATCH(TRUE, EXACT($J4, 聲母碼),0)), "")</f>
        <v>b</v>
      </c>
      <c r="F4" s="216" t="s">
        <v>1436</v>
      </c>
      <c r="G4" s="209" t="str" cm="1">
        <f t="array" ref="G4" xml:space="preserve"> IFERROR( INDEX(聲母對照資料表[十五音], MATCH(TRUE, EXACT($J4, 聲母碼),0)), "")</f>
        <v>邊</v>
      </c>
      <c r="H4" s="132" t="s">
        <v>1882</v>
      </c>
      <c r="I4" s="139" t="str" cm="1">
        <f t="array" ref="I4" xml:space="preserve"> INDEX(廣韻聲母對照資料表[廣韻], MATCH(TRUE, EXACT($J4, 廣韻聲母對照資料表[台語音標]),0))</f>
        <v>幫</v>
      </c>
      <c r="J4" s="212" t="s">
        <v>2</v>
      </c>
      <c r="K4" s="74" t="str" cm="1">
        <f t="array" ref="K4" xml:space="preserve"> IFERROR( INDEX(聲母對照資料表[白話字], MATCH(TRUE, EXACT($J4, 聲母碼),0)), "")</f>
        <v>p</v>
      </c>
      <c r="L4" s="74" t="str" cm="1">
        <f t="array" ref="L4" xml:space="preserve"> IFERROR( INDEX(聲母對照資料表[閩拼方案], MATCH(TRUE, EXACT($J4, 聲母碼),0)), "")</f>
        <v>b</v>
      </c>
      <c r="M4" s="94" t="s">
        <v>4</v>
      </c>
      <c r="N4" s="75" t="s">
        <v>1438</v>
      </c>
      <c r="P4" s="234">
        <v>2</v>
      </c>
      <c r="Q4" s="95" t="s">
        <v>732</v>
      </c>
      <c r="R4" s="94" t="s">
        <v>732</v>
      </c>
      <c r="S4" s="96" t="s">
        <v>733</v>
      </c>
      <c r="T4" s="96" t="s">
        <v>1559</v>
      </c>
      <c r="V4" s="79">
        <f t="shared" ref="V4:V12" si="1">V3+1</f>
        <v>2</v>
      </c>
      <c r="W4" s="96" t="s">
        <v>1560</v>
      </c>
      <c r="X4" s="97" t="s">
        <v>1249</v>
      </c>
      <c r="Y4" s="98" t="s">
        <v>18</v>
      </c>
      <c r="Z4" s="99" t="s">
        <v>1250</v>
      </c>
      <c r="AC4" s="103" t="s">
        <v>1561</v>
      </c>
      <c r="AD4" s="104" t="str" cm="1">
        <f t="array" aca="1" ref="AD4" ca="1" xml:space="preserve"> INDIRECT( ADDRESS( ROW($J$2) + AD$2, COLUMN($J$2)) )</f>
        <v>b</v>
      </c>
      <c r="AE4" s="104" t="str" cm="1">
        <f t="array" aca="1" ref="AE4" ca="1" xml:space="preserve"> INDIRECT( ADDRESS( ROW($J$2) + AE$2, COLUMN($J$2)) )</f>
        <v>p</v>
      </c>
      <c r="AF4" s="104" t="str" cm="1">
        <f t="array" aca="1" ref="AF4" ca="1" xml:space="preserve"> INDIRECT( ADDRESS( ROW($J$2) + AF$2, COLUMN($J$2)) )</f>
        <v>ph</v>
      </c>
      <c r="AG4" s="104" t="str" cm="1">
        <f t="array" aca="1" ref="AG4" ca="1" xml:space="preserve"> INDIRECT( ADDRESS( ROW($J$2) + AG$2, COLUMN($J$2)) )</f>
        <v>m</v>
      </c>
      <c r="AH4" s="104" t="str" cm="1">
        <f t="array" aca="1" ref="AH4" ca="1" xml:space="preserve"> INDIRECT( ADDRESS( ROW($J$2) + AH$2, COLUMN($J$2)) )</f>
        <v>t</v>
      </c>
      <c r="AI4" s="104" t="str" cm="1">
        <f t="array" aca="1" ref="AI4" ca="1" xml:space="preserve"> INDIRECT( ADDRESS( ROW($J$2) + AI$2, COLUMN($J$2)) )</f>
        <v>th</v>
      </c>
      <c r="AJ4" s="104" t="str" cm="1">
        <f t="array" aca="1" ref="AJ4" ca="1" xml:space="preserve"> INDIRECT( ADDRESS( ROW($J$2) + AJ$2, COLUMN($J$2)) )</f>
        <v>n</v>
      </c>
      <c r="AK4" s="104" t="str" cm="1">
        <f t="array" aca="1" ref="AK4" ca="1" xml:space="preserve"> INDIRECT( ADDRESS( ROW($J$2) + AK$2, COLUMN($J$2)) )</f>
        <v>l</v>
      </c>
      <c r="AL4" s="104" t="str" cm="1">
        <f t="array" aca="1" ref="AL4" ca="1" xml:space="preserve"> INDIRECT( ADDRESS( ROW($J$2) + AL$2, COLUMN($J$2)) )</f>
        <v>g</v>
      </c>
      <c r="AM4" s="104" t="str" cm="1">
        <f t="array" aca="1" ref="AM4" ca="1" xml:space="preserve"> INDIRECT( ADDRESS( ROW($J$2) + AM$2, COLUMN($J$2)) )</f>
        <v>k</v>
      </c>
      <c r="AN4" s="104" t="str" cm="1">
        <f t="array" aca="1" ref="AN4" ca="1" xml:space="preserve"> INDIRECT( ADDRESS( ROW($J$2) + AN$2, COLUMN($J$2)) )</f>
        <v>kh</v>
      </c>
      <c r="AO4" s="104" t="str" cm="1">
        <f t="array" aca="1" ref="AO4" ca="1" xml:space="preserve"> INDIRECT( ADDRESS( ROW($J$2) + AO$2, COLUMN($J$2)) )</f>
        <v>ng</v>
      </c>
      <c r="AP4" s="104" t="str" cm="1">
        <f t="array" aca="1" ref="AP4" ca="1" xml:space="preserve"> INDIRECT( ADDRESS( ROW($J$2) + AP$2, COLUMN($J$2)) )</f>
        <v>j</v>
      </c>
      <c r="AQ4" s="104" t="str" cm="1">
        <f t="array" aca="1" ref="AQ4" ca="1" xml:space="preserve"> INDIRECT( ADDRESS( ROW($J$2) + AQ$2, COLUMN($J$2)) )</f>
        <v>z</v>
      </c>
      <c r="AR4" s="104" t="str" cm="1">
        <f t="array" aca="1" ref="AR4" ca="1" xml:space="preserve"> INDIRECT( ADDRESS( ROW($J$2) + AR$2, COLUMN($J$2)) )</f>
        <v>c</v>
      </c>
      <c r="AS4" s="104" t="str" cm="1">
        <f t="array" aca="1" ref="AS4" ca="1" xml:space="preserve"> INDIRECT( ADDRESS( ROW($J$2) + AS$2, COLUMN($J$2)) )</f>
        <v>s</v>
      </c>
      <c r="AT4" s="104" t="str" cm="1">
        <f t="array" aca="1" ref="AT4" ca="1" xml:space="preserve"> INDIRECT( ADDRESS( ROW($J$2) + AT$2, COLUMN($J$2)) )</f>
        <v>ji</v>
      </c>
      <c r="AU4" s="104" t="str" cm="1">
        <f t="array" aca="1" ref="AU4" ca="1" xml:space="preserve"> INDIRECT( ADDRESS( ROW($J$2) + AU$2, COLUMN($J$2)) )</f>
        <v>zi</v>
      </c>
      <c r="AV4" s="104" t="str" cm="1">
        <f t="array" aca="1" ref="AV4" ca="1" xml:space="preserve"> INDIRECT( ADDRESS( ROW($J$2) + AV$2, COLUMN($J$2)) )</f>
        <v>ci</v>
      </c>
      <c r="AW4" s="104" t="str" cm="1">
        <f t="array" aca="1" ref="AW4" ca="1" xml:space="preserve"> INDIRECT( ADDRESS( ROW($J$2) + AW$2, COLUMN($J$2)) )</f>
        <v>si</v>
      </c>
      <c r="AX4" s="104" t="str" cm="1">
        <f t="array" aca="1" ref="AX4" ca="1" xml:space="preserve"> INDIRECT( ADDRESS( ROW($J$2) + AX$2, COLUMN($J$2)) )</f>
        <v>h</v>
      </c>
      <c r="AY4" s="104" t="str" cm="1">
        <f t="array" aca="1" ref="AY4" ca="1" xml:space="preserve"> INDIRECT( ADDRESS( ROW($J$2) + AY$2, COLUMN($J$2)) )</f>
        <v>Ø</v>
      </c>
      <c r="AZ4" s="104" t="str" cm="1">
        <f t="array" aca="1" ref="AZ4" ca="1" xml:space="preserve"> INDIRECT( ADDRESS( ROW($J$2) + AZ$2, COLUMN($J$2)) )</f>
        <v>a</v>
      </c>
      <c r="BA4" s="104" t="str" cm="1">
        <f t="array" aca="1" ref="BA4" ca="1" xml:space="preserve"> INDIRECT( ADDRESS( ROW($J$2) + BA$2, COLUMN($J$2)) )</f>
        <v>ann</v>
      </c>
      <c r="BB4" s="104" t="str" cm="1">
        <f t="array" aca="1" ref="BB4" ca="1" xml:space="preserve"> INDIRECT( ADDRESS( ROW($J$2) + BB$2, COLUMN($J$2)) )</f>
        <v>am</v>
      </c>
      <c r="BC4" s="104" t="str" cm="1">
        <f t="array" aca="1" ref="BC4" ca="1" xml:space="preserve"> INDIRECT( ADDRESS( ROW($J$2) + BC$2, COLUMN($J$2)) )</f>
        <v>an</v>
      </c>
      <c r="BD4" s="104" t="str" cm="1">
        <f t="array" aca="1" ref="BD4" ca="1" xml:space="preserve"> INDIRECT( ADDRESS( ROW($J$2) + BD$2, COLUMN($J$2)) )</f>
        <v>ang</v>
      </c>
      <c r="BE4" s="104" t="str" cm="1">
        <f t="array" aca="1" ref="BE4" ca="1" xml:space="preserve"> INDIRECT( ADDRESS( ROW($J$2) + BE$2, COLUMN($J$2)) )</f>
        <v>ai</v>
      </c>
      <c r="BF4" s="104" t="str" cm="1">
        <f t="array" aca="1" ref="BF4" ca="1" xml:space="preserve"> INDIRECT( ADDRESS( ROW($J$2) + BF$2, COLUMN($J$2)) )</f>
        <v>ainn</v>
      </c>
      <c r="BG4" s="104" t="str" cm="1">
        <f t="array" aca="1" ref="BG4" ca="1" xml:space="preserve"> INDIRECT( ADDRESS( ROW($J$2) + BG$2, COLUMN($J$2)) )</f>
        <v>au</v>
      </c>
      <c r="BH4" s="104" t="str" cm="1">
        <f t="array" aca="1" ref="BH4" ca="1" xml:space="preserve"> INDIRECT( ADDRESS( ROW($J$2) + BH$2, COLUMN($J$2)) )</f>
        <v>aunn</v>
      </c>
      <c r="BI4" s="104" t="str" cm="1">
        <f t="array" aca="1" ref="BI4" ca="1" xml:space="preserve"> INDIRECT( ADDRESS( ROW($J$2) + BI$2, COLUMN($J$2)) )</f>
        <v>e</v>
      </c>
      <c r="BJ4" s="104" t="str" cm="1">
        <f t="array" aca="1" ref="BJ4" ca="1" xml:space="preserve"> INDIRECT( ADDRESS( ROW($J$2) + BJ$2, COLUMN($J$2)) )</f>
        <v>enn</v>
      </c>
      <c r="BK4" s="104" t="str" cm="1">
        <f t="array" aca="1" ref="BK4" ca="1" xml:space="preserve"> INDIRECT( ADDRESS( ROW($J$2) + BK$2, COLUMN($J$2)) )</f>
        <v>i</v>
      </c>
      <c r="BL4" s="104" t="str" cm="1">
        <f t="array" aca="1" ref="BL4" ca="1" xml:space="preserve"> INDIRECT( ADDRESS( ROW($J$2) + BL$2, COLUMN($J$2)) )</f>
        <v>inn</v>
      </c>
      <c r="BM4" s="104" t="str" cm="1">
        <f t="array" aca="1" ref="BM4" ca="1" xml:space="preserve"> INDIRECT( ADDRESS( ROW($J$2) + BM$2, COLUMN($J$2)) )</f>
        <v>im</v>
      </c>
      <c r="BN4" s="104" t="str" cm="1">
        <f t="array" aca="1" ref="BN4" ca="1" xml:space="preserve"> INDIRECT( ADDRESS( ROW($J$2) + BN$2, COLUMN($J$2)) )</f>
        <v>in</v>
      </c>
      <c r="BO4" s="104" t="str" cm="1">
        <f t="array" aca="1" ref="BO4" ca="1" xml:space="preserve"> INDIRECT( ADDRESS( ROW($J$2) + BO$2, COLUMN($J$2)) )</f>
        <v>ing</v>
      </c>
      <c r="BP4" s="104" t="str" cm="1">
        <f t="array" aca="1" ref="BP4" ca="1" xml:space="preserve"> INDIRECT( ADDRESS( ROW($J$2) + BP$2, COLUMN($J$2)) )</f>
        <v>ik</v>
      </c>
      <c r="BQ4" s="104" t="str" cm="1">
        <f t="array" aca="1" ref="BQ4" ca="1" xml:space="preserve"> INDIRECT( ADDRESS( ROW($J$2) + BQ$2, COLUMN($J$2)) )</f>
        <v>ing</v>
      </c>
      <c r="BR4" s="104" t="str" cm="1">
        <f t="array" aca="1" ref="BR4" ca="1" xml:space="preserve"> INDIRECT( ADDRESS( ROW($J$2) + BR$2, COLUMN($J$2)) )</f>
        <v>iek</v>
      </c>
      <c r="BS4" s="104" t="str" cm="1">
        <f t="array" aca="1" ref="BS4" ca="1" xml:space="preserve"> INDIRECT( ADDRESS( ROW($J$2) + BS$2, COLUMN($J$2)) )</f>
        <v>ia</v>
      </c>
      <c r="BT4" s="104" t="str" cm="1">
        <f t="array" aca="1" ref="BT4" ca="1" xml:space="preserve"> INDIRECT( ADDRESS( ROW($J$2) + BT$2, COLUMN($J$2)) )</f>
        <v>iann</v>
      </c>
      <c r="BU4" s="104" t="str" cm="1">
        <f t="array" aca="1" ref="BU4" ca="1" xml:space="preserve"> INDIRECT( ADDRESS( ROW($J$2) + BU$2, COLUMN($J$2)) )</f>
        <v>iam</v>
      </c>
      <c r="BV4" s="104" t="str" cm="1">
        <f t="array" aca="1" ref="BV4" ca="1" xml:space="preserve"> INDIRECT( ADDRESS( ROW($J$2) + BV$2, COLUMN($J$2)) )</f>
        <v>ian</v>
      </c>
      <c r="BW4" s="104" t="str" cm="1">
        <f t="array" aca="1" ref="BW4" ca="1" xml:space="preserve"> INDIRECT( ADDRESS( ROW($J$2) + BW$2, COLUMN($J$2)) )</f>
        <v>iat</v>
      </c>
      <c r="BX4" s="104" t="str" cm="1">
        <f t="array" aca="1" ref="BX4" ca="1" xml:space="preserve"> INDIRECT( ADDRESS( ROW($J$2) + BX$2, COLUMN($J$2)) )</f>
        <v>iang</v>
      </c>
      <c r="BY4" s="104" t="str" cm="1">
        <f t="array" aca="1" ref="BY4" ca="1" xml:space="preserve"> INDIRECT( ADDRESS( ROW($J$2) + BY$2, COLUMN($J$2)) )</f>
        <v>iau</v>
      </c>
      <c r="BZ4" s="104" t="str" cm="1">
        <f t="array" aca="1" ref="BZ4" ca="1" xml:space="preserve"> INDIRECT( ADDRESS( ROW($J$2) + BZ$2, COLUMN($J$2)) )</f>
        <v>iaunn</v>
      </c>
      <c r="CA4" s="104" t="str" cm="1">
        <f t="array" aca="1" ref="CA4" ca="1" xml:space="preserve"> INDIRECT( ADDRESS( ROW($J$2) + CA$2, COLUMN($J$2)) )</f>
        <v>io</v>
      </c>
      <c r="CB4" s="104" t="str" cm="1">
        <f t="array" aca="1" ref="CB4" ca="1" xml:space="preserve"> INDIRECT( ADDRESS( ROW($J$2) + CB$2, COLUMN($J$2)) )</f>
        <v>ioo</v>
      </c>
      <c r="CC4" s="104" t="str" cm="1">
        <f t="array" aca="1" ref="CC4" ca="1" xml:space="preserve"> INDIRECT( ADDRESS( ROW($J$2) + CC$2, COLUMN($J$2)) )</f>
        <v>ionn</v>
      </c>
      <c r="CD4" s="104" t="str" cm="1">
        <f t="array" aca="1" ref="CD4" ca="1" xml:space="preserve"> INDIRECT( ADDRESS( ROW($J$2) + CD$2, COLUMN($J$2)) )</f>
        <v>iong</v>
      </c>
      <c r="CE4" s="104" t="str" cm="1">
        <f t="array" aca="1" ref="CE4" ca="1" xml:space="preserve"> INDIRECT( ADDRESS( ROW($J$2) + CE$2, COLUMN($J$2)) )</f>
        <v>iu</v>
      </c>
      <c r="CF4" s="104" t="str" cm="1">
        <f t="array" aca="1" ref="CF4" ca="1" xml:space="preserve"> INDIRECT( ADDRESS( ROW($J$2) + CF$2, COLUMN($J$2)) )</f>
        <v>iunn</v>
      </c>
    </row>
    <row r="5" spans="2:84" ht="57.75">
      <c r="B5" s="282" cm="1">
        <f t="array" ref="B5" xml:space="preserve"> ROW() - ROW($2:$2)</f>
        <v>3</v>
      </c>
      <c r="C5" s="212" t="s">
        <v>1444</v>
      </c>
      <c r="D5" s="74" t="str" cm="1">
        <f t="array" ref="D5" xml:space="preserve"> IFERROR( INDEX(聲母對照資料表[台羅拼音], MATCH(TRUE, EXACT($J5, 聲母碼),0)), "")</f>
        <v>ph</v>
      </c>
      <c r="E5" s="95" t="str" cm="1">
        <f t="array" ref="E5" xml:space="preserve"> IFERROR( INDEX(聲母對照資料表[注音二式], MATCH(TRUE, EXACT($J5, 聲母碼),0)), "")</f>
        <v>p</v>
      </c>
      <c r="F5" s="216" t="s">
        <v>2254</v>
      </c>
      <c r="G5" s="209" t="str" cm="1">
        <f t="array" ref="G5" xml:space="preserve"> IFERROR( INDEX(聲母對照資料表[十五音], MATCH(TRUE, EXACT($J5, 聲母碼),0)), "")</f>
        <v>頗</v>
      </c>
      <c r="H5" s="132" t="s">
        <v>2435</v>
      </c>
      <c r="I5" s="139" t="str" cm="1">
        <f t="array" ref="I5" xml:space="preserve"> INDEX(廣韻聲母對照資料表[廣韻], MATCH(TRUE, EXACT($J5, 廣韻聲母對照資料表[台語音標]),0))</f>
        <v>滂</v>
      </c>
      <c r="J5" s="212" t="s">
        <v>1558</v>
      </c>
      <c r="K5" s="74" t="str" cm="1">
        <f t="array" ref="K5" xml:space="preserve"> IFERROR( INDEX(聲母對照資料表[白話字], MATCH(TRUE, EXACT($J5, 聲母碼),0)), "")</f>
        <v>ph</v>
      </c>
      <c r="L5" s="74" t="str" cm="1">
        <f t="array" ref="L5" xml:space="preserve"> IFERROR( INDEX(聲母對照資料表[閩拼方案], MATCH(TRUE, EXACT($J5, 聲母碼),0)), "")</f>
        <v>p</v>
      </c>
      <c r="M5" s="102" t="s">
        <v>2</v>
      </c>
      <c r="N5" s="75" t="s">
        <v>18</v>
      </c>
      <c r="P5" s="234">
        <v>3</v>
      </c>
      <c r="Q5" s="95" t="s">
        <v>18</v>
      </c>
      <c r="R5" s="105" t="s">
        <v>18</v>
      </c>
      <c r="S5" s="96" t="s">
        <v>19</v>
      </c>
      <c r="T5" s="96" t="s">
        <v>1560</v>
      </c>
      <c r="V5" s="79">
        <f t="shared" si="1"/>
        <v>3</v>
      </c>
      <c r="W5" s="96" t="s">
        <v>1562</v>
      </c>
      <c r="X5" s="97" t="s">
        <v>1529</v>
      </c>
      <c r="Y5" s="106" t="s">
        <v>1563</v>
      </c>
      <c r="Z5" s="99" t="s">
        <v>1235</v>
      </c>
      <c r="AC5" s="107" t="s">
        <v>1564</v>
      </c>
      <c r="AD5" s="108" t="str" cm="1">
        <f t="array" aca="1" ref="AD5" ca="1" xml:space="preserve"> INDIRECT( ADDRESS( ROW($M$2) + AD$2, COLUMN($M$2)) )</f>
        <v/>
      </c>
      <c r="AE5" s="108" t="str" cm="1">
        <f t="array" aca="1" ref="AE5" ca="1" xml:space="preserve"> INDIRECT( ADDRESS( ROW($M$2) + AE$2, COLUMN($M$2)) )</f>
        <v>b</v>
      </c>
      <c r="AF5" s="108" t="str" cm="1">
        <f t="array" aca="1" ref="AF5" ca="1" xml:space="preserve"> INDIRECT( ADDRESS( ROW($M$2) + AF$2, COLUMN($M$2)) )</f>
        <v>p</v>
      </c>
      <c r="AG5" s="108" t="str" cm="1">
        <f t="array" aca="1" ref="AG5" ca="1" xml:space="preserve"> INDIRECT( ADDRESS( ROW($M$2) + AG$2, COLUMN($M$2)) )</f>
        <v>m</v>
      </c>
      <c r="AH5" s="108" t="str" cm="1">
        <f t="array" aca="1" ref="AH5" ca="1" xml:space="preserve"> INDIRECT( ADDRESS( ROW($M$2) + AH$2, COLUMN($M$2)) )</f>
        <v>d</v>
      </c>
      <c r="AI5" s="108" t="str" cm="1">
        <f t="array" aca="1" ref="AI5" ca="1" xml:space="preserve"> INDIRECT( ADDRESS( ROW($M$2) + AI$2, COLUMN($M$2)) )</f>
        <v>t</v>
      </c>
      <c r="AJ5" s="108" t="str" cm="1">
        <f t="array" aca="1" ref="AJ5" ca="1" xml:space="preserve"> INDIRECT( ADDRESS( ROW($M$2) + AJ$2, COLUMN($M$2)) )</f>
        <v>n</v>
      </c>
      <c r="AK5" s="108" t="str" cm="1">
        <f t="array" aca="1" ref="AK5" ca="1" xml:space="preserve"> INDIRECT( ADDRESS( ROW($M$2) + AK$2, COLUMN($M$2)) )</f>
        <v>l</v>
      </c>
      <c r="AL5" s="108" t="str" cm="1">
        <f t="array" aca="1" ref="AL5" ca="1" xml:space="preserve"> INDIRECT( ADDRESS( ROW($M$2) + AL$2, COLUMN($M$2)) )</f>
        <v>G</v>
      </c>
      <c r="AM5" s="108" t="str" cm="1">
        <f t="array" aca="1" ref="AM5" ca="1" xml:space="preserve"> INDIRECT( ADDRESS( ROW($M$2) + AM$2, COLUMN($M$2)) )</f>
        <v>g</v>
      </c>
      <c r="AN5" s="108" t="str" cm="1">
        <f t="array" aca="1" ref="AN5" ca="1" xml:space="preserve"> INDIRECT( ADDRESS( ROW($M$2) + AN$2, COLUMN($M$2)) )</f>
        <v>k</v>
      </c>
      <c r="AO5" s="108" t="str" cm="1">
        <f t="array" aca="1" ref="AO5" ca="1" xml:space="preserve"> INDIRECT( ADDRESS( ROW($M$2) + AO$2, COLUMN($M$2)) )</f>
        <v>w</v>
      </c>
      <c r="AP5" s="108" t="str" cm="1">
        <f t="array" aca="1" ref="AP5" ca="1" xml:space="preserve"> INDIRECT( ADDRESS( ROW($M$2) + AP$2, COLUMN($M$2)) )</f>
        <v>Z</v>
      </c>
      <c r="AQ5" s="108" t="str" cm="1">
        <f t="array" aca="1" ref="AQ5" ca="1" xml:space="preserve"> INDIRECT( ADDRESS( ROW($M$2) + AQ$2, COLUMN($M$2)) )</f>
        <v>z</v>
      </c>
      <c r="AR5" s="108" t="str" cm="1">
        <f t="array" aca="1" ref="AR5" ca="1" xml:space="preserve"> INDIRECT( ADDRESS( ROW($M$2) + AR$2, COLUMN($M$2)) )</f>
        <v>c</v>
      </c>
      <c r="AS5" s="108" t="str" cm="1">
        <f t="array" aca="1" ref="AS5" ca="1" xml:space="preserve"> INDIRECT( ADDRESS( ROW($M$2) + AS$2, COLUMN($M$2)) )</f>
        <v>s</v>
      </c>
      <c r="AT5" s="108" t="str" cm="1">
        <f t="array" aca="1" ref="AT5" ca="1" xml:space="preserve"> INDIRECT( ADDRESS( ROW($M$2) + AT$2, COLUMN($M$2)) )</f>
        <v>J</v>
      </c>
      <c r="AU5" s="108" t="str" cm="1">
        <f t="array" aca="1" ref="AU5" ca="1" xml:space="preserve"> INDIRECT( ADDRESS( ROW($M$2) + AU$2, COLUMN($M$2)) )</f>
        <v>j</v>
      </c>
      <c r="AV5" s="108" t="str" cm="1">
        <f t="array" aca="1" ref="AV5" ca="1" xml:space="preserve"> INDIRECT( ADDRESS( ROW($M$2) + AV$2, COLUMN($M$2)) )</f>
        <v>C</v>
      </c>
      <c r="AW5" s="108" t="str" cm="1">
        <f t="array" aca="1" ref="AW5" ca="1" xml:space="preserve"> INDIRECT( ADDRESS( ROW($M$2) + AW$2, COLUMN($M$2)) )</f>
        <v>S</v>
      </c>
      <c r="AX5" s="108" t="str" cm="1">
        <f t="array" aca="1" ref="AX5" ca="1" xml:space="preserve"> INDIRECT( ADDRESS( ROW($M$2) + AX$2, COLUMN($M$2)) )</f>
        <v>h</v>
      </c>
      <c r="AY5" s="108" t="str" cm="1">
        <f t="array" aca="1" ref="AY5" ca="1" xml:space="preserve"> INDIRECT( ADDRESS( ROW($M$2) + AY$2, COLUMN($M$2)) )</f>
        <v/>
      </c>
      <c r="AZ5" s="108" t="str" cm="1">
        <f t="array" aca="1" ref="AZ5" ca="1" xml:space="preserve"> INDIRECT( ADDRESS( ROW($M$2) + AZ$2, COLUMN($M$2)) )</f>
        <v>a</v>
      </c>
      <c r="BA5" s="108" t="str" cm="1">
        <f t="array" aca="1" ref="BA5" ca="1" xml:space="preserve"> INDIRECT( ADDRESS( ROW($M$2) + BA$2, COLUMN($M$2)) )</f>
        <v>A</v>
      </c>
      <c r="BB5" s="108" t="str" cm="1">
        <f t="array" aca="1" ref="BB5" ca="1" xml:space="preserve"> INDIRECT( ADDRESS( ROW($M$2) + BB$2, COLUMN($M$2)) )</f>
        <v>V</v>
      </c>
      <c r="BC5" s="108" t="str" cm="1">
        <f t="array" aca="1" ref="BC5" ca="1" xml:space="preserve"> INDIRECT( ADDRESS( ROW($M$2) + BC$2, COLUMN($M$2)) )</f>
        <v>@</v>
      </c>
      <c r="BD5" s="108" t="str" cm="1">
        <f t="array" aca="1" ref="BD5" ca="1" xml:space="preserve"> INDIRECT( ADDRESS( ROW($M$2) + BD$2, COLUMN($M$2)) )</f>
        <v>P</v>
      </c>
      <c r="BE5" s="108" t="str" cm="1">
        <f t="array" aca="1" ref="BE5" ca="1" xml:space="preserve"> INDIRECT( ADDRESS( ROW($M$2) + BE$2, COLUMN($M$2)) )</f>
        <v>x</v>
      </c>
      <c r="BF5" s="108" t="str" cm="1">
        <f t="array" aca="1" ref="BF5" ca="1" xml:space="preserve"> INDIRECT( ADDRESS( ROW($M$2) + BF$2, COLUMN($M$2)) )</f>
        <v>X</v>
      </c>
      <c r="BG5" s="108" t="str" cm="1">
        <f t="array" aca="1" ref="BG5" ca="1" xml:space="preserve"> INDIRECT( ADDRESS( ROW($M$2) + BG$2, COLUMN($M$2)) )</f>
        <v>y</v>
      </c>
      <c r="BH5" s="108" t="str" cm="1">
        <f t="array" aca="1" ref="BH5" ca="1" xml:space="preserve"> INDIRECT( ADDRESS( ROW($M$2) + BH$2, COLUMN($M$2)) )</f>
        <v>Y</v>
      </c>
      <c r="BI5" s="108" t="str" cm="1">
        <f t="array" aca="1" ref="BI5" ca="1" xml:space="preserve"> INDIRECT( ADDRESS( ROW($M$2) + BI$2, COLUMN($M$2)) )</f>
        <v>e</v>
      </c>
      <c r="BJ5" s="108" t="str" cm="1">
        <f t="array" aca="1" ref="BJ5" ca="1" xml:space="preserve"> INDIRECT( ADDRESS( ROW($M$2) + BJ$2, COLUMN($M$2)) )</f>
        <v>E</v>
      </c>
      <c r="BK5" s="108" t="str" cm="1">
        <f t="array" aca="1" ref="BK5" ca="1" xml:space="preserve"> INDIRECT( ADDRESS( ROW($M$2) + BK$2, COLUMN($M$2)) )</f>
        <v>i</v>
      </c>
      <c r="BL5" s="108" t="str" cm="1">
        <f t="array" aca="1" ref="BL5" ca="1" xml:space="preserve"> INDIRECT( ADDRESS( ROW($M$2) + BL$2, COLUMN($M$2)) )</f>
        <v>I</v>
      </c>
      <c r="BM5" s="108" cm="1">
        <f t="array" aca="1" ref="BM5" ca="1" xml:space="preserve"> INDIRECT( ADDRESS( ROW($M$2) + BM$2, COLUMN($M$2)) )</f>
        <v>0</v>
      </c>
      <c r="BN5" s="108" cm="1">
        <f t="array" aca="1" ref="BN5" ca="1" xml:space="preserve"> INDIRECT( ADDRESS( ROW($M$2) + BN$2, COLUMN($M$2)) )</f>
        <v>0</v>
      </c>
      <c r="BO5" s="108" t="str" cm="1">
        <f t="array" aca="1" ref="BO5" ca="1" xml:space="preserve"> INDIRECT( ADDRESS( ROW($M$2) + BO$2, COLUMN($M$2)) )</f>
        <v/>
      </c>
      <c r="BP5" s="108" t="str" cm="1">
        <f t="array" aca="1" ref="BP5" ca="1" xml:space="preserve"> INDIRECT( ADDRESS( ROW($M$2) + BP$2, COLUMN($M$2)) )</f>
        <v/>
      </c>
      <c r="BQ5" s="108" t="str" cm="1">
        <f t="array" aca="1" ref="BQ5" ca="1" xml:space="preserve"> INDIRECT( ADDRESS( ROW($M$2) + BQ$2, COLUMN($M$2)) )</f>
        <v/>
      </c>
      <c r="BR5" s="108" t="str" cm="1">
        <f t="array" aca="1" ref="BR5" ca="1" xml:space="preserve"> INDIRECT( ADDRESS( ROW($M$2) + BR$2, COLUMN($M$2)) )</f>
        <v/>
      </c>
      <c r="BS5" s="108" t="str" cm="1">
        <f t="array" aca="1" ref="BS5" ca="1" xml:space="preserve"> INDIRECT( ADDRESS( ROW($M$2) + BS$2, COLUMN($M$2)) )</f>
        <v/>
      </c>
      <c r="BT5" s="108" t="str" cm="1">
        <f t="array" aca="1" ref="BT5" ca="1" xml:space="preserve"> INDIRECT( ADDRESS( ROW($M$2) + BT$2, COLUMN($M$2)) )</f>
        <v/>
      </c>
      <c r="BU5" s="108" cm="1">
        <f t="array" aca="1" ref="BU5" ca="1" xml:space="preserve"> INDIRECT( ADDRESS( ROW($M$2) + BU$2, COLUMN($M$2)) )</f>
        <v>0</v>
      </c>
      <c r="BV5" s="108" t="str" cm="1">
        <f t="array" aca="1" ref="BV5" ca="1" xml:space="preserve"> INDIRECT( ADDRESS( ROW($M$2) + BV$2, COLUMN($M$2)) )</f>
        <v/>
      </c>
      <c r="BW5" s="108" t="str" cm="1">
        <f t="array" aca="1" ref="BW5" ca="1" xml:space="preserve"> INDIRECT( ADDRESS( ROW($M$2) + BW$2, COLUMN($M$2)) )</f>
        <v/>
      </c>
      <c r="BX5" s="108" cm="1">
        <f t="array" aca="1" ref="BX5" ca="1" xml:space="preserve"> INDIRECT( ADDRESS( ROW($M$2) + BX$2, COLUMN($M$2)) )</f>
        <v>0</v>
      </c>
      <c r="BY5" s="108" t="str" cm="1">
        <f t="array" aca="1" ref="BY5" ca="1" xml:space="preserve"> INDIRECT( ADDRESS( ROW($M$2) + BY$2, COLUMN($M$2)) )</f>
        <v/>
      </c>
      <c r="BZ5" s="108" t="str" cm="1">
        <f t="array" aca="1" ref="BZ5" ca="1" xml:space="preserve"> INDIRECT( ADDRESS( ROW($M$2) + BZ$2, COLUMN($M$2)) )</f>
        <v/>
      </c>
      <c r="CA5" s="108" t="str" cm="1">
        <f t="array" aca="1" ref="CA5" ca="1" xml:space="preserve"> INDIRECT( ADDRESS( ROW($M$2) + CA$2, COLUMN($M$2)) )</f>
        <v/>
      </c>
      <c r="CB5" s="108" t="str" cm="1">
        <f t="array" aca="1" ref="CB5" ca="1" xml:space="preserve"> INDIRECT( ADDRESS( ROW($M$2) + CB$2, COLUMN($M$2)) )</f>
        <v>O</v>
      </c>
      <c r="CC5" s="108" t="str" cm="1">
        <f t="array" aca="1" ref="CC5" ca="1" xml:space="preserve"> INDIRECT( ADDRESS( ROW($M$2) + CC$2, COLUMN($M$2)) )</f>
        <v>Q</v>
      </c>
      <c r="CD5" s="108" t="str" cm="1">
        <f t="array" aca="1" ref="CD5" ca="1" xml:space="preserve"> INDIRECT( ADDRESS( ROW($M$2) + CD$2, COLUMN($M$2)) )</f>
        <v/>
      </c>
      <c r="CE5" s="108" t="str" cm="1">
        <f t="array" aca="1" ref="CE5" ca="1" xml:space="preserve"> INDIRECT( ADDRESS( ROW($M$2) + CE$2, COLUMN($M$2)) )</f>
        <v/>
      </c>
      <c r="CF5" s="108" t="str" cm="1">
        <f t="array" aca="1" ref="CF5" ca="1" xml:space="preserve"> INDIRECT( ADDRESS( ROW($M$2) + CF$2, COLUMN($M$2)) )</f>
        <v/>
      </c>
    </row>
    <row r="6" spans="2:84" ht="57.75">
      <c r="B6" s="282" cm="1">
        <f t="array" ref="B6" xml:space="preserve"> ROW() - ROW($2:$2)</f>
        <v>4</v>
      </c>
      <c r="C6" s="212" t="s">
        <v>1461</v>
      </c>
      <c r="D6" s="74" t="str" cm="1">
        <f t="array" ref="D6" xml:space="preserve"> IFERROR( INDEX(聲母對照資料表[台羅拼音], MATCH(TRUE, EXACT($J6, 聲母碼),0)), "")</f>
        <v>m</v>
      </c>
      <c r="E6" s="95" t="str" cm="1">
        <f t="array" ref="E6" xml:space="preserve"> IFERROR( INDEX(聲母對照資料表[注音二式], MATCH(TRUE, EXACT($J6, 聲母碼),0)), "")</f>
        <v>m</v>
      </c>
      <c r="F6" s="216" t="s">
        <v>2256</v>
      </c>
      <c r="G6" s="209" t="str" cm="1">
        <f t="array" ref="G6" xml:space="preserve"> IFERROR( INDEX(聲母對照資料表[十五音], MATCH(TRUE, EXACT($J6, 聲母碼),0)), "")</f>
        <v>毛</v>
      </c>
      <c r="H6" s="141" t="s">
        <v>1652</v>
      </c>
      <c r="I6" s="139" t="e" cm="1">
        <f t="array" ref="I6" xml:space="preserve"> INDEX(廣韻聲母對照資料表[廣韻], MATCH(TRUE, EXACT($J6, 廣韻聲母對照資料表[台語音標]),0))</f>
        <v>#N/A</v>
      </c>
      <c r="J6" s="212" t="s">
        <v>1461</v>
      </c>
      <c r="K6" s="74" t="str" cm="1">
        <f t="array" ref="K6" xml:space="preserve"> IFERROR( INDEX(聲母對照資料表[白話字], MATCH(TRUE, EXACT($J6, 聲母碼),0)), "")</f>
        <v>m</v>
      </c>
      <c r="L6" s="74" t="str" cm="1">
        <f t="array" ref="L6" xml:space="preserve"> IFERROR( INDEX(聲母對照資料表[閩拼方案], MATCH(TRUE, EXACT($J6, 聲母碼),0)), "")</f>
        <v>bbn</v>
      </c>
      <c r="M6" s="94" t="s">
        <v>5</v>
      </c>
      <c r="N6" s="75" t="s">
        <v>1469</v>
      </c>
      <c r="P6" s="234">
        <v>4</v>
      </c>
      <c r="Q6" s="95" t="s">
        <v>1159</v>
      </c>
      <c r="R6" s="94" t="s">
        <v>1180</v>
      </c>
      <c r="S6" s="96" t="s">
        <v>1565</v>
      </c>
      <c r="T6" s="96" t="s">
        <v>684</v>
      </c>
      <c r="V6" s="79">
        <f t="shared" si="1"/>
        <v>4</v>
      </c>
      <c r="W6" s="96" t="s">
        <v>1566</v>
      </c>
      <c r="X6" s="97" t="s">
        <v>1567</v>
      </c>
      <c r="Y6" s="106" t="s">
        <v>1563</v>
      </c>
      <c r="Z6" s="99" t="s">
        <v>1568</v>
      </c>
      <c r="AC6" s="109" t="s">
        <v>1569</v>
      </c>
      <c r="AD6" s="110" t="str" cm="1">
        <f t="array" aca="1" ref="AD6" ca="1" xml:space="preserve"> INDIRECT( ADDRESS( ROW($N$2) + AD$2, COLUMN($N$2)) )</f>
        <v/>
      </c>
      <c r="AE6" s="110" t="str" cm="1">
        <f t="array" aca="1" ref="AE6" ca="1" xml:space="preserve"> INDIRECT( ADDRESS( ROW($N$2) + AE$2, COLUMN($N$2)) )</f>
        <v>1</v>
      </c>
      <c r="AF6" s="110" t="str" cm="1">
        <f t="array" aca="1" ref="AF6" ca="1" xml:space="preserve"> INDIRECT( ADDRESS( ROW($N$2) + AF$2, COLUMN($N$2)) )</f>
        <v>a</v>
      </c>
      <c r="AG6" s="110" t="str" cm="1">
        <f t="array" aca="1" ref="AG6" ca="1" xml:space="preserve"> INDIRECT( ADDRESS( ROW($N$2) + AG$2, COLUMN($N$2)) )</f>
        <v>2</v>
      </c>
      <c r="AH6" s="110" t="str" cm="1">
        <f t="array" aca="1" ref="AH6" ca="1" xml:space="preserve"> INDIRECT( ADDRESS( ROW($N$2) + AH$2, COLUMN($N$2)) )</f>
        <v>w</v>
      </c>
      <c r="AI6" s="110" t="str" cm="1">
        <f t="array" aca="1" ref="AI6" ca="1" xml:space="preserve"> INDIRECT( ADDRESS( ROW($N$2) + AI$2, COLUMN($N$2)) )</f>
        <v>s</v>
      </c>
      <c r="AJ6" s="110" t="str" cm="1">
        <f t="array" aca="1" ref="AJ6" ca="1" xml:space="preserve"> INDIRECT( ADDRESS( ROW($N$2) + AJ$2, COLUMN($N$2)) )</f>
        <v>x</v>
      </c>
      <c r="AK6" s="110" t="str" cm="1">
        <f t="array" aca="1" ref="AK6" ca="1" xml:space="preserve"> INDIRECT( ADDRESS( ROW($N$2) + AK$2, COLUMN($N$2)) )</f>
        <v>e</v>
      </c>
      <c r="AL6" s="110" t="str" cm="1">
        <f t="array" aca="1" ref="AL6" ca="1" xml:space="preserve"> INDIRECT( ADDRESS( ROW($N$2) + AL$2, COLUMN($N$2)) )</f>
        <v>d</v>
      </c>
      <c r="AM6" s="110" t="str" cm="1">
        <f t="array" aca="1" ref="AM6" ca="1" xml:space="preserve"> INDIRECT( ADDRESS( ROW($N$2) + AM$2, COLUMN($N$2)) )</f>
        <v>E</v>
      </c>
      <c r="AN6" s="110" t="str" cm="1">
        <f t="array" aca="1" ref="AN6" ca="1" xml:space="preserve"> INDIRECT( ADDRESS( ROW($N$2) + AN$2, COLUMN($N$2)) )</f>
        <v>D</v>
      </c>
      <c r="AO6" s="110" t="str" cm="1">
        <f t="array" aca="1" ref="AO6" ca="1" xml:space="preserve"> INDIRECT( ADDRESS( ROW($N$2) + AO$2, COLUMN($N$2)) )</f>
        <v>c</v>
      </c>
      <c r="AP6" s="110" t="str" cm="1">
        <f t="array" aca="1" ref="AP6" ca="1" xml:space="preserve"> INDIRECT( ADDRESS( ROW($N$2) + AP$2, COLUMN($N$2)) )</f>
        <v>b</v>
      </c>
      <c r="AQ6" s="110" t="str" cm="1">
        <f t="array" aca="1" ref="AQ6" ca="1" xml:space="preserve"> INDIRECT( ADDRESS( ROW($N$2) + AQ$2, COLUMN($N$2)) )</f>
        <v>y</v>
      </c>
      <c r="AR6" s="110" t="str" cm="1">
        <f t="array" aca="1" ref="AR6" ca="1" xml:space="preserve"> INDIRECT( ADDRESS( ROW($N$2) + AR$2, COLUMN($N$2)) )</f>
        <v>h</v>
      </c>
      <c r="AS6" s="110" t="str" cm="1">
        <f t="array" aca="1" ref="AS6" ca="1" xml:space="preserve"> INDIRECT( ADDRESS( ROW($N$2) + AS$2, COLUMN($N$2)) )</f>
        <v>n</v>
      </c>
      <c r="AT6" s="110" t="str" cm="1">
        <f t="array" aca="1" ref="AT6" ca="1" xml:space="preserve"> INDIRECT( ADDRESS( ROW($N$2) + AT$2, COLUMN($N$2)) )</f>
        <v>B</v>
      </c>
      <c r="AU6" s="110" t="str" cm="1">
        <f t="array" aca="1" ref="AU6" ca="1" xml:space="preserve"> INDIRECT( ADDRESS( ROW($N$2) + AU$2, COLUMN($N$2)) )</f>
        <v>Y</v>
      </c>
      <c r="AV6" s="110" t="str" cm="1">
        <f t="array" aca="1" ref="AV6" ca="1" xml:space="preserve"> INDIRECT( ADDRESS( ROW($N$2) + AV$2, COLUMN($N$2)) )</f>
        <v>H</v>
      </c>
      <c r="AW6" s="110" t="str" cm="1">
        <f t="array" aca="1" ref="AW6" ca="1" xml:space="preserve"> INDIRECT( ADDRESS( ROW($N$2) + AW$2, COLUMN($N$2)) )</f>
        <v>N</v>
      </c>
      <c r="AX6" s="110" t="str" cm="1">
        <f t="array" aca="1" ref="AX6" ca="1" xml:space="preserve"> INDIRECT( ADDRESS( ROW($N$2) + AX$2, COLUMN($N$2)) )</f>
        <v>r</v>
      </c>
      <c r="AY6" s="110" cm="1">
        <f t="array" aca="1" ref="AY6" ca="1" xml:space="preserve"> INDIRECT( ADDRESS( ROW($N$2) + AY$2, COLUMN($N$2)) )</f>
        <v>0</v>
      </c>
      <c r="AZ6" s="110" t="str" cm="1">
        <f t="array" aca="1" ref="AZ6" ca="1" xml:space="preserve"> INDIRECT( ADDRESS( ROW($N$2) + AZ$2, COLUMN($N$2)) )</f>
        <v>*</v>
      </c>
      <c r="BA6" s="110" t="str" cm="1">
        <f t="array" aca="1" ref="BA6" ca="1" xml:space="preserve"> INDIRECT( ADDRESS( ROW($N$2) + BA$2, COLUMN($N$2)) )</f>
        <v>i</v>
      </c>
      <c r="BB6" s="110" t="str" cm="1">
        <f t="array" aca="1" ref="BB6" ca="1" xml:space="preserve"> INDIRECT( ADDRESS( ROW($N$2) + BB$2, COLUMN($N$2)) )</f>
        <v>&lt;</v>
      </c>
      <c r="BC6" s="110" t="str" cm="1">
        <f t="array" aca="1" ref="BC6" ca="1" xml:space="preserve"> INDIRECT( ADDRESS( ROW($N$2) + BC$2, COLUMN($N$2)) )</f>
        <v>p</v>
      </c>
      <c r="BD6" s="110" t="str" cm="1">
        <f t="array" aca="1" ref="BD6" ca="1" xml:space="preserve"> INDIRECT( ADDRESS( ROW($N$2) + BD$2, COLUMN($N$2)) )</f>
        <v>:</v>
      </c>
      <c r="BE6" s="110" t="str" cm="1">
        <f t="array" aca="1" ref="BE6" ca="1" xml:space="preserve"> INDIRECT( ADDRESS( ROW($N$2) + BE$2, COLUMN($N$2)) )</f>
        <v>(</v>
      </c>
      <c r="BF6" s="110" t="str" cm="1">
        <f t="array" aca="1" ref="BF6" ca="1" xml:space="preserve"> INDIRECT( ADDRESS( ROW($N$2) + BF$2, COLUMN($N$2)) )</f>
        <v>l</v>
      </c>
      <c r="BG6" s="110" t="str" cm="1">
        <f t="array" aca="1" ref="BG6" ca="1" xml:space="preserve"> INDIRECT( ADDRESS( ROW($N$2) + BG$2, COLUMN($N$2)) )</f>
        <v>L</v>
      </c>
      <c r="BH6" s="110" t="str" cm="1">
        <f t="array" aca="1" ref="BH6" ca="1" xml:space="preserve"> INDIRECT( ADDRESS( ROW($N$2) + BH$2, COLUMN($N$2)) )</f>
        <v>,</v>
      </c>
      <c r="BI6" s="110" t="str" cm="1">
        <f t="array" aca="1" ref="BI6" ca="1" xml:space="preserve"> INDIRECT( ADDRESS( ROW($N$2) + BI$2, COLUMN($N$2)) )</f>
        <v>O</v>
      </c>
      <c r="BJ6" s="110" t="str" cm="1">
        <f t="array" aca="1" ref="BJ6" ca="1" xml:space="preserve"> INDIRECT( ADDRESS( ROW($N$2) + BJ$2, COLUMN($N$2)) )</f>
        <v>9</v>
      </c>
      <c r="BK6" s="110" t="str" cm="1">
        <f t="array" aca="1" ref="BK6" ca="1" xml:space="preserve"> INDIRECT( ADDRESS( ROW($N$2) + BK$2, COLUMN($N$2)) )</f>
        <v>U</v>
      </c>
      <c r="BL6" s="110" t="str" cm="1">
        <f t="array" aca="1" ref="BL6" ca="1" xml:space="preserve"> INDIRECT( ADDRESS( ROW($N$2) + BL$2, COLUMN($N$2)) )</f>
        <v>j</v>
      </c>
      <c r="BM6" s="110" cm="1">
        <f t="array" aca="1" ref="BM6" ca="1" xml:space="preserve"> INDIRECT( ADDRESS( ROW($N$2) + BM$2, COLUMN($N$2)) )</f>
        <v>0</v>
      </c>
      <c r="BN6" s="110" cm="1">
        <f t="array" aca="1" ref="BN6" ca="1" xml:space="preserve"> INDIRECT( ADDRESS( ROW($N$2) + BN$2, COLUMN($N$2)) )</f>
        <v>0</v>
      </c>
      <c r="BO6" s="110" cm="1">
        <f t="array" aca="1" ref="BO6" ca="1" xml:space="preserve"> INDIRECT( ADDRESS( ROW($N$2) + BO$2, COLUMN($N$2)) )</f>
        <v>0</v>
      </c>
      <c r="BP6" s="110" t="str" cm="1">
        <f t="array" aca="1" ref="BP6" ca="1" xml:space="preserve"> INDIRECT( ADDRESS( ROW($N$2) + BP$2, COLUMN($N$2)) )</f>
        <v>-</v>
      </c>
      <c r="BQ6" s="110" cm="1">
        <f t="array" aca="1" ref="BQ6" ca="1" xml:space="preserve"> INDIRECT( ADDRESS( ROW($N$2) + BQ$2, COLUMN($N$2)) )</f>
        <v>0</v>
      </c>
      <c r="BR6" s="110" cm="1">
        <f t="array" aca="1" ref="BR6" ca="1" xml:space="preserve"> INDIRECT( ADDRESS( ROW($N$2) + BR$2, COLUMN($N$2)) )</f>
        <v>0</v>
      </c>
      <c r="BS6" s="110" cm="1">
        <f t="array" aca="1" ref="BS6" ca="1" xml:space="preserve"> INDIRECT( ADDRESS( ROW($N$2) + BS$2, COLUMN($N$2)) )</f>
        <v>0</v>
      </c>
      <c r="BT6" s="110" cm="1">
        <f t="array" aca="1" ref="BT6" ca="1" xml:space="preserve"> INDIRECT( ADDRESS( ROW($N$2) + BT$2, COLUMN($N$2)) )</f>
        <v>0</v>
      </c>
      <c r="BU6" s="110" cm="1">
        <f t="array" aca="1" ref="BU6" ca="1" xml:space="preserve"> INDIRECT( ADDRESS( ROW($N$2) + BU$2, COLUMN($N$2)) )</f>
        <v>0</v>
      </c>
      <c r="BV6" s="110" cm="1">
        <f t="array" aca="1" ref="BV6" ca="1" xml:space="preserve"> INDIRECT( ADDRESS( ROW($N$2) + BV$2, COLUMN($N$2)) )</f>
        <v>0</v>
      </c>
      <c r="BW6" s="110" cm="1">
        <f t="array" aca="1" ref="BW6" ca="1" xml:space="preserve"> INDIRECT( ADDRESS( ROW($N$2) + BW$2, COLUMN($N$2)) )</f>
        <v>0</v>
      </c>
      <c r="BX6" s="110" cm="1">
        <f t="array" aca="1" ref="BX6" ca="1" xml:space="preserve"> INDIRECT( ADDRESS( ROW($N$2) + BX$2, COLUMN($N$2)) )</f>
        <v>0</v>
      </c>
      <c r="BY6" s="110" cm="1">
        <f t="array" aca="1" ref="BY6" ca="1" xml:space="preserve"> INDIRECT( ADDRESS( ROW($N$2) + BY$2, COLUMN($N$2)) )</f>
        <v>0</v>
      </c>
      <c r="BZ6" s="110" cm="1">
        <f t="array" aca="1" ref="BZ6" ca="1" xml:space="preserve"> INDIRECT( ADDRESS( ROW($N$2) + BZ$2, COLUMN($N$2)) )</f>
        <v>0</v>
      </c>
      <c r="CA6" s="110" cm="1">
        <f t="array" aca="1" ref="CA6" ca="1" xml:space="preserve"> INDIRECT( ADDRESS( ROW($N$2) + CA$2, COLUMN($N$2)) )</f>
        <v>0</v>
      </c>
      <c r="CB6" s="110" t="str" cm="1">
        <f t="array" aca="1" ref="CB6" ca="1" xml:space="preserve"> INDIRECT( ADDRESS( ROW($N$2) + CB$2, COLUMN($N$2)) )</f>
        <v>I</v>
      </c>
      <c r="CC6" s="110" t="str" cm="1">
        <f t="array" aca="1" ref="CC6" ca="1" xml:space="preserve"> INDIRECT( ADDRESS( ROW($N$2) + CC$2, COLUMN($N$2)) )</f>
        <v>k</v>
      </c>
      <c r="CD6" s="110" cm="1">
        <f t="array" aca="1" ref="CD6" ca="1" xml:space="preserve"> INDIRECT( ADDRESS( ROW($N$2) + CD$2, COLUMN($N$2)) )</f>
        <v>0</v>
      </c>
      <c r="CE6" s="110" cm="1">
        <f t="array" aca="1" ref="CE6" ca="1" xml:space="preserve"> INDIRECT( ADDRESS( ROW($N$2) + CE$2, COLUMN($N$2)) )</f>
        <v>0</v>
      </c>
      <c r="CF6" s="110" t="str" cm="1">
        <f t="array" aca="1" ref="CF6" ca="1" xml:space="preserve"> INDIRECT( ADDRESS( ROW($N$2) + CF$2, COLUMN($N$2)) )</f>
        <v xml:space="preserve"> </v>
      </c>
    </row>
    <row r="7" spans="2:84" ht="57.75">
      <c r="B7" s="283" cm="1">
        <f t="array" ref="B7" xml:space="preserve"> ROW() - ROW($2:$2)</f>
        <v>5</v>
      </c>
      <c r="C7" s="213" t="s">
        <v>6</v>
      </c>
      <c r="D7" s="72" t="str" cm="1">
        <f t="array" ref="D7" xml:space="preserve"> IFERROR( INDEX(聲母對照資料表[台羅拼音], MATCH(TRUE, EXACT($J7, 聲母碼),0)), "")</f>
        <v>t</v>
      </c>
      <c r="E7" s="113" t="str" cm="1">
        <f t="array" ref="E7" xml:space="preserve"> IFERROR( INDEX(聲母對照資料表[注音二式], MATCH(TRUE, EXACT($J7, 聲母碼),0)), "")</f>
        <v>d</v>
      </c>
      <c r="F7" s="217" t="s">
        <v>1468</v>
      </c>
      <c r="G7" s="210" t="str" cm="1">
        <f t="array" ref="G7" xml:space="preserve"> IFERROR( INDEX(聲母對照資料表[十五音], MATCH(TRUE, EXACT($J7, 聲母碼),0)), "")</f>
        <v>地</v>
      </c>
      <c r="H7" s="133" t="s">
        <v>1655</v>
      </c>
      <c r="I7" s="239" t="str" cm="1">
        <f t="array" ref="I7" xml:space="preserve"> INDEX(廣韻聲母對照資料表[廣韻], MATCH(TRUE, EXACT($J7, 廣韻聲母對照資料表[台語音標]),0))</f>
        <v>端</v>
      </c>
      <c r="J7" s="213" t="s">
        <v>6</v>
      </c>
      <c r="K7" s="72" t="str" cm="1">
        <f t="array" ref="K7" xml:space="preserve"> IFERROR( INDEX(聲母對照資料表[白話字], MATCH(TRUE, EXACT($J7, 聲母碼),0)), "")</f>
        <v>t</v>
      </c>
      <c r="L7" s="72" t="str" cm="1">
        <f t="array" ref="L7" xml:space="preserve"> IFERROR( INDEX(聲母對照資料表[閩拼方案], MATCH(TRUE, EXACT($J7, 聲母碼),0)), "")</f>
        <v>d</v>
      </c>
      <c r="M7" s="112" t="s">
        <v>1007</v>
      </c>
      <c r="N7" s="73" t="s">
        <v>1477</v>
      </c>
      <c r="P7" s="234">
        <v>5</v>
      </c>
      <c r="Q7" s="95" t="s">
        <v>1180</v>
      </c>
      <c r="R7" s="94" t="s">
        <v>1180</v>
      </c>
      <c r="S7" s="96" t="s">
        <v>209</v>
      </c>
      <c r="T7" s="96" t="s">
        <v>239</v>
      </c>
      <c r="V7" s="79">
        <f t="shared" si="1"/>
        <v>5</v>
      </c>
      <c r="W7" s="96" t="s">
        <v>68</v>
      </c>
      <c r="X7" s="97" t="s">
        <v>1541</v>
      </c>
      <c r="Y7" s="106" t="s">
        <v>1570</v>
      </c>
      <c r="Z7" s="99" t="s">
        <v>1541</v>
      </c>
    </row>
    <row r="8" spans="2:84" ht="57.75">
      <c r="B8" s="282" cm="1">
        <f t="array" ref="B8" xml:space="preserve"> ROW() - ROW($2:$2)</f>
        <v>6</v>
      </c>
      <c r="C8" s="212" t="s">
        <v>7</v>
      </c>
      <c r="D8" s="74" t="str" cm="1">
        <f t="array" ref="D8" xml:space="preserve"> IFERROR( INDEX(聲母對照資料表[台羅拼音], MATCH(TRUE, EXACT($J8, 聲母碼),0)), "")</f>
        <v>th</v>
      </c>
      <c r="E8" s="95" t="str" cm="1">
        <f t="array" ref="E8" xml:space="preserve"> IFERROR( INDEX(聲母對照資料表[注音二式], MATCH(TRUE, EXACT($J8, 聲母碼),0)), "")</f>
        <v>t</v>
      </c>
      <c r="F8" s="216" t="s">
        <v>1476</v>
      </c>
      <c r="G8" s="209" t="str" cm="1">
        <f t="array" ref="G8" xml:space="preserve"> IFERROR( INDEX(聲母對照資料表[十五音], MATCH(TRUE, EXACT($J8, 聲母碼),0)), "")</f>
        <v>他</v>
      </c>
      <c r="H8" s="132" t="s">
        <v>1657</v>
      </c>
      <c r="I8" s="139" t="str" cm="1">
        <f t="array" ref="I8" xml:space="preserve"> INDEX(廣韻聲母對照資料表[廣韻], MATCH(TRUE, EXACT($J8, 廣韻聲母對照資料表[台語音標]),0))</f>
        <v>透</v>
      </c>
      <c r="J8" s="212" t="s">
        <v>1017</v>
      </c>
      <c r="K8" s="74" t="str" cm="1">
        <f t="array" ref="K8" xml:space="preserve"> IFERROR( INDEX(聲母對照資料表[白話字], MATCH(TRUE, EXACT($J8, 聲母碼),0)), "")</f>
        <v>th</v>
      </c>
      <c r="L8" s="74" t="str" cm="1">
        <f t="array" ref="L8" xml:space="preserve"> IFERROR( INDEX(聲母對照資料表[閩拼方案], MATCH(TRUE, EXACT($J8, 聲母碼),0)), "")</f>
        <v>t</v>
      </c>
      <c r="M8" s="94" t="s">
        <v>6</v>
      </c>
      <c r="N8" s="75" t="s">
        <v>1047</v>
      </c>
      <c r="P8" s="234">
        <v>6</v>
      </c>
      <c r="Q8" s="95" t="s">
        <v>208</v>
      </c>
      <c r="R8" s="94" t="s">
        <v>208</v>
      </c>
      <c r="S8" s="96" t="s">
        <v>1565</v>
      </c>
      <c r="T8" s="96" t="s">
        <v>684</v>
      </c>
      <c r="V8" s="79">
        <f t="shared" si="1"/>
        <v>6</v>
      </c>
      <c r="W8" s="96" t="s">
        <v>1571</v>
      </c>
      <c r="X8" s="97" t="s">
        <v>1572</v>
      </c>
      <c r="Y8" s="106" t="s">
        <v>1573</v>
      </c>
      <c r="Z8" s="99" t="s">
        <v>1198</v>
      </c>
    </row>
    <row r="9" spans="2:84" ht="57.75">
      <c r="B9" s="282" cm="1">
        <f t="array" ref="B9" xml:space="preserve"> ROW() - ROW($2:$2)</f>
        <v>7</v>
      </c>
      <c r="C9" s="212" t="s">
        <v>8</v>
      </c>
      <c r="D9" s="74" t="str" cm="1">
        <f t="array" ref="D9" xml:space="preserve"> IFERROR( INDEX(聲母對照資料表[台羅拼音], MATCH(TRUE, EXACT($J9, 聲母碼),0)), "")</f>
        <v>n</v>
      </c>
      <c r="E9" s="95" t="str" cm="1">
        <f t="array" ref="E9" xml:space="preserve"> IFERROR( INDEX(聲母對照資料表[注音二式], MATCH(TRUE, EXACT($J9, 聲母碼),0)), "")</f>
        <v>n</v>
      </c>
      <c r="F9" s="216" t="s">
        <v>1482</v>
      </c>
      <c r="G9" s="209" t="str" cm="1">
        <f t="array" ref="G9" xml:space="preserve"> IFERROR( INDEX(聲母對照資料表[十五音], MATCH(TRUE, EXACT($J9, 聲母碼),0)), "")</f>
        <v>耐</v>
      </c>
      <c r="H9" s="132" t="s">
        <v>1659</v>
      </c>
      <c r="I9" s="139" t="e" cm="1">
        <f t="array" ref="I9" xml:space="preserve"> INDEX(廣韻聲母對照資料表[廣韻], MATCH(TRUE, EXACT($J9, 廣韻聲母對照資料表[台語音標]),0))</f>
        <v>#N/A</v>
      </c>
      <c r="J9" s="212" t="s">
        <v>8</v>
      </c>
      <c r="K9" s="74" t="str" cm="1">
        <f t="array" ref="K9" xml:space="preserve"> IFERROR( INDEX(聲母對照資料表[白話字], MATCH(TRUE, EXACT($J9, 聲母碼),0)), "")</f>
        <v>n</v>
      </c>
      <c r="L9" s="74" t="str" cm="1">
        <f t="array" ref="L9" xml:space="preserve"> IFERROR( INDEX(聲母對照資料表[閩拼方案], MATCH(TRUE, EXACT($J9, 聲母碼),0)), "")</f>
        <v>ln</v>
      </c>
      <c r="M9" s="94" t="s">
        <v>8</v>
      </c>
      <c r="N9" s="75" t="s">
        <v>1485</v>
      </c>
      <c r="P9" s="234">
        <v>7</v>
      </c>
      <c r="Q9" s="95" t="s">
        <v>1185</v>
      </c>
      <c r="R9" s="94" t="s">
        <v>1522</v>
      </c>
      <c r="S9" s="96" t="s">
        <v>150</v>
      </c>
      <c r="T9" s="96" t="s">
        <v>176</v>
      </c>
      <c r="V9" s="79">
        <f t="shared" si="1"/>
        <v>7</v>
      </c>
      <c r="W9" s="96" t="s">
        <v>80</v>
      </c>
      <c r="X9" s="97" t="s">
        <v>79</v>
      </c>
      <c r="Y9" s="106" t="s">
        <v>1574</v>
      </c>
      <c r="Z9" s="99" t="s">
        <v>79</v>
      </c>
    </row>
    <row r="10" spans="2:84" ht="57.75">
      <c r="B10" s="284" cm="1">
        <f t="array" ref="B10" xml:space="preserve"> ROW() - ROW($2:$2)</f>
        <v>8</v>
      </c>
      <c r="C10" s="214" t="s">
        <v>9</v>
      </c>
      <c r="D10" s="76" t="str" cm="1">
        <f t="array" ref="D10" xml:space="preserve"> IFERROR( INDEX(聲母對照資料表[台羅拼音], MATCH(TRUE, EXACT($J10, 聲母碼),0)), "")</f>
        <v>l</v>
      </c>
      <c r="E10" s="117" t="str" cm="1">
        <f t="array" ref="E10" xml:space="preserve"> IFERROR( INDEX(聲母對照資料表[注音二式], MATCH(TRUE, EXACT($J10, 聲母碼),0)), "")</f>
        <v>l</v>
      </c>
      <c r="F10" s="218" t="s">
        <v>1484</v>
      </c>
      <c r="G10" s="211" t="str" cm="1">
        <f t="array" ref="G10" xml:space="preserve"> IFERROR( INDEX(聲母對照資料表[十五音], MATCH(TRUE, EXACT($J10, 聲母碼),0)), "")</f>
        <v>柳</v>
      </c>
      <c r="H10" s="134" t="s">
        <v>1661</v>
      </c>
      <c r="I10" s="134" t="str" cm="1">
        <f t="array" ref="I10" xml:space="preserve"> INDEX(廣韻聲母對照資料表[廣韻], MATCH(TRUE, EXACT($J10, 廣韻聲母對照資料表[台語音標]),0))</f>
        <v>泥</v>
      </c>
      <c r="J10" s="214" t="s">
        <v>9</v>
      </c>
      <c r="K10" s="76" t="str" cm="1">
        <f t="array" ref="K10" xml:space="preserve"> IFERROR( INDEX(聲母對照資料表[白話字], MATCH(TRUE, EXACT($J10, 聲母碼),0)), "")</f>
        <v>l</v>
      </c>
      <c r="L10" s="76" t="str" cm="1">
        <f t="array" ref="L10" xml:space="preserve"> IFERROR( INDEX(聲母對照資料表[閩拼方案], MATCH(TRUE, EXACT($J10, 聲母碼),0)), "")</f>
        <v>l</v>
      </c>
      <c r="M10" s="116" t="s">
        <v>9</v>
      </c>
      <c r="N10" s="77" t="s">
        <v>208</v>
      </c>
      <c r="P10" s="234">
        <v>8</v>
      </c>
      <c r="Q10" s="95" t="s">
        <v>180</v>
      </c>
      <c r="R10" s="94" t="s">
        <v>1523</v>
      </c>
      <c r="S10" s="96" t="s">
        <v>181</v>
      </c>
      <c r="T10" s="96" t="s">
        <v>199</v>
      </c>
      <c r="V10" s="79">
        <f t="shared" si="1"/>
        <v>8</v>
      </c>
      <c r="W10" s="96" t="s">
        <v>1571</v>
      </c>
      <c r="X10" s="97" t="s">
        <v>1575</v>
      </c>
      <c r="Y10" s="106" t="s">
        <v>1574</v>
      </c>
      <c r="Z10" s="99" t="s">
        <v>1131</v>
      </c>
    </row>
    <row r="11" spans="2:84" ht="57.75">
      <c r="B11" s="282" cm="1">
        <f t="array" ref="B11" xml:space="preserve"> ROW() - ROW($2:$2)</f>
        <v>9</v>
      </c>
      <c r="C11" s="212" t="s">
        <v>2238</v>
      </c>
      <c r="D11" s="74" t="str" cm="1">
        <f t="array" ref="D11" xml:space="preserve"> IFERROR( INDEX(聲母對照資料表[台羅拼音], MATCH(TRUE, EXACT($J11, 聲母碼),0)), "")</f>
        <v>g</v>
      </c>
      <c r="E11" s="95" t="str" cm="1">
        <f t="array" ref="E11" xml:space="preserve"> IFERROR( INDEX(聲母對照資料表[注音二式], MATCH(TRUE, EXACT($J11, 聲母碼),0)), "")</f>
        <v>gg</v>
      </c>
      <c r="F11" s="216" t="s">
        <v>2258</v>
      </c>
      <c r="G11" s="209" t="str" cm="1">
        <f t="array" ref="G11" xml:space="preserve"> IFERROR( INDEX(聲母對照資料表[十五音], MATCH(TRUE, EXACT($J11, 聲母碼),0)), "")</f>
        <v>語</v>
      </c>
      <c r="H11" s="132" t="s">
        <v>1897</v>
      </c>
      <c r="I11" s="132" t="str" cm="1">
        <f t="array" ref="I11" xml:space="preserve"> INDEX(廣韻聲母對照資料表[廣韻], MATCH(TRUE, EXACT($J11, 廣韻聲母對照資料表[台語音標]),0))</f>
        <v>疑</v>
      </c>
      <c r="J11" s="212" t="s">
        <v>1487</v>
      </c>
      <c r="K11" s="74" t="str" cm="1">
        <f t="array" ref="K11" xml:space="preserve"> IFERROR( INDEX(聲母對照資料表[白話字], MATCH(TRUE, EXACT($J11, 聲母碼),0)), "")</f>
        <v>g</v>
      </c>
      <c r="L11" s="74" t="str" cm="1">
        <f t="array" ref="L11" xml:space="preserve"> IFERROR( INDEX(聲母對照資料表[閩拼方案], MATCH(TRUE, EXACT($J11, 聲母碼),0)), "")</f>
        <v>gg</v>
      </c>
      <c r="M11" s="94" t="s">
        <v>1647</v>
      </c>
      <c r="N11" s="75" t="s">
        <v>1007</v>
      </c>
      <c r="P11" s="234">
        <v>9</v>
      </c>
      <c r="Q11" s="95" t="s">
        <v>604</v>
      </c>
      <c r="R11" s="94" t="s">
        <v>604</v>
      </c>
      <c r="S11" s="96" t="s">
        <v>605</v>
      </c>
      <c r="T11" s="96" t="s">
        <v>1576</v>
      </c>
      <c r="V11" s="79">
        <f t="shared" si="1"/>
        <v>9</v>
      </c>
      <c r="W11" s="96" t="s">
        <v>95</v>
      </c>
      <c r="X11" s="97" t="s">
        <v>1577</v>
      </c>
      <c r="Y11" s="106" t="s">
        <v>1578</v>
      </c>
      <c r="Z11" s="99" t="s">
        <v>1206</v>
      </c>
    </row>
    <row r="12" spans="2:84" ht="57.75">
      <c r="B12" s="282" cm="1">
        <f t="array" ref="B12" xml:space="preserve"> ROW() - ROW($2:$2)</f>
        <v>10</v>
      </c>
      <c r="C12" s="212" t="s">
        <v>14</v>
      </c>
      <c r="D12" s="74" t="str" cm="1">
        <f t="array" ref="D12" xml:space="preserve"> IFERROR( INDEX(聲母對照資料表[台羅拼音], MATCH(TRUE, EXACT($J12, 聲母碼),0)), "")</f>
        <v>k</v>
      </c>
      <c r="E12" s="95" t="str" cm="1">
        <f t="array" ref="E12" xml:space="preserve"> IFERROR( INDEX(聲母對照資料表[注音二式], MATCH(TRUE, EXACT($J12, 聲母碼),0)), "")</f>
        <v>g</v>
      </c>
      <c r="F12" s="216" t="s">
        <v>1486</v>
      </c>
      <c r="G12" s="209" t="str" cm="1">
        <f t="array" ref="G12" xml:space="preserve"> IFERROR( INDEX(聲母對照資料表[十五音], MATCH(TRUE, EXACT($J12, 聲母碼),0)), "")</f>
        <v>求</v>
      </c>
      <c r="H12" s="132" t="s">
        <v>1745</v>
      </c>
      <c r="I12" s="132" t="str" cm="1">
        <f t="array" ref="I12" xml:space="preserve"> INDEX(廣韻聲母對照資料表[廣韻], MATCH(TRUE, EXACT($J12, 廣韻聲母對照資料表[台語音標]),0))</f>
        <v>見</v>
      </c>
      <c r="J12" s="212" t="s">
        <v>14</v>
      </c>
      <c r="K12" s="74" t="str" cm="1">
        <f t="array" ref="K12" xml:space="preserve"> IFERROR( INDEX(聲母對照資料表[白話字], MATCH(TRUE, EXACT($J12, 聲母碼),0)), "")</f>
        <v>k</v>
      </c>
      <c r="L12" s="74" t="str" cm="1">
        <f t="array" ref="L12" xml:space="preserve"> IFERROR( INDEX(聲母對照資料表[閩拼方案], MATCH(TRUE, EXACT($J12, 聲母碼),0)), "")</f>
        <v>g</v>
      </c>
      <c r="M12" s="94" t="s">
        <v>16</v>
      </c>
      <c r="N12" s="75" t="s">
        <v>1492</v>
      </c>
      <c r="P12" s="234">
        <v>10</v>
      </c>
      <c r="Q12" s="95" t="s">
        <v>1222</v>
      </c>
      <c r="R12" s="94" t="s">
        <v>1222</v>
      </c>
      <c r="S12" s="96" t="s">
        <v>392</v>
      </c>
      <c r="T12" s="96" t="s">
        <v>419</v>
      </c>
      <c r="V12" s="79">
        <f t="shared" si="1"/>
        <v>10</v>
      </c>
      <c r="W12" s="96" t="s">
        <v>1581</v>
      </c>
      <c r="X12" s="97" t="s">
        <v>1582</v>
      </c>
      <c r="Y12" s="106" t="s">
        <v>1578</v>
      </c>
      <c r="Z12" s="99" t="s">
        <v>1583</v>
      </c>
    </row>
    <row r="13" spans="2:84" ht="57.75">
      <c r="B13" s="282" cm="1">
        <f t="array" ref="B13" xml:space="preserve"> ROW() - ROW($2:$2)</f>
        <v>11</v>
      </c>
      <c r="C13" s="212" t="s">
        <v>1489</v>
      </c>
      <c r="D13" s="74" t="str" cm="1">
        <f t="array" ref="D13" xml:space="preserve"> IFERROR( INDEX(聲母對照資料表[台羅拼音], MATCH(TRUE, EXACT($J13, 聲母碼),0)), "")</f>
        <v>kh</v>
      </c>
      <c r="E13" s="95" t="str" cm="1">
        <f t="array" ref="E13" xml:space="preserve"> IFERROR( INDEX(聲母對照資料表[注音二式], MATCH(TRUE, EXACT($J13, 聲母碼),0)), "")</f>
        <v>k</v>
      </c>
      <c r="F13" s="216" t="s">
        <v>2257</v>
      </c>
      <c r="G13" s="209" t="str" cm="1">
        <f t="array" ref="G13" xml:space="preserve"> IFERROR( INDEX(聲母對照資料表[十五音], MATCH(TRUE, EXACT($J13, 聲母碼),0)), "")</f>
        <v>去</v>
      </c>
      <c r="H13" s="132" t="s">
        <v>1885</v>
      </c>
      <c r="I13" s="132" t="str" cm="1">
        <f t="array" ref="I13" xml:space="preserve"> INDEX(廣韻聲母對照資料表[廣韻], MATCH(TRUE, EXACT($J13, 廣韻聲母對照資料表[台語音標]),0))</f>
        <v>溪</v>
      </c>
      <c r="J13" s="212" t="s">
        <v>1580</v>
      </c>
      <c r="K13" s="74" t="str" cm="1">
        <f t="array" ref="K13" xml:space="preserve"> IFERROR( INDEX(聲母對照資料表[白話字], MATCH(TRUE, EXACT($J13, 聲母碼),0)), "")</f>
        <v>kh</v>
      </c>
      <c r="L13" s="74" t="str" cm="1">
        <f t="array" ref="L13" xml:space="preserve"> IFERROR( INDEX(聲母對照資料表[閩拼方案], MATCH(TRUE, EXACT($J13, 聲母碼),0)), "")</f>
        <v>k</v>
      </c>
      <c r="M13" s="94" t="s">
        <v>14</v>
      </c>
      <c r="N13" s="75" t="s">
        <v>1579</v>
      </c>
      <c r="P13" s="234">
        <v>11</v>
      </c>
      <c r="Q13" s="95" t="s">
        <v>1277</v>
      </c>
      <c r="R13" s="94" t="s">
        <v>1277</v>
      </c>
      <c r="S13" s="96" t="s">
        <v>543</v>
      </c>
      <c r="T13" s="96" t="s">
        <v>568</v>
      </c>
      <c r="W13" s="70"/>
      <c r="X13" s="70"/>
      <c r="Y13" s="70"/>
      <c r="Z13" s="70"/>
    </row>
    <row r="14" spans="2:84" ht="57.75">
      <c r="B14" s="284" cm="1">
        <f t="array" ref="B14" xml:space="preserve"> ROW() - ROW($2:$2)</f>
        <v>12</v>
      </c>
      <c r="C14" s="214" t="s">
        <v>1744</v>
      </c>
      <c r="D14" s="76" t="str" cm="1">
        <f t="array" ref="D14" xml:space="preserve"> IFERROR( INDEX(聲母對照資料表[台羅拼音], MATCH(TRUE, EXACT($J14, 聲母碼),0)), "")</f>
        <v>ng</v>
      </c>
      <c r="E14" s="117" t="str" cm="1">
        <f t="array" ref="E14" xml:space="preserve"> IFERROR( INDEX(聲母對照資料表[注音二式], MATCH(TRUE, EXACT($J14, 聲母碼),0)), "")</f>
        <v>ng</v>
      </c>
      <c r="F14" s="218" t="s">
        <v>1496</v>
      </c>
      <c r="G14" s="211" t="str" cm="1">
        <f t="array" ref="G14" xml:space="preserve"> IFERROR( INDEX(聲母對照資料表[十五音], MATCH(TRUE, EXACT($J14, 聲母碼),0)), "")</f>
        <v>雅</v>
      </c>
      <c r="H14" s="140" t="s">
        <v>1665</v>
      </c>
      <c r="I14" s="136" t="e" cm="1">
        <f t="array" ref="I14" xml:space="preserve"> INDEX(廣韻聲母對照資料表[廣韻], MATCH(TRUE, EXACT($J14, 廣韻聲母對照資料表[台語音標]),0))</f>
        <v>#N/A</v>
      </c>
      <c r="J14" s="214" t="s">
        <v>1495</v>
      </c>
      <c r="K14" s="76" t="str" cm="1">
        <f t="array" ref="K14" xml:space="preserve"> IFERROR( INDEX(聲母對照資料表[白話字], MATCH(TRUE, EXACT($J14, 聲母碼),0)), "")</f>
        <v>ng</v>
      </c>
      <c r="L14" s="76" t="str" cm="1">
        <f t="array" ref="L14" xml:space="preserve"> IFERROR( INDEX(聲母對照資料表[閩拼方案], MATCH(TRUE, EXACT($J14, 聲母碼),0)), "")</f>
        <v>ggn</v>
      </c>
      <c r="M14" s="287" t="s">
        <v>1477</v>
      </c>
      <c r="N14" s="77" t="s">
        <v>1073</v>
      </c>
      <c r="P14" s="234">
        <v>12</v>
      </c>
      <c r="Q14" s="95" t="s">
        <v>1163</v>
      </c>
      <c r="R14" s="105" t="s">
        <v>1585</v>
      </c>
      <c r="S14" s="96" t="s">
        <v>517</v>
      </c>
      <c r="T14" s="96" t="s">
        <v>538</v>
      </c>
      <c r="W14" s="70"/>
      <c r="X14" s="70"/>
      <c r="Y14" s="70"/>
      <c r="Z14" s="70"/>
    </row>
    <row r="15" spans="2:84" ht="57.75">
      <c r="B15" s="282" cm="1">
        <f t="array" ref="B15" xml:space="preserve"> ROW() - ROW($2:$2)</f>
        <v>13</v>
      </c>
      <c r="C15" s="212" t="s">
        <v>2240</v>
      </c>
      <c r="D15" s="74" t="str" cm="1">
        <f t="array" ref="D15" xml:space="preserve"> IFERROR( INDEX(聲母對照資料表[台羅拼音], MATCH(TRUE, EXACT($J15, 聲母碼),0)), "")</f>
        <v>j</v>
      </c>
      <c r="E15" s="95" t="str" cm="1">
        <f t="array" ref="E15" xml:space="preserve"> IFERROR( INDEX(聲母對照資料表[注音二式], MATCH(TRUE, EXACT($J15, 聲母碼),0)), "")</f>
        <v>zz</v>
      </c>
      <c r="F15" s="216" t="s">
        <v>1502</v>
      </c>
      <c r="G15" s="209" t="str" cm="1">
        <f t="array" ref="G15" xml:space="preserve"> IFERROR( INDEX(聲母對照資料表[十五音], MATCH(TRUE, EXACT($J15, 聲母碼),0)), "")</f>
        <v>入</v>
      </c>
      <c r="H15" s="286" t="s">
        <v>1669</v>
      </c>
      <c r="I15" s="137" t="str" cm="1">
        <f t="array" ref="I15" xml:space="preserve"> INDEX(廣韻聲母對照資料表[廣韻], MATCH(TRUE, EXACT($J15, 廣韻聲母對照資料表[台語音標]),0))</f>
        <v>日</v>
      </c>
      <c r="J15" s="212" t="s">
        <v>1509</v>
      </c>
      <c r="K15" s="74" t="str" cm="1">
        <f t="array" ref="K15" xml:space="preserve"> IFERROR( INDEX(聲母對照資料表[白話字], MATCH(TRUE, EXACT($J15, 聲母碼),0)), "")</f>
        <v>j</v>
      </c>
      <c r="L15" s="74" t="str" cm="1">
        <f t="array" ref="L15" xml:space="preserve"> IFERROR( INDEX(聲母對照資料表[閩拼方案], MATCH(TRUE, EXACT($J15, 聲母碼),0)), "")</f>
        <v>zz</v>
      </c>
      <c r="M15" s="94" t="s">
        <v>2316</v>
      </c>
      <c r="N15" s="75" t="s">
        <v>1437</v>
      </c>
      <c r="P15" s="234">
        <v>13</v>
      </c>
      <c r="Q15" s="95" t="s">
        <v>921</v>
      </c>
      <c r="R15" s="94" t="s">
        <v>921</v>
      </c>
      <c r="S15" s="96" t="s">
        <v>922</v>
      </c>
      <c r="T15" s="96" t="s">
        <v>946</v>
      </c>
      <c r="W15" s="70"/>
      <c r="X15" s="70"/>
      <c r="Y15" s="70"/>
      <c r="Z15" s="70"/>
    </row>
    <row r="16" spans="2:84" ht="57.75">
      <c r="B16" s="282" cm="1">
        <f t="array" ref="B16" xml:space="preserve"> ROW() - ROW($2:$2)</f>
        <v>14</v>
      </c>
      <c r="C16" s="212" t="s">
        <v>1742</v>
      </c>
      <c r="D16" s="74" t="str" cm="1">
        <f t="array" ref="D16" xml:space="preserve"> IFERROR( INDEX(聲母對照資料表[台羅拼音], MATCH(TRUE, EXACT($J16, 聲母碼),0)), "")</f>
        <v>ts</v>
      </c>
      <c r="E16" s="95" t="str" cm="1">
        <f t="array" ref="E16" xml:space="preserve"> IFERROR( INDEX(聲母對照資料表[注音二式], MATCH(TRUE, EXACT($J16, 聲母碼),0)), "")</f>
        <v>z</v>
      </c>
      <c r="F16" s="216" t="s">
        <v>1497</v>
      </c>
      <c r="G16" s="209" t="str" cm="1">
        <f t="array" ref="G16" xml:space="preserve"> IFERROR( INDEX(聲母對照資料表[十五音], MATCH(TRUE, EXACT($J16, 聲母碼),0)), "")</f>
        <v>曾</v>
      </c>
      <c r="H16" s="132" t="s">
        <v>2310</v>
      </c>
      <c r="I16" s="132" t="str" cm="1">
        <f t="array" ref="I16" xml:space="preserve"> INDEX(廣韻聲母對照資料表[廣韻], MATCH(TRUE, EXACT($J16, 廣韻聲母對照資料表[台語音標]),0))</f>
        <v>精</v>
      </c>
      <c r="J16" s="212" t="s">
        <v>1028</v>
      </c>
      <c r="K16" s="74" t="str" cm="1">
        <f t="array" ref="K16" xml:space="preserve"> IFERROR( INDEX(聲母對照資料表[白話字], MATCH(TRUE, EXACT($J16, 聲母碼),0)), "")</f>
        <v>ch</v>
      </c>
      <c r="L16" s="74" t="str" cm="1">
        <f t="array" ref="L16" xml:space="preserve"> IFERROR( INDEX(聲母對照資料表[閩拼方案], MATCH(TRUE, EXACT($J16, 聲母碼),0)), "")</f>
        <v>z</v>
      </c>
      <c r="M16" s="94" t="s">
        <v>1027</v>
      </c>
      <c r="N16" s="75" t="s">
        <v>1586</v>
      </c>
      <c r="P16" s="234">
        <v>14</v>
      </c>
      <c r="Q16" s="95" t="s">
        <v>790</v>
      </c>
      <c r="R16" s="94" t="s">
        <v>790</v>
      </c>
      <c r="S16" s="96" t="s">
        <v>791</v>
      </c>
      <c r="T16" s="96" t="s">
        <v>821</v>
      </c>
      <c r="W16" s="70"/>
      <c r="X16" s="70"/>
      <c r="Y16" s="70"/>
      <c r="Z16" s="70"/>
    </row>
    <row r="17" spans="2:26" ht="57.75">
      <c r="B17" s="282" cm="1">
        <f t="array" ref="B17" xml:space="preserve"> ROW() - ROW($2:$2)</f>
        <v>15</v>
      </c>
      <c r="C17" s="212" t="s">
        <v>2239</v>
      </c>
      <c r="D17" s="74" t="str" cm="1">
        <f t="array" ref="D17" xml:space="preserve"> IFERROR( INDEX(聲母對照資料表[台羅拼音], MATCH(TRUE, EXACT($J17, 聲母碼),0)), "")</f>
        <v>tsh</v>
      </c>
      <c r="E17" s="95" t="str" cm="1">
        <f t="array" ref="E17" xml:space="preserve"> IFERROR( INDEX(聲母對照資料表[注音二式], MATCH(TRUE, EXACT($J17, 聲母碼),0)), "")</f>
        <v>c</v>
      </c>
      <c r="F17" s="216" t="s">
        <v>2259</v>
      </c>
      <c r="G17" s="209" t="str" cm="1">
        <f t="array" ref="G17" xml:space="preserve"> IFERROR( INDEX(聲母對照資料表[十五音], MATCH(TRUE, EXACT($J17, 聲母碼),0)), "")</f>
        <v>出</v>
      </c>
      <c r="H17" s="132" t="s">
        <v>2311</v>
      </c>
      <c r="I17" s="132" t="str" cm="1">
        <f t="array" ref="I17" xml:space="preserve"> INDEX(廣韻聲母對照資料表[廣韻], MATCH(TRUE, EXACT($J17, 廣韻聲母對照資料表[台語音標]),0))</f>
        <v>清</v>
      </c>
      <c r="J17" s="212" t="s">
        <v>1587</v>
      </c>
      <c r="K17" s="74" t="str" cm="1">
        <f t="array" ref="K17" xml:space="preserve"> IFERROR( INDEX(聲母對照資料表[白話字], MATCH(TRUE, EXACT($J17, 聲母碼),0)), "")</f>
        <v>chh</v>
      </c>
      <c r="L17" s="74" t="str" cm="1">
        <f t="array" ref="L17" xml:space="preserve"> IFERROR( INDEX(聲母對照資料表[閩拼方案], MATCH(TRUE, EXACT($J17, 聲母碼),0)), "")</f>
        <v>c</v>
      </c>
      <c r="M17" s="94" t="s">
        <v>1073</v>
      </c>
      <c r="N17" s="75" t="s">
        <v>1493</v>
      </c>
      <c r="P17" s="234">
        <v>15</v>
      </c>
      <c r="Q17" s="95" t="s">
        <v>889</v>
      </c>
      <c r="R17" s="94" t="s">
        <v>889</v>
      </c>
      <c r="S17" s="96" t="s">
        <v>1589</v>
      </c>
      <c r="T17" s="96" t="s">
        <v>1590</v>
      </c>
      <c r="W17" s="70"/>
      <c r="X17" s="70"/>
      <c r="Y17" s="70"/>
      <c r="Z17" s="70"/>
    </row>
    <row r="18" spans="2:26" ht="57.75">
      <c r="B18" s="284" cm="1">
        <f t="array" ref="B18" xml:space="preserve"> ROW() - ROW($2:$2)</f>
        <v>16</v>
      </c>
      <c r="C18" s="214" t="s">
        <v>1504</v>
      </c>
      <c r="D18" s="76" t="str" cm="1">
        <f t="array" ref="D18" xml:space="preserve"> IFERROR( INDEX(聲母對照資料表[台羅拼音], MATCH(TRUE, EXACT($J18, 聲母碼),0)), "")</f>
        <v>s</v>
      </c>
      <c r="E18" s="117" t="str" cm="1">
        <f t="array" ref="E18" xml:space="preserve"> IFERROR( INDEX(聲母對照資料表[注音二式], MATCH(TRUE, EXACT($J18, 聲母碼),0)), "")</f>
        <v>s</v>
      </c>
      <c r="F18" s="218" t="s">
        <v>2260</v>
      </c>
      <c r="G18" s="211" t="str" cm="1">
        <f t="array" ref="G18" xml:space="preserve"> IFERROR( INDEX(聲母對照資料表[十五音], MATCH(TRUE, EXACT($J18, 聲母碼),0)), "")</f>
        <v>時</v>
      </c>
      <c r="H18" s="136" t="s">
        <v>2437</v>
      </c>
      <c r="I18" s="136" t="str" cm="1">
        <f t="array" ref="I18" xml:space="preserve"> INDEX(廣韻聲母對照資料表[廣韻], MATCH(TRUE, EXACT($J18, 廣韻聲母對照資料表[台語音標]),0))</f>
        <v>心</v>
      </c>
      <c r="J18" s="214" t="s">
        <v>1504</v>
      </c>
      <c r="K18" s="76" t="str" cm="1">
        <f t="array" ref="K18" xml:space="preserve"> IFERROR( INDEX(聲母對照資料表[白話字], MATCH(TRUE, EXACT($J18, 聲母碼),0)), "")</f>
        <v>s</v>
      </c>
      <c r="L18" s="76" t="str" cm="1">
        <f t="array" ref="L18" xml:space="preserve"> IFERROR( INDEX(聲母對照資料表[閩拼方案], MATCH(TRUE, EXACT($J18, 聲母碼),0)), "")</f>
        <v>s</v>
      </c>
      <c r="M18" s="116" t="s">
        <v>1047</v>
      </c>
      <c r="N18" s="77" t="s">
        <v>1481</v>
      </c>
      <c r="P18" s="234">
        <v>16</v>
      </c>
      <c r="Q18" s="95" t="s">
        <v>868</v>
      </c>
      <c r="R18" s="94" t="s">
        <v>1591</v>
      </c>
      <c r="S18" s="96" t="s">
        <v>869</v>
      </c>
      <c r="T18" s="96" t="s">
        <v>881</v>
      </c>
      <c r="W18" s="70"/>
      <c r="X18" s="70"/>
      <c r="Y18" s="70"/>
      <c r="Z18" s="70"/>
    </row>
    <row r="19" spans="2:26" ht="57.75">
      <c r="B19" s="282" cm="1">
        <f t="array" ref="B19" xml:space="preserve"> ROW() - ROW($2:$2)</f>
        <v>17</v>
      </c>
      <c r="C19" s="212" t="s">
        <v>2243</v>
      </c>
      <c r="D19" s="74" t="str" cm="1">
        <f t="array" ref="D19" xml:space="preserve"> IFERROR( INDEX(聲母對照資料表[台羅拼音], MATCH(TRUE, EXACT($J19, 聲母碼),0)), "")</f>
        <v>ji</v>
      </c>
      <c r="E19" s="95" t="str" cm="1">
        <f t="array" ref="E19" xml:space="preserve"> IFERROR( INDEX(聲母對照資料表[注音二式], MATCH(TRUE, EXACT($J19, 聲母碼),0)), "")</f>
        <v>jji</v>
      </c>
      <c r="F19" s="216" t="s">
        <v>2263</v>
      </c>
      <c r="G19" s="209" t="str" cm="1">
        <f t="array" ref="G19" xml:space="preserve"> IFERROR( INDEX(聲母對照資料表[十五音], MATCH(TRUE, EXACT($J19, 聲母碼),0)), "")</f>
        <v>入</v>
      </c>
      <c r="H19" s="137" t="s">
        <v>1681</v>
      </c>
      <c r="I19" s="137" t="str" cm="1">
        <f t="array" ref="I19" xml:space="preserve"> INDEX(廣韻聲母對照資料表[廣韻], MATCH(TRUE, EXACT($J19, 廣韻聲母對照資料表[台語音標]),0))</f>
        <v>日</v>
      </c>
      <c r="J19" s="212" t="s">
        <v>1507</v>
      </c>
      <c r="K19" s="74" t="str" cm="1">
        <f t="array" ref="K19" xml:space="preserve"> IFERROR( INDEX(聲母對照資料表[白話字], MATCH(TRUE, EXACT($J19, 聲母碼),0)), "")</f>
        <v>ji</v>
      </c>
      <c r="L19" s="74" t="str" cm="1">
        <f t="array" ref="L19" xml:space="preserve"> IFERROR( INDEX(聲母對照資料表[閩拼方案], MATCH(TRUE, EXACT($J19, 聲母碼),0)), "")</f>
        <v>zzi</v>
      </c>
      <c r="M19" s="94" t="s">
        <v>1527</v>
      </c>
      <c r="N19" s="75" t="s">
        <v>1454</v>
      </c>
      <c r="Q19" s="70"/>
      <c r="R19" s="70"/>
      <c r="S19" s="70"/>
      <c r="T19" s="70"/>
      <c r="W19" s="70"/>
      <c r="X19" s="70"/>
      <c r="Y19" s="70"/>
      <c r="Z19" s="70"/>
    </row>
    <row r="20" spans="2:26" ht="57.75">
      <c r="B20" s="282" cm="1">
        <f t="array" ref="B20" xml:space="preserve"> ROW() - ROW($2:$2)</f>
        <v>18</v>
      </c>
      <c r="C20" s="212" t="s">
        <v>2241</v>
      </c>
      <c r="D20" s="74" t="str" cm="1">
        <f t="array" ref="D20" xml:space="preserve"> IFERROR( INDEX(聲母對照資料表[台羅拼音], MATCH(TRUE, EXACT($J20, 聲母碼),0)), "")</f>
        <v>tsi</v>
      </c>
      <c r="E20" s="95" t="str" cm="1">
        <f t="array" ref="E20" xml:space="preserve"> IFERROR( INDEX(聲母對照資料表[注音二式], MATCH(TRUE, EXACT($J20, 聲母碼),0)), "")</f>
        <v>ji</v>
      </c>
      <c r="F20" s="216" t="s">
        <v>2261</v>
      </c>
      <c r="G20" s="209" t="str" cm="1">
        <f t="array" ref="G20" xml:space="preserve"> IFERROR( INDEX(聲母對照資料表[十五音], MATCH(TRUE, EXACT($J20, 聲母碼),0)), "")</f>
        <v>曾</v>
      </c>
      <c r="H20" s="132" t="s">
        <v>1678</v>
      </c>
      <c r="I20" s="132" t="str" cm="1">
        <f t="array" ref="I20" xml:space="preserve"> INDEX(廣韻聲母對照資料表[廣韻], MATCH(TRUE, EXACT($J20, 廣韻聲母對照資料表[台語音標]),0))</f>
        <v>清</v>
      </c>
      <c r="J20" s="212" t="s">
        <v>1506</v>
      </c>
      <c r="K20" s="74" t="str" cm="1">
        <f t="array" ref="K20" xml:space="preserve"> IFERROR( INDEX(聲母對照資料表[白話字], MATCH(TRUE, EXACT($J20, 聲母碼),0)), "")</f>
        <v>chi</v>
      </c>
      <c r="L20" s="74" t="str" cm="1">
        <f t="array" ref="L20" xml:space="preserve"> IFERROR( INDEX(聲母對照資料表[閩拼方案], MATCH(TRUE, EXACT($J20, 聲母碼),0)), "")</f>
        <v>zi</v>
      </c>
      <c r="M20" s="94" t="s">
        <v>1038</v>
      </c>
      <c r="N20" s="75" t="s">
        <v>1503</v>
      </c>
      <c r="Q20" s="70"/>
      <c r="R20" s="70"/>
      <c r="S20" s="70"/>
      <c r="T20" s="70"/>
      <c r="W20" s="70"/>
      <c r="X20" s="70"/>
      <c r="Y20" s="70"/>
      <c r="Z20" s="70"/>
    </row>
    <row r="21" spans="2:26" ht="57.75">
      <c r="B21" s="282" cm="1">
        <f t="array" ref="B21" xml:space="preserve"> ROW() - ROW($2:$2)</f>
        <v>19</v>
      </c>
      <c r="C21" s="212" t="s">
        <v>2242</v>
      </c>
      <c r="D21" s="74" t="str" cm="1">
        <f t="array" ref="D21" xml:space="preserve"> IFERROR( INDEX(聲母對照資料表[台羅拼音], MATCH(TRUE, EXACT($J21, 聲母碼),0)), "")</f>
        <v>tshi</v>
      </c>
      <c r="E21" s="95" t="str" cm="1">
        <f t="array" ref="E21" xml:space="preserve"> IFERROR( INDEX(聲母對照資料表[注音二式], MATCH(TRUE, EXACT($J21, 聲母碼),0)), "")</f>
        <v>chi</v>
      </c>
      <c r="F21" s="216" t="s">
        <v>2262</v>
      </c>
      <c r="G21" s="209" t="str" cm="1">
        <f t="array" ref="G21" xml:space="preserve"> IFERROR( INDEX(聲母對照資料表[十五音], MATCH(TRUE, EXACT($J21, 聲母碼),0)), "")</f>
        <v>出</v>
      </c>
      <c r="H21" s="132" t="s">
        <v>2307</v>
      </c>
      <c r="I21" s="132" t="str" cm="1">
        <f t="array" ref="I21" xml:space="preserve"> INDEX(廣韻聲母對照資料表[廣韻], MATCH(TRUE, EXACT($J21, 廣韻聲母對照資料表[台語音標]),0))</f>
        <v>昌</v>
      </c>
      <c r="J21" s="212" t="s">
        <v>1511</v>
      </c>
      <c r="K21" s="74" t="str" cm="1">
        <f t="array" ref="K21" xml:space="preserve"> IFERROR( INDEX(聲母對照資料表[白話字], MATCH(TRUE, EXACT($J21, 聲母碼),0)), "")</f>
        <v>chhi</v>
      </c>
      <c r="L21" s="74" t="str" cm="1">
        <f t="array" ref="L21" xml:space="preserve"> IFERROR( INDEX(聲母對照資料表[閩拼方案], MATCH(TRUE, EXACT($J21, 聲母碼),0)), "")</f>
        <v>ci</v>
      </c>
      <c r="M21" s="94" t="s">
        <v>2317</v>
      </c>
      <c r="N21" s="75" t="s">
        <v>1543</v>
      </c>
      <c r="P21" s="81" t="s">
        <v>1549</v>
      </c>
      <c r="W21" s="70"/>
      <c r="X21" s="70"/>
      <c r="Y21" s="70"/>
      <c r="Z21" s="70"/>
    </row>
    <row r="22" spans="2:26" ht="58.5" thickBot="1">
      <c r="B22" s="284" cm="1">
        <f t="array" ref="B22" xml:space="preserve"> ROW() - ROW($2:$2)</f>
        <v>20</v>
      </c>
      <c r="C22" s="214" t="s">
        <v>1548</v>
      </c>
      <c r="D22" s="76" t="str" cm="1">
        <f t="array" ref="D22" xml:space="preserve"> IFERROR( INDEX(聲母對照資料表[台羅拼音], MATCH(TRUE, EXACT($J22, 聲母碼),0)), "")</f>
        <v>si</v>
      </c>
      <c r="E22" s="117" t="str" cm="1">
        <f t="array" ref="E22" xml:space="preserve"> IFERROR( INDEX(聲母對照資料表[注音二式], MATCH(TRUE, EXACT($J22, 聲母碼),0)), "")</f>
        <v>shi</v>
      </c>
      <c r="F22" s="218" t="s">
        <v>2264</v>
      </c>
      <c r="G22" s="211" t="str" cm="1">
        <f t="array" ref="G22" xml:space="preserve"> IFERROR( INDEX(聲母對照資料表[十五音], MATCH(TRUE, EXACT($J22, 聲母碼),0)), "")</f>
        <v>時</v>
      </c>
      <c r="H22" s="136" t="s">
        <v>1683</v>
      </c>
      <c r="I22" s="136" t="str" cm="1">
        <f t="array" ref="I22" xml:space="preserve"> INDEX(廣韻聲母對照資料表[廣韻], MATCH(TRUE, EXACT($J22, 廣韻聲母對照資料表[台語音標]),0))</f>
        <v>心</v>
      </c>
      <c r="J22" s="214" t="s">
        <v>1516</v>
      </c>
      <c r="K22" s="76" t="str" cm="1">
        <f t="array" ref="K22" xml:space="preserve"> IFERROR( INDEX(聲母對照資料表[白話字], MATCH(TRUE, EXACT($J22, 聲母碼),0)), "")</f>
        <v>si</v>
      </c>
      <c r="L22" s="76" t="str" cm="1">
        <f t="array" ref="L22" xml:space="preserve"> IFERROR( INDEX(聲母對照資料表[閩拼方案], MATCH(TRUE, EXACT($J22, 聲母碼),0)), "")</f>
        <v>si</v>
      </c>
      <c r="M22" s="116" t="s">
        <v>2318</v>
      </c>
      <c r="N22" s="77" t="s">
        <v>1540</v>
      </c>
      <c r="P22" s="87" t="s">
        <v>1019</v>
      </c>
      <c r="Q22" s="90" t="s">
        <v>1553</v>
      </c>
      <c r="R22" s="89" t="s">
        <v>1552</v>
      </c>
      <c r="S22" s="88" t="s">
        <v>1554</v>
      </c>
      <c r="T22" s="88" t="s">
        <v>1555</v>
      </c>
      <c r="W22" s="70"/>
      <c r="X22" s="70"/>
      <c r="Y22" s="70"/>
      <c r="Z22" s="70"/>
    </row>
    <row r="23" spans="2:26" ht="58.5" thickTop="1">
      <c r="B23" s="282" cm="1">
        <f t="array" ref="B23" xml:space="preserve"> ROW() - ROW($2:$2)</f>
        <v>21</v>
      </c>
      <c r="C23" s="212" t="s">
        <v>1493</v>
      </c>
      <c r="D23" s="74" t="str" cm="1">
        <f t="array" ref="D23" xml:space="preserve"> IFERROR( INDEX(聲母對照資料表[台羅拼音], MATCH(TRUE, EXACT($J23, 聲母碼),0)), "")</f>
        <v>h</v>
      </c>
      <c r="E23" s="95" t="str" cm="1">
        <f t="array" ref="E23" xml:space="preserve"> IFERROR( INDEX(聲母對照資料表[注音二式], MATCH(TRUE, EXACT($J23, 聲母碼),0)), "")</f>
        <v>h</v>
      </c>
      <c r="F23" s="216" t="s">
        <v>2265</v>
      </c>
      <c r="G23" s="209" t="str" cm="1">
        <f t="array" ref="G23" xml:space="preserve"> IFERROR( INDEX(聲母對照資料表[十五音], MATCH(TRUE, EXACT($J23, 聲母碼),0)), "")</f>
        <v>喜</v>
      </c>
      <c r="H23" s="132" t="s">
        <v>1685</v>
      </c>
      <c r="I23" s="132" t="str" cm="1">
        <f t="array" ref="I23" xml:space="preserve"> INDEX(廣韻聲母對照資料表[廣韻], MATCH(TRUE, EXACT($J23, 廣韻聲母對照資料表[台語音標]),0))</f>
        <v>非</v>
      </c>
      <c r="J23" s="212" t="s">
        <v>1493</v>
      </c>
      <c r="K23" s="74" t="str" cm="1">
        <f t="array" ref="K23" xml:space="preserve"> IFERROR( INDEX(聲母對照資料表[白話字], MATCH(TRUE, EXACT($J23, 聲母碼),0)), "")</f>
        <v>h</v>
      </c>
      <c r="L23" s="74" t="str" cm="1">
        <f t="array" ref="L23" xml:space="preserve"> IFERROR( INDEX(聲母對照資料表[閩拼方案], MATCH(TRUE, EXACT($J23, 聲母碼),0)), "")</f>
        <v>h</v>
      </c>
      <c r="M23" s="94" t="s">
        <v>1</v>
      </c>
      <c r="N23" s="75" t="s">
        <v>1592</v>
      </c>
      <c r="P23" s="234">
        <v>1</v>
      </c>
      <c r="Q23" s="99" t="s">
        <v>1594</v>
      </c>
      <c r="R23" s="98" t="s">
        <v>1593</v>
      </c>
      <c r="S23" s="96" t="s">
        <v>280</v>
      </c>
      <c r="T23" s="96"/>
      <c r="W23" s="70"/>
      <c r="X23" s="70"/>
      <c r="Y23" s="70"/>
      <c r="Z23" s="70"/>
    </row>
    <row r="24" spans="2:26" ht="57.75">
      <c r="B24" s="284" cm="1">
        <f t="array" ref="B24" xml:space="preserve"> ROW() - ROW($2:$2)</f>
        <v>22</v>
      </c>
      <c r="C24" s="214" t="s">
        <v>1687</v>
      </c>
      <c r="D24" s="275" t="str" cm="1">
        <f t="array" ref="D24" xml:space="preserve"> IFERROR( INDEX(聲母對照資料表[台羅拼音], MATCH(TRUE, EXACT($J24, 聲母碼),0)), "")</f>
        <v>Ø</v>
      </c>
      <c r="E24" s="279" t="str" cm="1">
        <f t="array" ref="E24" xml:space="preserve"> IFERROR( INDEX(聲母對照資料表[注音二式], MATCH(TRUE, EXACT($J24, 聲母碼),0)), "")</f>
        <v>Ø</v>
      </c>
      <c r="F24" s="280" t="s">
        <v>0</v>
      </c>
      <c r="G24" s="211" t="str" cm="1">
        <f t="array" ref="G24" xml:space="preserve"> IFERROR( INDEX(聲母對照資料表[十五音], MATCH(TRUE, EXACT($J24, 聲母碼),0)), "")</f>
        <v>英</v>
      </c>
      <c r="H24" s="136" t="s">
        <v>1689</v>
      </c>
      <c r="I24" s="136" t="str" cm="1">
        <f t="array" ref="I24" xml:space="preserve"> INDEX(廣韻聲母對照資料表[廣韻], MATCH(TRUE, EXACT($J24, 廣韻聲母對照資料表[台語音標]),0))</f>
        <v>影</v>
      </c>
      <c r="J24" s="214" t="s">
        <v>2189</v>
      </c>
      <c r="K24" s="275" t="str" cm="1">
        <f t="array" ref="K24" xml:space="preserve"> IFERROR( INDEX(聲母對照資料表[白話字], MATCH(TRUE, EXACT($J24, 聲母碼),0)), "")</f>
        <v>Ø</v>
      </c>
      <c r="L24" s="275" t="str" cm="1">
        <f t="array" ref="L24" xml:space="preserve"> IFERROR( INDEX(聲母對照資料表[閩拼方案], MATCH(TRUE, EXACT($J24, 聲母碼),0)), "")</f>
        <v>Ø</v>
      </c>
      <c r="M24" s="116" t="s">
        <v>1396</v>
      </c>
      <c r="N24" s="77"/>
      <c r="P24" s="234">
        <v>2</v>
      </c>
      <c r="Q24" s="99" t="s">
        <v>2304</v>
      </c>
      <c r="R24" s="98" t="s">
        <v>1595</v>
      </c>
      <c r="S24" s="96" t="s">
        <v>1526</v>
      </c>
      <c r="T24" s="96"/>
      <c r="W24" s="70"/>
      <c r="X24" s="70"/>
      <c r="Y24" s="70"/>
      <c r="Z24" s="70"/>
    </row>
    <row r="25" spans="2:26" ht="57.75">
      <c r="B25" s="282" cm="1">
        <f t="array" ref="B25" xml:space="preserve"> ROW() - ROW($2:$2)</f>
        <v>23</v>
      </c>
      <c r="C25" s="212" t="s">
        <v>1528</v>
      </c>
      <c r="D25" s="74" t="str" cm="1">
        <f t="array" ref="D25" xml:space="preserve"> IFERROR( INDEX(韻母對照資料表[台羅拼音], MATCH(TRUE, EXACT($J25, 韻母對照資料表[台語音標]),0)), "")</f>
        <v>a</v>
      </c>
      <c r="E25" s="95" t="str" cm="1">
        <f t="array" ref="E25" xml:space="preserve"> IFERROR( INDEX(韻母對照資料表[注音二式], MATCH(TRUE, EXACT($J25, 韻母對照資料表[台語音標]),0)), "")</f>
        <v>a</v>
      </c>
      <c r="F25" s="216" t="s">
        <v>1557</v>
      </c>
      <c r="G25" s="209" t="str" cm="1">
        <f t="array" ref="G25">IFERROR( INDEX(韻母對照資料表[十五音], MATCH(TRUE, EXACT($J25, 韻母對照資料表[台語音標]),0)), "")</f>
        <v>膠</v>
      </c>
      <c r="H25" s="132" t="str" cm="1">
        <f t="array" ref="H25" xml:space="preserve"> IFERROR( INDEX(韻母對照資料表[漢字例], MATCH(TRUE, EXACT($J25, 韻母對照資料表[台語音標]),0)), "")</f>
        <v>些</v>
      </c>
      <c r="I25" s="132"/>
      <c r="J25" s="212" t="s">
        <v>1528</v>
      </c>
      <c r="K25" s="74" t="str" cm="1">
        <f t="array" ref="K25" xml:space="preserve"> IFERROR( INDEX(韻母對照資料表[白話字], MATCH(TRUE, EXACT($J25, 韻母對照資料表[台語音標]),0)), "")</f>
        <v>a</v>
      </c>
      <c r="L25" s="74" t="str" cm="1">
        <f t="array" ref="L25">IFERROR( INDEX(韻母對照資料表[閩拼方案], MATCH(TRUE, EXACT($J25, 韻母對照資料表[台語音標]),0)), "")</f>
        <v>a</v>
      </c>
      <c r="M25" s="94" t="s">
        <v>18</v>
      </c>
      <c r="N25" s="75" t="s">
        <v>1478</v>
      </c>
      <c r="P25" s="234">
        <v>3</v>
      </c>
      <c r="Q25" s="99" t="s">
        <v>1235</v>
      </c>
      <c r="R25" s="106" t="s">
        <v>1563</v>
      </c>
      <c r="S25" s="96" t="s">
        <v>37</v>
      </c>
      <c r="T25" s="96" t="str">
        <f xml:space="preserve"> LEFT(S25, IF(LEN(S25)=1, 1, LEN(S25)-1)) &amp; "ㆷ"</f>
        <v>ㆩㆷ</v>
      </c>
      <c r="W25" s="70"/>
      <c r="X25" s="70"/>
      <c r="Y25" s="70"/>
      <c r="Z25" s="70"/>
    </row>
    <row r="26" spans="2:26" ht="57.75">
      <c r="B26" s="282" cm="1">
        <f t="array" ref="B26" xml:space="preserve"> ROW() - ROW($2:$2)</f>
        <v>24</v>
      </c>
      <c r="C26" s="212" t="s">
        <v>2246</v>
      </c>
      <c r="D26" s="74" t="str" cm="1">
        <f t="array" ref="D26" xml:space="preserve"> IFERROR( INDEX(韻母對照資料表[台羅拼音], MATCH(TRUE, EXACT($J26, 韻母對照資料表[台語音標]),0)), "")</f>
        <v>ann</v>
      </c>
      <c r="E26" s="95" t="str" cm="1">
        <f t="array" ref="E26" xml:space="preserve"> IFERROR( INDEX(韻母對照資料表[注音二式], MATCH(TRUE, EXACT($J26, 韻母對照資料表[台語音標]),0)), "")</f>
        <v>ann</v>
      </c>
      <c r="F26" s="216" t="s">
        <v>1562</v>
      </c>
      <c r="G26" s="209" t="str" cm="1">
        <f t="array" ref="G26">IFERROR( INDEX(韻母對照資料表[十五音], MATCH(TRUE, EXACT($J26, 韻母對照資料表[台語音標]),0)), "")</f>
        <v>監</v>
      </c>
      <c r="H26" s="132" t="str" cm="1">
        <f t="array" ref="H26" xml:space="preserve"> IFERROR( INDEX(韻母對照資料表[漢字例], MATCH(TRUE, EXACT($J26, 韻母對照資料表[台語音標]),0)), "")</f>
        <v>聽</v>
      </c>
      <c r="I26" s="132"/>
      <c r="J26" s="212" t="s">
        <v>1596</v>
      </c>
      <c r="K26" s="74" t="str" cm="1">
        <f t="array" ref="K26" xml:space="preserve"> IFERROR( INDEX(韻母對照資料表[白話字], MATCH(TRUE, EXACT($J26, 韻母對照資料表[台語音標]),0)), "")</f>
        <v>aⁿ</v>
      </c>
      <c r="L26" s="74" t="str" cm="1">
        <f t="array" ref="L26">IFERROR( INDEX(韻母對照資料表[閩拼方案], MATCH(TRUE, EXACT($J26, 韻母對照資料表[台語音標]),0)), "")</f>
        <v>na</v>
      </c>
      <c r="M26" s="94" t="s">
        <v>1530</v>
      </c>
      <c r="N26" s="75" t="s">
        <v>260</v>
      </c>
      <c r="P26" s="234">
        <v>4</v>
      </c>
      <c r="Q26" s="99" t="s">
        <v>1376</v>
      </c>
      <c r="R26" s="98" t="s">
        <v>1597</v>
      </c>
      <c r="S26" s="96" t="s">
        <v>667</v>
      </c>
      <c r="T26" s="96" t="str">
        <f xml:space="preserve"> LEFT(S26, IF(LEN(S26)=1, 1, LEN(S26)-1)) &amp; "ㆷ"</f>
        <v>ㆧㆷ</v>
      </c>
      <c r="W26" s="70"/>
      <c r="X26" s="70"/>
      <c r="Y26" s="70"/>
      <c r="Z26" s="70"/>
    </row>
    <row r="27" spans="2:26" ht="57.75">
      <c r="B27" s="282" cm="1">
        <f t="array" ref="B27" xml:space="preserve"> ROW() - ROW($2:$2)</f>
        <v>25</v>
      </c>
      <c r="C27" s="212" t="s">
        <v>1541</v>
      </c>
      <c r="D27" s="74" t="str" cm="1">
        <f t="array" ref="D27" xml:space="preserve"> IFERROR( INDEX(韻母對照資料表[台羅拼音], MATCH(TRUE, EXACT($J27, 韻母對照資料表[台語音標]),0)), "")</f>
        <v>am</v>
      </c>
      <c r="E27" s="95" t="str" cm="1">
        <f t="array" ref="E27" xml:space="preserve"> IFERROR( INDEX(韻母對照資料表[注音二式], MATCH(TRUE, EXACT($J27, 韻母對照資料表[台語音標]),0)), "")</f>
        <v>am</v>
      </c>
      <c r="F27" s="216" t="s">
        <v>1624</v>
      </c>
      <c r="G27" s="209" t="str" cm="1">
        <f t="array" ref="G27">IFERROR( INDEX(韻母對照資料表[十五音], MATCH(TRUE, EXACT($J27, 韻母對照資料表[台語音標]),0)), "")</f>
        <v>甘</v>
      </c>
      <c r="H27" s="132" t="str" cm="1">
        <f t="array" ref="H27" xml:space="preserve"> IFERROR( INDEX(韻母對照資料表[漢字例], MATCH(TRUE, EXACT($J27, 韻母對照資料表[台語音標]),0)), "")</f>
        <v>堪</v>
      </c>
      <c r="I27" s="132"/>
      <c r="J27" s="212" t="s">
        <v>1541</v>
      </c>
      <c r="K27" s="74" t="str" cm="1">
        <f t="array" ref="K27" xml:space="preserve"> IFERROR( INDEX(韻母對照資料表[白話字], MATCH(TRUE, EXACT($J27, 韻母對照資料表[台語音標]),0)), "")</f>
        <v>am</v>
      </c>
      <c r="L27" s="74" t="str" cm="1">
        <f t="array" ref="L27">IFERROR( INDEX(韻母對照資料表[閩拼方案], MATCH(TRUE, EXACT($J27, 韻母對照資料表[台語音標]),0)), "")</f>
        <v>am</v>
      </c>
      <c r="M27" s="94" t="s">
        <v>2319</v>
      </c>
      <c r="N27" s="75" t="s">
        <v>1499</v>
      </c>
      <c r="P27" s="234">
        <v>5</v>
      </c>
      <c r="Q27" s="99" t="s">
        <v>1261</v>
      </c>
      <c r="R27" s="98" t="s">
        <v>1599</v>
      </c>
      <c r="S27" s="96" t="s">
        <v>227</v>
      </c>
      <c r="T27" s="96" t="str">
        <f xml:space="preserve"> LEFT(S27, IF(LEN(S27)=1, 1, LEN(S27)-1)) &amp; "ㆷ"</f>
        <v>ㆥㆷ</v>
      </c>
      <c r="W27" s="70"/>
      <c r="X27" s="70"/>
      <c r="Y27" s="70"/>
      <c r="Z27" s="70"/>
    </row>
    <row r="28" spans="2:26" ht="57.75">
      <c r="B28" s="282" cm="1">
        <f t="array" ref="B28" xml:space="preserve"> ROW() - ROW($2:$2)</f>
        <v>26</v>
      </c>
      <c r="C28" s="212" t="s">
        <v>1536</v>
      </c>
      <c r="D28" s="74" t="str" cm="1">
        <f t="array" ref="D28" xml:space="preserve"> IFERROR( INDEX(韻母對照資料表[台羅拼音], MATCH(TRUE, EXACT($J28, 韻母對照資料表[台語音標]),0)), "")</f>
        <v>an</v>
      </c>
      <c r="E28" s="95" t="str" cm="1">
        <f t="array" ref="E28" xml:space="preserve"> IFERROR( INDEX(韻母對照資料表[注音二式], MATCH(TRUE, EXACT($J28, 韻母對照資料表[台語音標]),0)), "")</f>
        <v>an</v>
      </c>
      <c r="F28" s="216" t="s">
        <v>2279</v>
      </c>
      <c r="G28" s="209" t="str" cm="1">
        <f t="array" ref="G28">IFERROR( INDEX(韻母對照資料表[十五音], MATCH(TRUE, EXACT($J28, 韻母對照資料表[台語音標]),0)), "")</f>
        <v>干</v>
      </c>
      <c r="H28" s="132" t="str" cm="1">
        <f t="array" ref="H28" xml:space="preserve"> IFERROR( INDEX(韻母對照資料表[漢字例], MATCH(TRUE, EXACT($J28, 韻母對照資料表[台語音標]),0)), "")</f>
        <v>蘭</v>
      </c>
      <c r="I28" s="132"/>
      <c r="J28" s="212" t="s">
        <v>1536</v>
      </c>
      <c r="K28" s="74" t="str" cm="1">
        <f t="array" ref="K28" xml:space="preserve"> IFERROR( INDEX(韻母對照資料表[白話字], MATCH(TRUE, EXACT($J28, 韻母對照資料表[台語音標]),0)), "")</f>
        <v>an</v>
      </c>
      <c r="L28" s="74" t="str" cm="1">
        <f t="array" ref="L28">IFERROR( INDEX(韻母對照資料表[閩拼方案], MATCH(TRUE, EXACT($J28, 韻母對照資料表[台語音標]),0)), "")</f>
        <v>an</v>
      </c>
      <c r="M28" s="94" t="s">
        <v>1537</v>
      </c>
      <c r="N28" s="75" t="s">
        <v>2</v>
      </c>
      <c r="P28" s="234">
        <v>6</v>
      </c>
      <c r="Q28" s="99" t="s">
        <v>1317</v>
      </c>
      <c r="R28" s="98" t="s">
        <v>1601</v>
      </c>
      <c r="S28" s="96" t="s">
        <v>168</v>
      </c>
      <c r="T28" s="96"/>
      <c r="W28" s="70"/>
      <c r="X28" s="70"/>
      <c r="Y28" s="70"/>
      <c r="Z28" s="70"/>
    </row>
    <row r="29" spans="2:26" ht="57.75">
      <c r="B29" s="284" cm="1">
        <f t="array" ref="B29" xml:space="preserve"> ROW() - ROW($2:$2)</f>
        <v>27</v>
      </c>
      <c r="C29" s="214" t="s">
        <v>94</v>
      </c>
      <c r="D29" s="76" t="str" cm="1">
        <f t="array" ref="D29" xml:space="preserve"> IFERROR( INDEX(韻母對照資料表[台羅拼音], MATCH(TRUE, EXACT($J29, 韻母對照資料表[台語音標]),0)), "")</f>
        <v>ang</v>
      </c>
      <c r="E29" s="117" t="str" cm="1">
        <f t="array" ref="E29" xml:space="preserve"> IFERROR( INDEX(韻母對照資料表[注音二式], MATCH(TRUE, EXACT($J29, 韻母對照資料表[台語音標]),0)), "")</f>
        <v>ang</v>
      </c>
      <c r="F29" s="218" t="s">
        <v>2280</v>
      </c>
      <c r="G29" s="211" t="str" cm="1">
        <f t="array" ref="G29">IFERROR( INDEX(韻母對照資料表[十五音], MATCH(TRUE, EXACT($J29, 韻母對照資料表[台語音標]),0)), "")</f>
        <v>江</v>
      </c>
      <c r="H29" s="136" t="str" cm="1">
        <f t="array" ref="H29" xml:space="preserve"> IFERROR( INDEX(韻母對照資料表[漢字例], MATCH(TRUE, EXACT($J29, 韻母對照資料表[台語音標]),0)), "")</f>
        <v>邦</v>
      </c>
      <c r="I29" s="136"/>
      <c r="J29" s="214" t="s">
        <v>1626</v>
      </c>
      <c r="K29" s="76" t="str" cm="1">
        <f t="array" ref="K29" xml:space="preserve"> IFERROR( INDEX(韻母對照資料表[白話字], MATCH(TRUE, EXACT($J29, 韻母對照資料表[台語音標]),0)), "")</f>
        <v>ang</v>
      </c>
      <c r="L29" s="76" t="str" cm="1">
        <f t="array" ref="L29">IFERROR( INDEX(韻母對照資料表[閩拼方案], MATCH(TRUE, EXACT($J29, 韻母對照資料表[台語音標]),0)), "")</f>
        <v>ang</v>
      </c>
      <c r="M29" s="116" t="s">
        <v>2320</v>
      </c>
      <c r="N29" s="77" t="s">
        <v>1625</v>
      </c>
      <c r="P29" s="234">
        <v>7</v>
      </c>
      <c r="Q29" s="99" t="s">
        <v>1371</v>
      </c>
      <c r="R29" s="98" t="s">
        <v>1602</v>
      </c>
      <c r="S29" s="96" t="s">
        <v>1369</v>
      </c>
      <c r="T29" s="96" t="str">
        <f xml:space="preserve"> LEFT(S29, IF(LEN(S29)=1, 1, LEN(S29)-1)) &amp; "ㆷ"</f>
        <v>ㆯㆷ</v>
      </c>
      <c r="W29" s="70"/>
      <c r="X29" s="70"/>
      <c r="Y29" s="70"/>
      <c r="Z29" s="70"/>
    </row>
    <row r="30" spans="2:26" ht="57.75">
      <c r="B30" s="282" cm="1">
        <f t="array" ref="B30" xml:space="preserve"> ROW() - ROW($2:$2)</f>
        <v>28</v>
      </c>
      <c r="C30" s="212" t="s">
        <v>1610</v>
      </c>
      <c r="D30" s="74" t="str" cm="1">
        <f t="array" ref="D30" xml:space="preserve"> IFERROR( INDEX(韻母對照資料表[台羅拼音], MATCH(TRUE, EXACT($J30, 韻母對照資料表[台語音標]),0)), "")</f>
        <v>ai</v>
      </c>
      <c r="E30" s="95" t="str" cm="1">
        <f t="array" ref="E30" xml:space="preserve"> IFERROR( INDEX(韻母對照資料表[注音二式], MATCH(TRUE, EXACT($J30, 韻母對照資料表[台語音標]),0)), "")</f>
        <v>ai</v>
      </c>
      <c r="F30" s="216" t="s">
        <v>2271</v>
      </c>
      <c r="G30" s="209" t="str" cm="1">
        <f t="array" ref="G30">IFERROR( INDEX(韻母對照資料表[十五音], MATCH(TRUE, EXACT($J30, 韻母對照資料表[台語音標]),0)), "")</f>
        <v>皆</v>
      </c>
      <c r="H30" s="132" t="str" cm="1">
        <f t="array" ref="H30" xml:space="preserve"> IFERROR( INDEX(韻母對照資料表[漢字例], MATCH(TRUE, EXACT($J30, 韻母對照資料表[台語音標]),0)), "")</f>
        <v>埃</v>
      </c>
      <c r="I30" s="132"/>
      <c r="J30" s="212" t="s">
        <v>1610</v>
      </c>
      <c r="K30" s="74" t="str" cm="1">
        <f t="array" ref="K30" xml:space="preserve"> IFERROR( INDEX(韻母對照資料表[白話字], MATCH(TRUE, EXACT($J30, 韻母對照資料表[台語音標]),0)), "")</f>
        <v>ai</v>
      </c>
      <c r="L30" s="74" t="str" cm="1">
        <f t="array" ref="L30">IFERROR( INDEX(韻母對照資料表[閩拼方案], MATCH(TRUE, EXACT($J30, 韻母對照資料表[台語音標]),0)), "")</f>
        <v>ai</v>
      </c>
      <c r="M30" s="94" t="s">
        <v>1485</v>
      </c>
      <c r="N30" s="75" t="s">
        <v>1470</v>
      </c>
      <c r="P30" s="234">
        <v>8</v>
      </c>
      <c r="Q30" s="99" t="s">
        <v>1271</v>
      </c>
      <c r="R30" s="106" t="s">
        <v>1609</v>
      </c>
      <c r="S30" s="96" t="s">
        <v>938</v>
      </c>
      <c r="T30" s="96"/>
      <c r="W30" s="70"/>
      <c r="X30" s="70"/>
      <c r="Y30" s="70"/>
      <c r="Z30" s="70"/>
    </row>
    <row r="31" spans="2:26" ht="57.75">
      <c r="B31" s="284" cm="1">
        <f t="array" ref="B31" xml:space="preserve"> ROW() - ROW($2:$2)</f>
        <v>29</v>
      </c>
      <c r="C31" s="214" t="s">
        <v>2252</v>
      </c>
      <c r="D31" s="76" t="str" cm="1">
        <f t="array" ref="D31" xml:space="preserve"> IFERROR( INDEX(韻母對照資料表[台羅拼音], MATCH(TRUE, EXACT($J31, 韻母對照資料表[台語音標]),0)), "")</f>
        <v>ainn</v>
      </c>
      <c r="E31" s="117" t="str" cm="1">
        <f t="array" ref="E31" xml:space="preserve"> IFERROR( INDEX(韻母對照資料表[注音二式], MATCH(TRUE, EXACT($J31, 韻母對照資料表[台語音標]),0)), "")</f>
        <v>ainn</v>
      </c>
      <c r="F31" s="218" t="s">
        <v>2277</v>
      </c>
      <c r="G31" s="211" t="str" cm="1">
        <f t="array" ref="G31">IFERROR( INDEX(韻母對照資料表[十五音], MATCH(TRUE, EXACT($J31, 韻母對照資料表[台語音標]),0)), "")</f>
        <v>閒</v>
      </c>
      <c r="H31" s="136" t="str" cm="1">
        <f t="array" ref="H31" xml:space="preserve"> IFERROR( INDEX(韻母對照資料表[漢字例], MATCH(TRUE, EXACT($J31, 韻母對照資料表[台語音標]),0)), "")</f>
        <v>挨</v>
      </c>
      <c r="I31" s="136"/>
      <c r="J31" s="214" t="s">
        <v>1612</v>
      </c>
      <c r="K31" s="76" t="str" cm="1">
        <f t="array" ref="K31" xml:space="preserve"> IFERROR( INDEX(韻母對照資料表[白話字], MATCH(TRUE, EXACT($J31, 韻母對照資料表[台語音標]),0)), "")</f>
        <v>aiⁿ</v>
      </c>
      <c r="L31" s="76" t="str" cm="1">
        <f t="array" ref="L31">IFERROR( INDEX(韻母對照資料表[閩拼方案], MATCH(TRUE, EXACT($J31, 韻母對照資料表[台語音標]),0)), "")</f>
        <v>nai</v>
      </c>
      <c r="M31" s="116" t="s">
        <v>1534</v>
      </c>
      <c r="N31" s="77" t="s">
        <v>9</v>
      </c>
      <c r="P31" s="234">
        <v>9</v>
      </c>
      <c r="Q31" s="99" t="s">
        <v>1349</v>
      </c>
      <c r="R31" s="98" t="s">
        <v>1613</v>
      </c>
      <c r="S31" s="123" t="s">
        <v>1347</v>
      </c>
      <c r="T31" s="123"/>
      <c r="W31" s="70"/>
      <c r="X31" s="70"/>
      <c r="Y31" s="70"/>
      <c r="Z31" s="70"/>
    </row>
    <row r="32" spans="2:26" ht="57.75">
      <c r="B32" s="282" cm="1">
        <f t="array" ref="B32" xml:space="preserve"> ROW() - ROW($2:$2)</f>
        <v>30</v>
      </c>
      <c r="C32" s="212" t="s">
        <v>1615</v>
      </c>
      <c r="D32" s="74" t="str" cm="1">
        <f t="array" ref="D32" xml:space="preserve"> IFERROR( INDEX(韻母對照資料表[台羅拼音], MATCH(TRUE, EXACT($J32, 韻母對照資料表[台語音標]),0)), "")</f>
        <v>au</v>
      </c>
      <c r="E32" s="95" t="str" cm="1">
        <f t="array" ref="E32" xml:space="preserve"> IFERROR( INDEX(韻母對照資料表[注音二式], MATCH(TRUE, EXACT($J32, 韻母對照資料表[台語音標]),0)), "")</f>
        <v>au</v>
      </c>
      <c r="F32" s="216" t="s">
        <v>2272</v>
      </c>
      <c r="G32" s="209" t="str" cm="1">
        <f t="array" ref="G32">IFERROR( INDEX(韻母對照資料表[十五音], MATCH(TRUE, EXACT($J32, 韻母對照資料表[台語音標]),0)), "")</f>
        <v>交</v>
      </c>
      <c r="H32" s="132" t="str" cm="1">
        <f t="array" ref="H32" xml:space="preserve"> IFERROR( INDEX(韻母對照資料表[漢字例], MATCH(TRUE, EXACT($J32, 韻母對照資料表[台語音標]),0)), "")</f>
        <v>鬧</v>
      </c>
      <c r="I32" s="132"/>
      <c r="J32" s="212" t="s">
        <v>1615</v>
      </c>
      <c r="K32" s="74" t="str" cm="1">
        <f t="array" ref="K32" xml:space="preserve"> IFERROR( INDEX(韻母對照資料表[白話字], MATCH(TRUE, EXACT($J32, 韻母對照資料表[台語音標]),0)), "")</f>
        <v>au</v>
      </c>
      <c r="L32" s="74" t="str" cm="1">
        <f t="array" ref="L32">IFERROR( INDEX(韻母對照資料表[閩拼方案], MATCH(TRUE, EXACT($J32, 韻母對照資料表[台語音標]),0)), "")</f>
        <v>ao</v>
      </c>
      <c r="M32" s="94" t="s">
        <v>1498</v>
      </c>
      <c r="N32" s="75" t="s">
        <v>1614</v>
      </c>
      <c r="P32" s="234">
        <v>10</v>
      </c>
      <c r="Q32" s="99" t="s">
        <v>1381</v>
      </c>
      <c r="R32" s="98" t="s">
        <v>1603</v>
      </c>
      <c r="S32" s="96" t="s">
        <v>622</v>
      </c>
      <c r="T32" s="96"/>
      <c r="W32" s="70"/>
      <c r="X32" s="70"/>
      <c r="Y32" s="70"/>
      <c r="Z32" s="70"/>
    </row>
    <row r="33" spans="2:26" ht="57.75">
      <c r="B33" s="284" cm="1">
        <f t="array" ref="B33" xml:space="preserve"> ROW() - ROW($2:$2)</f>
        <v>31</v>
      </c>
      <c r="C33" s="214" t="s">
        <v>2251</v>
      </c>
      <c r="D33" s="76" t="str" cm="1">
        <f t="array" ref="D33" xml:space="preserve"> IFERROR( INDEX(韻母對照資料表[台羅拼音], MATCH(TRUE, EXACT($J33, 韻母對照資料表[台語音標]),0)), "")</f>
        <v>aunn</v>
      </c>
      <c r="E33" s="117" t="str" cm="1">
        <f t="array" ref="E33" xml:space="preserve"> IFERROR( INDEX(韻母對照資料表[注音二式], MATCH(TRUE, EXACT($J33, 韻母對照資料表[台語音標]),0)), "")</f>
        <v>aunn</v>
      </c>
      <c r="F33" s="218" t="s">
        <v>2276</v>
      </c>
      <c r="G33" s="211" t="str" cm="1">
        <f t="array" ref="G33">IFERROR( INDEX(韻母對照資料表[十五音], MATCH(TRUE, EXACT($J33, 韻母對照資料表[台語音標]),0)), "")</f>
        <v>爻</v>
      </c>
      <c r="H33" s="136" t="str" cm="1">
        <f t="array" ref="H33" xml:space="preserve"> IFERROR( INDEX(韻母對照資料表[漢字例], MATCH(TRUE, EXACT($J33, 韻母對照資料表[台語音標]),0)), "")</f>
        <v>懸</v>
      </c>
      <c r="I33" s="136"/>
      <c r="J33" s="214" t="s">
        <v>1618</v>
      </c>
      <c r="K33" s="76" t="str" cm="1">
        <f t="array" ref="K33" xml:space="preserve"> IFERROR( INDEX(韻母對照資料表[白話字], MATCH(TRUE, EXACT($J33, 韻母對照資料表[台語音標]),0)), "")</f>
        <v>auⁿ</v>
      </c>
      <c r="L33" s="76" t="str" cm="1">
        <f t="array" ref="L33">IFERROR( INDEX(韻母對照資料表[閩拼方案], MATCH(TRUE, EXACT($J33, 韻母對照資料表[台語音標]),0)), "")</f>
        <v>nao</v>
      </c>
      <c r="M33" s="116" t="s">
        <v>1535</v>
      </c>
      <c r="N33" s="77" t="s">
        <v>1483</v>
      </c>
      <c r="P33" s="234">
        <v>11</v>
      </c>
      <c r="Q33" s="99" t="s">
        <v>1366</v>
      </c>
      <c r="R33" s="106" t="s">
        <v>1627</v>
      </c>
      <c r="S33" s="96" t="s">
        <v>694</v>
      </c>
      <c r="T33" s="96" t="str">
        <f xml:space="preserve"> LEFT(S33, IF(LEN(S33)=1, 1, LEN(S33)-1)) &amp; "ㆴ"</f>
        <v>ㆱㆴ</v>
      </c>
      <c r="W33" s="70"/>
      <c r="X33" s="70"/>
      <c r="Y33" s="70"/>
      <c r="Z33" s="70"/>
    </row>
    <row r="34" spans="2:26" ht="57.75">
      <c r="B34" s="282" cm="1">
        <f t="array" ref="B34" xml:space="preserve"> ROW() - ROW($2:$2)</f>
        <v>32</v>
      </c>
      <c r="C34" s="212" t="s">
        <v>2244</v>
      </c>
      <c r="D34" s="74" t="str" cm="1">
        <f t="array" ref="D34" xml:space="preserve"> IFERROR( INDEX(韻母對照資料表[台羅拼音], MATCH(TRUE, EXACT($J34, 韻母對照資料表[台語音標]),0)), "")</f>
        <v>e</v>
      </c>
      <c r="E34" s="95" t="str" cm="1">
        <f t="array" ref="E34" xml:space="preserve"> IFERROR( INDEX(韻母對照資料表[注音二式], MATCH(TRUE, EXACT($J34, 韻母對照資料表[台語音標]),0)), "")</f>
        <v>e</v>
      </c>
      <c r="F34" s="216" t="s">
        <v>2266</v>
      </c>
      <c r="G34" s="209" t="str" cm="1">
        <f t="array" ref="G34">IFERROR( INDEX(韻母對照資料表[十五音], MATCH(TRUE, EXACT($J34, 韻母對照資料表[台語音標]),0)), "")</f>
        <v>伽</v>
      </c>
      <c r="H34" s="137" t="str" cm="1">
        <f t="array" ref="H34" xml:space="preserve"> IFERROR( INDEX(韻母對照資料表[漢字例], MATCH(TRUE, EXACT($J34, 韻母對照資料表[台語音標]),0)), "")</f>
        <v>會</v>
      </c>
      <c r="I34" s="137"/>
      <c r="J34" s="212" t="s">
        <v>1533</v>
      </c>
      <c r="K34" s="74" t="str" cm="1">
        <f t="array" ref="K34" xml:space="preserve"> IFERROR( INDEX(韻母對照資料表[白話字], MATCH(TRUE, EXACT($J34, 韻母對照資料表[台語音標]),0)), "")</f>
        <v>e</v>
      </c>
      <c r="L34" s="74" t="str" cm="1">
        <f t="array" ref="L34">IFERROR( INDEX(韻母對照資料表[閩拼方案], MATCH(TRUE, EXACT($J34, 韻母對照資料表[台語音標]),0)), "")</f>
        <v>e</v>
      </c>
      <c r="M34" s="94" t="s">
        <v>208</v>
      </c>
      <c r="N34" s="75" t="s">
        <v>1531</v>
      </c>
      <c r="P34" s="234">
        <v>12</v>
      </c>
      <c r="Q34" s="99" t="s">
        <v>1211</v>
      </c>
      <c r="R34" s="98" t="s">
        <v>1632</v>
      </c>
      <c r="S34" s="96" t="s">
        <v>1631</v>
      </c>
      <c r="T34" s="96" t="str">
        <f xml:space="preserve"> LEFT(S34, IF(LEN(S34)=1, 1, LEN(S34)-1)) &amp; "ㆴ"</f>
        <v>ㄧㆴ</v>
      </c>
      <c r="W34" s="70"/>
      <c r="X34" s="70"/>
      <c r="Y34" s="70"/>
      <c r="Z34" s="70"/>
    </row>
    <row r="35" spans="2:26" ht="57.75">
      <c r="B35" s="284" cm="1">
        <f t="array" ref="B35" xml:space="preserve"> ROW() - ROW($2:$2)</f>
        <v>33</v>
      </c>
      <c r="C35" s="214" t="s">
        <v>1694</v>
      </c>
      <c r="D35" s="76" t="str" cm="1">
        <f t="array" ref="D35" xml:space="preserve"> IFERROR( INDEX(韻母對照資料表[台羅拼音], MATCH(TRUE, EXACT($J35, 韻母對照資料表[台語音標]),0)), "")</f>
        <v>enn</v>
      </c>
      <c r="E35" s="117" t="str" cm="1">
        <f t="array" ref="E35" xml:space="preserve"> IFERROR( INDEX(韻母對照資料表[注音二式], MATCH(TRUE, EXACT($J35, 韻母對照資料表[台語音標]),0)), "")</f>
        <v>enn</v>
      </c>
      <c r="F35" s="218" t="s">
        <v>2273</v>
      </c>
      <c r="G35" s="211" t="str" cm="1">
        <f t="array" ref="G35">IFERROR( INDEX(韻母對照資料表[十五音], MATCH(TRUE, EXACT($J35, 韻母對照資料表[台語音標]),0)), "")</f>
        <v>更</v>
      </c>
      <c r="H35" s="136" t="str" cm="1">
        <f t="array" ref="H35" xml:space="preserve"> IFERROR( INDEX(韻母對照資料表[漢字例], MATCH(TRUE, EXACT($J35, 韻母對照資料表[台語音標]),0)), "")</f>
        <v>爭</v>
      </c>
      <c r="I35" s="136"/>
      <c r="J35" s="214" t="s">
        <v>1538</v>
      </c>
      <c r="K35" s="76" t="str" cm="1">
        <f t="array" ref="K35" xml:space="preserve"> IFERROR( INDEX(韻母對照資料表[白話字], MATCH(TRUE, EXACT($J35, 韻母對照資料表[台語音標]),0)), "")</f>
        <v>eⁿ</v>
      </c>
      <c r="L35" s="76" t="str" cm="1">
        <f t="array" ref="L35">IFERROR( INDEX(韻母對照資料表[閩拼方案], MATCH(TRUE, EXACT($J35, 韻母對照資料表[台語音標]),0)), "")</f>
        <v>ne</v>
      </c>
      <c r="M35" s="116" t="s">
        <v>1492</v>
      </c>
      <c r="N35" s="77" t="s">
        <v>1525</v>
      </c>
      <c r="Q35" s="70"/>
      <c r="R35" s="70"/>
      <c r="S35" s="70"/>
      <c r="T35" s="70"/>
      <c r="W35" s="70"/>
      <c r="X35" s="70"/>
      <c r="Y35" s="70"/>
      <c r="Z35" s="70"/>
    </row>
    <row r="36" spans="2:26" ht="58.5" thickBot="1">
      <c r="B36" s="282" cm="1">
        <f t="array" ref="B36" xml:space="preserve"> ROW() - ROW($2:$2)</f>
        <v>34</v>
      </c>
      <c r="C36" s="212" t="s">
        <v>1519</v>
      </c>
      <c r="D36" s="74" t="str" cm="1">
        <f t="array" ref="D36" xml:space="preserve"> IFERROR( INDEX(韻母對照資料表[台羅拼音], MATCH(TRUE, EXACT($J36, 韻母對照資料表[台語音標]),0)), "")</f>
        <v>i</v>
      </c>
      <c r="E36" s="95" t="str" cm="1">
        <f t="array" ref="E36" xml:space="preserve"> IFERROR( INDEX(韻母對照資料表[注音二式], MATCH(TRUE, EXACT($J36, 韻母對照資料表[台語音標]),0)), "")</f>
        <v>i</v>
      </c>
      <c r="F36" s="216" t="s">
        <v>1707</v>
      </c>
      <c r="G36" s="209" t="str" cm="1">
        <f t="array" ref="G36">IFERROR( INDEX(韻母對照資料表[十五音], MATCH(TRUE, EXACT($J36, 韻母對照資料表[台語音標]),0)), "")</f>
        <v>居</v>
      </c>
      <c r="H36" s="132" t="str" cm="1">
        <f t="array" ref="H36" xml:space="preserve"> IFERROR( INDEX(韻母對照資料表[漢字例], MATCH(TRUE, EXACT($J36, 韻母對照資料表[台語音標]),0)), "")</f>
        <v>爾</v>
      </c>
      <c r="I36" s="132"/>
      <c r="J36" s="212" t="s">
        <v>1519</v>
      </c>
      <c r="K36" s="74" t="str" cm="1">
        <f t="array" ref="K36" xml:space="preserve"> IFERROR( INDEX(韻母對照資料表[白話字], MATCH(TRUE, EXACT($J36, 韻母對照資料表[台語音標]),0)), "")</f>
        <v>i</v>
      </c>
      <c r="L36" s="74" t="str" cm="1">
        <f t="array" ref="L36">IFERROR( INDEX(韻母對照資料表[閩拼方案], MATCH(TRUE, EXACT($J36, 韻母對照資料表[台語音標]),0)), "")</f>
        <v>i</v>
      </c>
      <c r="M36" s="94" t="s">
        <v>260</v>
      </c>
      <c r="N36" s="75" t="s">
        <v>1523</v>
      </c>
      <c r="P36" s="87" t="s">
        <v>1019</v>
      </c>
      <c r="Q36" s="90" t="s">
        <v>1553</v>
      </c>
      <c r="R36" s="89" t="s">
        <v>1552</v>
      </c>
      <c r="S36" s="88" t="s">
        <v>1554</v>
      </c>
      <c r="T36" s="88" t="s">
        <v>1555</v>
      </c>
      <c r="W36" s="70"/>
      <c r="X36" s="70"/>
      <c r="Y36" s="70"/>
      <c r="Z36" s="70"/>
    </row>
    <row r="37" spans="2:26" ht="58.5" thickTop="1">
      <c r="B37" s="282" cm="1">
        <f t="array" ref="B37" xml:space="preserve"> ROW() - ROW($2:$2)</f>
        <v>35</v>
      </c>
      <c r="C37" s="212" t="s">
        <v>1521</v>
      </c>
      <c r="D37" s="74" t="str" cm="1">
        <f t="array" ref="D37" xml:space="preserve"> IFERROR( INDEX(韻母對照資料表[台羅拼音], MATCH(TRUE, EXACT($J37, 韻母對照資料表[台語音標]),0)), "")</f>
        <v>inn</v>
      </c>
      <c r="E37" s="95" t="str" cm="1">
        <f t="array" ref="E37" xml:space="preserve"> IFERROR( INDEX(韻母對照資料表[注音二式], MATCH(TRUE, EXACT($J37, 韻母對照資料表[台語音標]),0)), "")</f>
        <v>inn</v>
      </c>
      <c r="F37" s="216" t="s">
        <v>2274</v>
      </c>
      <c r="G37" s="209" t="str" cm="1">
        <f t="array" ref="G37">IFERROR( INDEX(韻母對照資料表[十五音], MATCH(TRUE, EXACT($J37, 韻母對照資料表[台語音標]),0)), "")</f>
        <v>梔</v>
      </c>
      <c r="H37" s="132" t="str" cm="1">
        <f t="array" ref="H37" xml:space="preserve"> IFERROR( INDEX(韻母對照資料表[漢字例], MATCH(TRUE, EXACT($J37, 韻母對照資料表[台語音標]),0)), "")</f>
        <v>庚</v>
      </c>
      <c r="I37" s="132"/>
      <c r="J37" s="212" t="s">
        <v>1594</v>
      </c>
      <c r="K37" s="74" t="str" cm="1">
        <f t="array" ref="K37" xml:space="preserve"> IFERROR( INDEX(韻母對照資料表[白話字], MATCH(TRUE, EXACT($J37, 韻母對照資料表[台語音標]),0)), "")</f>
        <v>iⁿ</v>
      </c>
      <c r="L37" s="74" t="str" cm="1">
        <f t="array" ref="L37">IFERROR( INDEX(韻母對照資料表[閩拼方案], MATCH(TRUE, EXACT($J37, 韻母對照資料表[台語音標]),0)), "")</f>
        <v>ni</v>
      </c>
      <c r="M37" s="94" t="s">
        <v>1522</v>
      </c>
      <c r="N37" s="75" t="s">
        <v>1038</v>
      </c>
      <c r="P37" s="234">
        <v>1</v>
      </c>
      <c r="Q37" s="99" t="s">
        <v>1298</v>
      </c>
      <c r="R37" s="98" t="s">
        <v>1604</v>
      </c>
      <c r="S37" s="96" t="s">
        <v>407</v>
      </c>
      <c r="T37" s="96" t="s">
        <v>434</v>
      </c>
      <c r="W37" s="70"/>
      <c r="X37" s="70"/>
      <c r="Y37" s="70"/>
      <c r="Z37" s="70"/>
    </row>
    <row r="38" spans="2:26" ht="57.75">
      <c r="B38" s="282" cm="1">
        <f t="array" ref="B38" xml:space="preserve"> ROW() - ROW($2:$2)</f>
        <v>36</v>
      </c>
      <c r="C38" s="212" t="s">
        <v>1780</v>
      </c>
      <c r="D38" s="74" t="str" cm="1">
        <f t="array" ref="D38" xml:space="preserve"> IFERROR( INDEX(韻母對照資料表[台羅拼音], MATCH(TRUE, EXACT($J38, 韻母對照資料表[台語音標]),0)), "")</f>
        <v>im</v>
      </c>
      <c r="E38" s="95" t="str" cm="1">
        <f t="array" ref="E38" xml:space="preserve"> IFERROR( INDEX(韻母對照資料表[注音二式], MATCH(TRUE, EXACT($J38, 韻母對照資料表[台語音標]),0)), "")</f>
        <v>im</v>
      </c>
      <c r="F38" s="216" t="s">
        <v>2419</v>
      </c>
      <c r="G38" s="209" t="str" cm="1">
        <f t="array" ref="G38">IFERROR( INDEX(韻母對照資料表[十五音], MATCH(TRUE, EXACT($J38, 韻母對照資料表[台語音標]),0)), "")</f>
        <v>金</v>
      </c>
      <c r="H38" s="132" t="str" cm="1">
        <f t="array" ref="H38" xml:space="preserve"> IFERROR( INDEX(韻母對照資料表[漢字例], MATCH(TRUE, EXACT($J38, 韻母對照資料表[台語音標]),0)), "")</f>
        <v>深</v>
      </c>
      <c r="I38" s="132"/>
      <c r="J38" s="212" t="s">
        <v>1780</v>
      </c>
      <c r="K38" s="74" t="str" cm="1">
        <f t="array" ref="K38" xml:space="preserve"> IFERROR( INDEX(韻母對照資料表[白話字], MATCH(TRUE, EXACT($J38, 韻母對照資料表[台語音標]),0)), "")</f>
        <v>im</v>
      </c>
      <c r="L38" s="74" t="str" cm="1">
        <f t="array" ref="L38">IFERROR( INDEX(韻母對照資料表[閩拼方案], MATCH(TRUE, EXACT($J38, 韻母對照資料表[台語音標]),0)), "")</f>
        <v>im</v>
      </c>
      <c r="M38" s="94"/>
      <c r="N38" s="75"/>
      <c r="P38" s="234">
        <v>2</v>
      </c>
      <c r="Q38" s="99" t="s">
        <v>1607</v>
      </c>
      <c r="R38" s="98" t="s">
        <v>1606</v>
      </c>
      <c r="S38" s="96" t="s">
        <v>536</v>
      </c>
      <c r="T38" s="96"/>
      <c r="W38" s="70"/>
      <c r="X38" s="70"/>
      <c r="Y38" s="70"/>
      <c r="Z38" s="70"/>
    </row>
    <row r="39" spans="2:26" ht="57.75">
      <c r="B39" s="282" cm="1">
        <f t="array" ref="B39" xml:space="preserve"> ROW() - ROW($2:$2)</f>
        <v>37</v>
      </c>
      <c r="C39" s="212" t="s">
        <v>1781</v>
      </c>
      <c r="D39" s="74" t="str" cm="1">
        <f t="array" ref="D39" xml:space="preserve"> IFERROR( INDEX(韻母對照資料表[台羅拼音], MATCH(TRUE, EXACT($J39, 韻母對照資料表[台語音標]),0)), "")</f>
        <v>in</v>
      </c>
      <c r="E39" s="95" t="str" cm="1">
        <f t="array" ref="E39" xml:space="preserve"> IFERROR( INDEX(韻母對照資料表[注音二式], MATCH(TRUE, EXACT($J39, 韻母對照資料表[台語音標]),0)), "")</f>
        <v>in</v>
      </c>
      <c r="F39" s="216" t="s">
        <v>2420</v>
      </c>
      <c r="G39" s="209" t="str" cm="1">
        <f t="array" ref="G39">IFERROR( INDEX(韻母對照資料表[十五音], MATCH(TRUE, EXACT($J39, 韻母對照資料表[台語音標]),0)), "")</f>
        <v>巾</v>
      </c>
      <c r="H39" s="132" t="str" cm="1">
        <f t="array" ref="H39" xml:space="preserve"> IFERROR( INDEX(韻母對照資料表[漢字例], MATCH(TRUE, EXACT($J39, 韻母對照資料表[台語音標]),0)), "")</f>
        <v>恩</v>
      </c>
      <c r="I39" s="132"/>
      <c r="J39" s="212" t="s">
        <v>1781</v>
      </c>
      <c r="K39" s="74" t="str" cm="1">
        <f t="array" ref="K39" xml:space="preserve"> IFERROR( INDEX(韻母對照資料表[白話字], MATCH(TRUE, EXACT($J39, 韻母對照資料表[台語音標]),0)), "")</f>
        <v>in</v>
      </c>
      <c r="L39" s="74" t="str" cm="1">
        <f t="array" ref="L39">IFERROR( INDEX(韻母對照資料表[閩拼方案], MATCH(TRUE, EXACT($J39, 韻母對照資料表[台語音標]),0)), "")</f>
        <v>in</v>
      </c>
      <c r="M39" s="94"/>
      <c r="N39" s="75"/>
      <c r="P39" s="234">
        <v>3</v>
      </c>
      <c r="Q39" s="99" t="s">
        <v>1304</v>
      </c>
      <c r="R39" s="98" t="s">
        <v>1611</v>
      </c>
      <c r="S39" s="123" t="s">
        <v>809</v>
      </c>
      <c r="T39" s="123"/>
      <c r="W39" s="70"/>
      <c r="X39" s="70"/>
      <c r="Y39" s="70"/>
      <c r="Z39" s="70"/>
    </row>
    <row r="40" spans="2:26" ht="57.75">
      <c r="B40" s="282" cm="1">
        <f t="array" ref="B40" xml:space="preserve"> ROW() - ROW($2:$2)</f>
        <v>38</v>
      </c>
      <c r="C40" s="212" t="s">
        <v>2297</v>
      </c>
      <c r="D40" s="74" t="str" cm="1">
        <f t="array" ref="D40" xml:space="preserve"> IFERROR( INDEX(韻母對照資料表[台羅拼音], MATCH(TRUE, EXACT($J40, 韻母對照資料表[台語音標]),0)), "")</f>
        <v>ing</v>
      </c>
      <c r="E40" s="277" t="str" cm="1">
        <f t="array" ref="E40" xml:space="preserve"> IFERROR( INDEX(韻母對照資料表[注音二式], MATCH(TRUE, EXACT($J40, 韻母對照資料表[台語音標]),0)), "")</f>
        <v>ing</v>
      </c>
      <c r="F40" s="216" t="s">
        <v>1712</v>
      </c>
      <c r="G40" s="209" t="str" cm="1">
        <f t="array" ref="G40">IFERROR( INDEX(韻母對照資料表[十五音], MATCH(TRUE, EXACT($J40, 韻母對照資料表[台語音標]),0)), "")</f>
        <v>經</v>
      </c>
      <c r="H40" s="132" t="str" cm="1">
        <f t="array" ref="H40" xml:space="preserve"> IFERROR( INDEX(韻母對照資料表[漢字例], MATCH(TRUE, EXACT($J40, 韻母對照資料表[台語音標]),0)), "")</f>
        <v>情</v>
      </c>
      <c r="I40" s="132"/>
      <c r="J40" s="212" t="s">
        <v>1544</v>
      </c>
      <c r="K40" s="74" t="str" cm="1">
        <f t="array" ref="K40" xml:space="preserve"> IFERROR( INDEX(韻母對照資料表[白話字], MATCH(TRUE, EXACT($J40, 韻母對照資料表[台語音標]),0)), "")</f>
        <v>eng</v>
      </c>
      <c r="L40" s="74" t="str" cm="1">
        <f t="array" ref="L40">IFERROR( INDEX(韻母對照資料表[閩拼方案], MATCH(TRUE, EXACT($J40, 韻母對照資料表[台語音標]),0)), "")</f>
        <v>ing</v>
      </c>
      <c r="M40" s="94" t="s">
        <v>1396</v>
      </c>
      <c r="N40" s="75"/>
      <c r="P40" s="234">
        <v>4</v>
      </c>
      <c r="Q40" s="99" t="s">
        <v>1293</v>
      </c>
      <c r="R40" s="98" t="s">
        <v>1605</v>
      </c>
      <c r="S40" s="96" t="s">
        <v>559</v>
      </c>
      <c r="T40" s="96"/>
      <c r="W40" s="70"/>
      <c r="X40" s="70"/>
      <c r="Y40" s="70"/>
      <c r="Z40" s="70"/>
    </row>
    <row r="41" spans="2:26" ht="57.75">
      <c r="B41" s="282" cm="1">
        <f t="array" ref="B41" xml:space="preserve"> ROW() - ROW($2:$2)</f>
        <v>39</v>
      </c>
      <c r="C41" s="226" t="s">
        <v>1785</v>
      </c>
      <c r="D41" s="74" t="str" cm="1">
        <f t="array" ref="D41" xml:space="preserve"> IFERROR( INDEX(韻母對照資料表[台羅拼音], MATCH(TRUE, EXACT($J41, 韻母對照資料表[台語音標]),0)), "")</f>
        <v>ik</v>
      </c>
      <c r="E41" s="278" t="str" cm="1">
        <f t="array" ref="E41" xml:space="preserve"> IFERROR( INDEX(韻母對照資料表[注音二式], MATCH(TRUE, EXACT($J41, 韻母對照資料表[台語音標]),0)), "")</f>
        <v>ik</v>
      </c>
      <c r="F41" s="227" t="s">
        <v>2299</v>
      </c>
      <c r="G41" s="209" t="str" cm="1">
        <f t="array" ref="G41">IFERROR( INDEX(韻母對照資料表[十五音], MATCH(TRUE, EXACT($J41, 韻母對照資料表[台語音標]),0)), "")</f>
        <v>經</v>
      </c>
      <c r="H41" s="220" t="str" cm="1">
        <f t="array" ref="H41" xml:space="preserve"> IFERROR( INDEX(韻母對照資料表[漢字例], MATCH(TRUE, EXACT($J41, 韻母對照資料表[台語音標]),0)), "")</f>
        <v>益</v>
      </c>
      <c r="I41" s="220"/>
      <c r="J41" s="226" t="s">
        <v>1713</v>
      </c>
      <c r="K41" s="74" t="str" cm="1">
        <f t="array" ref="K41" xml:space="preserve"> IFERROR( INDEX(韻母對照資料表[白話字], MATCH(TRUE, EXACT($J41, 韻母對照資料表[台語音標]),0)), "")</f>
        <v>ek</v>
      </c>
      <c r="L41" s="74" t="str" cm="1">
        <f t="array" ref="L41">IFERROR( INDEX(韻母對照資料表[閩拼方案], MATCH(TRUE, EXACT($J41, 韻母對照資料表[台語音標]),0)), "")</f>
        <v>ik</v>
      </c>
      <c r="M41" s="94" t="s">
        <v>1396</v>
      </c>
      <c r="N41" s="75" t="s">
        <v>1447</v>
      </c>
      <c r="P41" s="234">
        <v>5</v>
      </c>
      <c r="Q41" s="99" t="s">
        <v>1617</v>
      </c>
      <c r="R41" s="98" t="s">
        <v>1616</v>
      </c>
      <c r="S41" s="123" t="s">
        <v>875</v>
      </c>
      <c r="T41" s="123" t="s">
        <v>887</v>
      </c>
      <c r="W41" s="70"/>
      <c r="X41" s="70"/>
      <c r="Y41" s="70"/>
      <c r="Z41" s="70"/>
    </row>
    <row r="42" spans="2:26" ht="57.75">
      <c r="B42" s="282" cm="1">
        <f t="array" ref="B42" xml:space="preserve"> ROW() - ROW($2:$2)</f>
        <v>40</v>
      </c>
      <c r="C42" s="231" t="s">
        <v>1714</v>
      </c>
      <c r="D42" s="276" t="str" cm="1">
        <f t="array" ref="D42" xml:space="preserve"> IFERROR( INDEX(韻母對照資料表[台羅拼音], MATCH(TRUE, EXACT($J42, 韻母對照資料表[台語音標]),0)), "")</f>
        <v>ing</v>
      </c>
      <c r="E42" s="228" t="str" cm="1">
        <f t="array" ref="E42" xml:space="preserve"> IFERROR( INDEX(韻母對照資料表[注音二式], MATCH(TRUE, EXACT($J42, 韻母對照資料表[台語音標]),0)), "")</f>
        <v>ing</v>
      </c>
      <c r="F42" s="227" t="s">
        <v>336</v>
      </c>
      <c r="G42" s="209" t="str" cm="1">
        <f t="array" ref="G42">IFERROR( INDEX(韻母對照資料表[十五音], MATCH(TRUE, EXACT($J42, 韻母對照資料表[台語音標]),0)), "")</f>
        <v>經</v>
      </c>
      <c r="H42" s="132" t="str" cm="1">
        <f t="array" ref="H42" xml:space="preserve"> IFERROR( INDEX(韻母對照資料表[漢字例], MATCH(TRUE, EXACT($J42, 韻母對照資料表[台語音標]),0)), "")</f>
        <v>情</v>
      </c>
      <c r="I42" s="132"/>
      <c r="J42" s="231" t="s">
        <v>1145</v>
      </c>
      <c r="K42" s="276" t="str" cm="1">
        <f t="array" ref="K42" xml:space="preserve"> IFERROR( INDEX(韻母對照資料表[白話字], MATCH(TRUE, EXACT($J42, 韻母對照資料表[台語音標]),0)), "")</f>
        <v>eng</v>
      </c>
      <c r="L42" s="276" t="str" cm="1">
        <f t="array" ref="L42">IFERROR( INDEX(韻母對照資料表[閩拼方案], MATCH(TRUE, EXACT($J42, 韻母對照資料表[台語音標]),0)), "")</f>
        <v>ing</v>
      </c>
      <c r="M42" s="94" t="s">
        <v>1396</v>
      </c>
      <c r="N42" s="75"/>
      <c r="Q42" s="70"/>
      <c r="R42" s="70"/>
      <c r="S42" s="70"/>
      <c r="T42" s="70"/>
      <c r="W42" s="70"/>
      <c r="X42" s="70"/>
      <c r="Y42" s="70"/>
      <c r="Z42" s="70"/>
    </row>
    <row r="43" spans="2:26" ht="58.5" thickBot="1">
      <c r="B43" s="284" cm="1">
        <f t="array" ref="B43" xml:space="preserve"> ROW() - ROW($2:$2)</f>
        <v>41</v>
      </c>
      <c r="C43" s="232" t="s">
        <v>1715</v>
      </c>
      <c r="D43" s="275" t="str" cm="1">
        <f t="array" ref="D43" xml:space="preserve"> IFERROR( INDEX(韻母對照資料表[台羅拼音], MATCH(TRUE, EXACT($J43, 韻母對照資料表[台語音標]),0)), "")</f>
        <v/>
      </c>
      <c r="E43" s="208" t="s">
        <v>1845</v>
      </c>
      <c r="F43" s="218" t="s">
        <v>2300</v>
      </c>
      <c r="G43" s="211" t="s">
        <v>1143</v>
      </c>
      <c r="H43" s="136" t="s">
        <v>2302</v>
      </c>
      <c r="I43" s="136"/>
      <c r="J43" s="232" t="s">
        <v>2301</v>
      </c>
      <c r="K43" s="275" t="str" cm="1">
        <f t="array" ref="K43" xml:space="preserve"> IFERROR( INDEX(韻母對照資料表[白話字], MATCH(TRUE, EXACT($J43, 韻母對照資料表[台語音標]),0)), "")</f>
        <v/>
      </c>
      <c r="L43" s="275" t="str" cm="1">
        <f t="array" ref="L43">IFERROR( INDEX(韻母對照資料表[閩拼方案], MATCH(TRUE, EXACT($J43, 韻母對照資料表[台語音標]),0)), "")</f>
        <v/>
      </c>
      <c r="M43" s="116" t="s">
        <v>1396</v>
      </c>
      <c r="N43" s="77"/>
      <c r="P43" s="87" t="s">
        <v>1019</v>
      </c>
      <c r="Q43" s="90" t="s">
        <v>1553</v>
      </c>
      <c r="R43" s="89" t="s">
        <v>1552</v>
      </c>
      <c r="S43" s="88" t="s">
        <v>1554</v>
      </c>
      <c r="T43" s="88" t="s">
        <v>1555</v>
      </c>
      <c r="W43" s="70"/>
      <c r="X43" s="70"/>
      <c r="Y43" s="70"/>
      <c r="Z43" s="70"/>
    </row>
    <row r="44" spans="2:26" ht="58.5" thickTop="1">
      <c r="B44" s="282" cm="1">
        <f t="array" ref="B44" xml:space="preserve"> ROW() - ROW($2:$2)</f>
        <v>42</v>
      </c>
      <c r="C44" s="212" t="s">
        <v>1710</v>
      </c>
      <c r="D44" s="74" t="str" cm="1">
        <f t="array" ref="D44" xml:space="preserve"> IFERROR( INDEX(韻母對照資料表[台羅拼音], MATCH(TRUE, EXACT($J44, 韻母對照資料表[台語音標]),0)), "")</f>
        <v>ia</v>
      </c>
      <c r="E44" s="95" t="str" cm="1">
        <f t="array" ref="E44" xml:space="preserve"> IFERROR( INDEX(韻母對照資料表[注音二式], MATCH(TRUE, EXACT($J44, 韻母對照資料表[台語音標]),0)), "")</f>
        <v>ia</v>
      </c>
      <c r="F44" s="216" t="s">
        <v>1708</v>
      </c>
      <c r="G44" s="209" t="str" cm="1">
        <f t="array" ref="G44">IFERROR( INDEX(韻母對照資料表[十五音], MATCH(TRUE, EXACT($J44, 韻母對照資料表[台語音標]),0)), "")</f>
        <v>迦</v>
      </c>
      <c r="H44" s="132" t="str" cm="1">
        <f t="array" ref="H44" xml:space="preserve"> IFERROR( INDEX(韻母對照資料表[漢字例], MATCH(TRUE, EXACT($J44, 韻母對照資料表[台語音標]),0)), "")</f>
        <v>名</v>
      </c>
      <c r="I44" s="132"/>
      <c r="J44" s="212" t="s">
        <v>1710</v>
      </c>
      <c r="K44" s="74" t="str" cm="1">
        <f t="array" ref="K44" xml:space="preserve"> IFERROR( INDEX(韻母對照資料表[白話字], MATCH(TRUE, EXACT($J44, 韻母對照資料表[台語音標]),0)), "")</f>
        <v>ia</v>
      </c>
      <c r="L44" s="74" t="str" cm="1">
        <f t="array" ref="L44">IFERROR( INDEX(韻母對照資料表[閩拼方案], MATCH(TRUE, EXACT($J44, 韻母對照資料表[台語音標]),0)), "")</f>
        <v>ia</v>
      </c>
      <c r="M44" s="94" t="s">
        <v>1396</v>
      </c>
      <c r="N44" s="75"/>
      <c r="P44" s="234">
        <v>1</v>
      </c>
      <c r="Q44" s="99" t="s">
        <v>306</v>
      </c>
      <c r="R44" s="98" t="s">
        <v>1621</v>
      </c>
      <c r="S44" s="96" t="s">
        <v>1620</v>
      </c>
      <c r="T44" s="96" t="str">
        <f xml:space="preserve"> LEFT(S44, IF(LEN(S44)=1, 1, LEN(S44)-1)) &amp; "ㆴ"</f>
        <v>ㄧㆴ</v>
      </c>
      <c r="W44" s="70"/>
      <c r="X44" s="70"/>
      <c r="Y44" s="70"/>
      <c r="Z44" s="70"/>
    </row>
    <row r="45" spans="2:26" ht="57.75">
      <c r="B45" s="282" cm="1">
        <f t="array" ref="B45" xml:space="preserve"> ROW() - ROW($2:$2)</f>
        <v>43</v>
      </c>
      <c r="C45" s="212" t="s">
        <v>2247</v>
      </c>
      <c r="D45" s="74" t="str" cm="1">
        <f t="array" ref="D45" xml:space="preserve"> IFERROR( INDEX(韻母對照資料表[台羅拼音], MATCH(TRUE, EXACT($J45, 韻母對照資料表[台語音標]),0)), "")</f>
        <v>iannh</v>
      </c>
      <c r="E45" s="95" t="str" cm="1">
        <f t="array" ref="E45" xml:space="preserve"> IFERROR( INDEX(韻母對照資料表[注音二式], MATCH(TRUE, EXACT($J45, 韻母對照資料表[台語音標]),0)), "")</f>
        <v>iann</v>
      </c>
      <c r="F45" s="216" t="s">
        <v>1730</v>
      </c>
      <c r="G45" s="209" t="str" cm="1">
        <f t="array" ref="G45">IFERROR( INDEX(韻母對照資料表[十五音], MATCH(TRUE, EXACT($J45, 韻母對照資料表[台語音標]),0)), "")</f>
        <v>驚</v>
      </c>
      <c r="H45" s="132" t="str" cm="1">
        <f t="array" ref="H45" xml:space="preserve"> IFERROR( INDEX(韻母對照資料表[漢字例], MATCH(TRUE, EXACT($J45, 韻母對照資料表[台語音標]),0)), "")</f>
        <v>且</v>
      </c>
      <c r="I45" s="132"/>
      <c r="J45" s="212" t="s">
        <v>1733</v>
      </c>
      <c r="K45" s="74" t="str" cm="1">
        <f t="array" ref="K45" xml:space="preserve"> IFERROR( INDEX(韻母對照資料表[白話字], MATCH(TRUE, EXACT($J45, 韻母對照資料表[台語音標]),0)), "")</f>
        <v>iaⁿ</v>
      </c>
      <c r="L45" s="74" t="str" cm="1">
        <f t="array" ref="L45">IFERROR( INDEX(韻母對照資料表[閩拼方案], MATCH(TRUE, EXACT($J45, 韻母對照資料表[台語音標]),0)), "")</f>
        <v>nia</v>
      </c>
      <c r="M45" s="94" t="s">
        <v>1396</v>
      </c>
      <c r="N45" s="75"/>
      <c r="P45" s="234">
        <f>P44+1</f>
        <v>2</v>
      </c>
      <c r="Q45" s="99" t="s">
        <v>67</v>
      </c>
      <c r="R45" s="98" t="s">
        <v>1573</v>
      </c>
      <c r="S45" s="96" t="s">
        <v>1624</v>
      </c>
      <c r="T45" s="96" t="str">
        <f xml:space="preserve"> LEFT(S45, IF(LEN(S45)=1, 1, LEN(S45)-1)) &amp; "ㆴ"</f>
        <v>ㆰㆴ</v>
      </c>
      <c r="W45" s="70"/>
      <c r="X45" s="70"/>
      <c r="Y45" s="70"/>
      <c r="Z45" s="70"/>
    </row>
    <row r="46" spans="2:26" ht="57.75">
      <c r="B46" s="282" cm="1">
        <f t="array" ref="B46" xml:space="preserve"> ROW() - ROW($2:$2)</f>
        <v>44</v>
      </c>
      <c r="C46" s="212" t="s">
        <v>1790</v>
      </c>
      <c r="D46" s="74" t="str" cm="1">
        <f t="array" ref="D46" xml:space="preserve"> IFERROR( INDEX(韻母對照資料表[台羅拼音], MATCH(TRUE, EXACT($J46, 韻母對照資料表[台語音標]),0)), "")</f>
        <v>iam</v>
      </c>
      <c r="E46" s="95" t="str" cm="1">
        <f t="array" ref="E46" xml:space="preserve"> IFERROR( INDEX(韻母對照資料表[注音二式], MATCH(TRUE, EXACT($J46, 韻母對照資料表[台語音標]),0)), "")</f>
        <v>iam</v>
      </c>
      <c r="F46" s="216" t="s">
        <v>2421</v>
      </c>
      <c r="G46" s="209" t="str" cm="1">
        <f t="array" ref="G46">IFERROR( INDEX(韻母對照資料表[十五音], MATCH(TRUE, EXACT($J46, 韻母對照資料表[台語音標]),0)), "")</f>
        <v>兼</v>
      </c>
      <c r="H46" s="132" t="str" cm="1">
        <f t="array" ref="H46" xml:space="preserve"> IFERROR( INDEX(韻母對照資料表[漢字例], MATCH(TRUE, EXACT($J46, 韻母對照資料表[台語音標]),0)), "")</f>
        <v>尖</v>
      </c>
      <c r="I46" s="132"/>
      <c r="J46" s="212" t="s">
        <v>1790</v>
      </c>
      <c r="K46" s="74" t="str" cm="1">
        <f t="array" ref="K46" xml:space="preserve"> IFERROR( INDEX(韻母對照資料表[白話字], MATCH(TRUE, EXACT($J46, 韻母對照資料表[台語音標]),0)), "")</f>
        <v>iam</v>
      </c>
      <c r="L46" s="74" t="str" cm="1">
        <f t="array" ref="L46">IFERROR( INDEX(韻母對照資料表[閩拼方案], MATCH(TRUE, EXACT($J46, 韻母對照資料表[台語音標]),0)), "")</f>
        <v>iam</v>
      </c>
      <c r="M46" s="94"/>
      <c r="N46" s="75"/>
      <c r="Q46" s="70"/>
      <c r="R46" s="70"/>
      <c r="S46" s="70"/>
      <c r="T46" s="70"/>
      <c r="W46" s="70"/>
      <c r="X46" s="70"/>
      <c r="Y46" s="70"/>
      <c r="Z46" s="70"/>
    </row>
    <row r="47" spans="2:26" ht="57.75">
      <c r="B47" s="282" cm="1">
        <f t="array" ref="B47" xml:space="preserve"> ROW() - ROW($2:$2)</f>
        <v>45</v>
      </c>
      <c r="C47" s="212" t="s">
        <v>1700</v>
      </c>
      <c r="D47" s="74" t="str" cm="1">
        <f t="array" ref="D47" xml:space="preserve"> IFERROR( INDEX(韻母對照資料表[台羅拼音], MATCH(TRUE, EXACT($J47, 韻母對照資料表[台語音標]),0)), "")</f>
        <v>ian</v>
      </c>
      <c r="E47" s="95" t="str" cm="1">
        <f t="array" ref="E47" xml:space="preserve"> IFERROR( INDEX(韻母對照資料表[注音二式], MATCH(TRUE, EXACT($J47, 韻母對照資料表[台語音標]),0)), "")</f>
        <v>ian</v>
      </c>
      <c r="F47" s="216" t="s">
        <v>1702</v>
      </c>
      <c r="G47" s="209" t="str" cm="1">
        <f t="array" ref="G47">IFERROR( INDEX(韻母對照資料表[十五音], MATCH(TRUE, EXACT($J47, 韻母對照資料表[台語音標]),0)), "")</f>
        <v>堅</v>
      </c>
      <c r="H47" s="139" t="str" cm="1">
        <f t="array" ref="H47" xml:space="preserve"> IFERROR( INDEX(韻母對照資料表[漢字例], MATCH(TRUE, EXACT($J47, 韻母對照資料表[台語音標]),0)), "")</f>
        <v>掀</v>
      </c>
      <c r="I47" s="139"/>
      <c r="J47" s="212" t="s">
        <v>2293</v>
      </c>
      <c r="K47" s="74" t="str" cm="1">
        <f t="array" ref="K47" xml:space="preserve"> IFERROR( INDEX(韻母對照資料表[白話字], MATCH(TRUE, EXACT($J47, 韻母對照資料表[台語音標]),0)), "")</f>
        <v>ian</v>
      </c>
      <c r="L47" s="74" t="str" cm="1">
        <f t="array" ref="L47">IFERROR( INDEX(韻母對照資料表[閩拼方案], MATCH(TRUE, EXACT($J47, 韻母對照資料表[台語音標]),0)), "")</f>
        <v>ian</v>
      </c>
      <c r="M47" s="94" t="s">
        <v>1396</v>
      </c>
      <c r="N47" s="75"/>
      <c r="P47" s="81" t="s">
        <v>1634</v>
      </c>
      <c r="W47" s="70"/>
      <c r="X47" s="70"/>
      <c r="Y47" s="70"/>
      <c r="Z47" s="70"/>
    </row>
    <row r="48" spans="2:26" ht="57.75">
      <c r="B48" s="282" cm="1">
        <f t="array" ref="B48" xml:space="preserve"> ROW() - ROW($2:$2)</f>
        <v>46</v>
      </c>
      <c r="C48" s="212" t="s">
        <v>1701</v>
      </c>
      <c r="D48" s="80" t="str" cm="1">
        <f t="array" ref="D48" xml:space="preserve"> IFERROR( INDEX(韻母對照資料表[台羅拼音], MATCH(TRUE, EXACT($J48, 韻母對照資料表[台語音標]),0)), "")</f>
        <v>iat</v>
      </c>
      <c r="E48" s="95" t="str" cm="1">
        <f t="array" ref="E48" xml:space="preserve"> IFERROR( INDEX(韻母對照資料表[注音二式], MATCH(TRUE, EXACT($J48, 韻母對照資料表[台語音標]),0)), "")</f>
        <v>iat</v>
      </c>
      <c r="F48" s="216" t="s">
        <v>1703</v>
      </c>
      <c r="G48" s="209" t="str" cm="1">
        <f t="array" ref="G48">IFERROR( INDEX(韻母對照資料表[十五音], MATCH(TRUE, EXACT($J48, 韻母對照資料表[台語音標]),0)), "")</f>
        <v>堅</v>
      </c>
      <c r="H48" s="139" t="str" cm="1">
        <f t="array" ref="H48" xml:space="preserve"> IFERROR( INDEX(韻母對照資料表[漢字例], MATCH(TRUE, EXACT($J48, 韻母對照資料表[台語音標]),0)), "")</f>
        <v>別</v>
      </c>
      <c r="I48" s="139"/>
      <c r="J48" s="212" t="s">
        <v>2288</v>
      </c>
      <c r="K48" s="80" t="str" cm="1">
        <f t="array" ref="K48" xml:space="preserve"> IFERROR( INDEX(韻母對照資料表[白話字], MATCH(TRUE, EXACT($J48, 韻母對照資料表[台語音標]),0)), "")</f>
        <v>iat</v>
      </c>
      <c r="L48" s="80" t="str" cm="1">
        <f t="array" ref="L48">IFERROR( INDEX(韻母對照資料表[閩拼方案], MATCH(TRUE, EXACT($J48, 韻母對照資料表[台語音標]),0)), "")</f>
        <v>iat</v>
      </c>
      <c r="M48" s="94" t="s">
        <v>1396</v>
      </c>
      <c r="N48" s="75"/>
      <c r="P48" s="234">
        <v>1</v>
      </c>
      <c r="Q48" s="99" t="s">
        <v>1579</v>
      </c>
      <c r="R48" s="98" t="s">
        <v>8</v>
      </c>
      <c r="S48" s="96" t="s">
        <v>1622</v>
      </c>
      <c r="T48" s="96" t="str">
        <f t="shared" ref="T48:T53" si="2" xml:space="preserve"> LEFT(S48, IF(LEN(S48)=1, 1, LEN(S48)-1)) &amp; "ㆵ"</f>
        <v>ㄣㆵ</v>
      </c>
      <c r="W48" s="70"/>
      <c r="X48" s="70"/>
      <c r="Y48" s="70"/>
      <c r="Z48" s="70"/>
    </row>
    <row r="49" spans="2:26" ht="57.75">
      <c r="B49" s="284" cm="1">
        <f t="array" ref="B49" xml:space="preserve"> ROW() - ROW($2:$2)</f>
        <v>47</v>
      </c>
      <c r="C49" s="214" t="s">
        <v>1791</v>
      </c>
      <c r="D49" s="76" t="str" cm="1">
        <f t="array" ref="D49" xml:space="preserve"> IFERROR( INDEX(韻母對照資料表[台羅拼音], MATCH(TRUE, EXACT($J49, 韻母對照資料表[台語音標]),0)), "")</f>
        <v>iang</v>
      </c>
      <c r="E49" s="117" t="str" cm="1">
        <f t="array" ref="E49" xml:space="preserve"> IFERROR( INDEX(韻母對照資料表[注音二式], MATCH(TRUE, EXACT($J49, 韻母對照資料表[台語音標]),0)), "")</f>
        <v>iang</v>
      </c>
      <c r="F49" s="218" t="s">
        <v>2422</v>
      </c>
      <c r="G49" s="211" t="str" cm="1">
        <f t="array" ref="G49">IFERROR( INDEX(韻母對照資料表[十五音], MATCH(TRUE, EXACT($J49, 韻母對照資料表[台語音標]),0)), "")</f>
        <v>姜</v>
      </c>
      <c r="H49" s="260" t="str" cm="1">
        <f t="array" ref="H49" xml:space="preserve"> IFERROR( INDEX(韻母對照資料表[漢字例], MATCH(TRUE, EXACT($J49, 韻母對照資料表[台語音標]),0)), "")</f>
        <v>將</v>
      </c>
      <c r="I49" s="140"/>
      <c r="J49" s="214" t="s">
        <v>1791</v>
      </c>
      <c r="K49" s="76" t="str" cm="1">
        <f t="array" ref="K49" xml:space="preserve"> IFERROR( INDEX(韻母對照資料表[白話字], MATCH(TRUE, EXACT($J49, 韻母對照資料表[台語音標]),0)), "")</f>
        <v>iang</v>
      </c>
      <c r="L49" s="76" t="str" cm="1">
        <f t="array" ref="L49">IFERROR( INDEX(韻母對照資料表[閩拼方案], MATCH(TRUE, EXACT($J49, 韻母對照資料表[台語音標]),0)), "")</f>
        <v>iang</v>
      </c>
      <c r="M49" s="116"/>
      <c r="N49" s="77"/>
      <c r="P49" s="234">
        <v>2</v>
      </c>
      <c r="Q49" s="99" t="s">
        <v>1635</v>
      </c>
      <c r="R49" s="98" t="s">
        <v>319</v>
      </c>
      <c r="S49" s="96" t="s">
        <v>320</v>
      </c>
      <c r="T49" s="96" t="str">
        <f t="shared" si="2"/>
        <v>ㄧㆵ</v>
      </c>
      <c r="W49" s="70"/>
      <c r="X49" s="70"/>
      <c r="Y49" s="70"/>
      <c r="Z49" s="70"/>
    </row>
    <row r="50" spans="2:26" ht="57.75">
      <c r="B50" s="282" cm="1">
        <f t="array" ref="B50" xml:space="preserve"> ROW() - ROW($2:$2)</f>
        <v>48</v>
      </c>
      <c r="C50" s="212" t="s">
        <v>1728</v>
      </c>
      <c r="D50" s="74" t="str" cm="1">
        <f t="array" ref="D50" xml:space="preserve"> IFERROR( INDEX(韻母對照資料表[台羅拼音], MATCH(TRUE, EXACT($J50, 韻母對照資料表[台語音標]),0)), "")</f>
        <v>iau</v>
      </c>
      <c r="E50" s="95" t="str" cm="1">
        <f t="array" ref="E50" xml:space="preserve"> IFERROR( INDEX(韻母對照資料表[注音二式], MATCH(TRUE, EXACT($J50, 韻母對照資料表[台語音標]),0)), "")</f>
        <v>iau</v>
      </c>
      <c r="F50" s="216" t="s">
        <v>1726</v>
      </c>
      <c r="G50" s="209" t="str" cm="1">
        <f t="array" ref="G50">IFERROR( INDEX(韻母對照資料表[十五音], MATCH(TRUE, EXACT($J50, 韻母對照資料表[台語音標]),0)), "")</f>
        <v>嬌</v>
      </c>
      <c r="H50" s="132" t="str" cm="1">
        <f t="array" ref="H50" xml:space="preserve"> IFERROR( INDEX(韻母對照資料表[漢字例], MATCH(TRUE, EXACT($J50, 韻母對照資料表[台語音標]),0)), "")</f>
        <v>遙</v>
      </c>
      <c r="I50" s="132"/>
      <c r="J50" s="212" t="s">
        <v>1728</v>
      </c>
      <c r="K50" s="74" t="str" cm="1">
        <f t="array" ref="K50" xml:space="preserve"> IFERROR( INDEX(韻母對照資料表[白話字], MATCH(TRUE, EXACT($J50, 韻母對照資料表[台語音標]),0)), "")</f>
        <v>iau</v>
      </c>
      <c r="L50" s="74" t="str" cm="1">
        <f t="array" ref="L50">IFERROR( INDEX(韻母對照資料表[閩拼方案], MATCH(TRUE, EXACT($J50, 韻母對照資料表[台語音標]),0)), "")</f>
        <v>iao</v>
      </c>
      <c r="M50" s="94" t="s">
        <v>1396</v>
      </c>
      <c r="N50" s="75"/>
      <c r="P50" s="234">
        <v>3</v>
      </c>
      <c r="Q50" s="99" t="s">
        <v>1636</v>
      </c>
      <c r="R50" s="106" t="s">
        <v>760</v>
      </c>
      <c r="S50" s="96" t="s">
        <v>761</v>
      </c>
      <c r="T50" s="96" t="str">
        <f t="shared" si="2"/>
        <v>ㄨㆵ</v>
      </c>
      <c r="W50" s="70"/>
      <c r="X50" s="70"/>
      <c r="Y50" s="70"/>
      <c r="Z50" s="70"/>
    </row>
    <row r="51" spans="2:26" ht="57.75">
      <c r="B51" s="284" cm="1">
        <f t="array" ref="B51" xml:space="preserve"> ROW() - ROW($2:$2)</f>
        <v>49</v>
      </c>
      <c r="C51" s="214" t="s">
        <v>2298</v>
      </c>
      <c r="D51" s="76" t="str" cm="1">
        <f t="array" ref="D51" xml:space="preserve"> IFERROR( INDEX(韻母對照資料表[台羅拼音], MATCH(TRUE, EXACT($J51, 韻母對照資料表[台語音標]),0)), "")</f>
        <v>iaunn</v>
      </c>
      <c r="E51" s="117" t="str" cm="1">
        <f t="array" ref="E51" xml:space="preserve"> IFERROR( INDEX(韻母對照資料表[注音二式], MATCH(TRUE, EXACT($J51, 韻母對照資料表[台語音標]),0)), "")</f>
        <v>iaunn</v>
      </c>
      <c r="F51" s="218" t="s">
        <v>1739</v>
      </c>
      <c r="G51" s="211" t="str" cm="1">
        <f t="array" ref="G51">IFERROR( INDEX(韻母對照資料表[十五音], MATCH(TRUE, EXACT($J51, 韻母對照資料表[台語音標]),0)), "")</f>
        <v>嘄</v>
      </c>
      <c r="H51" s="230" t="str" cm="1">
        <f t="array" ref="H51" xml:space="preserve"> IFERROR( INDEX(韻母對照資料表[漢字例], MATCH(TRUE, EXACT($J51, 韻母對照資料表[台語音標]),0)), "")</f>
        <v>鳥</v>
      </c>
      <c r="I51" s="230"/>
      <c r="J51" s="214" t="s">
        <v>1607</v>
      </c>
      <c r="K51" s="76" t="str" cm="1">
        <f t="array" ref="K51" xml:space="preserve"> IFERROR( INDEX(韻母對照資料表[白話字], MATCH(TRUE, EXACT($J51, 韻母對照資料表[台語音標]),0)), "")</f>
        <v>iauⁿ</v>
      </c>
      <c r="L51" s="76" t="str" cm="1">
        <f t="array" ref="L51">IFERROR( INDEX(韻母對照資料表[閩拼方案], MATCH(TRUE, EXACT($J51, 韻母對照資料表[台語音標]),0)), "")</f>
        <v>niao</v>
      </c>
      <c r="M51" s="116" t="s">
        <v>1396</v>
      </c>
      <c r="N51" s="77"/>
      <c r="P51" s="234">
        <v>4</v>
      </c>
      <c r="Q51" s="99" t="s">
        <v>1574</v>
      </c>
      <c r="R51" s="98" t="s">
        <v>79</v>
      </c>
      <c r="S51" s="96" t="s">
        <v>80</v>
      </c>
      <c r="T51" s="96" t="str">
        <f t="shared" si="2"/>
        <v>ㄢㆵ</v>
      </c>
      <c r="W51" s="70"/>
      <c r="X51" s="70"/>
      <c r="Y51" s="70"/>
      <c r="Z51" s="70"/>
    </row>
    <row r="52" spans="2:26" ht="57.75">
      <c r="B52" s="285" cm="1">
        <f t="array" ref="B52" xml:space="preserve"> ROW() - ROW($2:$2)</f>
        <v>50</v>
      </c>
      <c r="C52" s="254" t="s">
        <v>1743</v>
      </c>
      <c r="D52" s="118" t="str" cm="1">
        <f t="array" ref="D52" xml:space="preserve"> IFERROR( INDEX(韻母對照資料表[台羅拼音], MATCH(TRUE, EXACT($J52, 韻母對照資料表[台語音標]),0)), "")</f>
        <v>io</v>
      </c>
      <c r="E52" s="120" t="str" cm="1">
        <f t="array" ref="E52" xml:space="preserve"> IFERROR( INDEX(韻母對照資料表[注音二式], MATCH(TRUE, EXACT($J52, 韻母對照資料表[台語音標]),0)), "")</f>
        <v>ior</v>
      </c>
      <c r="F52" s="255" t="s">
        <v>1720</v>
      </c>
      <c r="G52" s="219" t="str" cm="1">
        <f t="array" ref="G52">IFERROR( INDEX(韻母對照資料表[十五音], MATCH(TRUE, EXACT($J52, 韻母對照資料表[台語音標]),0)), "")</f>
        <v>茄</v>
      </c>
      <c r="H52" s="138" t="str" cm="1">
        <f t="array" ref="H52" xml:space="preserve"> IFERROR( INDEX(韻母對照資料表[漢字例], MATCH(TRUE, EXACT($J52, 韻母對照資料表[台語音標]),0)), "")</f>
        <v>少</v>
      </c>
      <c r="I52" s="138"/>
      <c r="J52" s="254" t="s">
        <v>1716</v>
      </c>
      <c r="K52" s="118" t="str" cm="1">
        <f t="array" ref="K52" xml:space="preserve"> IFERROR( INDEX(韻母對照資料表[白話字], MATCH(TRUE, EXACT($J52, 韻母對照資料表[台語音標]),0)), "")</f>
        <v>io</v>
      </c>
      <c r="L52" s="118" t="str" cm="1">
        <f t="array" ref="L52">IFERROR( INDEX(韻母對照資料表[閩拼方案], MATCH(TRUE, EXACT($J52, 韻母對照資料表[台語音標]),0)), "")</f>
        <v>io</v>
      </c>
      <c r="M52" s="119" t="s">
        <v>1396</v>
      </c>
      <c r="N52" s="78"/>
      <c r="P52" s="234">
        <v>5</v>
      </c>
      <c r="Q52" s="99" t="s">
        <v>1637</v>
      </c>
      <c r="R52" s="98" t="s">
        <v>1112</v>
      </c>
      <c r="S52" s="96" t="s">
        <v>451</v>
      </c>
      <c r="T52" s="96" t="str">
        <f t="shared" si="2"/>
        <v>ㄧㆵ</v>
      </c>
      <c r="W52" s="70"/>
      <c r="X52" s="70"/>
      <c r="Y52" s="70"/>
      <c r="Z52" s="70"/>
    </row>
    <row r="53" spans="2:26" ht="57.75">
      <c r="B53" s="282" cm="1">
        <f t="array" ref="B53" xml:space="preserve"> ROW() - ROW($2:$2)</f>
        <v>51</v>
      </c>
      <c r="C53" s="212" t="s">
        <v>2425</v>
      </c>
      <c r="D53" s="74" t="s">
        <v>1798</v>
      </c>
      <c r="E53" s="95" t="s">
        <v>1159</v>
      </c>
      <c r="F53" s="216" t="s">
        <v>2426</v>
      </c>
      <c r="G53" s="268" t="str" cm="1">
        <f t="array" ref="G53">IFERROR( INDEX(韻母對照資料表[十五音], MATCH(TRUE, EXACT($J53, 韻母對照資料表[台語音標]),0)), "")</f>
        <v/>
      </c>
      <c r="H53" s="256" t="s">
        <v>2428</v>
      </c>
      <c r="I53" s="132"/>
      <c r="J53" s="212" t="s">
        <v>1798</v>
      </c>
      <c r="K53" s="74" t="s">
        <v>2432</v>
      </c>
      <c r="L53" s="74" t="s">
        <v>1159</v>
      </c>
      <c r="M53" s="94" t="s">
        <v>1531</v>
      </c>
      <c r="N53" s="75" t="s">
        <v>1522</v>
      </c>
      <c r="P53" s="234">
        <v>6</v>
      </c>
      <c r="Q53" s="99" t="s">
        <v>1638</v>
      </c>
      <c r="R53" s="98" t="s">
        <v>835</v>
      </c>
      <c r="S53" s="96" t="s">
        <v>836</v>
      </c>
      <c r="T53" s="96" t="str">
        <f t="shared" si="2"/>
        <v>ㄨㆵ</v>
      </c>
      <c r="W53" s="70"/>
      <c r="X53" s="70"/>
      <c r="Y53" s="70"/>
      <c r="Z53" s="70"/>
    </row>
    <row r="54" spans="2:26" ht="57.75">
      <c r="B54" s="282" cm="1">
        <f t="array" ref="B54" xml:space="preserve"> ROW() - ROW($2:$2)</f>
        <v>52</v>
      </c>
      <c r="C54" s="212" t="s">
        <v>2134</v>
      </c>
      <c r="D54" s="74" t="str" cm="1">
        <f t="array" ref="D54" xml:space="preserve"> IFERROR( INDEX(韻母對照資料表[台羅拼音], MATCH(TRUE, EXACT($J54, 韻母對照資料表[台語音標]),0)), "")</f>
        <v>ionn</v>
      </c>
      <c r="E54" s="95" t="str" cm="1">
        <f t="array" ref="E54" xml:space="preserve"> IFERROR( INDEX(韻母對照資料表[注音二式], MATCH(TRUE, EXACT($J54, 韻母對照資料表[台語音標]),0)), "")</f>
        <v>ioonn</v>
      </c>
      <c r="F54" s="216" t="s">
        <v>2427</v>
      </c>
      <c r="G54" s="209" t="str" cm="1">
        <f t="array" ref="G54">IFERROR( INDEX(韻母對照資料表[十五音], MATCH(TRUE, EXACT($J54, 韻母對照資料表[台語音標]),0)), "")</f>
        <v>薑</v>
      </c>
      <c r="H54" s="263" t="str" cm="1">
        <f t="array" ref="H54" xml:space="preserve"> IFERROR( INDEX(韻母對照資料表[漢字例], MATCH(TRUE, EXACT($J54, 韻母對照資料表[台語音標]),0)), "")</f>
        <v>腔</v>
      </c>
      <c r="I54" s="132"/>
      <c r="J54" s="212" t="s">
        <v>1859</v>
      </c>
      <c r="K54" s="74" t="str" cm="1">
        <f t="array" ref="K54" xml:space="preserve"> IFERROR( INDEX(韻母對照資料表[白話字], MATCH(TRUE, EXACT($J54, 韻母對照資料表[台語音標]),0)), "")</f>
        <v>ioⁿ</v>
      </c>
      <c r="L54" s="74" t="str" cm="1">
        <f t="array" ref="L54">IFERROR( INDEX(韻母對照資料表[閩拼方案], MATCH(TRUE, EXACT($J54, 韻母對照資料表[台語音標]),0)), "")</f>
        <v>nioo</v>
      </c>
      <c r="M54" s="94" t="s">
        <v>1532</v>
      </c>
      <c r="N54" s="75" t="s">
        <v>14</v>
      </c>
      <c r="Q54" s="70"/>
      <c r="R54" s="70"/>
      <c r="S54" s="70"/>
      <c r="T54" s="70"/>
      <c r="W54" s="70"/>
      <c r="X54" s="70"/>
      <c r="Y54" s="70"/>
      <c r="Z54" s="70"/>
    </row>
    <row r="55" spans="2:26" ht="57.75">
      <c r="B55" s="284" cm="1">
        <f t="array" ref="B55" xml:space="preserve"> ROW() - ROW($2:$2)</f>
        <v>53</v>
      </c>
      <c r="C55" s="214" t="s">
        <v>1718</v>
      </c>
      <c r="D55" s="76" t="str" cm="1">
        <f t="array" ref="D55" xml:space="preserve"> IFERROR( INDEX(韻母對照資料表[台羅拼音], MATCH(TRUE, EXACT($J55, 韻母對照資料表[台語音標]),0)), "")</f>
        <v>iong</v>
      </c>
      <c r="E55" s="117" t="str" cm="1">
        <f t="array" ref="E55" xml:space="preserve"> IFERROR( INDEX(韻母對照資料表[注音二式], MATCH(TRUE, EXACT($J55, 韻母對照資料表[台語音標]),0)), "")</f>
        <v>iong</v>
      </c>
      <c r="F55" s="218" t="s">
        <v>1719</v>
      </c>
      <c r="G55" s="211" t="str" cm="1">
        <f t="array" ref="G55">IFERROR( INDEX(韻母對照資料表[十五音], MATCH(TRUE, EXACT($J55, 韻母對照資料表[台語音標]),0)), "")</f>
        <v>恭</v>
      </c>
      <c r="H55" s="134" t="str" cm="1">
        <f t="array" ref="H55" xml:space="preserve"> IFERROR( INDEX(韻母對照資料表[漢字例], MATCH(TRUE, EXACT($J55, 韻母對照資料表[台語音標]),0)), "")</f>
        <v>中</v>
      </c>
      <c r="I55" s="134"/>
      <c r="J55" s="214" t="s">
        <v>1717</v>
      </c>
      <c r="K55" s="76" t="str" cm="1">
        <f t="array" ref="K55" xml:space="preserve"> IFERROR( INDEX(韻母對照資料表[白話字], MATCH(TRUE, EXACT($J55, 韻母對照資料表[台語音標]),0)), "")</f>
        <v>iong</v>
      </c>
      <c r="L55" s="76" t="str" cm="1">
        <f t="array" ref="L55">IFERROR( INDEX(韻母對照資料表[閩拼方案], MATCH(TRUE, EXACT($J55, 韻母對照資料表[台語音標]),0)), "")</f>
        <v>iong</v>
      </c>
      <c r="M55" s="116" t="s">
        <v>1396</v>
      </c>
      <c r="N55" s="77"/>
      <c r="Q55" s="70"/>
      <c r="R55" s="70"/>
      <c r="S55" s="70"/>
      <c r="T55" s="70"/>
      <c r="W55" s="70"/>
      <c r="X55" s="70"/>
      <c r="Y55" s="70"/>
      <c r="Z55" s="70"/>
    </row>
    <row r="56" spans="2:26" ht="57.75">
      <c r="B56" s="282" cm="1">
        <f t="array" ref="B56" xml:space="preserve"> ROW() - ROW($2:$2)</f>
        <v>54</v>
      </c>
      <c r="C56" s="212" t="s">
        <v>1711</v>
      </c>
      <c r="D56" s="74" t="str" cm="1">
        <f t="array" ref="D56" xml:space="preserve"> IFERROR( INDEX(韻母對照資料表[台羅拼音], MATCH(TRUE, EXACT($J56, 韻母對照資料表[台語音標]),0)), "")</f>
        <v>iu</v>
      </c>
      <c r="E56" s="95" t="str" cm="1">
        <f t="array" ref="E56" xml:space="preserve"> IFERROR( INDEX(韻母對照資料表[注音二式], MATCH(TRUE, EXACT($J56, 韻母對照資料表[台語音標]),0)), "")</f>
        <v>iu</v>
      </c>
      <c r="F56" s="216" t="s">
        <v>1709</v>
      </c>
      <c r="G56" s="209" t="str" cm="1">
        <f t="array" ref="G56">IFERROR( INDEX(韻母對照資料表[十五音], MATCH(TRUE, EXACT($J56, 韻母對照資料表[台語音標]),0)), "")</f>
        <v>丩</v>
      </c>
      <c r="H56" s="132" t="str" cm="1">
        <f t="array" ref="H56" xml:space="preserve"> IFERROR( INDEX(韻母對照資料表[漢字例], MATCH(TRUE, EXACT($J56, 韻母對照資料表[台語音標]),0)), "")</f>
        <v>油</v>
      </c>
      <c r="I56" s="132"/>
      <c r="J56" s="212" t="s">
        <v>1711</v>
      </c>
      <c r="K56" s="74" t="str" cm="1">
        <f t="array" ref="K56" xml:space="preserve"> IFERROR( INDEX(韻母對照資料表[白話字], MATCH(TRUE, EXACT($J56, 韻母對照資料表[台語音標]),0)), "")</f>
        <v>iu</v>
      </c>
      <c r="L56" s="74" t="str" cm="1">
        <f t="array" ref="L56">IFERROR( INDEX(韻母對照資料表[閩拼方案], MATCH(TRUE, EXACT($J56, 韻母對照資料表[台語音標]),0)), "")</f>
        <v>iu</v>
      </c>
      <c r="M56" s="94" t="s">
        <v>1396</v>
      </c>
      <c r="N56" s="75"/>
      <c r="P56" s="81" t="s">
        <v>1639</v>
      </c>
      <c r="W56" s="70"/>
      <c r="X56" s="70"/>
      <c r="Y56" s="70"/>
      <c r="Z56" s="70"/>
    </row>
    <row r="57" spans="2:26" ht="58.5" thickBot="1">
      <c r="B57" s="284" cm="1">
        <f t="array" ref="B57" xml:space="preserve"> ROW() - ROW($2:$2)</f>
        <v>55</v>
      </c>
      <c r="C57" s="214" t="s">
        <v>1750</v>
      </c>
      <c r="D57" s="76" t="str" cm="1">
        <f t="array" ref="D57" xml:space="preserve"> IFERROR( INDEX(韻母對照資料表[台羅拼音], MATCH(TRUE, EXACT($J57, 韻母對照資料表[台語音標]),0)), "")</f>
        <v>iunn</v>
      </c>
      <c r="E57" s="117" t="str" cm="1">
        <f t="array" ref="E57" xml:space="preserve"> IFERROR( INDEX(韻母對照資料表[注音二式], MATCH(TRUE, EXACT($J57, 韻母對照資料表[台語音標]),0)), "")</f>
        <v>iunn</v>
      </c>
      <c r="F57" s="218" t="s">
        <v>1731</v>
      </c>
      <c r="G57" s="211" t="str" cm="1">
        <f t="array" ref="G57">IFERROR( INDEX(韻母對照資料表[十五音], MATCH(TRUE, EXACT($J57, 韻母對照資料表[台語音標]),0)), "")</f>
        <v>牛</v>
      </c>
      <c r="H57" s="136" t="str" cm="1">
        <f t="array" ref="H57" xml:space="preserve"> IFERROR( INDEX(韻母對照資料表[漢字例], MATCH(TRUE, EXACT($J57, 韻母對照資料表[台語音標]),0)), "")</f>
        <v>香</v>
      </c>
      <c r="I57" s="136"/>
      <c r="J57" s="214" t="s">
        <v>1752</v>
      </c>
      <c r="K57" s="76" t="str" cm="1">
        <f t="array" ref="K57" xml:space="preserve"> IFERROR( INDEX(韻母對照資料表[白話字], MATCH(TRUE, EXACT($J57, 韻母對照資料表[台語音標]),0)), "")</f>
        <v>iuⁿ</v>
      </c>
      <c r="L57" s="76" t="str" cm="1">
        <f t="array" ref="L57">IFERROR( INDEX(韻母對照資料表[閩拼方案], MATCH(TRUE, EXACT($J57, 韻母對照資料表[台語音標]),0)), "")</f>
        <v>niu</v>
      </c>
      <c r="M57" s="116" t="s">
        <v>1396</v>
      </c>
      <c r="N57" s="77" t="s">
        <v>1455</v>
      </c>
      <c r="P57" s="87" t="s">
        <v>1019</v>
      </c>
      <c r="Q57" s="90" t="s">
        <v>1553</v>
      </c>
      <c r="R57" s="89" t="s">
        <v>1552</v>
      </c>
      <c r="S57" s="88" t="s">
        <v>1554</v>
      </c>
      <c r="T57" s="88" t="s">
        <v>1555</v>
      </c>
      <c r="W57" s="70"/>
      <c r="X57" s="70"/>
      <c r="Y57" s="70"/>
      <c r="Z57" s="70"/>
    </row>
    <row r="58" spans="2:26" ht="58.5" thickTop="1">
      <c r="B58" s="285" cm="1">
        <f t="array" ref="B58" xml:space="preserve"> ROW() - ROW($2:$2)</f>
        <v>56</v>
      </c>
      <c r="C58" s="254" t="s">
        <v>1180</v>
      </c>
      <c r="D58" s="118" t="str" cm="1">
        <f t="array" ref="D58" xml:space="preserve"> IFERROR( INDEX(韻母對照資料表[台羅拼音], MATCH(TRUE, EXACT($J58, 韻母對照資料表[台語音標]),0)), "")</f>
        <v>o</v>
      </c>
      <c r="E58" s="120" t="str" cm="1">
        <f t="array" ref="E58" xml:space="preserve"> IFERROR( INDEX(韻母對照資料表[注音二式], MATCH(TRUE, EXACT($J58, 韻母對照資料表[台語音標]),0)), "")</f>
        <v>or</v>
      </c>
      <c r="F58" s="255" t="s">
        <v>1600</v>
      </c>
      <c r="G58" s="219" t="str" cm="1">
        <f t="array" ref="G58">IFERROR( INDEX(韻母對照資料表[十五音], MATCH(TRUE, EXACT($J58, 韻母對照資料表[台語音標]),0)), "")</f>
        <v>高</v>
      </c>
      <c r="H58" s="138" t="str" cm="1">
        <f t="array" ref="H58" xml:space="preserve"> IFERROR( INDEX(韻母對照資料表[漢字例], MATCH(TRUE, EXACT($J58, 韻母對照資料表[台語音標]),0)), "")</f>
        <v>果</v>
      </c>
      <c r="I58" s="138"/>
      <c r="J58" s="254" t="s">
        <v>1180</v>
      </c>
      <c r="K58" s="118" t="str" cm="1">
        <f t="array" ref="K58" xml:space="preserve"> IFERROR( INDEX(韻母對照資料表[白話字], MATCH(TRUE, EXACT($J58, 韻母對照資料表[台語音標]),0)), "")</f>
        <v>o</v>
      </c>
      <c r="L58" s="118" t="str" cm="1">
        <f t="array" ref="L58">IFERROR( INDEX(韻母對照資料表[閩拼方案], MATCH(TRUE, EXACT($J58, 韻母對照資料表[台語音標]),0)), "")</f>
        <v>o</v>
      </c>
      <c r="M58" s="119" t="s">
        <v>1180</v>
      </c>
      <c r="N58" s="78" t="s">
        <v>1180</v>
      </c>
      <c r="P58" s="79">
        <v>1</v>
      </c>
      <c r="Q58" s="99" t="s">
        <v>1206</v>
      </c>
      <c r="R58" s="98" t="s">
        <v>1578</v>
      </c>
      <c r="S58" s="96" t="s">
        <v>95</v>
      </c>
      <c r="T58" s="96" t="str">
        <f t="shared" ref="T58:T64" si="3" xml:space="preserve"> LEFT(S58, IF(LEN(S58)=1, 1, LEN(S58)-1)) &amp; "ㆻ"</f>
        <v>ㄤㆻ</v>
      </c>
      <c r="W58" s="70"/>
      <c r="X58" s="70"/>
      <c r="Y58" s="70"/>
      <c r="Z58" s="70"/>
    </row>
    <row r="59" spans="2:26" ht="57.75">
      <c r="B59" s="282" cm="1">
        <f t="array" ref="B59" xml:space="preserve"> ROW() - ROW($2:$2)</f>
        <v>57</v>
      </c>
      <c r="C59" s="212" t="s">
        <v>2245</v>
      </c>
      <c r="D59" s="74" t="str" cm="1">
        <f t="array" ref="D59" xml:space="preserve"> IFERROR( INDEX(韻母對照資料表[台羅拼音], MATCH(TRUE, EXACT($J59, 韻母對照資料表[台語音標]),0)), "")</f>
        <v>oo</v>
      </c>
      <c r="E59" s="95" t="str" cm="1">
        <f t="array" ref="E59" xml:space="preserve"> IFERROR( INDEX(韻母對照資料表[注音二式], MATCH(TRUE, EXACT($J59, 韻母對照資料表[台語音標]),0)), "")</f>
        <v>oo</v>
      </c>
      <c r="F59" s="216" t="s">
        <v>1565</v>
      </c>
      <c r="G59" s="209" t="str" cm="1">
        <f t="array" ref="G59">IFERROR( INDEX(韻母對照資料表[十五音], MATCH(TRUE, EXACT($J59, 韻母對照資料表[台語音標]),0)), "")</f>
        <v>沽</v>
      </c>
      <c r="H59" s="132" t="str" cm="1">
        <f t="array" ref="H59" xml:space="preserve"> IFERROR( INDEX(韻母對照資料表[漢字例], MATCH(TRUE, EXACT($J59, 韻母對照資料表[台語音標]),0)), "")</f>
        <v>捕</v>
      </c>
      <c r="I59" s="132"/>
      <c r="J59" s="212" t="s">
        <v>2289</v>
      </c>
      <c r="K59" s="74" t="str" cm="1">
        <f t="array" ref="K59" xml:space="preserve"> IFERROR( INDEX(韻母對照資料表[白話字], MATCH(TRUE, EXACT($J59, 韻母對照資料表[台語音標]),0)), "")</f>
        <v>o͘</v>
      </c>
      <c r="L59" s="74" t="str" cm="1">
        <f t="array" ref="L59">IFERROR( INDEX(韻母對照資料表[閩拼方案], MATCH(TRUE, EXACT($J59, 韻母對照資料表[台語音標]),0)), "")</f>
        <v>oo</v>
      </c>
      <c r="M59" s="94" t="s">
        <v>1531</v>
      </c>
      <c r="N59" s="75" t="s">
        <v>1522</v>
      </c>
      <c r="P59" s="79">
        <f>P58+1</f>
        <v>2</v>
      </c>
      <c r="Q59" s="99"/>
      <c r="R59" s="98" t="s">
        <v>1640</v>
      </c>
      <c r="S59" s="96" t="s">
        <v>1633</v>
      </c>
      <c r="T59" s="96" t="str">
        <f t="shared" si="3"/>
        <v>ㄥㆻ</v>
      </c>
      <c r="W59" s="70"/>
      <c r="X59" s="70"/>
      <c r="Y59" s="70"/>
      <c r="Z59" s="70"/>
    </row>
    <row r="60" spans="2:26" ht="57.75">
      <c r="B60" s="282" cm="1">
        <f t="array" ref="B60" xml:space="preserve"> ROW() - ROW($2:$2)</f>
        <v>58</v>
      </c>
      <c r="C60" s="212" t="s">
        <v>1692</v>
      </c>
      <c r="D60" s="74" t="str" cm="1">
        <f t="array" ref="D60" xml:space="preserve"> IFERROR( INDEX(韻母對照資料表[台羅拼音], MATCH(TRUE, EXACT($J60, 韻母對照資料表[台語音標]),0)), "")</f>
        <v>onn</v>
      </c>
      <c r="E60" s="95" t="str" cm="1">
        <f t="array" ref="E60" xml:space="preserve"> IFERROR( INDEX(韻母對照資料表[注音二式], MATCH(TRUE, EXACT($J60, 韻母對照資料表[台語音標]),0)), "")</f>
        <v>ornn</v>
      </c>
      <c r="F60" s="216" t="s">
        <v>2275</v>
      </c>
      <c r="G60" s="209" t="str" cm="1">
        <f t="array" ref="G60">IFERROR( INDEX(韻母對照資料表[十五音], MATCH(TRUE, EXACT($J60, 韻母對照資料表[台語音標]),0)), "")</f>
        <v>扛</v>
      </c>
      <c r="H60" s="135" t="str" cm="1">
        <f t="array" ref="H60" xml:space="preserve"> IFERROR( INDEX(韻母對照資料表[漢字例], MATCH(TRUE, EXACT($J60, 韻母對照資料表[台語音標]),0)), "")</f>
        <v>呼</v>
      </c>
      <c r="I60" s="135"/>
      <c r="J60" s="212" t="s">
        <v>1598</v>
      </c>
      <c r="K60" s="74" t="str" cm="1">
        <f t="array" ref="K60" xml:space="preserve"> IFERROR( INDEX(韻母對照資料表[白話字], MATCH(TRUE, EXACT($J60, 韻母對照資料表[台語音標]),0)), "")</f>
        <v>on</v>
      </c>
      <c r="L60" s="74" t="str" cm="1">
        <f t="array" ref="L60">IFERROR( INDEX(韻母對照資料表[閩拼方案], MATCH(TRUE, EXACT($J60, 韻母對照資料表[台語音標]),0)), "")</f>
        <v>noo</v>
      </c>
      <c r="M60" s="94" t="s">
        <v>1532</v>
      </c>
      <c r="N60" s="75" t="s">
        <v>14</v>
      </c>
      <c r="P60" s="79">
        <f>P59+1</f>
        <v>3</v>
      </c>
      <c r="Q60" s="99" t="s">
        <v>1134</v>
      </c>
      <c r="R60" s="106" t="s">
        <v>1629</v>
      </c>
      <c r="S60" s="96" t="s">
        <v>698</v>
      </c>
      <c r="T60" s="96" t="str">
        <f t="shared" si="3"/>
        <v>ㆲㆻ</v>
      </c>
      <c r="W60" s="70"/>
      <c r="X60" s="70"/>
      <c r="Y60" s="70"/>
      <c r="Z60" s="70"/>
    </row>
    <row r="61" spans="2:26" ht="57.75">
      <c r="B61" s="282" cm="1">
        <f t="array" ref="B61" xml:space="preserve"> ROW() - ROW($2:$2)</f>
        <v>59</v>
      </c>
      <c r="C61" s="212" t="s">
        <v>693</v>
      </c>
      <c r="D61" s="74" t="str" cm="1">
        <f t="array" ref="D61" xml:space="preserve"> IFERROR( INDEX(韻母對照資料表[台羅拼音], MATCH(TRUE, EXACT($J61, 韻母對照資料表[台語音標]),0)), "")</f>
        <v>om</v>
      </c>
      <c r="E61" s="95" t="str" cm="1">
        <f t="array" ref="E61" xml:space="preserve"> IFERROR( INDEX(韻母對照資料表[注音二式], MATCH(TRUE, EXACT($J61, 韻母對照資料表[台語音標]),0)), "")</f>
        <v>oom</v>
      </c>
      <c r="F61" s="216" t="s">
        <v>2278</v>
      </c>
      <c r="G61" s="209" t="str" cm="1">
        <f t="array" ref="G61">IFERROR( INDEX(韻母對照資料表[十五音], MATCH(TRUE, EXACT($J61, 韻母對照資料表[台語音標]),0)), "")</f>
        <v>箴</v>
      </c>
      <c r="H61" s="256" t="str" cm="1">
        <f t="array" ref="H61" xml:space="preserve"> IFERROR( INDEX(韻母對照資料表[漢字例], MATCH(TRUE, EXACT($J61, 韻母對照資料表[台語音標]),0)), "")</f>
        <v>丼</v>
      </c>
      <c r="I61" s="132"/>
      <c r="J61" s="212" t="s">
        <v>1542</v>
      </c>
      <c r="K61" s="74" t="str" cm="1">
        <f t="array" ref="K61" xml:space="preserve"> IFERROR( INDEX(韻母對照資料表[白話字], MATCH(TRUE, EXACT($J61, 韻母對照資料表[台語音標]),0)), "")</f>
        <v>om</v>
      </c>
      <c r="L61" s="74" t="str" cm="1">
        <f t="array" ref="L61">IFERROR( INDEX(韻母對照資料表[閩拼方案], MATCH(TRUE, EXACT($J61, 韻母對照資料表[台語音標]),0)), "")</f>
        <v>om</v>
      </c>
      <c r="M61" s="94" t="s">
        <v>1579</v>
      </c>
      <c r="N61" s="75" t="s">
        <v>5</v>
      </c>
      <c r="P61" s="79">
        <f>P60+1</f>
        <v>4</v>
      </c>
      <c r="Q61" s="99" t="s">
        <v>1192</v>
      </c>
      <c r="R61" s="98" t="s">
        <v>1641</v>
      </c>
      <c r="S61" s="96" t="s">
        <v>467</v>
      </c>
      <c r="T61" s="96" t="str">
        <f t="shared" si="3"/>
        <v>ㄧㆻ</v>
      </c>
      <c r="W61" s="70"/>
      <c r="X61" s="70"/>
      <c r="Y61" s="70"/>
      <c r="Z61" s="70"/>
    </row>
    <row r="62" spans="2:26" ht="57.75">
      <c r="B62" s="282" cm="1">
        <f t="array" ref="B62" xml:space="preserve"> ROW() - ROW($2:$2)</f>
        <v>60</v>
      </c>
      <c r="C62" s="212" t="s">
        <v>1704</v>
      </c>
      <c r="D62" s="74" t="str" cm="1">
        <f t="array" ref="D62" xml:space="preserve"> IFERROR( INDEX(韻母對照資料表[台羅拼音], MATCH(TRUE, EXACT($J62, 韻母對照資料表[台語音標]),0)), "")</f>
        <v>op</v>
      </c>
      <c r="E62" s="95" t="str" cm="1">
        <f t="array" ref="E62" xml:space="preserve"> IFERROR( INDEX(韻母對照資料表[注音二式], MATCH(TRUE, EXACT($J62, 韻母對照資料表[台語音標]),0)), "")</f>
        <v>oop</v>
      </c>
      <c r="F62" s="216" t="s">
        <v>2268</v>
      </c>
      <c r="G62" s="209" t="str" cm="1">
        <f t="array" ref="G62">IFERROR( INDEX(韻母對照資料表[十五音], MATCH(TRUE, EXACT($J62, 韻母對照資料表[台語音標]),0)), "")</f>
        <v>箴</v>
      </c>
      <c r="H62" s="132" t="str" cm="1">
        <f t="array" ref="H62" xml:space="preserve"> IFERROR( INDEX(韻母對照資料表[漢字例], MATCH(TRUE, EXACT($J62, 韻母對照資料表[台語音標]),0)), "")</f>
        <v>吷</v>
      </c>
      <c r="I62" s="132"/>
      <c r="J62" s="212" t="s">
        <v>1746</v>
      </c>
      <c r="K62" s="74" t="str" cm="1">
        <f t="array" ref="K62" xml:space="preserve"> IFERROR( INDEX(韻母對照資料表[白話字], MATCH(TRUE, EXACT($J62, 韻母對照資料表[台語音標]),0)), "")</f>
        <v>op</v>
      </c>
      <c r="L62" s="74" t="str" cm="1">
        <f t="array" ref="L62">IFERROR( INDEX(韻母對照資料表[閩拼方案], MATCH(TRUE, EXACT($J62, 韻母對照資料表[台語音標]),0)), "")</f>
        <v>op</v>
      </c>
      <c r="M62" s="94" t="s">
        <v>1396</v>
      </c>
      <c r="N62" s="75"/>
      <c r="P62" s="79">
        <f>P61+1</f>
        <v>5</v>
      </c>
      <c r="Q62" s="99" t="s">
        <v>1145</v>
      </c>
      <c r="R62" s="98" t="s">
        <v>1642</v>
      </c>
      <c r="S62" s="96" t="s">
        <v>336</v>
      </c>
      <c r="T62" s="96" t="str">
        <f t="shared" si="3"/>
        <v>ㄧㆻ</v>
      </c>
      <c r="W62" s="70"/>
      <c r="X62" s="70"/>
      <c r="Y62" s="70"/>
      <c r="Z62" s="70"/>
    </row>
    <row r="63" spans="2:26" ht="57.75">
      <c r="B63" s="282" cm="1">
        <f t="array" ref="B63" xml:space="preserve"> ROW() - ROW($2:$2)</f>
        <v>61</v>
      </c>
      <c r="C63" s="212" t="s">
        <v>697</v>
      </c>
      <c r="D63" s="74" t="str" cm="1">
        <f t="array" ref="D63" xml:space="preserve"> IFERROR( INDEX(韻母對照資料表[台羅拼音], MATCH(TRUE, EXACT($J63, 韻母對照資料表[台語音標]),0)), "")</f>
        <v>ong</v>
      </c>
      <c r="E63" s="95" t="str" cm="1">
        <f t="array" ref="E63" xml:space="preserve"> IFERROR( INDEX(韻母對照資料表[注音二式], MATCH(TRUE, EXACT($J63, 韻母對照資料表[台語音標]),0)), "")</f>
        <v>ong</v>
      </c>
      <c r="F63" s="216" t="s">
        <v>2267</v>
      </c>
      <c r="G63" s="209" t="str" cm="1">
        <f t="array" ref="G63">IFERROR( INDEX(韻母對照資料表[十五音], MATCH(TRUE, EXACT($J63, 韻母對照資料表[台語音標]),0)), "")</f>
        <v>公</v>
      </c>
      <c r="H63" s="132" t="str" cm="1">
        <f t="array" ref="H63" xml:space="preserve"> IFERROR( INDEX(韻母對照資料表[漢字例], MATCH(TRUE, EXACT($J63, 韻母對照資料表[台語音標]),0)), "")</f>
        <v>風</v>
      </c>
      <c r="I63" s="132"/>
      <c r="J63" s="212" t="s">
        <v>1630</v>
      </c>
      <c r="K63" s="74" t="str" cm="1">
        <f t="array" ref="K63" xml:space="preserve"> IFERROR( INDEX(韻母對照資料表[白話字], MATCH(TRUE, EXACT($J63, 韻母對照資料表[台語音標]),0)), "")</f>
        <v>ong</v>
      </c>
      <c r="L63" s="74" t="str" cm="1">
        <f t="array" ref="L63">IFERROR( INDEX(韻母對照資料表[閩拼方案], MATCH(TRUE, EXACT($J63, 韻母對照資料表[台語音標]),0)), "")</f>
        <v>ong</v>
      </c>
      <c r="M63" s="94" t="s">
        <v>2321</v>
      </c>
      <c r="N63" s="75" t="s">
        <v>1628</v>
      </c>
      <c r="P63" s="79">
        <f>P62+1</f>
        <v>6</v>
      </c>
      <c r="Q63" s="99" t="s">
        <v>1174</v>
      </c>
      <c r="R63" s="98" t="s">
        <v>1642</v>
      </c>
      <c r="S63" s="96" t="s">
        <v>579</v>
      </c>
      <c r="T63" s="96" t="str">
        <f t="shared" si="3"/>
        <v>ㄧㆻ</v>
      </c>
      <c r="W63" s="70"/>
      <c r="X63" s="70"/>
      <c r="Y63" s="70"/>
      <c r="Z63" s="70"/>
    </row>
    <row r="64" spans="2:26" ht="57.75">
      <c r="B64" s="284" cm="1">
        <f t="array" ref="B64" xml:space="preserve"> ROW() - ROW($2:$2)</f>
        <v>62</v>
      </c>
      <c r="C64" s="214" t="s">
        <v>1705</v>
      </c>
      <c r="D64" s="76" t="str" cm="1">
        <f t="array" ref="D64" xml:space="preserve"> IFERROR( INDEX(韻母對照資料表[台羅拼音], MATCH(TRUE, EXACT($J64, 韻母對照資料表[台語音標]),0)), "")</f>
        <v>ok</v>
      </c>
      <c r="E64" s="117" t="str" cm="1">
        <f t="array" ref="E64" xml:space="preserve"> IFERROR( INDEX(韻母對照資料表[注音二式], MATCH(TRUE, EXACT($J64, 韻母對照資料表[台語音標]),0)), "")</f>
        <v>ok</v>
      </c>
      <c r="F64" s="218" t="s">
        <v>2269</v>
      </c>
      <c r="G64" s="211" t="str" cm="1">
        <f t="array" ref="G64">IFERROR( INDEX(韻母對照資料表[十五音], MATCH(TRUE, EXACT($J64, 韻母對照資料表[台語音標]),0)), "")</f>
        <v>公</v>
      </c>
      <c r="H64" s="136" t="str" cm="1">
        <f t="array" ref="H64" xml:space="preserve"> IFERROR( INDEX(韻母對照資料表[漢字例], MATCH(TRUE, EXACT($J64, 韻母對照資料表[台語音標]),0)), "")</f>
        <v>福</v>
      </c>
      <c r="I64" s="136"/>
      <c r="J64" s="214" t="s">
        <v>1747</v>
      </c>
      <c r="K64" s="76" t="str" cm="1">
        <f t="array" ref="K64" xml:space="preserve"> IFERROR( INDEX(韻母對照資料表[白話字], MATCH(TRUE, EXACT($J64, 韻母對照資料表[台語音標]),0)), "")</f>
        <v>ok</v>
      </c>
      <c r="L64" s="76" t="str" cm="1">
        <f t="array" ref="L64">IFERROR( INDEX(韻母對照資料表[閩拼方案], MATCH(TRUE, EXACT($J64, 韻母對照資料表[台語音標]),0)), "")</f>
        <v>ok</v>
      </c>
      <c r="M64" s="116" t="s">
        <v>1396</v>
      </c>
      <c r="N64" s="77"/>
      <c r="P64" s="79">
        <v>7</v>
      </c>
      <c r="Q64" s="99" t="s">
        <v>1329</v>
      </c>
      <c r="R64" s="98" t="s">
        <v>1643</v>
      </c>
      <c r="S64" s="96" t="s">
        <v>851</v>
      </c>
      <c r="T64" s="96" t="str">
        <f t="shared" si="3"/>
        <v>ㄨㆻ</v>
      </c>
      <c r="W64" s="70"/>
      <c r="X64" s="70"/>
      <c r="Y64" s="70"/>
      <c r="Z64" s="70"/>
    </row>
    <row r="65" spans="2:26" ht="57.75">
      <c r="B65" s="282" cm="1">
        <f t="array" ref="B65" xml:space="preserve"> ROW() - ROW($2:$2)</f>
        <v>63</v>
      </c>
      <c r="C65" s="212" t="s">
        <v>1524</v>
      </c>
      <c r="D65" s="74" t="str" cm="1">
        <f t="array" ref="D65" xml:space="preserve"> IFERROR( INDEX(韻母對照資料表[台羅拼音], MATCH(TRUE, EXACT($J65, 韻母對照資料表[台語音標]),0)), "")</f>
        <v>u</v>
      </c>
      <c r="E65" s="95" t="str" cm="1">
        <f t="array" ref="E65" xml:space="preserve"> IFERROR( INDEX(韻母對照資料表[注音二式], MATCH(TRUE, EXACT($J65, 韻母對照資料表[台語音標]),0)), "")</f>
        <v>u</v>
      </c>
      <c r="F65" s="216" t="s">
        <v>2270</v>
      </c>
      <c r="G65" s="209" t="str" cm="1">
        <f t="array" ref="G65">IFERROR( INDEX(韻母對照資料表[十五音], MATCH(TRUE, EXACT($J65, 韻母對照資料表[台語音標]),0)), "")</f>
        <v>艍</v>
      </c>
      <c r="H65" s="132" t="str" cm="1">
        <f t="array" ref="H65" xml:space="preserve"> IFERROR( INDEX(韻母對照資料表[漢字例], MATCH(TRUE, EXACT($J65, 韻母對照資料表[台語音標]),0)), "")</f>
        <v>夫</v>
      </c>
      <c r="I65" s="132"/>
      <c r="J65" s="212" t="s">
        <v>1524</v>
      </c>
      <c r="K65" s="74" t="str" cm="1">
        <f t="array" ref="K65" xml:space="preserve"> IFERROR( INDEX(韻母對照資料表[白話字], MATCH(TRUE, EXACT($J65, 韻母對照資料表[台語音標]),0)), "")</f>
        <v>u</v>
      </c>
      <c r="L65" s="74" t="str" cm="1">
        <f t="array" ref="L65">IFERROR( INDEX(韻母對照資料表[閩拼方案], MATCH(TRUE, EXACT($J65, 韻母對照資料表[台語音標]),0)), "")</f>
        <v>u</v>
      </c>
      <c r="M65" s="94" t="s">
        <v>732</v>
      </c>
      <c r="N65" s="75" t="s">
        <v>1843</v>
      </c>
      <c r="W65" s="70"/>
      <c r="X65" s="70"/>
      <c r="Y65" s="70"/>
      <c r="Z65" s="70"/>
    </row>
    <row r="66" spans="2:26" ht="57.75">
      <c r="B66" s="282" cm="1">
        <f t="array" ref="B66" xml:space="preserve"> ROW() - ROW($2:$2)</f>
        <v>64</v>
      </c>
      <c r="C66" s="221" t="s">
        <v>2248</v>
      </c>
      <c r="D66" s="271" t="str" cm="1">
        <f t="array" ref="D66" xml:space="preserve"> IFERROR( INDEX(韻母對照資料表[台羅拼音], MATCH(TRUE, EXACT($J66, 韻母對照資料表[台語音標]),0)), "")</f>
        <v/>
      </c>
      <c r="E66" s="272" t="str" cm="1">
        <f t="array" ref="E66" xml:space="preserve"> IFERROR( INDEX(韻母對照資料表[注音二式], MATCH(TRUE, EXACT($J66, 韻母對照資料表[台語音標]),0)), "")</f>
        <v/>
      </c>
      <c r="F66" s="222" t="s">
        <v>1749</v>
      </c>
      <c r="G66" s="269" t="str" cm="1">
        <f t="array" ref="G66">IFERROR( INDEX(韻母對照資料表[十五音], MATCH(TRUE, EXACT($J66, 韻母對照資料表[台語音標]),0)), "")</f>
        <v/>
      </c>
      <c r="H66" s="270" t="str" cm="1">
        <f t="array" ref="H66" xml:space="preserve"> IFERROR( INDEX(韻母對照資料表[漢字例], MATCH(TRUE, EXACT($J66, 韻母對照資料表[台語音標]),0)), "")</f>
        <v/>
      </c>
      <c r="I66" s="270"/>
      <c r="J66" s="221" t="s">
        <v>1608</v>
      </c>
      <c r="K66" s="271" t="str" cm="1">
        <f t="array" ref="K66" xml:space="preserve"> IFERROR( INDEX(韻母對照資料表[白話字], MATCH(TRUE, EXACT($J66, 韻母對照資料表[台語音標]),0)), "")</f>
        <v/>
      </c>
      <c r="L66" s="271" t="str" cm="1">
        <f t="array" ref="L66">IFERROR( INDEX(韻母對照資料表[閩拼方案], MATCH(TRUE, EXACT($J66, 韻母對照資料表[台語音標]),0)), "")</f>
        <v/>
      </c>
      <c r="M66" s="105" t="s">
        <v>1523</v>
      </c>
      <c r="N66" s="225" t="s">
        <v>2433</v>
      </c>
      <c r="W66" s="70"/>
      <c r="X66" s="70"/>
      <c r="Y66" s="70"/>
      <c r="Z66" s="70"/>
    </row>
    <row r="67" spans="2:26" ht="57.75">
      <c r="B67" s="284" cm="1">
        <f t="array" ref="B67" xml:space="preserve"> ROW() - ROW($2:$2)</f>
        <v>65</v>
      </c>
      <c r="C67" s="214" t="s">
        <v>1819</v>
      </c>
      <c r="D67" s="76" t="str" cm="1">
        <f t="array" ref="D67" xml:space="preserve"> IFERROR( INDEX(韻母對照資料表[台羅拼音], MATCH(TRUE, EXACT($J67, 韻母對照資料表[台語音標]),0)), "")</f>
        <v>un</v>
      </c>
      <c r="E67" s="117" t="str" cm="1">
        <f t="array" ref="E67" xml:space="preserve"> IFERROR( INDEX(韻母對照資料表[注音二式], MATCH(TRUE, EXACT($J67, 韻母對照資料表[台語音標]),0)), "")</f>
        <v>un</v>
      </c>
      <c r="F67" s="218" t="s">
        <v>2430</v>
      </c>
      <c r="G67" s="211" t="str" cm="1">
        <f t="array" ref="G67">IFERROR( INDEX(韻母對照資料表[十五音], MATCH(TRUE, EXACT($J67, 韻母對照資料表[台語音標]),0)), "")</f>
        <v>君</v>
      </c>
      <c r="H67" s="136" t="str" cm="1">
        <f t="array" ref="H67" xml:space="preserve"> IFERROR( INDEX(韻母對照資料表[漢字例], MATCH(TRUE, EXACT($J67, 韻母對照資料表[台語音標]),0)), "")</f>
        <v>汾</v>
      </c>
      <c r="I67" s="136"/>
      <c r="J67" s="214" t="s">
        <v>1819</v>
      </c>
      <c r="K67" s="76" t="str" cm="1">
        <f t="array" ref="K67" xml:space="preserve"> IFERROR( INDEX(韻母對照資料表[白話字], MATCH(TRUE, EXACT($J67, 韻母對照資料表[台語音標]),0)), "")</f>
        <v>un</v>
      </c>
      <c r="L67" s="76" t="str" cm="1">
        <f t="array" ref="L67">IFERROR( INDEX(韻母對照資料表[閩拼方案], MATCH(TRUE, EXACT($J67, 韻母對照資料表[台語音標]),0)), "")</f>
        <v>un</v>
      </c>
      <c r="M67" s="116"/>
      <c r="N67" s="77"/>
      <c r="P67" s="81" t="s">
        <v>1644</v>
      </c>
      <c r="W67" s="70"/>
      <c r="X67" s="70"/>
      <c r="Y67" s="70"/>
      <c r="Z67" s="70"/>
    </row>
    <row r="68" spans="2:26" ht="58.5" thickBot="1">
      <c r="B68" s="282" cm="1">
        <f t="array" ref="B68" xml:space="preserve"> ROW() - ROW($2:$2)</f>
        <v>66</v>
      </c>
      <c r="C68" s="212" t="s">
        <v>1721</v>
      </c>
      <c r="D68" s="74" t="str" cm="1">
        <f t="array" ref="D68" xml:space="preserve"> IFERROR( INDEX(韻母對照資料表[台羅拼音], MATCH(TRUE, EXACT($J68, 韻母對照資料表[台語音標]),0)), "")</f>
        <v>ua</v>
      </c>
      <c r="E68" s="95" t="str" cm="1">
        <f t="array" ref="E68" xml:space="preserve"> IFERROR( INDEX(韻母對照資料表[注音二式], MATCH(TRUE, EXACT($J68, 韻母對照資料表[台語音標]),0)), "")</f>
        <v>ua</v>
      </c>
      <c r="F68" s="216" t="s">
        <v>1723</v>
      </c>
      <c r="G68" s="209" t="str" cm="1">
        <f t="array" ref="G68">IFERROR( INDEX(韻母對照資料表[十五音], MATCH(TRUE, EXACT($J68, 韻母對照資料表[台語音標]),0)), "")</f>
        <v>瓜</v>
      </c>
      <c r="H68" s="132" t="str" cm="1">
        <f t="array" ref="H68" xml:space="preserve"> IFERROR( INDEX(韻母對照資料表[漢字例], MATCH(TRUE, EXACT($J68, 韻母對照資料表[台語音標]),0)), "")</f>
        <v>花</v>
      </c>
      <c r="I68" s="132"/>
      <c r="J68" s="212" t="s">
        <v>1721</v>
      </c>
      <c r="K68" s="74" t="str" cm="1">
        <f t="array" ref="K68" xml:space="preserve"> IFERROR( INDEX(韻母對照資料表[白話字], MATCH(TRUE, EXACT($J68, 韻母對照資料表[台語音標]),0)), "")</f>
        <v>oa</v>
      </c>
      <c r="L68" s="74" t="str" cm="1">
        <f t="array" ref="L68">IFERROR( INDEX(韻母對照資料表[閩拼方案], MATCH(TRUE, EXACT($J68, 韻母對照資料表[台語音標]),0)), "")</f>
        <v>ua</v>
      </c>
      <c r="M68" s="94" t="s">
        <v>1396</v>
      </c>
      <c r="N68" s="75"/>
      <c r="P68" s="87" t="s">
        <v>1019</v>
      </c>
      <c r="Q68" s="90" t="s">
        <v>1553</v>
      </c>
      <c r="R68" s="89" t="s">
        <v>1552</v>
      </c>
      <c r="S68" s="88" t="s">
        <v>1554</v>
      </c>
      <c r="T68" s="88" t="s">
        <v>1555</v>
      </c>
      <c r="W68" s="70"/>
      <c r="X68" s="70"/>
      <c r="Y68" s="70"/>
      <c r="Z68" s="70"/>
    </row>
    <row r="69" spans="2:26" ht="58.5" thickTop="1">
      <c r="B69" s="282" cm="1">
        <f t="array" ref="B69" xml:space="preserve"> ROW() - ROW($2:$2)</f>
        <v>67</v>
      </c>
      <c r="C69" s="212" t="s">
        <v>2249</v>
      </c>
      <c r="D69" s="74" t="str" cm="1">
        <f t="array" ref="D69" xml:space="preserve"> IFERROR( INDEX(韻母對照資料表[台羅拼音], MATCH(TRUE, EXACT($J69, 韻母對照資料表[台語音標]),0)), "")</f>
        <v>uann</v>
      </c>
      <c r="E69" s="95" t="str" cm="1">
        <f t="array" ref="E69" xml:space="preserve"> IFERROR( INDEX(韻母對照資料表[注音二式], MATCH(TRUE, EXACT($J69, 韻母對照資料表[台語音標]),0)), "")</f>
        <v>uann</v>
      </c>
      <c r="F69" s="216" t="s">
        <v>1737</v>
      </c>
      <c r="G69" s="209" t="str" cm="1">
        <f t="array" ref="G69">IFERROR( INDEX(韻母對照資料表[十五音], MATCH(TRUE, EXACT($J69, 韻母對照資料表[台語音標]),0)), "")</f>
        <v>官</v>
      </c>
      <c r="H69" s="132" t="str" cm="1">
        <f t="array" ref="H69" xml:space="preserve"> IFERROR( INDEX(韻母對照資料表[漢字例], MATCH(TRUE, EXACT($J69, 韻母對照資料表[台語音標]),0)), "")</f>
        <v>肝</v>
      </c>
      <c r="I69" s="132"/>
      <c r="J69" s="212" t="s">
        <v>1735</v>
      </c>
      <c r="K69" s="74" t="str" cm="1">
        <f t="array" ref="K69" xml:space="preserve"> IFERROR( INDEX(韻母對照資料表[白話字], MATCH(TRUE, EXACT($J69, 韻母對照資料表[台語音標]),0)), "")</f>
        <v>oaⁿ</v>
      </c>
      <c r="L69" s="74" t="str" cm="1">
        <f t="array" ref="L69">IFERROR( INDEX(韻母對照資料表[閩拼方案], MATCH(TRUE, EXACT($J69, 韻母對照資料表[台語音標]),0)), "")</f>
        <v>nua</v>
      </c>
      <c r="M69" s="94" t="s">
        <v>1396</v>
      </c>
      <c r="N69" s="75"/>
      <c r="P69" s="79">
        <v>1</v>
      </c>
      <c r="Q69" s="99" t="s">
        <v>5</v>
      </c>
      <c r="R69" s="98" t="s">
        <v>1645</v>
      </c>
      <c r="S69" s="96" t="s">
        <v>950</v>
      </c>
      <c r="T69" s="96" t="str">
        <f xml:space="preserve"> LEFT(S69, IF(LEN(S69)=1, 1, LEN(S69)-1)) &amp; "ㆷ"</f>
        <v>ㆬㆷ</v>
      </c>
      <c r="W69" s="70"/>
      <c r="X69" s="70"/>
      <c r="Y69" s="70"/>
      <c r="Z69" s="70"/>
    </row>
    <row r="70" spans="2:26" ht="57.75">
      <c r="B70" s="284" cm="1">
        <f t="array" ref="B70" xml:space="preserve"> ROW() - ROW($2:$2)</f>
        <v>68</v>
      </c>
      <c r="C70" s="214" t="s">
        <v>1824</v>
      </c>
      <c r="D70" s="76" t="str" cm="1">
        <f t="array" ref="D70" xml:space="preserve"> IFERROR( INDEX(韻母對照資料表[台羅拼音], MATCH(TRUE, EXACT($J70, 韻母對照資料表[台語音標]),0)), "")</f>
        <v>uan</v>
      </c>
      <c r="E70" s="117" t="str" cm="1">
        <f t="array" ref="E70" xml:space="preserve"> IFERROR( INDEX(韻母對照資料表[注音二式], MATCH(TRUE, EXACT($J70, 韻母對照資料表[台語音標]),0)), "")</f>
        <v>uan</v>
      </c>
      <c r="F70" s="218" t="s">
        <v>2431</v>
      </c>
      <c r="G70" s="211" t="str" cm="1">
        <f t="array" ref="G70">IFERROR( INDEX(韻母對照資料表[十五音], MATCH(TRUE, EXACT($J70, 韻母對照資料表[台語音標]),0)), "")</f>
        <v>觀</v>
      </c>
      <c r="H70" s="136" t="str" cm="1">
        <f t="array" ref="H70" xml:space="preserve"> IFERROR( INDEX(韻母對照資料表[漢字例], MATCH(TRUE, EXACT($J70, 韻母對照資料表[台語音標]),0)), "")</f>
        <v>猿</v>
      </c>
      <c r="I70" s="136"/>
      <c r="J70" s="214" t="s">
        <v>1824</v>
      </c>
      <c r="K70" s="76" t="str" cm="1">
        <f t="array" ref="K70" xml:space="preserve"> IFERROR( INDEX(韻母對照資料表[白話字], MATCH(TRUE, EXACT($J70, 韻母對照資料表[台語音標]),0)), "")</f>
        <v>oan</v>
      </c>
      <c r="L70" s="76" t="str" cm="1">
        <f t="array" ref="L70">IFERROR( INDEX(韻母對照資料表[閩拼方案], MATCH(TRUE, EXACT($J70, 韻母對照資料表[台語音標]),0)), "")</f>
        <v>uan</v>
      </c>
      <c r="M70" s="116"/>
      <c r="N70" s="77"/>
      <c r="P70" s="79">
        <f>P69+1</f>
        <v>2</v>
      </c>
      <c r="Q70" s="99" t="s">
        <v>1309</v>
      </c>
      <c r="R70" s="98" t="s">
        <v>1647</v>
      </c>
      <c r="S70" s="96" t="s">
        <v>1646</v>
      </c>
      <c r="T70" s="96" t="str">
        <f xml:space="preserve"> LEFT(S70, IF(LEN(S70)=1, 1, LEN(S70)-1)) &amp; "ㆷ"</f>
        <v>ㆭㆷ</v>
      </c>
      <c r="W70" s="70"/>
      <c r="X70" s="70"/>
      <c r="Y70" s="70"/>
      <c r="Z70" s="70"/>
    </row>
    <row r="71" spans="2:26" ht="57.75">
      <c r="B71" s="282" cm="1">
        <f t="array" ref="B71" xml:space="preserve"> ROW() - ROW($2:$2)</f>
        <v>69</v>
      </c>
      <c r="C71" s="212" t="s">
        <v>1729</v>
      </c>
      <c r="D71" s="74" t="str" cm="1">
        <f t="array" ref="D71" xml:space="preserve"> IFERROR( INDEX(韻母對照資料表[台羅拼音], MATCH(TRUE, EXACT($J71, 韻母對照資料表[台語音標]),0)), "")</f>
        <v>uai</v>
      </c>
      <c r="E71" s="95" t="str" cm="1">
        <f t="array" ref="E71" xml:space="preserve"> IFERROR( INDEX(韻母對照資料表[注音二式], MATCH(TRUE, EXACT($J71, 韻母對照資料表[台語音標]),0)), "")</f>
        <v>uai</v>
      </c>
      <c r="F71" s="216" t="s">
        <v>1727</v>
      </c>
      <c r="G71" s="209" t="str" cm="1">
        <f t="array" ref="G71">IFERROR( INDEX(韻母對照資料表[十五音], MATCH(TRUE, EXACT($J71, 韻母對照資料表[台語音標]),0)), "")</f>
        <v>乖</v>
      </c>
      <c r="H71" s="132" t="str" cm="1">
        <f t="array" ref="H71" xml:space="preserve"> IFERROR( INDEX(韻母對照資料表[漢字例], MATCH(TRUE, EXACT($J71, 韻母對照資料表[台語音標]),0)), "")</f>
        <v>怪</v>
      </c>
      <c r="I71" s="132"/>
      <c r="J71" s="212" t="s">
        <v>1729</v>
      </c>
      <c r="K71" s="74" t="str" cm="1">
        <f t="array" ref="K71" xml:space="preserve"> IFERROR( INDEX(韻母對照資料表[白話字], MATCH(TRUE, EXACT($J71, 韻母對照資料表[台語音標]),0)), "")</f>
        <v>oai</v>
      </c>
      <c r="L71" s="74" t="str" cm="1">
        <f t="array" ref="L71">IFERROR( INDEX(韻母對照資料表[閩拼方案], MATCH(TRUE, EXACT($J71, 韻母對照資料表[台語音標]),0)), "")</f>
        <v>uai</v>
      </c>
      <c r="M71" s="94" t="s">
        <v>1396</v>
      </c>
      <c r="N71" s="75"/>
      <c r="W71" s="70"/>
      <c r="X71" s="70"/>
      <c r="Y71" s="70"/>
      <c r="Z71" s="70"/>
    </row>
    <row r="72" spans="2:26" ht="57.75">
      <c r="B72" s="284" cm="1">
        <f t="array" ref="B72" xml:space="preserve"> ROW() - ROW($2:$2)</f>
        <v>70</v>
      </c>
      <c r="C72" s="214" t="s">
        <v>1741</v>
      </c>
      <c r="D72" s="76" t="str" cm="1">
        <f t="array" ref="D72" xml:space="preserve"> IFERROR( INDEX(韻母對照資料表[台羅拼音], MATCH(TRUE, EXACT($J72, 韻母對照資料表[台語音標]),0)), "")</f>
        <v>uainn</v>
      </c>
      <c r="E72" s="117" t="str" cm="1">
        <f t="array" ref="E72" xml:space="preserve"> IFERROR( INDEX(韻母對照資料表[注音二式], MATCH(TRUE, EXACT($J72, 韻母對照資料表[台語音標]),0)), "")</f>
        <v>uainn</v>
      </c>
      <c r="F72" s="218" t="s">
        <v>1740</v>
      </c>
      <c r="G72" s="211" t="str" cm="1">
        <f t="array" ref="G72">IFERROR( INDEX(韻母對照資料表[十五音], MATCH(TRUE, EXACT($J72, 韻母對照資料表[台語音標]),0)), "")</f>
        <v>閂</v>
      </c>
      <c r="H72" s="136" t="str" cm="1">
        <f t="array" ref="H72" xml:space="preserve"> IFERROR( INDEX(韻母對照資料表[漢字例], MATCH(TRUE, EXACT($J72, 韻母對照資料表[台語音標]),0)), "")</f>
        <v>檨</v>
      </c>
      <c r="I72" s="136"/>
      <c r="J72" s="214" t="s">
        <v>1867</v>
      </c>
      <c r="K72" s="76" t="str" cm="1">
        <f t="array" ref="K72" xml:space="preserve"> IFERROR( INDEX(韻母對照資料表[白話字], MATCH(TRUE, EXACT($J72, 韻母對照資料表[台語音標]),0)), "")</f>
        <v>oaiⁿ</v>
      </c>
      <c r="L72" s="76" t="str" cm="1">
        <f t="array" ref="L72">IFERROR( INDEX(韻母對照資料表[閩拼方案], MATCH(TRUE, EXACT($J72, 韻母對照資料表[台語音標]),0)), "")</f>
        <v>nuai</v>
      </c>
      <c r="M72" s="116" t="s">
        <v>1396</v>
      </c>
      <c r="N72" s="77"/>
      <c r="W72" s="70"/>
      <c r="X72" s="70"/>
      <c r="Y72" s="70"/>
      <c r="Z72" s="70"/>
    </row>
    <row r="73" spans="2:26" ht="57.75">
      <c r="B73" s="285" cm="1">
        <f t="array" ref="B73" xml:space="preserve"> ROW() - ROW($2:$2)</f>
        <v>71</v>
      </c>
      <c r="C73" s="254" t="s">
        <v>1722</v>
      </c>
      <c r="D73" s="118" t="str" cm="1">
        <f t="array" ref="D73" xml:space="preserve"> IFERROR( INDEX(韻母對照資料表[台羅拼音], MATCH(TRUE, EXACT($J73, 韻母對照資料表[台語音標]),0)), "")</f>
        <v>ue</v>
      </c>
      <c r="E73" s="120" t="str" cm="1">
        <f t="array" ref="E73" xml:space="preserve"> IFERROR( INDEX(韻母對照資料表[注音二式], MATCH(TRUE, EXACT($J73, 韻母對照資料表[台語音標]),0)), "")</f>
        <v>ue</v>
      </c>
      <c r="F73" s="255" t="s">
        <v>1589</v>
      </c>
      <c r="G73" s="219" t="str" cm="1">
        <f t="array" ref="G73">IFERROR( INDEX(韻母對照資料表[十五音], MATCH(TRUE, EXACT($J73, 韻母對照資料表[台語音標]),0)), "")</f>
        <v>檜</v>
      </c>
      <c r="H73" s="138" t="str" cm="1">
        <f t="array" ref="H73" xml:space="preserve"> IFERROR( INDEX(韻母對照資料表[漢字例], MATCH(TRUE, EXACT($J73, 韻母對照資料表[台語音標]),0)), "")</f>
        <v>話</v>
      </c>
      <c r="I73" s="138"/>
      <c r="J73" s="254" t="s">
        <v>1722</v>
      </c>
      <c r="K73" s="118" t="str" cm="1">
        <f t="array" ref="K73" xml:space="preserve"> IFERROR( INDEX(韻母對照資料表[白話字], MATCH(TRUE, EXACT($J73, 韻母對照資料表[台語音標]),0)), "")</f>
        <v>oe</v>
      </c>
      <c r="L73" s="118" t="str" cm="1">
        <f t="array" ref="L73">IFERROR( INDEX(韻母對照資料表[閩拼方案], MATCH(TRUE, EXACT($J73, 韻母對照資料表[台語音標]),0)), "")</f>
        <v>ue</v>
      </c>
      <c r="M73" s="119" t="s">
        <v>1396</v>
      </c>
      <c r="N73" s="78"/>
      <c r="W73" s="70"/>
      <c r="X73" s="70"/>
      <c r="Y73" s="70"/>
      <c r="Z73" s="70"/>
    </row>
    <row r="74" spans="2:26" ht="57.75">
      <c r="B74" s="282" cm="1">
        <f t="array" ref="B74" xml:space="preserve"> ROW() - ROW($2:$2)</f>
        <v>72</v>
      </c>
      <c r="C74" s="212" t="s">
        <v>1725</v>
      </c>
      <c r="D74" s="74" t="str" cm="1">
        <f t="array" ref="D74" xml:space="preserve"> IFERROR( INDEX(韻母對照資料表[台羅拼音], MATCH(TRUE, EXACT($J74, 韻母對照資料表[台語音標]),0)), "")</f>
        <v>ui</v>
      </c>
      <c r="E74" s="95" t="str" cm="1">
        <f t="array" ref="E74" xml:space="preserve"> IFERROR( INDEX(韻母對照資料表[注音二式], MATCH(TRUE, EXACT($J74, 韻母對照資料表[台語音標]),0)), "")</f>
        <v>ui</v>
      </c>
      <c r="F74" s="216" t="s">
        <v>1724</v>
      </c>
      <c r="G74" s="209" t="str" cm="1">
        <f t="array" ref="G74">IFERROR( INDEX(韻母對照資料表[十五音], MATCH(TRUE, EXACT($J74, 韻母對照資料表[台語音標]),0)), "")</f>
        <v>規</v>
      </c>
      <c r="H74" s="132" t="str" cm="1">
        <f t="array" ref="H74" xml:space="preserve"> IFERROR( INDEX(韻母對照資料表[漢字例], MATCH(TRUE, EXACT($J74, 韻母對照資料表[台語音標]),0)), "")</f>
        <v>歸</v>
      </c>
      <c r="I74" s="132"/>
      <c r="J74" s="212" t="s">
        <v>1725</v>
      </c>
      <c r="K74" s="74" t="str" cm="1">
        <f t="array" ref="K74" xml:space="preserve"> IFERROR( INDEX(韻母對照資料表[白話字], MATCH(TRUE, EXACT($J74, 韻母對照資料表[台語音標]),0)), "")</f>
        <v>ui</v>
      </c>
      <c r="L74" s="74" t="str" cm="1">
        <f t="array" ref="L74">IFERROR( INDEX(韻母對照資料表[閩拼方案], MATCH(TRUE, EXACT($J74, 韻母對照資料表[台語音標]),0)), "")</f>
        <v>ui</v>
      </c>
      <c r="M74" s="94" t="s">
        <v>1396</v>
      </c>
      <c r="N74" s="75"/>
      <c r="W74" s="70"/>
      <c r="X74" s="70"/>
      <c r="Y74" s="70"/>
      <c r="Z74" s="70"/>
    </row>
    <row r="75" spans="2:26" ht="57.75">
      <c r="B75" s="284" cm="1">
        <f t="array" ref="B75" xml:space="preserve"> ROW() - ROW($2:$2)</f>
        <v>73</v>
      </c>
      <c r="C75" s="214" t="s">
        <v>2250</v>
      </c>
      <c r="D75" s="76" t="str" cm="1">
        <f t="array" ref="D75" xml:space="preserve"> IFERROR( INDEX(韻母對照資料表[台羅拼音], MATCH(TRUE, EXACT($J75, 韻母對照資料表[台語音標]),0)), "")</f>
        <v>uinn</v>
      </c>
      <c r="E75" s="117" t="str" cm="1">
        <f t="array" ref="E75" xml:space="preserve"> IFERROR( INDEX(韻母對照資料表[注音二式], MATCH(TRUE, EXACT($J75, 韻母對照資料表[台語音標]),0)), "")</f>
        <v>uinn</v>
      </c>
      <c r="F75" s="218" t="s">
        <v>1738</v>
      </c>
      <c r="G75" s="211" t="str" cm="1">
        <f t="array" ref="G75">IFERROR( INDEX(韻母對照資料表[十五音], MATCH(TRUE, EXACT($J75, 韻母對照資料表[台語音標]),0)), "")</f>
        <v>褌</v>
      </c>
      <c r="H75" s="230" t="str" cm="1">
        <f t="array" ref="H75" xml:space="preserve"> IFERROR( INDEX(韻母對照資料表[漢字例], MATCH(TRUE, EXACT($J75, 韻母對照資料表[台語音標]),0)), "")</f>
        <v>荒</v>
      </c>
      <c r="I75" s="230"/>
      <c r="J75" s="214" t="s">
        <v>1736</v>
      </c>
      <c r="K75" s="76" t="str" cm="1">
        <f t="array" ref="K75" xml:space="preserve"> IFERROR( INDEX(韻母對照資料表[白話字], MATCH(TRUE, EXACT($J75, 韻母對照資料表[台語音標]),0)), "")</f>
        <v>uiⁿ</v>
      </c>
      <c r="L75" s="76" t="str" cm="1">
        <f t="array" ref="L75">IFERROR( INDEX(韻母對照資料表[閩拼方案], MATCH(TRUE, EXACT($J75, 韻母對照資料表[台語音標]),0)), "")</f>
        <v>nui</v>
      </c>
      <c r="M75" s="116" t="s">
        <v>1396</v>
      </c>
      <c r="N75" s="77"/>
      <c r="W75" s="70"/>
      <c r="X75" s="70"/>
      <c r="Y75" s="70"/>
      <c r="Z75" s="70"/>
    </row>
    <row r="76" spans="2:26" ht="57.75">
      <c r="B76" s="282" cm="1">
        <f t="array" ref="B76" xml:space="preserve"> ROW() - ROW($2:$2)</f>
        <v>74</v>
      </c>
      <c r="C76" s="212" t="s">
        <v>1545</v>
      </c>
      <c r="D76" s="74" t="str" cm="1">
        <f t="array" ref="D76" xml:space="preserve"> IFERROR( INDEX(韻母對照資料表[台羅拼音], MATCH(TRUE, EXACT($J76, 韻母對照資料表[台語音標]),0)), "")</f>
        <v>m</v>
      </c>
      <c r="E76" s="95" t="str" cm="1">
        <f t="array" ref="E76" xml:space="preserve"> IFERROR( INDEX(韻母對照資料表[注音二式], MATCH(TRUE, EXACT($J76, 韻母對照資料表[台語音標]),0)), "")</f>
        <v>m</v>
      </c>
      <c r="F76" s="216" t="s">
        <v>1619</v>
      </c>
      <c r="G76" s="209" t="str" cm="1">
        <f t="array" ref="G76">IFERROR( INDEX(韻母對照資料表[十五音], MATCH(TRUE, EXACT($J76, 韻母對照資料表[台語音標]),0)), "")</f>
        <v>姆</v>
      </c>
      <c r="H76" s="132" t="str" cm="1">
        <f t="array" ref="H76" xml:space="preserve"> IFERROR( INDEX(韻母對照資料表[漢字例], MATCH(TRUE, EXACT($J76, 韻母對照資料表[台語音標]),0)), "")</f>
        <v>姆</v>
      </c>
      <c r="I76" s="132"/>
      <c r="J76" s="212" t="s">
        <v>1461</v>
      </c>
      <c r="K76" s="74" t="str" cm="1">
        <f t="array" ref="K76" xml:space="preserve"> IFERROR( INDEX(韻母對照資料表[白話字], MATCH(TRUE, EXACT($J76, 韻母對照資料表[台語音標]),0)), "")</f>
        <v>m</v>
      </c>
      <c r="L76" s="74" t="str" cm="1">
        <f t="array" ref="L76">IFERROR( INDEX(韻母對照資料表[閩拼方案], MATCH(TRUE, EXACT($J76, 韻母對照資料表[台語音標]),0)), "")</f>
        <v>m</v>
      </c>
      <c r="M76" s="94" t="s">
        <v>5</v>
      </c>
      <c r="N76" s="75" t="s">
        <v>1501</v>
      </c>
      <c r="W76" s="70"/>
      <c r="X76" s="70"/>
      <c r="Y76" s="70"/>
      <c r="Z76" s="70"/>
    </row>
    <row r="77" spans="2:26" ht="57.75">
      <c r="B77" s="282" cm="1">
        <f t="array" ref="B77" xml:space="preserve"> ROW() - ROW($2:$2)</f>
        <v>75</v>
      </c>
      <c r="C77" s="212" t="s">
        <v>1481</v>
      </c>
      <c r="D77" s="74" t="s">
        <v>1091</v>
      </c>
      <c r="E77" s="273" t="s">
        <v>1091</v>
      </c>
      <c r="F77" s="216" t="s">
        <v>1539</v>
      </c>
      <c r="G77" s="268" t="str" cm="1">
        <f t="array" ref="G77">IFERROR( INDEX(韻母對照資料表[十五音], MATCH(TRUE, EXACT($J77, 韻母對照資料表[台語音標]),0)), "")</f>
        <v/>
      </c>
      <c r="H77" s="139" t="s">
        <v>2434</v>
      </c>
      <c r="I77" s="132"/>
      <c r="J77" s="212" t="s">
        <v>1481</v>
      </c>
      <c r="K77" s="74" t="s">
        <v>1091</v>
      </c>
      <c r="L77" s="74" t="s">
        <v>1091</v>
      </c>
      <c r="M77" s="274" t="s">
        <v>1091</v>
      </c>
      <c r="N77" s="75" t="s">
        <v>1488</v>
      </c>
      <c r="W77" s="70"/>
      <c r="X77" s="70"/>
      <c r="Y77" s="70"/>
      <c r="Z77" s="70"/>
    </row>
    <row r="78" spans="2:26" ht="57.75">
      <c r="B78" s="284" cm="1">
        <f t="array" ref="B78" xml:space="preserve"> ROW() - ROW($2:$2)</f>
        <v>76</v>
      </c>
      <c r="C78" s="214" t="s">
        <v>955</v>
      </c>
      <c r="D78" s="76" t="str" cm="1">
        <f t="array" ref="D78" xml:space="preserve"> IFERROR( INDEX(韻母對照資料表[台羅拼音], MATCH(TRUE, EXACT($J78, 韻母對照資料表[台語音標]),0)), "")</f>
        <v>ng</v>
      </c>
      <c r="E78" s="117" t="str" cm="1">
        <f t="array" ref="E78" xml:space="preserve"> IFERROR( INDEX(韻母對照資料表[注音二式], MATCH(TRUE, EXACT($J78, 韻母對照資料表[台語音標]),0)), "")</f>
        <v>ng</v>
      </c>
      <c r="F78" s="218" t="s">
        <v>1646</v>
      </c>
      <c r="G78" s="211" t="str" cm="1">
        <f t="array" ref="G78">IFERROR( INDEX(韻母對照資料表[十五音], MATCH(TRUE, EXACT($J78, 韻母對照資料表[台語音標]),0)), "")</f>
        <v>鋼</v>
      </c>
      <c r="H78" s="136" t="str" cm="1">
        <f t="array" ref="H78" xml:space="preserve"> IFERROR( INDEX(韻母對照資料表[漢字例], MATCH(TRUE, EXACT($J78, 韻母對照資料表[台語音標]),0)), "")</f>
        <v>床</v>
      </c>
      <c r="I78" s="136"/>
      <c r="J78" s="214" t="s">
        <v>1495</v>
      </c>
      <c r="K78" s="76" t="str" cm="1">
        <f t="array" ref="K78" xml:space="preserve"> IFERROR( INDEX(韻母對照資料表[白話字], MATCH(TRUE, EXACT($J78, 韻母對照資料表[台語音標]),0)), "")</f>
        <v>ng</v>
      </c>
      <c r="L78" s="76" t="str" cm="1">
        <f t="array" ref="L78">IFERROR( INDEX(韻母對照資料表[閩拼方案], MATCH(TRUE, EXACT($J78, 韻母對照資料表[台語音標]),0)), "")</f>
        <v>ng</v>
      </c>
      <c r="M78" s="116" t="s">
        <v>1477</v>
      </c>
      <c r="N78" s="77" t="s">
        <v>732</v>
      </c>
      <c r="W78" s="70"/>
      <c r="X78" s="70"/>
      <c r="Y78" s="70"/>
      <c r="Z78" s="70"/>
    </row>
    <row r="79" spans="2:26">
      <c r="B79" s="282" cm="1">
        <f t="array" ref="B79" xml:space="preserve"> ROW() - ROW($2:$2)</f>
        <v>77</v>
      </c>
      <c r="C79" s="95" t="s">
        <v>2368</v>
      </c>
      <c r="D79" s="74"/>
      <c r="E79" s="95"/>
      <c r="F79" s="216" t="s">
        <v>2281</v>
      </c>
      <c r="G79" s="124"/>
      <c r="H79" s="124" t="s">
        <v>2343</v>
      </c>
      <c r="I79" s="124"/>
      <c r="J79" s="95" t="s">
        <v>2337</v>
      </c>
      <c r="K79" s="74"/>
      <c r="L79" s="74"/>
      <c r="M79" s="94" t="s">
        <v>1592</v>
      </c>
      <c r="N79" s="75" t="s">
        <v>6</v>
      </c>
      <c r="W79" s="70"/>
      <c r="X79" s="70"/>
      <c r="Y79" s="70"/>
      <c r="Z79" s="70"/>
    </row>
    <row r="80" spans="2:26">
      <c r="B80" s="282" cm="1">
        <f t="array" ref="B80" xml:space="preserve"> ROW() - ROW($2:$2)</f>
        <v>78</v>
      </c>
      <c r="C80" s="95" t="s">
        <v>2369</v>
      </c>
      <c r="D80" s="74"/>
      <c r="E80" s="95"/>
      <c r="F80" s="216" t="s">
        <v>2282</v>
      </c>
      <c r="G80" s="124"/>
      <c r="H80" s="124" t="s">
        <v>2341</v>
      </c>
      <c r="I80" s="124"/>
      <c r="J80" s="95" t="s">
        <v>2338</v>
      </c>
      <c r="K80" s="74"/>
      <c r="L80" s="74"/>
      <c r="M80" s="94" t="s">
        <v>2322</v>
      </c>
      <c r="N80" s="75" t="s">
        <v>16</v>
      </c>
      <c r="W80" s="70"/>
      <c r="X80" s="70"/>
      <c r="Y80" s="70"/>
      <c r="Z80" s="70"/>
    </row>
    <row r="81" spans="2:26">
      <c r="B81" s="282" cm="1">
        <f t="array" ref="B81" xml:space="preserve"> ROW() - ROW($2:$2)</f>
        <v>79</v>
      </c>
      <c r="C81" s="95" t="s">
        <v>2370</v>
      </c>
      <c r="D81" s="74"/>
      <c r="E81" s="95"/>
      <c r="F81" s="216" t="s">
        <v>2283</v>
      </c>
      <c r="G81" s="124"/>
      <c r="H81" s="124" t="s">
        <v>2340</v>
      </c>
      <c r="I81" s="124"/>
      <c r="J81" s="95" t="s">
        <v>2339</v>
      </c>
      <c r="K81" s="74"/>
      <c r="L81" s="74"/>
      <c r="M81" s="94" t="s">
        <v>1446</v>
      </c>
      <c r="N81" s="75" t="s">
        <v>1027</v>
      </c>
      <c r="W81" s="70"/>
      <c r="X81" s="70"/>
      <c r="Y81" s="70"/>
      <c r="Z81" s="70"/>
    </row>
    <row r="82" spans="2:26">
      <c r="B82" s="282" cm="1">
        <f t="array" ref="B82" xml:space="preserve"> ROW() - ROW($2:$2)</f>
        <v>80</v>
      </c>
      <c r="C82" s="95" t="s">
        <v>1686</v>
      </c>
      <c r="D82" s="74"/>
      <c r="E82" s="95"/>
      <c r="F82" s="216" t="s">
        <v>1547</v>
      </c>
      <c r="G82" s="124"/>
      <c r="H82" s="124" t="s">
        <v>2342</v>
      </c>
      <c r="I82" s="124"/>
      <c r="J82" s="95" t="s">
        <v>1546</v>
      </c>
      <c r="K82" s="74"/>
      <c r="L82" s="74"/>
      <c r="M82" s="94" t="s">
        <v>2323</v>
      </c>
      <c r="N82" s="75" t="s">
        <v>1518</v>
      </c>
      <c r="W82" s="70"/>
      <c r="X82" s="70"/>
      <c r="Y82" s="70"/>
      <c r="Z82" s="70"/>
    </row>
    <row r="83" spans="2:26" ht="43.5">
      <c r="B83" s="283" cm="1">
        <f t="array" ref="B83" xml:space="preserve"> ROW() - ROW($2:$2)</f>
        <v>81</v>
      </c>
      <c r="C83" s="113" t="s">
        <v>2332</v>
      </c>
      <c r="D83" s="72">
        <v>1</v>
      </c>
      <c r="E83" s="113">
        <v>1</v>
      </c>
      <c r="F83" s="217" t="s">
        <v>1455</v>
      </c>
      <c r="G83" s="240" t="s">
        <v>1188</v>
      </c>
      <c r="H83" s="133" t="s">
        <v>2292</v>
      </c>
      <c r="I83" s="125"/>
      <c r="J83" s="113">
        <v>1</v>
      </c>
      <c r="K83" s="72">
        <v>1</v>
      </c>
      <c r="L83" s="72">
        <v>1</v>
      </c>
      <c r="M83" s="112">
        <v>1</v>
      </c>
      <c r="N83" s="73" t="s">
        <v>1513</v>
      </c>
      <c r="W83" s="70"/>
      <c r="X83" s="70"/>
      <c r="Y83" s="70"/>
      <c r="Z83" s="70"/>
    </row>
    <row r="84" spans="2:26" ht="43.5">
      <c r="B84" s="282" cm="1">
        <f t="array" ref="B84" xml:space="preserve"> ROW() - ROW($2:$2)</f>
        <v>82</v>
      </c>
      <c r="C84" s="95" t="s">
        <v>2333</v>
      </c>
      <c r="D84" s="74">
        <v>2</v>
      </c>
      <c r="E84" s="95">
        <v>2</v>
      </c>
      <c r="F84" s="216" t="s">
        <v>1411</v>
      </c>
      <c r="G84" s="241" t="s">
        <v>2324</v>
      </c>
      <c r="H84" s="132" t="s">
        <v>2326</v>
      </c>
      <c r="I84" s="124"/>
      <c r="J84" s="95">
        <v>2</v>
      </c>
      <c r="K84" s="74">
        <v>2</v>
      </c>
      <c r="L84" s="74">
        <v>3</v>
      </c>
      <c r="M84" s="94">
        <v>2</v>
      </c>
      <c r="N84" s="75" t="s">
        <v>1510</v>
      </c>
      <c r="W84" s="70"/>
      <c r="X84" s="70"/>
      <c r="Y84" s="70"/>
      <c r="Z84" s="70"/>
    </row>
    <row r="85" spans="2:26" ht="43.5">
      <c r="B85" s="282" cm="1">
        <f t="array" ref="B85" xml:space="preserve"> ROW() - ROW($2:$2)</f>
        <v>83</v>
      </c>
      <c r="C85" s="95" t="s">
        <v>2334</v>
      </c>
      <c r="D85" s="74">
        <v>3</v>
      </c>
      <c r="E85" s="95">
        <v>3</v>
      </c>
      <c r="F85" s="216" t="s">
        <v>1406</v>
      </c>
      <c r="G85" s="241" t="s">
        <v>1670</v>
      </c>
      <c r="H85" s="132" t="s">
        <v>2331</v>
      </c>
      <c r="I85" s="124"/>
      <c r="J85" s="95">
        <v>3</v>
      </c>
      <c r="K85" s="74">
        <v>3</v>
      </c>
      <c r="L85" s="74">
        <v>5</v>
      </c>
      <c r="M85" s="94">
        <v>3</v>
      </c>
      <c r="N85" s="75" t="s">
        <v>4</v>
      </c>
      <c r="W85" s="70"/>
      <c r="X85" s="70"/>
      <c r="Y85" s="70"/>
      <c r="Z85" s="70"/>
    </row>
    <row r="86" spans="2:26" ht="43.5">
      <c r="B86" s="282" cm="1">
        <f t="array" ref="B86" xml:space="preserve"> ROW() - ROW($2:$2)</f>
        <v>84</v>
      </c>
      <c r="C86" s="244" t="s">
        <v>2344</v>
      </c>
      <c r="D86" s="74">
        <v>4</v>
      </c>
      <c r="E86" s="95">
        <v>4</v>
      </c>
      <c r="F86" s="216"/>
      <c r="G86" s="241" t="s">
        <v>2330</v>
      </c>
      <c r="H86" s="132" t="s">
        <v>2329</v>
      </c>
      <c r="I86" s="124"/>
      <c r="J86" s="95">
        <v>4</v>
      </c>
      <c r="K86" s="74">
        <v>4</v>
      </c>
      <c r="L86" s="74">
        <v>7</v>
      </c>
      <c r="M86" s="94">
        <v>4</v>
      </c>
      <c r="N86" s="75"/>
      <c r="W86" s="70"/>
      <c r="X86" s="70"/>
      <c r="Y86" s="70"/>
      <c r="Z86" s="70"/>
    </row>
    <row r="87" spans="2:26" ht="43.5">
      <c r="B87" s="282" cm="1">
        <f t="array" ref="B87" xml:space="preserve"> ROW() - ROW($2:$2)</f>
        <v>85</v>
      </c>
      <c r="C87" s="95" t="s">
        <v>2335</v>
      </c>
      <c r="D87" s="74">
        <v>5</v>
      </c>
      <c r="E87" s="95">
        <v>5</v>
      </c>
      <c r="F87" s="216" t="s">
        <v>1416</v>
      </c>
      <c r="G87" s="241" t="s">
        <v>2325</v>
      </c>
      <c r="H87" s="132" t="s">
        <v>2328</v>
      </c>
      <c r="I87" s="124"/>
      <c r="J87" s="95">
        <v>5</v>
      </c>
      <c r="K87" s="74">
        <v>5</v>
      </c>
      <c r="L87" s="74">
        <v>2</v>
      </c>
      <c r="M87" s="94">
        <v>5</v>
      </c>
      <c r="N87" s="75" t="s">
        <v>1515</v>
      </c>
      <c r="W87" s="70"/>
      <c r="X87" s="70"/>
      <c r="Y87" s="70"/>
      <c r="Z87" s="70"/>
    </row>
    <row r="88" spans="2:26" ht="43.5">
      <c r="B88" s="282" cm="1">
        <f t="array" ref="B88" xml:space="preserve"> ROW() - ROW($2:$2)</f>
        <v>86</v>
      </c>
      <c r="C88" s="95" t="s">
        <v>2336</v>
      </c>
      <c r="D88" s="74">
        <v>7</v>
      </c>
      <c r="E88" s="95">
        <v>7</v>
      </c>
      <c r="F88" s="216" t="s">
        <v>1401</v>
      </c>
      <c r="G88" s="241" t="s">
        <v>1679</v>
      </c>
      <c r="H88" s="132" t="s">
        <v>2327</v>
      </c>
      <c r="I88" s="124"/>
      <c r="J88" s="95">
        <v>7</v>
      </c>
      <c r="K88" s="74">
        <v>7</v>
      </c>
      <c r="L88" s="74">
        <v>6</v>
      </c>
      <c r="M88" s="94">
        <v>7</v>
      </c>
      <c r="N88" s="75" t="s">
        <v>1520</v>
      </c>
      <c r="W88" s="70"/>
      <c r="X88" s="70"/>
      <c r="Y88" s="70"/>
      <c r="Z88" s="70"/>
    </row>
    <row r="89" spans="2:26" ht="43.5">
      <c r="B89" s="284" cm="1">
        <f t="array" ref="B89" xml:space="preserve"> ROW() - ROW($2:$2)</f>
        <v>87</v>
      </c>
      <c r="C89" s="243" t="s">
        <v>2345</v>
      </c>
      <c r="D89" s="76">
        <v>8</v>
      </c>
      <c r="E89" s="117">
        <v>8</v>
      </c>
      <c r="F89" s="218" t="s">
        <v>1427</v>
      </c>
      <c r="G89" s="242" t="s">
        <v>2206</v>
      </c>
      <c r="H89" s="136" t="s">
        <v>1175</v>
      </c>
      <c r="I89" s="126"/>
      <c r="J89" s="117">
        <v>8</v>
      </c>
      <c r="K89" s="76">
        <v>8</v>
      </c>
      <c r="L89" s="76">
        <v>8</v>
      </c>
      <c r="M89" s="116">
        <v>8</v>
      </c>
      <c r="N89" s="77"/>
      <c r="W89" s="70"/>
      <c r="X89" s="70"/>
      <c r="Y89" s="70"/>
      <c r="Z89" s="70"/>
    </row>
    <row r="90" spans="2:26">
      <c r="W90" s="70"/>
      <c r="X90" s="70"/>
      <c r="Y90" s="70"/>
      <c r="Z90" s="70"/>
    </row>
    <row r="91" spans="2:26">
      <c r="W91" s="70"/>
      <c r="X91" s="70"/>
      <c r="Y91" s="70"/>
      <c r="Z91" s="70"/>
    </row>
    <row r="92" spans="2:26">
      <c r="W92" s="70"/>
      <c r="X92" s="70"/>
      <c r="Y92" s="70"/>
      <c r="Z92" s="70"/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9F03E-6C48-4203-AAA5-0EB3A93C773E}">
  <dimension ref="B1:S17"/>
  <sheetViews>
    <sheetView showGridLines="0" zoomScale="90" zoomScaleNormal="90" workbookViewId="0">
      <selection activeCell="K5" sqref="K5"/>
    </sheetView>
  </sheetViews>
  <sheetFormatPr defaultRowHeight="32.25" outlineLevelCol="1"/>
  <cols>
    <col min="2" max="2" width="20" style="252" customWidth="1"/>
    <col min="3" max="3" width="18.5" style="252" customWidth="1" outlineLevel="1"/>
    <col min="4" max="15" width="11" style="253" customWidth="1"/>
    <col min="16" max="18" width="9" style="251"/>
  </cols>
  <sheetData>
    <row r="1" spans="2:19" ht="10.5" customHeight="1"/>
    <row r="2" spans="2:19" ht="39">
      <c r="B2" s="420" t="s">
        <v>2418</v>
      </c>
      <c r="C2" s="421"/>
      <c r="D2" s="424" t="s">
        <v>2402</v>
      </c>
      <c r="E2" s="425"/>
      <c r="F2" s="425"/>
      <c r="G2" s="426"/>
      <c r="H2" s="414" t="s">
        <v>2403</v>
      </c>
      <c r="I2" s="415"/>
      <c r="J2" s="414" t="s">
        <v>2443</v>
      </c>
      <c r="K2" s="415"/>
      <c r="L2" s="414" t="s">
        <v>2444</v>
      </c>
      <c r="M2" s="415"/>
      <c r="N2" s="414" t="s">
        <v>2445</v>
      </c>
      <c r="O2" s="415"/>
    </row>
    <row r="3" spans="2:19" ht="32.25" customHeight="1">
      <c r="B3" s="422"/>
      <c r="C3" s="423"/>
      <c r="D3" s="418" t="s">
        <v>2371</v>
      </c>
      <c r="E3" s="419"/>
      <c r="F3" s="418" t="s">
        <v>2372</v>
      </c>
      <c r="G3" s="419"/>
      <c r="H3" s="416"/>
      <c r="I3" s="417"/>
      <c r="J3" s="416"/>
      <c r="K3" s="417"/>
      <c r="L3" s="416"/>
      <c r="M3" s="417"/>
      <c r="N3" s="416"/>
      <c r="O3" s="417"/>
    </row>
    <row r="4" spans="2:19" ht="45.75">
      <c r="B4" s="410" t="s">
        <v>1439</v>
      </c>
      <c r="C4" s="412" t="s">
        <v>1439</v>
      </c>
      <c r="D4" s="289" t="s">
        <v>3562</v>
      </c>
      <c r="E4" s="290" t="s">
        <v>994</v>
      </c>
      <c r="F4" s="289" t="s">
        <v>2373</v>
      </c>
      <c r="G4" s="290" t="s">
        <v>1013</v>
      </c>
      <c r="H4" s="289" t="s">
        <v>2374</v>
      </c>
      <c r="I4" s="290" t="s">
        <v>1841</v>
      </c>
      <c r="J4" s="289" t="s">
        <v>2375</v>
      </c>
      <c r="K4" s="290" t="s">
        <v>1086</v>
      </c>
      <c r="L4" s="289"/>
      <c r="M4" s="290" t="s">
        <v>1396</v>
      </c>
      <c r="N4" s="289"/>
      <c r="O4" s="290" t="s">
        <v>1396</v>
      </c>
      <c r="S4" s="251"/>
    </row>
    <row r="5" spans="2:19" ht="44.25">
      <c r="B5" s="411"/>
      <c r="C5" s="413"/>
      <c r="D5" s="291" t="s">
        <v>1436</v>
      </c>
      <c r="E5" s="292" t="s">
        <v>2404</v>
      </c>
      <c r="F5" s="291" t="s">
        <v>1445</v>
      </c>
      <c r="G5" s="292" t="s">
        <v>2407</v>
      </c>
      <c r="H5" s="291" t="s">
        <v>1453</v>
      </c>
      <c r="I5" s="292" t="s">
        <v>2410</v>
      </c>
      <c r="J5" s="291" t="s">
        <v>1462</v>
      </c>
      <c r="K5" s="292" t="s">
        <v>2411</v>
      </c>
      <c r="L5" s="291"/>
      <c r="M5" s="292"/>
      <c r="N5" s="291"/>
      <c r="O5" s="292"/>
      <c r="S5" s="251"/>
    </row>
    <row r="6" spans="2:19" ht="45.75">
      <c r="B6" s="410" t="s">
        <v>2398</v>
      </c>
      <c r="C6" s="412" t="s">
        <v>1448</v>
      </c>
      <c r="D6" s="289" t="s">
        <v>2376</v>
      </c>
      <c r="E6" s="290" t="s">
        <v>1008</v>
      </c>
      <c r="F6" s="289" t="s">
        <v>2377</v>
      </c>
      <c r="G6" s="290" t="s">
        <v>1018</v>
      </c>
      <c r="H6" s="289"/>
      <c r="I6" s="290"/>
      <c r="J6" s="289" t="s">
        <v>2378</v>
      </c>
      <c r="K6" s="290" t="s">
        <v>1091</v>
      </c>
      <c r="L6" s="289"/>
      <c r="M6" s="290" t="s">
        <v>1396</v>
      </c>
      <c r="N6" s="289" t="s">
        <v>2379</v>
      </c>
      <c r="O6" s="290" t="s">
        <v>990</v>
      </c>
    </row>
    <row r="7" spans="2:19" ht="44.25">
      <c r="B7" s="411"/>
      <c r="C7" s="413"/>
      <c r="D7" s="291" t="s">
        <v>1468</v>
      </c>
      <c r="E7" s="292" t="s">
        <v>2405</v>
      </c>
      <c r="F7" s="291" t="s">
        <v>1476</v>
      </c>
      <c r="G7" s="292" t="s">
        <v>2408</v>
      </c>
      <c r="H7" s="291"/>
      <c r="I7" s="292"/>
      <c r="J7" s="291" t="s">
        <v>1482</v>
      </c>
      <c r="K7" s="292" t="s">
        <v>2412</v>
      </c>
      <c r="L7" s="291"/>
      <c r="M7" s="292"/>
      <c r="N7" s="291" t="s">
        <v>1484</v>
      </c>
      <c r="O7" s="292" t="s">
        <v>2414</v>
      </c>
    </row>
    <row r="8" spans="2:19" ht="45.75">
      <c r="B8" s="410" t="s">
        <v>2399</v>
      </c>
      <c r="C8" s="412" t="s">
        <v>1456</v>
      </c>
      <c r="D8" s="289" t="s">
        <v>2380</v>
      </c>
      <c r="E8" s="290" t="s">
        <v>1028</v>
      </c>
      <c r="F8" s="289" t="s">
        <v>2381</v>
      </c>
      <c r="G8" s="290" t="s">
        <v>1074</v>
      </c>
      <c r="H8" s="289" t="s">
        <v>2382</v>
      </c>
      <c r="I8" s="290" t="s">
        <v>1843</v>
      </c>
      <c r="J8" s="289"/>
      <c r="K8" s="290"/>
      <c r="L8" s="289" t="s">
        <v>2383</v>
      </c>
      <c r="M8" s="290" t="s">
        <v>2446</v>
      </c>
      <c r="N8" s="289"/>
      <c r="O8" s="290" t="s">
        <v>1396</v>
      </c>
    </row>
    <row r="9" spans="2:19" ht="44.25">
      <c r="B9" s="411"/>
      <c r="C9" s="413"/>
      <c r="D9" s="291" t="s">
        <v>1497</v>
      </c>
      <c r="E9" s="292" t="s">
        <v>2306</v>
      </c>
      <c r="F9" s="291" t="s">
        <v>1500</v>
      </c>
      <c r="G9" s="292" t="s">
        <v>2191</v>
      </c>
      <c r="H9" s="291" t="s">
        <v>1588</v>
      </c>
      <c r="I9" s="292" t="s">
        <v>1669</v>
      </c>
      <c r="J9" s="291"/>
      <c r="K9" s="292"/>
      <c r="L9" s="291" t="s">
        <v>2447</v>
      </c>
      <c r="M9" s="292" t="s">
        <v>2309</v>
      </c>
      <c r="N9" s="291"/>
      <c r="O9" s="292"/>
    </row>
    <row r="10" spans="2:19" ht="45.75">
      <c r="B10" s="410" t="s">
        <v>1463</v>
      </c>
      <c r="C10" s="412" t="s">
        <v>1463</v>
      </c>
      <c r="D10" s="289" t="s">
        <v>2384</v>
      </c>
      <c r="E10" s="290" t="s">
        <v>2449</v>
      </c>
      <c r="F10" s="289" t="s">
        <v>2385</v>
      </c>
      <c r="G10" s="290" t="s">
        <v>2450</v>
      </c>
      <c r="H10" s="289" t="s">
        <v>2386</v>
      </c>
      <c r="I10" s="290" t="s">
        <v>2448</v>
      </c>
      <c r="J10" s="289"/>
      <c r="K10" s="290"/>
      <c r="L10" s="289" t="s">
        <v>2387</v>
      </c>
      <c r="M10" s="290" t="s">
        <v>2451</v>
      </c>
      <c r="N10" s="289"/>
      <c r="O10" s="290" t="s">
        <v>1396</v>
      </c>
    </row>
    <row r="11" spans="2:19" ht="44.25">
      <c r="B11" s="411"/>
      <c r="C11" s="413"/>
      <c r="D11" s="291" t="s">
        <v>1508</v>
      </c>
      <c r="E11" s="292" t="s">
        <v>2192</v>
      </c>
      <c r="F11" s="291" t="s">
        <v>1512</v>
      </c>
      <c r="G11" s="292" t="s">
        <v>2415</v>
      </c>
      <c r="H11" s="291" t="s">
        <v>1514</v>
      </c>
      <c r="I11" s="292" t="s">
        <v>2190</v>
      </c>
      <c r="J11" s="291"/>
      <c r="K11" s="292"/>
      <c r="L11" s="291" t="s">
        <v>1517</v>
      </c>
      <c r="M11" s="292" t="s">
        <v>2309</v>
      </c>
      <c r="N11" s="291"/>
      <c r="O11" s="292"/>
    </row>
    <row r="12" spans="2:19" ht="45.75">
      <c r="B12" s="410" t="s">
        <v>1471</v>
      </c>
      <c r="C12" s="412" t="s">
        <v>1471</v>
      </c>
      <c r="D12" s="289" t="s">
        <v>2388</v>
      </c>
      <c r="E12" s="290" t="s">
        <v>998</v>
      </c>
      <c r="F12" s="289" t="s">
        <v>2389</v>
      </c>
      <c r="G12" s="290" t="s">
        <v>1003</v>
      </c>
      <c r="H12" s="289" t="s">
        <v>2390</v>
      </c>
      <c r="I12" s="290" t="s">
        <v>1844</v>
      </c>
      <c r="J12" s="289" t="s">
        <v>2391</v>
      </c>
      <c r="K12" s="290" t="s">
        <v>1096</v>
      </c>
      <c r="L12" s="289" t="s">
        <v>1396</v>
      </c>
      <c r="M12" s="290"/>
      <c r="N12" s="289"/>
      <c r="O12" s="290" t="s">
        <v>1396</v>
      </c>
    </row>
    <row r="13" spans="2:19" ht="44.25">
      <c r="B13" s="411"/>
      <c r="C13" s="413"/>
      <c r="D13" s="291" t="s">
        <v>1486</v>
      </c>
      <c r="E13" s="292" t="s">
        <v>2406</v>
      </c>
      <c r="F13" s="291" t="s">
        <v>1490</v>
      </c>
      <c r="G13" s="292" t="s">
        <v>2409</v>
      </c>
      <c r="H13" s="291" t="s">
        <v>1491</v>
      </c>
      <c r="I13" s="292" t="s">
        <v>2416</v>
      </c>
      <c r="J13" s="291" t="s">
        <v>1584</v>
      </c>
      <c r="K13" s="292" t="s">
        <v>2413</v>
      </c>
      <c r="L13" s="291"/>
      <c r="M13" s="292"/>
      <c r="N13" s="291"/>
      <c r="O13" s="292"/>
    </row>
    <row r="14" spans="2:19" ht="45.75">
      <c r="B14" s="410" t="s">
        <v>1479</v>
      </c>
      <c r="C14" s="412" t="s">
        <v>1479</v>
      </c>
      <c r="D14" s="289"/>
      <c r="E14" s="290"/>
      <c r="F14" s="289"/>
      <c r="G14" s="290"/>
      <c r="H14" s="289"/>
      <c r="I14" s="290"/>
      <c r="J14" s="289"/>
      <c r="K14" s="290"/>
      <c r="L14" s="289" t="s">
        <v>2392</v>
      </c>
      <c r="M14" s="290" t="s">
        <v>1082</v>
      </c>
      <c r="N14" s="289"/>
      <c r="O14" s="290" t="s">
        <v>1396</v>
      </c>
    </row>
    <row r="15" spans="2:19" ht="44.25">
      <c r="B15" s="411"/>
      <c r="C15" s="413"/>
      <c r="D15" s="291"/>
      <c r="E15" s="292"/>
      <c r="F15" s="291"/>
      <c r="G15" s="292"/>
      <c r="H15" s="291"/>
      <c r="I15" s="292"/>
      <c r="J15" s="291"/>
      <c r="K15" s="292"/>
      <c r="L15" s="291" t="s">
        <v>1494</v>
      </c>
      <c r="M15" s="292" t="s">
        <v>2417</v>
      </c>
      <c r="N15" s="291"/>
      <c r="O15" s="292"/>
    </row>
    <row r="16" spans="2:19" ht="45.75">
      <c r="B16" s="410" t="s">
        <v>2400</v>
      </c>
      <c r="C16" s="412" t="s">
        <v>2401</v>
      </c>
      <c r="D16" s="293" t="s">
        <v>1686</v>
      </c>
      <c r="E16" s="290" t="s">
        <v>2189</v>
      </c>
      <c r="F16" s="289"/>
      <c r="G16" s="290"/>
      <c r="H16" s="289"/>
      <c r="I16" s="290"/>
      <c r="J16" s="289"/>
      <c r="K16" s="290"/>
      <c r="L16" s="289"/>
      <c r="M16" s="290"/>
      <c r="N16" s="289"/>
      <c r="O16" s="290" t="s">
        <v>1396</v>
      </c>
    </row>
    <row r="17" spans="2:15" ht="44.25">
      <c r="B17" s="411"/>
      <c r="C17" s="413"/>
      <c r="D17" s="294"/>
      <c r="E17" s="292" t="s">
        <v>2452</v>
      </c>
      <c r="F17" s="291"/>
      <c r="G17" s="292"/>
      <c r="H17" s="291"/>
      <c r="I17" s="292"/>
      <c r="J17" s="291"/>
      <c r="K17" s="292"/>
      <c r="L17" s="291"/>
      <c r="M17" s="292"/>
      <c r="N17" s="291"/>
      <c r="O17" s="292" t="s">
        <v>1396</v>
      </c>
    </row>
  </sheetData>
  <mergeCells count="22">
    <mergeCell ref="N2:O3"/>
    <mergeCell ref="D3:E3"/>
    <mergeCell ref="F3:G3"/>
    <mergeCell ref="B2:C3"/>
    <mergeCell ref="D2:G2"/>
    <mergeCell ref="H2:I3"/>
    <mergeCell ref="J2:K3"/>
    <mergeCell ref="L2:M3"/>
    <mergeCell ref="B4:B5"/>
    <mergeCell ref="C4:C5"/>
    <mergeCell ref="B6:B7"/>
    <mergeCell ref="C6:C7"/>
    <mergeCell ref="B8:B9"/>
    <mergeCell ref="C8:C9"/>
    <mergeCell ref="B16:B17"/>
    <mergeCell ref="C16:C17"/>
    <mergeCell ref="B10:B11"/>
    <mergeCell ref="C10:C11"/>
    <mergeCell ref="B12:B13"/>
    <mergeCell ref="C12:C13"/>
    <mergeCell ref="B14:B15"/>
    <mergeCell ref="C14:C15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C81F6-5125-40F5-8D88-CFFAED4DFB91}">
  <dimension ref="B2:V53"/>
  <sheetViews>
    <sheetView zoomScale="70" zoomScaleNormal="70" workbookViewId="0">
      <selection activeCell="I19" sqref="I19"/>
    </sheetView>
  </sheetViews>
  <sheetFormatPr defaultRowHeight="23.25"/>
  <cols>
    <col min="1" max="1" width="2" style="298" customWidth="1"/>
    <col min="2" max="22" width="13" style="298" customWidth="1"/>
    <col min="23" max="16384" width="9" style="298"/>
  </cols>
  <sheetData>
    <row r="2" spans="2:22" ht="30">
      <c r="B2" s="431" t="s">
        <v>2393</v>
      </c>
      <c r="C2" s="431" t="s">
        <v>2397</v>
      </c>
      <c r="D2" s="431"/>
      <c r="E2" s="431"/>
      <c r="F2" s="431"/>
      <c r="G2" s="295" t="s">
        <v>2453</v>
      </c>
      <c r="H2" s="296"/>
      <c r="I2" s="296"/>
      <c r="J2" s="296"/>
      <c r="K2" s="296"/>
      <c r="L2" s="297"/>
      <c r="M2" s="295" t="s">
        <v>2454</v>
      </c>
      <c r="N2" s="296"/>
      <c r="O2" s="296"/>
      <c r="P2" s="296"/>
      <c r="Q2" s="296"/>
      <c r="R2" s="296"/>
      <c r="S2" s="296"/>
      <c r="T2" s="296"/>
      <c r="U2" s="296"/>
      <c r="V2" s="297"/>
    </row>
    <row r="3" spans="2:22">
      <c r="B3" s="431"/>
      <c r="C3" s="431"/>
      <c r="D3" s="431"/>
      <c r="E3" s="431"/>
      <c r="F3" s="431"/>
      <c r="G3" s="429" t="s">
        <v>5</v>
      </c>
      <c r="H3" s="430"/>
      <c r="I3" s="429" t="s">
        <v>8</v>
      </c>
      <c r="J3" s="430"/>
      <c r="K3" s="429" t="s">
        <v>17</v>
      </c>
      <c r="L3" s="430"/>
      <c r="M3" s="429" t="s">
        <v>2368</v>
      </c>
      <c r="N3" s="430"/>
      <c r="O3" s="429" t="s">
        <v>2369</v>
      </c>
      <c r="P3" s="430"/>
      <c r="Q3" s="429" t="s">
        <v>2370</v>
      </c>
      <c r="R3" s="430"/>
      <c r="S3" s="299" t="s">
        <v>1686</v>
      </c>
      <c r="T3" s="300"/>
      <c r="U3" s="300"/>
      <c r="V3" s="301"/>
    </row>
    <row r="4" spans="2:22" ht="25.5">
      <c r="B4" s="427" t="s">
        <v>18</v>
      </c>
      <c r="C4" s="302" t="s">
        <v>1758</v>
      </c>
      <c r="D4" s="303" t="s">
        <v>1758</v>
      </c>
      <c r="E4" s="302" t="s">
        <v>1234</v>
      </c>
      <c r="F4" s="303" t="s">
        <v>1849</v>
      </c>
      <c r="G4" s="302" t="s">
        <v>1762</v>
      </c>
      <c r="H4" s="303" t="s">
        <v>1762</v>
      </c>
      <c r="I4" s="302" t="s">
        <v>1763</v>
      </c>
      <c r="J4" s="303" t="s">
        <v>1763</v>
      </c>
      <c r="K4" s="302" t="s">
        <v>2455</v>
      </c>
      <c r="L4" s="303" t="s">
        <v>1764</v>
      </c>
      <c r="M4" s="302" t="s">
        <v>2456</v>
      </c>
      <c r="N4" s="303" t="s">
        <v>1765</v>
      </c>
      <c r="O4" s="302" t="s">
        <v>2457</v>
      </c>
      <c r="P4" s="303" t="s">
        <v>1766</v>
      </c>
      <c r="Q4" s="302" t="s">
        <v>2458</v>
      </c>
      <c r="R4" s="303" t="s">
        <v>1848</v>
      </c>
      <c r="S4" s="302" t="s">
        <v>47</v>
      </c>
      <c r="T4" s="303" t="s">
        <v>1760</v>
      </c>
      <c r="U4" s="302" t="s">
        <v>2459</v>
      </c>
      <c r="V4" s="303" t="s">
        <v>1850</v>
      </c>
    </row>
    <row r="5" spans="2:22" ht="44.25">
      <c r="B5" s="428"/>
      <c r="C5" s="291" t="s">
        <v>2360</v>
      </c>
      <c r="D5" s="292" t="s">
        <v>2460</v>
      </c>
      <c r="E5" s="291" t="s">
        <v>2461</v>
      </c>
      <c r="F5" s="292" t="s">
        <v>2462</v>
      </c>
      <c r="G5" s="291" t="s">
        <v>2463</v>
      </c>
      <c r="H5" s="292" t="s">
        <v>2464</v>
      </c>
      <c r="I5" s="291" t="s">
        <v>2465</v>
      </c>
      <c r="J5" s="292" t="s">
        <v>2466</v>
      </c>
      <c r="K5" s="291" t="s">
        <v>2467</v>
      </c>
      <c r="L5" s="292" t="s">
        <v>2468</v>
      </c>
      <c r="M5" s="291" t="s">
        <v>2469</v>
      </c>
      <c r="N5" s="292" t="s">
        <v>2470</v>
      </c>
      <c r="O5" s="291" t="s">
        <v>2471</v>
      </c>
      <c r="P5" s="292" t="s">
        <v>2472</v>
      </c>
      <c r="Q5" s="291" t="s">
        <v>2473</v>
      </c>
      <c r="R5" s="292" t="s">
        <v>2474</v>
      </c>
      <c r="S5" s="291" t="s">
        <v>2475</v>
      </c>
      <c r="T5" s="292" t="s">
        <v>2476</v>
      </c>
      <c r="U5" s="291" t="s">
        <v>2477</v>
      </c>
      <c r="V5" s="292" t="s">
        <v>2478</v>
      </c>
    </row>
    <row r="6" spans="2:22" ht="25.5">
      <c r="B6" s="427" t="s">
        <v>149</v>
      </c>
      <c r="C6" s="302" t="s">
        <v>1767</v>
      </c>
      <c r="D6" s="303" t="s">
        <v>1767</v>
      </c>
      <c r="E6" s="302" t="s">
        <v>2479</v>
      </c>
      <c r="F6" s="303" t="s">
        <v>1863</v>
      </c>
      <c r="G6" s="302"/>
      <c r="H6" s="303"/>
      <c r="I6" s="302"/>
      <c r="J6" s="303"/>
      <c r="K6" s="302"/>
      <c r="L6" s="303"/>
      <c r="M6" s="302"/>
      <c r="N6" s="303"/>
      <c r="O6" s="302"/>
      <c r="P6" s="303"/>
      <c r="Q6" s="302"/>
      <c r="R6" s="303"/>
      <c r="S6" s="302" t="s">
        <v>2480</v>
      </c>
      <c r="T6" s="303" t="s">
        <v>1770</v>
      </c>
      <c r="U6" s="302" t="s">
        <v>2481</v>
      </c>
      <c r="V6" s="303" t="s">
        <v>2482</v>
      </c>
    </row>
    <row r="7" spans="2:22" ht="44.25">
      <c r="B7" s="428"/>
      <c r="C7" s="291" t="s">
        <v>2483</v>
      </c>
      <c r="D7" s="292" t="s">
        <v>2484</v>
      </c>
      <c r="E7" s="291" t="s">
        <v>2485</v>
      </c>
      <c r="F7" s="292" t="s">
        <v>2486</v>
      </c>
      <c r="G7" s="291"/>
      <c r="H7" s="304"/>
      <c r="I7" s="291"/>
      <c r="J7" s="304"/>
      <c r="K7" s="291"/>
      <c r="L7" s="304"/>
      <c r="M7" s="291"/>
      <c r="N7" s="304"/>
      <c r="O7" s="291"/>
      <c r="P7" s="304"/>
      <c r="Q7" s="291"/>
      <c r="R7" s="304"/>
      <c r="S7" s="291" t="s">
        <v>2487</v>
      </c>
      <c r="T7" s="304" t="s">
        <v>2488</v>
      </c>
      <c r="U7" s="291" t="s">
        <v>2489</v>
      </c>
      <c r="V7" s="305" t="s">
        <v>2490</v>
      </c>
    </row>
    <row r="8" spans="2:22" ht="25.5">
      <c r="B8" s="427" t="s">
        <v>2394</v>
      </c>
      <c r="C8" s="302" t="s">
        <v>2491</v>
      </c>
      <c r="D8" s="303" t="s">
        <v>1771</v>
      </c>
      <c r="E8" s="302"/>
      <c r="F8" s="303"/>
      <c r="G8" s="302"/>
      <c r="H8" s="303"/>
      <c r="I8" s="302"/>
      <c r="J8" s="303"/>
      <c r="K8" s="302"/>
      <c r="L8" s="303"/>
      <c r="M8" s="302"/>
      <c r="N8" s="303"/>
      <c r="O8" s="302"/>
      <c r="P8" s="303"/>
      <c r="Q8" s="302"/>
      <c r="R8" s="303"/>
      <c r="S8" s="302" t="s">
        <v>2492</v>
      </c>
      <c r="T8" s="303" t="s">
        <v>1772</v>
      </c>
      <c r="U8" s="302" t="s">
        <v>2493</v>
      </c>
      <c r="V8" s="303" t="s">
        <v>2494</v>
      </c>
    </row>
    <row r="9" spans="2:22" ht="44.25">
      <c r="B9" s="428"/>
      <c r="C9" s="291" t="s">
        <v>2495</v>
      </c>
      <c r="D9" s="292" t="s">
        <v>2496</v>
      </c>
      <c r="E9" s="291"/>
      <c r="F9" s="304"/>
      <c r="G9" s="291"/>
      <c r="H9" s="304"/>
      <c r="I9" s="291"/>
      <c r="J9" s="304"/>
      <c r="K9" s="291"/>
      <c r="L9" s="304"/>
      <c r="M9" s="291"/>
      <c r="N9" s="304"/>
      <c r="O9" s="291"/>
      <c r="P9" s="304"/>
      <c r="Q9" s="291"/>
      <c r="R9" s="304"/>
      <c r="S9" s="291" t="s">
        <v>2497</v>
      </c>
      <c r="T9" s="306" t="s">
        <v>2212</v>
      </c>
      <c r="U9" s="307" t="s">
        <v>2498</v>
      </c>
      <c r="V9" s="308" t="s">
        <v>2499</v>
      </c>
    </row>
    <row r="10" spans="2:22" ht="25.5">
      <c r="B10" s="427" t="s">
        <v>1846</v>
      </c>
      <c r="C10" s="309" t="s">
        <v>2500</v>
      </c>
      <c r="D10" s="310" t="s">
        <v>2501</v>
      </c>
      <c r="E10" s="302"/>
      <c r="F10" s="303"/>
      <c r="G10" s="302"/>
      <c r="H10" s="303"/>
      <c r="I10" s="302"/>
      <c r="J10" s="303"/>
      <c r="K10" s="302" t="s">
        <v>2502</v>
      </c>
      <c r="L10" s="303" t="s">
        <v>2503</v>
      </c>
      <c r="M10" s="302"/>
      <c r="N10" s="303"/>
      <c r="O10" s="302"/>
      <c r="P10" s="303"/>
      <c r="Q10" s="302" t="s">
        <v>1150</v>
      </c>
      <c r="R10" s="303" t="s">
        <v>2504</v>
      </c>
      <c r="S10" s="309" t="s">
        <v>2505</v>
      </c>
      <c r="T10" s="310" t="s">
        <v>2506</v>
      </c>
      <c r="U10" s="302"/>
      <c r="V10" s="303"/>
    </row>
    <row r="11" spans="2:22" ht="50.25">
      <c r="B11" s="428"/>
      <c r="C11" s="311" t="s">
        <v>2507</v>
      </c>
      <c r="D11" s="312" t="s">
        <v>1122</v>
      </c>
      <c r="E11" s="291"/>
      <c r="F11" s="304"/>
      <c r="G11" s="291"/>
      <c r="H11" s="304"/>
      <c r="I11" s="291"/>
      <c r="J11" s="304"/>
      <c r="K11" s="291" t="s">
        <v>2508</v>
      </c>
      <c r="L11" s="292" t="s">
        <v>2509</v>
      </c>
      <c r="M11" s="291"/>
      <c r="N11" s="304"/>
      <c r="O11" s="291"/>
      <c r="P11" s="304"/>
      <c r="Q11" s="291" t="s">
        <v>2510</v>
      </c>
      <c r="R11" s="292" t="s">
        <v>1147</v>
      </c>
      <c r="S11" s="313" t="s">
        <v>2511</v>
      </c>
      <c r="T11" s="314" t="s">
        <v>2512</v>
      </c>
      <c r="U11" s="307"/>
      <c r="V11" s="308"/>
    </row>
    <row r="12" spans="2:22" ht="25.5">
      <c r="B12" s="427" t="s">
        <v>208</v>
      </c>
      <c r="C12" s="302" t="s">
        <v>1773</v>
      </c>
      <c r="D12" s="303" t="s">
        <v>1773</v>
      </c>
      <c r="E12" s="309" t="s">
        <v>2513</v>
      </c>
      <c r="F12" s="310" t="s">
        <v>1851</v>
      </c>
      <c r="G12" s="302"/>
      <c r="H12" s="303"/>
      <c r="I12" s="302"/>
      <c r="J12" s="303"/>
      <c r="K12" s="302"/>
      <c r="L12" s="303"/>
      <c r="M12" s="302"/>
      <c r="N12" s="303"/>
      <c r="O12" s="302"/>
      <c r="P12" s="303"/>
      <c r="Q12" s="302"/>
      <c r="R12" s="303"/>
      <c r="S12" s="302" t="s">
        <v>238</v>
      </c>
      <c r="T12" s="303" t="s">
        <v>1775</v>
      </c>
      <c r="U12" s="302" t="s">
        <v>2514</v>
      </c>
      <c r="V12" s="303" t="s">
        <v>1852</v>
      </c>
    </row>
    <row r="13" spans="2:22" ht="44.25">
      <c r="B13" s="428"/>
      <c r="C13" s="291" t="s">
        <v>2515</v>
      </c>
      <c r="D13" s="292" t="s">
        <v>2516</v>
      </c>
      <c r="E13" s="311" t="s">
        <v>2517</v>
      </c>
      <c r="F13" s="315" t="s">
        <v>2518</v>
      </c>
      <c r="G13" s="307"/>
      <c r="H13" s="308"/>
      <c r="I13" s="307"/>
      <c r="J13" s="308"/>
      <c r="K13" s="307"/>
      <c r="L13" s="308"/>
      <c r="M13" s="307"/>
      <c r="N13" s="308"/>
      <c r="O13" s="307"/>
      <c r="P13" s="308"/>
      <c r="Q13" s="307"/>
      <c r="R13" s="308"/>
      <c r="S13" s="291" t="s">
        <v>2519</v>
      </c>
      <c r="T13" s="292" t="s">
        <v>2520</v>
      </c>
      <c r="U13" s="291" t="s">
        <v>2521</v>
      </c>
      <c r="V13" s="316" t="s">
        <v>2522</v>
      </c>
    </row>
    <row r="14" spans="2:22" ht="25.5">
      <c r="B14" s="427" t="s">
        <v>260</v>
      </c>
      <c r="C14" s="302" t="s">
        <v>1777</v>
      </c>
      <c r="D14" s="303" t="s">
        <v>1777</v>
      </c>
      <c r="E14" s="302" t="s">
        <v>2523</v>
      </c>
      <c r="F14" s="303" t="s">
        <v>1857</v>
      </c>
      <c r="G14" s="302" t="s">
        <v>1780</v>
      </c>
      <c r="H14" s="303" t="s">
        <v>1780</v>
      </c>
      <c r="I14" s="302" t="s">
        <v>1781</v>
      </c>
      <c r="J14" s="303" t="s">
        <v>1781</v>
      </c>
      <c r="K14" s="302" t="s">
        <v>2297</v>
      </c>
      <c r="L14" s="303" t="s">
        <v>1782</v>
      </c>
      <c r="M14" s="302" t="s">
        <v>2524</v>
      </c>
      <c r="N14" s="303" t="s">
        <v>1783</v>
      </c>
      <c r="O14" s="302" t="s">
        <v>2525</v>
      </c>
      <c r="P14" s="303" t="s">
        <v>1784</v>
      </c>
      <c r="Q14" s="302" t="s">
        <v>2526</v>
      </c>
      <c r="R14" s="303" t="s">
        <v>1785</v>
      </c>
      <c r="S14" s="302" t="s">
        <v>291</v>
      </c>
      <c r="T14" s="303" t="s">
        <v>1779</v>
      </c>
      <c r="U14" s="302" t="s">
        <v>2527</v>
      </c>
      <c r="V14" s="303" t="s">
        <v>1858</v>
      </c>
    </row>
    <row r="15" spans="2:22" ht="50.25">
      <c r="B15" s="428"/>
      <c r="C15" s="291" t="s">
        <v>2528</v>
      </c>
      <c r="D15" s="292" t="s">
        <v>2529</v>
      </c>
      <c r="E15" s="291" t="s">
        <v>2530</v>
      </c>
      <c r="F15" s="304" t="s">
        <v>2531</v>
      </c>
      <c r="G15" s="291" t="s">
        <v>2419</v>
      </c>
      <c r="H15" s="292" t="s">
        <v>2532</v>
      </c>
      <c r="I15" s="291" t="s">
        <v>2420</v>
      </c>
      <c r="J15" s="292" t="s">
        <v>2533</v>
      </c>
      <c r="K15" s="291" t="s">
        <v>2534</v>
      </c>
      <c r="L15" s="292" t="s">
        <v>2509</v>
      </c>
      <c r="M15" s="291" t="s">
        <v>2535</v>
      </c>
      <c r="N15" s="292" t="s">
        <v>2536</v>
      </c>
      <c r="O15" s="291" t="s">
        <v>2537</v>
      </c>
      <c r="P15" s="292" t="s">
        <v>2538</v>
      </c>
      <c r="Q15" s="291" t="s">
        <v>2299</v>
      </c>
      <c r="R15" s="317" t="s">
        <v>1147</v>
      </c>
      <c r="S15" s="291" t="s">
        <v>2539</v>
      </c>
      <c r="T15" s="292" t="s">
        <v>2540</v>
      </c>
      <c r="U15" s="291" t="s">
        <v>2541</v>
      </c>
      <c r="V15" s="292" t="s">
        <v>2542</v>
      </c>
    </row>
    <row r="16" spans="2:22" ht="25.5">
      <c r="B16" s="427" t="s">
        <v>391</v>
      </c>
      <c r="C16" s="302" t="s">
        <v>1786</v>
      </c>
      <c r="D16" s="303" t="s">
        <v>1786</v>
      </c>
      <c r="E16" s="302" t="s">
        <v>2543</v>
      </c>
      <c r="F16" s="303" t="s">
        <v>1861</v>
      </c>
      <c r="G16" s="302" t="s">
        <v>1790</v>
      </c>
      <c r="H16" s="303" t="s">
        <v>1790</v>
      </c>
      <c r="I16" s="302" t="s">
        <v>1700</v>
      </c>
      <c r="J16" s="303" t="s">
        <v>1700</v>
      </c>
      <c r="K16" s="302" t="s">
        <v>2544</v>
      </c>
      <c r="L16" s="303" t="s">
        <v>1791</v>
      </c>
      <c r="M16" s="302" t="s">
        <v>2545</v>
      </c>
      <c r="N16" s="303" t="s">
        <v>1792</v>
      </c>
      <c r="O16" s="302" t="s">
        <v>2546</v>
      </c>
      <c r="P16" s="303" t="s">
        <v>1701</v>
      </c>
      <c r="Q16" s="302" t="s">
        <v>2547</v>
      </c>
      <c r="R16" s="303" t="s">
        <v>1793</v>
      </c>
      <c r="S16" s="302" t="s">
        <v>2548</v>
      </c>
      <c r="T16" s="303" t="s">
        <v>1788</v>
      </c>
      <c r="U16" s="302" t="s">
        <v>2549</v>
      </c>
      <c r="V16" s="303" t="s">
        <v>2550</v>
      </c>
    </row>
    <row r="17" spans="2:22" ht="44.25">
      <c r="B17" s="428"/>
      <c r="C17" s="291" t="s">
        <v>2551</v>
      </c>
      <c r="D17" s="292" t="s">
        <v>2552</v>
      </c>
      <c r="E17" s="291" t="s">
        <v>2553</v>
      </c>
      <c r="F17" s="304" t="s">
        <v>2554</v>
      </c>
      <c r="G17" s="291" t="s">
        <v>2421</v>
      </c>
      <c r="H17" s="292" t="s">
        <v>2555</v>
      </c>
      <c r="I17" s="291" t="s">
        <v>1702</v>
      </c>
      <c r="J17" s="292" t="s">
        <v>2556</v>
      </c>
      <c r="K17" s="291" t="s">
        <v>2422</v>
      </c>
      <c r="L17" s="292" t="s">
        <v>2557</v>
      </c>
      <c r="M17" s="291" t="s">
        <v>2558</v>
      </c>
      <c r="N17" s="304" t="s">
        <v>2559</v>
      </c>
      <c r="O17" s="291" t="s">
        <v>1703</v>
      </c>
      <c r="P17" s="292" t="s">
        <v>2560</v>
      </c>
      <c r="Q17" s="291" t="s">
        <v>2561</v>
      </c>
      <c r="R17" s="305" t="s">
        <v>2562</v>
      </c>
      <c r="S17" s="291" t="s">
        <v>2563</v>
      </c>
      <c r="T17" s="292" t="s">
        <v>2564</v>
      </c>
      <c r="U17" s="291" t="s">
        <v>2565</v>
      </c>
      <c r="V17" s="318" t="s">
        <v>2218</v>
      </c>
    </row>
    <row r="18" spans="2:22" ht="25.5">
      <c r="B18" s="427" t="s">
        <v>2395</v>
      </c>
      <c r="C18" s="302" t="s">
        <v>2566</v>
      </c>
      <c r="D18" s="303" t="s">
        <v>1794</v>
      </c>
      <c r="E18" s="302" t="s">
        <v>2567</v>
      </c>
      <c r="F18" s="303" t="s">
        <v>1871</v>
      </c>
      <c r="G18" s="302"/>
      <c r="H18" s="303"/>
      <c r="I18" s="302"/>
      <c r="J18" s="303"/>
      <c r="K18" s="302"/>
      <c r="L18" s="303"/>
      <c r="M18" s="302"/>
      <c r="N18" s="303"/>
      <c r="O18" s="302"/>
      <c r="P18" s="303"/>
      <c r="Q18" s="302"/>
      <c r="R18" s="303"/>
      <c r="S18" s="302" t="s">
        <v>2568</v>
      </c>
      <c r="T18" s="303" t="s">
        <v>1796</v>
      </c>
      <c r="U18" s="302"/>
      <c r="V18" s="303"/>
    </row>
    <row r="19" spans="2:22" ht="44.25">
      <c r="B19" s="428"/>
      <c r="C19" s="291" t="s">
        <v>2569</v>
      </c>
      <c r="D19" s="292" t="s">
        <v>2570</v>
      </c>
      <c r="E19" s="291" t="s">
        <v>2571</v>
      </c>
      <c r="F19" s="292" t="s">
        <v>2572</v>
      </c>
      <c r="G19" s="291"/>
      <c r="H19" s="304"/>
      <c r="I19" s="291"/>
      <c r="J19" s="304"/>
      <c r="K19" s="291"/>
      <c r="L19" s="304"/>
      <c r="M19" s="291"/>
      <c r="N19" s="304"/>
      <c r="O19" s="291"/>
      <c r="P19" s="304"/>
      <c r="Q19" s="291"/>
      <c r="R19" s="304"/>
      <c r="S19" s="291" t="s">
        <v>2573</v>
      </c>
      <c r="T19" s="306" t="s">
        <v>2574</v>
      </c>
      <c r="U19" s="307"/>
      <c r="V19" s="308"/>
    </row>
    <row r="20" spans="2:22" ht="25.5">
      <c r="B20" s="427" t="s">
        <v>1277</v>
      </c>
      <c r="C20" s="302" t="s">
        <v>1797</v>
      </c>
      <c r="D20" s="303" t="s">
        <v>1797</v>
      </c>
      <c r="E20" s="302"/>
      <c r="F20" s="303"/>
      <c r="G20" s="302"/>
      <c r="H20" s="303"/>
      <c r="I20" s="302"/>
      <c r="J20" s="303"/>
      <c r="K20" s="302"/>
      <c r="L20" s="303"/>
      <c r="M20" s="302"/>
      <c r="N20" s="303"/>
      <c r="O20" s="302"/>
      <c r="P20" s="303"/>
      <c r="Q20" s="302"/>
      <c r="R20" s="303"/>
      <c r="S20" s="302" t="s">
        <v>2575</v>
      </c>
      <c r="T20" s="303" t="s">
        <v>1799</v>
      </c>
      <c r="U20" s="302"/>
      <c r="V20" s="303"/>
    </row>
    <row r="21" spans="2:22" ht="44.25">
      <c r="B21" s="428"/>
      <c r="C21" s="291" t="s">
        <v>2576</v>
      </c>
      <c r="D21" s="292" t="s">
        <v>2577</v>
      </c>
      <c r="E21" s="291"/>
      <c r="F21" s="304"/>
      <c r="G21" s="291"/>
      <c r="H21" s="304"/>
      <c r="I21" s="291"/>
      <c r="J21" s="304"/>
      <c r="K21" s="291"/>
      <c r="L21" s="304"/>
      <c r="M21" s="291"/>
      <c r="N21" s="304"/>
      <c r="O21" s="291"/>
      <c r="P21" s="304"/>
      <c r="Q21" s="291"/>
      <c r="R21" s="304"/>
      <c r="S21" s="291" t="s">
        <v>2578</v>
      </c>
      <c r="T21" s="305" t="s">
        <v>2579</v>
      </c>
      <c r="U21" s="307"/>
      <c r="V21" s="308"/>
    </row>
    <row r="22" spans="2:22" ht="25.5">
      <c r="B22" s="427" t="s">
        <v>2425</v>
      </c>
      <c r="C22" s="302" t="s">
        <v>2580</v>
      </c>
      <c r="D22" s="303" t="s">
        <v>1798</v>
      </c>
      <c r="E22" s="309" t="s">
        <v>2134</v>
      </c>
      <c r="F22" s="329" t="s">
        <v>1860</v>
      </c>
      <c r="G22" s="302"/>
      <c r="H22" s="303"/>
      <c r="I22" s="302"/>
      <c r="J22" s="303"/>
      <c r="K22" s="319" t="s">
        <v>2581</v>
      </c>
      <c r="L22" s="303" t="s">
        <v>1800</v>
      </c>
      <c r="M22" s="302"/>
      <c r="N22" s="303"/>
      <c r="O22" s="302"/>
      <c r="P22" s="303"/>
      <c r="Q22" s="302" t="s">
        <v>2582</v>
      </c>
      <c r="R22" s="330" t="s">
        <v>2712</v>
      </c>
      <c r="S22" s="320" t="s">
        <v>2583</v>
      </c>
      <c r="T22" s="303"/>
      <c r="U22" s="302"/>
      <c r="V22" s="303"/>
    </row>
    <row r="23" spans="2:22" ht="44.25">
      <c r="B23" s="428"/>
      <c r="C23" s="291" t="s">
        <v>2426</v>
      </c>
      <c r="D23" s="292" t="s">
        <v>2428</v>
      </c>
      <c r="E23" s="311" t="s">
        <v>2427</v>
      </c>
      <c r="F23" s="321" t="s">
        <v>2584</v>
      </c>
      <c r="G23" s="291"/>
      <c r="H23" s="304"/>
      <c r="I23" s="291"/>
      <c r="J23" s="304"/>
      <c r="K23" s="291" t="s">
        <v>2585</v>
      </c>
      <c r="L23" s="292" t="s">
        <v>2586</v>
      </c>
      <c r="M23" s="291"/>
      <c r="N23" s="304"/>
      <c r="O23" s="291"/>
      <c r="P23" s="304"/>
      <c r="Q23" s="291" t="s">
        <v>2587</v>
      </c>
      <c r="R23" s="292" t="s">
        <v>2588</v>
      </c>
      <c r="S23" s="291"/>
      <c r="T23" s="306"/>
      <c r="U23" s="307"/>
      <c r="V23" s="308"/>
    </row>
    <row r="24" spans="2:22" ht="25.5">
      <c r="B24" s="427" t="s">
        <v>604</v>
      </c>
      <c r="C24" s="302" t="s">
        <v>1802</v>
      </c>
      <c r="D24" s="303" t="s">
        <v>1802</v>
      </c>
      <c r="E24" s="302" t="s">
        <v>2589</v>
      </c>
      <c r="F24" s="303" t="s">
        <v>1879</v>
      </c>
      <c r="G24" s="302"/>
      <c r="H24" s="303"/>
      <c r="I24" s="302"/>
      <c r="J24" s="303"/>
      <c r="K24" s="302"/>
      <c r="L24" s="303"/>
      <c r="M24" s="302"/>
      <c r="N24" s="303"/>
      <c r="O24" s="302"/>
      <c r="P24" s="303"/>
      <c r="Q24" s="302"/>
      <c r="R24" s="303"/>
      <c r="S24" s="302" t="s">
        <v>2590</v>
      </c>
      <c r="T24" s="303" t="s">
        <v>1805</v>
      </c>
      <c r="U24" s="302" t="s">
        <v>2591</v>
      </c>
      <c r="V24" s="303" t="s">
        <v>2592</v>
      </c>
    </row>
    <row r="25" spans="2:22" ht="44.25">
      <c r="B25" s="428"/>
      <c r="C25" s="291" t="s">
        <v>2593</v>
      </c>
      <c r="D25" s="292" t="s">
        <v>2594</v>
      </c>
      <c r="E25" s="291" t="s">
        <v>2595</v>
      </c>
      <c r="F25" s="292" t="s">
        <v>2584</v>
      </c>
      <c r="G25" s="291"/>
      <c r="H25" s="304"/>
      <c r="I25" s="291"/>
      <c r="J25" s="304"/>
      <c r="K25" s="291"/>
      <c r="L25" s="304"/>
      <c r="M25" s="291"/>
      <c r="N25" s="304"/>
      <c r="O25" s="291"/>
      <c r="P25" s="304"/>
      <c r="Q25" s="291"/>
      <c r="R25" s="304"/>
      <c r="S25" s="291" t="s">
        <v>2596</v>
      </c>
      <c r="T25" s="305" t="s">
        <v>2597</v>
      </c>
      <c r="U25" s="291" t="s">
        <v>2598</v>
      </c>
      <c r="V25" s="304" t="s">
        <v>2599</v>
      </c>
    </row>
    <row r="26" spans="2:22" ht="25.5">
      <c r="B26" s="427" t="s">
        <v>2396</v>
      </c>
      <c r="C26" s="322" t="s">
        <v>2600</v>
      </c>
      <c r="D26" s="323" t="s">
        <v>2601</v>
      </c>
      <c r="E26" s="302"/>
      <c r="F26" s="303"/>
      <c r="G26" s="302"/>
      <c r="H26" s="303"/>
      <c r="I26" s="302"/>
      <c r="J26" s="303"/>
      <c r="K26" s="302"/>
      <c r="L26" s="303"/>
      <c r="M26" s="302"/>
      <c r="N26" s="303"/>
      <c r="O26" s="302"/>
      <c r="P26" s="303"/>
      <c r="Q26" s="302"/>
      <c r="R26" s="303"/>
      <c r="S26" s="322" t="s">
        <v>2602</v>
      </c>
      <c r="T26" s="323" t="s">
        <v>2603</v>
      </c>
      <c r="U26" s="302"/>
      <c r="V26" s="303"/>
    </row>
    <row r="27" spans="2:22" ht="50.25">
      <c r="B27" s="428"/>
      <c r="C27" s="324" t="s">
        <v>2604</v>
      </c>
      <c r="D27" s="325" t="s">
        <v>2605</v>
      </c>
      <c r="E27" s="291"/>
      <c r="F27" s="304"/>
      <c r="G27" s="291"/>
      <c r="H27" s="304"/>
      <c r="I27" s="291"/>
      <c r="J27" s="304"/>
      <c r="K27" s="291"/>
      <c r="L27" s="304"/>
      <c r="M27" s="291"/>
      <c r="N27" s="304"/>
      <c r="O27" s="291"/>
      <c r="P27" s="304"/>
      <c r="Q27" s="291"/>
      <c r="R27" s="304"/>
      <c r="S27" s="324" t="s">
        <v>2606</v>
      </c>
      <c r="T27" s="326" t="s">
        <v>2607</v>
      </c>
      <c r="U27" s="307"/>
      <c r="V27" s="308"/>
    </row>
    <row r="28" spans="2:22" ht="25.5">
      <c r="B28" s="427" t="s">
        <v>1180</v>
      </c>
      <c r="C28" s="302" t="s">
        <v>2608</v>
      </c>
      <c r="D28" s="303" t="s">
        <v>1807</v>
      </c>
      <c r="E28" s="302"/>
      <c r="F28" s="303"/>
      <c r="G28" s="302"/>
      <c r="H28" s="303"/>
      <c r="I28" s="302"/>
      <c r="J28" s="303"/>
      <c r="K28" s="302"/>
      <c r="L28" s="303"/>
      <c r="M28" s="302"/>
      <c r="N28" s="303"/>
      <c r="O28" s="302"/>
      <c r="P28" s="303"/>
      <c r="Q28" s="302"/>
      <c r="R28" s="303"/>
      <c r="S28" s="302" t="s">
        <v>2602</v>
      </c>
      <c r="T28" s="303" t="s">
        <v>1847</v>
      </c>
      <c r="U28" s="302"/>
      <c r="V28" s="303"/>
    </row>
    <row r="29" spans="2:22" ht="44.25">
      <c r="B29" s="428"/>
      <c r="C29" s="291" t="s">
        <v>2604</v>
      </c>
      <c r="D29" s="292" t="s">
        <v>2609</v>
      </c>
      <c r="E29" s="291"/>
      <c r="F29" s="304"/>
      <c r="G29" s="291"/>
      <c r="H29" s="304"/>
      <c r="I29" s="291"/>
      <c r="J29" s="304"/>
      <c r="K29" s="291"/>
      <c r="L29" s="304"/>
      <c r="M29" s="291"/>
      <c r="N29" s="304"/>
      <c r="O29" s="291"/>
      <c r="P29" s="304"/>
      <c r="Q29" s="291"/>
      <c r="R29" s="304"/>
      <c r="S29" s="291" t="s">
        <v>2610</v>
      </c>
      <c r="T29" s="305" t="s">
        <v>2611</v>
      </c>
      <c r="U29" s="307"/>
      <c r="V29" s="308"/>
    </row>
    <row r="30" spans="2:22" ht="25.5">
      <c r="B30" s="427" t="s">
        <v>648</v>
      </c>
      <c r="C30" s="302" t="s">
        <v>2612</v>
      </c>
      <c r="D30" s="303" t="s">
        <v>1806</v>
      </c>
      <c r="E30" s="302" t="s">
        <v>666</v>
      </c>
      <c r="F30" s="330" t="s">
        <v>1864</v>
      </c>
      <c r="G30" s="302" t="s">
        <v>693</v>
      </c>
      <c r="H30" s="330" t="s">
        <v>1873</v>
      </c>
      <c r="I30" s="302"/>
      <c r="J30" s="303"/>
      <c r="K30" s="302" t="s">
        <v>697</v>
      </c>
      <c r="L30" s="303" t="s">
        <v>1815</v>
      </c>
      <c r="M30" s="302" t="s">
        <v>2613</v>
      </c>
      <c r="N30" s="330" t="s">
        <v>1875</v>
      </c>
      <c r="O30" s="302"/>
      <c r="P30" s="303"/>
      <c r="Q30" s="302" t="s">
        <v>2614</v>
      </c>
      <c r="R30" s="330" t="s">
        <v>2713</v>
      </c>
      <c r="S30" s="302" t="s">
        <v>2615</v>
      </c>
      <c r="T30" s="303" t="s">
        <v>1811</v>
      </c>
      <c r="U30" s="302" t="s">
        <v>690</v>
      </c>
      <c r="V30" s="330" t="s">
        <v>2714</v>
      </c>
    </row>
    <row r="31" spans="2:22" ht="44.25">
      <c r="B31" s="428"/>
      <c r="C31" s="291" t="s">
        <v>2616</v>
      </c>
      <c r="D31" s="292" t="s">
        <v>2617</v>
      </c>
      <c r="E31" s="291" t="s">
        <v>2224</v>
      </c>
      <c r="F31" s="304" t="s">
        <v>2499</v>
      </c>
      <c r="G31" s="291" t="s">
        <v>2618</v>
      </c>
      <c r="H31" s="305" t="s">
        <v>1874</v>
      </c>
      <c r="I31" s="291"/>
      <c r="J31" s="304"/>
      <c r="K31" s="291" t="s">
        <v>2619</v>
      </c>
      <c r="L31" s="292" t="s">
        <v>2620</v>
      </c>
      <c r="M31" s="291" t="s">
        <v>2621</v>
      </c>
      <c r="N31" s="292" t="s">
        <v>2622</v>
      </c>
      <c r="O31" s="291"/>
      <c r="P31" s="304"/>
      <c r="Q31" s="291" t="s">
        <v>2623</v>
      </c>
      <c r="R31" s="292" t="s">
        <v>2624</v>
      </c>
      <c r="S31" s="291" t="s">
        <v>2625</v>
      </c>
      <c r="T31" s="304" t="s">
        <v>2626</v>
      </c>
      <c r="U31" s="307" t="s">
        <v>2226</v>
      </c>
      <c r="V31" s="292" t="s">
        <v>2627</v>
      </c>
    </row>
    <row r="32" spans="2:22" ht="25.5">
      <c r="B32" s="427" t="s">
        <v>2628</v>
      </c>
      <c r="C32" s="322" t="s">
        <v>2628</v>
      </c>
      <c r="D32" s="323" t="s">
        <v>2629</v>
      </c>
      <c r="E32" s="302"/>
      <c r="F32" s="303"/>
      <c r="G32" s="322" t="s">
        <v>2630</v>
      </c>
      <c r="H32" s="323" t="s">
        <v>2631</v>
      </c>
      <c r="I32" s="322" t="s">
        <v>2628</v>
      </c>
      <c r="J32" s="323" t="s">
        <v>2632</v>
      </c>
      <c r="K32" s="322" t="s">
        <v>2633</v>
      </c>
      <c r="L32" s="323" t="s">
        <v>2634</v>
      </c>
      <c r="M32" s="322" t="s">
        <v>2635</v>
      </c>
      <c r="N32" s="323" t="s">
        <v>2636</v>
      </c>
      <c r="O32" s="322" t="s">
        <v>2637</v>
      </c>
      <c r="P32" s="323" t="s">
        <v>2638</v>
      </c>
      <c r="Q32" s="322" t="s">
        <v>2639</v>
      </c>
      <c r="R32" s="323" t="s">
        <v>2640</v>
      </c>
      <c r="S32" s="320" t="s">
        <v>2641</v>
      </c>
      <c r="T32" s="303"/>
      <c r="U32" s="302"/>
      <c r="V32" s="303"/>
    </row>
    <row r="33" spans="2:22" ht="50.25">
      <c r="B33" s="428"/>
      <c r="C33" s="324" t="s">
        <v>2642</v>
      </c>
      <c r="D33" s="325" t="s">
        <v>2643</v>
      </c>
      <c r="E33" s="291"/>
      <c r="F33" s="304"/>
      <c r="G33" s="324" t="s">
        <v>2644</v>
      </c>
      <c r="H33" s="326" t="s">
        <v>2645</v>
      </c>
      <c r="I33" s="327" t="s">
        <v>2642</v>
      </c>
      <c r="J33" s="326" t="s">
        <v>2434</v>
      </c>
      <c r="K33" s="324" t="s">
        <v>2646</v>
      </c>
      <c r="L33" s="326" t="s">
        <v>2647</v>
      </c>
      <c r="M33" s="328" t="s">
        <v>2648</v>
      </c>
      <c r="N33" s="326" t="s">
        <v>2649</v>
      </c>
      <c r="O33" s="328" t="s">
        <v>2650</v>
      </c>
      <c r="P33" s="326" t="s">
        <v>2651</v>
      </c>
      <c r="Q33" s="328" t="s">
        <v>2652</v>
      </c>
      <c r="R33" s="326" t="s">
        <v>2653</v>
      </c>
      <c r="S33" s="291"/>
      <c r="T33" s="306"/>
      <c r="U33" s="307"/>
      <c r="V33" s="308"/>
    </row>
    <row r="34" spans="2:22" ht="25.5">
      <c r="B34" s="427" t="s">
        <v>732</v>
      </c>
      <c r="C34" s="302" t="s">
        <v>1706</v>
      </c>
      <c r="D34" s="303" t="s">
        <v>1706</v>
      </c>
      <c r="E34" s="302"/>
      <c r="F34" s="303"/>
      <c r="G34" s="302"/>
      <c r="H34" s="303"/>
      <c r="I34" s="302" t="s">
        <v>1819</v>
      </c>
      <c r="J34" s="303" t="s">
        <v>1819</v>
      </c>
      <c r="K34" s="302"/>
      <c r="L34" s="303"/>
      <c r="M34" s="302"/>
      <c r="N34" s="303"/>
      <c r="O34" s="302" t="s">
        <v>2654</v>
      </c>
      <c r="P34" s="303" t="s">
        <v>1820</v>
      </c>
      <c r="Q34" s="302"/>
      <c r="R34" s="303"/>
      <c r="S34" s="302" t="s">
        <v>748</v>
      </c>
      <c r="T34" s="303" t="s">
        <v>1818</v>
      </c>
      <c r="U34" s="302"/>
      <c r="V34" s="303"/>
    </row>
    <row r="35" spans="2:22" ht="44.25">
      <c r="B35" s="428"/>
      <c r="C35" s="291" t="s">
        <v>2655</v>
      </c>
      <c r="D35" s="292" t="s">
        <v>2656</v>
      </c>
      <c r="E35" s="291"/>
      <c r="F35" s="304"/>
      <c r="G35" s="291"/>
      <c r="H35" s="304"/>
      <c r="I35" s="291" t="s">
        <v>2657</v>
      </c>
      <c r="J35" s="292" t="s">
        <v>2658</v>
      </c>
      <c r="K35" s="291"/>
      <c r="L35" s="304"/>
      <c r="M35" s="291"/>
      <c r="N35" s="304"/>
      <c r="O35" s="291" t="s">
        <v>2659</v>
      </c>
      <c r="P35" s="292" t="s">
        <v>2660</v>
      </c>
      <c r="Q35" s="291"/>
      <c r="R35" s="304"/>
      <c r="S35" s="291" t="s">
        <v>2661</v>
      </c>
      <c r="T35" s="292" t="s">
        <v>2662</v>
      </c>
      <c r="U35" s="307"/>
      <c r="V35" s="308"/>
    </row>
    <row r="36" spans="2:22" ht="25.5">
      <c r="B36" s="427" t="s">
        <v>790</v>
      </c>
      <c r="C36" s="302" t="s">
        <v>1821</v>
      </c>
      <c r="D36" s="303" t="s">
        <v>1821</v>
      </c>
      <c r="E36" s="302" t="s">
        <v>2663</v>
      </c>
      <c r="F36" s="303" t="s">
        <v>1862</v>
      </c>
      <c r="G36" s="302"/>
      <c r="H36" s="303"/>
      <c r="I36" s="302" t="s">
        <v>1824</v>
      </c>
      <c r="J36" s="303" t="s">
        <v>1824</v>
      </c>
      <c r="K36" s="302" t="s">
        <v>1825</v>
      </c>
      <c r="L36" s="303" t="s">
        <v>1825</v>
      </c>
      <c r="M36" s="302"/>
      <c r="N36" s="303"/>
      <c r="O36" s="302" t="s">
        <v>2664</v>
      </c>
      <c r="P36" s="303" t="s">
        <v>1826</v>
      </c>
      <c r="Q36" s="302"/>
      <c r="R36" s="303"/>
      <c r="S36" s="302" t="s">
        <v>820</v>
      </c>
      <c r="T36" s="303" t="s">
        <v>1823</v>
      </c>
      <c r="U36" s="302"/>
      <c r="V36" s="303"/>
    </row>
    <row r="37" spans="2:22" ht="44.25">
      <c r="B37" s="428"/>
      <c r="C37" s="291" t="s">
        <v>2665</v>
      </c>
      <c r="D37" s="292" t="s">
        <v>2666</v>
      </c>
      <c r="E37" s="291" t="s">
        <v>2667</v>
      </c>
      <c r="F37" s="304" t="s">
        <v>2668</v>
      </c>
      <c r="G37" s="291"/>
      <c r="H37" s="304"/>
      <c r="I37" s="291" t="s">
        <v>2431</v>
      </c>
      <c r="J37" s="292" t="s">
        <v>2669</v>
      </c>
      <c r="K37" s="291" t="s">
        <v>2670</v>
      </c>
      <c r="L37" s="292" t="s">
        <v>2671</v>
      </c>
      <c r="M37" s="291"/>
      <c r="N37" s="304"/>
      <c r="O37" s="291" t="s">
        <v>2672</v>
      </c>
      <c r="P37" s="292" t="s">
        <v>2673</v>
      </c>
      <c r="Q37" s="291"/>
      <c r="R37" s="304"/>
      <c r="S37" s="291" t="s">
        <v>2674</v>
      </c>
      <c r="T37" s="292" t="s">
        <v>2675</v>
      </c>
      <c r="U37" s="307"/>
      <c r="V37" s="308"/>
    </row>
    <row r="38" spans="2:22" ht="25.5">
      <c r="B38" s="427" t="s">
        <v>868</v>
      </c>
      <c r="C38" s="302" t="s">
        <v>1827</v>
      </c>
      <c r="D38" s="303" t="s">
        <v>1827</v>
      </c>
      <c r="E38" s="302" t="s">
        <v>2676</v>
      </c>
      <c r="F38" s="303" t="s">
        <v>1867</v>
      </c>
      <c r="G38" s="302"/>
      <c r="H38" s="303"/>
      <c r="I38" s="302"/>
      <c r="J38" s="303"/>
      <c r="K38" s="302"/>
      <c r="L38" s="303"/>
      <c r="M38" s="302"/>
      <c r="N38" s="303"/>
      <c r="O38" s="302"/>
      <c r="P38" s="303"/>
      <c r="Q38" s="302"/>
      <c r="R38" s="303"/>
      <c r="S38" s="302"/>
      <c r="T38" s="303"/>
      <c r="U38" s="302"/>
      <c r="V38" s="303"/>
    </row>
    <row r="39" spans="2:22" ht="44.25">
      <c r="B39" s="428"/>
      <c r="C39" s="291" t="s">
        <v>2677</v>
      </c>
      <c r="D39" s="292" t="s">
        <v>2678</v>
      </c>
      <c r="E39" s="291" t="s">
        <v>2679</v>
      </c>
      <c r="F39" s="292" t="s">
        <v>2680</v>
      </c>
      <c r="G39" s="291"/>
      <c r="H39" s="304"/>
      <c r="I39" s="291"/>
      <c r="J39" s="304"/>
      <c r="K39" s="291"/>
      <c r="L39" s="304"/>
      <c r="M39" s="291"/>
      <c r="N39" s="304"/>
      <c r="O39" s="291"/>
      <c r="P39" s="304"/>
      <c r="Q39" s="291"/>
      <c r="R39" s="304"/>
      <c r="S39" s="291"/>
      <c r="T39" s="306"/>
      <c r="U39" s="307"/>
      <c r="V39" s="308"/>
    </row>
    <row r="40" spans="2:22" ht="25.5">
      <c r="B40" s="427" t="s">
        <v>2681</v>
      </c>
      <c r="C40" s="309" t="s">
        <v>2682</v>
      </c>
      <c r="D40" s="310" t="s">
        <v>2683</v>
      </c>
      <c r="E40" s="302"/>
      <c r="F40" s="303"/>
      <c r="G40" s="302"/>
      <c r="H40" s="303"/>
      <c r="I40" s="302"/>
      <c r="J40" s="303"/>
      <c r="K40" s="302"/>
      <c r="L40" s="303"/>
      <c r="M40" s="302"/>
      <c r="N40" s="303"/>
      <c r="O40" s="302"/>
      <c r="P40" s="303"/>
      <c r="Q40" s="302"/>
      <c r="R40" s="303"/>
      <c r="S40" s="320" t="s">
        <v>2684</v>
      </c>
      <c r="T40" s="303"/>
      <c r="U40" s="302"/>
      <c r="V40" s="303"/>
    </row>
    <row r="41" spans="2:22" ht="44.25">
      <c r="B41" s="428"/>
      <c r="C41" s="311" t="s">
        <v>2685</v>
      </c>
      <c r="D41" s="321" t="s">
        <v>1226</v>
      </c>
      <c r="E41" s="291"/>
      <c r="F41" s="304"/>
      <c r="G41" s="291"/>
      <c r="H41" s="304"/>
      <c r="I41" s="291"/>
      <c r="J41" s="304"/>
      <c r="K41" s="291"/>
      <c r="L41" s="304"/>
      <c r="M41" s="291"/>
      <c r="N41" s="304"/>
      <c r="O41" s="291"/>
      <c r="P41" s="304"/>
      <c r="Q41" s="291"/>
      <c r="R41" s="304"/>
      <c r="S41" s="291"/>
      <c r="T41" s="306"/>
      <c r="U41" s="307"/>
      <c r="V41" s="308"/>
    </row>
    <row r="42" spans="2:22" ht="25.5">
      <c r="B42" s="427" t="s">
        <v>889</v>
      </c>
      <c r="C42" s="302" t="s">
        <v>1831</v>
      </c>
      <c r="D42" s="303" t="s">
        <v>1831</v>
      </c>
      <c r="E42" s="302"/>
      <c r="F42" s="303"/>
      <c r="G42" s="302"/>
      <c r="H42" s="303"/>
      <c r="I42" s="302"/>
      <c r="J42" s="303"/>
      <c r="K42" s="302"/>
      <c r="L42" s="303"/>
      <c r="M42" s="302"/>
      <c r="N42" s="303"/>
      <c r="O42" s="302"/>
      <c r="P42" s="303"/>
      <c r="Q42" s="302"/>
      <c r="R42" s="303"/>
      <c r="S42" s="302" t="s">
        <v>906</v>
      </c>
      <c r="T42" s="303" t="s">
        <v>1832</v>
      </c>
      <c r="U42" s="302"/>
      <c r="V42" s="303"/>
    </row>
    <row r="43" spans="2:22" ht="44.25">
      <c r="B43" s="428"/>
      <c r="C43" s="291" t="s">
        <v>2686</v>
      </c>
      <c r="D43" s="292" t="s">
        <v>1226</v>
      </c>
      <c r="E43" s="291"/>
      <c r="F43" s="304"/>
      <c r="G43" s="291"/>
      <c r="H43" s="304"/>
      <c r="I43" s="291"/>
      <c r="J43" s="304"/>
      <c r="K43" s="291"/>
      <c r="L43" s="304"/>
      <c r="M43" s="291"/>
      <c r="N43" s="304"/>
      <c r="O43" s="291"/>
      <c r="P43" s="304"/>
      <c r="Q43" s="291"/>
      <c r="R43" s="304"/>
      <c r="S43" s="291" t="s">
        <v>2687</v>
      </c>
      <c r="T43" s="292" t="s">
        <v>2688</v>
      </c>
      <c r="U43" s="307"/>
      <c r="V43" s="308"/>
    </row>
    <row r="44" spans="2:22" ht="25.5">
      <c r="B44" s="427" t="s">
        <v>921</v>
      </c>
      <c r="C44" s="302" t="s">
        <v>1833</v>
      </c>
      <c r="D44" s="303" t="s">
        <v>1833</v>
      </c>
      <c r="E44" s="302"/>
      <c r="F44" s="303"/>
      <c r="G44" s="302"/>
      <c r="H44" s="303"/>
      <c r="I44" s="302"/>
      <c r="J44" s="303"/>
      <c r="K44" s="302"/>
      <c r="L44" s="303"/>
      <c r="M44" s="302"/>
      <c r="N44" s="303"/>
      <c r="O44" s="302"/>
      <c r="P44" s="303"/>
      <c r="Q44" s="302"/>
      <c r="R44" s="303"/>
      <c r="S44" s="302"/>
      <c r="T44" s="303"/>
      <c r="U44" s="302"/>
      <c r="V44" s="303"/>
    </row>
    <row r="45" spans="2:22" ht="44.25">
      <c r="B45" s="428"/>
      <c r="C45" s="291" t="s">
        <v>2689</v>
      </c>
      <c r="D45" s="292" t="s">
        <v>2690</v>
      </c>
      <c r="E45" s="291"/>
      <c r="F45" s="304"/>
      <c r="G45" s="291"/>
      <c r="H45" s="304"/>
      <c r="I45" s="291"/>
      <c r="J45" s="304"/>
      <c r="K45" s="291"/>
      <c r="L45" s="304"/>
      <c r="M45" s="291"/>
      <c r="N45" s="304"/>
      <c r="O45" s="291"/>
      <c r="P45" s="304"/>
      <c r="Q45" s="291"/>
      <c r="R45" s="304"/>
      <c r="S45" s="291"/>
      <c r="T45" s="306"/>
      <c r="U45" s="307"/>
      <c r="V45" s="308"/>
    </row>
    <row r="46" spans="2:22" ht="25.5">
      <c r="B46" s="427" t="s">
        <v>2691</v>
      </c>
      <c r="C46" s="302"/>
      <c r="D46" s="303"/>
      <c r="E46" s="322" t="s">
        <v>2692</v>
      </c>
      <c r="F46" s="323" t="s">
        <v>2693</v>
      </c>
      <c r="G46" s="302"/>
      <c r="H46" s="303"/>
      <c r="I46" s="302"/>
      <c r="J46" s="303"/>
      <c r="K46" s="302"/>
      <c r="L46" s="303"/>
      <c r="M46" s="302"/>
      <c r="N46" s="303"/>
      <c r="O46" s="302"/>
      <c r="P46" s="303"/>
      <c r="Q46" s="302"/>
      <c r="R46" s="303"/>
      <c r="S46" s="302"/>
      <c r="T46" s="303"/>
      <c r="U46" s="302"/>
      <c r="V46" s="303"/>
    </row>
    <row r="47" spans="2:22" ht="50.25">
      <c r="B47" s="428"/>
      <c r="C47" s="291"/>
      <c r="D47" s="292"/>
      <c r="E47" s="327" t="s">
        <v>2694</v>
      </c>
      <c r="F47" s="326" t="s">
        <v>2486</v>
      </c>
      <c r="G47" s="291"/>
      <c r="H47" s="304"/>
      <c r="I47" s="291"/>
      <c r="J47" s="304"/>
      <c r="K47" s="291"/>
      <c r="L47" s="304"/>
      <c r="M47" s="291"/>
      <c r="N47" s="304"/>
      <c r="O47" s="291"/>
      <c r="P47" s="304"/>
      <c r="Q47" s="291"/>
      <c r="R47" s="304"/>
      <c r="S47" s="291"/>
      <c r="T47" s="306"/>
      <c r="U47" s="307"/>
      <c r="V47" s="308"/>
    </row>
    <row r="48" spans="2:22" ht="25.5">
      <c r="B48" s="427" t="s">
        <v>2695</v>
      </c>
      <c r="C48" s="322" t="s">
        <v>2696</v>
      </c>
      <c r="D48" s="323" t="s">
        <v>2697</v>
      </c>
      <c r="E48" s="302"/>
      <c r="F48" s="303"/>
      <c r="G48" s="302"/>
      <c r="H48" s="303"/>
      <c r="I48" s="302"/>
      <c r="J48" s="303"/>
      <c r="K48" s="302"/>
      <c r="L48" s="303"/>
      <c r="M48" s="302"/>
      <c r="N48" s="303"/>
      <c r="O48" s="302"/>
      <c r="P48" s="303"/>
      <c r="Q48" s="302"/>
      <c r="R48" s="303"/>
      <c r="S48" s="322" t="s">
        <v>2698</v>
      </c>
      <c r="T48" s="323" t="s">
        <v>2699</v>
      </c>
      <c r="U48" s="302"/>
      <c r="V48" s="303"/>
    </row>
    <row r="49" spans="2:22" ht="50.25">
      <c r="B49" s="428"/>
      <c r="C49" s="324" t="s">
        <v>2700</v>
      </c>
      <c r="D49" s="325" t="s">
        <v>1315</v>
      </c>
      <c r="E49" s="291"/>
      <c r="F49" s="304"/>
      <c r="G49" s="291"/>
      <c r="H49" s="304"/>
      <c r="I49" s="291"/>
      <c r="J49" s="304"/>
      <c r="K49" s="291"/>
      <c r="L49" s="304"/>
      <c r="M49" s="291"/>
      <c r="N49" s="304"/>
      <c r="O49" s="291"/>
      <c r="P49" s="304"/>
      <c r="Q49" s="291"/>
      <c r="R49" s="304"/>
      <c r="S49" s="324" t="s">
        <v>2701</v>
      </c>
      <c r="T49" s="326" t="s">
        <v>2702</v>
      </c>
      <c r="U49" s="307"/>
      <c r="V49" s="308"/>
    </row>
    <row r="50" spans="2:22" ht="25.5">
      <c r="B50" s="427" t="s">
        <v>949</v>
      </c>
      <c r="C50" s="302" t="s">
        <v>1086</v>
      </c>
      <c r="D50" s="303" t="s">
        <v>1086</v>
      </c>
      <c r="E50" s="352"/>
      <c r="F50" s="353"/>
      <c r="G50" s="352"/>
      <c r="H50" s="353"/>
      <c r="I50" s="352"/>
      <c r="J50" s="353"/>
      <c r="K50" s="352"/>
      <c r="L50" s="353"/>
      <c r="M50" s="352"/>
      <c r="N50" s="353"/>
      <c r="O50" s="352"/>
      <c r="P50" s="353"/>
      <c r="Q50" s="352"/>
      <c r="R50" s="353"/>
      <c r="S50" s="302" t="s">
        <v>2703</v>
      </c>
      <c r="T50" s="303" t="s">
        <v>1838</v>
      </c>
      <c r="U50" s="352"/>
      <c r="V50" s="353"/>
    </row>
    <row r="51" spans="2:22" ht="44.25">
      <c r="B51" s="428"/>
      <c r="C51" s="291" t="s">
        <v>2704</v>
      </c>
      <c r="D51" s="292" t="s">
        <v>2705</v>
      </c>
      <c r="E51" s="354"/>
      <c r="F51" s="355"/>
      <c r="G51" s="354"/>
      <c r="H51" s="355"/>
      <c r="I51" s="354"/>
      <c r="J51" s="355"/>
      <c r="K51" s="354"/>
      <c r="L51" s="355"/>
      <c r="M51" s="354"/>
      <c r="N51" s="355"/>
      <c r="O51" s="354"/>
      <c r="P51" s="355"/>
      <c r="Q51" s="354"/>
      <c r="R51" s="355"/>
      <c r="S51" s="291" t="s">
        <v>2706</v>
      </c>
      <c r="T51" s="292" t="s">
        <v>2707</v>
      </c>
      <c r="U51" s="354"/>
      <c r="V51" s="355"/>
    </row>
    <row r="52" spans="2:22" ht="25.5">
      <c r="B52" s="427" t="s">
        <v>955</v>
      </c>
      <c r="C52" s="302" t="s">
        <v>17</v>
      </c>
      <c r="D52" s="303" t="s">
        <v>1096</v>
      </c>
      <c r="E52" s="352"/>
      <c r="F52" s="353"/>
      <c r="G52" s="352"/>
      <c r="H52" s="353"/>
      <c r="I52" s="352"/>
      <c r="J52" s="353"/>
      <c r="K52" s="352"/>
      <c r="L52" s="353"/>
      <c r="M52" s="352"/>
      <c r="N52" s="353"/>
      <c r="O52" s="352"/>
      <c r="P52" s="353"/>
      <c r="Q52" s="352"/>
      <c r="R52" s="353"/>
      <c r="S52" s="302" t="s">
        <v>2708</v>
      </c>
      <c r="T52" s="303" t="s">
        <v>1840</v>
      </c>
      <c r="U52" s="352"/>
      <c r="V52" s="353"/>
    </row>
    <row r="53" spans="2:22" ht="44.25">
      <c r="B53" s="428"/>
      <c r="C53" s="291" t="s">
        <v>2709</v>
      </c>
      <c r="D53" s="292" t="s">
        <v>2710</v>
      </c>
      <c r="E53" s="354"/>
      <c r="F53" s="355"/>
      <c r="G53" s="354"/>
      <c r="H53" s="355"/>
      <c r="I53" s="354"/>
      <c r="J53" s="355"/>
      <c r="K53" s="354"/>
      <c r="L53" s="355"/>
      <c r="M53" s="354"/>
      <c r="N53" s="355"/>
      <c r="O53" s="354"/>
      <c r="P53" s="355"/>
      <c r="Q53" s="354"/>
      <c r="R53" s="355"/>
      <c r="S53" s="291" t="s">
        <v>2711</v>
      </c>
      <c r="T53" s="305" t="s">
        <v>2542</v>
      </c>
      <c r="U53" s="354"/>
      <c r="V53" s="355"/>
    </row>
  </sheetData>
  <mergeCells count="33">
    <mergeCell ref="Q3:R3"/>
    <mergeCell ref="B4:B5"/>
    <mergeCell ref="B6:B7"/>
    <mergeCell ref="B8:B9"/>
    <mergeCell ref="B10:B11"/>
    <mergeCell ref="B2:B3"/>
    <mergeCell ref="C2:F3"/>
    <mergeCell ref="G3:H3"/>
    <mergeCell ref="I3:J3"/>
    <mergeCell ref="K3:L3"/>
    <mergeCell ref="M3:N3"/>
    <mergeCell ref="B40:B41"/>
    <mergeCell ref="B16:B17"/>
    <mergeCell ref="B44:B45"/>
    <mergeCell ref="B22:B23"/>
    <mergeCell ref="O3:P3"/>
    <mergeCell ref="B12:B13"/>
    <mergeCell ref="B42:B43"/>
    <mergeCell ref="B14:B15"/>
    <mergeCell ref="B48:B49"/>
    <mergeCell ref="B50:B51"/>
    <mergeCell ref="B52:B53"/>
    <mergeCell ref="B18:B19"/>
    <mergeCell ref="B20:B21"/>
    <mergeCell ref="B46:B47"/>
    <mergeCell ref="B24:B25"/>
    <mergeCell ref="B26:B27"/>
    <mergeCell ref="B28:B29"/>
    <mergeCell ref="B30:B31"/>
    <mergeCell ref="B32:B33"/>
    <mergeCell ref="B34:B35"/>
    <mergeCell ref="B36:B37"/>
    <mergeCell ref="B38:B39"/>
  </mergeCells>
  <phoneticPr fontId="3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70A0D-493D-4495-863C-9A0CB0211C15}">
  <dimension ref="A1:J23"/>
  <sheetViews>
    <sheetView showGridLines="0" workbookViewId="0">
      <pane ySplit="1" topLeftCell="A2" activePane="bottomLeft" state="frozen"/>
      <selection pane="bottomLeft" activeCell="F1" sqref="A1:F23"/>
    </sheetView>
  </sheetViews>
  <sheetFormatPr defaultRowHeight="32.25"/>
  <cols>
    <col min="1" max="1" width="20.625" style="251" customWidth="1"/>
    <col min="2" max="4" width="18.625" style="334" customWidth="1"/>
    <col min="5" max="6" width="15.625" style="253" customWidth="1"/>
  </cols>
  <sheetData>
    <row r="1" spans="1:10" ht="24" customHeight="1">
      <c r="A1" s="335" t="s">
        <v>3550</v>
      </c>
      <c r="B1" s="335" t="s">
        <v>3427</v>
      </c>
      <c r="C1" s="335" t="s">
        <v>981</v>
      </c>
      <c r="D1" s="335" t="s">
        <v>3875</v>
      </c>
      <c r="E1" s="335" t="s">
        <v>1551</v>
      </c>
      <c r="F1" s="335" t="s">
        <v>3429</v>
      </c>
    </row>
    <row r="2" spans="1:10" ht="44.25">
      <c r="A2" s="336" t="s">
        <v>3584</v>
      </c>
      <c r="B2" s="337" t="s">
        <v>3563</v>
      </c>
      <c r="C2" s="338" t="str">
        <f xml:space="preserve"> _xlfn.XLOOKUP(F2, 聲母對照資料表[十五音],  聲母對照資料表[台語音標], "查不到")</f>
        <v>p</v>
      </c>
      <c r="D2" s="338" t="s">
        <v>4</v>
      </c>
      <c r="E2" s="340" t="s">
        <v>1436</v>
      </c>
      <c r="F2" s="341" t="s">
        <v>991</v>
      </c>
      <c r="J2" t="str">
        <f xml:space="preserve"> _xlfn.CONCAT(F2, """", )</f>
        <v>邊"</v>
      </c>
    </row>
    <row r="3" spans="1:10" ht="44.25">
      <c r="A3" s="336" t="s">
        <v>3584</v>
      </c>
      <c r="B3" s="337" t="s">
        <v>3564</v>
      </c>
      <c r="C3" s="338" t="str">
        <f xml:space="preserve"> _xlfn.XLOOKUP(F3, 聲母對照資料表[十五音],  聲母對照資料表[台語音標], "查不到")</f>
        <v>ph</v>
      </c>
      <c r="D3" s="338" t="s">
        <v>2</v>
      </c>
      <c r="E3" s="340" t="s">
        <v>1445</v>
      </c>
      <c r="F3" s="341" t="s">
        <v>1009</v>
      </c>
    </row>
    <row r="4" spans="1:10" ht="44.25">
      <c r="A4" s="336" t="s">
        <v>3584</v>
      </c>
      <c r="B4" s="337" t="s">
        <v>3565</v>
      </c>
      <c r="C4" s="338" t="str">
        <f xml:space="preserve"> _xlfn.XLOOKUP(F4, 聲母對照資料表[十五音],  聲母對照資料表[台語音標], "查不到")</f>
        <v>b</v>
      </c>
      <c r="D4" s="338" t="s">
        <v>1058</v>
      </c>
      <c r="E4" s="340" t="s">
        <v>1453</v>
      </c>
      <c r="F4" s="341" t="s">
        <v>1053</v>
      </c>
    </row>
    <row r="5" spans="1:10" ht="44.25">
      <c r="A5" s="336" t="s">
        <v>3584</v>
      </c>
      <c r="B5" s="337" t="s">
        <v>3566</v>
      </c>
      <c r="C5" s="338" t="str">
        <f xml:space="preserve"> _xlfn.XLOOKUP(F5, 聲母對照資料表[十五音],  聲母對照資料表[台語音標], "查不到")</f>
        <v>m</v>
      </c>
      <c r="D5" s="338" t="s">
        <v>5</v>
      </c>
      <c r="E5" s="340" t="s">
        <v>1462</v>
      </c>
      <c r="F5" s="341" t="s">
        <v>1084</v>
      </c>
    </row>
    <row r="6" spans="1:10" ht="44.25">
      <c r="A6" s="336" t="s">
        <v>3585</v>
      </c>
      <c r="B6" s="337" t="s">
        <v>3567</v>
      </c>
      <c r="C6" s="338" t="str">
        <f xml:space="preserve"> _xlfn.XLOOKUP(F6, 聲母對照資料表[十五音],  聲母對照資料表[台語音標], "查不到")</f>
        <v>t</v>
      </c>
      <c r="D6" s="338" t="s">
        <v>1007</v>
      </c>
      <c r="E6" s="340" t="s">
        <v>1468</v>
      </c>
      <c r="F6" s="341" t="s">
        <v>1004</v>
      </c>
    </row>
    <row r="7" spans="1:10" ht="44.25">
      <c r="A7" s="336" t="s">
        <v>3585</v>
      </c>
      <c r="B7" s="337" t="s">
        <v>3568</v>
      </c>
      <c r="C7" s="338" t="str">
        <f xml:space="preserve"> _xlfn.XLOOKUP(F7, 聲母對照資料表[十五音],  聲母對照資料表[台語音標], "查不到")</f>
        <v>th</v>
      </c>
      <c r="D7" s="338" t="s">
        <v>6</v>
      </c>
      <c r="E7" s="340" t="s">
        <v>1476</v>
      </c>
      <c r="F7" s="341" t="s">
        <v>1014</v>
      </c>
    </row>
    <row r="8" spans="1:10" ht="44.25">
      <c r="A8" s="336" t="s">
        <v>3585</v>
      </c>
      <c r="B8" s="337" t="s">
        <v>3569</v>
      </c>
      <c r="C8" s="338" t="str">
        <f xml:space="preserve"> _xlfn.XLOOKUP(F8, 聲母對照資料表[十五音],  聲母對照資料表[台語音標], "查不到")</f>
        <v>n</v>
      </c>
      <c r="D8" s="338" t="s">
        <v>8</v>
      </c>
      <c r="E8" s="340" t="s">
        <v>1482</v>
      </c>
      <c r="F8" s="341" t="s">
        <v>1089</v>
      </c>
    </row>
    <row r="9" spans="1:10" ht="44.25">
      <c r="A9" s="336" t="s">
        <v>3585</v>
      </c>
      <c r="B9" s="337" t="s">
        <v>3570</v>
      </c>
      <c r="C9" s="338" t="str">
        <f xml:space="preserve"> _xlfn.XLOOKUP(F9, 聲母對照資料表[十五音],  聲母對照資料表[台語音標], "查不到")</f>
        <v>l</v>
      </c>
      <c r="D9" s="338" t="s">
        <v>9</v>
      </c>
      <c r="E9" s="340" t="s">
        <v>1484</v>
      </c>
      <c r="F9" s="341" t="s">
        <v>986</v>
      </c>
    </row>
    <row r="10" spans="1:10" ht="44.25">
      <c r="A10" s="336" t="s">
        <v>3586</v>
      </c>
      <c r="B10" s="337" t="s">
        <v>3571</v>
      </c>
      <c r="C10" s="338" t="str">
        <f xml:space="preserve"> _xlfn.XLOOKUP(F10, 聲母對照資料表[十五音],  聲母對照資料表[台語音標], "查不到")</f>
        <v>z</v>
      </c>
      <c r="D10" s="338" t="s">
        <v>1027</v>
      </c>
      <c r="E10" s="340" t="s">
        <v>1497</v>
      </c>
      <c r="F10" s="341" t="s">
        <v>1020</v>
      </c>
    </row>
    <row r="11" spans="1:10" ht="44.25">
      <c r="A11" s="336" t="s">
        <v>3586</v>
      </c>
      <c r="B11" s="337" t="s">
        <v>3572</v>
      </c>
      <c r="C11" s="338" t="str">
        <f xml:space="preserve"> _xlfn.XLOOKUP(F11, 聲母對照資料表[十五音],  聲母對照資料表[台語音標], "查不到")</f>
        <v>c</v>
      </c>
      <c r="D11" s="338" t="s">
        <v>1073</v>
      </c>
      <c r="E11" s="340" t="s">
        <v>1500</v>
      </c>
      <c r="F11" s="341" t="s">
        <v>1066</v>
      </c>
    </row>
    <row r="12" spans="1:10" ht="44.25">
      <c r="A12" s="336" t="s">
        <v>3586</v>
      </c>
      <c r="B12" s="337" t="s">
        <v>3573</v>
      </c>
      <c r="C12" s="338" t="s">
        <v>1843</v>
      </c>
      <c r="D12" s="338" t="s">
        <v>1040</v>
      </c>
      <c r="E12" s="340" t="s">
        <v>1588</v>
      </c>
      <c r="F12" s="341" t="s">
        <v>1668</v>
      </c>
    </row>
    <row r="13" spans="1:10" ht="44.25">
      <c r="A13" s="336" t="s">
        <v>3586</v>
      </c>
      <c r="B13" s="337" t="s">
        <v>3574</v>
      </c>
      <c r="C13" s="338" t="str">
        <f xml:space="preserve"> _xlfn.XLOOKUP(F13, 聲母對照資料表[十五音],  聲母對照資料表[台語音標], "查不到")</f>
        <v>s</v>
      </c>
      <c r="D13" s="338" t="s">
        <v>1047</v>
      </c>
      <c r="E13" s="340" t="s">
        <v>1505</v>
      </c>
      <c r="F13" s="341" t="s">
        <v>1045</v>
      </c>
    </row>
    <row r="14" spans="1:10" ht="44.25">
      <c r="A14" s="336" t="s">
        <v>3587</v>
      </c>
      <c r="B14" s="337" t="s">
        <v>3575</v>
      </c>
      <c r="C14" s="338" t="s">
        <v>3876</v>
      </c>
      <c r="D14" s="338" t="s">
        <v>3879</v>
      </c>
      <c r="E14" s="340" t="s">
        <v>1508</v>
      </c>
      <c r="F14" s="341" t="s">
        <v>1021</v>
      </c>
    </row>
    <row r="15" spans="1:10" ht="44.25">
      <c r="A15" s="336" t="s">
        <v>3587</v>
      </c>
      <c r="B15" s="337" t="s">
        <v>3576</v>
      </c>
      <c r="C15" s="338" t="s">
        <v>3877</v>
      </c>
      <c r="D15" s="338" t="s">
        <v>3552</v>
      </c>
      <c r="E15" s="340" t="s">
        <v>1512</v>
      </c>
      <c r="F15" s="341" t="s">
        <v>1297</v>
      </c>
    </row>
    <row r="16" spans="1:10" ht="44.25">
      <c r="A16" s="336" t="s">
        <v>3587</v>
      </c>
      <c r="B16" s="337" t="s">
        <v>3577</v>
      </c>
      <c r="C16" s="338" t="s">
        <v>3878</v>
      </c>
      <c r="D16" s="338" t="s">
        <v>3553</v>
      </c>
      <c r="E16" s="340" t="s">
        <v>1514</v>
      </c>
      <c r="F16" s="341" t="s">
        <v>1035</v>
      </c>
    </row>
    <row r="17" spans="1:6" ht="44.25">
      <c r="A17" s="336" t="s">
        <v>3587</v>
      </c>
      <c r="B17" s="337" t="s">
        <v>3578</v>
      </c>
      <c r="C17" s="338" t="s">
        <v>3880</v>
      </c>
      <c r="D17" s="338" t="s">
        <v>3554</v>
      </c>
      <c r="E17" s="340" t="s">
        <v>1517</v>
      </c>
      <c r="F17" s="341" t="s">
        <v>1045</v>
      </c>
    </row>
    <row r="18" spans="1:6" ht="44.25">
      <c r="A18" s="336" t="s">
        <v>3588</v>
      </c>
      <c r="B18" s="337" t="s">
        <v>3579</v>
      </c>
      <c r="C18" s="338" t="str">
        <f xml:space="preserve"> _xlfn.XLOOKUP(F18, 聲母對照資料表[十五音],  聲母對照資料表[台語音標], "查不到")</f>
        <v>k</v>
      </c>
      <c r="D18" s="338" t="s">
        <v>16</v>
      </c>
      <c r="E18" s="340" t="s">
        <v>1486</v>
      </c>
      <c r="F18" s="341" t="s">
        <v>995</v>
      </c>
    </row>
    <row r="19" spans="1:6" ht="44.25">
      <c r="A19" s="336" t="s">
        <v>3588</v>
      </c>
      <c r="B19" s="337" t="s">
        <v>3580</v>
      </c>
      <c r="C19" s="338" t="str">
        <f xml:space="preserve"> _xlfn.XLOOKUP(F19, 聲母對照資料表[十五音],  聲母對照資料表[台語音標], "查不到")</f>
        <v>kh</v>
      </c>
      <c r="D19" s="338" t="s">
        <v>14</v>
      </c>
      <c r="E19" s="340" t="s">
        <v>1490</v>
      </c>
      <c r="F19" s="341" t="s">
        <v>999</v>
      </c>
    </row>
    <row r="20" spans="1:6" ht="44.25">
      <c r="A20" s="336" t="s">
        <v>3588</v>
      </c>
      <c r="B20" s="337" t="s">
        <v>3581</v>
      </c>
      <c r="C20" s="338" t="str">
        <f xml:space="preserve"> _xlfn.XLOOKUP(F20, 聲母對照資料表[十五音],  聲母對照資料表[台語音標], "查不到")</f>
        <v>g</v>
      </c>
      <c r="D20" s="338" t="s">
        <v>1065</v>
      </c>
      <c r="E20" s="340" t="s">
        <v>1491</v>
      </c>
      <c r="F20" s="341" t="s">
        <v>1059</v>
      </c>
    </row>
    <row r="21" spans="1:6" ht="44.25">
      <c r="A21" s="336" t="s">
        <v>3588</v>
      </c>
      <c r="B21" s="337" t="s">
        <v>3582</v>
      </c>
      <c r="C21" s="338" t="str">
        <f xml:space="preserve"> _xlfn.XLOOKUP(F21, 聲母對照資料表[十五音],  聲母對照資料表[台語音標], "查不到")</f>
        <v>ng</v>
      </c>
      <c r="D21" s="338" t="s">
        <v>1309</v>
      </c>
      <c r="E21" s="340" t="s">
        <v>1584</v>
      </c>
      <c r="F21" s="341" t="s">
        <v>1094</v>
      </c>
    </row>
    <row r="22" spans="1:6" ht="44.25">
      <c r="A22" s="336" t="s">
        <v>3589</v>
      </c>
      <c r="B22" s="337" t="s">
        <v>3583</v>
      </c>
      <c r="C22" s="338" t="str">
        <f xml:space="preserve"> _xlfn.XLOOKUP(F22, 聲母對照資料表[十五音],  聲母對照資料表[台語音標], "查不到")</f>
        <v>h</v>
      </c>
      <c r="D22" s="338" t="s">
        <v>1</v>
      </c>
      <c r="E22" s="340" t="s">
        <v>1494</v>
      </c>
      <c r="F22" s="341" t="s">
        <v>1080</v>
      </c>
    </row>
    <row r="23" spans="1:6" ht="44.25">
      <c r="A23" s="336" t="s">
        <v>3590</v>
      </c>
      <c r="B23" s="338" t="s">
        <v>1686</v>
      </c>
      <c r="C23" s="338" t="str">
        <f xml:space="preserve"> _xlfn.XLOOKUP(F23, 聲母對照資料表[十五音],  聲母對照資料表[台語音標], "查不到")</f>
        <v>Ø</v>
      </c>
      <c r="D23" s="338" t="s">
        <v>0</v>
      </c>
      <c r="E23" s="340"/>
      <c r="F23" s="341" t="s">
        <v>1051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212A3-F49F-422E-9645-2C858365054D}">
  <dimension ref="A1:K25"/>
  <sheetViews>
    <sheetView showGridLines="0" workbookViewId="0">
      <pane ySplit="1" topLeftCell="A2" activePane="bottomLeft" state="frozen"/>
      <selection pane="bottomLeft" activeCell="E2" sqref="E2:E20"/>
    </sheetView>
  </sheetViews>
  <sheetFormatPr defaultRowHeight="32.25"/>
  <cols>
    <col min="1" max="1" width="20.625" style="251" customWidth="1"/>
    <col min="2" max="3" width="15.625" style="253" customWidth="1"/>
    <col min="4" max="6" width="18.625" style="334" customWidth="1"/>
    <col min="7" max="7" width="15.625" style="253" customWidth="1"/>
  </cols>
  <sheetData>
    <row r="1" spans="1:11" ht="24" customHeight="1">
      <c r="A1" s="335" t="s">
        <v>3550</v>
      </c>
      <c r="B1" s="335" t="s">
        <v>3429</v>
      </c>
      <c r="C1" s="335" t="s">
        <v>3642</v>
      </c>
      <c r="D1" s="335" t="s">
        <v>3427</v>
      </c>
      <c r="E1" s="335" t="s">
        <v>981</v>
      </c>
      <c r="F1" s="335" t="s">
        <v>3428</v>
      </c>
      <c r="G1" s="335" t="s">
        <v>1551</v>
      </c>
    </row>
    <row r="2" spans="1:11" ht="50.25">
      <c r="A2" s="336" t="s">
        <v>3584</v>
      </c>
      <c r="B2" s="341" t="s">
        <v>991</v>
      </c>
      <c r="C2" s="373" t="s">
        <v>991</v>
      </c>
      <c r="D2" s="337" t="s">
        <v>3563</v>
      </c>
      <c r="E2" s="338" t="str">
        <f xml:space="preserve"> _xlfn.XLOOKUP(C2, 聲母對照資料表[十五音],  聲母對照資料表[台語音標], "查不到")</f>
        <v>p</v>
      </c>
      <c r="F2" s="338" t="s">
        <v>4</v>
      </c>
      <c r="G2" s="340" t="s">
        <v>1436</v>
      </c>
      <c r="K2" t="str">
        <f xml:space="preserve"> _xlfn.CONCAT(B2, """", )</f>
        <v>邊"</v>
      </c>
    </row>
    <row r="3" spans="1:11" ht="50.25">
      <c r="A3" s="336" t="s">
        <v>3584</v>
      </c>
      <c r="B3" s="341" t="s">
        <v>1009</v>
      </c>
      <c r="C3" s="373" t="s">
        <v>1009</v>
      </c>
      <c r="D3" s="337" t="s">
        <v>3564</v>
      </c>
      <c r="E3" s="338" t="str">
        <f xml:space="preserve"> _xlfn.XLOOKUP(C3, 聲母對照資料表[十五音],  聲母對照資料表[台語音標], "查不到")</f>
        <v>ph</v>
      </c>
      <c r="F3" s="338" t="s">
        <v>2</v>
      </c>
      <c r="G3" s="340" t="s">
        <v>1445</v>
      </c>
    </row>
    <row r="4" spans="1:11" ht="50.25">
      <c r="A4" s="336" t="s">
        <v>3584</v>
      </c>
      <c r="B4" s="341" t="s">
        <v>1053</v>
      </c>
      <c r="C4" s="373" t="s">
        <v>1053</v>
      </c>
      <c r="D4" s="337" t="s">
        <v>3565</v>
      </c>
      <c r="E4" s="338" t="str">
        <f xml:space="preserve"> _xlfn.XLOOKUP(C4, 聲母對照資料表[十五音],  聲母對照資料表[台語音標], "查不到")</f>
        <v>b</v>
      </c>
      <c r="F4" s="338" t="s">
        <v>1058</v>
      </c>
      <c r="G4" s="340" t="s">
        <v>1453</v>
      </c>
    </row>
    <row r="5" spans="1:11" ht="50.25">
      <c r="A5" s="336" t="s">
        <v>3584</v>
      </c>
      <c r="B5" s="341" t="s">
        <v>1084</v>
      </c>
      <c r="C5" s="373" t="s">
        <v>1084</v>
      </c>
      <c r="D5" s="337" t="s">
        <v>3566</v>
      </c>
      <c r="E5" s="338" t="str">
        <f xml:space="preserve"> _xlfn.XLOOKUP(C5, 聲母對照資料表[十五音],  聲母對照資料表[台語音標], "查不到")</f>
        <v>m</v>
      </c>
      <c r="F5" s="338" t="s">
        <v>5</v>
      </c>
      <c r="G5" s="340" t="s">
        <v>1462</v>
      </c>
    </row>
    <row r="6" spans="1:11" ht="50.25">
      <c r="A6" s="336" t="s">
        <v>3585</v>
      </c>
      <c r="B6" s="341" t="s">
        <v>1004</v>
      </c>
      <c r="C6" s="373" t="s">
        <v>1004</v>
      </c>
      <c r="D6" s="337" t="s">
        <v>3567</v>
      </c>
      <c r="E6" s="338" t="str">
        <f xml:space="preserve"> _xlfn.XLOOKUP(C6, 聲母對照資料表[十五音],  聲母對照資料表[台語音標], "查不到")</f>
        <v>t</v>
      </c>
      <c r="F6" s="338" t="s">
        <v>1007</v>
      </c>
      <c r="G6" s="340" t="s">
        <v>1468</v>
      </c>
    </row>
    <row r="7" spans="1:11" ht="50.25">
      <c r="A7" s="336" t="s">
        <v>3585</v>
      </c>
      <c r="B7" s="341" t="s">
        <v>1014</v>
      </c>
      <c r="C7" s="373" t="s">
        <v>1014</v>
      </c>
      <c r="D7" s="337" t="s">
        <v>3568</v>
      </c>
      <c r="E7" s="338" t="str">
        <f xml:space="preserve"> _xlfn.XLOOKUP(C7, 聲母對照資料表[十五音],  聲母對照資料表[台語音標], "查不到")</f>
        <v>th</v>
      </c>
      <c r="F7" s="338" t="s">
        <v>6</v>
      </c>
      <c r="G7" s="340" t="s">
        <v>1476</v>
      </c>
    </row>
    <row r="8" spans="1:11" ht="50.25">
      <c r="A8" s="336" t="s">
        <v>3585</v>
      </c>
      <c r="B8" s="341" t="s">
        <v>1089</v>
      </c>
      <c r="C8" s="373" t="s">
        <v>1089</v>
      </c>
      <c r="D8" s="337" t="s">
        <v>3569</v>
      </c>
      <c r="E8" s="338" t="str">
        <f xml:space="preserve"> _xlfn.XLOOKUP(C8, 聲母對照資料表[十五音],  聲母對照資料表[台語音標], "查不到")</f>
        <v>n</v>
      </c>
      <c r="F8" s="338" t="s">
        <v>8</v>
      </c>
      <c r="G8" s="340" t="s">
        <v>1482</v>
      </c>
    </row>
    <row r="9" spans="1:11" ht="50.25">
      <c r="A9" s="336" t="s">
        <v>3585</v>
      </c>
      <c r="B9" s="341" t="s">
        <v>986</v>
      </c>
      <c r="C9" s="373" t="s">
        <v>986</v>
      </c>
      <c r="D9" s="337" t="s">
        <v>3570</v>
      </c>
      <c r="E9" s="338" t="str">
        <f xml:space="preserve"> _xlfn.XLOOKUP(C9, 聲母對照資料表[十五音],  聲母對照資料表[台語音標], "查不到")</f>
        <v>l</v>
      </c>
      <c r="F9" s="338" t="s">
        <v>9</v>
      </c>
      <c r="G9" s="340" t="s">
        <v>1484</v>
      </c>
    </row>
    <row r="10" spans="1:11" ht="50.25">
      <c r="A10" s="336" t="s">
        <v>3586</v>
      </c>
      <c r="B10" s="341" t="s">
        <v>1020</v>
      </c>
      <c r="C10" s="373" t="s">
        <v>1020</v>
      </c>
      <c r="D10" s="337" t="s">
        <v>3571</v>
      </c>
      <c r="E10" s="338" t="str">
        <f xml:space="preserve"> _xlfn.XLOOKUP(C10, 聲母對照資料表[十五音],  聲母對照資料表[台語音標], "查不到")</f>
        <v>z</v>
      </c>
      <c r="F10" s="338" t="s">
        <v>1027</v>
      </c>
      <c r="G10" s="340" t="s">
        <v>1497</v>
      </c>
    </row>
    <row r="11" spans="1:11" ht="50.25">
      <c r="A11" s="336" t="s">
        <v>3586</v>
      </c>
      <c r="B11" s="341" t="s">
        <v>1066</v>
      </c>
      <c r="C11" s="373" t="s">
        <v>1066</v>
      </c>
      <c r="D11" s="337" t="s">
        <v>3572</v>
      </c>
      <c r="E11" s="338" t="str">
        <f xml:space="preserve"> _xlfn.XLOOKUP(C11, 聲母對照資料表[十五音],  聲母對照資料表[台語音標], "查不到")</f>
        <v>c</v>
      </c>
      <c r="F11" s="338" t="s">
        <v>1073</v>
      </c>
      <c r="G11" s="340" t="s">
        <v>1500</v>
      </c>
    </row>
    <row r="12" spans="1:11" ht="50.25">
      <c r="A12" s="336" t="s">
        <v>3586</v>
      </c>
      <c r="B12" s="341" t="s">
        <v>1045</v>
      </c>
      <c r="C12" s="373" t="s">
        <v>1045</v>
      </c>
      <c r="D12" s="337" t="s">
        <v>3574</v>
      </c>
      <c r="E12" s="338" t="str">
        <f xml:space="preserve"> _xlfn.XLOOKUP(C12, 聲母對照資料表[十五音],  聲母對照資料表[台語音標], "查不到")</f>
        <v>s</v>
      </c>
      <c r="F12" s="338" t="s">
        <v>1047</v>
      </c>
      <c r="G12" s="340" t="s">
        <v>1505</v>
      </c>
    </row>
    <row r="13" spans="1:11" ht="50.25">
      <c r="A13" s="336" t="s">
        <v>3587</v>
      </c>
      <c r="B13" s="341" t="s">
        <v>1035</v>
      </c>
      <c r="C13" s="373" t="s">
        <v>1035</v>
      </c>
      <c r="D13" s="337" t="s">
        <v>3577</v>
      </c>
      <c r="E13" s="338" t="str">
        <f xml:space="preserve"> _xlfn.XLOOKUP(C13, 聲母對照資料表[十五音],  聲母對照資料表[台語音標], "查不到")</f>
        <v>j</v>
      </c>
      <c r="F13" s="338" t="s">
        <v>3553</v>
      </c>
      <c r="G13" s="340" t="s">
        <v>1514</v>
      </c>
    </row>
    <row r="14" spans="1:11" ht="50.25">
      <c r="A14" s="336" t="s">
        <v>3587</v>
      </c>
      <c r="B14" s="341" t="s">
        <v>1045</v>
      </c>
      <c r="C14" s="373" t="s">
        <v>1045</v>
      </c>
      <c r="D14" s="337" t="s">
        <v>3578</v>
      </c>
      <c r="E14" s="338" t="str">
        <f xml:space="preserve"> _xlfn.XLOOKUP(C14, 聲母對照資料表[十五音],  聲母對照資料表[台語音標], "查不到")</f>
        <v>s</v>
      </c>
      <c r="F14" s="338" t="s">
        <v>3554</v>
      </c>
      <c r="G14" s="340" t="s">
        <v>1517</v>
      </c>
    </row>
    <row r="15" spans="1:11" ht="50.25">
      <c r="A15" s="336" t="s">
        <v>3588</v>
      </c>
      <c r="B15" s="341" t="s">
        <v>995</v>
      </c>
      <c r="C15" s="373" t="s">
        <v>995</v>
      </c>
      <c r="D15" s="337" t="s">
        <v>3579</v>
      </c>
      <c r="E15" s="338" t="str">
        <f xml:space="preserve"> _xlfn.XLOOKUP(C15, 聲母對照資料表[十五音],  聲母對照資料表[台語音標], "查不到")</f>
        <v>k</v>
      </c>
      <c r="F15" s="338" t="s">
        <v>16</v>
      </c>
      <c r="G15" s="340" t="s">
        <v>1486</v>
      </c>
    </row>
    <row r="16" spans="1:11" ht="50.25">
      <c r="A16" s="336" t="s">
        <v>3588</v>
      </c>
      <c r="B16" s="341" t="s">
        <v>999</v>
      </c>
      <c r="C16" s="373" t="s">
        <v>999</v>
      </c>
      <c r="D16" s="337" t="s">
        <v>3580</v>
      </c>
      <c r="E16" s="338" t="str">
        <f xml:space="preserve"> _xlfn.XLOOKUP(C16, 聲母對照資料表[十五音],  聲母對照資料表[台語音標], "查不到")</f>
        <v>kh</v>
      </c>
      <c r="F16" s="338" t="s">
        <v>14</v>
      </c>
      <c r="G16" s="340" t="s">
        <v>1490</v>
      </c>
    </row>
    <row r="17" spans="1:7" ht="50.25">
      <c r="A17" s="336" t="s">
        <v>3588</v>
      </c>
      <c r="B17" s="341" t="s">
        <v>1059</v>
      </c>
      <c r="C17" s="373" t="s">
        <v>1059</v>
      </c>
      <c r="D17" s="337" t="s">
        <v>3581</v>
      </c>
      <c r="E17" s="338" t="str">
        <f xml:space="preserve"> _xlfn.XLOOKUP(C17, 聲母對照資料表[十五音],  聲母對照資料表[台語音標], "查不到")</f>
        <v>g</v>
      </c>
      <c r="F17" s="338" t="s">
        <v>1065</v>
      </c>
      <c r="G17" s="340" t="s">
        <v>1491</v>
      </c>
    </row>
    <row r="18" spans="1:7" ht="50.25">
      <c r="A18" s="336" t="s">
        <v>3588</v>
      </c>
      <c r="B18" s="341" t="s">
        <v>1094</v>
      </c>
      <c r="C18" s="373" t="s">
        <v>1094</v>
      </c>
      <c r="D18" s="337" t="s">
        <v>3582</v>
      </c>
      <c r="E18" s="338" t="str">
        <f xml:space="preserve"> _xlfn.XLOOKUP(C18, 聲母對照資料表[十五音],  聲母對照資料表[台語音標], "查不到")</f>
        <v>ng</v>
      </c>
      <c r="F18" s="338" t="s">
        <v>1309</v>
      </c>
      <c r="G18" s="340" t="s">
        <v>1584</v>
      </c>
    </row>
    <row r="19" spans="1:7" ht="50.25">
      <c r="A19" s="336" t="s">
        <v>3589</v>
      </c>
      <c r="B19" s="341" t="s">
        <v>1080</v>
      </c>
      <c r="C19" s="373" t="s">
        <v>1080</v>
      </c>
      <c r="D19" s="337" t="s">
        <v>3583</v>
      </c>
      <c r="E19" s="338" t="str">
        <f xml:space="preserve"> _xlfn.XLOOKUP(C19, 聲母對照資料表[十五音],  聲母對照資料表[台語音標], "查不到")</f>
        <v>h</v>
      </c>
      <c r="F19" s="338" t="s">
        <v>1</v>
      </c>
      <c r="G19" s="340" t="s">
        <v>1494</v>
      </c>
    </row>
    <row r="20" spans="1:7" ht="50.25">
      <c r="A20" s="336" t="s">
        <v>3590</v>
      </c>
      <c r="B20" s="341" t="s">
        <v>1051</v>
      </c>
      <c r="C20" s="373" t="s">
        <v>2452</v>
      </c>
      <c r="D20" s="338" t="s">
        <v>1686</v>
      </c>
      <c r="E20" s="338" t="str">
        <f xml:space="preserve"> _xlfn.XLOOKUP(C20, 聲母對照資料表[十五音],  聲母對照資料表[台語音標], "查不到")</f>
        <v>Ø</v>
      </c>
      <c r="F20" s="338" t="s">
        <v>0</v>
      </c>
      <c r="G20" s="340"/>
    </row>
    <row r="23" spans="1:7" ht="44.25">
      <c r="A23" s="336" t="s">
        <v>3586</v>
      </c>
      <c r="B23" s="341" t="s">
        <v>1668</v>
      </c>
      <c r="C23" s="341"/>
      <c r="D23" s="337" t="s">
        <v>3573</v>
      </c>
      <c r="E23" s="338" t="str">
        <f xml:space="preserve"> _xlfn.XLOOKUP(B23, 聲母對照資料表[十五音],  聲母對照資料表[台語音標], "查不到")</f>
        <v>查不到</v>
      </c>
      <c r="F23" s="338" t="s">
        <v>1038</v>
      </c>
      <c r="G23" s="340" t="s">
        <v>1588</v>
      </c>
    </row>
    <row r="24" spans="1:7" ht="44.25">
      <c r="A24" s="336" t="s">
        <v>3587</v>
      </c>
      <c r="B24" s="341" t="s">
        <v>1021</v>
      </c>
      <c r="C24" s="341"/>
      <c r="D24" s="337" t="s">
        <v>3575</v>
      </c>
      <c r="E24" s="338" t="str">
        <f xml:space="preserve"> _xlfn.XLOOKUP(B24, 聲母對照資料表[十五音],  聲母對照資料表[台語音標], "查不到")</f>
        <v>查不到</v>
      </c>
      <c r="F24" s="338" t="s">
        <v>3551</v>
      </c>
      <c r="G24" s="340" t="s">
        <v>1508</v>
      </c>
    </row>
    <row r="25" spans="1:7" ht="44.25">
      <c r="A25" s="336" t="s">
        <v>3587</v>
      </c>
      <c r="B25" s="341" t="s">
        <v>1297</v>
      </c>
      <c r="C25" s="341"/>
      <c r="D25" s="337" t="s">
        <v>3576</v>
      </c>
      <c r="E25" s="338" t="str">
        <f xml:space="preserve"> _xlfn.XLOOKUP(B25, 聲母對照資料表[十五音],  聲母對照資料表[台語音標], "查不到")</f>
        <v>查不到</v>
      </c>
      <c r="F25" s="338" t="s">
        <v>3552</v>
      </c>
      <c r="G25" s="340" t="s">
        <v>1512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9D69F-2A1C-408B-A449-B683B2B9E11F}">
  <dimension ref="A1:X104"/>
  <sheetViews>
    <sheetView showGridLines="0" topLeftCell="I1" zoomScale="60" zoomScaleNormal="60" workbookViewId="0">
      <pane ySplit="1" topLeftCell="A32" activePane="bottomLeft" state="frozen"/>
      <selection pane="bottomLeft" activeCell="T89" sqref="T89"/>
    </sheetView>
  </sheetViews>
  <sheetFormatPr defaultRowHeight="50.25"/>
  <cols>
    <col min="1" max="2" width="15.625" style="339" customWidth="1"/>
    <col min="3" max="3" width="20.625" style="334" customWidth="1"/>
    <col min="4" max="7" width="18.625" style="334" customWidth="1"/>
    <col min="8" max="8" width="15.625" style="251" customWidth="1"/>
    <col min="11" max="13" width="9.125" customWidth="1"/>
    <col min="14" max="14" width="11.25" customWidth="1"/>
    <col min="15" max="15" width="11" customWidth="1"/>
    <col min="16" max="18" width="11.25" customWidth="1"/>
    <col min="19" max="19" width="11" customWidth="1"/>
    <col min="20" max="21" width="11.25" customWidth="1"/>
    <col min="22" max="22" width="11" customWidth="1"/>
    <col min="23" max="24" width="15.5" customWidth="1"/>
  </cols>
  <sheetData>
    <row r="1" spans="1:24" ht="21">
      <c r="A1" s="335" t="s">
        <v>3429</v>
      </c>
      <c r="B1" s="335" t="s">
        <v>3642</v>
      </c>
      <c r="C1" s="335" t="s">
        <v>3426</v>
      </c>
      <c r="D1" s="335" t="s">
        <v>3427</v>
      </c>
      <c r="E1" s="335" t="s">
        <v>981</v>
      </c>
      <c r="F1" s="335" t="s">
        <v>3873</v>
      </c>
      <c r="G1" s="335" t="s">
        <v>1756</v>
      </c>
      <c r="H1" s="335" t="s">
        <v>1551</v>
      </c>
      <c r="K1" s="403" t="s">
        <v>976</v>
      </c>
      <c r="L1" s="403" t="s">
        <v>3874</v>
      </c>
      <c r="M1" s="404" t="s">
        <v>3644</v>
      </c>
      <c r="N1" s="404" t="s">
        <v>3427</v>
      </c>
      <c r="O1" s="404" t="s">
        <v>3643</v>
      </c>
      <c r="P1" s="404" t="s">
        <v>3645</v>
      </c>
      <c r="Q1" s="404" t="s">
        <v>3641</v>
      </c>
      <c r="R1" s="404" t="s">
        <v>1561</v>
      </c>
      <c r="S1" s="404" t="s">
        <v>3646</v>
      </c>
      <c r="T1" s="404" t="s">
        <v>3647</v>
      </c>
      <c r="U1" s="404" t="s">
        <v>3624</v>
      </c>
      <c r="V1" s="404" t="s">
        <v>3648</v>
      </c>
      <c r="W1" s="404" t="s">
        <v>3649</v>
      </c>
      <c r="X1" s="405" t="s">
        <v>3650</v>
      </c>
    </row>
    <row r="2" spans="1:24">
      <c r="A2" s="341" t="s">
        <v>3430</v>
      </c>
      <c r="B2" s="373" t="str">
        <f xml:space="preserve"> _xlfn.XLOOKUP(F2, 韻母清單[台羅拼音],  韻母清單[十五音識別碼], "查不到")</f>
        <v>膠舒</v>
      </c>
      <c r="C2" s="337" t="s">
        <v>18</v>
      </c>
      <c r="D2" s="337" t="s">
        <v>18</v>
      </c>
      <c r="E2" s="338"/>
      <c r="F2" s="338" t="s">
        <v>18</v>
      </c>
      <c r="G2" s="338" t="s">
        <v>18</v>
      </c>
      <c r="H2" s="342" t="s">
        <v>19</v>
      </c>
      <c r="K2" s="408" t="s">
        <v>1438</v>
      </c>
      <c r="L2" s="408">
        <f xml:space="preserve"> VALUE(韻母清單[[#This Row],[識別號]])</f>
        <v>1</v>
      </c>
      <c r="M2" s="401" t="s">
        <v>1107</v>
      </c>
      <c r="N2" s="401" t="s">
        <v>760</v>
      </c>
      <c r="O2" s="401" t="s">
        <v>1106</v>
      </c>
      <c r="P2" s="401" t="s">
        <v>761</v>
      </c>
      <c r="Q2" s="401" t="s">
        <v>760</v>
      </c>
      <c r="R2" s="401" t="s">
        <v>760</v>
      </c>
      <c r="S2" s="401" t="s">
        <v>760</v>
      </c>
      <c r="T2" s="401" t="s">
        <v>760</v>
      </c>
      <c r="U2" s="401" t="s">
        <v>760</v>
      </c>
      <c r="V2" s="401" t="s">
        <v>1956</v>
      </c>
      <c r="W2" s="401" t="s">
        <v>3651</v>
      </c>
      <c r="X2" s="402" t="s">
        <v>1438</v>
      </c>
    </row>
    <row r="3" spans="1:24">
      <c r="A3" s="341" t="s">
        <v>3431</v>
      </c>
      <c r="B3" s="373" t="str">
        <f xml:space="preserve"> _xlfn.XLOOKUP(F3, 韻母清單[台羅拼音],  韻母清單[十五音識別碼], "查不到")</f>
        <v>監舒</v>
      </c>
      <c r="C3" s="337" t="s">
        <v>18</v>
      </c>
      <c r="D3" s="337" t="s">
        <v>1234</v>
      </c>
      <c r="E3" s="338"/>
      <c r="F3" s="338" t="s">
        <v>1235</v>
      </c>
      <c r="G3" s="338" t="s">
        <v>1235</v>
      </c>
      <c r="H3" s="342" t="s">
        <v>37</v>
      </c>
      <c r="K3" s="408" t="s">
        <v>1469</v>
      </c>
      <c r="L3" s="408">
        <f xml:space="preserve"> VALUE(韻母清單[[#This Row],[識別號]])</f>
        <v>2</v>
      </c>
      <c r="M3" s="401" t="s">
        <v>3652</v>
      </c>
      <c r="N3" s="401" t="s">
        <v>776</v>
      </c>
      <c r="O3" s="401" t="s">
        <v>1106</v>
      </c>
      <c r="P3" s="401" t="s">
        <v>777</v>
      </c>
      <c r="Q3" s="401" t="s">
        <v>1110</v>
      </c>
      <c r="R3" s="401" t="s">
        <v>1110</v>
      </c>
      <c r="S3" s="401" t="s">
        <v>1110</v>
      </c>
      <c r="T3" s="401" t="s">
        <v>1110</v>
      </c>
      <c r="U3" s="401" t="s">
        <v>1110</v>
      </c>
      <c r="V3" s="401" t="s">
        <v>1958</v>
      </c>
      <c r="W3" s="401" t="s">
        <v>3653</v>
      </c>
      <c r="X3" s="402" t="s">
        <v>1438</v>
      </c>
    </row>
    <row r="4" spans="1:24">
      <c r="A4" s="341" t="s">
        <v>3432</v>
      </c>
      <c r="B4" s="373" t="str">
        <f xml:space="preserve"> _xlfn.XLOOKUP(F4, 韻母清單[台羅拼音],  韻母清單[十五音識別碼], "查不到")</f>
        <v>甘舒</v>
      </c>
      <c r="C4" s="337" t="s">
        <v>18</v>
      </c>
      <c r="D4" s="337" t="s">
        <v>67</v>
      </c>
      <c r="E4" s="338"/>
      <c r="F4" s="338" t="s">
        <v>67</v>
      </c>
      <c r="G4" s="338" t="s">
        <v>67</v>
      </c>
      <c r="H4" s="342" t="s">
        <v>68</v>
      </c>
      <c r="K4" s="408" t="s">
        <v>1510</v>
      </c>
      <c r="L4" s="408">
        <f xml:space="preserve"> VALUE(韻母清單[[#This Row],[識別號]])</f>
        <v>3</v>
      </c>
      <c r="M4" s="401" t="s">
        <v>3654</v>
      </c>
      <c r="N4" s="401" t="s">
        <v>1112</v>
      </c>
      <c r="O4" s="401" t="s">
        <v>1111</v>
      </c>
      <c r="P4" s="401" t="s">
        <v>451</v>
      </c>
      <c r="Q4" s="401" t="s">
        <v>1112</v>
      </c>
      <c r="R4" s="401" t="s">
        <v>1112</v>
      </c>
      <c r="S4" s="401" t="s">
        <v>1112</v>
      </c>
      <c r="T4" s="401" t="s">
        <v>1112</v>
      </c>
      <c r="U4" s="401" t="s">
        <v>1112</v>
      </c>
      <c r="V4" s="401" t="s">
        <v>1956</v>
      </c>
      <c r="W4" s="401" t="s">
        <v>3655</v>
      </c>
      <c r="X4" s="402" t="s">
        <v>1469</v>
      </c>
    </row>
    <row r="5" spans="1:24">
      <c r="A5" s="341" t="s">
        <v>3433</v>
      </c>
      <c r="B5" s="373" t="str">
        <f xml:space="preserve"> _xlfn.XLOOKUP(F5, 韻母清單[台羅拼音],  韻母清單[十五音識別碼], "查不到")</f>
        <v>干舒</v>
      </c>
      <c r="C5" s="337" t="s">
        <v>18</v>
      </c>
      <c r="D5" s="337" t="s">
        <v>79</v>
      </c>
      <c r="E5" s="338"/>
      <c r="F5" s="338" t="s">
        <v>79</v>
      </c>
      <c r="G5" s="338" t="s">
        <v>79</v>
      </c>
      <c r="H5" s="342" t="s">
        <v>80</v>
      </c>
      <c r="K5" s="408" t="s">
        <v>1513</v>
      </c>
      <c r="L5" s="408">
        <f xml:space="preserve"> VALUE(韻母清單[[#This Row],[識別號]])</f>
        <v>4</v>
      </c>
      <c r="M5" s="401" t="s">
        <v>3656</v>
      </c>
      <c r="N5" s="401" t="s">
        <v>1113</v>
      </c>
      <c r="O5" s="401" t="s">
        <v>1111</v>
      </c>
      <c r="P5" s="401" t="s">
        <v>493</v>
      </c>
      <c r="Q5" s="401" t="s">
        <v>1114</v>
      </c>
      <c r="R5" s="401" t="s">
        <v>1114</v>
      </c>
      <c r="S5" s="401" t="s">
        <v>1114</v>
      </c>
      <c r="T5" s="401" t="s">
        <v>1114</v>
      </c>
      <c r="U5" s="401" t="s">
        <v>1114</v>
      </c>
      <c r="V5" s="401" t="s">
        <v>1958</v>
      </c>
      <c r="W5" s="401" t="s">
        <v>3657</v>
      </c>
      <c r="X5" s="402" t="s">
        <v>1469</v>
      </c>
    </row>
    <row r="6" spans="1:24">
      <c r="A6" s="341" t="s">
        <v>3434</v>
      </c>
      <c r="B6" s="373" t="str">
        <f xml:space="preserve"> _xlfn.XLOOKUP(F6, 韻母清單[台羅拼音],  韻母清單[十五音識別碼], "查不到")</f>
        <v>江舒</v>
      </c>
      <c r="C6" s="337" t="s">
        <v>18</v>
      </c>
      <c r="D6" s="337" t="s">
        <v>3591</v>
      </c>
      <c r="E6" s="338"/>
      <c r="F6" s="338" t="s">
        <v>1206</v>
      </c>
      <c r="G6" s="338" t="s">
        <v>1206</v>
      </c>
      <c r="H6" s="342" t="s">
        <v>95</v>
      </c>
      <c r="K6" s="408" t="s">
        <v>1515</v>
      </c>
      <c r="L6" s="408">
        <f xml:space="preserve"> VALUE(韻母清單[[#This Row],[識別號]])</f>
        <v>5</v>
      </c>
      <c r="M6" s="401" t="s">
        <v>1116</v>
      </c>
      <c r="N6" s="401" t="s">
        <v>306</v>
      </c>
      <c r="O6" s="401" t="s">
        <v>1115</v>
      </c>
      <c r="P6" s="401" t="s">
        <v>307</v>
      </c>
      <c r="Q6" s="401" t="s">
        <v>306</v>
      </c>
      <c r="R6" s="401" t="s">
        <v>306</v>
      </c>
      <c r="S6" s="401" t="s">
        <v>306</v>
      </c>
      <c r="T6" s="401" t="s">
        <v>306</v>
      </c>
      <c r="U6" s="401" t="s">
        <v>306</v>
      </c>
      <c r="V6" s="401" t="s">
        <v>1956</v>
      </c>
      <c r="W6" s="401" t="s">
        <v>3658</v>
      </c>
      <c r="X6" s="402" t="s">
        <v>1510</v>
      </c>
    </row>
    <row r="7" spans="1:24">
      <c r="A7" s="341" t="s">
        <v>3435</v>
      </c>
      <c r="B7" s="373" t="str">
        <f xml:space="preserve"> _xlfn.XLOOKUP(F7, 韻母清單[台羅拼音],  韻母清單[十五音識別碼], "查不到")</f>
        <v>甘促</v>
      </c>
      <c r="C7" s="337" t="s">
        <v>18</v>
      </c>
      <c r="D7" s="337" t="s">
        <v>2456</v>
      </c>
      <c r="E7" s="338"/>
      <c r="F7" s="338" t="s">
        <v>1198</v>
      </c>
      <c r="G7" s="338" t="s">
        <v>1198</v>
      </c>
      <c r="H7" s="342" t="s">
        <v>110</v>
      </c>
      <c r="K7" s="408" t="s">
        <v>1518</v>
      </c>
      <c r="L7" s="408">
        <f xml:space="preserve"> VALUE(韻母清單[[#This Row],[識別號]])</f>
        <v>6</v>
      </c>
      <c r="M7" s="401" t="s">
        <v>3659</v>
      </c>
      <c r="N7" s="401" t="s">
        <v>350</v>
      </c>
      <c r="O7" s="401" t="s">
        <v>1115</v>
      </c>
      <c r="P7" s="401" t="s">
        <v>1117</v>
      </c>
      <c r="Q7" s="401" t="s">
        <v>1118</v>
      </c>
      <c r="R7" s="401" t="s">
        <v>1118</v>
      </c>
      <c r="S7" s="401" t="s">
        <v>1118</v>
      </c>
      <c r="T7" s="401" t="s">
        <v>1118</v>
      </c>
      <c r="U7" s="401" t="s">
        <v>1118</v>
      </c>
      <c r="V7" s="401" t="s">
        <v>1958</v>
      </c>
      <c r="W7" s="401" t="s">
        <v>3660</v>
      </c>
      <c r="X7" s="402" t="s">
        <v>1510</v>
      </c>
    </row>
    <row r="8" spans="1:24">
      <c r="A8" s="341" t="s">
        <v>3436</v>
      </c>
      <c r="B8" s="373" t="str">
        <f xml:space="preserve"> _xlfn.XLOOKUP(F8, 韻母清單[台羅拼音],  韻母清單[十五音識別碼], "查不到")</f>
        <v>干促</v>
      </c>
      <c r="C8" s="337" t="s">
        <v>18</v>
      </c>
      <c r="D8" s="337" t="s">
        <v>2457</v>
      </c>
      <c r="E8" s="338"/>
      <c r="F8" s="338" t="s">
        <v>1131</v>
      </c>
      <c r="G8" s="338" t="s">
        <v>1131</v>
      </c>
      <c r="H8" s="342" t="s">
        <v>121</v>
      </c>
      <c r="K8" s="408" t="s">
        <v>1520</v>
      </c>
      <c r="L8" s="408">
        <f xml:space="preserve"> VALUE(韻母清單[[#This Row],[識別號]])</f>
        <v>7</v>
      </c>
      <c r="M8" s="401" t="s">
        <v>1120</v>
      </c>
      <c r="N8" s="401" t="s">
        <v>921</v>
      </c>
      <c r="O8" s="401" t="s">
        <v>1119</v>
      </c>
      <c r="P8" s="401" t="s">
        <v>922</v>
      </c>
      <c r="Q8" s="401" t="s">
        <v>921</v>
      </c>
      <c r="R8" s="401" t="s">
        <v>921</v>
      </c>
      <c r="S8" s="401" t="s">
        <v>921</v>
      </c>
      <c r="T8" s="401" t="s">
        <v>921</v>
      </c>
      <c r="U8" s="401" t="s">
        <v>921</v>
      </c>
      <c r="V8" s="401" t="s">
        <v>1956</v>
      </c>
      <c r="W8" s="401" t="s">
        <v>3661</v>
      </c>
      <c r="X8" s="402" t="s">
        <v>1513</v>
      </c>
    </row>
    <row r="9" spans="1:24">
      <c r="A9" s="341" t="s">
        <v>3437</v>
      </c>
      <c r="B9" s="373" t="str">
        <f xml:space="preserve"> _xlfn.XLOOKUP(F9, 韻母清單[台羅拼音],  韻母清單[十五音識別碼], "查不到")</f>
        <v>江促</v>
      </c>
      <c r="C9" s="337" t="s">
        <v>18</v>
      </c>
      <c r="D9" s="337" t="s">
        <v>2458</v>
      </c>
      <c r="E9" s="338"/>
      <c r="F9" s="338" t="s">
        <v>1208</v>
      </c>
      <c r="G9" s="338" t="s">
        <v>1208</v>
      </c>
      <c r="H9" s="342" t="s">
        <v>135</v>
      </c>
      <c r="K9" s="408" t="s">
        <v>1525</v>
      </c>
      <c r="L9" s="408">
        <f xml:space="preserve"> VALUE(韻母清單[[#This Row],[識別號]])</f>
        <v>9</v>
      </c>
      <c r="M9" s="401" t="s">
        <v>3444</v>
      </c>
      <c r="N9" s="401" t="s">
        <v>1846</v>
      </c>
      <c r="O9" s="401" t="s">
        <v>1121</v>
      </c>
      <c r="P9" s="401" t="s">
        <v>1123</v>
      </c>
      <c r="Q9" s="401" t="s">
        <v>1124</v>
      </c>
      <c r="R9" s="401" t="s">
        <v>1124</v>
      </c>
      <c r="S9" s="401" t="s">
        <v>208</v>
      </c>
      <c r="T9" s="401" t="s">
        <v>1124</v>
      </c>
      <c r="U9" s="401" t="s">
        <v>208</v>
      </c>
      <c r="V9" s="401" t="s">
        <v>1956</v>
      </c>
      <c r="W9" s="401" t="s">
        <v>3662</v>
      </c>
      <c r="X9" s="402" t="s">
        <v>1515</v>
      </c>
    </row>
    <row r="10" spans="1:24">
      <c r="A10" s="341" t="s">
        <v>3438</v>
      </c>
      <c r="B10" s="373" t="str">
        <f xml:space="preserve"> _xlfn.XLOOKUP(F10, 韻母清單[台羅拼音],  韻母清單[十五音識別碼], "查不到")</f>
        <v>膠促</v>
      </c>
      <c r="C10" s="337" t="s">
        <v>18</v>
      </c>
      <c r="D10" s="337" t="s">
        <v>47</v>
      </c>
      <c r="E10" s="338"/>
      <c r="F10" s="338" t="s">
        <v>1250</v>
      </c>
      <c r="G10" s="338" t="s">
        <v>1250</v>
      </c>
      <c r="H10" s="342" t="s">
        <v>48</v>
      </c>
      <c r="K10" s="408" t="s">
        <v>3663</v>
      </c>
      <c r="L10" s="408">
        <f xml:space="preserve"> VALUE(韻母清單[[#This Row],[識別號]])</f>
        <v>10</v>
      </c>
      <c r="M10" s="401" t="s">
        <v>3664</v>
      </c>
      <c r="N10" s="401" t="s">
        <v>2113</v>
      </c>
      <c r="O10" s="401" t="s">
        <v>1121</v>
      </c>
      <c r="P10" s="401" t="s">
        <v>1127</v>
      </c>
      <c r="Q10" s="401" t="s">
        <v>1128</v>
      </c>
      <c r="R10" s="401" t="s">
        <v>1128</v>
      </c>
      <c r="S10" s="401" t="s">
        <v>1128</v>
      </c>
      <c r="T10" s="401" t="s">
        <v>1501</v>
      </c>
      <c r="U10" s="401" t="s">
        <v>1313</v>
      </c>
      <c r="V10" s="401" t="s">
        <v>1958</v>
      </c>
      <c r="W10" s="401" t="s">
        <v>3665</v>
      </c>
      <c r="X10" s="402" t="s">
        <v>1515</v>
      </c>
    </row>
    <row r="11" spans="1:24">
      <c r="A11" s="341" t="s">
        <v>2478</v>
      </c>
      <c r="B11" s="373" t="str">
        <f xml:space="preserve"> _xlfn.XLOOKUP(F11, 韻母清單[台羅拼音],  韻母清單[十五音識別碼], "查不到")</f>
        <v>監促</v>
      </c>
      <c r="C11" s="337" t="s">
        <v>18</v>
      </c>
      <c r="D11" s="337" t="s">
        <v>2459</v>
      </c>
      <c r="E11" s="338"/>
      <c r="F11" s="338" t="s">
        <v>1240</v>
      </c>
      <c r="G11" s="338" t="s">
        <v>1240</v>
      </c>
      <c r="H11" s="342" t="s">
        <v>64</v>
      </c>
      <c r="K11" s="408" t="s">
        <v>3666</v>
      </c>
      <c r="L11" s="408">
        <f xml:space="preserve"> VALUE(韻母清單[[#This Row],[識別號]])</f>
        <v>11</v>
      </c>
      <c r="M11" s="401" t="s">
        <v>1130</v>
      </c>
      <c r="N11" s="401" t="s">
        <v>79</v>
      </c>
      <c r="O11" s="401" t="s">
        <v>1129</v>
      </c>
      <c r="P11" s="401" t="s">
        <v>80</v>
      </c>
      <c r="Q11" s="401" t="s">
        <v>79</v>
      </c>
      <c r="R11" s="401" t="s">
        <v>79</v>
      </c>
      <c r="S11" s="401" t="s">
        <v>79</v>
      </c>
      <c r="T11" s="401" t="s">
        <v>79</v>
      </c>
      <c r="U11" s="401" t="s">
        <v>79</v>
      </c>
      <c r="V11" s="401" t="s">
        <v>1956</v>
      </c>
      <c r="W11" s="401" t="s">
        <v>3667</v>
      </c>
      <c r="X11" s="402" t="s">
        <v>1518</v>
      </c>
    </row>
    <row r="12" spans="1:24">
      <c r="A12" s="341" t="s">
        <v>3439</v>
      </c>
      <c r="B12" s="373" t="str">
        <f xml:space="preserve"> _xlfn.XLOOKUP(F12, 韻母清單[台羅拼音],  韻母清單[十五音識別碼], "查不到")</f>
        <v>皆舒</v>
      </c>
      <c r="C12" s="337" t="s">
        <v>3592</v>
      </c>
      <c r="D12" s="337" t="s">
        <v>1185</v>
      </c>
      <c r="E12" s="338"/>
      <c r="F12" s="338" t="s">
        <v>1185</v>
      </c>
      <c r="G12" s="338" t="s">
        <v>1185</v>
      </c>
      <c r="H12" s="342" t="s">
        <v>150</v>
      </c>
      <c r="K12" s="408" t="s">
        <v>3668</v>
      </c>
      <c r="L12" s="408">
        <f xml:space="preserve"> VALUE(韻母清單[[#This Row],[識別號]])</f>
        <v>12</v>
      </c>
      <c r="M12" s="401" t="s">
        <v>3669</v>
      </c>
      <c r="N12" s="401" t="s">
        <v>120</v>
      </c>
      <c r="O12" s="401" t="s">
        <v>1129</v>
      </c>
      <c r="P12" s="401" t="s">
        <v>121</v>
      </c>
      <c r="Q12" s="401" t="s">
        <v>1131</v>
      </c>
      <c r="R12" s="401" t="s">
        <v>1131</v>
      </c>
      <c r="S12" s="401" t="s">
        <v>1131</v>
      </c>
      <c r="T12" s="401" t="s">
        <v>1131</v>
      </c>
      <c r="U12" s="401" t="s">
        <v>1131</v>
      </c>
      <c r="V12" s="401" t="s">
        <v>1958</v>
      </c>
      <c r="W12" s="401" t="s">
        <v>3670</v>
      </c>
      <c r="X12" s="402" t="s">
        <v>1518</v>
      </c>
    </row>
    <row r="13" spans="1:24">
      <c r="A13" s="341" t="s">
        <v>3440</v>
      </c>
      <c r="B13" s="373" t="str">
        <f xml:space="preserve"> _xlfn.XLOOKUP(F13, 韻母清單[台羅拼音],  韻母清單[十五音識別碼], "查不到")</f>
        <v>閒舒</v>
      </c>
      <c r="C13" s="337" t="s">
        <v>3592</v>
      </c>
      <c r="D13" s="337" t="s">
        <v>2479</v>
      </c>
      <c r="E13" s="338"/>
      <c r="F13" s="338" t="s">
        <v>1317</v>
      </c>
      <c r="G13" s="338" t="s">
        <v>1317</v>
      </c>
      <c r="H13" s="342" t="s">
        <v>168</v>
      </c>
      <c r="K13" s="408" t="s">
        <v>3671</v>
      </c>
      <c r="L13" s="408">
        <f xml:space="preserve"> VALUE(韻母清單[[#This Row],[識別號]])</f>
        <v>13</v>
      </c>
      <c r="M13" s="401" t="s">
        <v>3672</v>
      </c>
      <c r="N13" s="401" t="s">
        <v>697</v>
      </c>
      <c r="O13" s="401" t="s">
        <v>1132</v>
      </c>
      <c r="P13" s="401" t="s">
        <v>698</v>
      </c>
      <c r="Q13" s="401" t="s">
        <v>1134</v>
      </c>
      <c r="R13" s="401" t="s">
        <v>1134</v>
      </c>
      <c r="S13" s="401" t="s">
        <v>1134</v>
      </c>
      <c r="T13" s="401" t="s">
        <v>1134</v>
      </c>
      <c r="U13" s="401" t="s">
        <v>1134</v>
      </c>
      <c r="V13" s="401" t="s">
        <v>1956</v>
      </c>
      <c r="W13" s="401" t="s">
        <v>3673</v>
      </c>
      <c r="X13" s="402" t="s">
        <v>1520</v>
      </c>
    </row>
    <row r="14" spans="1:24">
      <c r="A14" s="343" t="s">
        <v>3441</v>
      </c>
      <c r="B14" s="373" t="str">
        <f xml:space="preserve"> _xlfn.XLOOKUP(F14, 韻母清單[台羅拼音],  韻母清單[十五音識別碼], "查不到")</f>
        <v>查不到</v>
      </c>
      <c r="C14" s="337" t="s">
        <v>3592</v>
      </c>
      <c r="D14" s="337" t="s">
        <v>2480</v>
      </c>
      <c r="E14" s="338"/>
      <c r="F14" s="338" t="s">
        <v>1769</v>
      </c>
      <c r="G14" s="338" t="s">
        <v>1769</v>
      </c>
      <c r="H14" s="342" t="s">
        <v>176</v>
      </c>
      <c r="K14" s="408" t="s">
        <v>3674</v>
      </c>
      <c r="L14" s="408">
        <f xml:space="preserve"> VALUE(韻母清單[[#This Row],[識別號]])</f>
        <v>14</v>
      </c>
      <c r="M14" s="401" t="s">
        <v>3675</v>
      </c>
      <c r="N14" s="401" t="s">
        <v>717</v>
      </c>
      <c r="O14" s="401" t="s">
        <v>1132</v>
      </c>
      <c r="P14" s="401" t="s">
        <v>718</v>
      </c>
      <c r="Q14" s="401" t="s">
        <v>1136</v>
      </c>
      <c r="R14" s="401" t="s">
        <v>1136</v>
      </c>
      <c r="S14" s="401" t="s">
        <v>1136</v>
      </c>
      <c r="T14" s="401" t="s">
        <v>1136</v>
      </c>
      <c r="U14" s="401" t="s">
        <v>1136</v>
      </c>
      <c r="V14" s="401" t="s">
        <v>1958</v>
      </c>
      <c r="W14" s="401" t="s">
        <v>3676</v>
      </c>
      <c r="X14" s="402" t="s">
        <v>1520</v>
      </c>
    </row>
    <row r="15" spans="1:24">
      <c r="A15" s="344" t="s">
        <v>3555</v>
      </c>
      <c r="B15" s="373" t="str">
        <f xml:space="preserve"> _xlfn.XLOOKUP(F15, 韻母清單[台羅拼音],  韻母清單[十五音識別碼], "查不到")</f>
        <v>查不到</v>
      </c>
      <c r="C15" s="337" t="s">
        <v>3592</v>
      </c>
      <c r="D15" s="337" t="s">
        <v>2481</v>
      </c>
      <c r="E15" s="338"/>
      <c r="F15" s="338" t="s">
        <v>2152</v>
      </c>
      <c r="G15" s="338" t="s">
        <v>2152</v>
      </c>
      <c r="H15" s="342" t="s">
        <v>2156</v>
      </c>
      <c r="K15" s="408" t="s">
        <v>3677</v>
      </c>
      <c r="L15" s="408">
        <f xml:space="preserve"> VALUE(韻母清單[[#This Row],[識別號]])</f>
        <v>15</v>
      </c>
      <c r="M15" s="401" t="s">
        <v>1138</v>
      </c>
      <c r="N15" s="401" t="s">
        <v>868</v>
      </c>
      <c r="O15" s="401" t="s">
        <v>1137</v>
      </c>
      <c r="P15" s="401" t="s">
        <v>869</v>
      </c>
      <c r="Q15" s="401" t="s">
        <v>868</v>
      </c>
      <c r="R15" s="401" t="s">
        <v>868</v>
      </c>
      <c r="S15" s="401" t="s">
        <v>1139</v>
      </c>
      <c r="T15" s="401" t="s">
        <v>868</v>
      </c>
      <c r="U15" s="401" t="s">
        <v>868</v>
      </c>
      <c r="V15" s="401" t="s">
        <v>1956</v>
      </c>
      <c r="W15" s="401" t="s">
        <v>3678</v>
      </c>
      <c r="X15" s="402" t="s">
        <v>3679</v>
      </c>
    </row>
    <row r="16" spans="1:24">
      <c r="A16" s="341" t="s">
        <v>3442</v>
      </c>
      <c r="B16" s="373" t="str">
        <f xml:space="preserve"> _xlfn.XLOOKUP(F16, 韻母清單[台羅拼音],  韻母清單[十五音識別碼], "查不到")</f>
        <v>交舒</v>
      </c>
      <c r="C16" s="337" t="s">
        <v>3593</v>
      </c>
      <c r="D16" s="337" t="s">
        <v>3594</v>
      </c>
      <c r="E16" s="338"/>
      <c r="F16" s="338" t="s">
        <v>180</v>
      </c>
      <c r="G16" s="338" t="s">
        <v>180</v>
      </c>
      <c r="H16" s="342" t="s">
        <v>181</v>
      </c>
      <c r="K16" s="408" t="s">
        <v>3680</v>
      </c>
      <c r="L16" s="408">
        <f xml:space="preserve"> VALUE(韻母清單[[#This Row],[識別號]])</f>
        <v>16</v>
      </c>
      <c r="M16" s="401" t="s">
        <v>1109</v>
      </c>
      <c r="N16" s="401" t="s">
        <v>1140</v>
      </c>
      <c r="O16" s="401" t="s">
        <v>1137</v>
      </c>
      <c r="P16" s="401" t="s">
        <v>881</v>
      </c>
      <c r="Q16" s="401" t="s">
        <v>1141</v>
      </c>
      <c r="R16" s="401" t="s">
        <v>1141</v>
      </c>
      <c r="S16" s="401" t="s">
        <v>1142</v>
      </c>
      <c r="T16" s="401" t="s">
        <v>1141</v>
      </c>
      <c r="U16" s="401" t="s">
        <v>1141</v>
      </c>
      <c r="V16" s="401" t="s">
        <v>1958</v>
      </c>
      <c r="W16" s="401" t="s">
        <v>3681</v>
      </c>
      <c r="X16" s="402" t="s">
        <v>3679</v>
      </c>
    </row>
    <row r="17" spans="1:24">
      <c r="A17" s="345" t="s">
        <v>3443</v>
      </c>
      <c r="B17" s="373" t="str">
        <f xml:space="preserve"> _xlfn.XLOOKUP(F17, 韻母清單[台羅拼音],  韻母清單[十五音識別碼], "查不到")</f>
        <v>交促</v>
      </c>
      <c r="C17" s="337" t="s">
        <v>3593</v>
      </c>
      <c r="D17" s="337" t="s">
        <v>3595</v>
      </c>
      <c r="E17" s="338"/>
      <c r="F17" s="338" t="s">
        <v>1219</v>
      </c>
      <c r="G17" s="338" t="s">
        <v>1219</v>
      </c>
      <c r="H17" s="342" t="s">
        <v>199</v>
      </c>
      <c r="K17" s="408" t="s">
        <v>3682</v>
      </c>
      <c r="L17" s="408">
        <f xml:space="preserve"> VALUE(韻母清單[[#This Row],[識別號]])</f>
        <v>17</v>
      </c>
      <c r="M17" s="401" t="s">
        <v>1144</v>
      </c>
      <c r="N17" s="401" t="s">
        <v>335</v>
      </c>
      <c r="O17" s="401" t="s">
        <v>1143</v>
      </c>
      <c r="P17" s="401" t="s">
        <v>336</v>
      </c>
      <c r="Q17" s="401" t="s">
        <v>1145</v>
      </c>
      <c r="R17" s="401" t="s">
        <v>1145</v>
      </c>
      <c r="S17" s="401" t="s">
        <v>1146</v>
      </c>
      <c r="T17" s="401" t="s">
        <v>1145</v>
      </c>
      <c r="U17" s="401" t="s">
        <v>1145</v>
      </c>
      <c r="V17" s="401" t="s">
        <v>1956</v>
      </c>
      <c r="W17" s="401" t="s">
        <v>3683</v>
      </c>
      <c r="X17" s="402" t="s">
        <v>1525</v>
      </c>
    </row>
    <row r="18" spans="1:24">
      <c r="A18" s="346" t="s">
        <v>3495</v>
      </c>
      <c r="B18" s="373" t="str">
        <f xml:space="preserve"> _xlfn.XLOOKUP(F18, 韻母清單[台羅拼音],  韻母清單[十五音識別碼], "查不到")</f>
        <v>查不到</v>
      </c>
      <c r="C18" s="337" t="s">
        <v>3593</v>
      </c>
      <c r="D18" s="337" t="s">
        <v>3596</v>
      </c>
      <c r="E18" s="338"/>
      <c r="F18" s="338" t="s">
        <v>2175</v>
      </c>
      <c r="G18" s="338" t="s">
        <v>2175</v>
      </c>
      <c r="H18" s="342" t="s">
        <v>2179</v>
      </c>
      <c r="K18" s="408" t="s">
        <v>3684</v>
      </c>
      <c r="L18" s="408">
        <f xml:space="preserve"> VALUE(韻母清單[[#This Row],[識別號]])</f>
        <v>18</v>
      </c>
      <c r="M18" s="401" t="s">
        <v>2302</v>
      </c>
      <c r="N18" s="401" t="s">
        <v>1148</v>
      </c>
      <c r="O18" s="401" t="s">
        <v>1143</v>
      </c>
      <c r="P18" s="401" t="s">
        <v>376</v>
      </c>
      <c r="Q18" s="401" t="s">
        <v>1149</v>
      </c>
      <c r="R18" s="401" t="s">
        <v>1149</v>
      </c>
      <c r="S18" s="401" t="s">
        <v>1150</v>
      </c>
      <c r="T18" s="401" t="s">
        <v>1149</v>
      </c>
      <c r="U18" s="401" t="s">
        <v>1149</v>
      </c>
      <c r="V18" s="401" t="s">
        <v>1958</v>
      </c>
      <c r="W18" s="401" t="s">
        <v>3685</v>
      </c>
      <c r="X18" s="402" t="s">
        <v>1525</v>
      </c>
    </row>
    <row r="19" spans="1:24">
      <c r="A19" s="347" t="s">
        <v>3444</v>
      </c>
      <c r="B19" s="373" t="str">
        <f xml:space="preserve"> _xlfn.XLOOKUP(F19, 韻母清單[台羅拼音],  韻母清單[十五音識別碼], "查不到")</f>
        <v>嘉舒</v>
      </c>
      <c r="C19" s="337" t="s">
        <v>3597</v>
      </c>
      <c r="D19" s="337" t="s">
        <v>3597</v>
      </c>
      <c r="E19" s="338"/>
      <c r="F19" s="338" t="s">
        <v>1124</v>
      </c>
      <c r="G19" s="338" t="s">
        <v>1124</v>
      </c>
      <c r="H19" s="342" t="s">
        <v>1123</v>
      </c>
      <c r="K19" s="408" t="s">
        <v>3686</v>
      </c>
      <c r="L19" s="408">
        <f xml:space="preserve"> VALUE(韻母清單[[#This Row],[識別號]])</f>
        <v>19</v>
      </c>
      <c r="M19" s="401" t="s">
        <v>1152</v>
      </c>
      <c r="N19" s="401" t="s">
        <v>835</v>
      </c>
      <c r="O19" s="401" t="s">
        <v>1151</v>
      </c>
      <c r="P19" s="401" t="s">
        <v>836</v>
      </c>
      <c r="Q19" s="401" t="s">
        <v>835</v>
      </c>
      <c r="R19" s="401" t="s">
        <v>835</v>
      </c>
      <c r="S19" s="401" t="s">
        <v>1153</v>
      </c>
      <c r="T19" s="401" t="s">
        <v>835</v>
      </c>
      <c r="U19" s="401" t="s">
        <v>835</v>
      </c>
      <c r="V19" s="401" t="s">
        <v>1956</v>
      </c>
      <c r="W19" s="401" t="s">
        <v>3687</v>
      </c>
      <c r="X19" s="402" t="s">
        <v>3663</v>
      </c>
    </row>
    <row r="20" spans="1:24">
      <c r="A20" s="341" t="s">
        <v>3445</v>
      </c>
      <c r="B20" s="373" t="str">
        <f xml:space="preserve"> _xlfn.XLOOKUP(F20, 韻母清單[台羅拼音],  韻母清單[十五音識別碼], "查不到")</f>
        <v>經舒</v>
      </c>
      <c r="C20" s="337" t="s">
        <v>3597</v>
      </c>
      <c r="D20" s="337" t="s">
        <v>3598</v>
      </c>
      <c r="E20" s="338"/>
      <c r="F20" s="338" t="s">
        <v>1782</v>
      </c>
      <c r="G20" s="338" t="s">
        <v>1146</v>
      </c>
      <c r="H20" s="342" t="s">
        <v>1633</v>
      </c>
      <c r="K20" s="408" t="s">
        <v>3688</v>
      </c>
      <c r="L20" s="408">
        <f xml:space="preserve"> VALUE(韻母清單[[#This Row],[識別號]])</f>
        <v>20</v>
      </c>
      <c r="M20" s="401" t="s">
        <v>3689</v>
      </c>
      <c r="N20" s="401" t="s">
        <v>854</v>
      </c>
      <c r="O20" s="401" t="s">
        <v>1151</v>
      </c>
      <c r="P20" s="401" t="s">
        <v>855</v>
      </c>
      <c r="Q20" s="401" t="s">
        <v>1155</v>
      </c>
      <c r="R20" s="401" t="s">
        <v>1155</v>
      </c>
      <c r="S20" s="401" t="s">
        <v>1156</v>
      </c>
      <c r="T20" s="401" t="s">
        <v>1155</v>
      </c>
      <c r="U20" s="401" t="s">
        <v>1155</v>
      </c>
      <c r="V20" s="401" t="s">
        <v>1958</v>
      </c>
      <c r="W20" s="401" t="s">
        <v>3690</v>
      </c>
      <c r="X20" s="402" t="s">
        <v>3663</v>
      </c>
    </row>
    <row r="21" spans="1:24">
      <c r="A21" s="341" t="s">
        <v>2302</v>
      </c>
      <c r="B21" s="373" t="str">
        <f xml:space="preserve"> _xlfn.XLOOKUP(F21, 韻母清單[台羅拼音],  韻母清單[十五音識別碼], "查不到")</f>
        <v>經促</v>
      </c>
      <c r="C21" s="337" t="s">
        <v>3597</v>
      </c>
      <c r="D21" s="337" t="s">
        <v>1150</v>
      </c>
      <c r="E21" s="338"/>
      <c r="F21" s="338" t="s">
        <v>1785</v>
      </c>
      <c r="G21" s="338" t="s">
        <v>1150</v>
      </c>
      <c r="H21" s="342" t="s">
        <v>3446</v>
      </c>
      <c r="K21" s="408" t="s">
        <v>3691</v>
      </c>
      <c r="L21" s="408">
        <f xml:space="preserve"> VALUE(韻母清單[[#This Row],[識別號]])</f>
        <v>21</v>
      </c>
      <c r="M21" s="401" t="s">
        <v>3692</v>
      </c>
      <c r="N21" s="401" t="s">
        <v>1691</v>
      </c>
      <c r="O21" s="401" t="s">
        <v>1157</v>
      </c>
      <c r="P21" s="401" t="s">
        <v>649</v>
      </c>
      <c r="Q21" s="401" t="s">
        <v>1159</v>
      </c>
      <c r="R21" s="401" t="s">
        <v>1159</v>
      </c>
      <c r="S21" s="401" t="s">
        <v>1160</v>
      </c>
      <c r="T21" s="401" t="s">
        <v>1159</v>
      </c>
      <c r="U21" s="401" t="s">
        <v>1159</v>
      </c>
      <c r="V21" s="401" t="s">
        <v>1956</v>
      </c>
      <c r="W21" s="401" t="s">
        <v>3693</v>
      </c>
      <c r="X21" s="402" t="s">
        <v>3666</v>
      </c>
    </row>
    <row r="22" spans="1:24">
      <c r="A22" s="348" t="s">
        <v>3447</v>
      </c>
      <c r="B22" s="373" t="str">
        <f xml:space="preserve"> _xlfn.XLOOKUP(F22, 韻母清單[台羅拼音],  韻母清單[十五音識別碼], "查不到")</f>
        <v>嘉促</v>
      </c>
      <c r="C22" s="337" t="s">
        <v>3597</v>
      </c>
      <c r="D22" s="337" t="s">
        <v>3599</v>
      </c>
      <c r="E22" s="338"/>
      <c r="F22" s="338" t="s">
        <v>1128</v>
      </c>
      <c r="G22" s="338" t="s">
        <v>1128</v>
      </c>
      <c r="H22" s="342" t="s">
        <v>1127</v>
      </c>
      <c r="K22" s="408" t="s">
        <v>3694</v>
      </c>
      <c r="L22" s="408">
        <f xml:space="preserve"> VALUE(韻母清單[[#This Row],[識別號]])</f>
        <v>23</v>
      </c>
      <c r="M22" s="401" t="s">
        <v>1162</v>
      </c>
      <c r="N22" s="401" t="s">
        <v>1163</v>
      </c>
      <c r="O22" s="401" t="s">
        <v>1161</v>
      </c>
      <c r="P22" s="401" t="s">
        <v>517</v>
      </c>
      <c r="Q22" s="401" t="s">
        <v>1163</v>
      </c>
      <c r="R22" s="401" t="s">
        <v>1163</v>
      </c>
      <c r="S22" s="401" t="s">
        <v>1163</v>
      </c>
      <c r="T22" s="401" t="s">
        <v>1164</v>
      </c>
      <c r="U22" s="401" t="s">
        <v>1163</v>
      </c>
      <c r="V22" s="401" t="s">
        <v>1956</v>
      </c>
      <c r="W22" s="401" t="s">
        <v>3695</v>
      </c>
      <c r="X22" s="402" t="s">
        <v>3668</v>
      </c>
    </row>
    <row r="23" spans="1:24">
      <c r="A23" s="341" t="s">
        <v>1168</v>
      </c>
      <c r="B23" s="373" t="str">
        <f xml:space="preserve"> _xlfn.XLOOKUP(F23, 韻母清單[台羅拼音],  韻母清單[十五音識別碼], "查不到")</f>
        <v>稽舒</v>
      </c>
      <c r="C23" s="337" t="s">
        <v>208</v>
      </c>
      <c r="D23" s="337" t="s">
        <v>208</v>
      </c>
      <c r="E23" s="338"/>
      <c r="F23" s="338" t="s">
        <v>208</v>
      </c>
      <c r="G23" s="338" t="s">
        <v>208</v>
      </c>
      <c r="H23" s="342" t="s">
        <v>209</v>
      </c>
      <c r="K23" s="408" t="s">
        <v>3696</v>
      </c>
      <c r="L23" s="408">
        <f xml:space="preserve"> VALUE(韻母清單[[#This Row],[識別號]])</f>
        <v>24</v>
      </c>
      <c r="M23" s="401" t="s">
        <v>3697</v>
      </c>
      <c r="N23" s="401" t="s">
        <v>1165</v>
      </c>
      <c r="O23" s="401" t="s">
        <v>1161</v>
      </c>
      <c r="P23" s="401" t="s">
        <v>538</v>
      </c>
      <c r="Q23" s="401" t="s">
        <v>1166</v>
      </c>
      <c r="R23" s="401" t="s">
        <v>1166</v>
      </c>
      <c r="S23" s="401" t="s">
        <v>1166</v>
      </c>
      <c r="T23" s="401" t="s">
        <v>1167</v>
      </c>
      <c r="U23" s="401" t="s">
        <v>1166</v>
      </c>
      <c r="V23" s="401" t="s">
        <v>1958</v>
      </c>
      <c r="W23" s="401" t="s">
        <v>3698</v>
      </c>
      <c r="X23" s="402" t="s">
        <v>3668</v>
      </c>
    </row>
    <row r="24" spans="1:24">
      <c r="A24" s="341" t="s">
        <v>3448</v>
      </c>
      <c r="B24" s="373" t="str">
        <f xml:space="preserve"> _xlfn.XLOOKUP(F24, 韻母清單[台羅拼音],  韻母清單[十五音識別碼], "查不到")</f>
        <v>更舒</v>
      </c>
      <c r="C24" s="337" t="s">
        <v>208</v>
      </c>
      <c r="D24" s="337" t="s">
        <v>2513</v>
      </c>
      <c r="E24" s="338"/>
      <c r="F24" s="338" t="s">
        <v>1261</v>
      </c>
      <c r="G24" s="338" t="s">
        <v>1261</v>
      </c>
      <c r="H24" s="342" t="s">
        <v>227</v>
      </c>
      <c r="K24" s="408" t="s">
        <v>3699</v>
      </c>
      <c r="L24" s="408">
        <f xml:space="preserve"> VALUE(韻母清單[[#This Row],[識別號]])</f>
        <v>25</v>
      </c>
      <c r="M24" s="401" t="s">
        <v>1169</v>
      </c>
      <c r="N24" s="401" t="s">
        <v>1171</v>
      </c>
      <c r="O24" s="401" t="s">
        <v>1168</v>
      </c>
      <c r="P24" s="401" t="s">
        <v>209</v>
      </c>
      <c r="Q24" s="401" t="s">
        <v>1171</v>
      </c>
      <c r="R24" s="401" t="s">
        <v>208</v>
      </c>
      <c r="S24" s="401" t="s">
        <v>208</v>
      </c>
      <c r="T24" s="401" t="s">
        <v>208</v>
      </c>
      <c r="U24" s="401" t="s">
        <v>208</v>
      </c>
      <c r="V24" s="401" t="s">
        <v>1956</v>
      </c>
      <c r="W24" s="401" t="s">
        <v>3700</v>
      </c>
      <c r="X24" s="402" t="s">
        <v>3671</v>
      </c>
    </row>
    <row r="25" spans="1:24">
      <c r="A25" s="341" t="s">
        <v>3449</v>
      </c>
      <c r="B25" s="373" t="str">
        <f xml:space="preserve"> _xlfn.XLOOKUP(F25, 韻母清單[台羅拼音],  韻母清單[十五音識別碼], "查不到")</f>
        <v>伽促</v>
      </c>
      <c r="C25" s="337" t="s">
        <v>208</v>
      </c>
      <c r="D25" s="337" t="s">
        <v>238</v>
      </c>
      <c r="E25" s="338"/>
      <c r="F25" s="338" t="s">
        <v>1313</v>
      </c>
      <c r="G25" s="338" t="s">
        <v>1313</v>
      </c>
      <c r="H25" s="342" t="s">
        <v>239</v>
      </c>
      <c r="K25" s="408" t="s">
        <v>3701</v>
      </c>
      <c r="L25" s="408">
        <f xml:space="preserve"> VALUE(韻母清單[[#This Row],[識別號]])</f>
        <v>27</v>
      </c>
      <c r="M25" s="401" t="s">
        <v>3702</v>
      </c>
      <c r="N25" s="401" t="s">
        <v>1718</v>
      </c>
      <c r="O25" s="401" t="s">
        <v>1172</v>
      </c>
      <c r="P25" s="401" t="s">
        <v>579</v>
      </c>
      <c r="Q25" s="401" t="s">
        <v>1174</v>
      </c>
      <c r="R25" s="401" t="s">
        <v>1174</v>
      </c>
      <c r="S25" s="401" t="s">
        <v>1174</v>
      </c>
      <c r="T25" s="401" t="s">
        <v>1174</v>
      </c>
      <c r="U25" s="401" t="s">
        <v>1174</v>
      </c>
      <c r="V25" s="401" t="s">
        <v>1956</v>
      </c>
      <c r="W25" s="401" t="s">
        <v>3703</v>
      </c>
      <c r="X25" s="402" t="s">
        <v>3674</v>
      </c>
    </row>
    <row r="26" spans="1:24">
      <c r="A26" s="349" t="s">
        <v>3556</v>
      </c>
      <c r="B26" s="373" t="str">
        <f xml:space="preserve"> _xlfn.XLOOKUP(F26, 韻母清單[台羅拼音],  韻母清單[十五音識別碼], "查不到")</f>
        <v>更促</v>
      </c>
      <c r="C26" s="337" t="s">
        <v>208</v>
      </c>
      <c r="D26" s="337" t="s">
        <v>3600</v>
      </c>
      <c r="E26" s="338"/>
      <c r="F26" s="338" t="s">
        <v>1266</v>
      </c>
      <c r="G26" s="338" t="s">
        <v>1266</v>
      </c>
      <c r="H26" s="342" t="s">
        <v>257</v>
      </c>
      <c r="K26" s="408" t="s">
        <v>3704</v>
      </c>
      <c r="L26" s="408">
        <f xml:space="preserve"> VALUE(韻母清單[[#This Row],[識別號]])</f>
        <v>28</v>
      </c>
      <c r="M26" s="401" t="s">
        <v>3705</v>
      </c>
      <c r="N26" s="401" t="s">
        <v>2110</v>
      </c>
      <c r="O26" s="401" t="s">
        <v>1172</v>
      </c>
      <c r="P26" s="401" t="s">
        <v>592</v>
      </c>
      <c r="Q26" s="401" t="s">
        <v>1176</v>
      </c>
      <c r="R26" s="401" t="s">
        <v>1176</v>
      </c>
      <c r="S26" s="401" t="s">
        <v>1176</v>
      </c>
      <c r="T26" s="401" t="s">
        <v>1176</v>
      </c>
      <c r="U26" s="401" t="s">
        <v>1176</v>
      </c>
      <c r="V26" s="401" t="s">
        <v>1958</v>
      </c>
      <c r="W26" s="401" t="s">
        <v>3706</v>
      </c>
      <c r="X26" s="402" t="s">
        <v>3674</v>
      </c>
    </row>
    <row r="27" spans="1:24">
      <c r="A27" s="341" t="s">
        <v>3450</v>
      </c>
      <c r="B27" s="373" t="str">
        <f xml:space="preserve"> _xlfn.XLOOKUP(F27, 韻母清單[台羅拼音],  韻母清單[十五音識別碼], "查不到")</f>
        <v>居舒</v>
      </c>
      <c r="C27" s="337" t="s">
        <v>260</v>
      </c>
      <c r="D27" s="337" t="s">
        <v>260</v>
      </c>
      <c r="E27" s="338"/>
      <c r="F27" s="338" t="s">
        <v>260</v>
      </c>
      <c r="G27" s="338" t="s">
        <v>260</v>
      </c>
      <c r="H27" s="342" t="s">
        <v>261</v>
      </c>
      <c r="K27" s="408" t="s">
        <v>3707</v>
      </c>
      <c r="L27" s="408">
        <f xml:space="preserve"> VALUE(韻母清單[[#This Row],[識別號]])</f>
        <v>29</v>
      </c>
      <c r="M27" s="401" t="s">
        <v>1178</v>
      </c>
      <c r="N27" s="401" t="s">
        <v>1180</v>
      </c>
      <c r="O27" s="401" t="s">
        <v>1177</v>
      </c>
      <c r="P27" s="401" t="s">
        <v>634</v>
      </c>
      <c r="Q27" s="401" t="s">
        <v>1180</v>
      </c>
      <c r="R27" s="401" t="s">
        <v>1180</v>
      </c>
      <c r="S27" s="401" t="s">
        <v>1180</v>
      </c>
      <c r="T27" s="401" t="s">
        <v>1180</v>
      </c>
      <c r="U27" s="401" t="s">
        <v>3484</v>
      </c>
      <c r="V27" s="401" t="s">
        <v>1956</v>
      </c>
      <c r="W27" s="401" t="s">
        <v>3708</v>
      </c>
      <c r="X27" s="402" t="s">
        <v>3677</v>
      </c>
    </row>
    <row r="28" spans="1:24">
      <c r="A28" s="343" t="s">
        <v>3451</v>
      </c>
      <c r="B28" s="373" t="str">
        <f xml:space="preserve"> _xlfn.XLOOKUP(F28, 韻母清單[台羅拼音],  韻母清單[十五音識別碼], "查不到")</f>
        <v>梔舒</v>
      </c>
      <c r="C28" s="337" t="s">
        <v>260</v>
      </c>
      <c r="D28" s="337" t="s">
        <v>2523</v>
      </c>
      <c r="E28" s="338"/>
      <c r="F28" s="338" t="s">
        <v>1282</v>
      </c>
      <c r="G28" s="338" t="s">
        <v>1282</v>
      </c>
      <c r="H28" s="342" t="s">
        <v>280</v>
      </c>
      <c r="K28" s="408" t="s">
        <v>3709</v>
      </c>
      <c r="L28" s="408">
        <f xml:space="preserve"> VALUE(韻母清單[[#This Row],[識別號]])</f>
        <v>30</v>
      </c>
      <c r="M28" s="401" t="s">
        <v>3710</v>
      </c>
      <c r="N28" s="401" t="s">
        <v>1812</v>
      </c>
      <c r="O28" s="401" t="s">
        <v>1177</v>
      </c>
      <c r="P28" s="401" t="s">
        <v>671</v>
      </c>
      <c r="Q28" s="401" t="s">
        <v>1182</v>
      </c>
      <c r="R28" s="401" t="s">
        <v>1182</v>
      </c>
      <c r="S28" s="401" t="s">
        <v>1182</v>
      </c>
      <c r="T28" s="401" t="s">
        <v>1182</v>
      </c>
      <c r="U28" s="401" t="s">
        <v>3486</v>
      </c>
      <c r="V28" s="401" t="s">
        <v>1958</v>
      </c>
      <c r="W28" s="401" t="s">
        <v>3711</v>
      </c>
      <c r="X28" s="402" t="s">
        <v>3677</v>
      </c>
    </row>
    <row r="29" spans="1:24">
      <c r="A29" s="341" t="s">
        <v>3452</v>
      </c>
      <c r="B29" s="373" t="str">
        <f xml:space="preserve"> _xlfn.XLOOKUP(F29, 韻母清單[台羅拼音],  韻母清單[十五音識別碼], "查不到")</f>
        <v>金舒</v>
      </c>
      <c r="C29" s="337" t="s">
        <v>260</v>
      </c>
      <c r="D29" s="337" t="s">
        <v>306</v>
      </c>
      <c r="E29" s="338"/>
      <c r="F29" s="338" t="s">
        <v>306</v>
      </c>
      <c r="G29" s="338" t="s">
        <v>306</v>
      </c>
      <c r="H29" s="342" t="s">
        <v>307</v>
      </c>
      <c r="K29" s="408" t="s">
        <v>3712</v>
      </c>
      <c r="L29" s="408">
        <f xml:space="preserve"> VALUE(韻母清單[[#This Row],[識別號]])</f>
        <v>31</v>
      </c>
      <c r="M29" s="401" t="s">
        <v>1184</v>
      </c>
      <c r="N29" s="401" t="s">
        <v>1185</v>
      </c>
      <c r="O29" s="401" t="s">
        <v>1183</v>
      </c>
      <c r="P29" s="401" t="s">
        <v>150</v>
      </c>
      <c r="Q29" s="401" t="s">
        <v>1185</v>
      </c>
      <c r="R29" s="401" t="s">
        <v>1185</v>
      </c>
      <c r="S29" s="401" t="s">
        <v>1185</v>
      </c>
      <c r="T29" s="401" t="s">
        <v>1185</v>
      </c>
      <c r="U29" s="401" t="s">
        <v>1185</v>
      </c>
      <c r="V29" s="401" t="s">
        <v>1956</v>
      </c>
      <c r="W29" s="401" t="s">
        <v>3713</v>
      </c>
      <c r="X29" s="402" t="s">
        <v>3680</v>
      </c>
    </row>
    <row r="30" spans="1:24">
      <c r="A30" s="341" t="s">
        <v>3453</v>
      </c>
      <c r="B30" s="373" t="str">
        <f xml:space="preserve"> _xlfn.XLOOKUP(F30, 韻母清單[台羅拼音],  韻母清單[十五音識別碼], "查不到")</f>
        <v>巾舒</v>
      </c>
      <c r="C30" s="337" t="s">
        <v>260</v>
      </c>
      <c r="D30" s="337" t="s">
        <v>319</v>
      </c>
      <c r="E30" s="338"/>
      <c r="F30" s="338" t="s">
        <v>319</v>
      </c>
      <c r="G30" s="338" t="s">
        <v>319</v>
      </c>
      <c r="H30" s="342" t="s">
        <v>320</v>
      </c>
      <c r="K30" s="408" t="s">
        <v>3714</v>
      </c>
      <c r="L30" s="408">
        <f xml:space="preserve"> VALUE(韻母清單[[#This Row],[識別號]])</f>
        <v>33</v>
      </c>
      <c r="M30" s="401" t="s">
        <v>1187</v>
      </c>
      <c r="N30" s="401" t="s">
        <v>319</v>
      </c>
      <c r="O30" s="401" t="s">
        <v>1186</v>
      </c>
      <c r="P30" s="401" t="s">
        <v>320</v>
      </c>
      <c r="Q30" s="401" t="s">
        <v>319</v>
      </c>
      <c r="R30" s="401" t="s">
        <v>319</v>
      </c>
      <c r="S30" s="401" t="s">
        <v>319</v>
      </c>
      <c r="T30" s="401" t="s">
        <v>319</v>
      </c>
      <c r="U30" s="401" t="s">
        <v>319</v>
      </c>
      <c r="V30" s="401" t="s">
        <v>1956</v>
      </c>
      <c r="W30" s="401" t="s">
        <v>3715</v>
      </c>
      <c r="X30" s="402" t="s">
        <v>3682</v>
      </c>
    </row>
    <row r="31" spans="1:24">
      <c r="A31" s="341" t="s">
        <v>3445</v>
      </c>
      <c r="B31" s="373" t="str">
        <f xml:space="preserve"> _xlfn.XLOOKUP(F31, 韻母清單[台羅拼音],  韻母清單[十五音識別碼], "查不到")</f>
        <v>經舒</v>
      </c>
      <c r="C31" s="337" t="s">
        <v>260</v>
      </c>
      <c r="D31" s="337" t="s">
        <v>3601</v>
      </c>
      <c r="E31" s="338"/>
      <c r="F31" s="338" t="s">
        <v>1145</v>
      </c>
      <c r="G31" s="338" t="s">
        <v>1145</v>
      </c>
      <c r="H31" s="342" t="s">
        <v>336</v>
      </c>
      <c r="K31" s="408" t="s">
        <v>3716</v>
      </c>
      <c r="L31" s="408">
        <f xml:space="preserve"> VALUE(韻母清單[[#This Row],[識別號]])</f>
        <v>34</v>
      </c>
      <c r="M31" s="401" t="s">
        <v>3717</v>
      </c>
      <c r="N31" s="401" t="s">
        <v>360</v>
      </c>
      <c r="O31" s="401" t="s">
        <v>1186</v>
      </c>
      <c r="P31" s="401" t="s">
        <v>361</v>
      </c>
      <c r="Q31" s="401" t="s">
        <v>1189</v>
      </c>
      <c r="R31" s="401" t="s">
        <v>1189</v>
      </c>
      <c r="S31" s="401" t="s">
        <v>1189</v>
      </c>
      <c r="T31" s="401" t="s">
        <v>1189</v>
      </c>
      <c r="U31" s="401" t="s">
        <v>1189</v>
      </c>
      <c r="V31" s="401" t="s">
        <v>1958</v>
      </c>
      <c r="W31" s="401" t="s">
        <v>3718</v>
      </c>
      <c r="X31" s="402" t="s">
        <v>3682</v>
      </c>
    </row>
    <row r="32" spans="1:24">
      <c r="A32" s="341" t="s">
        <v>3454</v>
      </c>
      <c r="B32" s="373" t="str">
        <f xml:space="preserve"> _xlfn.XLOOKUP(F32, 韻母清單[台羅拼音],  韻母清單[十五音識別碼], "查不到")</f>
        <v>金促</v>
      </c>
      <c r="C32" s="337" t="s">
        <v>260</v>
      </c>
      <c r="D32" s="337" t="s">
        <v>2524</v>
      </c>
      <c r="E32" s="338"/>
      <c r="F32" s="338" t="s">
        <v>1118</v>
      </c>
      <c r="G32" s="338" t="s">
        <v>1118</v>
      </c>
      <c r="H32" s="342" t="s">
        <v>351</v>
      </c>
      <c r="K32" s="408" t="s">
        <v>3719</v>
      </c>
      <c r="L32" s="408">
        <f xml:space="preserve"> VALUE(韻母清單[[#This Row],[識別號]])</f>
        <v>35</v>
      </c>
      <c r="M32" s="401" t="s">
        <v>3720</v>
      </c>
      <c r="N32" s="401" t="s">
        <v>2121</v>
      </c>
      <c r="O32" s="401" t="s">
        <v>1190</v>
      </c>
      <c r="P32" s="401" t="s">
        <v>467</v>
      </c>
      <c r="Q32" s="401" t="s">
        <v>1192</v>
      </c>
      <c r="R32" s="401" t="s">
        <v>1192</v>
      </c>
      <c r="S32" s="401" t="s">
        <v>1192</v>
      </c>
      <c r="T32" s="401" t="s">
        <v>1192</v>
      </c>
      <c r="U32" s="401" t="s">
        <v>1192</v>
      </c>
      <c r="V32" s="401" t="s">
        <v>1956</v>
      </c>
      <c r="W32" s="401" t="s">
        <v>3721</v>
      </c>
      <c r="X32" s="402" t="s">
        <v>3684</v>
      </c>
    </row>
    <row r="33" spans="1:24">
      <c r="A33" s="341" t="s">
        <v>3455</v>
      </c>
      <c r="B33" s="373" t="str">
        <f xml:space="preserve"> _xlfn.XLOOKUP(F33, 韻母清單[台羅拼音],  韻母清單[十五音識別碼], "查不到")</f>
        <v>巾促</v>
      </c>
      <c r="C33" s="337" t="s">
        <v>260</v>
      </c>
      <c r="D33" s="337" t="s">
        <v>2525</v>
      </c>
      <c r="E33" s="338"/>
      <c r="F33" s="338" t="s">
        <v>1189</v>
      </c>
      <c r="G33" s="338" t="s">
        <v>1189</v>
      </c>
      <c r="H33" s="342" t="s">
        <v>361</v>
      </c>
      <c r="K33" s="408" t="s">
        <v>3722</v>
      </c>
      <c r="L33" s="408">
        <f xml:space="preserve"> VALUE(韻母清單[[#This Row],[識別號]])</f>
        <v>36</v>
      </c>
      <c r="M33" s="401" t="s">
        <v>3723</v>
      </c>
      <c r="N33" s="401" t="s">
        <v>1194</v>
      </c>
      <c r="O33" s="401" t="s">
        <v>1190</v>
      </c>
      <c r="P33" s="401" t="s">
        <v>509</v>
      </c>
      <c r="Q33" s="401" t="s">
        <v>1195</v>
      </c>
      <c r="R33" s="401" t="s">
        <v>1195</v>
      </c>
      <c r="S33" s="401" t="s">
        <v>1195</v>
      </c>
      <c r="T33" s="401" t="s">
        <v>1195</v>
      </c>
      <c r="U33" s="401" t="s">
        <v>1195</v>
      </c>
      <c r="V33" s="401" t="s">
        <v>1958</v>
      </c>
      <c r="W33" s="401" t="s">
        <v>3724</v>
      </c>
      <c r="X33" s="402" t="s">
        <v>3684</v>
      </c>
    </row>
    <row r="34" spans="1:24">
      <c r="A34" s="350" t="s">
        <v>2302</v>
      </c>
      <c r="B34" s="373" t="str">
        <f xml:space="preserve"> _xlfn.XLOOKUP(F34, 韻母清單[台羅拼音],  韻母清單[十五音識別碼], "查不到")</f>
        <v>經促</v>
      </c>
      <c r="C34" s="337" t="s">
        <v>260</v>
      </c>
      <c r="D34" s="337" t="s">
        <v>2526</v>
      </c>
      <c r="E34" s="338"/>
      <c r="F34" s="338" t="s">
        <v>1149</v>
      </c>
      <c r="G34" s="338" t="s">
        <v>1149</v>
      </c>
      <c r="H34" s="342" t="s">
        <v>376</v>
      </c>
      <c r="K34" s="408" t="s">
        <v>3725</v>
      </c>
      <c r="L34" s="408">
        <f xml:space="preserve"> VALUE(韻母清單[[#This Row],[識別號]])</f>
        <v>37</v>
      </c>
      <c r="M34" s="401" t="s">
        <v>1197</v>
      </c>
      <c r="N34" s="401" t="s">
        <v>67</v>
      </c>
      <c r="O34" s="401" t="s">
        <v>1196</v>
      </c>
      <c r="P34" s="401" t="s">
        <v>68</v>
      </c>
      <c r="Q34" s="401" t="s">
        <v>67</v>
      </c>
      <c r="R34" s="401" t="s">
        <v>67</v>
      </c>
      <c r="S34" s="401" t="s">
        <v>67</v>
      </c>
      <c r="T34" s="401" t="s">
        <v>67</v>
      </c>
      <c r="U34" s="401" t="s">
        <v>67</v>
      </c>
      <c r="V34" s="401" t="s">
        <v>1956</v>
      </c>
      <c r="W34" s="401" t="s">
        <v>3726</v>
      </c>
      <c r="X34" s="402" t="s">
        <v>3686</v>
      </c>
    </row>
    <row r="35" spans="1:24">
      <c r="A35" s="341" t="s">
        <v>3456</v>
      </c>
      <c r="B35" s="373" t="str">
        <f xml:space="preserve"> _xlfn.XLOOKUP(F35, 韻母清單[台羅拼音],  韻母清單[十五音識別碼], "查不到")</f>
        <v>居促</v>
      </c>
      <c r="C35" s="337" t="s">
        <v>260</v>
      </c>
      <c r="D35" s="337" t="s">
        <v>291</v>
      </c>
      <c r="E35" s="338"/>
      <c r="F35" s="338" t="s">
        <v>1255</v>
      </c>
      <c r="G35" s="338" t="s">
        <v>1255</v>
      </c>
      <c r="H35" s="342" t="s">
        <v>292</v>
      </c>
      <c r="K35" s="408" t="s">
        <v>3727</v>
      </c>
      <c r="L35" s="408">
        <f xml:space="preserve"> VALUE(韻母清單[[#This Row],[識別號]])</f>
        <v>38</v>
      </c>
      <c r="M35" s="401" t="s">
        <v>3728</v>
      </c>
      <c r="N35" s="401" t="s">
        <v>109</v>
      </c>
      <c r="O35" s="401" t="s">
        <v>1196</v>
      </c>
      <c r="P35" s="401" t="s">
        <v>110</v>
      </c>
      <c r="Q35" s="401" t="s">
        <v>1198</v>
      </c>
      <c r="R35" s="401" t="s">
        <v>1198</v>
      </c>
      <c r="S35" s="401" t="s">
        <v>1198</v>
      </c>
      <c r="T35" s="401" t="s">
        <v>1198</v>
      </c>
      <c r="U35" s="401" t="s">
        <v>1198</v>
      </c>
      <c r="V35" s="401" t="s">
        <v>1958</v>
      </c>
      <c r="W35" s="401" t="s">
        <v>3729</v>
      </c>
      <c r="X35" s="402" t="s">
        <v>3686</v>
      </c>
    </row>
    <row r="36" spans="1:24">
      <c r="A36" s="341" t="s">
        <v>3557</v>
      </c>
      <c r="B36" s="373" t="str">
        <f xml:space="preserve"> _xlfn.XLOOKUP(F36, 韻母清單[台羅拼音],  韻母清單[十五音識別碼], "查不到")</f>
        <v>梔促</v>
      </c>
      <c r="C36" s="337" t="s">
        <v>260</v>
      </c>
      <c r="D36" s="337" t="s">
        <v>2527</v>
      </c>
      <c r="E36" s="338"/>
      <c r="F36" s="338" t="s">
        <v>1288</v>
      </c>
      <c r="G36" s="338" t="s">
        <v>1288</v>
      </c>
      <c r="H36" s="342" t="s">
        <v>1285</v>
      </c>
      <c r="K36" s="408" t="s">
        <v>3730</v>
      </c>
      <c r="L36" s="408">
        <f xml:space="preserve"> VALUE(韻母清單[[#This Row],[識別號]])</f>
        <v>39</v>
      </c>
      <c r="M36" s="401" t="s">
        <v>1200</v>
      </c>
      <c r="N36" s="401" t="s">
        <v>790</v>
      </c>
      <c r="O36" s="401" t="s">
        <v>1199</v>
      </c>
      <c r="P36" s="401" t="s">
        <v>791</v>
      </c>
      <c r="Q36" s="401" t="s">
        <v>790</v>
      </c>
      <c r="R36" s="401" t="s">
        <v>790</v>
      </c>
      <c r="S36" s="401" t="s">
        <v>1201</v>
      </c>
      <c r="T36" s="401" t="s">
        <v>790</v>
      </c>
      <c r="U36" s="401" t="s">
        <v>790</v>
      </c>
      <c r="V36" s="401" t="s">
        <v>1956</v>
      </c>
      <c r="W36" s="401" t="s">
        <v>3731</v>
      </c>
      <c r="X36" s="402" t="s">
        <v>3688</v>
      </c>
    </row>
    <row r="37" spans="1:24">
      <c r="A37" s="341" t="s">
        <v>3457</v>
      </c>
      <c r="B37" s="373" t="str">
        <f xml:space="preserve"> _xlfn.XLOOKUP(F37, 韻母清單[台羅拼音],  韻母清單[十五音識別碼], "查不到")</f>
        <v>迦舒</v>
      </c>
      <c r="C37" s="337" t="s">
        <v>3602</v>
      </c>
      <c r="D37" s="337" t="s">
        <v>1222</v>
      </c>
      <c r="E37" s="338"/>
      <c r="F37" s="338" t="s">
        <v>1222</v>
      </c>
      <c r="G37" s="338" t="s">
        <v>1222</v>
      </c>
      <c r="H37" s="342" t="s">
        <v>392</v>
      </c>
      <c r="K37" s="408" t="s">
        <v>3732</v>
      </c>
      <c r="L37" s="408">
        <f xml:space="preserve"> VALUE(韻母清單[[#This Row],[識別號]])</f>
        <v>40</v>
      </c>
      <c r="M37" s="401" t="s">
        <v>3733</v>
      </c>
      <c r="N37" s="401" t="s">
        <v>1202</v>
      </c>
      <c r="O37" s="401" t="s">
        <v>1199</v>
      </c>
      <c r="P37" s="401" t="s">
        <v>821</v>
      </c>
      <c r="Q37" s="401" t="s">
        <v>1203</v>
      </c>
      <c r="R37" s="401" t="s">
        <v>1203</v>
      </c>
      <c r="S37" s="401" t="s">
        <v>1204</v>
      </c>
      <c r="T37" s="401" t="s">
        <v>1203</v>
      </c>
      <c r="U37" s="401" t="s">
        <v>1203</v>
      </c>
      <c r="V37" s="401" t="s">
        <v>1958</v>
      </c>
      <c r="W37" s="401" t="s">
        <v>3734</v>
      </c>
      <c r="X37" s="402" t="s">
        <v>3688</v>
      </c>
    </row>
    <row r="38" spans="1:24">
      <c r="A38" s="343" t="s">
        <v>3458</v>
      </c>
      <c r="B38" s="373" t="str">
        <f xml:space="preserve"> _xlfn.XLOOKUP(F38, 韻母清單[台羅拼音],  韻母清單[十五音識別碼], "查不到")</f>
        <v>查不到</v>
      </c>
      <c r="C38" s="337" t="s">
        <v>3602</v>
      </c>
      <c r="D38" s="337" t="s">
        <v>2543</v>
      </c>
      <c r="E38" s="338"/>
      <c r="F38" s="338" t="s">
        <v>1298</v>
      </c>
      <c r="G38" s="338" t="s">
        <v>1298</v>
      </c>
      <c r="H38" s="342" t="s">
        <v>407</v>
      </c>
      <c r="K38" s="408" t="s">
        <v>3735</v>
      </c>
      <c r="L38" s="408">
        <f xml:space="preserve"> VALUE(韻母清單[[#This Row],[識別號]])</f>
        <v>41</v>
      </c>
      <c r="M38" s="401" t="s">
        <v>3736</v>
      </c>
      <c r="N38" s="401" t="s">
        <v>94</v>
      </c>
      <c r="O38" s="401" t="s">
        <v>1205</v>
      </c>
      <c r="P38" s="401" t="s">
        <v>95</v>
      </c>
      <c r="Q38" s="401" t="s">
        <v>1206</v>
      </c>
      <c r="R38" s="401" t="s">
        <v>1206</v>
      </c>
      <c r="S38" s="401" t="s">
        <v>1206</v>
      </c>
      <c r="T38" s="401" t="s">
        <v>1206</v>
      </c>
      <c r="U38" s="401" t="s">
        <v>1206</v>
      </c>
      <c r="V38" s="401" t="s">
        <v>1956</v>
      </c>
      <c r="W38" s="401" t="s">
        <v>3737</v>
      </c>
      <c r="X38" s="402" t="s">
        <v>3691</v>
      </c>
    </row>
    <row r="39" spans="1:24">
      <c r="A39" s="341" t="s">
        <v>3459</v>
      </c>
      <c r="B39" s="373" t="str">
        <f xml:space="preserve"> _xlfn.XLOOKUP(F39, 韻母清單[台羅拼音],  韻母清單[十五音識別碼], "查不到")</f>
        <v>兼舒</v>
      </c>
      <c r="C39" s="337" t="s">
        <v>3602</v>
      </c>
      <c r="D39" s="337" t="s">
        <v>1211</v>
      </c>
      <c r="E39" s="338"/>
      <c r="F39" s="338" t="s">
        <v>1211</v>
      </c>
      <c r="G39" s="338" t="s">
        <v>1211</v>
      </c>
      <c r="H39" s="342" t="s">
        <v>438</v>
      </c>
      <c r="K39" s="408" t="s">
        <v>3738</v>
      </c>
      <c r="L39" s="408">
        <f xml:space="preserve"> VALUE(韻母清單[[#This Row],[識別號]])</f>
        <v>42</v>
      </c>
      <c r="M39" s="401" t="s">
        <v>3739</v>
      </c>
      <c r="N39" s="401" t="s">
        <v>134</v>
      </c>
      <c r="O39" s="401" t="s">
        <v>1205</v>
      </c>
      <c r="P39" s="401" t="s">
        <v>135</v>
      </c>
      <c r="Q39" s="401" t="s">
        <v>1208</v>
      </c>
      <c r="R39" s="401" t="s">
        <v>1208</v>
      </c>
      <c r="S39" s="401" t="s">
        <v>1208</v>
      </c>
      <c r="T39" s="401" t="s">
        <v>1208</v>
      </c>
      <c r="U39" s="401" t="s">
        <v>1208</v>
      </c>
      <c r="V39" s="401" t="s">
        <v>1958</v>
      </c>
      <c r="W39" s="401" t="s">
        <v>3740</v>
      </c>
      <c r="X39" s="402" t="s">
        <v>3691</v>
      </c>
    </row>
    <row r="40" spans="1:24">
      <c r="A40" s="341" t="s">
        <v>3460</v>
      </c>
      <c r="B40" s="373" t="str">
        <f xml:space="preserve"> _xlfn.XLOOKUP(F40, 韻母清單[台羅拼音],  韻母清單[十五音識別碼], "查不到")</f>
        <v>堅舒</v>
      </c>
      <c r="C40" s="337" t="s">
        <v>3602</v>
      </c>
      <c r="D40" s="337" t="s">
        <v>1112</v>
      </c>
      <c r="E40" s="338"/>
      <c r="F40" s="338" t="s">
        <v>1112</v>
      </c>
      <c r="G40" s="338" t="s">
        <v>1112</v>
      </c>
      <c r="H40" s="342" t="s">
        <v>451</v>
      </c>
      <c r="K40" s="408" t="s">
        <v>3741</v>
      </c>
      <c r="L40" s="408">
        <f xml:space="preserve"> VALUE(韻母清單[[#This Row],[識別號]])</f>
        <v>43</v>
      </c>
      <c r="M40" s="401" t="s">
        <v>3742</v>
      </c>
      <c r="N40" s="401" t="s">
        <v>1211</v>
      </c>
      <c r="O40" s="401" t="s">
        <v>1209</v>
      </c>
      <c r="P40" s="401" t="s">
        <v>438</v>
      </c>
      <c r="Q40" s="401" t="s">
        <v>1211</v>
      </c>
      <c r="R40" s="401" t="s">
        <v>1211</v>
      </c>
      <c r="S40" s="401" t="s">
        <v>1211</v>
      </c>
      <c r="T40" s="401" t="s">
        <v>1211</v>
      </c>
      <c r="U40" s="401" t="s">
        <v>1211</v>
      </c>
      <c r="V40" s="401" t="s">
        <v>1956</v>
      </c>
      <c r="W40" s="401" t="s">
        <v>3743</v>
      </c>
      <c r="X40" s="402" t="s">
        <v>3744</v>
      </c>
    </row>
    <row r="41" spans="1:24">
      <c r="A41" s="341" t="s">
        <v>3461</v>
      </c>
      <c r="B41" s="373" t="str">
        <f xml:space="preserve"> _xlfn.XLOOKUP(F41, 韻母清單[台羅拼音],  韻母清單[十五音識別碼], "查不到")</f>
        <v>姜舒</v>
      </c>
      <c r="C41" s="337" t="s">
        <v>3602</v>
      </c>
      <c r="D41" s="337" t="s">
        <v>3603</v>
      </c>
      <c r="E41" s="338"/>
      <c r="F41" s="338" t="s">
        <v>1192</v>
      </c>
      <c r="G41" s="338" t="s">
        <v>1192</v>
      </c>
      <c r="H41" s="342" t="s">
        <v>467</v>
      </c>
      <c r="K41" s="408" t="s">
        <v>3745</v>
      </c>
      <c r="L41" s="408">
        <f xml:space="preserve"> VALUE(韻母清單[[#This Row],[識別號]])</f>
        <v>44</v>
      </c>
      <c r="M41" s="401" t="s">
        <v>3746</v>
      </c>
      <c r="N41" s="401" t="s">
        <v>1213</v>
      </c>
      <c r="O41" s="401" t="s">
        <v>1209</v>
      </c>
      <c r="P41" s="401" t="s">
        <v>480</v>
      </c>
      <c r="Q41" s="401" t="s">
        <v>1214</v>
      </c>
      <c r="R41" s="401" t="s">
        <v>1214</v>
      </c>
      <c r="S41" s="401" t="s">
        <v>1214</v>
      </c>
      <c r="T41" s="401" t="s">
        <v>1214</v>
      </c>
      <c r="U41" s="401" t="s">
        <v>1214</v>
      </c>
      <c r="V41" s="401" t="s">
        <v>1958</v>
      </c>
      <c r="W41" s="401" t="s">
        <v>3747</v>
      </c>
      <c r="X41" s="402" t="s">
        <v>3744</v>
      </c>
    </row>
    <row r="42" spans="1:24">
      <c r="A42" s="343" t="s">
        <v>3462</v>
      </c>
      <c r="B42" s="373" t="str">
        <f xml:space="preserve"> _xlfn.XLOOKUP(F42, 韻母清單[台羅拼音],  韻母清單[十五音識別碼], "查不到")</f>
        <v>兼促</v>
      </c>
      <c r="C42" s="337" t="s">
        <v>3602</v>
      </c>
      <c r="D42" s="337" t="s">
        <v>2545</v>
      </c>
      <c r="E42" s="338"/>
      <c r="F42" s="338" t="s">
        <v>1214</v>
      </c>
      <c r="G42" s="338" t="s">
        <v>1214</v>
      </c>
      <c r="H42" s="342" t="s">
        <v>480</v>
      </c>
      <c r="K42" s="408" t="s">
        <v>3748</v>
      </c>
      <c r="L42" s="408">
        <f xml:space="preserve"> VALUE(韻母清單[[#This Row],[識別號]])</f>
        <v>45</v>
      </c>
      <c r="M42" s="401" t="s">
        <v>1216</v>
      </c>
      <c r="N42" s="401" t="s">
        <v>180</v>
      </c>
      <c r="O42" s="401" t="s">
        <v>1215</v>
      </c>
      <c r="P42" s="401" t="s">
        <v>181</v>
      </c>
      <c r="Q42" s="401" t="s">
        <v>180</v>
      </c>
      <c r="R42" s="401" t="s">
        <v>180</v>
      </c>
      <c r="S42" s="401" t="s">
        <v>180</v>
      </c>
      <c r="T42" s="401" t="s">
        <v>1217</v>
      </c>
      <c r="U42" s="401" t="s">
        <v>180</v>
      </c>
      <c r="V42" s="401" t="s">
        <v>1956</v>
      </c>
      <c r="W42" s="401" t="s">
        <v>3749</v>
      </c>
      <c r="X42" s="402" t="s">
        <v>3694</v>
      </c>
    </row>
    <row r="43" spans="1:24">
      <c r="A43" s="341" t="s">
        <v>3463</v>
      </c>
      <c r="B43" s="373" t="str">
        <f xml:space="preserve"> _xlfn.XLOOKUP(F43, 韻母清單[台羅拼音],  韻母清單[十五音識別碼], "查不到")</f>
        <v>堅促</v>
      </c>
      <c r="C43" s="337" t="s">
        <v>3602</v>
      </c>
      <c r="D43" s="337" t="s">
        <v>2546</v>
      </c>
      <c r="E43" s="338"/>
      <c r="F43" s="338" t="s">
        <v>1114</v>
      </c>
      <c r="G43" s="338" t="s">
        <v>1114</v>
      </c>
      <c r="H43" s="342" t="s">
        <v>493</v>
      </c>
      <c r="K43" s="408" t="s">
        <v>3750</v>
      </c>
      <c r="L43" s="408">
        <f xml:space="preserve"> VALUE(韻母清單[[#This Row],[識別號]])</f>
        <v>46</v>
      </c>
      <c r="M43" s="401" t="s">
        <v>3443</v>
      </c>
      <c r="N43" s="401" t="s">
        <v>1218</v>
      </c>
      <c r="O43" s="401" t="s">
        <v>1215</v>
      </c>
      <c r="P43" s="401" t="s">
        <v>199</v>
      </c>
      <c r="Q43" s="401" t="s">
        <v>1219</v>
      </c>
      <c r="R43" s="401" t="s">
        <v>1219</v>
      </c>
      <c r="S43" s="401" t="s">
        <v>1219</v>
      </c>
      <c r="T43" s="401" t="s">
        <v>1220</v>
      </c>
      <c r="U43" s="401" t="s">
        <v>1219</v>
      </c>
      <c r="V43" s="401" t="s">
        <v>1958</v>
      </c>
      <c r="W43" s="401" t="s">
        <v>3751</v>
      </c>
      <c r="X43" s="402" t="s">
        <v>3694</v>
      </c>
    </row>
    <row r="44" spans="1:24">
      <c r="A44" s="344" t="s">
        <v>3464</v>
      </c>
      <c r="B44" s="373" t="str">
        <f xml:space="preserve"> _xlfn.XLOOKUP(F44, 韻母清單[台羅拼音],  韻母清單[十五音識別碼], "查不到")</f>
        <v>姜促</v>
      </c>
      <c r="C44" s="337" t="s">
        <v>3602</v>
      </c>
      <c r="D44" s="337" t="s">
        <v>2547</v>
      </c>
      <c r="E44" s="338"/>
      <c r="F44" s="338" t="s">
        <v>1195</v>
      </c>
      <c r="G44" s="338" t="s">
        <v>1195</v>
      </c>
      <c r="H44" s="342" t="s">
        <v>509</v>
      </c>
      <c r="K44" s="408" t="s">
        <v>3752</v>
      </c>
      <c r="L44" s="408">
        <f xml:space="preserve"> VALUE(韻母清單[[#This Row],[識別號]])</f>
        <v>47</v>
      </c>
      <c r="M44" s="401" t="s">
        <v>3753</v>
      </c>
      <c r="N44" s="401" t="s">
        <v>1222</v>
      </c>
      <c r="O44" s="401" t="s">
        <v>1221</v>
      </c>
      <c r="P44" s="401" t="s">
        <v>392</v>
      </c>
      <c r="Q44" s="401" t="s">
        <v>1222</v>
      </c>
      <c r="R44" s="401" t="s">
        <v>1222</v>
      </c>
      <c r="S44" s="401" t="s">
        <v>1222</v>
      </c>
      <c r="T44" s="401" t="s">
        <v>1222</v>
      </c>
      <c r="U44" s="401" t="s">
        <v>1222</v>
      </c>
      <c r="V44" s="401" t="s">
        <v>1956</v>
      </c>
      <c r="W44" s="401" t="s">
        <v>3754</v>
      </c>
      <c r="X44" s="402" t="s">
        <v>3696</v>
      </c>
    </row>
    <row r="45" spans="1:24">
      <c r="A45" s="341" t="s">
        <v>3465</v>
      </c>
      <c r="B45" s="373" t="str">
        <f xml:space="preserve"> _xlfn.XLOOKUP(F45, 韻母清單[台羅拼音],  韻母清單[十五音識別碼], "查不到")</f>
        <v>迦促</v>
      </c>
      <c r="C45" s="337" t="s">
        <v>3602</v>
      </c>
      <c r="D45" s="337" t="s">
        <v>2548</v>
      </c>
      <c r="E45" s="338"/>
      <c r="F45" s="338" t="s">
        <v>1224</v>
      </c>
      <c r="G45" s="338" t="s">
        <v>1224</v>
      </c>
      <c r="H45" s="342" t="s">
        <v>419</v>
      </c>
      <c r="K45" s="408" t="s">
        <v>3755</v>
      </c>
      <c r="L45" s="408">
        <f xml:space="preserve"> VALUE(韻母清單[[#This Row],[識別號]])</f>
        <v>48</v>
      </c>
      <c r="M45" s="401" t="s">
        <v>3756</v>
      </c>
      <c r="N45" s="401" t="s">
        <v>1223</v>
      </c>
      <c r="O45" s="401" t="s">
        <v>1221</v>
      </c>
      <c r="P45" s="401" t="s">
        <v>419</v>
      </c>
      <c r="Q45" s="401" t="s">
        <v>1224</v>
      </c>
      <c r="R45" s="401" t="s">
        <v>1224</v>
      </c>
      <c r="S45" s="401" t="s">
        <v>1224</v>
      </c>
      <c r="T45" s="401" t="s">
        <v>1224</v>
      </c>
      <c r="U45" s="401" t="s">
        <v>1224</v>
      </c>
      <c r="V45" s="401" t="s">
        <v>1958</v>
      </c>
      <c r="W45" s="401" t="s">
        <v>3757</v>
      </c>
      <c r="X45" s="402" t="s">
        <v>3696</v>
      </c>
    </row>
    <row r="46" spans="1:24">
      <c r="A46" s="351" t="s">
        <v>3558</v>
      </c>
      <c r="B46" s="373" t="str">
        <f xml:space="preserve"> _xlfn.XLOOKUP(F46, 韻母清單[台羅拼音],  韻母清單[十五音識別碼], "查不到")</f>
        <v>驚舒</v>
      </c>
      <c r="C46" s="337" t="s">
        <v>3602</v>
      </c>
      <c r="D46" s="337" t="s">
        <v>2549</v>
      </c>
      <c r="E46" s="338"/>
      <c r="F46" s="338" t="s">
        <v>1299</v>
      </c>
      <c r="G46" s="338" t="s">
        <v>1299</v>
      </c>
      <c r="H46" s="342" t="s">
        <v>434</v>
      </c>
      <c r="K46" s="408" t="s">
        <v>3758</v>
      </c>
      <c r="L46" s="408">
        <f xml:space="preserve"> VALUE(韻母清單[[#This Row],[識別號]])</f>
        <v>49</v>
      </c>
      <c r="M46" s="401" t="s">
        <v>3537</v>
      </c>
      <c r="N46" s="401" t="s">
        <v>3759</v>
      </c>
      <c r="O46" s="401" t="s">
        <v>1225</v>
      </c>
      <c r="P46" s="401" t="s">
        <v>890</v>
      </c>
      <c r="Q46" s="401" t="s">
        <v>889</v>
      </c>
      <c r="R46" s="401" t="s">
        <v>889</v>
      </c>
      <c r="S46" s="401" t="s">
        <v>1228</v>
      </c>
      <c r="T46" s="401" t="s">
        <v>889</v>
      </c>
      <c r="U46" s="401" t="s">
        <v>889</v>
      </c>
      <c r="V46" s="401" t="s">
        <v>1956</v>
      </c>
      <c r="W46" s="401" t="s">
        <v>3760</v>
      </c>
      <c r="X46" s="402" t="s">
        <v>3699</v>
      </c>
    </row>
    <row r="47" spans="1:24">
      <c r="A47" s="341" t="s">
        <v>3466</v>
      </c>
      <c r="B47" s="373" t="str">
        <f xml:space="preserve"> _xlfn.XLOOKUP(F47, 韻母清單[台羅拼音],  韻母清單[十五音識別碼], "查不到")</f>
        <v>嬌舒</v>
      </c>
      <c r="C47" s="337" t="s">
        <v>3604</v>
      </c>
      <c r="D47" s="337" t="s">
        <v>3605</v>
      </c>
      <c r="E47" s="338"/>
      <c r="F47" s="338" t="s">
        <v>1163</v>
      </c>
      <c r="G47" s="338" t="s">
        <v>1163</v>
      </c>
      <c r="H47" s="342" t="s">
        <v>517</v>
      </c>
      <c r="K47" s="408" t="s">
        <v>3761</v>
      </c>
      <c r="L47" s="408">
        <f xml:space="preserve"> VALUE(韻母清單[[#This Row],[識別號]])</f>
        <v>50</v>
      </c>
      <c r="M47" s="401" t="s">
        <v>3762</v>
      </c>
      <c r="N47" s="401" t="s">
        <v>3763</v>
      </c>
      <c r="O47" s="401" t="s">
        <v>1225</v>
      </c>
      <c r="P47" s="401" t="s">
        <v>907</v>
      </c>
      <c r="Q47" s="401" t="s">
        <v>1230</v>
      </c>
      <c r="R47" s="401" t="s">
        <v>1230</v>
      </c>
      <c r="S47" s="401" t="s">
        <v>1231</v>
      </c>
      <c r="T47" s="401" t="s">
        <v>1230</v>
      </c>
      <c r="U47" s="401" t="s">
        <v>1230</v>
      </c>
      <c r="V47" s="401" t="s">
        <v>1958</v>
      </c>
      <c r="W47" s="401" t="s">
        <v>3764</v>
      </c>
      <c r="X47" s="402" t="s">
        <v>3699</v>
      </c>
    </row>
    <row r="48" spans="1:24">
      <c r="A48" s="341" t="s">
        <v>3467</v>
      </c>
      <c r="B48" s="373" t="str">
        <f xml:space="preserve"> _xlfn.XLOOKUP(F48, 韻母清單[台羅拼音],  韻母清單[十五音識別碼], "查不到")</f>
        <v>嘄舒</v>
      </c>
      <c r="C48" s="337" t="s">
        <v>3604</v>
      </c>
      <c r="D48" s="337" t="s">
        <v>2567</v>
      </c>
      <c r="E48" s="338"/>
      <c r="F48" s="338" t="s">
        <v>1356</v>
      </c>
      <c r="G48" s="338" t="s">
        <v>1356</v>
      </c>
      <c r="H48" s="342" t="s">
        <v>536</v>
      </c>
      <c r="K48" s="408" t="s">
        <v>3765</v>
      </c>
      <c r="L48" s="408">
        <f xml:space="preserve"> VALUE(韻母清單[[#This Row],[識別號]])</f>
        <v>51</v>
      </c>
      <c r="M48" s="401" t="s">
        <v>3766</v>
      </c>
      <c r="N48" s="401" t="s">
        <v>1234</v>
      </c>
      <c r="O48" s="401" t="s">
        <v>1232</v>
      </c>
      <c r="P48" s="401" t="s">
        <v>37</v>
      </c>
      <c r="Q48" s="401" t="s">
        <v>1235</v>
      </c>
      <c r="R48" s="401" t="s">
        <v>1235</v>
      </c>
      <c r="S48" s="401" t="s">
        <v>1690</v>
      </c>
      <c r="T48" s="401" t="s">
        <v>1237</v>
      </c>
      <c r="U48" s="401" t="s">
        <v>1235</v>
      </c>
      <c r="V48" s="401" t="s">
        <v>1956</v>
      </c>
      <c r="W48" s="401" t="s">
        <v>3767</v>
      </c>
      <c r="X48" s="402" t="s">
        <v>3768</v>
      </c>
    </row>
    <row r="49" spans="1:24">
      <c r="A49" s="345" t="s">
        <v>3468</v>
      </c>
      <c r="B49" s="373" t="str">
        <f xml:space="preserve"> _xlfn.XLOOKUP(F49, 韻母清單[台羅拼音],  韻母清單[十五音識別碼], "查不到")</f>
        <v>嬌促</v>
      </c>
      <c r="C49" s="337" t="s">
        <v>3604</v>
      </c>
      <c r="D49" s="337" t="s">
        <v>3606</v>
      </c>
      <c r="E49" s="338"/>
      <c r="F49" s="338" t="s">
        <v>1166</v>
      </c>
      <c r="G49" s="338" t="s">
        <v>1166</v>
      </c>
      <c r="H49" s="342" t="s">
        <v>538</v>
      </c>
      <c r="K49" s="408" t="s">
        <v>3769</v>
      </c>
      <c r="L49" s="408">
        <f xml:space="preserve"> VALUE(韻母清單[[#This Row],[識別號]])</f>
        <v>52</v>
      </c>
      <c r="M49" s="401" t="s">
        <v>3770</v>
      </c>
      <c r="N49" s="401" t="s">
        <v>1238</v>
      </c>
      <c r="O49" s="401" t="s">
        <v>1232</v>
      </c>
      <c r="P49" s="401" t="s">
        <v>64</v>
      </c>
      <c r="Q49" s="401" t="s">
        <v>1239</v>
      </c>
      <c r="R49" s="401" t="s">
        <v>1240</v>
      </c>
      <c r="S49" s="401" t="s">
        <v>3771</v>
      </c>
      <c r="T49" s="401" t="s">
        <v>1242</v>
      </c>
      <c r="U49" s="401" t="s">
        <v>1240</v>
      </c>
      <c r="V49" s="401" t="s">
        <v>1958</v>
      </c>
      <c r="W49" s="401" t="s">
        <v>3772</v>
      </c>
      <c r="X49" s="402" t="s">
        <v>3768</v>
      </c>
    </row>
    <row r="50" spans="1:24">
      <c r="A50" s="341" t="s">
        <v>3469</v>
      </c>
      <c r="B50" s="373" t="str">
        <f xml:space="preserve"> _xlfn.XLOOKUP(F50, 韻母清單[台羅拼音],  韻母清單[十五音識別碼], "查不到")</f>
        <v>茄舒</v>
      </c>
      <c r="C50" s="337" t="s">
        <v>1277</v>
      </c>
      <c r="D50" s="337" t="s">
        <v>1277</v>
      </c>
      <c r="E50" s="338"/>
      <c r="F50" s="338" t="s">
        <v>1277</v>
      </c>
      <c r="G50" s="338" t="s">
        <v>1277</v>
      </c>
      <c r="H50" s="342" t="s">
        <v>543</v>
      </c>
      <c r="K50" s="408" t="s">
        <v>3773</v>
      </c>
      <c r="L50" s="408">
        <f xml:space="preserve"> VALUE(韻母清單[[#This Row],[識別號]])</f>
        <v>53</v>
      </c>
      <c r="M50" s="401" t="s">
        <v>1244</v>
      </c>
      <c r="N50" s="401" t="s">
        <v>732</v>
      </c>
      <c r="O50" s="401" t="s">
        <v>1243</v>
      </c>
      <c r="P50" s="401" t="s">
        <v>733</v>
      </c>
      <c r="Q50" s="401" t="s">
        <v>732</v>
      </c>
      <c r="R50" s="401" t="s">
        <v>732</v>
      </c>
      <c r="S50" s="401" t="s">
        <v>732</v>
      </c>
      <c r="T50" s="401" t="s">
        <v>732</v>
      </c>
      <c r="U50" s="401" t="s">
        <v>732</v>
      </c>
      <c r="V50" s="401" t="s">
        <v>1956</v>
      </c>
      <c r="W50" s="401" t="s">
        <v>3774</v>
      </c>
      <c r="X50" s="402" t="s">
        <v>3701</v>
      </c>
    </row>
    <row r="51" spans="1:24">
      <c r="A51" s="344" t="s">
        <v>3473</v>
      </c>
      <c r="B51" s="373" t="str">
        <f xml:space="preserve"> _xlfn.XLOOKUP(F51, 韻母清單[台羅拼音],  韻母清單[十五音識別碼], "查不到")</f>
        <v>茄促</v>
      </c>
      <c r="C51" s="337" t="s">
        <v>1277</v>
      </c>
      <c r="D51" s="337" t="s">
        <v>2575</v>
      </c>
      <c r="E51" s="338"/>
      <c r="F51" s="338" t="s">
        <v>1279</v>
      </c>
      <c r="G51" s="338" t="s">
        <v>1279</v>
      </c>
      <c r="H51" s="342" t="s">
        <v>568</v>
      </c>
      <c r="K51" s="408" t="s">
        <v>3775</v>
      </c>
      <c r="L51" s="408">
        <f xml:space="preserve"> VALUE(韻母清單[[#This Row],[識別號]])</f>
        <v>54</v>
      </c>
      <c r="M51" s="401" t="s">
        <v>3776</v>
      </c>
      <c r="N51" s="401" t="s">
        <v>1245</v>
      </c>
      <c r="O51" s="401" t="s">
        <v>1243</v>
      </c>
      <c r="P51" s="401" t="s">
        <v>749</v>
      </c>
      <c r="Q51" s="401" t="s">
        <v>1246</v>
      </c>
      <c r="R51" s="401" t="s">
        <v>1246</v>
      </c>
      <c r="S51" s="401" t="s">
        <v>1246</v>
      </c>
      <c r="T51" s="401" t="s">
        <v>1246</v>
      </c>
      <c r="U51" s="401" t="s">
        <v>1246</v>
      </c>
      <c r="V51" s="401" t="s">
        <v>1958</v>
      </c>
      <c r="W51" s="401" t="s">
        <v>3777</v>
      </c>
      <c r="X51" s="402" t="s">
        <v>3701</v>
      </c>
    </row>
    <row r="52" spans="1:24">
      <c r="A52" s="341" t="s">
        <v>1881</v>
      </c>
      <c r="B52" s="373" t="str">
        <f xml:space="preserve"> _xlfn.XLOOKUP(F52, 韻母清單[台羅拼音],  韻母清單[十五音識別碼], "查不到")</f>
        <v>查不到</v>
      </c>
      <c r="C52" s="337" t="s">
        <v>3607</v>
      </c>
      <c r="D52" s="337" t="s">
        <v>3607</v>
      </c>
      <c r="E52" s="338"/>
      <c r="F52" s="338" t="s">
        <v>3470</v>
      </c>
      <c r="G52" s="338" t="s">
        <v>3470</v>
      </c>
      <c r="H52" s="342" t="s">
        <v>3474</v>
      </c>
      <c r="K52" s="408" t="s">
        <v>3778</v>
      </c>
      <c r="L52" s="408">
        <f xml:space="preserve"> VALUE(韻母清單[[#This Row],[識別號]])</f>
        <v>55</v>
      </c>
      <c r="M52" s="401" t="s">
        <v>1248</v>
      </c>
      <c r="N52" s="401" t="s">
        <v>18</v>
      </c>
      <c r="O52" s="401" t="s">
        <v>1247</v>
      </c>
      <c r="P52" s="401" t="s">
        <v>19</v>
      </c>
      <c r="Q52" s="401" t="s">
        <v>18</v>
      </c>
      <c r="R52" s="401" t="s">
        <v>18</v>
      </c>
      <c r="S52" s="401" t="s">
        <v>18</v>
      </c>
      <c r="T52" s="401" t="s">
        <v>18</v>
      </c>
      <c r="U52" s="401" t="s">
        <v>18</v>
      </c>
      <c r="V52" s="401" t="s">
        <v>1956</v>
      </c>
      <c r="W52" s="401" t="s">
        <v>3779</v>
      </c>
      <c r="X52" s="402" t="s">
        <v>3704</v>
      </c>
    </row>
    <row r="53" spans="1:24">
      <c r="A53" s="344" t="s">
        <v>3475</v>
      </c>
      <c r="B53" s="373" t="str">
        <f xml:space="preserve"> _xlfn.XLOOKUP(F53, 韻母清單[台羅拼音],  韻母清單[十五音識別碼], "查不到")</f>
        <v>查不到</v>
      </c>
      <c r="C53" s="337" t="s">
        <v>3607</v>
      </c>
      <c r="D53" s="337" t="s">
        <v>3608</v>
      </c>
      <c r="E53" s="338"/>
      <c r="F53" s="338" t="s">
        <v>3471</v>
      </c>
      <c r="G53" s="338" t="s">
        <v>3471</v>
      </c>
      <c r="H53" s="342" t="s">
        <v>559</v>
      </c>
      <c r="K53" s="408" t="s">
        <v>3780</v>
      </c>
      <c r="L53" s="408">
        <f xml:space="preserve"> VALUE(韻母清單[[#This Row],[識別號]])</f>
        <v>56</v>
      </c>
      <c r="M53" s="401" t="s">
        <v>3781</v>
      </c>
      <c r="N53" s="401" t="s">
        <v>1249</v>
      </c>
      <c r="O53" s="401" t="s">
        <v>1247</v>
      </c>
      <c r="P53" s="401" t="s">
        <v>48</v>
      </c>
      <c r="Q53" s="401" t="s">
        <v>1250</v>
      </c>
      <c r="R53" s="401" t="s">
        <v>1250</v>
      </c>
      <c r="S53" s="401" t="s">
        <v>1250</v>
      </c>
      <c r="T53" s="401" t="s">
        <v>1250</v>
      </c>
      <c r="U53" s="401" t="s">
        <v>1250</v>
      </c>
      <c r="V53" s="401" t="s">
        <v>1958</v>
      </c>
      <c r="W53" s="401" t="s">
        <v>3782</v>
      </c>
      <c r="X53" s="402" t="s">
        <v>3704</v>
      </c>
    </row>
    <row r="54" spans="1:24">
      <c r="A54" s="341" t="s">
        <v>3476</v>
      </c>
      <c r="B54" s="373" t="str">
        <f xml:space="preserve"> _xlfn.XLOOKUP(F54, 韻母清單[台羅拼音],  韻母清單[十五音識別碼], "查不到")</f>
        <v>恭舒</v>
      </c>
      <c r="C54" s="337" t="s">
        <v>3607</v>
      </c>
      <c r="D54" s="337" t="s">
        <v>3609</v>
      </c>
      <c r="E54" s="338"/>
      <c r="F54" s="338" t="s">
        <v>1174</v>
      </c>
      <c r="G54" s="338" t="s">
        <v>1174</v>
      </c>
      <c r="H54" s="342" t="s">
        <v>579</v>
      </c>
      <c r="K54" s="408" t="s">
        <v>3783</v>
      </c>
      <c r="L54" s="408">
        <f xml:space="preserve"> VALUE(韻母清單[[#This Row],[識別號]])</f>
        <v>57</v>
      </c>
      <c r="M54" s="401" t="s">
        <v>3784</v>
      </c>
      <c r="N54" s="401" t="s">
        <v>260</v>
      </c>
      <c r="O54" s="401" t="s">
        <v>1251</v>
      </c>
      <c r="P54" s="401" t="s">
        <v>261</v>
      </c>
      <c r="Q54" s="401" t="s">
        <v>260</v>
      </c>
      <c r="R54" s="401" t="s">
        <v>260</v>
      </c>
      <c r="S54" s="401" t="s">
        <v>260</v>
      </c>
      <c r="T54" s="401" t="s">
        <v>260</v>
      </c>
      <c r="U54" s="401" t="s">
        <v>260</v>
      </c>
      <c r="V54" s="401" t="s">
        <v>1956</v>
      </c>
      <c r="W54" s="401" t="s">
        <v>3785</v>
      </c>
      <c r="X54" s="402" t="s">
        <v>3707</v>
      </c>
    </row>
    <row r="55" spans="1:24">
      <c r="A55" s="341" t="s">
        <v>3477</v>
      </c>
      <c r="B55" s="373" t="str">
        <f xml:space="preserve"> _xlfn.XLOOKUP(F55, 韻母清單[台羅拼音],  韻母清單[十五音識別碼], "查不到")</f>
        <v>查不到</v>
      </c>
      <c r="C55" s="337" t="s">
        <v>3607</v>
      </c>
      <c r="D55" s="337" t="s">
        <v>3610</v>
      </c>
      <c r="E55" s="338"/>
      <c r="F55" s="338" t="s">
        <v>3472</v>
      </c>
      <c r="G55" s="338" t="s">
        <v>3472</v>
      </c>
      <c r="H55" s="342" t="s">
        <v>592</v>
      </c>
      <c r="K55" s="408" t="s">
        <v>3786</v>
      </c>
      <c r="L55" s="408">
        <f xml:space="preserve"> VALUE(韻母清單[[#This Row],[識別號]])</f>
        <v>58</v>
      </c>
      <c r="M55" s="401" t="s">
        <v>1253</v>
      </c>
      <c r="N55" s="401" t="s">
        <v>1254</v>
      </c>
      <c r="O55" s="401" t="s">
        <v>1251</v>
      </c>
      <c r="P55" s="401" t="s">
        <v>292</v>
      </c>
      <c r="Q55" s="401" t="s">
        <v>1255</v>
      </c>
      <c r="R55" s="401" t="s">
        <v>1255</v>
      </c>
      <c r="S55" s="401" t="s">
        <v>1255</v>
      </c>
      <c r="T55" s="401" t="s">
        <v>1255</v>
      </c>
      <c r="U55" s="401" t="s">
        <v>1255</v>
      </c>
      <c r="V55" s="401" t="s">
        <v>1958</v>
      </c>
      <c r="W55" s="401" t="s">
        <v>3787</v>
      </c>
      <c r="X55" s="402" t="s">
        <v>3707</v>
      </c>
    </row>
    <row r="56" spans="1:24">
      <c r="A56" s="358"/>
      <c r="B56" s="373" t="str">
        <f xml:space="preserve"> _xlfn.XLOOKUP(F56, 韻母清單[台羅拼音],  韻母清單[十五音識別碼], "查不到")</f>
        <v>查不到</v>
      </c>
      <c r="C56" s="337" t="s">
        <v>3607</v>
      </c>
      <c r="D56" s="337" t="s">
        <v>2583</v>
      </c>
      <c r="E56" s="356"/>
      <c r="F56" s="356"/>
      <c r="G56" s="356"/>
      <c r="H56" s="357"/>
      <c r="K56" s="408" t="s">
        <v>3788</v>
      </c>
      <c r="L56" s="408">
        <f xml:space="preserve"> VALUE(韻母清單[[#This Row],[識別號]])</f>
        <v>59</v>
      </c>
      <c r="M56" s="401" t="s">
        <v>3789</v>
      </c>
      <c r="N56" s="401" t="s">
        <v>604</v>
      </c>
      <c r="O56" s="401" t="s">
        <v>1256</v>
      </c>
      <c r="P56" s="401" t="s">
        <v>605</v>
      </c>
      <c r="Q56" s="401" t="s">
        <v>604</v>
      </c>
      <c r="R56" s="401" t="s">
        <v>604</v>
      </c>
      <c r="S56" s="401" t="s">
        <v>604</v>
      </c>
      <c r="T56" s="401" t="s">
        <v>604</v>
      </c>
      <c r="U56" s="401" t="s">
        <v>604</v>
      </c>
      <c r="V56" s="401" t="s">
        <v>1956</v>
      </c>
      <c r="W56" s="401" t="s">
        <v>3790</v>
      </c>
      <c r="X56" s="402" t="s">
        <v>3709</v>
      </c>
    </row>
    <row r="57" spans="1:24">
      <c r="A57" s="341" t="s">
        <v>3478</v>
      </c>
      <c r="B57" s="373" t="str">
        <f xml:space="preserve"> _xlfn.XLOOKUP(F57, 韻母清單[台羅拼音],  韻母清單[十五音識別碼], "查不到")</f>
        <v>丩舒</v>
      </c>
      <c r="C57" s="337" t="s">
        <v>604</v>
      </c>
      <c r="D57" s="337" t="s">
        <v>604</v>
      </c>
      <c r="E57" s="338"/>
      <c r="F57" s="338" t="s">
        <v>604</v>
      </c>
      <c r="G57" s="338" t="s">
        <v>604</v>
      </c>
      <c r="H57" s="342" t="s">
        <v>605</v>
      </c>
      <c r="K57" s="408" t="s">
        <v>3791</v>
      </c>
      <c r="L57" s="408">
        <f xml:space="preserve"> VALUE(韻母清單[[#This Row],[識別號]])</f>
        <v>61</v>
      </c>
      <c r="M57" s="401" t="s">
        <v>3792</v>
      </c>
      <c r="N57" s="401" t="s">
        <v>1694</v>
      </c>
      <c r="O57" s="401" t="s">
        <v>1258</v>
      </c>
      <c r="P57" s="401" t="s">
        <v>227</v>
      </c>
      <c r="Q57" s="401" t="s">
        <v>1261</v>
      </c>
      <c r="R57" s="401" t="s">
        <v>1261</v>
      </c>
      <c r="S57" s="401" t="s">
        <v>1695</v>
      </c>
      <c r="T57" s="401" t="s">
        <v>1263</v>
      </c>
      <c r="U57" s="401" t="s">
        <v>1261</v>
      </c>
      <c r="V57" s="401" t="s">
        <v>1956</v>
      </c>
      <c r="W57" s="401" t="s">
        <v>3793</v>
      </c>
      <c r="X57" s="402" t="s">
        <v>3712</v>
      </c>
    </row>
    <row r="58" spans="1:24">
      <c r="A58" s="341" t="s">
        <v>3475</v>
      </c>
      <c r="B58" s="373" t="str">
        <f xml:space="preserve"> _xlfn.XLOOKUP(F58, 韻母清單[台羅拼音],  韻母清單[十五音識別碼], "查不到")</f>
        <v>牛舒</v>
      </c>
      <c r="C58" s="337" t="s">
        <v>604</v>
      </c>
      <c r="D58" s="337" t="s">
        <v>2589</v>
      </c>
      <c r="E58" s="338"/>
      <c r="F58" s="338" t="s">
        <v>1381</v>
      </c>
      <c r="G58" s="338" t="s">
        <v>1381</v>
      </c>
      <c r="H58" s="342" t="s">
        <v>622</v>
      </c>
      <c r="K58" s="408" t="s">
        <v>3794</v>
      </c>
      <c r="L58" s="408">
        <f xml:space="preserve"> VALUE(韻母清單[[#This Row],[識別號]])</f>
        <v>62</v>
      </c>
      <c r="M58" s="401" t="s">
        <v>3558</v>
      </c>
      <c r="N58" s="401" t="s">
        <v>2125</v>
      </c>
      <c r="O58" s="401" t="s">
        <v>1258</v>
      </c>
      <c r="P58" s="401" t="s">
        <v>257</v>
      </c>
      <c r="Q58" s="401" t="s">
        <v>1265</v>
      </c>
      <c r="R58" s="401" t="s">
        <v>1266</v>
      </c>
      <c r="S58" s="401" t="s">
        <v>3795</v>
      </c>
      <c r="T58" s="401" t="s">
        <v>1268</v>
      </c>
      <c r="U58" s="401" t="s">
        <v>1266</v>
      </c>
      <c r="V58" s="401" t="s">
        <v>1958</v>
      </c>
      <c r="W58" s="401" t="s">
        <v>3796</v>
      </c>
      <c r="X58" s="402" t="s">
        <v>3712</v>
      </c>
    </row>
    <row r="59" spans="1:24">
      <c r="A59" s="344" t="s">
        <v>3480</v>
      </c>
      <c r="B59" s="373" t="str">
        <f xml:space="preserve"> _xlfn.XLOOKUP(F59, 韻母清單[台羅拼音],  韻母清單[十五音識別碼], "查不到")</f>
        <v>查不到</v>
      </c>
      <c r="C59" s="337" t="s">
        <v>604</v>
      </c>
      <c r="D59" s="337" t="s">
        <v>2590</v>
      </c>
      <c r="E59" s="338"/>
      <c r="F59" s="338" t="s">
        <v>1804</v>
      </c>
      <c r="G59" s="338" t="s">
        <v>1804</v>
      </c>
      <c r="H59" s="342" t="s">
        <v>1576</v>
      </c>
      <c r="K59" s="408" t="s">
        <v>3797</v>
      </c>
      <c r="L59" s="408">
        <f xml:space="preserve"> VALUE(韻母清單[[#This Row],[識別號]])</f>
        <v>63</v>
      </c>
      <c r="M59" s="401" t="s">
        <v>1270</v>
      </c>
      <c r="N59" s="401" t="s">
        <v>937</v>
      </c>
      <c r="O59" s="401" t="s">
        <v>1269</v>
      </c>
      <c r="P59" s="401" t="s">
        <v>938</v>
      </c>
      <c r="Q59" s="401" t="s">
        <v>1271</v>
      </c>
      <c r="R59" s="401" t="s">
        <v>1271</v>
      </c>
      <c r="S59" s="401" t="s">
        <v>1734</v>
      </c>
      <c r="T59" s="401" t="s">
        <v>1273</v>
      </c>
      <c r="U59" s="401" t="s">
        <v>1271</v>
      </c>
      <c r="V59" s="401" t="s">
        <v>1956</v>
      </c>
      <c r="W59" s="401" t="s">
        <v>3798</v>
      </c>
      <c r="X59" s="402" t="s">
        <v>3799</v>
      </c>
    </row>
    <row r="60" spans="1:24">
      <c r="A60" s="343" t="s">
        <v>3559</v>
      </c>
      <c r="B60" s="373" t="str">
        <f xml:space="preserve"> _xlfn.XLOOKUP(F60, 韻母清單[台羅拼音],  韻母清單[十五音識別碼], "查不到")</f>
        <v>查不到</v>
      </c>
      <c r="C60" s="337" t="s">
        <v>604</v>
      </c>
      <c r="D60" s="337" t="s">
        <v>2591</v>
      </c>
      <c r="E60" s="338"/>
      <c r="F60" s="338" t="s">
        <v>2183</v>
      </c>
      <c r="G60" s="338" t="s">
        <v>2183</v>
      </c>
      <c r="H60" s="342" t="s">
        <v>631</v>
      </c>
      <c r="K60" s="408" t="s">
        <v>3800</v>
      </c>
      <c r="L60" s="408">
        <f xml:space="preserve"> VALUE(韻母清單[[#This Row],[識別號]])</f>
        <v>65</v>
      </c>
      <c r="M60" s="401" t="s">
        <v>1275</v>
      </c>
      <c r="N60" s="401" t="s">
        <v>1277</v>
      </c>
      <c r="O60" s="401" t="s">
        <v>1274</v>
      </c>
      <c r="P60" s="401" t="s">
        <v>543</v>
      </c>
      <c r="Q60" s="401" t="s">
        <v>1277</v>
      </c>
      <c r="R60" s="401" t="s">
        <v>1277</v>
      </c>
      <c r="S60" s="401" t="s">
        <v>1277</v>
      </c>
      <c r="T60" s="401" t="s">
        <v>1277</v>
      </c>
      <c r="U60" s="401" t="s">
        <v>3801</v>
      </c>
      <c r="V60" s="401" t="s">
        <v>1956</v>
      </c>
      <c r="W60" s="401" t="s">
        <v>3802</v>
      </c>
      <c r="X60" s="402" t="s">
        <v>3714</v>
      </c>
    </row>
    <row r="61" spans="1:24">
      <c r="A61" s="347" t="s">
        <v>3483</v>
      </c>
      <c r="B61" s="373" t="str">
        <f xml:space="preserve"> _xlfn.XLOOKUP(F61, 韻母清單[台羅拼音],  韻母清單[十五音識別碼], "查不到")</f>
        <v>查不到</v>
      </c>
      <c r="C61" s="337" t="s">
        <v>2396</v>
      </c>
      <c r="D61" s="337" t="s">
        <v>2396</v>
      </c>
      <c r="E61" s="338"/>
      <c r="F61" s="338" t="s">
        <v>3479</v>
      </c>
      <c r="G61" s="338" t="s">
        <v>3479</v>
      </c>
      <c r="H61" s="342" t="s">
        <v>634</v>
      </c>
      <c r="K61" s="408" t="s">
        <v>3803</v>
      </c>
      <c r="L61" s="408">
        <f xml:space="preserve"> VALUE(韻母清單[[#This Row],[識別號]])</f>
        <v>66</v>
      </c>
      <c r="M61" s="401" t="s">
        <v>3804</v>
      </c>
      <c r="N61" s="401" t="s">
        <v>2132</v>
      </c>
      <c r="O61" s="401" t="s">
        <v>1274</v>
      </c>
      <c r="P61" s="401" t="s">
        <v>568</v>
      </c>
      <c r="Q61" s="401" t="s">
        <v>1279</v>
      </c>
      <c r="R61" s="401" t="s">
        <v>1279</v>
      </c>
      <c r="S61" s="401" t="s">
        <v>1279</v>
      </c>
      <c r="T61" s="401" t="s">
        <v>1279</v>
      </c>
      <c r="U61" s="401" t="s">
        <v>3805</v>
      </c>
      <c r="V61" s="401" t="s">
        <v>1958</v>
      </c>
      <c r="W61" s="401" t="s">
        <v>3806</v>
      </c>
      <c r="X61" s="402" t="s">
        <v>3714</v>
      </c>
    </row>
    <row r="62" spans="1:24">
      <c r="A62" s="348" t="s">
        <v>3485</v>
      </c>
      <c r="B62" s="373" t="str">
        <f xml:space="preserve"> _xlfn.XLOOKUP(F62, 韻母清單[台羅拼音],  韻母清單[十五音識別碼], "查不到")</f>
        <v>查不到</v>
      </c>
      <c r="C62" s="337" t="s">
        <v>2396</v>
      </c>
      <c r="D62" s="337" t="s">
        <v>3481</v>
      </c>
      <c r="E62" s="338"/>
      <c r="F62" s="338" t="s">
        <v>3482</v>
      </c>
      <c r="G62" s="338" t="s">
        <v>3482</v>
      </c>
      <c r="H62" s="342" t="s">
        <v>671</v>
      </c>
      <c r="K62" s="408" t="s">
        <v>3807</v>
      </c>
      <c r="L62" s="408">
        <f xml:space="preserve"> VALUE(韻母清單[[#This Row],[識別號]])</f>
        <v>67</v>
      </c>
      <c r="M62" s="401" t="s">
        <v>3808</v>
      </c>
      <c r="N62" s="401" t="s">
        <v>279</v>
      </c>
      <c r="O62" s="401" t="s">
        <v>1280</v>
      </c>
      <c r="P62" s="401" t="s">
        <v>280</v>
      </c>
      <c r="Q62" s="401" t="s">
        <v>1282</v>
      </c>
      <c r="R62" s="401" t="s">
        <v>1282</v>
      </c>
      <c r="S62" s="401" t="s">
        <v>1696</v>
      </c>
      <c r="T62" s="401" t="s">
        <v>1284</v>
      </c>
      <c r="U62" s="401" t="s">
        <v>1282</v>
      </c>
      <c r="V62" s="401" t="s">
        <v>1956</v>
      </c>
      <c r="W62" s="401" t="s">
        <v>3809</v>
      </c>
      <c r="X62" s="402" t="s">
        <v>3716</v>
      </c>
    </row>
    <row r="63" spans="1:24">
      <c r="A63" s="341" t="s">
        <v>3487</v>
      </c>
      <c r="B63" s="373" t="str">
        <f xml:space="preserve"> _xlfn.XLOOKUP(F63, 韻母清單[台羅拼音],  韻母清單[十五音識別碼], "查不到")</f>
        <v>查不到</v>
      </c>
      <c r="C63" s="337" t="s">
        <v>1180</v>
      </c>
      <c r="D63" s="337" t="s">
        <v>1180</v>
      </c>
      <c r="E63" s="338"/>
      <c r="F63" s="338" t="s">
        <v>3484</v>
      </c>
      <c r="G63" s="338" t="s">
        <v>3484</v>
      </c>
      <c r="H63" s="342" t="s">
        <v>634</v>
      </c>
      <c r="K63" s="408" t="s">
        <v>3810</v>
      </c>
      <c r="L63" s="408">
        <f xml:space="preserve"> VALUE(韻母清單[[#This Row],[識別號]])</f>
        <v>68</v>
      </c>
      <c r="M63" s="401" t="s">
        <v>2219</v>
      </c>
      <c r="N63" s="401" t="s">
        <v>1286</v>
      </c>
      <c r="O63" s="401" t="s">
        <v>1280</v>
      </c>
      <c r="P63" s="401" t="s">
        <v>1285</v>
      </c>
      <c r="Q63" s="401" t="s">
        <v>1287</v>
      </c>
      <c r="R63" s="401" t="s">
        <v>1288</v>
      </c>
      <c r="S63" s="401" t="s">
        <v>2133</v>
      </c>
      <c r="T63" s="401" t="s">
        <v>1290</v>
      </c>
      <c r="U63" s="401" t="s">
        <v>1288</v>
      </c>
      <c r="V63" s="401" t="s">
        <v>1958</v>
      </c>
      <c r="W63" s="401" t="s">
        <v>3811</v>
      </c>
      <c r="X63" s="402" t="s">
        <v>3716</v>
      </c>
    </row>
    <row r="64" spans="1:24">
      <c r="A64" s="344" t="s">
        <v>3491</v>
      </c>
      <c r="B64" s="373" t="str">
        <f xml:space="preserve"> _xlfn.XLOOKUP(F64, 韻母清單[台羅拼音],  韻母清單[十五音識別碼], "查不到")</f>
        <v>查不到</v>
      </c>
      <c r="C64" s="337" t="s">
        <v>1180</v>
      </c>
      <c r="D64" s="337" t="s">
        <v>3481</v>
      </c>
      <c r="E64" s="338"/>
      <c r="F64" s="338" t="s">
        <v>3486</v>
      </c>
      <c r="G64" s="338" t="s">
        <v>3486</v>
      </c>
      <c r="H64" s="342" t="s">
        <v>671</v>
      </c>
      <c r="K64" s="408" t="s">
        <v>3812</v>
      </c>
      <c r="L64" s="408">
        <f xml:space="preserve"> VALUE(韻母清單[[#This Row],[識別號]])</f>
        <v>69</v>
      </c>
      <c r="M64" s="401" t="s">
        <v>3813</v>
      </c>
      <c r="N64" s="401" t="s">
        <v>2134</v>
      </c>
      <c r="O64" s="401" t="s">
        <v>1291</v>
      </c>
      <c r="P64" s="401" t="s">
        <v>559</v>
      </c>
      <c r="Q64" s="401" t="s">
        <v>1293</v>
      </c>
      <c r="R64" s="401" t="s">
        <v>1293</v>
      </c>
      <c r="S64" s="401" t="s">
        <v>2135</v>
      </c>
      <c r="T64" s="401" t="s">
        <v>1295</v>
      </c>
      <c r="U64" s="401" t="s">
        <v>3471</v>
      </c>
      <c r="V64" s="401" t="s">
        <v>1956</v>
      </c>
      <c r="W64" s="401" t="s">
        <v>3814</v>
      </c>
      <c r="X64" s="402" t="s">
        <v>3719</v>
      </c>
    </row>
    <row r="65" spans="1:24">
      <c r="A65" s="341" t="s">
        <v>3492</v>
      </c>
      <c r="B65" s="373" t="str">
        <f xml:space="preserve"> _xlfn.XLOOKUP(F65, 韻母清單[台羅拼音],  韻母清單[十五音識別碼], "查不到")</f>
        <v>沽舒</v>
      </c>
      <c r="C65" s="337" t="s">
        <v>3611</v>
      </c>
      <c r="D65" s="337" t="s">
        <v>3611</v>
      </c>
      <c r="E65" s="338"/>
      <c r="F65" s="338" t="s">
        <v>1159</v>
      </c>
      <c r="G65" s="338" t="s">
        <v>1159</v>
      </c>
      <c r="H65" s="342" t="s">
        <v>649</v>
      </c>
      <c r="K65" s="408" t="s">
        <v>3815</v>
      </c>
      <c r="L65" s="408">
        <f xml:space="preserve"> VALUE(韻母清單[[#This Row],[識別號]])</f>
        <v>71</v>
      </c>
      <c r="M65" s="401" t="s">
        <v>1297</v>
      </c>
      <c r="N65" s="401" t="s">
        <v>406</v>
      </c>
      <c r="O65" s="401" t="s">
        <v>1296</v>
      </c>
      <c r="P65" s="401" t="s">
        <v>407</v>
      </c>
      <c r="Q65" s="401" t="s">
        <v>1298</v>
      </c>
      <c r="R65" s="401" t="s">
        <v>1299</v>
      </c>
      <c r="S65" s="401" t="s">
        <v>1732</v>
      </c>
      <c r="T65" s="401" t="s">
        <v>1301</v>
      </c>
      <c r="U65" s="401" t="s">
        <v>1298</v>
      </c>
      <c r="V65" s="401" t="s">
        <v>1956</v>
      </c>
      <c r="W65" s="401" t="s">
        <v>3816</v>
      </c>
      <c r="X65" s="402" t="s">
        <v>3722</v>
      </c>
    </row>
    <row r="66" spans="1:24">
      <c r="A66" s="343" t="s">
        <v>3495</v>
      </c>
      <c r="B66" s="373" t="str">
        <f xml:space="preserve"> _xlfn.XLOOKUP(F66, 韻母清單[台羅拼音],  韻母清單[十五音識別碼], "查不到")</f>
        <v>查不到</v>
      </c>
      <c r="C66" s="337" t="s">
        <v>3611</v>
      </c>
      <c r="D66" s="337" t="s">
        <v>3612</v>
      </c>
      <c r="E66" s="338"/>
      <c r="F66" s="338" t="s">
        <v>1322</v>
      </c>
      <c r="G66" s="338" t="s">
        <v>1322</v>
      </c>
      <c r="H66" s="342" t="s">
        <v>667</v>
      </c>
      <c r="K66" s="408" t="s">
        <v>3817</v>
      </c>
      <c r="L66" s="408">
        <f xml:space="preserve"> VALUE(韻母清單[[#This Row],[識別號]])</f>
        <v>73</v>
      </c>
      <c r="M66" s="401" t="s">
        <v>3818</v>
      </c>
      <c r="N66" s="401" t="s">
        <v>808</v>
      </c>
      <c r="O66" s="401" t="s">
        <v>1302</v>
      </c>
      <c r="P66" s="401" t="s">
        <v>809</v>
      </c>
      <c r="Q66" s="401" t="s">
        <v>1304</v>
      </c>
      <c r="R66" s="401" t="s">
        <v>1304</v>
      </c>
      <c r="S66" s="401" t="s">
        <v>2144</v>
      </c>
      <c r="T66" s="401" t="s">
        <v>1306</v>
      </c>
      <c r="U66" s="401" t="s">
        <v>1304</v>
      </c>
      <c r="V66" s="401" t="s">
        <v>1956</v>
      </c>
      <c r="W66" s="401" t="s">
        <v>3819</v>
      </c>
      <c r="X66" s="402" t="s">
        <v>3725</v>
      </c>
    </row>
    <row r="67" spans="1:24">
      <c r="A67" s="344" t="s">
        <v>3496</v>
      </c>
      <c r="B67" s="373" t="str">
        <f xml:space="preserve"> _xlfn.XLOOKUP(F67, 韻母清單[台羅拼音],  韻母清單[十五音識別碼], "查不到")</f>
        <v>查不到</v>
      </c>
      <c r="C67" s="337" t="s">
        <v>3611</v>
      </c>
      <c r="D67" s="337" t="s">
        <v>3613</v>
      </c>
      <c r="E67" s="338"/>
      <c r="F67" s="338" t="s">
        <v>3488</v>
      </c>
      <c r="G67" s="338" t="s">
        <v>3488</v>
      </c>
      <c r="H67" s="342" t="s">
        <v>694</v>
      </c>
      <c r="K67" s="408" t="s">
        <v>3820</v>
      </c>
      <c r="L67" s="408">
        <f xml:space="preserve"> VALUE(韻母清單[[#This Row],[識別號]])</f>
        <v>75</v>
      </c>
      <c r="M67" s="401" t="s">
        <v>1308</v>
      </c>
      <c r="N67" s="401" t="s">
        <v>955</v>
      </c>
      <c r="O67" s="401" t="s">
        <v>1307</v>
      </c>
      <c r="P67" s="401" t="s">
        <v>956</v>
      </c>
      <c r="Q67" s="401" t="s">
        <v>1309</v>
      </c>
      <c r="R67" s="401" t="s">
        <v>1309</v>
      </c>
      <c r="S67" s="401" t="s">
        <v>1309</v>
      </c>
      <c r="T67" s="401" t="s">
        <v>1309</v>
      </c>
      <c r="U67" s="401" t="s">
        <v>1309</v>
      </c>
      <c r="V67" s="401" t="s">
        <v>1956</v>
      </c>
      <c r="W67" s="401" t="s">
        <v>3821</v>
      </c>
      <c r="X67" s="402" t="s">
        <v>3727</v>
      </c>
    </row>
    <row r="68" spans="1:24">
      <c r="A68" s="341" t="s">
        <v>3500</v>
      </c>
      <c r="B68" s="373" t="str">
        <f xml:space="preserve"> _xlfn.XLOOKUP(F68, 韻母清單[台羅拼音],  韻母清單[十五音識別碼], "查不到")</f>
        <v>公舒</v>
      </c>
      <c r="C68" s="337" t="s">
        <v>3611</v>
      </c>
      <c r="D68" s="337" t="s">
        <v>3614</v>
      </c>
      <c r="E68" s="338"/>
      <c r="F68" s="338" t="s">
        <v>1134</v>
      </c>
      <c r="G68" s="338" t="s">
        <v>1134</v>
      </c>
      <c r="H68" s="342" t="s">
        <v>698</v>
      </c>
      <c r="K68" s="408" t="s">
        <v>3822</v>
      </c>
      <c r="L68" s="408">
        <f xml:space="preserve"> VALUE(韻母清單[[#This Row],[識別號]])</f>
        <v>77</v>
      </c>
      <c r="M68" s="401" t="s">
        <v>3823</v>
      </c>
      <c r="N68" s="401" t="s">
        <v>208</v>
      </c>
      <c r="O68" s="401" t="s">
        <v>1310</v>
      </c>
      <c r="P68" s="401" t="s">
        <v>209</v>
      </c>
      <c r="Q68" s="401" t="s">
        <v>208</v>
      </c>
      <c r="R68" s="401" t="s">
        <v>208</v>
      </c>
      <c r="S68" s="401" t="s">
        <v>208</v>
      </c>
      <c r="T68" s="401" t="s">
        <v>208</v>
      </c>
      <c r="U68" s="401" t="s">
        <v>208</v>
      </c>
      <c r="V68" s="401" t="s">
        <v>1956</v>
      </c>
      <c r="W68" s="401" t="s">
        <v>3824</v>
      </c>
      <c r="X68" s="402" t="s">
        <v>3730</v>
      </c>
    </row>
    <row r="69" spans="1:24">
      <c r="A69" s="341" t="s">
        <v>2622</v>
      </c>
      <c r="B69" s="373" t="str">
        <f xml:space="preserve"> _xlfn.XLOOKUP(F69, 韻母清單[台羅拼音],  韻母清單[十五音識別碼], "查不到")</f>
        <v>箴促</v>
      </c>
      <c r="C69" s="337" t="s">
        <v>3611</v>
      </c>
      <c r="D69" s="337" t="s">
        <v>3615</v>
      </c>
      <c r="E69" s="338"/>
      <c r="F69" s="338" t="s">
        <v>1816</v>
      </c>
      <c r="G69" s="338" t="s">
        <v>3489</v>
      </c>
      <c r="H69" s="342" t="s">
        <v>713</v>
      </c>
      <c r="K69" s="408" t="s">
        <v>3825</v>
      </c>
      <c r="L69" s="408">
        <f xml:space="preserve"> VALUE(韻母清單[[#This Row],[識別號]])</f>
        <v>78</v>
      </c>
      <c r="M69" s="401" t="s">
        <v>3826</v>
      </c>
      <c r="N69" s="401" t="s">
        <v>1312</v>
      </c>
      <c r="O69" s="401" t="s">
        <v>1310</v>
      </c>
      <c r="P69" s="401" t="s">
        <v>239</v>
      </c>
      <c r="Q69" s="401" t="s">
        <v>1313</v>
      </c>
      <c r="R69" s="401" t="s">
        <v>1313</v>
      </c>
      <c r="S69" s="401" t="s">
        <v>1313</v>
      </c>
      <c r="T69" s="401" t="s">
        <v>1313</v>
      </c>
      <c r="U69" s="401" t="s">
        <v>1313</v>
      </c>
      <c r="V69" s="401" t="s">
        <v>1958</v>
      </c>
      <c r="W69" s="401" t="s">
        <v>3827</v>
      </c>
      <c r="X69" s="402" t="s">
        <v>3730</v>
      </c>
    </row>
    <row r="70" spans="1:24">
      <c r="A70" s="341" t="s">
        <v>3506</v>
      </c>
      <c r="B70" s="373" t="str">
        <f xml:space="preserve"> _xlfn.XLOOKUP(F70, 韻母清單[台羅拼音],  韻母清單[十五音識別碼], "查不到")</f>
        <v>公促</v>
      </c>
      <c r="C70" s="337" t="s">
        <v>3611</v>
      </c>
      <c r="D70" s="337" t="s">
        <v>3616</v>
      </c>
      <c r="E70" s="338"/>
      <c r="F70" s="338" t="s">
        <v>1817</v>
      </c>
      <c r="G70" s="338" t="s">
        <v>3490</v>
      </c>
      <c r="H70" s="342" t="s">
        <v>718</v>
      </c>
      <c r="K70" s="408" t="s">
        <v>3828</v>
      </c>
      <c r="L70" s="408">
        <f xml:space="preserve"> VALUE(韻母清單[[#This Row],[識別號]])</f>
        <v>79</v>
      </c>
      <c r="M70" s="401" t="s">
        <v>3546</v>
      </c>
      <c r="N70" s="401" t="s">
        <v>3829</v>
      </c>
      <c r="O70" s="401" t="s">
        <v>1314</v>
      </c>
      <c r="P70" s="401" t="s">
        <v>168</v>
      </c>
      <c r="Q70" s="401" t="s">
        <v>1317</v>
      </c>
      <c r="R70" s="401" t="s">
        <v>1317</v>
      </c>
      <c r="S70" s="401" t="s">
        <v>1697</v>
      </c>
      <c r="T70" s="401" t="s">
        <v>1319</v>
      </c>
      <c r="U70" s="401" t="s">
        <v>1317</v>
      </c>
      <c r="V70" s="401" t="s">
        <v>1956</v>
      </c>
      <c r="W70" s="401" t="s">
        <v>3830</v>
      </c>
      <c r="X70" s="402" t="s">
        <v>3732</v>
      </c>
    </row>
    <row r="71" spans="1:24">
      <c r="A71" s="343" t="s">
        <v>3509</v>
      </c>
      <c r="B71" s="373" t="str">
        <f xml:space="preserve"> _xlfn.XLOOKUP(F71, 韻母清單[台羅拼音],  韻母清單[十五音識別碼], "查不到")</f>
        <v>查不到</v>
      </c>
      <c r="C71" s="337" t="s">
        <v>3611</v>
      </c>
      <c r="D71" s="337" t="s">
        <v>3617</v>
      </c>
      <c r="E71" s="338"/>
      <c r="F71" s="338" t="s">
        <v>1810</v>
      </c>
      <c r="G71" s="338" t="s">
        <v>1810</v>
      </c>
      <c r="H71" s="342" t="s">
        <v>684</v>
      </c>
      <c r="K71" s="408" t="s">
        <v>3831</v>
      </c>
      <c r="L71" s="408">
        <f xml:space="preserve"> VALUE(韻母清單[[#This Row],[識別號]])</f>
        <v>81</v>
      </c>
      <c r="M71" s="401" t="s">
        <v>3832</v>
      </c>
      <c r="N71" s="401" t="s">
        <v>1692</v>
      </c>
      <c r="O71" s="401" t="s">
        <v>1320</v>
      </c>
      <c r="P71" s="401" t="s">
        <v>667</v>
      </c>
      <c r="Q71" s="401" t="s">
        <v>1322</v>
      </c>
      <c r="R71" s="401" t="s">
        <v>1376</v>
      </c>
      <c r="S71" s="401" t="s">
        <v>1693</v>
      </c>
      <c r="T71" s="401" t="s">
        <v>1325</v>
      </c>
      <c r="U71" s="401" t="s">
        <v>1322</v>
      </c>
      <c r="V71" s="401" t="s">
        <v>1956</v>
      </c>
      <c r="W71" s="401" t="s">
        <v>3833</v>
      </c>
      <c r="X71" s="402" t="s">
        <v>3735</v>
      </c>
    </row>
    <row r="72" spans="1:24">
      <c r="A72" s="341" t="s">
        <v>3560</v>
      </c>
      <c r="B72" s="373" t="str">
        <f xml:space="preserve"> _xlfn.XLOOKUP(F72, 韻母清單[台羅拼音],  韻母清單[十五音識別碼], "查不到")</f>
        <v>扛促</v>
      </c>
      <c r="C72" s="337" t="s">
        <v>3611</v>
      </c>
      <c r="D72" s="337" t="s">
        <v>3618</v>
      </c>
      <c r="E72" s="338"/>
      <c r="F72" s="338" t="s">
        <v>2228</v>
      </c>
      <c r="G72" s="338" t="s">
        <v>2158</v>
      </c>
      <c r="H72" s="342" t="s">
        <v>691</v>
      </c>
      <c r="K72" s="408" t="s">
        <v>3834</v>
      </c>
      <c r="L72" s="408">
        <f xml:space="preserve"> VALUE(韻母清單[[#This Row],[識別號]])</f>
        <v>83</v>
      </c>
      <c r="M72" s="401" t="s">
        <v>1326</v>
      </c>
      <c r="N72" s="401" t="s">
        <v>949</v>
      </c>
      <c r="O72" s="401" t="s">
        <v>1326</v>
      </c>
      <c r="P72" s="401" t="s">
        <v>950</v>
      </c>
      <c r="Q72" s="401" t="s">
        <v>5</v>
      </c>
      <c r="R72" s="401" t="s">
        <v>5</v>
      </c>
      <c r="S72" s="401" t="s">
        <v>5</v>
      </c>
      <c r="T72" s="401" t="s">
        <v>5</v>
      </c>
      <c r="U72" s="401" t="s">
        <v>5</v>
      </c>
      <c r="V72" s="401" t="s">
        <v>1956</v>
      </c>
      <c r="W72" s="401" t="s">
        <v>3835</v>
      </c>
      <c r="X72" s="402" t="s">
        <v>3738</v>
      </c>
    </row>
    <row r="73" spans="1:24">
      <c r="A73" s="347" t="s">
        <v>3511</v>
      </c>
      <c r="B73" s="373" t="str">
        <f xml:space="preserve"> _xlfn.XLOOKUP(F73, 韻母清單[台羅拼音],  韻母清單[十五音識別碼], "查不到")</f>
        <v>查不到</v>
      </c>
      <c r="C73" s="337" t="s">
        <v>3493</v>
      </c>
      <c r="D73" s="337" t="s">
        <v>3493</v>
      </c>
      <c r="E73" s="338"/>
      <c r="F73" s="338" t="s">
        <v>3494</v>
      </c>
      <c r="G73" s="338" t="s">
        <v>3494</v>
      </c>
      <c r="H73" s="342" t="s">
        <v>3510</v>
      </c>
      <c r="K73" s="408" t="s">
        <v>3836</v>
      </c>
      <c r="L73" s="408">
        <f xml:space="preserve"> VALUE(韻母清單[[#This Row],[識別號]])</f>
        <v>85</v>
      </c>
      <c r="M73" s="401" t="s">
        <v>1328</v>
      </c>
      <c r="N73" s="401" t="s">
        <v>850</v>
      </c>
      <c r="O73" s="401" t="s">
        <v>1327</v>
      </c>
      <c r="P73" s="401" t="s">
        <v>851</v>
      </c>
      <c r="Q73" s="401" t="s">
        <v>1329</v>
      </c>
      <c r="R73" s="401" t="s">
        <v>1329</v>
      </c>
      <c r="S73" s="401" t="s">
        <v>1330</v>
      </c>
      <c r="T73" s="401" t="s">
        <v>1329</v>
      </c>
      <c r="U73" s="401" t="s">
        <v>1329</v>
      </c>
      <c r="V73" s="401" t="s">
        <v>1956</v>
      </c>
      <c r="W73" s="401" t="s">
        <v>3837</v>
      </c>
      <c r="X73" s="402" t="s">
        <v>3741</v>
      </c>
    </row>
    <row r="74" spans="1:24">
      <c r="A74" s="348" t="s">
        <v>3513</v>
      </c>
      <c r="B74" s="373" t="str">
        <f xml:space="preserve"> _xlfn.XLOOKUP(F74, 韻母清單[台羅拼音],  韻母清單[十五音識別碼], "查不到")</f>
        <v>查不到</v>
      </c>
      <c r="C74" s="337" t="s">
        <v>3493</v>
      </c>
      <c r="D74" s="337" t="s">
        <v>3497</v>
      </c>
      <c r="E74" s="338"/>
      <c r="F74" s="338" t="s">
        <v>3498</v>
      </c>
      <c r="G74" s="338" t="s">
        <v>3498</v>
      </c>
      <c r="H74" s="342" t="s">
        <v>3512</v>
      </c>
      <c r="K74" s="408" t="s">
        <v>3838</v>
      </c>
      <c r="L74" s="408">
        <f xml:space="preserve"> VALUE(韻母清單[[#This Row],[識別號]])</f>
        <v>86</v>
      </c>
      <c r="M74" s="401" t="s">
        <v>3839</v>
      </c>
      <c r="N74" s="401" t="s">
        <v>1332</v>
      </c>
      <c r="O74" s="401" t="s">
        <v>1327</v>
      </c>
      <c r="P74" s="401" t="s">
        <v>1331</v>
      </c>
      <c r="Q74" s="401" t="s">
        <v>1333</v>
      </c>
      <c r="R74" s="401" t="s">
        <v>1333</v>
      </c>
      <c r="S74" s="401" t="s">
        <v>1334</v>
      </c>
      <c r="T74" s="401" t="s">
        <v>1333</v>
      </c>
      <c r="U74" s="401" t="s">
        <v>1333</v>
      </c>
      <c r="V74" s="401" t="s">
        <v>1958</v>
      </c>
      <c r="W74" s="401" t="s">
        <v>3840</v>
      </c>
      <c r="X74" s="402" t="s">
        <v>3741</v>
      </c>
    </row>
    <row r="75" spans="1:24">
      <c r="A75" s="348" t="s">
        <v>1187</v>
      </c>
      <c r="B75" s="373" t="str">
        <f xml:space="preserve"> _xlfn.XLOOKUP(F75, 韻母清單[台羅拼音],  韻母清單[十五音識別碼], "查不到")</f>
        <v>查不到</v>
      </c>
      <c r="C75" s="337" t="s">
        <v>3493</v>
      </c>
      <c r="D75" s="337" t="s">
        <v>3493</v>
      </c>
      <c r="E75" s="338"/>
      <c r="F75" s="338" t="s">
        <v>3499</v>
      </c>
      <c r="G75" s="338" t="s">
        <v>3499</v>
      </c>
      <c r="H75" s="342" t="s">
        <v>3510</v>
      </c>
      <c r="K75" s="408" t="s">
        <v>3841</v>
      </c>
      <c r="L75" s="408">
        <f xml:space="preserve"> VALUE(韻母清單[[#This Row],[識別號]])</f>
        <v>87</v>
      </c>
      <c r="M75" s="401" t="s">
        <v>1336</v>
      </c>
      <c r="N75" s="401" t="s">
        <v>874</v>
      </c>
      <c r="O75" s="401" t="s">
        <v>1335</v>
      </c>
      <c r="P75" s="401" t="s">
        <v>875</v>
      </c>
      <c r="Q75" s="401" t="s">
        <v>1338</v>
      </c>
      <c r="R75" s="401" t="s">
        <v>1338</v>
      </c>
      <c r="S75" s="401" t="s">
        <v>2162</v>
      </c>
      <c r="T75" s="401" t="s">
        <v>1340</v>
      </c>
      <c r="U75" s="401" t="s">
        <v>1338</v>
      </c>
      <c r="V75" s="401" t="s">
        <v>1956</v>
      </c>
      <c r="W75" s="401" t="s">
        <v>3842</v>
      </c>
      <c r="X75" s="402" t="s">
        <v>3745</v>
      </c>
    </row>
    <row r="76" spans="1:24">
      <c r="A76" s="348" t="s">
        <v>3515</v>
      </c>
      <c r="B76" s="373" t="str">
        <f xml:space="preserve"> _xlfn.XLOOKUP(F76, 韻母清單[台羅拼音],  韻母清單[十五音識別碼], "查不到")</f>
        <v>查不到</v>
      </c>
      <c r="C76" s="337" t="s">
        <v>3493</v>
      </c>
      <c r="D76" s="337" t="s">
        <v>3619</v>
      </c>
      <c r="E76" s="338"/>
      <c r="F76" s="338" t="s">
        <v>3501</v>
      </c>
      <c r="G76" s="338" t="s">
        <v>3501</v>
      </c>
      <c r="H76" s="342" t="s">
        <v>3514</v>
      </c>
      <c r="K76" s="408" t="s">
        <v>3843</v>
      </c>
      <c r="L76" s="408">
        <f xml:space="preserve"> VALUE(韻母清單[[#This Row],[識別號]])</f>
        <v>88</v>
      </c>
      <c r="M76" s="401" t="s">
        <v>3844</v>
      </c>
      <c r="N76" s="401" t="s">
        <v>2163</v>
      </c>
      <c r="O76" s="401" t="s">
        <v>1335</v>
      </c>
      <c r="P76" s="401" t="s">
        <v>887</v>
      </c>
      <c r="Q76" s="401" t="s">
        <v>1342</v>
      </c>
      <c r="R76" s="401" t="s">
        <v>1343</v>
      </c>
      <c r="S76" s="401" t="s">
        <v>2164</v>
      </c>
      <c r="T76" s="401" t="s">
        <v>1345</v>
      </c>
      <c r="U76" s="401" t="s">
        <v>1343</v>
      </c>
      <c r="V76" s="401" t="s">
        <v>1958</v>
      </c>
      <c r="W76" s="401" t="s">
        <v>3845</v>
      </c>
      <c r="X76" s="402" t="s">
        <v>3745</v>
      </c>
    </row>
    <row r="77" spans="1:24">
      <c r="A77" s="348" t="s">
        <v>3517</v>
      </c>
      <c r="B77" s="373" t="str">
        <f xml:space="preserve"> _xlfn.XLOOKUP(F77, 韻母清單[台羅拼音],  韻母清單[十五音識別碼], "查不到")</f>
        <v>查不到</v>
      </c>
      <c r="C77" s="337" t="s">
        <v>3493</v>
      </c>
      <c r="D77" s="337" t="s">
        <v>3502</v>
      </c>
      <c r="E77" s="338"/>
      <c r="F77" s="338" t="s">
        <v>3503</v>
      </c>
      <c r="G77" s="338" t="s">
        <v>3503</v>
      </c>
      <c r="H77" s="342" t="s">
        <v>3516</v>
      </c>
      <c r="K77" s="408" t="s">
        <v>3846</v>
      </c>
      <c r="L77" s="408">
        <f xml:space="preserve"> VALUE(韻母清單[[#This Row],[識別號]])</f>
        <v>89</v>
      </c>
      <c r="M77" s="401" t="s">
        <v>1109</v>
      </c>
      <c r="N77" s="401" t="s">
        <v>2165</v>
      </c>
      <c r="O77" s="401" t="s">
        <v>1346</v>
      </c>
      <c r="P77" s="401" t="s">
        <v>1347</v>
      </c>
      <c r="Q77" s="401" t="s">
        <v>1349</v>
      </c>
      <c r="R77" s="401" t="s">
        <v>1349</v>
      </c>
      <c r="S77" s="401" t="s">
        <v>2166</v>
      </c>
      <c r="T77" s="401" t="s">
        <v>1351</v>
      </c>
      <c r="U77" s="401" t="s">
        <v>1349</v>
      </c>
      <c r="V77" s="401" t="s">
        <v>1956</v>
      </c>
      <c r="W77" s="401" t="s">
        <v>3847</v>
      </c>
      <c r="X77" s="402" t="s">
        <v>3748</v>
      </c>
    </row>
    <row r="78" spans="1:24">
      <c r="A78" s="348" t="s">
        <v>3519</v>
      </c>
      <c r="B78" s="373" t="str">
        <f xml:space="preserve"> _xlfn.XLOOKUP(F78, 韻母清單[台羅拼音],  韻母清單[十五音識別碼], "查不到")</f>
        <v>查不到</v>
      </c>
      <c r="C78" s="337" t="s">
        <v>3493</v>
      </c>
      <c r="D78" s="337" t="s">
        <v>3504</v>
      </c>
      <c r="E78" s="338"/>
      <c r="F78" s="338" t="s">
        <v>3505</v>
      </c>
      <c r="G78" s="338" t="s">
        <v>3505</v>
      </c>
      <c r="H78" s="342" t="s">
        <v>3518</v>
      </c>
      <c r="K78" s="408" t="s">
        <v>3848</v>
      </c>
      <c r="L78" s="408">
        <f xml:space="preserve"> VALUE(韻母清單[[#This Row],[識別號]])</f>
        <v>91</v>
      </c>
      <c r="M78" s="401" t="s">
        <v>1354</v>
      </c>
      <c r="N78" s="401" t="s">
        <v>2172</v>
      </c>
      <c r="O78" s="401" t="s">
        <v>1353</v>
      </c>
      <c r="P78" s="401" t="s">
        <v>536</v>
      </c>
      <c r="Q78" s="401" t="s">
        <v>1356</v>
      </c>
      <c r="R78" s="401" t="s">
        <v>1356</v>
      </c>
      <c r="S78" s="401" t="s">
        <v>1748</v>
      </c>
      <c r="T78" s="401" t="s">
        <v>1358</v>
      </c>
      <c r="U78" s="401" t="s">
        <v>1356</v>
      </c>
      <c r="V78" s="401" t="s">
        <v>1956</v>
      </c>
      <c r="W78" s="401" t="s">
        <v>3849</v>
      </c>
      <c r="X78" s="402" t="s">
        <v>3750</v>
      </c>
    </row>
    <row r="79" spans="1:24">
      <c r="A79" s="348" t="s">
        <v>3522</v>
      </c>
      <c r="B79" s="373" t="str">
        <f xml:space="preserve"> _xlfn.XLOOKUP(F79, 韻母清單[台羅拼音],  韻母清單[十五音識別碼], "查不到")</f>
        <v>查不到</v>
      </c>
      <c r="C79" s="337" t="s">
        <v>3493</v>
      </c>
      <c r="D79" s="337" t="s">
        <v>3507</v>
      </c>
      <c r="E79" s="338"/>
      <c r="F79" s="338" t="s">
        <v>3508</v>
      </c>
      <c r="G79" s="338" t="s">
        <v>3508</v>
      </c>
      <c r="H79" s="342" t="s">
        <v>3521</v>
      </c>
      <c r="K79" s="408" t="s">
        <v>3850</v>
      </c>
      <c r="L79" s="408">
        <f xml:space="preserve"> VALUE(韻母清單[[#This Row],[識別號]])</f>
        <v>92</v>
      </c>
      <c r="M79" s="401" t="s">
        <v>1109</v>
      </c>
      <c r="N79" s="401" t="s">
        <v>2173</v>
      </c>
      <c r="O79" s="401" t="s">
        <v>1353</v>
      </c>
      <c r="P79" s="401" t="s">
        <v>1359</v>
      </c>
      <c r="Q79" s="401" t="s">
        <v>1361</v>
      </c>
      <c r="R79" s="401" t="s">
        <v>1362</v>
      </c>
      <c r="S79" s="401" t="s">
        <v>2174</v>
      </c>
      <c r="T79" s="401" t="s">
        <v>1364</v>
      </c>
      <c r="U79" s="401" t="s">
        <v>1362</v>
      </c>
      <c r="V79" s="401" t="s">
        <v>1958</v>
      </c>
      <c r="W79" s="401" t="s">
        <v>3851</v>
      </c>
      <c r="X79" s="402" t="s">
        <v>3750</v>
      </c>
    </row>
    <row r="80" spans="1:24">
      <c r="A80" s="358"/>
      <c r="B80" s="373" t="str">
        <f xml:space="preserve"> _xlfn.XLOOKUP(F80, 韻母清單[台羅拼音],  韻母清單[十五音識別碼], "查不到")</f>
        <v>查不到</v>
      </c>
      <c r="C80" s="337" t="s">
        <v>3493</v>
      </c>
      <c r="D80" s="337" t="s">
        <v>2641</v>
      </c>
      <c r="E80" s="356"/>
      <c r="F80" s="356"/>
      <c r="G80" s="356"/>
      <c r="H80" s="357"/>
      <c r="K80" s="408" t="s">
        <v>3852</v>
      </c>
      <c r="L80" s="408">
        <f xml:space="preserve"> VALUE(韻母清單[[#This Row],[識別號]])</f>
        <v>93</v>
      </c>
      <c r="M80" s="401" t="s">
        <v>3496</v>
      </c>
      <c r="N80" s="401" t="s">
        <v>693</v>
      </c>
      <c r="O80" s="401" t="s">
        <v>1365</v>
      </c>
      <c r="P80" s="401" t="s">
        <v>694</v>
      </c>
      <c r="Q80" s="401" t="s">
        <v>1366</v>
      </c>
      <c r="R80" s="401" t="s">
        <v>1366</v>
      </c>
      <c r="S80" s="401" t="s">
        <v>1366</v>
      </c>
      <c r="T80" s="401" t="s">
        <v>1366</v>
      </c>
      <c r="U80" s="401" t="s">
        <v>3488</v>
      </c>
      <c r="V80" s="401" t="s">
        <v>1956</v>
      </c>
      <c r="W80" s="401" t="s">
        <v>3853</v>
      </c>
      <c r="X80" s="402" t="s">
        <v>3752</v>
      </c>
    </row>
    <row r="81" spans="1:24">
      <c r="A81" s="341" t="s">
        <v>3523</v>
      </c>
      <c r="B81" s="373" t="str">
        <f xml:space="preserve"> _xlfn.XLOOKUP(F81, 韻母清單[台羅拼音],  韻母清單[十五音識別碼], "查不到")</f>
        <v>艍舒</v>
      </c>
      <c r="C81" s="337" t="s">
        <v>732</v>
      </c>
      <c r="D81" s="337" t="s">
        <v>732</v>
      </c>
      <c r="E81" s="338"/>
      <c r="F81" s="338" t="s">
        <v>732</v>
      </c>
      <c r="G81" s="338" t="s">
        <v>732</v>
      </c>
      <c r="H81" s="342" t="s">
        <v>733</v>
      </c>
      <c r="K81" s="408" t="s">
        <v>3854</v>
      </c>
      <c r="L81" s="408">
        <f xml:space="preserve"> VALUE(韻母清單[[#This Row],[識別號]])</f>
        <v>94</v>
      </c>
      <c r="M81" s="401" t="s">
        <v>3855</v>
      </c>
      <c r="N81" s="401" t="s">
        <v>712</v>
      </c>
      <c r="O81" s="401" t="s">
        <v>1365</v>
      </c>
      <c r="P81" s="401" t="s">
        <v>713</v>
      </c>
      <c r="Q81" s="401" t="s">
        <v>1367</v>
      </c>
      <c r="R81" s="401" t="s">
        <v>1367</v>
      </c>
      <c r="S81" s="401" t="s">
        <v>1367</v>
      </c>
      <c r="T81" s="401" t="s">
        <v>1367</v>
      </c>
      <c r="U81" s="401" t="s">
        <v>3489</v>
      </c>
      <c r="V81" s="401" t="s">
        <v>1958</v>
      </c>
      <c r="W81" s="401" t="s">
        <v>3856</v>
      </c>
      <c r="X81" s="402" t="s">
        <v>3752</v>
      </c>
    </row>
    <row r="82" spans="1:24">
      <c r="A82" s="341" t="s">
        <v>3524</v>
      </c>
      <c r="B82" s="373" t="str">
        <f xml:space="preserve"> _xlfn.XLOOKUP(F82, 韻母清單[台羅拼音],  韻母清單[十五音識別碼], "查不到")</f>
        <v>君舒</v>
      </c>
      <c r="C82" s="337" t="s">
        <v>732</v>
      </c>
      <c r="D82" s="337" t="s">
        <v>760</v>
      </c>
      <c r="E82" s="338"/>
      <c r="F82" s="338" t="s">
        <v>760</v>
      </c>
      <c r="G82" s="338" t="s">
        <v>760</v>
      </c>
      <c r="H82" s="342" t="s">
        <v>761</v>
      </c>
      <c r="K82" s="408" t="s">
        <v>3857</v>
      </c>
      <c r="L82" s="408">
        <f xml:space="preserve"> VALUE(韻母清單[[#This Row],[識別號]])</f>
        <v>95</v>
      </c>
      <c r="M82" s="401" t="s">
        <v>3858</v>
      </c>
      <c r="N82" s="401" t="s">
        <v>1698</v>
      </c>
      <c r="O82" s="401" t="s">
        <v>1368</v>
      </c>
      <c r="P82" s="401" t="s">
        <v>1369</v>
      </c>
      <c r="Q82" s="401" t="s">
        <v>1371</v>
      </c>
      <c r="R82" s="401" t="s">
        <v>1371</v>
      </c>
      <c r="S82" s="401" t="s">
        <v>1699</v>
      </c>
      <c r="T82" s="401" t="s">
        <v>1373</v>
      </c>
      <c r="U82" s="401" t="s">
        <v>1371</v>
      </c>
      <c r="V82" s="401" t="s">
        <v>1956</v>
      </c>
      <c r="W82" s="401" t="s">
        <v>3859</v>
      </c>
      <c r="X82" s="402" t="s">
        <v>3755</v>
      </c>
    </row>
    <row r="83" spans="1:24">
      <c r="A83" s="341" t="s">
        <v>3525</v>
      </c>
      <c r="B83" s="373" t="str">
        <f xml:space="preserve"> _xlfn.XLOOKUP(F83, 韻母清單[台羅拼音],  韻母清單[十五音識別碼], "查不到")</f>
        <v>君促</v>
      </c>
      <c r="C83" s="337" t="s">
        <v>732</v>
      </c>
      <c r="D83" s="337" t="s">
        <v>3520</v>
      </c>
      <c r="E83" s="338"/>
      <c r="F83" s="338" t="s">
        <v>1110</v>
      </c>
      <c r="G83" s="338" t="s">
        <v>1110</v>
      </c>
      <c r="H83" s="342" t="s">
        <v>777</v>
      </c>
      <c r="K83" s="408" t="s">
        <v>3860</v>
      </c>
      <c r="L83" s="408">
        <f xml:space="preserve"> VALUE(韻母清單[[#This Row],[識別號]])</f>
        <v>97</v>
      </c>
      <c r="M83" s="401" t="s">
        <v>3861</v>
      </c>
      <c r="N83" s="401" t="s">
        <v>2230</v>
      </c>
      <c r="O83" s="401" t="s">
        <v>1374</v>
      </c>
      <c r="P83" s="401" t="s">
        <v>667</v>
      </c>
      <c r="Q83" s="401" t="s">
        <v>1376</v>
      </c>
      <c r="R83" s="401" t="s">
        <v>1376</v>
      </c>
      <c r="S83" s="401" t="s">
        <v>3862</v>
      </c>
      <c r="T83" s="401" t="s">
        <v>1325</v>
      </c>
      <c r="U83" s="401" t="s">
        <v>3863</v>
      </c>
      <c r="V83" s="401" t="s">
        <v>1956</v>
      </c>
      <c r="W83" s="401" t="s">
        <v>3864</v>
      </c>
      <c r="X83" s="402" t="s">
        <v>3758</v>
      </c>
    </row>
    <row r="84" spans="1:24">
      <c r="A84" s="341" t="s">
        <v>3526</v>
      </c>
      <c r="B84" s="373" t="str">
        <f xml:space="preserve"> _xlfn.XLOOKUP(F84, 韻母清單[台羅拼音],  韻母清單[十五音識別碼], "查不到")</f>
        <v>艍促</v>
      </c>
      <c r="C84" s="337" t="s">
        <v>732</v>
      </c>
      <c r="D84" s="337" t="s">
        <v>748</v>
      </c>
      <c r="E84" s="338"/>
      <c r="F84" s="338" t="s">
        <v>1246</v>
      </c>
      <c r="G84" s="338" t="s">
        <v>1246</v>
      </c>
      <c r="H84" s="342" t="s">
        <v>749</v>
      </c>
      <c r="K84" s="408" t="s">
        <v>3865</v>
      </c>
      <c r="L84" s="408">
        <f xml:space="preserve"> VALUE(韻母清單[[#This Row],[識別號]])</f>
        <v>98</v>
      </c>
      <c r="M84" s="401" t="s">
        <v>1109</v>
      </c>
      <c r="N84" s="401" t="s">
        <v>2231</v>
      </c>
      <c r="O84" s="401" t="s">
        <v>1374</v>
      </c>
      <c r="P84" s="401" t="s">
        <v>691</v>
      </c>
      <c r="Q84" s="401" t="s">
        <v>3866</v>
      </c>
      <c r="R84" s="401" t="s">
        <v>1377</v>
      </c>
      <c r="S84" s="401" t="s">
        <v>3867</v>
      </c>
      <c r="T84" s="401" t="s">
        <v>2161</v>
      </c>
      <c r="U84" s="401" t="s">
        <v>1349</v>
      </c>
      <c r="V84" s="401" t="s">
        <v>1958</v>
      </c>
      <c r="W84" s="401" t="s">
        <v>3868</v>
      </c>
      <c r="X84" s="402" t="s">
        <v>3758</v>
      </c>
    </row>
    <row r="85" spans="1:24">
      <c r="A85" s="341" t="s">
        <v>3527</v>
      </c>
      <c r="B85" s="373" t="str">
        <f xml:space="preserve"> _xlfn.XLOOKUP(F85, 韻母清單[台羅拼音],  韻母清單[十五音識別碼], "查不到")</f>
        <v>瓜舒</v>
      </c>
      <c r="C85" s="337" t="s">
        <v>790</v>
      </c>
      <c r="D85" s="337" t="s">
        <v>790</v>
      </c>
      <c r="E85" s="338"/>
      <c r="F85" s="338" t="s">
        <v>790</v>
      </c>
      <c r="G85" s="338" t="s">
        <v>790</v>
      </c>
      <c r="H85" s="342" t="s">
        <v>791</v>
      </c>
      <c r="K85" s="409" t="s">
        <v>3869</v>
      </c>
      <c r="L85" s="409">
        <f xml:space="preserve"> VALUE(韻母清單[[#This Row],[識別號]])</f>
        <v>99</v>
      </c>
      <c r="M85" s="406" t="s">
        <v>3870</v>
      </c>
      <c r="N85" s="406" t="s">
        <v>3871</v>
      </c>
      <c r="O85" s="406" t="s">
        <v>1378</v>
      </c>
      <c r="P85" s="406" t="s">
        <v>622</v>
      </c>
      <c r="Q85" s="406" t="s">
        <v>1381</v>
      </c>
      <c r="R85" s="406" t="s">
        <v>1381</v>
      </c>
      <c r="S85" s="406" t="s">
        <v>1751</v>
      </c>
      <c r="T85" s="406" t="s">
        <v>1383</v>
      </c>
      <c r="U85" s="406" t="s">
        <v>1381</v>
      </c>
      <c r="V85" s="406" t="s">
        <v>1956</v>
      </c>
      <c r="W85" s="406" t="s">
        <v>3872</v>
      </c>
      <c r="X85" s="407" t="s">
        <v>3761</v>
      </c>
    </row>
    <row r="86" spans="1:24">
      <c r="A86" s="343" t="s">
        <v>3528</v>
      </c>
      <c r="B86" s="373" t="str">
        <f xml:space="preserve"> _xlfn.XLOOKUP(F86, 韻母清單[台羅拼音],  韻母清單[十五音識別碼], "查不到")</f>
        <v>官舒</v>
      </c>
      <c r="C86" s="337" t="s">
        <v>790</v>
      </c>
      <c r="D86" s="337" t="s">
        <v>2663</v>
      </c>
      <c r="E86" s="338"/>
      <c r="F86" s="338" t="s">
        <v>1304</v>
      </c>
      <c r="G86" s="338" t="s">
        <v>1304</v>
      </c>
      <c r="H86" s="342" t="s">
        <v>809</v>
      </c>
    </row>
    <row r="87" spans="1:24">
      <c r="A87" s="341" t="s">
        <v>3529</v>
      </c>
      <c r="B87" s="373" t="str">
        <f xml:space="preserve"> _xlfn.XLOOKUP(F87, 韻母清單[台羅拼音],  韻母清單[十五音識別碼], "查不到")</f>
        <v>觀舒</v>
      </c>
      <c r="C87" s="337" t="s">
        <v>790</v>
      </c>
      <c r="D87" s="337" t="s">
        <v>835</v>
      </c>
      <c r="E87" s="338"/>
      <c r="F87" s="338" t="s">
        <v>835</v>
      </c>
      <c r="G87" s="338" t="s">
        <v>835</v>
      </c>
      <c r="H87" s="342" t="s">
        <v>836</v>
      </c>
    </row>
    <row r="88" spans="1:24">
      <c r="A88" s="341" t="s">
        <v>3530</v>
      </c>
      <c r="B88" s="373" t="str">
        <f xml:space="preserve"> _xlfn.XLOOKUP(F88, 韻母清單[台羅拼音],  韻母清單[十五音識別碼], "查不到")</f>
        <v>光舒</v>
      </c>
      <c r="C88" s="337" t="s">
        <v>790</v>
      </c>
      <c r="D88" s="337" t="s">
        <v>1329</v>
      </c>
      <c r="E88" s="338"/>
      <c r="F88" s="338" t="s">
        <v>1329</v>
      </c>
      <c r="G88" s="338" t="s">
        <v>1329</v>
      </c>
      <c r="H88" s="342" t="s">
        <v>851</v>
      </c>
    </row>
    <row r="89" spans="1:24">
      <c r="A89" s="341" t="s">
        <v>3531</v>
      </c>
      <c r="B89" s="373" t="str">
        <f xml:space="preserve"> _xlfn.XLOOKUP(F89, 韻母清單[台羅拼音],  韻母清單[十五音識別碼], "查不到")</f>
        <v>觀促</v>
      </c>
      <c r="C89" s="337" t="s">
        <v>790</v>
      </c>
      <c r="D89" s="337" t="s">
        <v>2664</v>
      </c>
      <c r="E89" s="338"/>
      <c r="F89" s="338" t="s">
        <v>1155</v>
      </c>
      <c r="G89" s="338" t="s">
        <v>1155</v>
      </c>
      <c r="H89" s="342" t="s">
        <v>855</v>
      </c>
    </row>
    <row r="90" spans="1:24">
      <c r="A90" s="341" t="s">
        <v>3532</v>
      </c>
      <c r="B90" s="373" t="str">
        <f xml:space="preserve"> _xlfn.XLOOKUP(F90, 韻母清單[台羅拼音],  韻母清單[十五音識別碼], "查不到")</f>
        <v>瓜促</v>
      </c>
      <c r="C90" s="337" t="s">
        <v>790</v>
      </c>
      <c r="D90" s="337" t="s">
        <v>820</v>
      </c>
      <c r="E90" s="338"/>
      <c r="F90" s="338" t="s">
        <v>1203</v>
      </c>
      <c r="G90" s="338" t="s">
        <v>1203</v>
      </c>
      <c r="H90" s="342" t="s">
        <v>821</v>
      </c>
    </row>
    <row r="91" spans="1:24">
      <c r="A91" s="341" t="s">
        <v>3533</v>
      </c>
      <c r="B91" s="373" t="str">
        <f xml:space="preserve"> _xlfn.XLOOKUP(F91, 韻母清單[台羅拼音],  韻母清單[十五音識別碼], "查不到")</f>
        <v>乖舒</v>
      </c>
      <c r="C91" s="337" t="s">
        <v>868</v>
      </c>
      <c r="D91" s="337" t="s">
        <v>868</v>
      </c>
      <c r="E91" s="338"/>
      <c r="F91" s="338" t="s">
        <v>868</v>
      </c>
      <c r="G91" s="338" t="s">
        <v>868</v>
      </c>
      <c r="H91" s="342" t="s">
        <v>869</v>
      </c>
    </row>
    <row r="92" spans="1:24">
      <c r="A92" s="341" t="s">
        <v>3535</v>
      </c>
      <c r="B92" s="373" t="str">
        <f xml:space="preserve"> _xlfn.XLOOKUP(F92, 韻母清單[台羅拼音],  韻母清單[十五音識別碼], "查不到")</f>
        <v>閂舒</v>
      </c>
      <c r="C92" s="337" t="s">
        <v>868</v>
      </c>
      <c r="D92" s="337" t="s">
        <v>2676</v>
      </c>
      <c r="E92" s="338"/>
      <c r="F92" s="338" t="s">
        <v>1338</v>
      </c>
      <c r="G92" s="338" t="s">
        <v>1338</v>
      </c>
      <c r="H92" s="342" t="s">
        <v>875</v>
      </c>
    </row>
    <row r="93" spans="1:24">
      <c r="A93" s="344" t="s">
        <v>3537</v>
      </c>
      <c r="B93" s="373" t="str">
        <f xml:space="preserve"> _xlfn.XLOOKUP(F93, 韻母清單[台羅拼音],  韻母清單[十五音識別碼], "查不到")</f>
        <v>檜舒</v>
      </c>
      <c r="C93" s="337" t="s">
        <v>3620</v>
      </c>
      <c r="D93" s="337" t="s">
        <v>3620</v>
      </c>
      <c r="E93" s="338"/>
      <c r="F93" s="338" t="s">
        <v>1831</v>
      </c>
      <c r="G93" s="338" t="s">
        <v>3534</v>
      </c>
      <c r="H93" s="342" t="s">
        <v>3536</v>
      </c>
    </row>
    <row r="94" spans="1:24">
      <c r="A94" s="358"/>
      <c r="B94" s="373" t="str">
        <f xml:space="preserve"> _xlfn.XLOOKUP(F94, 韻母清單[台羅拼音],  韻母清單[十五音識別碼], "查不到")</f>
        <v>查不到</v>
      </c>
      <c r="C94" s="337" t="s">
        <v>3620</v>
      </c>
      <c r="D94" s="337" t="s">
        <v>2684</v>
      </c>
      <c r="E94" s="356"/>
      <c r="F94" s="356"/>
      <c r="G94" s="356"/>
      <c r="H94" s="357"/>
    </row>
    <row r="95" spans="1:24">
      <c r="A95" s="341" t="s">
        <v>3537</v>
      </c>
      <c r="B95" s="373" t="str">
        <f xml:space="preserve"> _xlfn.XLOOKUP(F95, 韻母清單[台羅拼音],  韻母清單[十五音識別碼], "查不到")</f>
        <v>檜舒</v>
      </c>
      <c r="C95" s="337" t="s">
        <v>889</v>
      </c>
      <c r="D95" s="337" t="s">
        <v>889</v>
      </c>
      <c r="E95" s="338"/>
      <c r="F95" s="338" t="s">
        <v>889</v>
      </c>
      <c r="G95" s="338" t="s">
        <v>889</v>
      </c>
      <c r="H95" s="342" t="s">
        <v>890</v>
      </c>
    </row>
    <row r="96" spans="1:24">
      <c r="A96" s="341" t="s">
        <v>3538</v>
      </c>
      <c r="B96" s="373" t="str">
        <f xml:space="preserve"> _xlfn.XLOOKUP(F96, 韻母清單[台羅拼音],  韻母清單[十五音識別碼], "查不到")</f>
        <v>檜促</v>
      </c>
      <c r="C96" s="337" t="s">
        <v>889</v>
      </c>
      <c r="D96" s="337" t="s">
        <v>906</v>
      </c>
      <c r="E96" s="338"/>
      <c r="F96" s="338" t="s">
        <v>1230</v>
      </c>
      <c r="G96" s="338" t="s">
        <v>1230</v>
      </c>
      <c r="H96" s="342" t="s">
        <v>907</v>
      </c>
    </row>
    <row r="97" spans="1:8">
      <c r="A97" s="341" t="s">
        <v>3539</v>
      </c>
      <c r="B97" s="373" t="str">
        <f xml:space="preserve"> _xlfn.XLOOKUP(F97, 韻母清單[台羅拼音],  韻母清單[十五音識別碼], "查不到")</f>
        <v>規舒</v>
      </c>
      <c r="C97" s="337" t="s">
        <v>921</v>
      </c>
      <c r="D97" s="337" t="s">
        <v>921</v>
      </c>
      <c r="E97" s="338"/>
      <c r="F97" s="338" t="s">
        <v>921</v>
      </c>
      <c r="G97" s="338" t="s">
        <v>921</v>
      </c>
      <c r="H97" s="342" t="s">
        <v>922</v>
      </c>
    </row>
    <row r="98" spans="1:8">
      <c r="A98" s="348" t="s">
        <v>3440</v>
      </c>
      <c r="B98" s="373" t="str">
        <f xml:space="preserve"> _xlfn.XLOOKUP(F98, 韻母清單[台羅拼音],  韻母清單[十五音識別碼], "查不到")</f>
        <v>查不到</v>
      </c>
      <c r="C98" s="337" t="s">
        <v>2691</v>
      </c>
      <c r="D98" s="337" t="s">
        <v>2691</v>
      </c>
      <c r="E98" s="338"/>
      <c r="F98" s="338" t="s">
        <v>3540</v>
      </c>
      <c r="G98" s="338" t="s">
        <v>3540</v>
      </c>
      <c r="H98" s="342" t="s">
        <v>3542</v>
      </c>
    </row>
    <row r="99" spans="1:8">
      <c r="A99" s="347" t="s">
        <v>3546</v>
      </c>
      <c r="B99" s="373" t="str">
        <f xml:space="preserve"> _xlfn.XLOOKUP(F99, 韻母清單[台羅拼音],  韻母清單[十五音識別碼], "查不到")</f>
        <v>查不到</v>
      </c>
      <c r="C99" s="337" t="s">
        <v>2695</v>
      </c>
      <c r="D99" s="337" t="s">
        <v>2695</v>
      </c>
      <c r="E99" s="338"/>
      <c r="F99" s="338" t="s">
        <v>3541</v>
      </c>
      <c r="G99" s="338" t="s">
        <v>3541</v>
      </c>
      <c r="H99" s="342" t="s">
        <v>3545</v>
      </c>
    </row>
    <row r="100" spans="1:8">
      <c r="A100" s="348" t="s">
        <v>3548</v>
      </c>
      <c r="B100" s="373" t="str">
        <f xml:space="preserve"> _xlfn.XLOOKUP(F100, 韻母清單[台羅拼音],  韻母清單[十五音識別碼], "查不到")</f>
        <v>查不到</v>
      </c>
      <c r="C100" s="337" t="s">
        <v>2695</v>
      </c>
      <c r="D100" s="337" t="s">
        <v>3543</v>
      </c>
      <c r="E100" s="338"/>
      <c r="F100" s="338" t="s">
        <v>3544</v>
      </c>
      <c r="G100" s="338" t="s">
        <v>3544</v>
      </c>
      <c r="H100" s="342" t="s">
        <v>3547</v>
      </c>
    </row>
    <row r="101" spans="1:8">
      <c r="A101" s="341" t="s">
        <v>1326</v>
      </c>
      <c r="B101" s="373" t="str">
        <f xml:space="preserve"> _xlfn.XLOOKUP(F101, 韻母清單[台羅拼音],  韻母清單[十五音識別碼], "查不到")</f>
        <v>姆舒</v>
      </c>
      <c r="C101" s="337" t="s">
        <v>949</v>
      </c>
      <c r="D101" s="337" t="s">
        <v>5</v>
      </c>
      <c r="E101" s="338"/>
      <c r="F101" s="338" t="s">
        <v>5</v>
      </c>
      <c r="G101" s="338" t="s">
        <v>5</v>
      </c>
      <c r="H101" s="342" t="s">
        <v>950</v>
      </c>
    </row>
    <row r="102" spans="1:8">
      <c r="A102" s="341" t="s">
        <v>3549</v>
      </c>
      <c r="B102" s="373" t="str">
        <f xml:space="preserve"> _xlfn.XLOOKUP(F102, 韻母清單[台羅拼音],  韻母清單[十五音識別碼], "查不到")</f>
        <v>查不到</v>
      </c>
      <c r="C102" s="337" t="s">
        <v>949</v>
      </c>
      <c r="D102" s="337" t="s">
        <v>2703</v>
      </c>
      <c r="E102" s="338"/>
      <c r="F102" s="338" t="s">
        <v>1837</v>
      </c>
      <c r="G102" s="338" t="s">
        <v>1837</v>
      </c>
      <c r="H102" s="342" t="s">
        <v>953</v>
      </c>
    </row>
    <row r="103" spans="1:8">
      <c r="A103" s="341" t="s">
        <v>3561</v>
      </c>
      <c r="B103" s="373" t="str">
        <f xml:space="preserve"> _xlfn.XLOOKUP(F103, 韻母清單[台羅拼音],  韻母清單[十五音識別碼], "查不到")</f>
        <v>鋼舒</v>
      </c>
      <c r="C103" s="337" t="s">
        <v>3621</v>
      </c>
      <c r="D103" s="337" t="s">
        <v>3622</v>
      </c>
      <c r="E103" s="338"/>
      <c r="F103" s="338" t="s">
        <v>1309</v>
      </c>
      <c r="G103" s="338" t="s">
        <v>1309</v>
      </c>
      <c r="H103" s="342" t="s">
        <v>956</v>
      </c>
    </row>
    <row r="104" spans="1:8">
      <c r="A104" s="344" t="s">
        <v>3557</v>
      </c>
      <c r="B104" s="373" t="str">
        <f xml:space="preserve"> _xlfn.XLOOKUP(F104, 韻母清單[台羅拼音],  韻母清單[十五音識別碼], "查不到")</f>
        <v>查不到</v>
      </c>
      <c r="C104" s="337" t="s">
        <v>3621</v>
      </c>
      <c r="D104" s="337" t="s">
        <v>3623</v>
      </c>
      <c r="E104" s="338"/>
      <c r="F104" s="338" t="s">
        <v>1839</v>
      </c>
      <c r="G104" s="338" t="s">
        <v>1839</v>
      </c>
      <c r="H104" s="342" t="s">
        <v>969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9B9C7-708F-4C26-9ED1-486BC4687F67}">
  <dimension ref="A1:AW31"/>
  <sheetViews>
    <sheetView showGridLines="0" topLeftCell="D1" zoomScale="70" zoomScaleNormal="70" workbookViewId="0">
      <pane ySplit="3" topLeftCell="A4" activePane="bottomLeft" state="frozen"/>
      <selection activeCell="C12" sqref="C12"/>
      <selection pane="bottomLeft" activeCell="A31" sqref="A3:L31"/>
    </sheetView>
  </sheetViews>
  <sheetFormatPr defaultColWidth="12.125" defaultRowHeight="34.5" customHeight="1" outlineLevelCol="1"/>
  <cols>
    <col min="1" max="1" width="10.625" style="8" customWidth="1"/>
    <col min="2" max="2" width="18.5" style="8" customWidth="1"/>
    <col min="3" max="3" width="18.5" style="8" customWidth="1" collapsed="1"/>
    <col min="4" max="5" width="18.5" style="8" customWidth="1"/>
    <col min="6" max="7" width="18.5" customWidth="1"/>
    <col min="8" max="8" width="18.5" style="36" customWidth="1"/>
    <col min="9" max="10" width="18.5" customWidth="1"/>
    <col min="11" max="11" width="17.5" hidden="1" customWidth="1" outlineLevel="1"/>
    <col min="12" max="12" width="38.875" customWidth="1" collapsed="1"/>
    <col min="13" max="14" width="17" customWidth="1"/>
    <col min="15" max="16" width="18.875" customWidth="1"/>
    <col min="18" max="18" width="18.375" hidden="1" customWidth="1" outlineLevel="1"/>
    <col min="19" max="19" width="35.125" customWidth="1" collapsed="1"/>
    <col min="20" max="20" width="18.375" style="8" customWidth="1"/>
    <col min="21" max="21" width="20.625" customWidth="1"/>
    <col min="22" max="22" width="20.625" style="36" customWidth="1"/>
    <col min="23" max="24" width="20.625" customWidth="1"/>
    <col min="25" max="25" width="20.625" style="36" customWidth="1"/>
    <col min="26" max="28" width="20.625" customWidth="1"/>
    <col min="29" max="29" width="22.5" style="36" bestFit="1" customWidth="1"/>
    <col min="30" max="30" width="14.75" style="8" customWidth="1"/>
    <col min="31" max="31" width="14.75" style="36" customWidth="1"/>
    <col min="32" max="33" width="16" style="8" hidden="1" customWidth="1" outlineLevel="1"/>
    <col min="34" max="34" width="15.75" style="8" customWidth="1" collapsed="1"/>
    <col min="35" max="35" width="15.75" style="37" customWidth="1"/>
    <col min="36" max="37" width="15.75" style="38" customWidth="1"/>
    <col min="38" max="41" width="15.75" style="8" customWidth="1"/>
    <col min="42" max="48" width="16" style="8" customWidth="1"/>
    <col min="49" max="49" width="18.25" style="8" customWidth="1"/>
    <col min="50" max="16384" width="12.125" style="9"/>
  </cols>
  <sheetData>
    <row r="1" spans="1:49" ht="34.5" customHeight="1">
      <c r="A1" s="6">
        <f xml:space="preserve"> COLUMN()</f>
        <v>1</v>
      </c>
      <c r="B1" s="6"/>
      <c r="C1" s="6">
        <f t="shared" ref="C1:L1" si="0" xml:space="preserve"> COLUMN()</f>
        <v>3</v>
      </c>
      <c r="D1" s="6">
        <f t="shared" si="0"/>
        <v>4</v>
      </c>
      <c r="E1" s="6">
        <f t="shared" si="0"/>
        <v>5</v>
      </c>
      <c r="F1" s="6">
        <f t="shared" si="0"/>
        <v>6</v>
      </c>
      <c r="G1" s="6">
        <f t="shared" si="0"/>
        <v>7</v>
      </c>
      <c r="H1" s="6">
        <f t="shared" si="0"/>
        <v>8</v>
      </c>
      <c r="I1" s="6">
        <f t="shared" si="0"/>
        <v>9</v>
      </c>
      <c r="J1" s="6"/>
      <c r="K1" s="6">
        <f t="shared" si="0"/>
        <v>11</v>
      </c>
      <c r="L1" s="7">
        <f t="shared" si="0"/>
        <v>12</v>
      </c>
      <c r="M1" s="8"/>
      <c r="N1" s="8"/>
      <c r="O1" s="8"/>
      <c r="P1" s="8"/>
      <c r="Q1" s="8"/>
      <c r="R1" s="8"/>
      <c r="S1" s="8"/>
      <c r="U1" s="8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</row>
    <row r="2" spans="1:49" ht="34.5" customHeight="1">
      <c r="F2" s="8"/>
      <c r="G2" s="8"/>
      <c r="H2" s="8"/>
      <c r="I2" s="8"/>
      <c r="J2" s="8"/>
      <c r="K2" s="8"/>
      <c r="L2" s="10"/>
      <c r="M2" s="8"/>
      <c r="N2" s="8"/>
      <c r="O2" s="8"/>
      <c r="P2" s="8"/>
      <c r="Q2" s="8"/>
      <c r="R2" s="8"/>
      <c r="S2" s="8"/>
      <c r="U2" s="8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</row>
    <row r="3" spans="1:49" s="18" customFormat="1" ht="34.5" customHeight="1">
      <c r="A3" s="11" t="s">
        <v>976</v>
      </c>
      <c r="B3" s="12" t="s">
        <v>978</v>
      </c>
      <c r="C3" s="14" t="s">
        <v>980</v>
      </c>
      <c r="D3" s="12" t="s">
        <v>977</v>
      </c>
      <c r="E3" s="13" t="s">
        <v>979</v>
      </c>
      <c r="F3" s="13" t="s">
        <v>981</v>
      </c>
      <c r="G3" s="15" t="s">
        <v>2187</v>
      </c>
      <c r="H3" s="13" t="s">
        <v>982</v>
      </c>
      <c r="I3" s="15" t="s">
        <v>983</v>
      </c>
      <c r="J3" s="16" t="s">
        <v>3625</v>
      </c>
      <c r="K3" s="12" t="s">
        <v>984</v>
      </c>
      <c r="L3" s="17" t="s">
        <v>985</v>
      </c>
      <c r="M3" s="8"/>
      <c r="N3" s="8"/>
      <c r="O3" s="8"/>
      <c r="P3" s="8"/>
      <c r="Q3" s="8"/>
      <c r="R3" s="8"/>
      <c r="S3" s="8"/>
      <c r="T3" s="8"/>
      <c r="U3" s="8"/>
    </row>
    <row r="4" spans="1:49" ht="57.75">
      <c r="A4" s="19">
        <v>1</v>
      </c>
      <c r="B4" s="20" t="s">
        <v>987</v>
      </c>
      <c r="C4" s="30" t="s">
        <v>9</v>
      </c>
      <c r="D4" s="359" t="s">
        <v>986</v>
      </c>
      <c r="E4" s="21" t="s">
        <v>988</v>
      </c>
      <c r="F4" s="22" t="s">
        <v>989</v>
      </c>
      <c r="G4" s="22" t="s">
        <v>989</v>
      </c>
      <c r="H4" s="22" t="s">
        <v>989</v>
      </c>
      <c r="I4" s="22" t="s">
        <v>989</v>
      </c>
      <c r="J4" s="22" t="s">
        <v>990</v>
      </c>
      <c r="K4" s="22">
        <f xml:space="preserve"> LEN(聲母對照資料表[[#This Row],[台語音標]])</f>
        <v>1</v>
      </c>
      <c r="L4" s="23"/>
      <c r="M4" s="24"/>
      <c r="N4" s="8"/>
      <c r="O4" s="8"/>
      <c r="P4" s="8"/>
      <c r="Q4" s="8"/>
      <c r="R4" s="8"/>
      <c r="S4" s="8"/>
      <c r="U4" s="8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</row>
    <row r="5" spans="1:49" ht="57.75">
      <c r="A5" s="19">
        <v>2</v>
      </c>
      <c r="B5" s="20" t="s">
        <v>992</v>
      </c>
      <c r="C5" s="360" t="s">
        <v>2</v>
      </c>
      <c r="D5" s="359" t="s">
        <v>991</v>
      </c>
      <c r="E5" s="21" t="s">
        <v>993</v>
      </c>
      <c r="F5" s="22" t="s">
        <v>2</v>
      </c>
      <c r="G5" s="22" t="s">
        <v>2</v>
      </c>
      <c r="H5" s="22" t="s">
        <v>2</v>
      </c>
      <c r="I5" s="22" t="s">
        <v>4</v>
      </c>
      <c r="J5" s="22" t="s">
        <v>994</v>
      </c>
      <c r="K5" s="22">
        <f xml:space="preserve"> LEN(聲母對照資料表[[#This Row],[台語音標]])</f>
        <v>1</v>
      </c>
      <c r="L5" s="23"/>
      <c r="M5" s="25"/>
      <c r="N5" s="8"/>
      <c r="O5" s="8"/>
      <c r="P5" s="8"/>
      <c r="Q5" s="8"/>
      <c r="R5" s="8"/>
      <c r="S5" s="8"/>
      <c r="U5" s="8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</row>
    <row r="6" spans="1:49" ht="57.75">
      <c r="A6" s="19">
        <v>3</v>
      </c>
      <c r="B6" s="26" t="s">
        <v>996</v>
      </c>
      <c r="C6" s="360" t="s">
        <v>14</v>
      </c>
      <c r="D6" s="359" t="s">
        <v>995</v>
      </c>
      <c r="E6" s="21" t="s">
        <v>997</v>
      </c>
      <c r="F6" s="22" t="s">
        <v>14</v>
      </c>
      <c r="G6" s="22" t="s">
        <v>14</v>
      </c>
      <c r="H6" s="22" t="s">
        <v>14</v>
      </c>
      <c r="I6" s="22" t="s">
        <v>16</v>
      </c>
      <c r="J6" s="22" t="s">
        <v>998</v>
      </c>
      <c r="K6" s="22">
        <f xml:space="preserve"> LEN(聲母對照資料表[[#This Row],[台語音標]])</f>
        <v>1</v>
      </c>
      <c r="L6" s="23"/>
      <c r="M6" s="24"/>
      <c r="N6" s="8"/>
      <c r="O6" s="8"/>
      <c r="P6" s="8"/>
      <c r="Q6" s="8"/>
      <c r="R6" s="8"/>
      <c r="S6" s="8"/>
      <c r="U6" s="8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</row>
    <row r="7" spans="1:49" ht="57.75">
      <c r="A7" s="19">
        <v>4</v>
      </c>
      <c r="B7" s="20" t="s">
        <v>1000</v>
      </c>
      <c r="C7" s="360" t="s">
        <v>15</v>
      </c>
      <c r="D7" s="359" t="s">
        <v>999</v>
      </c>
      <c r="E7" s="21" t="s">
        <v>1001</v>
      </c>
      <c r="F7" s="22" t="s">
        <v>1002</v>
      </c>
      <c r="G7" s="22" t="s">
        <v>1002</v>
      </c>
      <c r="H7" s="22" t="s">
        <v>1002</v>
      </c>
      <c r="I7" s="22" t="s">
        <v>14</v>
      </c>
      <c r="J7" s="22" t="s">
        <v>1003</v>
      </c>
      <c r="K7" s="22">
        <f xml:space="preserve"> LEN(聲母對照資料表[[#This Row],[台語音標]])</f>
        <v>2</v>
      </c>
      <c r="L7" s="23"/>
      <c r="M7" s="24"/>
      <c r="N7" s="8"/>
      <c r="O7" s="8"/>
      <c r="P7" s="8"/>
      <c r="Q7" s="8"/>
      <c r="R7" s="8"/>
      <c r="S7" s="8"/>
      <c r="U7" s="8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</row>
    <row r="8" spans="1:49" ht="57.75">
      <c r="A8" s="19">
        <v>5</v>
      </c>
      <c r="B8" s="20" t="s">
        <v>1005</v>
      </c>
      <c r="C8" s="30" t="s">
        <v>6</v>
      </c>
      <c r="D8" s="359" t="s">
        <v>1004</v>
      </c>
      <c r="E8" s="21" t="s">
        <v>1006</v>
      </c>
      <c r="F8" s="22" t="s">
        <v>6</v>
      </c>
      <c r="G8" s="22" t="s">
        <v>6</v>
      </c>
      <c r="H8" s="22" t="s">
        <v>6</v>
      </c>
      <c r="I8" s="22" t="s">
        <v>1007</v>
      </c>
      <c r="J8" s="22" t="s">
        <v>1008</v>
      </c>
      <c r="K8" s="22">
        <f xml:space="preserve"> LEN(聲母對照資料表[[#This Row],[台語音標]])</f>
        <v>1</v>
      </c>
      <c r="L8" s="23"/>
      <c r="M8" s="24"/>
      <c r="N8" s="8"/>
      <c r="O8" s="8"/>
      <c r="P8" s="8"/>
      <c r="Q8" s="8"/>
      <c r="R8" s="8"/>
      <c r="S8" s="8"/>
      <c r="U8" s="8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</row>
    <row r="9" spans="1:49" ht="57.75">
      <c r="A9" s="19">
        <v>6</v>
      </c>
      <c r="B9" s="20" t="s">
        <v>1010</v>
      </c>
      <c r="C9" s="30" t="s">
        <v>3</v>
      </c>
      <c r="D9" s="359" t="s">
        <v>1009</v>
      </c>
      <c r="E9" s="21" t="s">
        <v>1011</v>
      </c>
      <c r="F9" s="22" t="s">
        <v>1012</v>
      </c>
      <c r="G9" s="22" t="s">
        <v>1012</v>
      </c>
      <c r="H9" s="22" t="s">
        <v>1012</v>
      </c>
      <c r="I9" s="22" t="s">
        <v>2</v>
      </c>
      <c r="J9" s="22" t="s">
        <v>1013</v>
      </c>
      <c r="K9" s="22">
        <f xml:space="preserve"> LEN(聲母對照資料表[[#This Row],[台語音標]])</f>
        <v>2</v>
      </c>
      <c r="L9" s="23"/>
      <c r="M9" s="24"/>
      <c r="N9" s="8"/>
      <c r="O9" s="8"/>
      <c r="P9" s="8"/>
      <c r="Q9" s="8"/>
      <c r="R9" s="8"/>
      <c r="S9" s="8"/>
      <c r="U9" s="8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</row>
    <row r="10" spans="1:49" ht="57.75">
      <c r="A10" s="19">
        <v>7</v>
      </c>
      <c r="B10" s="20" t="s">
        <v>1015</v>
      </c>
      <c r="C10" s="30" t="s">
        <v>7</v>
      </c>
      <c r="D10" s="359" t="s">
        <v>1014</v>
      </c>
      <c r="E10" s="21" t="s">
        <v>1016</v>
      </c>
      <c r="F10" s="22" t="s">
        <v>1017</v>
      </c>
      <c r="G10" s="22" t="s">
        <v>1017</v>
      </c>
      <c r="H10" s="22" t="s">
        <v>1017</v>
      </c>
      <c r="I10" s="22" t="s">
        <v>6</v>
      </c>
      <c r="J10" s="22" t="s">
        <v>1018</v>
      </c>
      <c r="K10" s="22">
        <f xml:space="preserve"> LEN(聲母對照資料表[[#This Row],[台語音標]])</f>
        <v>2</v>
      </c>
      <c r="L10" s="23"/>
      <c r="M10" s="24"/>
      <c r="O10" s="36"/>
      <c r="R10" s="36"/>
      <c r="T10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</row>
    <row r="11" spans="1:49" ht="57.75">
      <c r="A11" s="19">
        <v>8</v>
      </c>
      <c r="B11" s="20" t="s">
        <v>2200</v>
      </c>
      <c r="C11" s="30" t="s">
        <v>1023</v>
      </c>
      <c r="D11" s="359" t="s">
        <v>1020</v>
      </c>
      <c r="E11" s="21" t="s">
        <v>1022</v>
      </c>
      <c r="F11" s="28" t="s">
        <v>1024</v>
      </c>
      <c r="G11" s="22" t="s">
        <v>1025</v>
      </c>
      <c r="H11" s="22" t="s">
        <v>1026</v>
      </c>
      <c r="I11" s="22" t="s">
        <v>1027</v>
      </c>
      <c r="J11" s="22" t="s">
        <v>1028</v>
      </c>
      <c r="K11" s="22">
        <f xml:space="preserve"> LEN(聲母對照資料表[[#This Row],[台語音標]])</f>
        <v>1</v>
      </c>
      <c r="L11" s="23"/>
      <c r="M11" s="24"/>
      <c r="O11" s="36"/>
      <c r="R11" s="36"/>
      <c r="T11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</row>
    <row r="12" spans="1:49" ht="57.75">
      <c r="A12" s="19">
        <v>9</v>
      </c>
      <c r="B12" s="29" t="s">
        <v>1668</v>
      </c>
      <c r="C12" s="30" t="s">
        <v>1037</v>
      </c>
      <c r="D12" s="359" t="s">
        <v>1035</v>
      </c>
      <c r="E12" s="21" t="s">
        <v>1036</v>
      </c>
      <c r="F12" s="22" t="s">
        <v>1038</v>
      </c>
      <c r="G12" s="22" t="s">
        <v>1038</v>
      </c>
      <c r="H12" s="22" t="s">
        <v>1038</v>
      </c>
      <c r="I12" s="22" t="s">
        <v>1039</v>
      </c>
      <c r="J12" s="361" t="s">
        <v>1040</v>
      </c>
      <c r="K12" s="22">
        <f xml:space="preserve"> LEN(聲母對照資料表[[#This Row],[台語音標]])</f>
        <v>1</v>
      </c>
      <c r="L12" s="23"/>
      <c r="M12" s="24"/>
      <c r="O12" s="36"/>
      <c r="R12" s="36"/>
      <c r="T12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</row>
    <row r="13" spans="1:49" ht="57.75">
      <c r="A13" s="19">
        <v>10</v>
      </c>
      <c r="B13" s="20" t="s">
        <v>2199</v>
      </c>
      <c r="C13" s="30" t="s">
        <v>1047</v>
      </c>
      <c r="D13" s="359" t="s">
        <v>1045</v>
      </c>
      <c r="E13" s="21" t="s">
        <v>1046</v>
      </c>
      <c r="F13" s="22" t="s">
        <v>1047</v>
      </c>
      <c r="G13" s="22" t="s">
        <v>1047</v>
      </c>
      <c r="H13" s="22" t="s">
        <v>1047</v>
      </c>
      <c r="I13" s="22" t="s">
        <v>1047</v>
      </c>
      <c r="J13" s="22" t="s">
        <v>1047</v>
      </c>
      <c r="K13" s="22">
        <f xml:space="preserve"> LEN(聲母對照資料表[[#This Row],[台語音標]])</f>
        <v>1</v>
      </c>
      <c r="L13" s="23"/>
      <c r="M13" s="24"/>
      <c r="O13" s="36"/>
      <c r="R13" s="36"/>
      <c r="T1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</row>
    <row r="14" spans="1:49" ht="57.75">
      <c r="A14" s="19">
        <v>11</v>
      </c>
      <c r="B14" s="20" t="s">
        <v>1052</v>
      </c>
      <c r="C14" s="360" t="s">
        <v>1686</v>
      </c>
      <c r="D14" s="359" t="s">
        <v>1051</v>
      </c>
      <c r="E14" s="204" t="s">
        <v>2201</v>
      </c>
      <c r="F14" s="203" t="s">
        <v>2189</v>
      </c>
      <c r="G14" s="203" t="s">
        <v>2189</v>
      </c>
      <c r="H14" s="203" t="s">
        <v>2189</v>
      </c>
      <c r="I14" s="203" t="s">
        <v>2189</v>
      </c>
      <c r="J14" s="203" t="s">
        <v>2189</v>
      </c>
      <c r="K14" s="22">
        <f xml:space="preserve"> LEN(聲母對照資料表[[#This Row],[台語音標]])</f>
        <v>1</v>
      </c>
      <c r="L14" s="23"/>
      <c r="M14" s="24"/>
      <c r="O14" s="36"/>
      <c r="R14" s="36"/>
      <c r="T14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</row>
    <row r="15" spans="1:49" ht="57.75">
      <c r="A15" s="19">
        <v>12</v>
      </c>
      <c r="B15" s="20" t="s">
        <v>1054</v>
      </c>
      <c r="C15" s="30" t="s">
        <v>4</v>
      </c>
      <c r="D15" s="359" t="s">
        <v>1053</v>
      </c>
      <c r="E15" s="21" t="s">
        <v>1055</v>
      </c>
      <c r="F15" s="22" t="s">
        <v>1056</v>
      </c>
      <c r="G15" s="22" t="s">
        <v>1056</v>
      </c>
      <c r="H15" s="22" t="s">
        <v>1056</v>
      </c>
      <c r="I15" s="22" t="s">
        <v>1057</v>
      </c>
      <c r="J15" s="361" t="s">
        <v>1058</v>
      </c>
      <c r="K15" s="22">
        <f xml:space="preserve"> LEN(聲母對照資料表[[#This Row],[台語音標]])</f>
        <v>1</v>
      </c>
      <c r="L15" s="23"/>
      <c r="M15" s="25"/>
      <c r="N15" s="8"/>
      <c r="O15" s="8"/>
      <c r="P15" s="8"/>
      <c r="Q15" s="8"/>
      <c r="R15" s="9"/>
      <c r="S15" s="8"/>
      <c r="U15" s="8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</row>
    <row r="16" spans="1:49" ht="57.75">
      <c r="A16" s="19">
        <v>13</v>
      </c>
      <c r="B16" s="20" t="s">
        <v>1060</v>
      </c>
      <c r="C16" s="30" t="s">
        <v>1062</v>
      </c>
      <c r="D16" s="359" t="s">
        <v>1059</v>
      </c>
      <c r="E16" s="21" t="s">
        <v>1061</v>
      </c>
      <c r="F16" s="22" t="s">
        <v>1063</v>
      </c>
      <c r="G16" s="22" t="s">
        <v>1063</v>
      </c>
      <c r="H16" s="22" t="s">
        <v>1063</v>
      </c>
      <c r="I16" s="22" t="s">
        <v>1064</v>
      </c>
      <c r="J16" s="361" t="s">
        <v>1065</v>
      </c>
      <c r="K16" s="22">
        <f xml:space="preserve"> LEN(聲母對照資料表[[#This Row],[台語音標]])</f>
        <v>1</v>
      </c>
      <c r="L16" s="23"/>
      <c r="M16" s="25"/>
      <c r="N16" s="8"/>
      <c r="O16" s="8"/>
      <c r="P16" s="8"/>
      <c r="Q16" s="8"/>
      <c r="R16" s="9"/>
      <c r="S16" s="8"/>
      <c r="U16" s="8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</row>
    <row r="17" spans="1:49" ht="57.75">
      <c r="A17" s="19">
        <v>14</v>
      </c>
      <c r="B17" s="20" t="s">
        <v>1067</v>
      </c>
      <c r="C17" s="30" t="s">
        <v>1069</v>
      </c>
      <c r="D17" s="359" t="s">
        <v>1066</v>
      </c>
      <c r="E17" s="21" t="s">
        <v>1068</v>
      </c>
      <c r="F17" s="28" t="s">
        <v>1070</v>
      </c>
      <c r="G17" s="22" t="s">
        <v>1071</v>
      </c>
      <c r="H17" s="22" t="s">
        <v>1072</v>
      </c>
      <c r="I17" s="22" t="s">
        <v>1073</v>
      </c>
      <c r="J17" s="361" t="s">
        <v>1074</v>
      </c>
      <c r="K17" s="22">
        <f xml:space="preserve"> LEN(聲母對照資料表[[#This Row],[台語音標]])</f>
        <v>1</v>
      </c>
      <c r="L17" s="23"/>
      <c r="M17" s="24"/>
      <c r="N17" s="8"/>
      <c r="O17" s="8"/>
      <c r="P17" s="8"/>
      <c r="Q17" s="8"/>
      <c r="R17" s="9"/>
      <c r="S17" s="8"/>
      <c r="U17" s="8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</row>
    <row r="18" spans="1:49" ht="57.75">
      <c r="A18" s="19">
        <v>15</v>
      </c>
      <c r="B18" s="20" t="s">
        <v>1080</v>
      </c>
      <c r="C18" s="360" t="s">
        <v>1</v>
      </c>
      <c r="D18" s="359" t="s">
        <v>1080</v>
      </c>
      <c r="E18" s="21" t="s">
        <v>1081</v>
      </c>
      <c r="F18" s="22" t="s">
        <v>1</v>
      </c>
      <c r="G18" s="22" t="s">
        <v>1</v>
      </c>
      <c r="H18" s="22" t="s">
        <v>1</v>
      </c>
      <c r="I18" s="22" t="s">
        <v>1</v>
      </c>
      <c r="J18" s="361" t="s">
        <v>1082</v>
      </c>
      <c r="K18" s="22">
        <f xml:space="preserve"> LEN(聲母對照資料表[[#This Row],[台語音標]])</f>
        <v>1</v>
      </c>
      <c r="L18" s="23"/>
      <c r="M18" s="24"/>
      <c r="N18" s="8"/>
      <c r="O18" s="8"/>
      <c r="P18" s="8"/>
      <c r="Q18" s="8"/>
      <c r="R18" s="9"/>
      <c r="S18" s="8"/>
      <c r="U18" s="8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</row>
    <row r="19" spans="1:49" ht="57.75">
      <c r="A19" s="19">
        <v>16</v>
      </c>
      <c r="B19" s="20" t="s">
        <v>1084</v>
      </c>
      <c r="C19" s="30" t="s">
        <v>5</v>
      </c>
      <c r="D19" s="362" t="s">
        <v>1083</v>
      </c>
      <c r="E19" s="21" t="s">
        <v>1085</v>
      </c>
      <c r="F19" s="361" t="s">
        <v>1086</v>
      </c>
      <c r="G19" s="361" t="s">
        <v>1086</v>
      </c>
      <c r="H19" s="361" t="s">
        <v>1086</v>
      </c>
      <c r="I19" s="361" t="s">
        <v>2197</v>
      </c>
      <c r="J19" s="361" t="s">
        <v>1086</v>
      </c>
      <c r="K19" s="363">
        <f xml:space="preserve"> LEN(聲母對照資料表[[#This Row],[台語音標]])</f>
        <v>1</v>
      </c>
      <c r="L19" s="31" t="s">
        <v>1087</v>
      </c>
      <c r="M19" s="24"/>
      <c r="N19" s="8"/>
      <c r="O19" s="8"/>
      <c r="P19" s="8"/>
      <c r="Q19" s="8"/>
      <c r="R19" s="8"/>
      <c r="S19" s="8"/>
      <c r="U19" s="8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</row>
    <row r="20" spans="1:49" ht="57.75">
      <c r="A20" s="19">
        <v>17</v>
      </c>
      <c r="B20" s="20" t="s">
        <v>1089</v>
      </c>
      <c r="C20" s="30" t="s">
        <v>8</v>
      </c>
      <c r="D20" s="362" t="s">
        <v>1088</v>
      </c>
      <c r="E20" s="21" t="s">
        <v>1090</v>
      </c>
      <c r="F20" s="361" t="s">
        <v>1091</v>
      </c>
      <c r="G20" s="361" t="s">
        <v>1091</v>
      </c>
      <c r="H20" s="361" t="s">
        <v>1091</v>
      </c>
      <c r="I20" s="361" t="s">
        <v>1842</v>
      </c>
      <c r="J20" s="361" t="s">
        <v>1091</v>
      </c>
      <c r="K20" s="363">
        <f xml:space="preserve"> LEN(聲母對照資料表[[#This Row],[台語音標]])</f>
        <v>1</v>
      </c>
      <c r="L20" s="31" t="s">
        <v>1092</v>
      </c>
      <c r="M20" s="24"/>
      <c r="N20" s="8"/>
      <c r="O20" s="8"/>
      <c r="P20" s="8"/>
      <c r="Q20" s="8"/>
      <c r="R20" s="8"/>
      <c r="S20" s="8"/>
      <c r="U20" s="8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</row>
    <row r="21" spans="1:49" ht="57.75">
      <c r="A21" s="32">
        <v>18</v>
      </c>
      <c r="B21" s="20" t="s">
        <v>1094</v>
      </c>
      <c r="C21" s="30" t="s">
        <v>17</v>
      </c>
      <c r="D21" s="362" t="s">
        <v>1093</v>
      </c>
      <c r="E21" s="21" t="s">
        <v>1095</v>
      </c>
      <c r="F21" s="361" t="s">
        <v>1096</v>
      </c>
      <c r="G21" s="361" t="s">
        <v>1096</v>
      </c>
      <c r="H21" s="361" t="s">
        <v>1096</v>
      </c>
      <c r="I21" s="361" t="s">
        <v>2198</v>
      </c>
      <c r="J21" s="361" t="s">
        <v>1096</v>
      </c>
      <c r="K21" s="363">
        <f xml:space="preserve"> LEN(聲母對照資料表[[#This Row],[台語音標]])</f>
        <v>2</v>
      </c>
      <c r="L21" s="31" t="s">
        <v>1097</v>
      </c>
      <c r="M21" s="24"/>
      <c r="N21" s="8"/>
      <c r="O21" s="8"/>
      <c r="P21" s="8"/>
      <c r="Q21" s="8"/>
      <c r="R21" s="8"/>
      <c r="S21" s="8"/>
      <c r="U21" s="8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</row>
    <row r="22" spans="1:49" ht="57.75">
      <c r="A22" s="19">
        <v>19</v>
      </c>
      <c r="B22" s="206" t="s">
        <v>1668</v>
      </c>
      <c r="C22" s="30" t="s">
        <v>1042</v>
      </c>
      <c r="D22" s="362" t="s">
        <v>1035</v>
      </c>
      <c r="E22" s="365" t="s">
        <v>1514</v>
      </c>
      <c r="F22" s="364" t="s">
        <v>1675</v>
      </c>
      <c r="G22" s="363" t="s">
        <v>1675</v>
      </c>
      <c r="H22" s="364" t="s">
        <v>1675</v>
      </c>
      <c r="I22" s="363" t="s">
        <v>2285</v>
      </c>
      <c r="J22" s="363" t="s">
        <v>1755</v>
      </c>
      <c r="K22" s="363">
        <f xml:space="preserve"> LEN(聲母對照資料表[[#This Row],[台語音標]])</f>
        <v>2</v>
      </c>
      <c r="L22" s="23"/>
      <c r="M22" s="8"/>
      <c r="O22" s="9"/>
      <c r="R22" s="9"/>
      <c r="T22"/>
      <c r="V22" s="9"/>
      <c r="W22" s="8"/>
      <c r="X22" s="9"/>
      <c r="Y22" s="8"/>
      <c r="Z22" s="8"/>
      <c r="AA22" s="33"/>
      <c r="AB22" s="34"/>
      <c r="AC22" s="35"/>
      <c r="AD22" s="33"/>
      <c r="AE22" s="34"/>
      <c r="AF22" s="35"/>
      <c r="AG22" s="33"/>
      <c r="AH22" s="34"/>
      <c r="AI22" s="35"/>
      <c r="AJ22" s="8"/>
      <c r="AK22" s="8"/>
      <c r="AQ22" s="9"/>
      <c r="AR22" s="9"/>
      <c r="AS22" s="9"/>
      <c r="AT22" s="9"/>
      <c r="AU22" s="9"/>
      <c r="AV22" s="9"/>
      <c r="AW22" s="9"/>
    </row>
    <row r="23" spans="1:49" ht="57.75">
      <c r="A23" s="32">
        <v>20</v>
      </c>
      <c r="B23" s="206" t="s">
        <v>1021</v>
      </c>
      <c r="C23" s="30" t="s">
        <v>1030</v>
      </c>
      <c r="D23" s="362" t="s">
        <v>1020</v>
      </c>
      <c r="E23" s="365" t="s">
        <v>1508</v>
      </c>
      <c r="F23" s="364" t="s">
        <v>2286</v>
      </c>
      <c r="G23" s="363" t="s">
        <v>1673</v>
      </c>
      <c r="H23" s="364" t="s">
        <v>1671</v>
      </c>
      <c r="I23" s="363" t="s">
        <v>2286</v>
      </c>
      <c r="J23" s="363" t="s">
        <v>1675</v>
      </c>
      <c r="K23" s="363">
        <f xml:space="preserve"> LEN(聲母對照資料表[[#This Row],[台語音標]])</f>
        <v>2</v>
      </c>
      <c r="L23" s="23"/>
      <c r="M23" s="8"/>
      <c r="O23" s="36"/>
      <c r="R23" s="36"/>
      <c r="T23"/>
      <c r="W23" s="8"/>
      <c r="X23" s="36"/>
      <c r="Y23" s="8"/>
      <c r="Z23" s="8"/>
      <c r="AA23" s="33"/>
      <c r="AB23" s="34"/>
      <c r="AC23" s="35"/>
      <c r="AD23" s="33"/>
      <c r="AE23" s="34"/>
      <c r="AF23" s="35"/>
      <c r="AG23" s="33"/>
      <c r="AH23" s="34"/>
      <c r="AI23" s="35"/>
      <c r="AJ23" s="8"/>
      <c r="AK23" s="8"/>
      <c r="AQ23" s="9"/>
      <c r="AR23" s="9"/>
      <c r="AS23" s="9"/>
      <c r="AT23" s="9"/>
      <c r="AU23" s="9"/>
      <c r="AV23" s="9"/>
      <c r="AW23" s="9"/>
    </row>
    <row r="24" spans="1:49" ht="57.75">
      <c r="A24" s="19">
        <v>21</v>
      </c>
      <c r="B24" s="206" t="s">
        <v>2193</v>
      </c>
      <c r="C24" s="30" t="s">
        <v>1076</v>
      </c>
      <c r="D24" s="362" t="s">
        <v>1066</v>
      </c>
      <c r="E24" s="365" t="s">
        <v>1512</v>
      </c>
      <c r="F24" s="364" t="s">
        <v>1754</v>
      </c>
      <c r="G24" s="363" t="s">
        <v>1674</v>
      </c>
      <c r="H24" s="364" t="s">
        <v>1672</v>
      </c>
      <c r="I24" s="363" t="s">
        <v>1754</v>
      </c>
      <c r="J24" s="363" t="s">
        <v>1671</v>
      </c>
      <c r="K24" s="363">
        <f xml:space="preserve"> LEN(聲母對照資料表[[#This Row],[台語音標]])</f>
        <v>2</v>
      </c>
      <c r="L24" s="23"/>
      <c r="M24" s="8"/>
      <c r="O24" s="36"/>
      <c r="R24" s="36"/>
      <c r="T24"/>
      <c r="W24" s="8"/>
      <c r="X24" s="36"/>
      <c r="Y24" s="8"/>
      <c r="Z24" s="8"/>
      <c r="AA24" s="33"/>
      <c r="AB24" s="34"/>
      <c r="AC24" s="35"/>
      <c r="AD24" s="33"/>
      <c r="AE24" s="34"/>
      <c r="AF24" s="35"/>
      <c r="AG24" s="33"/>
      <c r="AH24" s="34"/>
      <c r="AI24" s="35"/>
      <c r="AJ24" s="8"/>
      <c r="AK24" s="8"/>
      <c r="AQ24" s="9"/>
      <c r="AR24" s="9"/>
      <c r="AS24" s="9"/>
      <c r="AT24" s="9"/>
      <c r="AU24" s="9"/>
      <c r="AV24" s="9"/>
      <c r="AW24" s="9"/>
    </row>
    <row r="25" spans="1:49" ht="57.75">
      <c r="A25" s="32">
        <v>22</v>
      </c>
      <c r="B25" s="206" t="s">
        <v>2195</v>
      </c>
      <c r="C25" s="30" t="s">
        <v>1049</v>
      </c>
      <c r="D25" s="362" t="s">
        <v>1045</v>
      </c>
      <c r="E25" s="365" t="s">
        <v>1517</v>
      </c>
      <c r="F25" s="364" t="s">
        <v>1676</v>
      </c>
      <c r="G25" s="363" t="s">
        <v>1676</v>
      </c>
      <c r="H25" s="364" t="s">
        <v>1676</v>
      </c>
      <c r="I25" s="363" t="s">
        <v>1676</v>
      </c>
      <c r="J25" s="363" t="s">
        <v>2234</v>
      </c>
      <c r="K25" s="363">
        <f xml:space="preserve"> LEN(聲母對照資料表[[#This Row],[台語音標]])</f>
        <v>2</v>
      </c>
      <c r="L25" s="23"/>
      <c r="M25" s="8"/>
      <c r="O25" s="36"/>
      <c r="R25" s="36"/>
      <c r="T25"/>
      <c r="W25" s="8"/>
      <c r="X25" s="36"/>
      <c r="Y25" s="8"/>
      <c r="Z25" s="8"/>
      <c r="AA25" s="33"/>
      <c r="AB25" s="34"/>
      <c r="AC25" s="35"/>
      <c r="AD25" s="33"/>
      <c r="AE25" s="34"/>
      <c r="AF25" s="35"/>
      <c r="AG25" s="33"/>
      <c r="AH25" s="34"/>
      <c r="AI25" s="35"/>
      <c r="AJ25" s="8"/>
      <c r="AK25" s="8"/>
      <c r="AQ25" s="9"/>
      <c r="AR25" s="9"/>
      <c r="AS25" s="9"/>
      <c r="AT25" s="9"/>
      <c r="AU25" s="9"/>
      <c r="AV25" s="9"/>
      <c r="AW25" s="9"/>
    </row>
    <row r="26" spans="1:49" ht="34.5" customHeight="1">
      <c r="A26" s="207"/>
      <c r="B26" s="207"/>
      <c r="C26" s="207"/>
      <c r="D26" s="207"/>
      <c r="E26" s="207"/>
      <c r="G26" s="207"/>
      <c r="H26" s="207"/>
      <c r="N26" s="207"/>
      <c r="O26" s="207"/>
      <c r="P26" s="207"/>
      <c r="R26" s="207"/>
      <c r="S26" s="207"/>
      <c r="AH26" s="33"/>
      <c r="AI26" s="34"/>
      <c r="AJ26" s="35"/>
      <c r="AK26" s="33"/>
      <c r="AL26" s="34"/>
      <c r="AM26" s="35"/>
      <c r="AN26" s="33"/>
      <c r="AO26" s="34"/>
      <c r="AP26" s="35"/>
    </row>
    <row r="27" spans="1:49" ht="34.5" customHeight="1">
      <c r="B27" s="27" t="s">
        <v>978</v>
      </c>
      <c r="C27" s="366" t="s">
        <v>980</v>
      </c>
      <c r="D27" s="27" t="s">
        <v>977</v>
      </c>
      <c r="E27" s="27" t="s">
        <v>979</v>
      </c>
      <c r="F27" s="27" t="s">
        <v>1101</v>
      </c>
      <c r="G27" s="27" t="s">
        <v>2187</v>
      </c>
      <c r="H27" s="27" t="s">
        <v>982</v>
      </c>
      <c r="I27" s="27" t="s">
        <v>983</v>
      </c>
      <c r="J27" s="27" t="s">
        <v>3626</v>
      </c>
      <c r="AH27" s="33"/>
      <c r="AI27" s="34"/>
      <c r="AJ27" s="35"/>
      <c r="AK27" s="33"/>
      <c r="AL27" s="34"/>
      <c r="AM27" s="35"/>
      <c r="AN27" s="33"/>
      <c r="AO27" s="34"/>
      <c r="AP27" s="35"/>
    </row>
    <row r="28" spans="1:49" ht="45.75">
      <c r="B28" s="202" t="s">
        <v>1669</v>
      </c>
      <c r="C28" s="200" t="s">
        <v>1042</v>
      </c>
      <c r="D28" s="199" t="s">
        <v>2190</v>
      </c>
      <c r="E28" s="199" t="s">
        <v>1044</v>
      </c>
      <c r="F28" s="200" t="s">
        <v>1041</v>
      </c>
      <c r="G28" s="199" t="s">
        <v>1041</v>
      </c>
      <c r="H28" s="199" t="s">
        <v>1041</v>
      </c>
      <c r="I28" s="199" t="s">
        <v>1043</v>
      </c>
      <c r="J28" s="200" t="s">
        <v>2235</v>
      </c>
      <c r="AH28" s="33"/>
      <c r="AI28" s="34"/>
      <c r="AJ28" s="35"/>
      <c r="AK28" s="33"/>
      <c r="AL28" s="34"/>
      <c r="AM28" s="35"/>
      <c r="AN28" s="33"/>
      <c r="AO28" s="34"/>
      <c r="AP28" s="35"/>
    </row>
    <row r="29" spans="1:49" ht="45.75">
      <c r="B29" s="201" t="s">
        <v>2192</v>
      </c>
      <c r="C29" s="200" t="s">
        <v>1030</v>
      </c>
      <c r="D29" s="199" t="s">
        <v>1020</v>
      </c>
      <c r="E29" s="199" t="s">
        <v>1034</v>
      </c>
      <c r="F29" s="200" t="s">
        <v>1029</v>
      </c>
      <c r="G29" s="199" t="s">
        <v>1032</v>
      </c>
      <c r="H29" s="199" t="s">
        <v>1031</v>
      </c>
      <c r="I29" s="199" t="s">
        <v>1033</v>
      </c>
      <c r="J29" s="199" t="s">
        <v>1041</v>
      </c>
      <c r="AH29" s="33"/>
      <c r="AI29" s="34"/>
      <c r="AJ29" s="35"/>
      <c r="AK29" s="33"/>
      <c r="AL29" s="34"/>
      <c r="AM29" s="35"/>
      <c r="AN29" s="33"/>
      <c r="AO29" s="34"/>
      <c r="AP29" s="35"/>
    </row>
    <row r="30" spans="1:49" ht="43.5">
      <c r="B30" s="201" t="s">
        <v>2194</v>
      </c>
      <c r="C30" s="200" t="s">
        <v>1076</v>
      </c>
      <c r="D30" s="199" t="s">
        <v>2191</v>
      </c>
      <c r="E30" s="199" t="s">
        <v>1079</v>
      </c>
      <c r="F30" s="200" t="s">
        <v>1075</v>
      </c>
      <c r="G30" s="199" t="s">
        <v>1078</v>
      </c>
      <c r="H30" s="199" t="s">
        <v>1077</v>
      </c>
      <c r="I30" s="199" t="s">
        <v>1075</v>
      </c>
      <c r="J30" s="200" t="s">
        <v>2236</v>
      </c>
    </row>
    <row r="31" spans="1:49" ht="43.5">
      <c r="B31" s="201" t="s">
        <v>2196</v>
      </c>
      <c r="C31" s="200" t="s">
        <v>1049</v>
      </c>
      <c r="D31" s="199" t="s">
        <v>1045</v>
      </c>
      <c r="E31" s="199" t="s">
        <v>1050</v>
      </c>
      <c r="F31" s="200" t="s">
        <v>1048</v>
      </c>
      <c r="G31" s="199" t="s">
        <v>1048</v>
      </c>
      <c r="H31" s="199" t="s">
        <v>1048</v>
      </c>
      <c r="I31" s="199" t="s">
        <v>1048</v>
      </c>
      <c r="J31" s="200" t="s">
        <v>2237</v>
      </c>
    </row>
  </sheetData>
  <phoneticPr fontId="3" type="noConversion"/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&amp;C&amp;"Arial,標準"&amp;Kffffff&amp;A</oddHeader>
    <oddFooter>&amp;C&amp;"Arial,標準"&amp;KffffffPage &amp;P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9A30-05DE-46F4-B768-565BABBE88F2}">
  <dimension ref="B2:T77"/>
  <sheetViews>
    <sheetView workbookViewId="0">
      <selection activeCell="G10" sqref="G10"/>
    </sheetView>
  </sheetViews>
  <sheetFormatPr defaultRowHeight="25.5"/>
  <cols>
    <col min="1" max="1" width="3" style="332" customWidth="1"/>
    <col min="2" max="16384" width="9" style="332"/>
  </cols>
  <sheetData>
    <row r="2" spans="2:20">
      <c r="B2" s="331" t="s">
        <v>0</v>
      </c>
      <c r="C2" s="331" t="s">
        <v>4</v>
      </c>
      <c r="D2" s="331" t="s">
        <v>16</v>
      </c>
      <c r="E2" s="331" t="s">
        <v>1</v>
      </c>
      <c r="F2" s="331" t="s">
        <v>1038</v>
      </c>
      <c r="G2" s="331" t="s">
        <v>14</v>
      </c>
      <c r="H2" s="331" t="s">
        <v>1002</v>
      </c>
      <c r="I2" s="331" t="s">
        <v>9</v>
      </c>
      <c r="J2" s="331" t="s">
        <v>5</v>
      </c>
      <c r="K2" s="331" t="s">
        <v>8</v>
      </c>
      <c r="L2" s="331" t="s">
        <v>1309</v>
      </c>
      <c r="M2" s="331" t="s">
        <v>2</v>
      </c>
      <c r="N2" s="331" t="s">
        <v>1012</v>
      </c>
      <c r="O2" s="331" t="s">
        <v>1047</v>
      </c>
      <c r="P2" s="331" t="s">
        <v>6</v>
      </c>
      <c r="Q2" s="331" t="s">
        <v>1017</v>
      </c>
      <c r="R2" s="331" t="s">
        <v>1025</v>
      </c>
      <c r="S2" s="331" t="s">
        <v>1071</v>
      </c>
      <c r="T2" s="331"/>
    </row>
    <row r="3" spans="2:20">
      <c r="B3" s="331" t="s">
        <v>18</v>
      </c>
      <c r="C3" s="333" t="s">
        <v>18</v>
      </c>
      <c r="D3" s="333" t="s">
        <v>2715</v>
      </c>
      <c r="E3" s="333" t="s">
        <v>2716</v>
      </c>
      <c r="F3" s="333" t="s">
        <v>2717</v>
      </c>
      <c r="G3" s="333"/>
      <c r="H3" s="333" t="s">
        <v>2718</v>
      </c>
      <c r="I3" s="333" t="s">
        <v>2719</v>
      </c>
      <c r="J3" s="333" t="s">
        <v>2720</v>
      </c>
      <c r="K3" s="333" t="s">
        <v>2721</v>
      </c>
      <c r="L3" s="333" t="s">
        <v>1237</v>
      </c>
      <c r="M3" s="333" t="s">
        <v>2722</v>
      </c>
      <c r="N3" s="333" t="s">
        <v>2723</v>
      </c>
      <c r="O3" s="333" t="s">
        <v>2724</v>
      </c>
      <c r="P3" s="333" t="s">
        <v>2725</v>
      </c>
      <c r="Q3" s="333" t="s">
        <v>2726</v>
      </c>
      <c r="R3" s="333" t="s">
        <v>2727</v>
      </c>
      <c r="S3" s="333" t="s">
        <v>2728</v>
      </c>
      <c r="T3" s="333" t="s">
        <v>2729</v>
      </c>
    </row>
    <row r="4" spans="2:20">
      <c r="B4" s="331" t="s">
        <v>1250</v>
      </c>
      <c r="C4" s="333" t="s">
        <v>1250</v>
      </c>
      <c r="D4" s="333" t="s">
        <v>2730</v>
      </c>
      <c r="E4" s="333"/>
      <c r="F4" s="333" t="s">
        <v>2731</v>
      </c>
      <c r="G4" s="333"/>
      <c r="H4" s="333" t="s">
        <v>2732</v>
      </c>
      <c r="I4" s="333" t="s">
        <v>2733</v>
      </c>
      <c r="J4" s="333" t="s">
        <v>2734</v>
      </c>
      <c r="K4" s="333"/>
      <c r="L4" s="333" t="s">
        <v>1242</v>
      </c>
      <c r="M4" s="333"/>
      <c r="N4" s="333" t="s">
        <v>2735</v>
      </c>
      <c r="O4" s="333" t="s">
        <v>2736</v>
      </c>
      <c r="P4" s="333" t="s">
        <v>2737</v>
      </c>
      <c r="Q4" s="333" t="s">
        <v>2738</v>
      </c>
      <c r="R4" s="333" t="s">
        <v>2739</v>
      </c>
      <c r="S4" s="333" t="s">
        <v>2740</v>
      </c>
      <c r="T4" s="333" t="s">
        <v>2741</v>
      </c>
    </row>
    <row r="5" spans="2:20">
      <c r="B5" s="331" t="s">
        <v>1185</v>
      </c>
      <c r="C5" s="333" t="s">
        <v>1185</v>
      </c>
      <c r="D5" s="333" t="s">
        <v>2742</v>
      </c>
      <c r="E5" s="333" t="s">
        <v>2743</v>
      </c>
      <c r="F5" s="333" t="s">
        <v>2744</v>
      </c>
      <c r="G5" s="333"/>
      <c r="H5" s="333" t="s">
        <v>2745</v>
      </c>
      <c r="I5" s="333" t="s">
        <v>2746</v>
      </c>
      <c r="J5" s="333" t="s">
        <v>2747</v>
      </c>
      <c r="K5" s="333" t="s">
        <v>2748</v>
      </c>
      <c r="L5" s="333" t="s">
        <v>1319</v>
      </c>
      <c r="M5" s="333" t="s">
        <v>2749</v>
      </c>
      <c r="N5" s="333" t="s">
        <v>2750</v>
      </c>
      <c r="O5" s="333" t="s">
        <v>2751</v>
      </c>
      <c r="P5" s="333" t="s">
        <v>2752</v>
      </c>
      <c r="Q5" s="333" t="s">
        <v>2753</v>
      </c>
      <c r="R5" s="333" t="s">
        <v>2754</v>
      </c>
      <c r="S5" s="333" t="s">
        <v>2755</v>
      </c>
      <c r="T5" s="333" t="s">
        <v>2756</v>
      </c>
    </row>
    <row r="6" spans="2:20">
      <c r="B6" s="331" t="s">
        <v>1317</v>
      </c>
      <c r="C6" s="333" t="s">
        <v>1317</v>
      </c>
      <c r="D6" s="333"/>
      <c r="E6" s="333"/>
      <c r="F6" s="333" t="s">
        <v>2757</v>
      </c>
      <c r="G6" s="333"/>
      <c r="H6" s="333" t="s">
        <v>2758</v>
      </c>
      <c r="I6" s="333" t="s">
        <v>2759</v>
      </c>
      <c r="J6" s="333"/>
      <c r="K6" s="333"/>
      <c r="L6" s="333"/>
      <c r="M6" s="333"/>
      <c r="N6" s="333"/>
      <c r="O6" s="333" t="s">
        <v>2760</v>
      </c>
      <c r="P6" s="333"/>
      <c r="Q6" s="333" t="s">
        <v>2761</v>
      </c>
      <c r="R6" s="333"/>
      <c r="S6" s="333" t="s">
        <v>2762</v>
      </c>
      <c r="T6" s="333"/>
    </row>
    <row r="7" spans="2:20">
      <c r="B7" s="331" t="s">
        <v>1208</v>
      </c>
      <c r="C7" s="333" t="s">
        <v>1208</v>
      </c>
      <c r="D7" s="333" t="s">
        <v>2763</v>
      </c>
      <c r="E7" s="333" t="s">
        <v>2764</v>
      </c>
      <c r="F7" s="333" t="s">
        <v>2765</v>
      </c>
      <c r="G7" s="333"/>
      <c r="H7" s="333" t="s">
        <v>2766</v>
      </c>
      <c r="I7" s="333" t="s">
        <v>2767</v>
      </c>
      <c r="J7" s="333" t="s">
        <v>2768</v>
      </c>
      <c r="K7" s="333"/>
      <c r="L7" s="333"/>
      <c r="M7" s="333"/>
      <c r="N7" s="333" t="s">
        <v>2769</v>
      </c>
      <c r="O7" s="333" t="s">
        <v>2770</v>
      </c>
      <c r="P7" s="333" t="s">
        <v>2771</v>
      </c>
      <c r="Q7" s="333" t="s">
        <v>2772</v>
      </c>
      <c r="R7" s="333" t="s">
        <v>2773</v>
      </c>
      <c r="S7" s="333" t="s">
        <v>2774</v>
      </c>
      <c r="T7" s="333" t="s">
        <v>2775</v>
      </c>
    </row>
    <row r="8" spans="2:20">
      <c r="B8" s="331" t="s">
        <v>67</v>
      </c>
      <c r="C8" s="333" t="s">
        <v>67</v>
      </c>
      <c r="D8" s="333"/>
      <c r="E8" s="333" t="s">
        <v>2776</v>
      </c>
      <c r="F8" s="333" t="s">
        <v>2777</v>
      </c>
      <c r="G8" s="333"/>
      <c r="H8" s="333" t="s">
        <v>2778</v>
      </c>
      <c r="I8" s="333" t="s">
        <v>2779</v>
      </c>
      <c r="J8" s="333" t="s">
        <v>2780</v>
      </c>
      <c r="K8" s="333"/>
      <c r="L8" s="333"/>
      <c r="M8" s="333"/>
      <c r="N8" s="333"/>
      <c r="O8" s="333"/>
      <c r="P8" s="333" t="s">
        <v>2781</v>
      </c>
      <c r="Q8" s="333" t="s">
        <v>2782</v>
      </c>
      <c r="R8" s="333" t="s">
        <v>2783</v>
      </c>
      <c r="S8" s="333" t="s">
        <v>2784</v>
      </c>
      <c r="T8" s="333" t="s">
        <v>2785</v>
      </c>
    </row>
    <row r="9" spans="2:20">
      <c r="B9" s="331" t="s">
        <v>79</v>
      </c>
      <c r="C9" s="333" t="s">
        <v>79</v>
      </c>
      <c r="D9" s="333" t="s">
        <v>2786</v>
      </c>
      <c r="E9" s="333" t="s">
        <v>2787</v>
      </c>
      <c r="F9" s="333" t="s">
        <v>2788</v>
      </c>
      <c r="G9" s="333"/>
      <c r="H9" s="333" t="s">
        <v>2789</v>
      </c>
      <c r="I9" s="333" t="s">
        <v>2790</v>
      </c>
      <c r="J9" s="333" t="s">
        <v>2791</v>
      </c>
      <c r="K9" s="333"/>
      <c r="L9" s="333"/>
      <c r="M9" s="333"/>
      <c r="N9" s="333" t="s">
        <v>2792</v>
      </c>
      <c r="O9" s="333" t="s">
        <v>2793</v>
      </c>
      <c r="P9" s="333" t="s">
        <v>2794</v>
      </c>
      <c r="Q9" s="333" t="s">
        <v>2795</v>
      </c>
      <c r="R9" s="333" t="s">
        <v>2796</v>
      </c>
      <c r="S9" s="333" t="s">
        <v>2797</v>
      </c>
      <c r="T9" s="333" t="s">
        <v>2798</v>
      </c>
    </row>
    <row r="10" spans="2:20">
      <c r="B10" s="331" t="s">
        <v>1206</v>
      </c>
      <c r="C10" s="333" t="s">
        <v>1206</v>
      </c>
      <c r="D10" s="333" t="s">
        <v>2799</v>
      </c>
      <c r="E10" s="333" t="s">
        <v>2800</v>
      </c>
      <c r="F10" s="333" t="s">
        <v>2801</v>
      </c>
      <c r="G10" s="333"/>
      <c r="H10" s="333" t="s">
        <v>2802</v>
      </c>
      <c r="I10" s="333" t="s">
        <v>2803</v>
      </c>
      <c r="J10" s="333" t="s">
        <v>2804</v>
      </c>
      <c r="K10" s="333"/>
      <c r="L10" s="333"/>
      <c r="M10" s="333"/>
      <c r="N10" s="333" t="s">
        <v>2805</v>
      </c>
      <c r="O10" s="333" t="s">
        <v>2806</v>
      </c>
      <c r="P10" s="333" t="s">
        <v>2807</v>
      </c>
      <c r="Q10" s="333" t="s">
        <v>2808</v>
      </c>
      <c r="R10" s="333" t="s">
        <v>2809</v>
      </c>
      <c r="S10" s="333" t="s">
        <v>2810</v>
      </c>
      <c r="T10" s="333" t="s">
        <v>2811</v>
      </c>
    </row>
    <row r="11" spans="2:20">
      <c r="B11" s="331" t="s">
        <v>1235</v>
      </c>
      <c r="C11" s="333" t="s">
        <v>1235</v>
      </c>
      <c r="D11" s="333"/>
      <c r="E11" s="333"/>
      <c r="F11" s="333" t="s">
        <v>2812</v>
      </c>
      <c r="G11" s="333"/>
      <c r="H11" s="333" t="s">
        <v>2813</v>
      </c>
      <c r="I11" s="333" t="s">
        <v>2814</v>
      </c>
      <c r="J11" s="333"/>
      <c r="K11" s="333"/>
      <c r="L11" s="333"/>
      <c r="M11" s="333"/>
      <c r="N11" s="333"/>
      <c r="O11" s="333" t="s">
        <v>2815</v>
      </c>
      <c r="P11" s="333" t="s">
        <v>2816</v>
      </c>
      <c r="Q11" s="333" t="s">
        <v>2817</v>
      </c>
      <c r="R11" s="333" t="s">
        <v>2818</v>
      </c>
      <c r="S11" s="333" t="s">
        <v>2819</v>
      </c>
      <c r="T11" s="333" t="s">
        <v>2820</v>
      </c>
    </row>
    <row r="12" spans="2:20">
      <c r="B12" s="331" t="s">
        <v>1240</v>
      </c>
      <c r="C12" s="333"/>
      <c r="D12" s="333"/>
      <c r="E12" s="333"/>
      <c r="F12" s="333" t="s">
        <v>2821</v>
      </c>
      <c r="G12" s="333"/>
      <c r="H12" s="333"/>
      <c r="I12" s="333"/>
      <c r="J12" s="333"/>
      <c r="K12" s="333"/>
      <c r="L12" s="333"/>
      <c r="M12" s="333"/>
      <c r="N12" s="333"/>
      <c r="O12" s="333"/>
      <c r="P12" s="333" t="s">
        <v>2822</v>
      </c>
      <c r="Q12" s="333"/>
      <c r="R12" s="333"/>
      <c r="S12" s="333"/>
      <c r="T12" s="333"/>
    </row>
    <row r="13" spans="2:20">
      <c r="B13" s="331" t="s">
        <v>1198</v>
      </c>
      <c r="C13" s="333" t="s">
        <v>1198</v>
      </c>
      <c r="D13" s="333"/>
      <c r="E13" s="333"/>
      <c r="F13" s="333" t="s">
        <v>2823</v>
      </c>
      <c r="G13" s="333"/>
      <c r="H13" s="333" t="s">
        <v>2824</v>
      </c>
      <c r="I13" s="333" t="s">
        <v>2825</v>
      </c>
      <c r="J13" s="333" t="s">
        <v>2826</v>
      </c>
      <c r="K13" s="333"/>
      <c r="L13" s="333"/>
      <c r="M13" s="333"/>
      <c r="N13" s="333"/>
      <c r="O13" s="333"/>
      <c r="P13" s="333" t="s">
        <v>2827</v>
      </c>
      <c r="Q13" s="333" t="s">
        <v>2828</v>
      </c>
      <c r="R13" s="333" t="s">
        <v>2829</v>
      </c>
      <c r="S13" s="333" t="s">
        <v>2830</v>
      </c>
      <c r="T13" s="333" t="s">
        <v>2831</v>
      </c>
    </row>
    <row r="14" spans="2:20">
      <c r="B14" s="331" t="s">
        <v>1131</v>
      </c>
      <c r="C14" s="333" t="s">
        <v>1131</v>
      </c>
      <c r="D14" s="333" t="s">
        <v>2832</v>
      </c>
      <c r="E14" s="333"/>
      <c r="F14" s="333" t="s">
        <v>2833</v>
      </c>
      <c r="G14" s="333"/>
      <c r="H14" s="333" t="s">
        <v>2834</v>
      </c>
      <c r="I14" s="333" t="s">
        <v>2835</v>
      </c>
      <c r="J14" s="333" t="s">
        <v>2836</v>
      </c>
      <c r="K14" s="333"/>
      <c r="L14" s="333"/>
      <c r="M14" s="333"/>
      <c r="N14" s="333" t="s">
        <v>2837</v>
      </c>
      <c r="O14" s="333"/>
      <c r="P14" s="333" t="s">
        <v>2838</v>
      </c>
      <c r="Q14" s="333" t="s">
        <v>2839</v>
      </c>
      <c r="R14" s="333" t="s">
        <v>2840</v>
      </c>
      <c r="S14" s="333" t="s">
        <v>2841</v>
      </c>
      <c r="T14" s="333" t="s">
        <v>2842</v>
      </c>
    </row>
    <row r="15" spans="2:20">
      <c r="B15" s="331" t="s">
        <v>180</v>
      </c>
      <c r="C15" s="333" t="s">
        <v>180</v>
      </c>
      <c r="D15" s="333" t="s">
        <v>2843</v>
      </c>
      <c r="E15" s="333" t="s">
        <v>2844</v>
      </c>
      <c r="F15" s="333" t="s">
        <v>2845</v>
      </c>
      <c r="G15" s="333"/>
      <c r="H15" s="333" t="s">
        <v>2846</v>
      </c>
      <c r="I15" s="333" t="s">
        <v>2847</v>
      </c>
      <c r="J15" s="333" t="s">
        <v>2848</v>
      </c>
      <c r="K15" s="333" t="s">
        <v>2849</v>
      </c>
      <c r="L15" s="333" t="s">
        <v>2850</v>
      </c>
      <c r="M15" s="333" t="s">
        <v>2851</v>
      </c>
      <c r="N15" s="333" t="s">
        <v>2852</v>
      </c>
      <c r="O15" s="333" t="s">
        <v>2853</v>
      </c>
      <c r="P15" s="333" t="s">
        <v>2854</v>
      </c>
      <c r="Q15" s="333" t="s">
        <v>2855</v>
      </c>
      <c r="R15" s="333" t="s">
        <v>2856</v>
      </c>
      <c r="S15" s="333" t="s">
        <v>2857</v>
      </c>
      <c r="T15" s="333" t="s">
        <v>2858</v>
      </c>
    </row>
    <row r="16" spans="2:20">
      <c r="B16" s="331" t="s">
        <v>1219</v>
      </c>
      <c r="C16" s="333"/>
      <c r="D16" s="333"/>
      <c r="E16" s="333"/>
      <c r="F16" s="333"/>
      <c r="G16" s="333"/>
      <c r="H16" s="333" t="s">
        <v>2859</v>
      </c>
      <c r="I16" s="333"/>
      <c r="J16" s="333" t="s">
        <v>2860</v>
      </c>
      <c r="K16" s="333" t="s">
        <v>2861</v>
      </c>
      <c r="L16" s="333" t="s">
        <v>2862</v>
      </c>
      <c r="M16" s="333"/>
      <c r="N16" s="333"/>
      <c r="O16" s="333" t="s">
        <v>2863</v>
      </c>
      <c r="P16" s="333"/>
      <c r="Q16" s="333" t="s">
        <v>2864</v>
      </c>
      <c r="R16" s="333"/>
      <c r="S16" s="333"/>
      <c r="T16" s="333" t="s">
        <v>2865</v>
      </c>
    </row>
    <row r="17" spans="2:20">
      <c r="B17" s="331" t="s">
        <v>208</v>
      </c>
      <c r="C17" s="333" t="s">
        <v>208</v>
      </c>
      <c r="D17" s="333" t="s">
        <v>2866</v>
      </c>
      <c r="E17" s="333" t="s">
        <v>2867</v>
      </c>
      <c r="F17" s="333" t="s">
        <v>2868</v>
      </c>
      <c r="G17" s="333"/>
      <c r="H17" s="333" t="s">
        <v>2869</v>
      </c>
      <c r="I17" s="333" t="s">
        <v>2870</v>
      </c>
      <c r="J17" s="333" t="s">
        <v>2871</v>
      </c>
      <c r="K17" s="333" t="s">
        <v>2872</v>
      </c>
      <c r="L17" s="333" t="s">
        <v>1263</v>
      </c>
      <c r="M17" s="333" t="s">
        <v>2873</v>
      </c>
      <c r="N17" s="333" t="s">
        <v>2874</v>
      </c>
      <c r="O17" s="333" t="s">
        <v>2875</v>
      </c>
      <c r="P17" s="333" t="s">
        <v>2876</v>
      </c>
      <c r="Q17" s="333" t="s">
        <v>2877</v>
      </c>
      <c r="R17" s="333" t="s">
        <v>2878</v>
      </c>
      <c r="S17" s="333" t="s">
        <v>2879</v>
      </c>
      <c r="T17" s="333" t="s">
        <v>2880</v>
      </c>
    </row>
    <row r="18" spans="2:20">
      <c r="B18" s="331" t="s">
        <v>1313</v>
      </c>
      <c r="C18" s="333" t="s">
        <v>1313</v>
      </c>
      <c r="D18" s="333" t="s">
        <v>2881</v>
      </c>
      <c r="E18" s="333"/>
      <c r="F18" s="333" t="s">
        <v>2882</v>
      </c>
      <c r="G18" s="333"/>
      <c r="H18" s="333" t="s">
        <v>2883</v>
      </c>
      <c r="I18" s="333" t="s">
        <v>2884</v>
      </c>
      <c r="J18" s="333" t="s">
        <v>2885</v>
      </c>
      <c r="K18" s="333" t="s">
        <v>2886</v>
      </c>
      <c r="L18" s="333" t="s">
        <v>1268</v>
      </c>
      <c r="M18" s="333" t="s">
        <v>2887</v>
      </c>
      <c r="N18" s="333" t="s">
        <v>2888</v>
      </c>
      <c r="O18" s="333"/>
      <c r="P18" s="333" t="s">
        <v>2889</v>
      </c>
      <c r="Q18" s="333" t="s">
        <v>2890</v>
      </c>
      <c r="R18" s="333" t="s">
        <v>2891</v>
      </c>
      <c r="S18" s="333" t="s">
        <v>2892</v>
      </c>
      <c r="T18" s="333" t="s">
        <v>2893</v>
      </c>
    </row>
    <row r="19" spans="2:20">
      <c r="B19" s="331" t="s">
        <v>1261</v>
      </c>
      <c r="C19" s="333" t="s">
        <v>1261</v>
      </c>
      <c r="D19" s="333"/>
      <c r="E19" s="333"/>
      <c r="F19" s="333" t="s">
        <v>2894</v>
      </c>
      <c r="G19" s="333"/>
      <c r="H19" s="333" t="s">
        <v>2895</v>
      </c>
      <c r="I19" s="333" t="s">
        <v>2896</v>
      </c>
      <c r="J19" s="333"/>
      <c r="K19" s="333"/>
      <c r="L19" s="333"/>
      <c r="M19" s="333"/>
      <c r="N19" s="333" t="s">
        <v>2897</v>
      </c>
      <c r="O19" s="333" t="s">
        <v>2898</v>
      </c>
      <c r="P19" s="333" t="s">
        <v>2899</v>
      </c>
      <c r="Q19" s="333" t="s">
        <v>2900</v>
      </c>
      <c r="R19" s="333" t="s">
        <v>2901</v>
      </c>
      <c r="S19" s="333" t="s">
        <v>2902</v>
      </c>
      <c r="T19" s="333" t="s">
        <v>2903</v>
      </c>
    </row>
    <row r="20" spans="2:20">
      <c r="B20" s="331" t="s">
        <v>1266</v>
      </c>
      <c r="C20" s="333"/>
      <c r="D20" s="333"/>
      <c r="E20" s="333"/>
      <c r="F20" s="333" t="s">
        <v>2904</v>
      </c>
      <c r="G20" s="333"/>
      <c r="H20" s="333"/>
      <c r="I20" s="333" t="s">
        <v>2905</v>
      </c>
      <c r="J20" s="333"/>
      <c r="K20" s="333"/>
      <c r="L20" s="333"/>
      <c r="M20" s="333"/>
      <c r="N20" s="333"/>
      <c r="O20" s="333"/>
      <c r="P20" s="333"/>
      <c r="Q20" s="333"/>
      <c r="R20" s="333"/>
      <c r="S20" s="333"/>
      <c r="T20" s="333"/>
    </row>
    <row r="21" spans="2:20">
      <c r="B21" s="331" t="s">
        <v>260</v>
      </c>
      <c r="C21" s="333" t="s">
        <v>260</v>
      </c>
      <c r="D21" s="333" t="s">
        <v>2906</v>
      </c>
      <c r="E21" s="333" t="s">
        <v>2907</v>
      </c>
      <c r="F21" s="333" t="s">
        <v>2908</v>
      </c>
      <c r="G21" s="333" t="s">
        <v>1675</v>
      </c>
      <c r="H21" s="333" t="s">
        <v>2909</v>
      </c>
      <c r="I21" s="333" t="s">
        <v>2910</v>
      </c>
      <c r="J21" s="333" t="s">
        <v>2911</v>
      </c>
      <c r="K21" s="333" t="s">
        <v>2912</v>
      </c>
      <c r="L21" s="333" t="s">
        <v>1284</v>
      </c>
      <c r="M21" s="333"/>
      <c r="N21" s="333" t="s">
        <v>2913</v>
      </c>
      <c r="O21" s="333" t="s">
        <v>2914</v>
      </c>
      <c r="P21" s="333" t="s">
        <v>1676</v>
      </c>
      <c r="Q21" s="333" t="s">
        <v>2915</v>
      </c>
      <c r="R21" s="333" t="s">
        <v>2916</v>
      </c>
      <c r="S21" s="333" t="s">
        <v>1673</v>
      </c>
      <c r="T21" s="333" t="s">
        <v>1674</v>
      </c>
    </row>
    <row r="22" spans="2:20">
      <c r="B22" s="331" t="s">
        <v>1222</v>
      </c>
      <c r="C22" s="333" t="s">
        <v>1222</v>
      </c>
      <c r="D22" s="333"/>
      <c r="E22" s="333" t="s">
        <v>2917</v>
      </c>
      <c r="F22" s="333" t="s">
        <v>2918</v>
      </c>
      <c r="G22" s="333" t="s">
        <v>2919</v>
      </c>
      <c r="H22" s="333" t="s">
        <v>2920</v>
      </c>
      <c r="I22" s="333" t="s">
        <v>2921</v>
      </c>
      <c r="J22" s="333"/>
      <c r="K22" s="333" t="s">
        <v>2922</v>
      </c>
      <c r="L22" s="333" t="s">
        <v>1301</v>
      </c>
      <c r="M22" s="333" t="s">
        <v>2923</v>
      </c>
      <c r="N22" s="333"/>
      <c r="O22" s="333"/>
      <c r="P22" s="333" t="s">
        <v>2924</v>
      </c>
      <c r="Q22" s="333" t="s">
        <v>2925</v>
      </c>
      <c r="R22" s="333"/>
      <c r="S22" s="333" t="s">
        <v>2926</v>
      </c>
      <c r="T22" s="333" t="s">
        <v>2927</v>
      </c>
    </row>
    <row r="23" spans="2:20">
      <c r="B23" s="331" t="s">
        <v>1224</v>
      </c>
      <c r="C23" s="333" t="s">
        <v>1224</v>
      </c>
      <c r="D23" s="333"/>
      <c r="E23" s="333" t="s">
        <v>2928</v>
      </c>
      <c r="F23" s="333" t="s">
        <v>2929</v>
      </c>
      <c r="G23" s="333"/>
      <c r="H23" s="333" t="s">
        <v>2930</v>
      </c>
      <c r="I23" s="333" t="s">
        <v>2931</v>
      </c>
      <c r="J23" s="333" t="s">
        <v>2932</v>
      </c>
      <c r="K23" s="333"/>
      <c r="L23" s="333"/>
      <c r="M23" s="333"/>
      <c r="N23" s="333" t="s">
        <v>2933</v>
      </c>
      <c r="O23" s="333" t="s">
        <v>2934</v>
      </c>
      <c r="P23" s="333" t="s">
        <v>2935</v>
      </c>
      <c r="Q23" s="333" t="s">
        <v>2936</v>
      </c>
      <c r="R23" s="333" t="s">
        <v>2937</v>
      </c>
      <c r="S23" s="333" t="s">
        <v>2938</v>
      </c>
      <c r="T23" s="333" t="s">
        <v>2939</v>
      </c>
    </row>
    <row r="24" spans="2:20">
      <c r="B24" s="331" t="s">
        <v>1195</v>
      </c>
      <c r="C24" s="333"/>
      <c r="D24" s="333"/>
      <c r="E24" s="333"/>
      <c r="F24" s="333"/>
      <c r="G24" s="333"/>
      <c r="H24" s="333"/>
      <c r="I24" s="333" t="s">
        <v>2940</v>
      </c>
      <c r="J24" s="333"/>
      <c r="K24" s="333"/>
      <c r="L24" s="333"/>
      <c r="M24" s="333"/>
      <c r="N24" s="333" t="s">
        <v>2941</v>
      </c>
      <c r="O24" s="333" t="s">
        <v>2942</v>
      </c>
      <c r="P24" s="333" t="s">
        <v>2943</v>
      </c>
      <c r="Q24" s="333" t="s">
        <v>2944</v>
      </c>
      <c r="R24" s="333"/>
      <c r="S24" s="333"/>
      <c r="T24" s="333" t="s">
        <v>2945</v>
      </c>
    </row>
    <row r="25" spans="2:20">
      <c r="B25" s="331" t="s">
        <v>1211</v>
      </c>
      <c r="C25" s="333" t="s">
        <v>1211</v>
      </c>
      <c r="D25" s="333"/>
      <c r="E25" s="333" t="s">
        <v>2946</v>
      </c>
      <c r="F25" s="333" t="s">
        <v>2947</v>
      </c>
      <c r="G25" s="333" t="s">
        <v>2948</v>
      </c>
      <c r="H25" s="333" t="s">
        <v>2949</v>
      </c>
      <c r="I25" s="333" t="s">
        <v>2950</v>
      </c>
      <c r="J25" s="333" t="s">
        <v>2951</v>
      </c>
      <c r="K25" s="333"/>
      <c r="L25" s="333"/>
      <c r="M25" s="333"/>
      <c r="N25" s="333"/>
      <c r="O25" s="333"/>
      <c r="P25" s="333" t="s">
        <v>2952</v>
      </c>
      <c r="Q25" s="333" t="s">
        <v>2953</v>
      </c>
      <c r="R25" s="333" t="s">
        <v>2954</v>
      </c>
      <c r="S25" s="333" t="s">
        <v>2955</v>
      </c>
      <c r="T25" s="333" t="s">
        <v>2956</v>
      </c>
    </row>
    <row r="26" spans="2:20">
      <c r="B26" s="331" t="s">
        <v>1112</v>
      </c>
      <c r="C26" s="333" t="s">
        <v>1112</v>
      </c>
      <c r="D26" s="333" t="s">
        <v>2957</v>
      </c>
      <c r="E26" s="333" t="s">
        <v>2958</v>
      </c>
      <c r="F26" s="333" t="s">
        <v>2959</v>
      </c>
      <c r="G26" s="333" t="s">
        <v>2960</v>
      </c>
      <c r="H26" s="333" t="s">
        <v>2961</v>
      </c>
      <c r="I26" s="333" t="s">
        <v>2962</v>
      </c>
      <c r="J26" s="333" t="s">
        <v>2963</v>
      </c>
      <c r="K26" s="333"/>
      <c r="L26" s="333"/>
      <c r="M26" s="333"/>
      <c r="N26" s="333" t="s">
        <v>2964</v>
      </c>
      <c r="O26" s="333" t="s">
        <v>2965</v>
      </c>
      <c r="P26" s="333" t="s">
        <v>2966</v>
      </c>
      <c r="Q26" s="333" t="s">
        <v>2967</v>
      </c>
      <c r="R26" s="333" t="s">
        <v>2968</v>
      </c>
      <c r="S26" s="333" t="s">
        <v>2969</v>
      </c>
      <c r="T26" s="333" t="s">
        <v>2970</v>
      </c>
    </row>
    <row r="27" spans="2:20">
      <c r="B27" s="331" t="s">
        <v>1192</v>
      </c>
      <c r="C27" s="333" t="s">
        <v>1192</v>
      </c>
      <c r="D27" s="333"/>
      <c r="E27" s="333" t="s">
        <v>2971</v>
      </c>
      <c r="F27" s="333" t="s">
        <v>2972</v>
      </c>
      <c r="G27" s="333" t="s">
        <v>2973</v>
      </c>
      <c r="H27" s="333"/>
      <c r="I27" s="333" t="s">
        <v>2974</v>
      </c>
      <c r="J27" s="333" t="s">
        <v>2975</v>
      </c>
      <c r="K27" s="333"/>
      <c r="L27" s="333"/>
      <c r="M27" s="333"/>
      <c r="N27" s="333" t="s">
        <v>2976</v>
      </c>
      <c r="O27" s="333" t="s">
        <v>2977</v>
      </c>
      <c r="P27" s="333" t="s">
        <v>2978</v>
      </c>
      <c r="Q27" s="333"/>
      <c r="R27" s="333"/>
      <c r="S27" s="333" t="s">
        <v>2979</v>
      </c>
      <c r="T27" s="333" t="s">
        <v>2980</v>
      </c>
    </row>
    <row r="28" spans="2:20">
      <c r="B28" s="331" t="s">
        <v>1298</v>
      </c>
      <c r="C28" s="333" t="s">
        <v>1298</v>
      </c>
      <c r="D28" s="333"/>
      <c r="E28" s="333"/>
      <c r="F28" s="333" t="s">
        <v>2981</v>
      </c>
      <c r="G28" s="333"/>
      <c r="H28" s="333" t="s">
        <v>2982</v>
      </c>
      <c r="I28" s="333"/>
      <c r="J28" s="333"/>
      <c r="K28" s="333"/>
      <c r="L28" s="333"/>
      <c r="M28" s="333"/>
      <c r="N28" s="333" t="s">
        <v>2983</v>
      </c>
      <c r="O28" s="333"/>
      <c r="P28" s="333" t="s">
        <v>2984</v>
      </c>
      <c r="Q28" s="333" t="s">
        <v>2985</v>
      </c>
      <c r="R28" s="333" t="s">
        <v>2986</v>
      </c>
      <c r="S28" s="333" t="s">
        <v>2987</v>
      </c>
      <c r="T28" s="333" t="s">
        <v>2988</v>
      </c>
    </row>
    <row r="29" spans="2:20">
      <c r="B29" s="331" t="s">
        <v>1299</v>
      </c>
      <c r="C29" s="333"/>
      <c r="D29" s="333"/>
      <c r="E29" s="333"/>
      <c r="F29" s="333" t="s">
        <v>2989</v>
      </c>
      <c r="G29" s="333"/>
      <c r="H29" s="333"/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</row>
    <row r="30" spans="2:20">
      <c r="B30" s="331" t="s">
        <v>1214</v>
      </c>
      <c r="C30" s="333" t="s">
        <v>1214</v>
      </c>
      <c r="D30" s="333"/>
      <c r="E30" s="333" t="s">
        <v>2990</v>
      </c>
      <c r="F30" s="333" t="s">
        <v>2991</v>
      </c>
      <c r="G30" s="333" t="s">
        <v>2992</v>
      </c>
      <c r="H30" s="333" t="s">
        <v>2993</v>
      </c>
      <c r="I30" s="333" t="s">
        <v>2994</v>
      </c>
      <c r="J30" s="333" t="s">
        <v>2995</v>
      </c>
      <c r="K30" s="333"/>
      <c r="L30" s="333"/>
      <c r="M30" s="333"/>
      <c r="N30" s="333"/>
      <c r="O30" s="333"/>
      <c r="P30" s="333" t="s">
        <v>2996</v>
      </c>
      <c r="Q30" s="333" t="s">
        <v>2997</v>
      </c>
      <c r="R30" s="333" t="s">
        <v>2998</v>
      </c>
      <c r="S30" s="333" t="s">
        <v>2999</v>
      </c>
      <c r="T30" s="333" t="s">
        <v>3000</v>
      </c>
    </row>
    <row r="31" spans="2:20">
      <c r="B31" s="331" t="s">
        <v>1114</v>
      </c>
      <c r="C31" s="333" t="s">
        <v>1114</v>
      </c>
      <c r="D31" s="333" t="s">
        <v>3001</v>
      </c>
      <c r="E31" s="333" t="s">
        <v>3002</v>
      </c>
      <c r="F31" s="333" t="s">
        <v>3003</v>
      </c>
      <c r="G31" s="333" t="s">
        <v>3004</v>
      </c>
      <c r="H31" s="333" t="s">
        <v>3005</v>
      </c>
      <c r="I31" s="333" t="s">
        <v>3006</v>
      </c>
      <c r="J31" s="333" t="s">
        <v>3007</v>
      </c>
      <c r="K31" s="333"/>
      <c r="L31" s="333"/>
      <c r="M31" s="333"/>
      <c r="N31" s="333" t="s">
        <v>3008</v>
      </c>
      <c r="O31" s="333" t="s">
        <v>3009</v>
      </c>
      <c r="P31" s="333" t="s">
        <v>3010</v>
      </c>
      <c r="Q31" s="333" t="s">
        <v>3011</v>
      </c>
      <c r="R31" s="333" t="s">
        <v>3012</v>
      </c>
      <c r="S31" s="333" t="s">
        <v>3013</v>
      </c>
      <c r="T31" s="333" t="s">
        <v>3014</v>
      </c>
    </row>
    <row r="32" spans="2:20">
      <c r="B32" s="331" t="s">
        <v>1163</v>
      </c>
      <c r="C32" s="333" t="s">
        <v>1163</v>
      </c>
      <c r="D32" s="333" t="s">
        <v>3015</v>
      </c>
      <c r="E32" s="333" t="s">
        <v>3016</v>
      </c>
      <c r="F32" s="333" t="s">
        <v>3017</v>
      </c>
      <c r="G32" s="333" t="s">
        <v>3018</v>
      </c>
      <c r="H32" s="333" t="s">
        <v>3019</v>
      </c>
      <c r="I32" s="333" t="s">
        <v>3020</v>
      </c>
      <c r="J32" s="333" t="s">
        <v>3021</v>
      </c>
      <c r="K32" s="333" t="s">
        <v>3022</v>
      </c>
      <c r="L32" s="333" t="s">
        <v>3023</v>
      </c>
      <c r="M32" s="333" t="s">
        <v>3024</v>
      </c>
      <c r="N32" s="333" t="s">
        <v>3025</v>
      </c>
      <c r="O32" s="333" t="s">
        <v>3026</v>
      </c>
      <c r="P32" s="333" t="s">
        <v>3027</v>
      </c>
      <c r="Q32" s="333" t="s">
        <v>3028</v>
      </c>
      <c r="R32" s="333" t="s">
        <v>3029</v>
      </c>
      <c r="S32" s="333" t="s">
        <v>3030</v>
      </c>
      <c r="T32" s="333" t="s">
        <v>3031</v>
      </c>
    </row>
    <row r="33" spans="2:20">
      <c r="B33" s="331" t="s">
        <v>1166</v>
      </c>
      <c r="C33" s="333"/>
      <c r="D33" s="333"/>
      <c r="E33" s="333"/>
      <c r="F33" s="333" t="s">
        <v>3032</v>
      </c>
      <c r="G33" s="333"/>
      <c r="H33" s="333"/>
      <c r="I33" s="333" t="s">
        <v>3033</v>
      </c>
      <c r="J33" s="333"/>
      <c r="K33" s="333"/>
      <c r="L33" s="333"/>
      <c r="M33" s="333" t="s">
        <v>3034</v>
      </c>
      <c r="N33" s="333"/>
      <c r="O33" s="333"/>
      <c r="P33" s="333"/>
      <c r="Q33" s="333"/>
      <c r="R33" s="333"/>
      <c r="S33" s="333"/>
      <c r="T33" s="333"/>
    </row>
    <row r="34" spans="2:20">
      <c r="B34" s="331" t="s">
        <v>1356</v>
      </c>
      <c r="C34" s="333" t="s">
        <v>1356</v>
      </c>
      <c r="D34" s="333"/>
      <c r="E34" s="333"/>
      <c r="F34" s="333"/>
      <c r="G34" s="333"/>
      <c r="H34" s="333"/>
      <c r="I34" s="333"/>
      <c r="J34" s="333"/>
      <c r="K34" s="333"/>
      <c r="L34" s="333"/>
      <c r="M34" s="333"/>
      <c r="N34" s="333"/>
      <c r="O34" s="333"/>
      <c r="P34" s="333"/>
      <c r="Q34" s="333"/>
      <c r="R34" s="333"/>
      <c r="S34" s="333"/>
      <c r="T34" s="333"/>
    </row>
    <row r="35" spans="2:20">
      <c r="B35" s="331" t="s">
        <v>1255</v>
      </c>
      <c r="C35" s="333"/>
      <c r="D35" s="333" t="s">
        <v>3035</v>
      </c>
      <c r="E35" s="333"/>
      <c r="F35" s="333"/>
      <c r="G35" s="333"/>
      <c r="H35" s="333"/>
      <c r="I35" s="333" t="s">
        <v>3036</v>
      </c>
      <c r="J35" s="333"/>
      <c r="K35" s="333" t="s">
        <v>3037</v>
      </c>
      <c r="L35" s="333" t="s">
        <v>1290</v>
      </c>
      <c r="M35" s="333"/>
      <c r="N35" s="333" t="s">
        <v>3038</v>
      </c>
      <c r="O35" s="333" t="s">
        <v>3039</v>
      </c>
      <c r="P35" s="333" t="s">
        <v>3040</v>
      </c>
      <c r="Q35" s="333" t="s">
        <v>3041</v>
      </c>
      <c r="R35" s="333" t="s">
        <v>3042</v>
      </c>
      <c r="S35" s="333" t="s">
        <v>3043</v>
      </c>
      <c r="T35" s="333" t="s">
        <v>3044</v>
      </c>
    </row>
    <row r="36" spans="2:20">
      <c r="B36" s="331" t="s">
        <v>1149</v>
      </c>
      <c r="C36" s="333" t="s">
        <v>1149</v>
      </c>
      <c r="D36" s="333" t="s">
        <v>3045</v>
      </c>
      <c r="E36" s="333" t="s">
        <v>3046</v>
      </c>
      <c r="F36" s="333" t="s">
        <v>3047</v>
      </c>
      <c r="G36" s="333"/>
      <c r="H36" s="333" t="s">
        <v>3048</v>
      </c>
      <c r="I36" s="333"/>
      <c r="J36" s="333" t="s">
        <v>3049</v>
      </c>
      <c r="K36" s="333"/>
      <c r="L36" s="333"/>
      <c r="M36" s="333"/>
      <c r="N36" s="333" t="s">
        <v>3050</v>
      </c>
      <c r="O36" s="333" t="s">
        <v>3051</v>
      </c>
      <c r="P36" s="333" t="s">
        <v>3052</v>
      </c>
      <c r="Q36" s="333" t="s">
        <v>3053</v>
      </c>
      <c r="R36" s="333" t="s">
        <v>3054</v>
      </c>
      <c r="S36" s="333" t="s">
        <v>3055</v>
      </c>
      <c r="T36" s="333" t="s">
        <v>3056</v>
      </c>
    </row>
    <row r="37" spans="2:20">
      <c r="B37" s="331" t="s">
        <v>306</v>
      </c>
      <c r="C37" s="333" t="s">
        <v>306</v>
      </c>
      <c r="D37" s="333"/>
      <c r="E37" s="333" t="s">
        <v>3057</v>
      </c>
      <c r="F37" s="333" t="s">
        <v>3058</v>
      </c>
      <c r="G37" s="333" t="s">
        <v>3059</v>
      </c>
      <c r="H37" s="333" t="s">
        <v>3060</v>
      </c>
      <c r="I37" s="333" t="s">
        <v>3061</v>
      </c>
      <c r="J37" s="333" t="s">
        <v>3062</v>
      </c>
      <c r="K37" s="333"/>
      <c r="L37" s="333"/>
      <c r="M37" s="333"/>
      <c r="N37" s="333"/>
      <c r="O37" s="333"/>
      <c r="P37" s="333" t="s">
        <v>3063</v>
      </c>
      <c r="Q37" s="333" t="s">
        <v>3064</v>
      </c>
      <c r="R37" s="333" t="s">
        <v>3065</v>
      </c>
      <c r="S37" s="333" t="s">
        <v>3066</v>
      </c>
      <c r="T37" s="333" t="s">
        <v>3067</v>
      </c>
    </row>
    <row r="38" spans="2:20">
      <c r="B38" s="331" t="s">
        <v>319</v>
      </c>
      <c r="C38" s="333" t="s">
        <v>319</v>
      </c>
      <c r="D38" s="333" t="s">
        <v>3068</v>
      </c>
      <c r="E38" s="333" t="s">
        <v>3069</v>
      </c>
      <c r="F38" s="333" t="s">
        <v>3070</v>
      </c>
      <c r="G38" s="333" t="s">
        <v>3071</v>
      </c>
      <c r="H38" s="333" t="s">
        <v>3072</v>
      </c>
      <c r="I38" s="333" t="s">
        <v>3073</v>
      </c>
      <c r="J38" s="333" t="s">
        <v>3074</v>
      </c>
      <c r="K38" s="333"/>
      <c r="L38" s="333"/>
      <c r="M38" s="333"/>
      <c r="N38" s="333" t="s">
        <v>3075</v>
      </c>
      <c r="O38" s="333" t="s">
        <v>3076</v>
      </c>
      <c r="P38" s="333" t="s">
        <v>3077</v>
      </c>
      <c r="Q38" s="333" t="s">
        <v>3078</v>
      </c>
      <c r="R38" s="333" t="s">
        <v>3079</v>
      </c>
      <c r="S38" s="333" t="s">
        <v>3080</v>
      </c>
      <c r="T38" s="333" t="s">
        <v>3081</v>
      </c>
    </row>
    <row r="39" spans="2:20">
      <c r="B39" s="331" t="s">
        <v>1145</v>
      </c>
      <c r="C39" s="333" t="s">
        <v>1145</v>
      </c>
      <c r="D39" s="333" t="s">
        <v>3082</v>
      </c>
      <c r="E39" s="333" t="s">
        <v>3083</v>
      </c>
      <c r="F39" s="333" t="s">
        <v>3084</v>
      </c>
      <c r="G39" s="333"/>
      <c r="H39" s="333" t="s">
        <v>3085</v>
      </c>
      <c r="I39" s="333" t="s">
        <v>3086</v>
      </c>
      <c r="J39" s="333" t="s">
        <v>3087</v>
      </c>
      <c r="K39" s="333"/>
      <c r="L39" s="333"/>
      <c r="M39" s="333"/>
      <c r="N39" s="333" t="s">
        <v>3088</v>
      </c>
      <c r="O39" s="333" t="s">
        <v>3089</v>
      </c>
      <c r="P39" s="333" t="s">
        <v>3090</v>
      </c>
      <c r="Q39" s="333" t="s">
        <v>3091</v>
      </c>
      <c r="R39" s="333" t="s">
        <v>3092</v>
      </c>
      <c r="S39" s="333" t="s">
        <v>3093</v>
      </c>
      <c r="T39" s="333" t="s">
        <v>3094</v>
      </c>
    </row>
    <row r="40" spans="2:20">
      <c r="B40" s="331" t="s">
        <v>1282</v>
      </c>
      <c r="C40" s="333" t="s">
        <v>1282</v>
      </c>
      <c r="D40" s="333"/>
      <c r="E40" s="333"/>
      <c r="F40" s="333" t="s">
        <v>3095</v>
      </c>
      <c r="G40" s="333"/>
      <c r="H40" s="333" t="s">
        <v>3096</v>
      </c>
      <c r="I40" s="333" t="s">
        <v>3097</v>
      </c>
      <c r="J40" s="333"/>
      <c r="K40" s="333"/>
      <c r="L40" s="333"/>
      <c r="M40" s="333"/>
      <c r="N40" s="333"/>
      <c r="O40" s="333"/>
      <c r="P40" s="333" t="s">
        <v>3098</v>
      </c>
      <c r="Q40" s="333" t="s">
        <v>3099</v>
      </c>
      <c r="R40" s="333" t="s">
        <v>3100</v>
      </c>
      <c r="S40" s="333" t="s">
        <v>3101</v>
      </c>
      <c r="T40" s="333" t="s">
        <v>3102</v>
      </c>
    </row>
    <row r="41" spans="2:20">
      <c r="B41" s="331" t="s">
        <v>1277</v>
      </c>
      <c r="C41" s="333" t="s">
        <v>1277</v>
      </c>
      <c r="D41" s="333" t="s">
        <v>3103</v>
      </c>
      <c r="E41" s="333" t="s">
        <v>3104</v>
      </c>
      <c r="F41" s="333" t="s">
        <v>3105</v>
      </c>
      <c r="G41" s="333" t="s">
        <v>3106</v>
      </c>
      <c r="H41" s="333" t="s">
        <v>3107</v>
      </c>
      <c r="I41" s="333" t="s">
        <v>3108</v>
      </c>
      <c r="J41" s="333" t="s">
        <v>3109</v>
      </c>
      <c r="K41" s="333"/>
      <c r="L41" s="333"/>
      <c r="M41" s="333"/>
      <c r="N41" s="333" t="s">
        <v>3110</v>
      </c>
      <c r="O41" s="333" t="s">
        <v>3111</v>
      </c>
      <c r="P41" s="333" t="s">
        <v>3112</v>
      </c>
      <c r="Q41" s="333" t="s">
        <v>3113</v>
      </c>
      <c r="R41" s="333" t="s">
        <v>3114</v>
      </c>
      <c r="S41" s="333" t="s">
        <v>3115</v>
      </c>
      <c r="T41" s="333" t="s">
        <v>3116</v>
      </c>
    </row>
    <row r="42" spans="2:20">
      <c r="B42" s="331" t="s">
        <v>1279</v>
      </c>
      <c r="C42" s="333" t="s">
        <v>1279</v>
      </c>
      <c r="D42" s="333"/>
      <c r="E42" s="333" t="s">
        <v>3117</v>
      </c>
      <c r="F42" s="333" t="s">
        <v>3118</v>
      </c>
      <c r="G42" s="333"/>
      <c r="H42" s="333" t="s">
        <v>3119</v>
      </c>
      <c r="I42" s="333" t="s">
        <v>3120</v>
      </c>
      <c r="J42" s="333" t="s">
        <v>3121</v>
      </c>
      <c r="K42" s="333"/>
      <c r="L42" s="333"/>
      <c r="M42" s="333"/>
      <c r="N42" s="333"/>
      <c r="O42" s="333"/>
      <c r="P42" s="333" t="s">
        <v>3122</v>
      </c>
      <c r="Q42" s="333" t="s">
        <v>3123</v>
      </c>
      <c r="R42" s="333"/>
      <c r="S42" s="333" t="s">
        <v>3124</v>
      </c>
      <c r="T42" s="333" t="s">
        <v>3125</v>
      </c>
    </row>
    <row r="43" spans="2:20">
      <c r="B43" s="331" t="s">
        <v>1176</v>
      </c>
      <c r="C43" s="333" t="s">
        <v>1176</v>
      </c>
      <c r="D43" s="333"/>
      <c r="E43" s="333" t="s">
        <v>3126</v>
      </c>
      <c r="F43" s="333" t="s">
        <v>3127</v>
      </c>
      <c r="G43" s="333" t="s">
        <v>3128</v>
      </c>
      <c r="H43" s="333" t="s">
        <v>3129</v>
      </c>
      <c r="I43" s="333" t="s">
        <v>3130</v>
      </c>
      <c r="J43" s="333" t="s">
        <v>3131</v>
      </c>
      <c r="K43" s="333"/>
      <c r="L43" s="333"/>
      <c r="M43" s="333"/>
      <c r="N43" s="333"/>
      <c r="O43" s="333"/>
      <c r="P43" s="333" t="s">
        <v>3132</v>
      </c>
      <c r="Q43" s="333" t="s">
        <v>3133</v>
      </c>
      <c r="R43" s="333" t="s">
        <v>3134</v>
      </c>
      <c r="S43" s="333" t="s">
        <v>3135</v>
      </c>
      <c r="T43" s="333" t="s">
        <v>3136</v>
      </c>
    </row>
    <row r="44" spans="2:20">
      <c r="B44" s="331" t="s">
        <v>1174</v>
      </c>
      <c r="C44" s="333" t="s">
        <v>1174</v>
      </c>
      <c r="D44" s="333"/>
      <c r="E44" s="333" t="s">
        <v>3137</v>
      </c>
      <c r="F44" s="333" t="s">
        <v>3138</v>
      </c>
      <c r="G44" s="333" t="s">
        <v>3139</v>
      </c>
      <c r="H44" s="333" t="s">
        <v>3140</v>
      </c>
      <c r="I44" s="333" t="s">
        <v>3141</v>
      </c>
      <c r="J44" s="333" t="s">
        <v>3142</v>
      </c>
      <c r="K44" s="333"/>
      <c r="L44" s="333"/>
      <c r="M44" s="333"/>
      <c r="N44" s="333"/>
      <c r="O44" s="333"/>
      <c r="P44" s="333" t="s">
        <v>3143</v>
      </c>
      <c r="Q44" s="333" t="s">
        <v>3144</v>
      </c>
      <c r="R44" s="333" t="s">
        <v>3145</v>
      </c>
      <c r="S44" s="333" t="s">
        <v>3146</v>
      </c>
      <c r="T44" s="333" t="s">
        <v>3147</v>
      </c>
    </row>
    <row r="45" spans="2:20">
      <c r="B45" s="331" t="s">
        <v>1118</v>
      </c>
      <c r="C45" s="333" t="s">
        <v>1118</v>
      </c>
      <c r="D45" s="333"/>
      <c r="E45" s="333"/>
      <c r="F45" s="333" t="s">
        <v>3148</v>
      </c>
      <c r="G45" s="333" t="s">
        <v>3149</v>
      </c>
      <c r="H45" s="333" t="s">
        <v>3150</v>
      </c>
      <c r="I45" s="333" t="s">
        <v>3151</v>
      </c>
      <c r="J45" s="333" t="s">
        <v>3152</v>
      </c>
      <c r="K45" s="333"/>
      <c r="L45" s="333"/>
      <c r="M45" s="333"/>
      <c r="N45" s="333"/>
      <c r="O45" s="333"/>
      <c r="P45" s="333" t="s">
        <v>3153</v>
      </c>
      <c r="Q45" s="333"/>
      <c r="R45" s="333"/>
      <c r="S45" s="333" t="s">
        <v>3154</v>
      </c>
      <c r="T45" s="333" t="s">
        <v>3155</v>
      </c>
    </row>
    <row r="46" spans="2:20">
      <c r="B46" s="331" t="s">
        <v>1189</v>
      </c>
      <c r="C46" s="333" t="s">
        <v>1189</v>
      </c>
      <c r="D46" s="333" t="s">
        <v>3156</v>
      </c>
      <c r="E46" s="333"/>
      <c r="F46" s="333" t="s">
        <v>3157</v>
      </c>
      <c r="G46" s="333" t="s">
        <v>3158</v>
      </c>
      <c r="H46" s="333" t="s">
        <v>3159</v>
      </c>
      <c r="I46" s="333" t="s">
        <v>3160</v>
      </c>
      <c r="J46" s="333"/>
      <c r="K46" s="333"/>
      <c r="L46" s="333"/>
      <c r="M46" s="333"/>
      <c r="N46" s="333" t="s">
        <v>3161</v>
      </c>
      <c r="O46" s="333" t="s">
        <v>3162</v>
      </c>
      <c r="P46" s="333" t="s">
        <v>3163</v>
      </c>
      <c r="Q46" s="333" t="s">
        <v>3164</v>
      </c>
      <c r="R46" s="333"/>
      <c r="S46" s="333" t="s">
        <v>3165</v>
      </c>
      <c r="T46" s="333" t="s">
        <v>3166</v>
      </c>
    </row>
    <row r="47" spans="2:20">
      <c r="B47" s="331" t="s">
        <v>604</v>
      </c>
      <c r="C47" s="333" t="s">
        <v>604</v>
      </c>
      <c r="D47" s="333" t="s">
        <v>3167</v>
      </c>
      <c r="E47" s="333" t="s">
        <v>3168</v>
      </c>
      <c r="F47" s="333" t="s">
        <v>3169</v>
      </c>
      <c r="G47" s="333" t="s">
        <v>3170</v>
      </c>
      <c r="H47" s="333" t="s">
        <v>3171</v>
      </c>
      <c r="I47" s="333" t="s">
        <v>3172</v>
      </c>
      <c r="J47" s="333" t="s">
        <v>3173</v>
      </c>
      <c r="K47" s="333"/>
      <c r="L47" s="333" t="s">
        <v>1383</v>
      </c>
      <c r="M47" s="333"/>
      <c r="N47" s="333" t="s">
        <v>3174</v>
      </c>
      <c r="O47" s="333"/>
      <c r="P47" s="333" t="s">
        <v>3175</v>
      </c>
      <c r="Q47" s="333" t="s">
        <v>3176</v>
      </c>
      <c r="R47" s="333" t="s">
        <v>3177</v>
      </c>
      <c r="S47" s="333" t="s">
        <v>3178</v>
      </c>
      <c r="T47" s="333" t="s">
        <v>3179</v>
      </c>
    </row>
    <row r="48" spans="2:20">
      <c r="B48" s="331" t="s">
        <v>1381</v>
      </c>
      <c r="C48" s="333" t="s">
        <v>1381</v>
      </c>
      <c r="D48" s="333"/>
      <c r="E48" s="333"/>
      <c r="F48" s="333" t="s">
        <v>3180</v>
      </c>
      <c r="G48" s="333"/>
      <c r="H48" s="333" t="s">
        <v>3181</v>
      </c>
      <c r="I48" s="333" t="s">
        <v>3182</v>
      </c>
      <c r="J48" s="333"/>
      <c r="K48" s="333"/>
      <c r="L48" s="333"/>
      <c r="M48" s="333"/>
      <c r="N48" s="333"/>
      <c r="O48" s="333"/>
      <c r="P48" s="333" t="s">
        <v>3183</v>
      </c>
      <c r="Q48" s="333" t="s">
        <v>3184</v>
      </c>
      <c r="R48" s="333"/>
      <c r="S48" s="333" t="s">
        <v>3185</v>
      </c>
      <c r="T48" s="333" t="s">
        <v>3186</v>
      </c>
    </row>
    <row r="49" spans="2:20">
      <c r="B49" s="331" t="s">
        <v>2183</v>
      </c>
      <c r="C49" s="333" t="s">
        <v>2183</v>
      </c>
      <c r="D49" s="333"/>
      <c r="E49" s="333"/>
      <c r="F49" s="333" t="s">
        <v>3187</v>
      </c>
      <c r="G49" s="333"/>
      <c r="H49" s="333"/>
      <c r="I49" s="333"/>
      <c r="J49" s="333"/>
      <c r="K49" s="333"/>
      <c r="L49" s="333"/>
      <c r="M49" s="333"/>
      <c r="N49" s="333"/>
      <c r="O49" s="333"/>
      <c r="P49" s="333"/>
      <c r="Q49" s="333"/>
      <c r="R49" s="333"/>
      <c r="S49" s="333"/>
      <c r="T49" s="333"/>
    </row>
    <row r="50" spans="2:20">
      <c r="B50" s="331" t="s">
        <v>5</v>
      </c>
      <c r="C50" s="333" t="s">
        <v>5</v>
      </c>
      <c r="D50" s="333"/>
      <c r="E50" s="333"/>
      <c r="F50" s="333" t="s">
        <v>3188</v>
      </c>
      <c r="G50" s="333"/>
      <c r="H50" s="333"/>
      <c r="I50" s="333"/>
      <c r="J50" s="333"/>
      <c r="K50" s="333"/>
      <c r="L50" s="333"/>
      <c r="M50" s="333"/>
      <c r="N50" s="333"/>
      <c r="O50" s="333"/>
      <c r="P50" s="333"/>
      <c r="Q50" s="333"/>
      <c r="R50" s="333"/>
      <c r="S50" s="333"/>
      <c r="T50" s="333"/>
    </row>
    <row r="51" spans="2:20">
      <c r="B51" s="331" t="s">
        <v>1837</v>
      </c>
      <c r="C51" s="333"/>
      <c r="D51" s="333"/>
      <c r="E51" s="333"/>
      <c r="F51" s="333" t="s">
        <v>3189</v>
      </c>
      <c r="G51" s="333"/>
      <c r="H51" s="333"/>
      <c r="I51" s="333"/>
      <c r="J51" s="333"/>
      <c r="K51" s="333"/>
      <c r="L51" s="333"/>
      <c r="M51" s="333"/>
      <c r="N51" s="333"/>
      <c r="O51" s="333"/>
      <c r="P51" s="333"/>
      <c r="Q51" s="333"/>
      <c r="R51" s="333"/>
      <c r="S51" s="333"/>
      <c r="T51" s="333"/>
    </row>
    <row r="52" spans="2:20">
      <c r="B52" s="331" t="s">
        <v>1309</v>
      </c>
      <c r="C52" s="333" t="s">
        <v>1309</v>
      </c>
      <c r="D52" s="333"/>
      <c r="E52" s="333"/>
      <c r="F52" s="333" t="s">
        <v>3190</v>
      </c>
      <c r="G52" s="333"/>
      <c r="H52" s="333" t="s">
        <v>3191</v>
      </c>
      <c r="I52" s="333" t="s">
        <v>3192</v>
      </c>
      <c r="J52" s="333"/>
      <c r="K52" s="333" t="s">
        <v>3193</v>
      </c>
      <c r="L52" s="333" t="s">
        <v>3194</v>
      </c>
      <c r="M52" s="333"/>
      <c r="N52" s="333" t="s">
        <v>3195</v>
      </c>
      <c r="O52" s="333"/>
      <c r="P52" s="333" t="s">
        <v>3196</v>
      </c>
      <c r="Q52" s="333" t="s">
        <v>3197</v>
      </c>
      <c r="R52" s="333" t="s">
        <v>3198</v>
      </c>
      <c r="S52" s="333" t="s">
        <v>3199</v>
      </c>
      <c r="T52" s="333" t="s">
        <v>3200</v>
      </c>
    </row>
    <row r="53" spans="2:20">
      <c r="B53" s="331" t="s">
        <v>1839</v>
      </c>
      <c r="C53" s="333"/>
      <c r="D53" s="333"/>
      <c r="E53" s="333"/>
      <c r="F53" s="333" t="s">
        <v>3201</v>
      </c>
      <c r="G53" s="333"/>
      <c r="H53" s="333"/>
      <c r="I53" s="333"/>
      <c r="J53" s="333"/>
      <c r="K53" s="333"/>
      <c r="L53" s="333"/>
      <c r="M53" s="333"/>
      <c r="N53" s="333"/>
      <c r="O53" s="333" t="s">
        <v>3202</v>
      </c>
      <c r="P53" s="333" t="s">
        <v>3203</v>
      </c>
      <c r="Q53" s="333"/>
      <c r="R53" s="333"/>
      <c r="S53" s="333"/>
      <c r="T53" s="333" t="s">
        <v>3204</v>
      </c>
    </row>
    <row r="54" spans="2:20">
      <c r="B54" s="331" t="s">
        <v>1180</v>
      </c>
      <c r="C54" s="333" t="s">
        <v>1180</v>
      </c>
      <c r="D54" s="333" t="s">
        <v>3205</v>
      </c>
      <c r="E54" s="333" t="s">
        <v>3206</v>
      </c>
      <c r="F54" s="333" t="s">
        <v>3207</v>
      </c>
      <c r="G54" s="333"/>
      <c r="H54" s="333" t="s">
        <v>3208</v>
      </c>
      <c r="I54" s="333" t="s">
        <v>3209</v>
      </c>
      <c r="J54" s="333" t="s">
        <v>3210</v>
      </c>
      <c r="K54" s="333"/>
      <c r="L54" s="333"/>
      <c r="M54" s="333"/>
      <c r="N54" s="333" t="s">
        <v>3211</v>
      </c>
      <c r="O54" s="333" t="s">
        <v>3212</v>
      </c>
      <c r="P54" s="333" t="s">
        <v>3213</v>
      </c>
      <c r="Q54" s="333" t="s">
        <v>3214</v>
      </c>
      <c r="R54" s="333" t="s">
        <v>3215</v>
      </c>
      <c r="S54" s="333" t="s">
        <v>3216</v>
      </c>
      <c r="T54" s="333" t="s">
        <v>3217</v>
      </c>
    </row>
    <row r="55" spans="2:20">
      <c r="B55" s="331" t="s">
        <v>1182</v>
      </c>
      <c r="C55" s="333" t="s">
        <v>1182</v>
      </c>
      <c r="D55" s="333"/>
      <c r="E55" s="333"/>
      <c r="F55" s="333" t="s">
        <v>3218</v>
      </c>
      <c r="G55" s="333"/>
      <c r="H55" s="333" t="s">
        <v>3219</v>
      </c>
      <c r="I55" s="333"/>
      <c r="J55" s="333" t="s">
        <v>3220</v>
      </c>
      <c r="K55" s="333"/>
      <c r="L55" s="333"/>
      <c r="M55" s="333"/>
      <c r="N55" s="333" t="s">
        <v>3221</v>
      </c>
      <c r="O55" s="333" t="s">
        <v>3222</v>
      </c>
      <c r="P55" s="333" t="s">
        <v>3223</v>
      </c>
      <c r="Q55" s="333" t="s">
        <v>3224</v>
      </c>
      <c r="R55" s="333" t="s">
        <v>3225</v>
      </c>
      <c r="S55" s="333" t="s">
        <v>3226</v>
      </c>
      <c r="T55" s="333" t="s">
        <v>3227</v>
      </c>
    </row>
    <row r="56" spans="2:20">
      <c r="B56" s="331" t="s">
        <v>1136</v>
      </c>
      <c r="C56" s="333" t="s">
        <v>1136</v>
      </c>
      <c r="D56" s="333" t="s">
        <v>3228</v>
      </c>
      <c r="E56" s="333" t="s">
        <v>3229</v>
      </c>
      <c r="F56" s="333" t="s">
        <v>3230</v>
      </c>
      <c r="G56" s="333"/>
      <c r="H56" s="333" t="s">
        <v>3231</v>
      </c>
      <c r="I56" s="333" t="s">
        <v>3232</v>
      </c>
      <c r="J56" s="333" t="s">
        <v>3233</v>
      </c>
      <c r="K56" s="333"/>
      <c r="L56" s="333"/>
      <c r="M56" s="333"/>
      <c r="N56" s="333" t="s">
        <v>3234</v>
      </c>
      <c r="O56" s="333" t="s">
        <v>3235</v>
      </c>
      <c r="P56" s="333" t="s">
        <v>3236</v>
      </c>
      <c r="Q56" s="333" t="s">
        <v>3237</v>
      </c>
      <c r="R56" s="333" t="s">
        <v>3238</v>
      </c>
      <c r="S56" s="333" t="s">
        <v>3239</v>
      </c>
      <c r="T56" s="333" t="s">
        <v>3240</v>
      </c>
    </row>
    <row r="57" spans="2:20">
      <c r="B57" s="331" t="s">
        <v>1366</v>
      </c>
      <c r="C57" s="333" t="s">
        <v>1366</v>
      </c>
      <c r="D57" s="333"/>
      <c r="E57" s="333"/>
      <c r="F57" s="333"/>
      <c r="G57" s="333"/>
      <c r="H57" s="333"/>
      <c r="I57" s="333"/>
      <c r="J57" s="333"/>
      <c r="K57" s="333"/>
      <c r="L57" s="333"/>
      <c r="M57" s="333"/>
      <c r="N57" s="333"/>
      <c r="O57" s="333"/>
      <c r="P57" s="333" t="s">
        <v>3241</v>
      </c>
      <c r="Q57" s="333" t="s">
        <v>3242</v>
      </c>
      <c r="R57" s="333"/>
      <c r="S57" s="333"/>
      <c r="T57" s="333"/>
    </row>
    <row r="58" spans="2:20">
      <c r="B58" s="331" t="s">
        <v>1134</v>
      </c>
      <c r="C58" s="333" t="s">
        <v>1134</v>
      </c>
      <c r="D58" s="333" t="s">
        <v>3243</v>
      </c>
      <c r="E58" s="333" t="s">
        <v>3244</v>
      </c>
      <c r="F58" s="333" t="s">
        <v>3245</v>
      </c>
      <c r="G58" s="333"/>
      <c r="H58" s="333" t="s">
        <v>3246</v>
      </c>
      <c r="I58" s="333" t="s">
        <v>3247</v>
      </c>
      <c r="J58" s="333" t="s">
        <v>3248</v>
      </c>
      <c r="K58" s="333"/>
      <c r="L58" s="333"/>
      <c r="M58" s="333"/>
      <c r="N58" s="333" t="s">
        <v>3249</v>
      </c>
      <c r="O58" s="333" t="s">
        <v>3250</v>
      </c>
      <c r="P58" s="333" t="s">
        <v>3251</v>
      </c>
      <c r="Q58" s="333" t="s">
        <v>3252</v>
      </c>
      <c r="R58" s="333" t="s">
        <v>3253</v>
      </c>
      <c r="S58" s="333" t="s">
        <v>3254</v>
      </c>
      <c r="T58" s="333" t="s">
        <v>3255</v>
      </c>
    </row>
    <row r="59" spans="2:20">
      <c r="B59" s="331" t="s">
        <v>1376</v>
      </c>
      <c r="C59" s="333" t="s">
        <v>1376</v>
      </c>
      <c r="D59" s="333"/>
      <c r="E59" s="333"/>
      <c r="F59" s="333" t="s">
        <v>3256</v>
      </c>
      <c r="G59" s="333"/>
      <c r="H59" s="333" t="s">
        <v>3257</v>
      </c>
      <c r="I59" s="333"/>
      <c r="J59" s="333"/>
      <c r="K59" s="333"/>
      <c r="L59" s="333"/>
      <c r="M59" s="333"/>
      <c r="N59" s="333"/>
      <c r="O59" s="333"/>
      <c r="P59" s="333"/>
      <c r="Q59" s="333"/>
      <c r="R59" s="333"/>
      <c r="S59" s="333"/>
      <c r="T59" s="333"/>
    </row>
    <row r="60" spans="2:20">
      <c r="B60" s="331" t="s">
        <v>1377</v>
      </c>
      <c r="C60" s="333" t="s">
        <v>1377</v>
      </c>
      <c r="D60" s="333"/>
      <c r="E60" s="333"/>
      <c r="F60" s="333" t="s">
        <v>3258</v>
      </c>
      <c r="G60" s="333"/>
      <c r="H60" s="333"/>
      <c r="I60" s="333"/>
      <c r="J60" s="333"/>
      <c r="K60" s="333"/>
      <c r="L60" s="333"/>
      <c r="M60" s="333"/>
      <c r="N60" s="333"/>
      <c r="O60" s="333"/>
      <c r="P60" s="333"/>
      <c r="Q60" s="333"/>
      <c r="R60" s="333"/>
      <c r="S60" s="333"/>
      <c r="T60" s="333"/>
    </row>
    <row r="61" spans="2:20">
      <c r="B61" s="331" t="s">
        <v>1159</v>
      </c>
      <c r="C61" s="333" t="s">
        <v>1159</v>
      </c>
      <c r="D61" s="333" t="s">
        <v>3259</v>
      </c>
      <c r="E61" s="333" t="s">
        <v>3260</v>
      </c>
      <c r="F61" s="333" t="s">
        <v>3261</v>
      </c>
      <c r="G61" s="333"/>
      <c r="H61" s="333" t="s">
        <v>3262</v>
      </c>
      <c r="I61" s="333" t="s">
        <v>3263</v>
      </c>
      <c r="J61" s="333" t="s">
        <v>3264</v>
      </c>
      <c r="K61" s="333" t="s">
        <v>3265</v>
      </c>
      <c r="L61" s="333" t="s">
        <v>1325</v>
      </c>
      <c r="M61" s="333" t="s">
        <v>3266</v>
      </c>
      <c r="N61" s="333" t="s">
        <v>3267</v>
      </c>
      <c r="O61" s="333" t="s">
        <v>3268</v>
      </c>
      <c r="P61" s="333" t="s">
        <v>3269</v>
      </c>
      <c r="Q61" s="333" t="s">
        <v>3270</v>
      </c>
      <c r="R61" s="333" t="s">
        <v>3271</v>
      </c>
      <c r="S61" s="333" t="s">
        <v>3272</v>
      </c>
      <c r="T61" s="333" t="s">
        <v>3273</v>
      </c>
    </row>
    <row r="62" spans="2:20">
      <c r="B62" s="331" t="s">
        <v>1810</v>
      </c>
      <c r="C62" s="333"/>
      <c r="D62" s="333"/>
      <c r="E62" s="333"/>
      <c r="F62" s="333"/>
      <c r="G62" s="333"/>
      <c r="H62" s="333"/>
      <c r="I62" s="333"/>
      <c r="J62" s="333"/>
      <c r="K62" s="333" t="s">
        <v>3274</v>
      </c>
      <c r="L62" s="333"/>
      <c r="M62" s="333"/>
      <c r="N62" s="333"/>
      <c r="O62" s="333"/>
      <c r="P62" s="333"/>
      <c r="Q62" s="333"/>
      <c r="R62" s="333"/>
      <c r="S62" s="333"/>
      <c r="T62" s="333"/>
    </row>
    <row r="63" spans="2:20">
      <c r="B63" s="331" t="s">
        <v>732</v>
      </c>
      <c r="C63" s="333" t="s">
        <v>732</v>
      </c>
      <c r="D63" s="333" t="s">
        <v>3275</v>
      </c>
      <c r="E63" s="333" t="s">
        <v>3276</v>
      </c>
      <c r="F63" s="333" t="s">
        <v>3277</v>
      </c>
      <c r="G63" s="333" t="s">
        <v>3278</v>
      </c>
      <c r="H63" s="333" t="s">
        <v>3279</v>
      </c>
      <c r="I63" s="333" t="s">
        <v>3280</v>
      </c>
      <c r="J63" s="333" t="s">
        <v>3281</v>
      </c>
      <c r="K63" s="333"/>
      <c r="L63" s="333"/>
      <c r="M63" s="333"/>
      <c r="N63" s="333" t="s">
        <v>3282</v>
      </c>
      <c r="O63" s="333" t="s">
        <v>3283</v>
      </c>
      <c r="P63" s="333" t="s">
        <v>3284</v>
      </c>
      <c r="Q63" s="333" t="s">
        <v>3285</v>
      </c>
      <c r="R63" s="333" t="s">
        <v>3286</v>
      </c>
      <c r="S63" s="333" t="s">
        <v>3287</v>
      </c>
      <c r="T63" s="333" t="s">
        <v>3288</v>
      </c>
    </row>
    <row r="64" spans="2:20">
      <c r="B64" s="331" t="s">
        <v>790</v>
      </c>
      <c r="C64" s="333" t="s">
        <v>790</v>
      </c>
      <c r="D64" s="333" t="s">
        <v>3289</v>
      </c>
      <c r="E64" s="333" t="s">
        <v>3290</v>
      </c>
      <c r="F64" s="333" t="s">
        <v>3291</v>
      </c>
      <c r="G64" s="333"/>
      <c r="H64" s="333" t="s">
        <v>3292</v>
      </c>
      <c r="I64" s="333" t="s">
        <v>3293</v>
      </c>
      <c r="J64" s="333" t="s">
        <v>3294</v>
      </c>
      <c r="K64" s="333" t="s">
        <v>3295</v>
      </c>
      <c r="L64" s="333" t="s">
        <v>1306</v>
      </c>
      <c r="M64" s="333"/>
      <c r="N64" s="333" t="s">
        <v>3296</v>
      </c>
      <c r="O64" s="333" t="s">
        <v>3297</v>
      </c>
      <c r="P64" s="333" t="s">
        <v>3298</v>
      </c>
      <c r="Q64" s="333" t="s">
        <v>3299</v>
      </c>
      <c r="R64" s="333" t="s">
        <v>3300</v>
      </c>
      <c r="S64" s="333" t="s">
        <v>3301</v>
      </c>
      <c r="T64" s="333" t="s">
        <v>3302</v>
      </c>
    </row>
    <row r="65" spans="2:20">
      <c r="B65" s="331" t="s">
        <v>1203</v>
      </c>
      <c r="C65" s="333" t="s">
        <v>1203</v>
      </c>
      <c r="D65" s="333" t="s">
        <v>3303</v>
      </c>
      <c r="E65" s="333"/>
      <c r="F65" s="333" t="s">
        <v>3304</v>
      </c>
      <c r="G65" s="333" t="s">
        <v>3305</v>
      </c>
      <c r="H65" s="333" t="s">
        <v>3306</v>
      </c>
      <c r="I65" s="333" t="s">
        <v>3307</v>
      </c>
      <c r="J65" s="333" t="s">
        <v>3308</v>
      </c>
      <c r="K65" s="333"/>
      <c r="L65" s="333"/>
      <c r="M65" s="333"/>
      <c r="N65" s="333" t="s">
        <v>3309</v>
      </c>
      <c r="O65" s="333" t="s">
        <v>3310</v>
      </c>
      <c r="P65" s="333" t="s">
        <v>3311</v>
      </c>
      <c r="Q65" s="333"/>
      <c r="R65" s="333" t="s">
        <v>3312</v>
      </c>
      <c r="S65" s="333" t="s">
        <v>3313</v>
      </c>
      <c r="T65" s="333" t="s">
        <v>3314</v>
      </c>
    </row>
    <row r="66" spans="2:20">
      <c r="B66" s="331" t="s">
        <v>868</v>
      </c>
      <c r="C66" s="333" t="s">
        <v>868</v>
      </c>
      <c r="D66" s="333"/>
      <c r="E66" s="333"/>
      <c r="F66" s="333" t="s">
        <v>3315</v>
      </c>
      <c r="G66" s="333"/>
      <c r="H66" s="333" t="s">
        <v>3316</v>
      </c>
      <c r="I66" s="333" t="s">
        <v>3317</v>
      </c>
      <c r="J66" s="333"/>
      <c r="K66" s="333"/>
      <c r="L66" s="333"/>
      <c r="M66" s="333"/>
      <c r="N66" s="333"/>
      <c r="O66" s="333"/>
      <c r="P66" s="333" t="s">
        <v>3318</v>
      </c>
      <c r="Q66" s="333"/>
      <c r="R66" s="333"/>
      <c r="S66" s="333"/>
      <c r="T66" s="333"/>
    </row>
    <row r="67" spans="2:20">
      <c r="B67" s="331" t="s">
        <v>1338</v>
      </c>
      <c r="C67" s="333" t="s">
        <v>1338</v>
      </c>
      <c r="D67" s="333"/>
      <c r="E67" s="333"/>
      <c r="F67" s="333" t="s">
        <v>3319</v>
      </c>
      <c r="G67" s="333"/>
      <c r="H67" s="333" t="s">
        <v>3320</v>
      </c>
      <c r="I67" s="333"/>
      <c r="J67" s="333"/>
      <c r="K67" s="333"/>
      <c r="L67" s="333"/>
      <c r="M67" s="333"/>
      <c r="N67" s="333"/>
      <c r="O67" s="333"/>
      <c r="P67" s="333" t="s">
        <v>3321</v>
      </c>
      <c r="Q67" s="333"/>
      <c r="R67" s="333"/>
      <c r="S67" s="333" t="s">
        <v>3322</v>
      </c>
      <c r="T67" s="333"/>
    </row>
    <row r="68" spans="2:20">
      <c r="B68" s="331" t="s">
        <v>835</v>
      </c>
      <c r="C68" s="333" t="s">
        <v>835</v>
      </c>
      <c r="D68" s="333" t="s">
        <v>3323</v>
      </c>
      <c r="E68" s="333" t="s">
        <v>3324</v>
      </c>
      <c r="F68" s="333" t="s">
        <v>3325</v>
      </c>
      <c r="G68" s="333"/>
      <c r="H68" s="333" t="s">
        <v>3326</v>
      </c>
      <c r="I68" s="333" t="s">
        <v>3327</v>
      </c>
      <c r="J68" s="333" t="s">
        <v>3328</v>
      </c>
      <c r="K68" s="333"/>
      <c r="L68" s="333"/>
      <c r="M68" s="333"/>
      <c r="N68" s="333" t="s">
        <v>3329</v>
      </c>
      <c r="O68" s="333" t="s">
        <v>3330</v>
      </c>
      <c r="P68" s="333" t="s">
        <v>3331</v>
      </c>
      <c r="Q68" s="333" t="s">
        <v>3332</v>
      </c>
      <c r="R68" s="333" t="s">
        <v>3333</v>
      </c>
      <c r="S68" s="333" t="s">
        <v>3334</v>
      </c>
      <c r="T68" s="333" t="s">
        <v>3335</v>
      </c>
    </row>
    <row r="69" spans="2:20">
      <c r="B69" s="331" t="s">
        <v>1329</v>
      </c>
      <c r="C69" s="333" t="s">
        <v>1329</v>
      </c>
      <c r="D69" s="333"/>
      <c r="E69" s="333"/>
      <c r="F69" s="333"/>
      <c r="G69" s="333"/>
      <c r="H69" s="333"/>
      <c r="I69" s="333"/>
      <c r="J69" s="333"/>
      <c r="K69" s="333"/>
      <c r="L69" s="333"/>
      <c r="M69" s="333"/>
      <c r="N69" s="333"/>
      <c r="O69" s="333"/>
      <c r="P69" s="333"/>
      <c r="Q69" s="333"/>
      <c r="R69" s="333"/>
      <c r="S69" s="333"/>
      <c r="T69" s="333" t="s">
        <v>3336</v>
      </c>
    </row>
    <row r="70" spans="2:20">
      <c r="B70" s="331" t="s">
        <v>1304</v>
      </c>
      <c r="C70" s="333" t="s">
        <v>1304</v>
      </c>
      <c r="D70" s="333"/>
      <c r="E70" s="333"/>
      <c r="F70" s="333" t="s">
        <v>3337</v>
      </c>
      <c r="G70" s="333"/>
      <c r="H70" s="333" t="s">
        <v>3338</v>
      </c>
      <c r="I70" s="333" t="s">
        <v>3339</v>
      </c>
      <c r="J70" s="333"/>
      <c r="K70" s="333"/>
      <c r="L70" s="333"/>
      <c r="M70" s="333"/>
      <c r="N70" s="333" t="s">
        <v>3340</v>
      </c>
      <c r="O70" s="333" t="s">
        <v>3341</v>
      </c>
      <c r="P70" s="333" t="s">
        <v>3342</v>
      </c>
      <c r="Q70" s="333" t="s">
        <v>3343</v>
      </c>
      <c r="R70" s="333" t="s">
        <v>3344</v>
      </c>
      <c r="S70" s="333"/>
      <c r="T70" s="333" t="s">
        <v>3345</v>
      </c>
    </row>
    <row r="71" spans="2:20">
      <c r="B71" s="331" t="s">
        <v>1155</v>
      </c>
      <c r="C71" s="333" t="s">
        <v>1155</v>
      </c>
      <c r="D71" s="333" t="s">
        <v>3346</v>
      </c>
      <c r="E71" s="333" t="s">
        <v>3347</v>
      </c>
      <c r="F71" s="333" t="s">
        <v>3348</v>
      </c>
      <c r="G71" s="333"/>
      <c r="H71" s="333" t="s">
        <v>3349</v>
      </c>
      <c r="I71" s="333" t="s">
        <v>3350</v>
      </c>
      <c r="J71" s="333" t="s">
        <v>3351</v>
      </c>
      <c r="K71" s="333"/>
      <c r="L71" s="333"/>
      <c r="M71" s="333"/>
      <c r="N71" s="333" t="s">
        <v>3352</v>
      </c>
      <c r="O71" s="333" t="s">
        <v>3353</v>
      </c>
      <c r="P71" s="333" t="s">
        <v>3354</v>
      </c>
      <c r="Q71" s="333" t="s">
        <v>3355</v>
      </c>
      <c r="R71" s="333" t="s">
        <v>3356</v>
      </c>
      <c r="S71" s="333" t="s">
        <v>3357</v>
      </c>
      <c r="T71" s="333"/>
    </row>
    <row r="72" spans="2:20">
      <c r="B72" s="331" t="s">
        <v>889</v>
      </c>
      <c r="C72" s="333" t="s">
        <v>889</v>
      </c>
      <c r="D72" s="333" t="s">
        <v>3358</v>
      </c>
      <c r="E72" s="333" t="s">
        <v>3359</v>
      </c>
      <c r="F72" s="333" t="s">
        <v>3360</v>
      </c>
      <c r="G72" s="333" t="s">
        <v>3361</v>
      </c>
      <c r="H72" s="333" t="s">
        <v>3362</v>
      </c>
      <c r="I72" s="333" t="s">
        <v>3363</v>
      </c>
      <c r="J72" s="333" t="s">
        <v>3364</v>
      </c>
      <c r="K72" s="333"/>
      <c r="L72" s="333"/>
      <c r="M72" s="333"/>
      <c r="N72" s="333" t="s">
        <v>3365</v>
      </c>
      <c r="O72" s="333" t="s">
        <v>3366</v>
      </c>
      <c r="P72" s="333" t="s">
        <v>3367</v>
      </c>
      <c r="Q72" s="333" t="s">
        <v>3368</v>
      </c>
      <c r="R72" s="333"/>
      <c r="S72" s="333" t="s">
        <v>3369</v>
      </c>
      <c r="T72" s="333" t="s">
        <v>3370</v>
      </c>
    </row>
    <row r="73" spans="2:20">
      <c r="B73" s="331" t="s">
        <v>1230</v>
      </c>
      <c r="C73" s="333" t="s">
        <v>1230</v>
      </c>
      <c r="D73" s="333" t="s">
        <v>3371</v>
      </c>
      <c r="E73" s="333" t="s">
        <v>3372</v>
      </c>
      <c r="F73" s="333" t="s">
        <v>3373</v>
      </c>
      <c r="G73" s="333"/>
      <c r="H73" s="333" t="s">
        <v>3374</v>
      </c>
      <c r="I73" s="333" t="s">
        <v>3375</v>
      </c>
      <c r="J73" s="333"/>
      <c r="K73" s="333"/>
      <c r="L73" s="333"/>
      <c r="M73" s="333"/>
      <c r="N73" s="333" t="s">
        <v>3376</v>
      </c>
      <c r="O73" s="333" t="s">
        <v>3377</v>
      </c>
      <c r="P73" s="333" t="s">
        <v>3378</v>
      </c>
      <c r="Q73" s="333"/>
      <c r="R73" s="333"/>
      <c r="S73" s="333"/>
      <c r="T73" s="333"/>
    </row>
    <row r="74" spans="2:20">
      <c r="B74" s="331" t="s">
        <v>1246</v>
      </c>
      <c r="C74" s="333" t="s">
        <v>1246</v>
      </c>
      <c r="D74" s="333"/>
      <c r="E74" s="333"/>
      <c r="F74" s="333"/>
      <c r="G74" s="333"/>
      <c r="H74" s="333"/>
      <c r="I74" s="333" t="s">
        <v>3379</v>
      </c>
      <c r="J74" s="333"/>
      <c r="K74" s="333"/>
      <c r="L74" s="333"/>
      <c r="M74" s="333"/>
      <c r="N74" s="333" t="s">
        <v>3380</v>
      </c>
      <c r="O74" s="333" t="s">
        <v>3381</v>
      </c>
      <c r="P74" s="333"/>
      <c r="Q74" s="333" t="s">
        <v>3382</v>
      </c>
      <c r="R74" s="333" t="s">
        <v>3383</v>
      </c>
      <c r="S74" s="333" t="s">
        <v>3384</v>
      </c>
      <c r="T74" s="333" t="s">
        <v>3385</v>
      </c>
    </row>
    <row r="75" spans="2:20">
      <c r="B75" s="331" t="s">
        <v>921</v>
      </c>
      <c r="C75" s="333" t="s">
        <v>921</v>
      </c>
      <c r="D75" s="333" t="s">
        <v>3386</v>
      </c>
      <c r="E75" s="333" t="s">
        <v>3387</v>
      </c>
      <c r="F75" s="333" t="s">
        <v>3388</v>
      </c>
      <c r="G75" s="333"/>
      <c r="H75" s="333" t="s">
        <v>3389</v>
      </c>
      <c r="I75" s="333" t="s">
        <v>3390</v>
      </c>
      <c r="J75" s="333" t="s">
        <v>3391</v>
      </c>
      <c r="K75" s="333" t="s">
        <v>3392</v>
      </c>
      <c r="L75" s="333"/>
      <c r="M75" s="333"/>
      <c r="N75" s="333" t="s">
        <v>3393</v>
      </c>
      <c r="O75" s="333" t="s">
        <v>3394</v>
      </c>
      <c r="P75" s="333" t="s">
        <v>3395</v>
      </c>
      <c r="Q75" s="333" t="s">
        <v>3396</v>
      </c>
      <c r="R75" s="333" t="s">
        <v>3397</v>
      </c>
      <c r="S75" s="333" t="s">
        <v>3398</v>
      </c>
      <c r="T75" s="333" t="s">
        <v>3399</v>
      </c>
    </row>
    <row r="76" spans="2:20">
      <c r="B76" s="331" t="s">
        <v>760</v>
      </c>
      <c r="C76" s="333" t="s">
        <v>760</v>
      </c>
      <c r="D76" s="333" t="s">
        <v>3400</v>
      </c>
      <c r="E76" s="333" t="s">
        <v>3401</v>
      </c>
      <c r="F76" s="333" t="s">
        <v>3402</v>
      </c>
      <c r="G76" s="333" t="s">
        <v>3403</v>
      </c>
      <c r="H76" s="333" t="s">
        <v>3404</v>
      </c>
      <c r="I76" s="333" t="s">
        <v>3405</v>
      </c>
      <c r="J76" s="333" t="s">
        <v>3406</v>
      </c>
      <c r="K76" s="333"/>
      <c r="L76" s="333"/>
      <c r="M76" s="333"/>
      <c r="N76" s="333" t="s">
        <v>3407</v>
      </c>
      <c r="O76" s="333" t="s">
        <v>3408</v>
      </c>
      <c r="P76" s="333" t="s">
        <v>3409</v>
      </c>
      <c r="Q76" s="333" t="s">
        <v>3410</v>
      </c>
      <c r="R76" s="333" t="s">
        <v>3411</v>
      </c>
      <c r="S76" s="333" t="s">
        <v>3412</v>
      </c>
      <c r="T76" s="333" t="s">
        <v>3413</v>
      </c>
    </row>
    <row r="77" spans="2:20">
      <c r="B77" s="331" t="s">
        <v>1110</v>
      </c>
      <c r="C77" s="333" t="s">
        <v>1110</v>
      </c>
      <c r="D77" s="333" t="s">
        <v>3414</v>
      </c>
      <c r="E77" s="333"/>
      <c r="F77" s="333" t="s">
        <v>3415</v>
      </c>
      <c r="G77" s="333"/>
      <c r="H77" s="333" t="s">
        <v>3416</v>
      </c>
      <c r="I77" s="333" t="s">
        <v>3417</v>
      </c>
      <c r="J77" s="333" t="s">
        <v>3418</v>
      </c>
      <c r="K77" s="333"/>
      <c r="L77" s="333"/>
      <c r="M77" s="333"/>
      <c r="N77" s="333" t="s">
        <v>3419</v>
      </c>
      <c r="O77" s="333" t="s">
        <v>3420</v>
      </c>
      <c r="P77" s="333" t="s">
        <v>3421</v>
      </c>
      <c r="Q77" s="333" t="s">
        <v>3422</v>
      </c>
      <c r="R77" s="333" t="s">
        <v>3423</v>
      </c>
      <c r="S77" s="333" t="s">
        <v>3424</v>
      </c>
      <c r="T77" s="333" t="s">
        <v>3425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11C49-18E1-46A3-BC20-854CF16E237A}">
  <dimension ref="B1:AS103"/>
  <sheetViews>
    <sheetView showGridLines="0" topLeftCell="F1" zoomScale="90" zoomScaleNormal="90" workbookViewId="0">
      <pane ySplit="3" topLeftCell="A79" activePane="bottomLeft" state="frozen"/>
      <selection activeCell="C12" sqref="C12"/>
      <selection pane="bottomLeft" activeCell="Q3" sqref="Q3:AC87"/>
    </sheetView>
  </sheetViews>
  <sheetFormatPr defaultColWidth="10" defaultRowHeight="25.5" outlineLevelCol="1"/>
  <cols>
    <col min="1" max="1" width="3.75" style="41" customWidth="1"/>
    <col min="2" max="2" width="11.125" style="40" customWidth="1"/>
    <col min="3" max="5" width="14.875" customWidth="1"/>
    <col min="6" max="6" width="14.875" style="39" customWidth="1"/>
    <col min="7" max="7" width="14.875" style="36" customWidth="1"/>
    <col min="8" max="11" width="14.875" customWidth="1"/>
    <col min="12" max="14" width="15.375" customWidth="1"/>
    <col min="15" max="15" width="15.875" style="43" hidden="1" customWidth="1" outlineLevel="1"/>
    <col min="16" max="16" width="10" collapsed="1"/>
    <col min="19" max="19" width="12.75" bestFit="1" customWidth="1"/>
    <col min="20" max="20" width="9.875" style="36" bestFit="1" customWidth="1"/>
    <col min="21" max="21" width="12.75" style="36" bestFit="1" customWidth="1"/>
    <col min="22" max="23" width="12.75" bestFit="1" customWidth="1"/>
    <col min="24" max="24" width="9.875" bestFit="1" customWidth="1"/>
    <col min="25" max="25" width="12.75" bestFit="1" customWidth="1"/>
    <col min="26" max="26" width="12.75" style="41" bestFit="1" customWidth="1"/>
    <col min="27" max="27" width="23.875" bestFit="1" customWidth="1"/>
    <col min="28" max="28" width="18.75" style="36" bestFit="1" customWidth="1"/>
    <col min="29" max="29" width="18.75" bestFit="1" customWidth="1"/>
    <col min="30" max="30" width="15.125" style="43" customWidth="1"/>
    <col min="31" max="31" width="18.75" style="36" bestFit="1" customWidth="1"/>
    <col min="32" max="32" width="17.25" customWidth="1"/>
    <col min="35" max="35" width="18.75" bestFit="1" customWidth="1"/>
    <col min="37" max="38" width="18.75" bestFit="1" customWidth="1"/>
    <col min="41" max="41" width="13.375" style="43" customWidth="1"/>
    <col min="42" max="42" width="13.375" style="43" hidden="1" customWidth="1" outlineLevel="1"/>
    <col min="43" max="43" width="13.75" style="42" hidden="1" customWidth="1" outlineLevel="1"/>
    <col min="44" max="44" width="13.75" style="42" customWidth="1" collapsed="1"/>
    <col min="45" max="45" width="19.125" style="42" customWidth="1"/>
    <col min="46" max="47" width="14.875" style="41" customWidth="1"/>
    <col min="48" max="48" width="21.25" style="41" customWidth="1"/>
    <col min="49" max="49" width="25" style="41" customWidth="1"/>
    <col min="50" max="16384" width="10" style="41"/>
  </cols>
  <sheetData>
    <row r="1" spans="2:45" s="39" customFormat="1" ht="26.25" customHeight="1">
      <c r="B1" s="205" cm="1">
        <f t="array" ref="B1" xml:space="preserve"> COLUMN() - COLUMN($A:$A)</f>
        <v>1</v>
      </c>
      <c r="C1" s="205" cm="1">
        <f t="array" ref="C1" xml:space="preserve"> COLUMN() - COLUMN($A:$A)</f>
        <v>2</v>
      </c>
      <c r="D1" s="205" cm="1">
        <f t="array" ref="D1" xml:space="preserve"> COLUMN() - COLUMN($A:$A)</f>
        <v>3</v>
      </c>
      <c r="E1" s="205" cm="1">
        <f t="array" ref="E1" xml:space="preserve"> COLUMN() - COLUMN($A:$A)</f>
        <v>4</v>
      </c>
      <c r="F1" s="205" cm="1">
        <f t="array" ref="F1" xml:space="preserve"> COLUMN() - COLUMN($A:$A)</f>
        <v>5</v>
      </c>
      <c r="G1" s="205" cm="1">
        <f t="array" ref="G1" xml:space="preserve"> COLUMN() - COLUMN($A:$A)</f>
        <v>6</v>
      </c>
      <c r="H1" s="205" cm="1">
        <f t="array" ref="H1" xml:space="preserve"> COLUMN() - COLUMN($A:$A)</f>
        <v>7</v>
      </c>
      <c r="I1" s="205" cm="1">
        <f t="array" ref="I1" xml:space="preserve"> COLUMN() - COLUMN($A:$A)</f>
        <v>8</v>
      </c>
      <c r="J1" s="205" cm="1">
        <f t="array" ref="J1" xml:space="preserve"> COLUMN() - COLUMN($A:$A)</f>
        <v>9</v>
      </c>
      <c r="K1" s="205" cm="1">
        <f t="array" ref="K1" xml:space="preserve"> COLUMN() - COLUMN($A:$A)</f>
        <v>10</v>
      </c>
      <c r="L1" s="205" cm="1">
        <f t="array" ref="L1" xml:space="preserve"> COLUMN() - COLUMN($A:$A)</f>
        <v>11</v>
      </c>
      <c r="M1" s="205" cm="1">
        <f t="array" ref="M1" xml:space="preserve"> COLUMN() - COLUMN($A:$A)</f>
        <v>12</v>
      </c>
      <c r="N1" s="205" cm="1">
        <f t="array" ref="N1" xml:space="preserve"> COLUMN() - COLUMN($A:$A)</f>
        <v>13</v>
      </c>
      <c r="O1" s="205" cm="1">
        <f t="array" ref="O1" xml:space="preserve"> COLUMN() - COLUMN($A:$A)</f>
        <v>14</v>
      </c>
    </row>
    <row r="2" spans="2:45" ht="26.25" customHeight="1">
      <c r="C2" s="41"/>
      <c r="D2" s="43"/>
      <c r="E2" s="41"/>
      <c r="F2" s="42"/>
      <c r="G2" s="43"/>
      <c r="H2" s="42"/>
      <c r="I2" s="42"/>
      <c r="J2" s="42"/>
      <c r="K2" s="42"/>
      <c r="L2" s="41"/>
      <c r="M2" s="41"/>
      <c r="N2" s="39"/>
      <c r="P2" s="41"/>
      <c r="Q2" s="41"/>
      <c r="R2" s="41"/>
      <c r="S2" s="41"/>
      <c r="T2" s="41"/>
      <c r="U2" s="41"/>
      <c r="V2" s="41"/>
      <c r="W2" s="41"/>
      <c r="X2" s="41"/>
      <c r="Y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</row>
    <row r="3" spans="2:45" ht="27" customHeight="1">
      <c r="B3" s="370" t="s">
        <v>1098</v>
      </c>
      <c r="C3" s="370" t="s">
        <v>978</v>
      </c>
      <c r="D3" s="371" t="s">
        <v>1100</v>
      </c>
      <c r="E3" s="370" t="s">
        <v>977</v>
      </c>
      <c r="F3" s="370" t="s">
        <v>979</v>
      </c>
      <c r="G3" s="370" t="s">
        <v>1101</v>
      </c>
      <c r="H3" s="370" t="s">
        <v>2187</v>
      </c>
      <c r="I3" s="370" t="s">
        <v>1102</v>
      </c>
      <c r="J3" s="370" t="s">
        <v>983</v>
      </c>
      <c r="K3" s="370" t="s">
        <v>3625</v>
      </c>
      <c r="L3" s="372" t="s">
        <v>1099</v>
      </c>
      <c r="M3" s="372" t="s">
        <v>1104</v>
      </c>
      <c r="N3" s="372" t="s">
        <v>2202</v>
      </c>
      <c r="O3" s="44" t="s">
        <v>1103</v>
      </c>
      <c r="P3" s="41"/>
      <c r="Q3" s="400" t="str" cm="1">
        <f t="array" ref="Q3:AC87">_xlfn._xlws.FILTER(B2:N103, G2:G103&lt;&gt;"") &amp; ""</f>
        <v>識別號</v>
      </c>
      <c r="R3" s="400" t="str">
        <v>漢字例</v>
      </c>
      <c r="S3" s="400" t="str">
        <v>國際音標</v>
      </c>
      <c r="T3" s="400" t="str">
        <v>十五音</v>
      </c>
      <c r="U3" s="400" t="str">
        <v>方音符號</v>
      </c>
      <c r="V3" s="400" t="str">
        <v>台語音標</v>
      </c>
      <c r="W3" s="400" t="str">
        <v>台羅拼音</v>
      </c>
      <c r="X3" s="400" t="str">
        <v>白話字</v>
      </c>
      <c r="Y3" s="400" t="str">
        <v>閩拼方案</v>
      </c>
      <c r="Z3" s="400" t="str">
        <v>注音二式</v>
      </c>
      <c r="AA3" s="400" t="str">
        <v>舒促聲</v>
      </c>
      <c r="AB3" s="400" t="str">
        <v>十五音識別碼</v>
      </c>
      <c r="AC3" s="400" t="str">
        <v>十五音韻母序</v>
      </c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</row>
    <row r="4" spans="2:45" ht="54" customHeight="1">
      <c r="B4" s="374">
        <v>1</v>
      </c>
      <c r="C4" s="375" t="s">
        <v>1107</v>
      </c>
      <c r="D4" s="376" t="s">
        <v>760</v>
      </c>
      <c r="E4" s="377" t="s">
        <v>1106</v>
      </c>
      <c r="F4" s="378" t="s">
        <v>761</v>
      </c>
      <c r="G4" s="379" t="s">
        <v>760</v>
      </c>
      <c r="H4" s="380" t="s">
        <v>760</v>
      </c>
      <c r="I4" s="380" t="s">
        <v>760</v>
      </c>
      <c r="J4" s="380" t="s">
        <v>760</v>
      </c>
      <c r="K4" s="380" t="s">
        <v>1819</v>
      </c>
      <c r="L4" s="381" t="s">
        <v>1105</v>
      </c>
      <c r="M4" s="382" t="str">
        <f>韻母對照資料表[[#This Row],[十五音]]&amp;LEFT(韻母對照資料表[[#This Row],[舒促聲]],1)</f>
        <v>君舒</v>
      </c>
      <c r="N4" s="383">
        <v>1</v>
      </c>
      <c r="O4" s="367">
        <f>IF(韻母對照資料表[[#This Row],[台語音標]]="", 0, LEN(韻母對照資料表[[#This Row],[台語音標]]))</f>
        <v>2</v>
      </c>
      <c r="P4" s="41"/>
      <c r="Q4" s="399" t="str">
        <v>1</v>
      </c>
      <c r="R4" s="399" t="str">
        <v>汾</v>
      </c>
      <c r="S4" s="399" t="str">
        <v>un</v>
      </c>
      <c r="T4" s="399" t="str">
        <v>君</v>
      </c>
      <c r="U4" s="399" t="str">
        <v>ㄨㄣ</v>
      </c>
      <c r="V4" s="399" t="str">
        <v>un</v>
      </c>
      <c r="W4" s="399" t="str">
        <v>un</v>
      </c>
      <c r="X4" s="399" t="str">
        <v>un</v>
      </c>
      <c r="Y4" s="399" t="str">
        <v>un</v>
      </c>
      <c r="Z4" s="399" t="str">
        <v>un</v>
      </c>
      <c r="AA4" s="399" t="str">
        <v>舒聲
（平/上/去）</v>
      </c>
      <c r="AB4" s="399" t="str">
        <v>君舒</v>
      </c>
      <c r="AC4" s="399" t="str">
        <v>1</v>
      </c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</row>
    <row r="5" spans="2:45" ht="54" customHeight="1">
      <c r="B5" s="374">
        <v>2</v>
      </c>
      <c r="C5" s="375" t="s">
        <v>2203</v>
      </c>
      <c r="D5" s="376" t="s">
        <v>776</v>
      </c>
      <c r="E5" s="377" t="s">
        <v>1106</v>
      </c>
      <c r="F5" s="378" t="s">
        <v>777</v>
      </c>
      <c r="G5" s="379" t="s">
        <v>1110</v>
      </c>
      <c r="H5" s="380" t="s">
        <v>1110</v>
      </c>
      <c r="I5" s="380" t="s">
        <v>1110</v>
      </c>
      <c r="J5" s="380" t="s">
        <v>1110</v>
      </c>
      <c r="K5" s="380" t="s">
        <v>1820</v>
      </c>
      <c r="L5" s="381" t="s">
        <v>1108</v>
      </c>
      <c r="M5" s="382" t="str">
        <f>韻母對照資料表[[#This Row],[十五音]]&amp;LEFT(韻母對照資料表[[#This Row],[舒促聲]],1)</f>
        <v>君促</v>
      </c>
      <c r="N5" s="383">
        <v>1</v>
      </c>
      <c r="O5" s="367">
        <f>IF(韻母對照資料表[[#This Row],[台語音標]]="", 0, LEN(韻母對照資料表[[#This Row],[台語音標]]))</f>
        <v>2</v>
      </c>
      <c r="P5" s="41"/>
      <c r="Q5" s="399" t="str">
        <v>2</v>
      </c>
      <c r="R5" s="399" t="str">
        <v>不</v>
      </c>
      <c r="S5" s="399" t="str">
        <v>ut̚</v>
      </c>
      <c r="T5" s="399" t="str">
        <v>君</v>
      </c>
      <c r="U5" s="399" t="str">
        <v>ㄨㆵ</v>
      </c>
      <c r="V5" s="399" t="str">
        <v>ut</v>
      </c>
      <c r="W5" s="399" t="str">
        <v>ut</v>
      </c>
      <c r="X5" s="399" t="str">
        <v>ut</v>
      </c>
      <c r="Y5" s="399" t="str">
        <v>ut</v>
      </c>
      <c r="Z5" s="399" t="str">
        <v>ut</v>
      </c>
      <c r="AA5" s="399" t="str">
        <v>促聲
（入）</v>
      </c>
      <c r="AB5" s="399" t="str">
        <v>君促</v>
      </c>
      <c r="AC5" s="399" t="str">
        <v>1</v>
      </c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</row>
    <row r="6" spans="2:45" ht="54" customHeight="1">
      <c r="B6" s="374">
        <v>3</v>
      </c>
      <c r="C6" s="375" t="s">
        <v>2292</v>
      </c>
      <c r="D6" s="376" t="s">
        <v>1112</v>
      </c>
      <c r="E6" s="377" t="s">
        <v>1111</v>
      </c>
      <c r="F6" s="378" t="s">
        <v>451</v>
      </c>
      <c r="G6" s="384" t="s">
        <v>1112</v>
      </c>
      <c r="H6" s="380" t="s">
        <v>1112</v>
      </c>
      <c r="I6" s="380" t="s">
        <v>1112</v>
      </c>
      <c r="J6" s="380" t="s">
        <v>1112</v>
      </c>
      <c r="K6" s="380" t="s">
        <v>1700</v>
      </c>
      <c r="L6" s="381" t="s">
        <v>1105</v>
      </c>
      <c r="M6" s="382" t="str">
        <f>韻母對照資料表[[#This Row],[十五音]]&amp;LEFT(韻母對照資料表[[#This Row],[舒促聲]],1)</f>
        <v>堅舒</v>
      </c>
      <c r="N6" s="383">
        <v>2</v>
      </c>
      <c r="O6" s="368">
        <f>IF(韻母對照資料表[[#This Row],[台語音標]]="", 0, LEN(韻母對照資料表[[#This Row],[台語音標]]))</f>
        <v>3</v>
      </c>
      <c r="P6" s="41"/>
      <c r="Q6" s="399" t="str">
        <v>3</v>
      </c>
      <c r="R6" s="399" t="str">
        <v>掀</v>
      </c>
      <c r="S6" s="399" t="str">
        <v>ian</v>
      </c>
      <c r="T6" s="399" t="str">
        <v>堅</v>
      </c>
      <c r="U6" s="399" t="str">
        <v>ㄧㄢ</v>
      </c>
      <c r="V6" s="399" t="str">
        <v>ian</v>
      </c>
      <c r="W6" s="399" t="str">
        <v>ian</v>
      </c>
      <c r="X6" s="399" t="str">
        <v>ian</v>
      </c>
      <c r="Y6" s="399" t="str">
        <v>ian</v>
      </c>
      <c r="Z6" s="399" t="str">
        <v>ian</v>
      </c>
      <c r="AA6" s="399" t="str">
        <v>舒聲
（平/上/去）</v>
      </c>
      <c r="AB6" s="399" t="str">
        <v>堅舒</v>
      </c>
      <c r="AC6" s="399" t="str">
        <v>2</v>
      </c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</row>
    <row r="7" spans="2:45" ht="54" customHeight="1">
      <c r="B7" s="374">
        <v>4</v>
      </c>
      <c r="C7" s="375" t="s">
        <v>2204</v>
      </c>
      <c r="D7" s="376" t="s">
        <v>1113</v>
      </c>
      <c r="E7" s="377" t="s">
        <v>1111</v>
      </c>
      <c r="F7" s="378" t="s">
        <v>493</v>
      </c>
      <c r="G7" s="384" t="s">
        <v>1114</v>
      </c>
      <c r="H7" s="380" t="s">
        <v>1114</v>
      </c>
      <c r="I7" s="380" t="s">
        <v>1114</v>
      </c>
      <c r="J7" s="380" t="s">
        <v>1114</v>
      </c>
      <c r="K7" s="380" t="s">
        <v>1701</v>
      </c>
      <c r="L7" s="381" t="s">
        <v>1108</v>
      </c>
      <c r="M7" s="382" t="str">
        <f>韻母對照資料表[[#This Row],[十五音]]&amp;LEFT(韻母對照資料表[[#This Row],[舒促聲]],1)</f>
        <v>堅促</v>
      </c>
      <c r="N7" s="383">
        <v>2</v>
      </c>
      <c r="O7" s="368">
        <f>IF(韻母對照資料表[[#This Row],[台語音標]]="", 0, LEN(韻母對照資料表[[#This Row],[台語音標]]))</f>
        <v>3</v>
      </c>
      <c r="P7" s="41"/>
      <c r="Q7" s="399" t="str">
        <v>4</v>
      </c>
      <c r="R7" s="399" t="str">
        <v>別</v>
      </c>
      <c r="S7" s="399" t="str">
        <v>iat̚</v>
      </c>
      <c r="T7" s="399" t="str">
        <v>堅</v>
      </c>
      <c r="U7" s="399" t="str">
        <v>ㄧㄚㆵ</v>
      </c>
      <c r="V7" s="399" t="str">
        <v>iat</v>
      </c>
      <c r="W7" s="399" t="str">
        <v>iat</v>
      </c>
      <c r="X7" s="399" t="str">
        <v>iat</v>
      </c>
      <c r="Y7" s="399" t="str">
        <v>iat</v>
      </c>
      <c r="Z7" s="399" t="str">
        <v>iat</v>
      </c>
      <c r="AA7" s="399" t="str">
        <v>促聲
（入）</v>
      </c>
      <c r="AB7" s="399" t="str">
        <v>堅促</v>
      </c>
      <c r="AC7" s="399" t="str">
        <v>2</v>
      </c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</row>
    <row r="8" spans="2:45" ht="54" customHeight="1">
      <c r="B8" s="374">
        <v>5</v>
      </c>
      <c r="C8" s="375" t="s">
        <v>1116</v>
      </c>
      <c r="D8" s="376" t="s">
        <v>306</v>
      </c>
      <c r="E8" s="377" t="s">
        <v>1115</v>
      </c>
      <c r="F8" s="378" t="s">
        <v>307</v>
      </c>
      <c r="G8" s="379" t="s">
        <v>306</v>
      </c>
      <c r="H8" s="380" t="s">
        <v>306</v>
      </c>
      <c r="I8" s="380" t="s">
        <v>306</v>
      </c>
      <c r="J8" s="380" t="s">
        <v>306</v>
      </c>
      <c r="K8" s="380" t="s">
        <v>1780</v>
      </c>
      <c r="L8" s="381" t="s">
        <v>1105</v>
      </c>
      <c r="M8" s="382" t="str">
        <f>韻母對照資料表[[#This Row],[十五音]]&amp;LEFT(韻母對照資料表[[#This Row],[舒促聲]],1)</f>
        <v>金舒</v>
      </c>
      <c r="N8" s="383">
        <v>3</v>
      </c>
      <c r="O8" s="367">
        <f>IF(韻母對照資料表[[#This Row],[台語音標]]="", 0, LEN(韻母對照資料表[[#This Row],[台語音標]]))</f>
        <v>2</v>
      </c>
      <c r="P8" s="41"/>
      <c r="Q8" s="399" t="str">
        <v>5</v>
      </c>
      <c r="R8" s="399" t="str">
        <v>深</v>
      </c>
      <c r="S8" s="399" t="str">
        <v>im</v>
      </c>
      <c r="T8" s="399" t="str">
        <v>金</v>
      </c>
      <c r="U8" s="399" t="str">
        <v>ㄧㆬ</v>
      </c>
      <c r="V8" s="399" t="str">
        <v>im</v>
      </c>
      <c r="W8" s="399" t="str">
        <v>im</v>
      </c>
      <c r="X8" s="399" t="str">
        <v>im</v>
      </c>
      <c r="Y8" s="399" t="str">
        <v>im</v>
      </c>
      <c r="Z8" s="399" t="str">
        <v>im</v>
      </c>
      <c r="AA8" s="399" t="str">
        <v>舒聲
（平/上/去）</v>
      </c>
      <c r="AB8" s="399" t="str">
        <v>金舒</v>
      </c>
      <c r="AC8" s="399" t="str">
        <v>3</v>
      </c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</row>
    <row r="9" spans="2:45" ht="54" customHeight="1">
      <c r="B9" s="374">
        <v>6</v>
      </c>
      <c r="C9" s="385" t="s">
        <v>2205</v>
      </c>
      <c r="D9" s="376" t="s">
        <v>350</v>
      </c>
      <c r="E9" s="377" t="s">
        <v>1115</v>
      </c>
      <c r="F9" s="378" t="s">
        <v>1117</v>
      </c>
      <c r="G9" s="379" t="s">
        <v>1118</v>
      </c>
      <c r="H9" s="380" t="s">
        <v>1118</v>
      </c>
      <c r="I9" s="380" t="s">
        <v>1118</v>
      </c>
      <c r="J9" s="380" t="s">
        <v>1118</v>
      </c>
      <c r="K9" s="380" t="s">
        <v>1783</v>
      </c>
      <c r="L9" s="381" t="s">
        <v>1108</v>
      </c>
      <c r="M9" s="382" t="str">
        <f>韻母對照資料表[[#This Row],[十五音]]&amp;LEFT(韻母對照資料表[[#This Row],[舒促聲]],1)</f>
        <v>金促</v>
      </c>
      <c r="N9" s="383">
        <v>3</v>
      </c>
      <c r="O9" s="367">
        <f>IF(韻母對照資料表[[#This Row],[台語音標]]="", 0, LEN(韻母對照資料表[[#This Row],[台語音標]]))</f>
        <v>2</v>
      </c>
      <c r="P9" s="41"/>
      <c r="Q9" s="399" t="str">
        <v>6</v>
      </c>
      <c r="R9" s="399" t="str">
        <v>蟄</v>
      </c>
      <c r="S9" s="399" t="str">
        <v>ip̚</v>
      </c>
      <c r="T9" s="399" t="str">
        <v>金</v>
      </c>
      <c r="U9" s="399" t="str">
        <v>一ㆴ</v>
      </c>
      <c r="V9" s="399" t="str">
        <v>ip</v>
      </c>
      <c r="W9" s="399" t="str">
        <v>ip</v>
      </c>
      <c r="X9" s="399" t="str">
        <v>ip</v>
      </c>
      <c r="Y9" s="399" t="str">
        <v>ip</v>
      </c>
      <c r="Z9" s="399" t="str">
        <v>ip</v>
      </c>
      <c r="AA9" s="399" t="str">
        <v>促聲
（入）</v>
      </c>
      <c r="AB9" s="399" t="str">
        <v>金促</v>
      </c>
      <c r="AC9" s="399" t="str">
        <v>3</v>
      </c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</row>
    <row r="10" spans="2:45" ht="54" customHeight="1">
      <c r="B10" s="374">
        <v>7</v>
      </c>
      <c r="C10" s="375" t="s">
        <v>1120</v>
      </c>
      <c r="D10" s="376" t="s">
        <v>921</v>
      </c>
      <c r="E10" s="377" t="s">
        <v>1119</v>
      </c>
      <c r="F10" s="378" t="s">
        <v>922</v>
      </c>
      <c r="G10" s="379" t="s">
        <v>921</v>
      </c>
      <c r="H10" s="380" t="s">
        <v>921</v>
      </c>
      <c r="I10" s="380" t="s">
        <v>921</v>
      </c>
      <c r="J10" s="380" t="s">
        <v>921</v>
      </c>
      <c r="K10" s="380" t="s">
        <v>1833</v>
      </c>
      <c r="L10" s="381" t="s">
        <v>1105</v>
      </c>
      <c r="M10" s="382" t="str">
        <f>韻母對照資料表[[#This Row],[十五音]]&amp;LEFT(韻母對照資料表[[#This Row],[舒促聲]],1)</f>
        <v>規舒</v>
      </c>
      <c r="N10" s="383">
        <v>4</v>
      </c>
      <c r="O10" s="367">
        <f>IF(韻母對照資料表[[#This Row],[台語音標]]="", 0, LEN(韻母對照資料表[[#This Row],[台語音標]]))</f>
        <v>2</v>
      </c>
      <c r="P10" s="41"/>
      <c r="Q10" s="399" t="str">
        <v>7</v>
      </c>
      <c r="R10" s="399" t="str">
        <v>歸</v>
      </c>
      <c r="S10" s="399" t="str">
        <v>ui</v>
      </c>
      <c r="T10" s="399" t="str">
        <v>規</v>
      </c>
      <c r="U10" s="399" t="str">
        <v>ㄨㄧ</v>
      </c>
      <c r="V10" s="399" t="str">
        <v>ui</v>
      </c>
      <c r="W10" s="399" t="str">
        <v>ui</v>
      </c>
      <c r="X10" s="399" t="str">
        <v>ui</v>
      </c>
      <c r="Y10" s="399" t="str">
        <v>ui</v>
      </c>
      <c r="Z10" s="399" t="str">
        <v>ui</v>
      </c>
      <c r="AA10" s="399" t="str">
        <v>舒聲
（平/上/去）</v>
      </c>
      <c r="AB10" s="399" t="str">
        <v>規舒</v>
      </c>
      <c r="AC10" s="399" t="str">
        <v>4</v>
      </c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</row>
    <row r="11" spans="2:45" ht="54" customHeight="1">
      <c r="B11" s="374">
        <v>8</v>
      </c>
      <c r="C11" s="386"/>
      <c r="D11" s="387"/>
      <c r="E11" s="386"/>
      <c r="F11" s="386"/>
      <c r="G11" s="386"/>
      <c r="H11" s="386"/>
      <c r="I11" s="386"/>
      <c r="J11" s="386"/>
      <c r="K11" s="386"/>
      <c r="L11" s="386"/>
      <c r="M11" s="386"/>
      <c r="N11" s="386"/>
      <c r="O11" s="367">
        <f>IF(韻母對照資料表[[#This Row],[台語音標]]="", 0, LEN(韻母對照資料表[[#This Row],[台語音標]]))</f>
        <v>0</v>
      </c>
      <c r="P11" s="41"/>
      <c r="Q11" s="399" t="str">
        <v>9</v>
      </c>
      <c r="R11" s="399" t="str">
        <v>家</v>
      </c>
      <c r="S11" s="399" t="str">
        <v>ɛ</v>
      </c>
      <c r="T11" s="399" t="str">
        <v>嘉</v>
      </c>
      <c r="U11" s="399" t="str">
        <v>ㄝ</v>
      </c>
      <c r="V11" s="399" t="str">
        <v>ee</v>
      </c>
      <c r="W11" s="399" t="str">
        <v>ee</v>
      </c>
      <c r="X11" s="399" t="str">
        <v>e</v>
      </c>
      <c r="Y11" s="399" t="str">
        <v>ee</v>
      </c>
      <c r="Z11" s="399" t="str">
        <v>e</v>
      </c>
      <c r="AA11" s="399" t="str">
        <v>舒聲
（平/上/去）</v>
      </c>
      <c r="AB11" s="399" t="str">
        <v>嘉舒</v>
      </c>
      <c r="AC11" s="399" t="str">
        <v>5</v>
      </c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</row>
    <row r="12" spans="2:45" ht="54" customHeight="1">
      <c r="B12" s="374">
        <v>9</v>
      </c>
      <c r="C12" s="388" t="s">
        <v>1122</v>
      </c>
      <c r="D12" s="376" t="s">
        <v>3627</v>
      </c>
      <c r="E12" s="377" t="s">
        <v>1121</v>
      </c>
      <c r="F12" s="378" t="s">
        <v>1123</v>
      </c>
      <c r="G12" s="379" t="s">
        <v>1124</v>
      </c>
      <c r="H12" s="380" t="s">
        <v>1124</v>
      </c>
      <c r="I12" s="380" t="s">
        <v>1125</v>
      </c>
      <c r="J12" s="376" t="s">
        <v>1126</v>
      </c>
      <c r="K12" s="376" t="s">
        <v>1773</v>
      </c>
      <c r="L12" s="381" t="s">
        <v>1105</v>
      </c>
      <c r="M12" s="382" t="str">
        <f>韻母對照資料表[[#This Row],[十五音]]&amp;LEFT(韻母對照資料表[[#This Row],[舒促聲]],1)</f>
        <v>嘉舒</v>
      </c>
      <c r="N12" s="383">
        <v>5</v>
      </c>
      <c r="O12" s="367">
        <f>IF(韻母對照資料表[[#This Row],[台語音標]]="", 0, LEN(韻母對照資料表[[#This Row],[台語音標]]))</f>
        <v>2</v>
      </c>
      <c r="P12" s="41"/>
      <c r="Q12" s="399" t="str">
        <v>10</v>
      </c>
      <c r="R12" s="399" t="str">
        <v>八</v>
      </c>
      <c r="S12" s="399" t="str">
        <v>ɛ?</v>
      </c>
      <c r="T12" s="399" t="str">
        <v>嘉</v>
      </c>
      <c r="U12" s="399" t="str">
        <v>ㄝㆷ</v>
      </c>
      <c r="V12" s="399" t="str">
        <v>eeh</v>
      </c>
      <c r="W12" s="399" t="str">
        <v>eeh</v>
      </c>
      <c r="X12" s="399" t="str">
        <v>eeh</v>
      </c>
      <c r="Y12" s="399" t="str">
        <v>0</v>
      </c>
      <c r="Z12" s="399" t="str">
        <v>eh</v>
      </c>
      <c r="AA12" s="399" t="str">
        <v>促聲
（入）</v>
      </c>
      <c r="AB12" s="399" t="str">
        <v>嘉促</v>
      </c>
      <c r="AC12" s="399" t="str">
        <v>5</v>
      </c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</row>
    <row r="13" spans="2:45" ht="54" customHeight="1">
      <c r="B13" s="374">
        <v>10</v>
      </c>
      <c r="C13" s="375" t="s">
        <v>2206</v>
      </c>
      <c r="D13" s="376" t="s">
        <v>3628</v>
      </c>
      <c r="E13" s="377" t="s">
        <v>1121</v>
      </c>
      <c r="F13" s="378" t="s">
        <v>1127</v>
      </c>
      <c r="G13" s="379" t="s">
        <v>1128</v>
      </c>
      <c r="H13" s="380" t="s">
        <v>1128</v>
      </c>
      <c r="I13" s="380" t="s">
        <v>1128</v>
      </c>
      <c r="J13" s="380">
        <v>0</v>
      </c>
      <c r="K13" s="380" t="s">
        <v>1775</v>
      </c>
      <c r="L13" s="381" t="s">
        <v>1108</v>
      </c>
      <c r="M13" s="382" t="str">
        <f>韻母對照資料表[[#This Row],[十五音]]&amp;LEFT(韻母對照資料表[[#This Row],[舒促聲]],1)</f>
        <v>嘉促</v>
      </c>
      <c r="N13" s="383">
        <v>5</v>
      </c>
      <c r="O13" s="367">
        <f>IF(韻母對照資料表[[#This Row],[台語音標]]="", 0, LEN(韻母對照資料表[[#This Row],[台語音標]]))</f>
        <v>3</v>
      </c>
      <c r="P13" s="41"/>
      <c r="Q13" s="399" t="str">
        <v>11</v>
      </c>
      <c r="R13" s="399" t="str">
        <v>蘭</v>
      </c>
      <c r="S13" s="399" t="str">
        <v>an</v>
      </c>
      <c r="T13" s="399" t="str">
        <v>干</v>
      </c>
      <c r="U13" s="399" t="str">
        <v>ㄢ</v>
      </c>
      <c r="V13" s="399" t="str">
        <v>an</v>
      </c>
      <c r="W13" s="399" t="str">
        <v>an</v>
      </c>
      <c r="X13" s="399" t="str">
        <v>an</v>
      </c>
      <c r="Y13" s="399" t="str">
        <v>an</v>
      </c>
      <c r="Z13" s="399" t="str">
        <v>an</v>
      </c>
      <c r="AA13" s="399" t="str">
        <v>舒聲
（平/上/去）</v>
      </c>
      <c r="AB13" s="399" t="str">
        <v>干舒</v>
      </c>
      <c r="AC13" s="399" t="str">
        <v>6</v>
      </c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</row>
    <row r="14" spans="2:45" ht="54" customHeight="1">
      <c r="B14" s="374">
        <v>11</v>
      </c>
      <c r="C14" s="375" t="s">
        <v>1130</v>
      </c>
      <c r="D14" s="376" t="s">
        <v>79</v>
      </c>
      <c r="E14" s="377" t="s">
        <v>1129</v>
      </c>
      <c r="F14" s="378" t="s">
        <v>80</v>
      </c>
      <c r="G14" s="379" t="s">
        <v>79</v>
      </c>
      <c r="H14" s="380" t="s">
        <v>79</v>
      </c>
      <c r="I14" s="380" t="s">
        <v>79</v>
      </c>
      <c r="J14" s="380" t="s">
        <v>79</v>
      </c>
      <c r="K14" s="380" t="s">
        <v>1763</v>
      </c>
      <c r="L14" s="381" t="s">
        <v>1105</v>
      </c>
      <c r="M14" s="382" t="str">
        <f>韻母對照資料表[[#This Row],[十五音]]&amp;LEFT(韻母對照資料表[[#This Row],[舒促聲]],1)</f>
        <v>干舒</v>
      </c>
      <c r="N14" s="383">
        <v>6</v>
      </c>
      <c r="O14" s="367">
        <f>IF(韻母對照資料表[[#This Row],[台語音標]]="", 0, LEN(韻母對照資料表[[#This Row],[台語音標]]))</f>
        <v>2</v>
      </c>
      <c r="P14" s="41"/>
      <c r="Q14" s="399" t="str">
        <v>12</v>
      </c>
      <c r="R14" s="399" t="str">
        <v>識</v>
      </c>
      <c r="S14" s="399" t="str">
        <v>at̚</v>
      </c>
      <c r="T14" s="399" t="str">
        <v>干</v>
      </c>
      <c r="U14" s="399" t="str">
        <v>ㄚㆵ</v>
      </c>
      <c r="V14" s="399" t="str">
        <v>at</v>
      </c>
      <c r="W14" s="399" t="str">
        <v>at</v>
      </c>
      <c r="X14" s="399" t="str">
        <v>at</v>
      </c>
      <c r="Y14" s="399" t="str">
        <v>at</v>
      </c>
      <c r="Z14" s="399" t="str">
        <v>at</v>
      </c>
      <c r="AA14" s="399" t="str">
        <v>促聲
（入）</v>
      </c>
      <c r="AB14" s="399" t="str">
        <v>干促</v>
      </c>
      <c r="AC14" s="399" t="str">
        <v>6</v>
      </c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</row>
    <row r="15" spans="2:45" ht="54" customHeight="1">
      <c r="B15" s="374">
        <v>12</v>
      </c>
      <c r="C15" s="389" t="s">
        <v>2207</v>
      </c>
      <c r="D15" s="376" t="s">
        <v>120</v>
      </c>
      <c r="E15" s="377" t="s">
        <v>1129</v>
      </c>
      <c r="F15" s="378" t="s">
        <v>121</v>
      </c>
      <c r="G15" s="379" t="s">
        <v>1131</v>
      </c>
      <c r="H15" s="380" t="s">
        <v>1131</v>
      </c>
      <c r="I15" s="380" t="s">
        <v>1131</v>
      </c>
      <c r="J15" s="380" t="s">
        <v>1131</v>
      </c>
      <c r="K15" s="380" t="s">
        <v>1766</v>
      </c>
      <c r="L15" s="381" t="s">
        <v>1108</v>
      </c>
      <c r="M15" s="382" t="str">
        <f>韻母對照資料表[[#This Row],[十五音]]&amp;LEFT(韻母對照資料表[[#This Row],[舒促聲]],1)</f>
        <v>干促</v>
      </c>
      <c r="N15" s="383">
        <v>6</v>
      </c>
      <c r="O15" s="367">
        <f>IF(韻母對照資料表[[#This Row],[台語音標]]="", 0, LEN(韻母對照資料表[[#This Row],[台語音標]]))</f>
        <v>2</v>
      </c>
      <c r="P15" s="41"/>
      <c r="Q15" s="399" t="str">
        <v>13</v>
      </c>
      <c r="R15" s="399" t="str">
        <v>風</v>
      </c>
      <c r="S15" s="399" t="str">
        <v>ɔŋ</v>
      </c>
      <c r="T15" s="399" t="str">
        <v>公</v>
      </c>
      <c r="U15" s="399" t="str">
        <v>ㆲ</v>
      </c>
      <c r="V15" s="399" t="str">
        <v>ong</v>
      </c>
      <c r="W15" s="399" t="str">
        <v>ong</v>
      </c>
      <c r="X15" s="399" t="str">
        <v>ong</v>
      </c>
      <c r="Y15" s="399" t="str">
        <v>ong</v>
      </c>
      <c r="Z15" s="399" t="str">
        <v>ong</v>
      </c>
      <c r="AA15" s="399" t="str">
        <v>舒聲
（平/上/去）</v>
      </c>
      <c r="AB15" s="399" t="str">
        <v>公舒</v>
      </c>
      <c r="AC15" s="399" t="str">
        <v>7</v>
      </c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</row>
    <row r="16" spans="2:45" ht="54" customHeight="1">
      <c r="B16" s="374">
        <v>13</v>
      </c>
      <c r="C16" s="375" t="s">
        <v>1133</v>
      </c>
      <c r="D16" s="376" t="s">
        <v>3629</v>
      </c>
      <c r="E16" s="377" t="s">
        <v>1132</v>
      </c>
      <c r="F16" s="378" t="s">
        <v>698</v>
      </c>
      <c r="G16" s="379" t="s">
        <v>1134</v>
      </c>
      <c r="H16" s="380" t="s">
        <v>1134</v>
      </c>
      <c r="I16" s="380" t="s">
        <v>1134</v>
      </c>
      <c r="J16" s="380" t="s">
        <v>1134</v>
      </c>
      <c r="K16" s="380" t="s">
        <v>1815</v>
      </c>
      <c r="L16" s="381" t="s">
        <v>1105</v>
      </c>
      <c r="M16" s="382" t="str">
        <f>韻母對照資料表[[#This Row],[十五音]]&amp;LEFT(韻母對照資料表[[#This Row],[舒促聲]],1)</f>
        <v>公舒</v>
      </c>
      <c r="N16" s="383">
        <v>7</v>
      </c>
      <c r="O16" s="367">
        <f>IF(韻母對照資料表[[#This Row],[台語音標]]="", 0, LEN(韻母對照資料表[[#This Row],[台語音標]]))</f>
        <v>3</v>
      </c>
      <c r="P16" s="41"/>
      <c r="Q16" s="399" t="str">
        <v>14</v>
      </c>
      <c r="R16" s="399" t="str">
        <v>福</v>
      </c>
      <c r="S16" s="399" t="str">
        <v>ɔk̚</v>
      </c>
      <c r="T16" s="399" t="str">
        <v>公</v>
      </c>
      <c r="U16" s="399" t="str">
        <v>ㆦㆻ</v>
      </c>
      <c r="V16" s="399" t="str">
        <v>ok</v>
      </c>
      <c r="W16" s="399" t="str">
        <v>ok</v>
      </c>
      <c r="X16" s="399" t="str">
        <v>ok</v>
      </c>
      <c r="Y16" s="399" t="str">
        <v>ok</v>
      </c>
      <c r="Z16" s="399" t="str">
        <v>ok</v>
      </c>
      <c r="AA16" s="399" t="str">
        <v>促聲
（入）</v>
      </c>
      <c r="AB16" s="399" t="str">
        <v>公促</v>
      </c>
      <c r="AC16" s="399" t="str">
        <v>7</v>
      </c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</row>
    <row r="17" spans="2:45" ht="54" customHeight="1">
      <c r="B17" s="374">
        <v>14</v>
      </c>
      <c r="C17" s="375" t="s">
        <v>1135</v>
      </c>
      <c r="D17" s="376" t="s">
        <v>3630</v>
      </c>
      <c r="E17" s="377" t="s">
        <v>1132</v>
      </c>
      <c r="F17" s="378" t="s">
        <v>718</v>
      </c>
      <c r="G17" s="379" t="s">
        <v>1136</v>
      </c>
      <c r="H17" s="380" t="s">
        <v>1136</v>
      </c>
      <c r="I17" s="380" t="s">
        <v>1136</v>
      </c>
      <c r="J17" s="380" t="s">
        <v>1136</v>
      </c>
      <c r="K17" s="380" t="s">
        <v>1817</v>
      </c>
      <c r="L17" s="381" t="s">
        <v>1108</v>
      </c>
      <c r="M17" s="382" t="str">
        <f>韻母對照資料表[[#This Row],[十五音]]&amp;LEFT(韻母對照資料表[[#This Row],[舒促聲]],1)</f>
        <v>公促</v>
      </c>
      <c r="N17" s="383">
        <v>7</v>
      </c>
      <c r="O17" s="367">
        <f>IF(韻母對照資料表[[#This Row],[台語音標]]="", 0, LEN(韻母對照資料表[[#This Row],[台語音標]]))</f>
        <v>2</v>
      </c>
      <c r="P17" s="41"/>
      <c r="Q17" s="399" t="str">
        <v>15</v>
      </c>
      <c r="R17" s="399" t="str">
        <v>怪</v>
      </c>
      <c r="S17" s="399" t="str">
        <v>uai</v>
      </c>
      <c r="T17" s="399" t="str">
        <v>乖</v>
      </c>
      <c r="U17" s="399" t="str">
        <v>ㄨㄞ</v>
      </c>
      <c r="V17" s="399" t="str">
        <v>uai</v>
      </c>
      <c r="W17" s="399" t="str">
        <v>uai</v>
      </c>
      <c r="X17" s="399" t="str">
        <v>oai</v>
      </c>
      <c r="Y17" s="399" t="str">
        <v>uai</v>
      </c>
      <c r="Z17" s="399" t="str">
        <v>uai</v>
      </c>
      <c r="AA17" s="399" t="str">
        <v>舒聲
（平/上/去）</v>
      </c>
      <c r="AB17" s="399" t="str">
        <v>乖舒</v>
      </c>
      <c r="AC17" s="399" t="str">
        <v>8</v>
      </c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</row>
    <row r="18" spans="2:45" ht="54" customHeight="1">
      <c r="B18" s="374">
        <v>15</v>
      </c>
      <c r="C18" s="375" t="s">
        <v>1138</v>
      </c>
      <c r="D18" s="376" t="s">
        <v>868</v>
      </c>
      <c r="E18" s="377" t="s">
        <v>1137</v>
      </c>
      <c r="F18" s="378" t="s">
        <v>869</v>
      </c>
      <c r="G18" s="379" t="s">
        <v>868</v>
      </c>
      <c r="H18" s="380" t="s">
        <v>868</v>
      </c>
      <c r="I18" s="380" t="s">
        <v>1139</v>
      </c>
      <c r="J18" s="380" t="s">
        <v>868</v>
      </c>
      <c r="K18" s="380" t="s">
        <v>1827</v>
      </c>
      <c r="L18" s="381" t="s">
        <v>1105</v>
      </c>
      <c r="M18" s="382" t="str">
        <f>韻母對照資料表[[#This Row],[十五音]]&amp;LEFT(韻母對照資料表[[#This Row],[舒促聲]],1)</f>
        <v>乖舒</v>
      </c>
      <c r="N18" s="383">
        <v>8</v>
      </c>
      <c r="O18" s="367">
        <f>IF(韻母對照資料表[[#This Row],[台語音標]]="", 0, LEN(韻母對照資料表[[#This Row],[台語音標]]))</f>
        <v>3</v>
      </c>
      <c r="P18" s="41"/>
      <c r="Q18" s="399" t="str">
        <v>16</v>
      </c>
      <c r="R18" s="399" t="str">
        <v>◯</v>
      </c>
      <c r="S18" s="399" t="str">
        <v>uai?</v>
      </c>
      <c r="T18" s="399" t="str">
        <v>乖</v>
      </c>
      <c r="U18" s="399" t="str">
        <v>ㄨㄞㆷ</v>
      </c>
      <c r="V18" s="399" t="str">
        <v>uaih</v>
      </c>
      <c r="W18" s="399" t="str">
        <v>uaih</v>
      </c>
      <c r="X18" s="399" t="str">
        <v>oaih</v>
      </c>
      <c r="Y18" s="399" t="str">
        <v>uaih</v>
      </c>
      <c r="Z18" s="399" t="str">
        <v>uaih</v>
      </c>
      <c r="AA18" s="399" t="str">
        <v>促聲
（入）</v>
      </c>
      <c r="AB18" s="399" t="str">
        <v>乖促</v>
      </c>
      <c r="AC18" s="399" t="str">
        <v>8</v>
      </c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</row>
    <row r="19" spans="2:45" ht="54" customHeight="1">
      <c r="B19" s="374">
        <v>16</v>
      </c>
      <c r="C19" s="375" t="s">
        <v>1109</v>
      </c>
      <c r="D19" s="376" t="s">
        <v>1140</v>
      </c>
      <c r="E19" s="377" t="s">
        <v>1137</v>
      </c>
      <c r="F19" s="378" t="s">
        <v>881</v>
      </c>
      <c r="G19" s="379" t="s">
        <v>1141</v>
      </c>
      <c r="H19" s="380" t="s">
        <v>1141</v>
      </c>
      <c r="I19" s="380" t="s">
        <v>1142</v>
      </c>
      <c r="J19" s="380" t="s">
        <v>1141</v>
      </c>
      <c r="K19" s="390" t="s">
        <v>1829</v>
      </c>
      <c r="L19" s="381" t="s">
        <v>1108</v>
      </c>
      <c r="M19" s="382" t="str">
        <f>韻母對照資料表[[#This Row],[十五音]]&amp;LEFT(韻母對照資料表[[#This Row],[舒促聲]],1)</f>
        <v>乖促</v>
      </c>
      <c r="N19" s="383">
        <v>8</v>
      </c>
      <c r="O19" s="367">
        <f>IF(韻母對照資料表[[#This Row],[台語音標]]="", 0, LEN(韻母對照資料表[[#This Row],[台語音標]]))</f>
        <v>4</v>
      </c>
      <c r="P19" s="41"/>
      <c r="Q19" s="399" t="str">
        <v>17</v>
      </c>
      <c r="R19" s="399" t="str">
        <v>情</v>
      </c>
      <c r="S19" s="399" t="str">
        <v>iŋ</v>
      </c>
      <c r="T19" s="399" t="str">
        <v>經</v>
      </c>
      <c r="U19" s="399" t="str">
        <v>ㄧㄥ</v>
      </c>
      <c r="V19" s="399" t="str">
        <v>ing</v>
      </c>
      <c r="W19" s="399" t="str">
        <v>ing</v>
      </c>
      <c r="X19" s="399" t="str">
        <v>eng</v>
      </c>
      <c r="Y19" s="399" t="str">
        <v>ing</v>
      </c>
      <c r="Z19" s="399" t="str">
        <v>ing</v>
      </c>
      <c r="AA19" s="399" t="str">
        <v>舒聲
（平/上/去）</v>
      </c>
      <c r="AB19" s="399" t="str">
        <v>經舒</v>
      </c>
      <c r="AC19" s="399" t="str">
        <v>9</v>
      </c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</row>
    <row r="20" spans="2:45" ht="54" customHeight="1">
      <c r="B20" s="374">
        <v>17</v>
      </c>
      <c r="C20" s="375" t="s">
        <v>1144</v>
      </c>
      <c r="D20" s="376" t="s">
        <v>3631</v>
      </c>
      <c r="E20" s="377" t="s">
        <v>1143</v>
      </c>
      <c r="F20" s="378" t="s">
        <v>336</v>
      </c>
      <c r="G20" s="379" t="s">
        <v>1145</v>
      </c>
      <c r="H20" s="380" t="s">
        <v>1145</v>
      </c>
      <c r="I20" s="380" t="s">
        <v>1146</v>
      </c>
      <c r="J20" s="380" t="s">
        <v>1145</v>
      </c>
      <c r="K20" s="380" t="s">
        <v>1782</v>
      </c>
      <c r="L20" s="381" t="s">
        <v>1105</v>
      </c>
      <c r="M20" s="382" t="str">
        <f>韻母對照資料表[[#This Row],[十五音]]&amp;LEFT(韻母對照資料表[[#This Row],[舒促聲]],1)</f>
        <v>經舒</v>
      </c>
      <c r="N20" s="383">
        <v>9</v>
      </c>
      <c r="O20" s="367">
        <f>IF(韻母對照資料表[[#This Row],[台語音標]]="", 0, LEN(韻母對照資料表[[#This Row],[台語音標]]))</f>
        <v>3</v>
      </c>
      <c r="P20" s="41"/>
      <c r="Q20" s="399" t="str">
        <v>18</v>
      </c>
      <c r="R20" s="399" t="str">
        <v>益</v>
      </c>
      <c r="S20" s="399" t="str">
        <v>ik̚</v>
      </c>
      <c r="T20" s="399" t="str">
        <v>經</v>
      </c>
      <c r="U20" s="399" t="str">
        <v>ㄧㆻ</v>
      </c>
      <c r="V20" s="399" t="str">
        <v>ik</v>
      </c>
      <c r="W20" s="399" t="str">
        <v>ik</v>
      </c>
      <c r="X20" s="399" t="str">
        <v>ek</v>
      </c>
      <c r="Y20" s="399" t="str">
        <v>ik</v>
      </c>
      <c r="Z20" s="399" t="str">
        <v>ik</v>
      </c>
      <c r="AA20" s="399" t="str">
        <v>促聲
（入）</v>
      </c>
      <c r="AB20" s="399" t="str">
        <v>經促</v>
      </c>
      <c r="AC20" s="399" t="str">
        <v>9</v>
      </c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</row>
    <row r="21" spans="2:45" ht="54" customHeight="1">
      <c r="B21" s="374">
        <v>18</v>
      </c>
      <c r="C21" s="391" t="s">
        <v>1147</v>
      </c>
      <c r="D21" s="376" t="s">
        <v>1148</v>
      </c>
      <c r="E21" s="377" t="s">
        <v>1143</v>
      </c>
      <c r="F21" s="378" t="s">
        <v>376</v>
      </c>
      <c r="G21" s="379" t="s">
        <v>1149</v>
      </c>
      <c r="H21" s="380" t="s">
        <v>1149</v>
      </c>
      <c r="I21" s="380" t="s">
        <v>1150</v>
      </c>
      <c r="J21" s="380" t="s">
        <v>1149</v>
      </c>
      <c r="K21" s="380" t="s">
        <v>1785</v>
      </c>
      <c r="L21" s="381" t="s">
        <v>1108</v>
      </c>
      <c r="M21" s="382" t="str">
        <f>韻母對照資料表[[#This Row],[十五音]]&amp;LEFT(韻母對照資料表[[#This Row],[舒促聲]],1)</f>
        <v>經促</v>
      </c>
      <c r="N21" s="383">
        <v>9</v>
      </c>
      <c r="O21" s="367">
        <f>IF(韻母對照資料表[[#This Row],[台語音標]]="", 0, LEN(韻母對照資料表[[#This Row],[台語音標]]))</f>
        <v>2</v>
      </c>
      <c r="P21" s="41"/>
      <c r="Q21" s="399" t="str">
        <v>19</v>
      </c>
      <c r="R21" s="399" t="str">
        <v>猿</v>
      </c>
      <c r="S21" s="399" t="str">
        <v>uan</v>
      </c>
      <c r="T21" s="399" t="str">
        <v>觀</v>
      </c>
      <c r="U21" s="399" t="str">
        <v>ㄨㄢ</v>
      </c>
      <c r="V21" s="399" t="str">
        <v>uan</v>
      </c>
      <c r="W21" s="399" t="str">
        <v>uan</v>
      </c>
      <c r="X21" s="399" t="str">
        <v>oan</v>
      </c>
      <c r="Y21" s="399" t="str">
        <v>uan</v>
      </c>
      <c r="Z21" s="399" t="str">
        <v>uan</v>
      </c>
      <c r="AA21" s="399" t="str">
        <v>舒聲
（平/上/去）</v>
      </c>
      <c r="AB21" s="399" t="str">
        <v>觀舒</v>
      </c>
      <c r="AC21" s="399" t="str">
        <v>10</v>
      </c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</row>
    <row r="22" spans="2:45" ht="54" customHeight="1">
      <c r="B22" s="374">
        <v>19</v>
      </c>
      <c r="C22" s="375" t="s">
        <v>1152</v>
      </c>
      <c r="D22" s="376" t="s">
        <v>835</v>
      </c>
      <c r="E22" s="377" t="s">
        <v>1151</v>
      </c>
      <c r="F22" s="378" t="s">
        <v>836</v>
      </c>
      <c r="G22" s="379" t="s">
        <v>835</v>
      </c>
      <c r="H22" s="380" t="s">
        <v>835</v>
      </c>
      <c r="I22" s="380" t="s">
        <v>1153</v>
      </c>
      <c r="J22" s="380" t="s">
        <v>835</v>
      </c>
      <c r="K22" s="380" t="s">
        <v>1824</v>
      </c>
      <c r="L22" s="381" t="s">
        <v>1105</v>
      </c>
      <c r="M22" s="382" t="str">
        <f>韻母對照資料表[[#This Row],[十五音]]&amp;LEFT(韻母對照資料表[[#This Row],[舒促聲]],1)</f>
        <v>觀舒</v>
      </c>
      <c r="N22" s="383">
        <v>10</v>
      </c>
      <c r="O22" s="367">
        <f>IF(韻母對照資料表[[#This Row],[台語音標]]="", 0, LEN(韻母對照資料表[[#This Row],[台語音標]]))</f>
        <v>3</v>
      </c>
      <c r="P22" s="41"/>
      <c r="Q22" s="399" t="str">
        <v>20</v>
      </c>
      <c r="R22" s="399" t="str">
        <v>說</v>
      </c>
      <c r="S22" s="399" t="str">
        <v>uat̚</v>
      </c>
      <c r="T22" s="399" t="str">
        <v>觀</v>
      </c>
      <c r="U22" s="399" t="str">
        <v>ㄨㄚㆵ</v>
      </c>
      <c r="V22" s="399" t="str">
        <v>uat</v>
      </c>
      <c r="W22" s="399" t="str">
        <v>uat</v>
      </c>
      <c r="X22" s="399" t="str">
        <v>oat</v>
      </c>
      <c r="Y22" s="399" t="str">
        <v>uat</v>
      </c>
      <c r="Z22" s="399" t="str">
        <v>uat</v>
      </c>
      <c r="AA22" s="399" t="str">
        <v>促聲
（入）</v>
      </c>
      <c r="AB22" s="399" t="str">
        <v>觀促</v>
      </c>
      <c r="AC22" s="399" t="str">
        <v>10</v>
      </c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</row>
    <row r="23" spans="2:45" ht="54" customHeight="1">
      <c r="B23" s="374">
        <v>20</v>
      </c>
      <c r="C23" s="375" t="s">
        <v>1154</v>
      </c>
      <c r="D23" s="376" t="s">
        <v>854</v>
      </c>
      <c r="E23" s="377" t="s">
        <v>1151</v>
      </c>
      <c r="F23" s="378" t="s">
        <v>855</v>
      </c>
      <c r="G23" s="379" t="s">
        <v>1155</v>
      </c>
      <c r="H23" s="380" t="s">
        <v>1155</v>
      </c>
      <c r="I23" s="380" t="s">
        <v>1156</v>
      </c>
      <c r="J23" s="380" t="s">
        <v>1155</v>
      </c>
      <c r="K23" s="380" t="s">
        <v>1826</v>
      </c>
      <c r="L23" s="381" t="s">
        <v>1108</v>
      </c>
      <c r="M23" s="382" t="str">
        <f>韻母對照資料表[[#This Row],[十五音]]&amp;LEFT(韻母對照資料表[[#This Row],[舒促聲]],1)</f>
        <v>觀促</v>
      </c>
      <c r="N23" s="383">
        <v>10</v>
      </c>
      <c r="O23" s="367">
        <f>IF(韻母對照資料表[[#This Row],[台語音標]]="", 0, LEN(韻母對照資料表[[#This Row],[台語音標]]))</f>
        <v>3</v>
      </c>
      <c r="P23" s="41"/>
      <c r="Q23" s="399" t="str">
        <v>21</v>
      </c>
      <c r="R23" s="399" t="str">
        <v>捕</v>
      </c>
      <c r="S23" s="399" t="str">
        <v>ou</v>
      </c>
      <c r="T23" s="399" t="str">
        <v>沽</v>
      </c>
      <c r="U23" s="399" t="str">
        <v>ㆦ</v>
      </c>
      <c r="V23" s="399" t="str">
        <v>oo</v>
      </c>
      <c r="W23" s="399" t="str">
        <v>oo</v>
      </c>
      <c r="X23" s="399" t="str">
        <v>o͘</v>
      </c>
      <c r="Y23" s="399" t="str">
        <v>oo</v>
      </c>
      <c r="Z23" s="399" t="str">
        <v>oo</v>
      </c>
      <c r="AA23" s="399" t="str">
        <v>舒聲
（平/上/去）</v>
      </c>
      <c r="AB23" s="399" t="str">
        <v>沽舒</v>
      </c>
      <c r="AC23" s="399" t="str">
        <v>11</v>
      </c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</row>
    <row r="24" spans="2:45" ht="54" customHeight="1">
      <c r="B24" s="374">
        <v>21</v>
      </c>
      <c r="C24" s="375" t="s">
        <v>2291</v>
      </c>
      <c r="D24" s="376" t="s">
        <v>1158</v>
      </c>
      <c r="E24" s="377" t="s">
        <v>1157</v>
      </c>
      <c r="F24" s="378" t="s">
        <v>649</v>
      </c>
      <c r="G24" s="379" t="s">
        <v>1159</v>
      </c>
      <c r="H24" s="380" t="s">
        <v>1159</v>
      </c>
      <c r="I24" s="380" t="s">
        <v>1160</v>
      </c>
      <c r="J24" s="380" t="s">
        <v>1159</v>
      </c>
      <c r="K24" s="380" t="s">
        <v>1806</v>
      </c>
      <c r="L24" s="381" t="s">
        <v>1105</v>
      </c>
      <c r="M24" s="382" t="str">
        <f>韻母對照資料表[[#This Row],[十五音]]&amp;LEFT(韻母對照資料表[[#This Row],[舒促聲]],1)</f>
        <v>沽舒</v>
      </c>
      <c r="N24" s="383">
        <v>11</v>
      </c>
      <c r="O24" s="367">
        <f>IF(韻母對照資料表[[#This Row],[台語音標]]="", 0, LEN(韻母對照資料表[[#This Row],[台語音標]]))</f>
        <v>2</v>
      </c>
      <c r="P24" s="41"/>
      <c r="Q24" s="399" t="str">
        <v>23</v>
      </c>
      <c r="R24" s="399" t="str">
        <v>遙</v>
      </c>
      <c r="S24" s="399" t="str">
        <v>iau</v>
      </c>
      <c r="T24" s="399" t="str">
        <v>嬌</v>
      </c>
      <c r="U24" s="399" t="str">
        <v>ㄧㄠ</v>
      </c>
      <c r="V24" s="399" t="str">
        <v>iau</v>
      </c>
      <c r="W24" s="399" t="str">
        <v>iau</v>
      </c>
      <c r="X24" s="399" t="str">
        <v>iau</v>
      </c>
      <c r="Y24" s="399" t="str">
        <v>iao</v>
      </c>
      <c r="Z24" s="399" t="str">
        <v>iau</v>
      </c>
      <c r="AA24" s="399" t="str">
        <v>舒聲
（平/上/去）</v>
      </c>
      <c r="AB24" s="399" t="str">
        <v>嬌舒</v>
      </c>
      <c r="AC24" s="399" t="str">
        <v>12</v>
      </c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</row>
    <row r="25" spans="2:45" ht="54" customHeight="1">
      <c r="B25" s="374">
        <v>22</v>
      </c>
      <c r="C25" s="386"/>
      <c r="D25" s="387"/>
      <c r="E25" s="386"/>
      <c r="F25" s="386"/>
      <c r="G25" s="386"/>
      <c r="H25" s="386"/>
      <c r="I25" s="386"/>
      <c r="J25" s="386"/>
      <c r="K25" s="386"/>
      <c r="L25" s="386"/>
      <c r="M25" s="386"/>
      <c r="N25" s="386"/>
      <c r="O25" s="367">
        <f>IF(韻母對照資料表[[#This Row],[台語音標]]="", 0, LEN(韻母對照資料表[[#This Row],[台語音標]]))</f>
        <v>0</v>
      </c>
      <c r="P25" s="41"/>
      <c r="Q25" s="399" t="str">
        <v>24</v>
      </c>
      <c r="R25" s="399" t="str">
        <v>噭</v>
      </c>
      <c r="S25" s="399" t="str">
        <v>iau?</v>
      </c>
      <c r="T25" s="399" t="str">
        <v>嬌</v>
      </c>
      <c r="U25" s="399" t="str">
        <v>ㄧㄠㆷ</v>
      </c>
      <c r="V25" s="399" t="str">
        <v>iauh</v>
      </c>
      <c r="W25" s="399" t="str">
        <v>iauh</v>
      </c>
      <c r="X25" s="399" t="str">
        <v>iauh</v>
      </c>
      <c r="Y25" s="399" t="str">
        <v>iaoh</v>
      </c>
      <c r="Z25" s="399" t="str">
        <v>iauh</v>
      </c>
      <c r="AA25" s="399" t="str">
        <v>促聲
（入）</v>
      </c>
      <c r="AB25" s="399" t="str">
        <v>嬌促</v>
      </c>
      <c r="AC25" s="399" t="str">
        <v>12</v>
      </c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</row>
    <row r="26" spans="2:45" ht="54" customHeight="1">
      <c r="B26" s="374">
        <v>23</v>
      </c>
      <c r="C26" s="375" t="s">
        <v>1162</v>
      </c>
      <c r="D26" s="376" t="s">
        <v>1163</v>
      </c>
      <c r="E26" s="377" t="s">
        <v>1161</v>
      </c>
      <c r="F26" s="378" t="s">
        <v>517</v>
      </c>
      <c r="G26" s="379" t="s">
        <v>1163</v>
      </c>
      <c r="H26" s="380" t="s">
        <v>1163</v>
      </c>
      <c r="I26" s="380" t="s">
        <v>1163</v>
      </c>
      <c r="J26" s="380" t="s">
        <v>1164</v>
      </c>
      <c r="K26" s="380" t="s">
        <v>1794</v>
      </c>
      <c r="L26" s="381" t="s">
        <v>1105</v>
      </c>
      <c r="M26" s="382" t="str">
        <f>韻母對照資料表[[#This Row],[十五音]]&amp;LEFT(韻母對照資料表[[#This Row],[舒促聲]],1)</f>
        <v>嬌舒</v>
      </c>
      <c r="N26" s="383">
        <v>12</v>
      </c>
      <c r="O26" s="367">
        <f>IF(韻母對照資料表[[#This Row],[台語音標]]="", 0, LEN(韻母對照資料表[[#This Row],[台語音標]]))</f>
        <v>3</v>
      </c>
      <c r="P26" s="41"/>
      <c r="Q26" s="399" t="str">
        <v>25</v>
      </c>
      <c r="R26" s="399" t="str">
        <v>遞</v>
      </c>
      <c r="S26" s="399" t="str">
        <v>ei</v>
      </c>
      <c r="T26" s="399" t="str">
        <v>稽</v>
      </c>
      <c r="U26" s="399" t="str">
        <v>ㆤ</v>
      </c>
      <c r="V26" s="399" t="str">
        <v>ei</v>
      </c>
      <c r="W26" s="399" t="str">
        <v>e</v>
      </c>
      <c r="X26" s="399" t="str">
        <v>e</v>
      </c>
      <c r="Y26" s="399" t="str">
        <v>e</v>
      </c>
      <c r="Z26" s="399" t="str">
        <v>e</v>
      </c>
      <c r="AA26" s="399" t="str">
        <v>舒聲
（平/上/去）</v>
      </c>
      <c r="AB26" s="399" t="str">
        <v>稽舒</v>
      </c>
      <c r="AC26" s="399" t="str">
        <v>13</v>
      </c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</row>
    <row r="27" spans="2:45" ht="54" customHeight="1">
      <c r="B27" s="374">
        <v>24</v>
      </c>
      <c r="C27" s="385" t="s">
        <v>2208</v>
      </c>
      <c r="D27" s="376" t="s">
        <v>1165</v>
      </c>
      <c r="E27" s="377" t="s">
        <v>1161</v>
      </c>
      <c r="F27" s="378" t="s">
        <v>538</v>
      </c>
      <c r="G27" s="379" t="s">
        <v>1166</v>
      </c>
      <c r="H27" s="380" t="s">
        <v>1166</v>
      </c>
      <c r="I27" s="380" t="s">
        <v>1166</v>
      </c>
      <c r="J27" s="380" t="s">
        <v>1167</v>
      </c>
      <c r="K27" s="380" t="s">
        <v>1796</v>
      </c>
      <c r="L27" s="381" t="s">
        <v>1108</v>
      </c>
      <c r="M27" s="382" t="str">
        <f>韻母對照資料表[[#This Row],[十五音]]&amp;LEFT(韻母對照資料表[[#This Row],[舒促聲]],1)</f>
        <v>嬌促</v>
      </c>
      <c r="N27" s="383">
        <v>12</v>
      </c>
      <c r="O27" s="367">
        <f>IF(韻母對照資料表[[#This Row],[台語音標]]="", 0, LEN(韻母對照資料表[[#This Row],[台語音標]]))</f>
        <v>4</v>
      </c>
      <c r="P27" s="41"/>
      <c r="Q27" s="399" t="str">
        <v>27</v>
      </c>
      <c r="R27" s="399" t="str">
        <v>中</v>
      </c>
      <c r="S27" s="399" t="str">
        <v>iɔŋ</v>
      </c>
      <c r="T27" s="399" t="str">
        <v>恭</v>
      </c>
      <c r="U27" s="399" t="str">
        <v>ㄧㆲ</v>
      </c>
      <c r="V27" s="399" t="str">
        <v>iong</v>
      </c>
      <c r="W27" s="399" t="str">
        <v>iong</v>
      </c>
      <c r="X27" s="399" t="str">
        <v>iong</v>
      </c>
      <c r="Y27" s="399" t="str">
        <v>iong</v>
      </c>
      <c r="Z27" s="399" t="str">
        <v>iong</v>
      </c>
      <c r="AA27" s="399" t="str">
        <v>舒聲
（平/上/去）</v>
      </c>
      <c r="AB27" s="399" t="str">
        <v>恭舒</v>
      </c>
      <c r="AC27" s="399" t="str">
        <v>14</v>
      </c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</row>
    <row r="28" spans="2:45" ht="54" customHeight="1">
      <c r="B28" s="374">
        <v>25</v>
      </c>
      <c r="C28" s="375" t="s">
        <v>1169</v>
      </c>
      <c r="D28" s="376" t="s">
        <v>1171</v>
      </c>
      <c r="E28" s="377" t="s">
        <v>1168</v>
      </c>
      <c r="F28" s="378" t="s">
        <v>1170</v>
      </c>
      <c r="G28" s="384" t="s">
        <v>1171</v>
      </c>
      <c r="H28" s="380" t="s">
        <v>1125</v>
      </c>
      <c r="I28" s="380" t="s">
        <v>1125</v>
      </c>
      <c r="J28" s="380" t="s">
        <v>1125</v>
      </c>
      <c r="K28" s="380" t="s">
        <v>1773</v>
      </c>
      <c r="L28" s="381" t="s">
        <v>1105</v>
      </c>
      <c r="M28" s="382" t="str">
        <f>韻母對照資料表[[#This Row],[十五音]]&amp;LEFT(韻母對照資料表[[#This Row],[舒促聲]],1)</f>
        <v>稽舒</v>
      </c>
      <c r="N28" s="383">
        <v>13</v>
      </c>
      <c r="O28" s="368">
        <f>IF(韻母對照資料表[[#This Row],[台語音標]]="", 0, LEN(韻母對照資料表[[#This Row],[台語音標]]))</f>
        <v>2</v>
      </c>
      <c r="P28" s="41"/>
      <c r="Q28" s="399" t="str">
        <v>28</v>
      </c>
      <c r="R28" s="399" t="str">
        <v>俗</v>
      </c>
      <c r="S28" s="399" t="str">
        <v>iɔk̚</v>
      </c>
      <c r="T28" s="399" t="str">
        <v>恭</v>
      </c>
      <c r="U28" s="399" t="str">
        <v>ㄧㆦㆻ</v>
      </c>
      <c r="V28" s="399" t="str">
        <v>iok</v>
      </c>
      <c r="W28" s="399" t="str">
        <v>iok</v>
      </c>
      <c r="X28" s="399" t="str">
        <v>iok</v>
      </c>
      <c r="Y28" s="399" t="str">
        <v>iok</v>
      </c>
      <c r="Z28" s="399" t="str">
        <v>iok</v>
      </c>
      <c r="AA28" s="399" t="str">
        <v>促聲
（入）</v>
      </c>
      <c r="AB28" s="399" t="str">
        <v>恭促</v>
      </c>
      <c r="AC28" s="399" t="str">
        <v>14</v>
      </c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</row>
    <row r="29" spans="2:45" ht="54" customHeight="1">
      <c r="B29" s="374">
        <v>26</v>
      </c>
      <c r="C29" s="386"/>
      <c r="D29" s="387"/>
      <c r="E29" s="386"/>
      <c r="F29" s="392"/>
      <c r="G29" s="386"/>
      <c r="H29" s="386"/>
      <c r="I29" s="386"/>
      <c r="J29" s="386"/>
      <c r="K29" s="386"/>
      <c r="L29" s="386"/>
      <c r="M29" s="386"/>
      <c r="N29" s="386"/>
      <c r="O29" s="367">
        <f>IF(韻母對照資料表[[#This Row],[台語音標]]="", 0, LEN(韻母對照資料表[[#This Row],[台語音標]]))</f>
        <v>0</v>
      </c>
      <c r="P29" s="41"/>
      <c r="Q29" s="399" t="str">
        <v>29</v>
      </c>
      <c r="R29" s="399" t="str">
        <v>果</v>
      </c>
      <c r="S29" s="399" t="str">
        <v>o</v>
      </c>
      <c r="T29" s="399" t="str">
        <v>高</v>
      </c>
      <c r="U29" s="399" t="str">
        <v>ㄜ</v>
      </c>
      <c r="V29" s="399" t="str">
        <v>o</v>
      </c>
      <c r="W29" s="399" t="str">
        <v>o</v>
      </c>
      <c r="X29" s="399" t="str">
        <v>o</v>
      </c>
      <c r="Y29" s="399" t="str">
        <v>o</v>
      </c>
      <c r="Z29" s="399" t="str">
        <v>or</v>
      </c>
      <c r="AA29" s="399" t="str">
        <v>舒聲
（平/上/去）</v>
      </c>
      <c r="AB29" s="399" t="str">
        <v>高舒</v>
      </c>
      <c r="AC29" s="399" t="str">
        <v>15</v>
      </c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</row>
    <row r="30" spans="2:45" ht="54" customHeight="1">
      <c r="B30" s="374">
        <v>27</v>
      </c>
      <c r="C30" s="375" t="s">
        <v>1173</v>
      </c>
      <c r="D30" s="376" t="s">
        <v>3632</v>
      </c>
      <c r="E30" s="377" t="s">
        <v>1172</v>
      </c>
      <c r="F30" s="378" t="s">
        <v>579</v>
      </c>
      <c r="G30" s="379" t="s">
        <v>1174</v>
      </c>
      <c r="H30" s="380" t="s">
        <v>1174</v>
      </c>
      <c r="I30" s="380" t="s">
        <v>1174</v>
      </c>
      <c r="J30" s="380" t="s">
        <v>1174</v>
      </c>
      <c r="K30" s="380" t="s">
        <v>1800</v>
      </c>
      <c r="L30" s="381" t="s">
        <v>1105</v>
      </c>
      <c r="M30" s="382" t="str">
        <f>韻母對照資料表[[#This Row],[十五音]]&amp;LEFT(韻母對照資料表[[#This Row],[舒促聲]],1)</f>
        <v>恭舒</v>
      </c>
      <c r="N30" s="383">
        <v>14</v>
      </c>
      <c r="O30" s="367">
        <f>IF(韻母對照資料表[[#This Row],[台語音標]]="", 0, LEN(韻母對照資料表[[#This Row],[台語音標]]))</f>
        <v>4</v>
      </c>
      <c r="P30" s="41"/>
      <c r="Q30" s="399" t="str">
        <v>30</v>
      </c>
      <c r="R30" s="399" t="str">
        <v>卜</v>
      </c>
      <c r="S30" s="399" t="str">
        <v>o?</v>
      </c>
      <c r="T30" s="399" t="str">
        <v>高</v>
      </c>
      <c r="U30" s="399" t="str">
        <v>ㄜㆷ</v>
      </c>
      <c r="V30" s="399" t="str">
        <v>oh</v>
      </c>
      <c r="W30" s="399" t="str">
        <v>oh</v>
      </c>
      <c r="X30" s="399" t="str">
        <v>oh</v>
      </c>
      <c r="Y30" s="399" t="str">
        <v>oh</v>
      </c>
      <c r="Z30" s="399" t="str">
        <v>orh</v>
      </c>
      <c r="AA30" s="399" t="str">
        <v>促聲
（入）</v>
      </c>
      <c r="AB30" s="399" t="str">
        <v>高促</v>
      </c>
      <c r="AC30" s="399" t="str">
        <v>15</v>
      </c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</row>
    <row r="31" spans="2:45" ht="54" customHeight="1">
      <c r="B31" s="374">
        <v>28</v>
      </c>
      <c r="C31" s="375" t="s">
        <v>1175</v>
      </c>
      <c r="D31" s="376" t="s">
        <v>3633</v>
      </c>
      <c r="E31" s="377" t="s">
        <v>1172</v>
      </c>
      <c r="F31" s="378" t="s">
        <v>592</v>
      </c>
      <c r="G31" s="379" t="s">
        <v>1176</v>
      </c>
      <c r="H31" s="380" t="s">
        <v>1176</v>
      </c>
      <c r="I31" s="380" t="s">
        <v>1176</v>
      </c>
      <c r="J31" s="380" t="s">
        <v>1176</v>
      </c>
      <c r="K31" s="380" t="s">
        <v>1801</v>
      </c>
      <c r="L31" s="381" t="s">
        <v>1108</v>
      </c>
      <c r="M31" s="382" t="str">
        <f>韻母對照資料表[[#This Row],[十五音]]&amp;LEFT(韻母對照資料表[[#This Row],[舒促聲]],1)</f>
        <v>恭促</v>
      </c>
      <c r="N31" s="383">
        <v>14</v>
      </c>
      <c r="O31" s="367">
        <f>IF(韻母對照資料表[[#This Row],[台語音標]]="", 0, LEN(韻母對照資料表[[#This Row],[台語音標]]))</f>
        <v>3</v>
      </c>
      <c r="P31" s="41"/>
      <c r="Q31" s="399" t="str">
        <v>31</v>
      </c>
      <c r="R31" s="399" t="str">
        <v>埃</v>
      </c>
      <c r="S31" s="399" t="str">
        <v>ai</v>
      </c>
      <c r="T31" s="399" t="str">
        <v>皆</v>
      </c>
      <c r="U31" s="399" t="str">
        <v>ㄞ</v>
      </c>
      <c r="V31" s="399" t="str">
        <v>ai</v>
      </c>
      <c r="W31" s="399" t="str">
        <v>ai</v>
      </c>
      <c r="X31" s="399" t="str">
        <v>ai</v>
      </c>
      <c r="Y31" s="399" t="str">
        <v>ai</v>
      </c>
      <c r="Z31" s="399" t="str">
        <v>ai</v>
      </c>
      <c r="AA31" s="399" t="str">
        <v>舒聲
（平/上/去）</v>
      </c>
      <c r="AB31" s="399" t="str">
        <v>皆舒</v>
      </c>
      <c r="AC31" s="399" t="str">
        <v>16</v>
      </c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</row>
    <row r="32" spans="2:45" ht="54" customHeight="1">
      <c r="B32" s="374">
        <v>29</v>
      </c>
      <c r="C32" s="375" t="s">
        <v>1178</v>
      </c>
      <c r="D32" s="376" t="s">
        <v>1179</v>
      </c>
      <c r="E32" s="377" t="s">
        <v>1177</v>
      </c>
      <c r="F32" s="378" t="s">
        <v>634</v>
      </c>
      <c r="G32" s="379" t="s">
        <v>1180</v>
      </c>
      <c r="H32" s="380" t="s">
        <v>1180</v>
      </c>
      <c r="I32" s="380" t="s">
        <v>1180</v>
      </c>
      <c r="J32" s="380" t="s">
        <v>1180</v>
      </c>
      <c r="K32" s="380" t="s">
        <v>1807</v>
      </c>
      <c r="L32" s="381" t="s">
        <v>1105</v>
      </c>
      <c r="M32" s="382" t="str">
        <f>韻母對照資料表[[#This Row],[十五音]]&amp;LEFT(韻母對照資料表[[#This Row],[舒促聲]],1)</f>
        <v>高舒</v>
      </c>
      <c r="N32" s="383">
        <v>15</v>
      </c>
      <c r="O32" s="367">
        <f>IF(韻母對照資料表[[#This Row],[台語音標]]="", 0, LEN(韻母對照資料表[[#This Row],[台語音標]]))</f>
        <v>1</v>
      </c>
      <c r="P32" s="41"/>
      <c r="Q32" s="399" t="str">
        <v>33</v>
      </c>
      <c r="R32" s="399" t="str">
        <v>恩</v>
      </c>
      <c r="S32" s="399" t="str">
        <v>in</v>
      </c>
      <c r="T32" s="399" t="str">
        <v>巾</v>
      </c>
      <c r="U32" s="399" t="str">
        <v>ㄧㄣ</v>
      </c>
      <c r="V32" s="399" t="str">
        <v>in</v>
      </c>
      <c r="W32" s="399" t="str">
        <v>in</v>
      </c>
      <c r="X32" s="399" t="str">
        <v>in</v>
      </c>
      <c r="Y32" s="399" t="str">
        <v>in</v>
      </c>
      <c r="Z32" s="399" t="str">
        <v>in</v>
      </c>
      <c r="AA32" s="399" t="str">
        <v>舒聲
（平/上/去）</v>
      </c>
      <c r="AB32" s="399" t="str">
        <v>巾舒</v>
      </c>
      <c r="AC32" s="399" t="str">
        <v>17</v>
      </c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</row>
    <row r="33" spans="2:45" ht="54" customHeight="1">
      <c r="B33" s="374">
        <v>30</v>
      </c>
      <c r="C33" s="389" t="s">
        <v>2209</v>
      </c>
      <c r="D33" s="376" t="s">
        <v>1181</v>
      </c>
      <c r="E33" s="377" t="s">
        <v>1177</v>
      </c>
      <c r="F33" s="378" t="s">
        <v>671</v>
      </c>
      <c r="G33" s="379" t="s">
        <v>1182</v>
      </c>
      <c r="H33" s="380" t="s">
        <v>1182</v>
      </c>
      <c r="I33" s="380" t="s">
        <v>1182</v>
      </c>
      <c r="J33" s="380" t="s">
        <v>1182</v>
      </c>
      <c r="K33" s="380" t="s">
        <v>1847</v>
      </c>
      <c r="L33" s="381" t="s">
        <v>1108</v>
      </c>
      <c r="M33" s="382" t="str">
        <f>韻母對照資料表[[#This Row],[十五音]]&amp;LEFT(韻母對照資料表[[#This Row],[舒促聲]],1)</f>
        <v>高促</v>
      </c>
      <c r="N33" s="383">
        <v>15</v>
      </c>
      <c r="O33" s="367">
        <f>IF(韻母對照資料表[[#This Row],[台語音標]]="", 0, LEN(韻母對照資料表[[#This Row],[台語音標]]))</f>
        <v>2</v>
      </c>
      <c r="P33" s="41"/>
      <c r="Q33" s="399" t="str">
        <v>34</v>
      </c>
      <c r="R33" s="399" t="str">
        <v>一</v>
      </c>
      <c r="S33" s="399" t="str">
        <v>it̚</v>
      </c>
      <c r="T33" s="399" t="str">
        <v>巾</v>
      </c>
      <c r="U33" s="399" t="str">
        <v>ㄧㆵ</v>
      </c>
      <c r="V33" s="399" t="str">
        <v>it</v>
      </c>
      <c r="W33" s="399" t="str">
        <v>it</v>
      </c>
      <c r="X33" s="399" t="str">
        <v>it</v>
      </c>
      <c r="Y33" s="399" t="str">
        <v>it</v>
      </c>
      <c r="Z33" s="399" t="str">
        <v>it</v>
      </c>
      <c r="AA33" s="399" t="str">
        <v>促聲
（入）</v>
      </c>
      <c r="AB33" s="399" t="str">
        <v>巾促</v>
      </c>
      <c r="AC33" s="399" t="str">
        <v>17</v>
      </c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</row>
    <row r="34" spans="2:45" ht="54" customHeight="1">
      <c r="B34" s="374">
        <v>31</v>
      </c>
      <c r="C34" s="375" t="s">
        <v>1184</v>
      </c>
      <c r="D34" s="376" t="s">
        <v>1185</v>
      </c>
      <c r="E34" s="377" t="s">
        <v>1183</v>
      </c>
      <c r="F34" s="378" t="s">
        <v>150</v>
      </c>
      <c r="G34" s="379" t="s">
        <v>1185</v>
      </c>
      <c r="H34" s="380" t="s">
        <v>1185</v>
      </c>
      <c r="I34" s="380" t="s">
        <v>1185</v>
      </c>
      <c r="J34" s="380" t="s">
        <v>1185</v>
      </c>
      <c r="K34" s="380" t="s">
        <v>1767</v>
      </c>
      <c r="L34" s="381" t="s">
        <v>1105</v>
      </c>
      <c r="M34" s="382" t="str">
        <f>韻母對照資料表[[#This Row],[十五音]]&amp;LEFT(韻母對照資料表[[#This Row],[舒促聲]],1)</f>
        <v>皆舒</v>
      </c>
      <c r="N34" s="383">
        <v>16</v>
      </c>
      <c r="O34" s="367">
        <f>IF(韻母對照資料表[[#This Row],[台語音標]]="", 0, LEN(韻母對照資料表[[#This Row],[台語音標]]))</f>
        <v>2</v>
      </c>
      <c r="P34" s="41"/>
      <c r="Q34" s="399" t="str">
        <v>35</v>
      </c>
      <c r="R34" s="399" t="str">
        <v>將</v>
      </c>
      <c r="S34" s="399" t="str">
        <v>iaŋ</v>
      </c>
      <c r="T34" s="399" t="str">
        <v>姜</v>
      </c>
      <c r="U34" s="399" t="str">
        <v>ㄧㄤ</v>
      </c>
      <c r="V34" s="399" t="str">
        <v>iang</v>
      </c>
      <c r="W34" s="399" t="str">
        <v>iang</v>
      </c>
      <c r="X34" s="399" t="str">
        <v>iang</v>
      </c>
      <c r="Y34" s="399" t="str">
        <v>iang</v>
      </c>
      <c r="Z34" s="399" t="str">
        <v>iang</v>
      </c>
      <c r="AA34" s="399" t="str">
        <v>舒聲
（平/上/去）</v>
      </c>
      <c r="AB34" s="399" t="str">
        <v>姜舒</v>
      </c>
      <c r="AC34" s="399" t="str">
        <v>18</v>
      </c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</row>
    <row r="35" spans="2:45" ht="54" customHeight="1">
      <c r="B35" s="374">
        <v>32</v>
      </c>
      <c r="C35" s="386"/>
      <c r="D35" s="387"/>
      <c r="E35" s="386"/>
      <c r="F35" s="392"/>
      <c r="G35" s="386"/>
      <c r="H35" s="386"/>
      <c r="I35" s="386"/>
      <c r="J35" s="386"/>
      <c r="K35" s="386"/>
      <c r="L35" s="386"/>
      <c r="M35" s="386"/>
      <c r="N35" s="386"/>
      <c r="O35" s="367">
        <f>IF(韻母對照資料表[[#This Row],[台語音標]]="", 0, LEN(韻母對照資料表[[#This Row],[台語音標]]))</f>
        <v>0</v>
      </c>
      <c r="P35" s="41"/>
      <c r="Q35" s="399" t="str">
        <v>36</v>
      </c>
      <c r="R35" s="399" t="str">
        <v>爆</v>
      </c>
      <c r="S35" s="399" t="str">
        <v>iak̚</v>
      </c>
      <c r="T35" s="399" t="str">
        <v>姜</v>
      </c>
      <c r="U35" s="399" t="str">
        <v>ㄧㄚㆻ</v>
      </c>
      <c r="V35" s="399" t="str">
        <v>iak</v>
      </c>
      <c r="W35" s="399" t="str">
        <v>iak</v>
      </c>
      <c r="X35" s="399" t="str">
        <v>iak</v>
      </c>
      <c r="Y35" s="399" t="str">
        <v>iak</v>
      </c>
      <c r="Z35" s="399" t="str">
        <v>iak</v>
      </c>
      <c r="AA35" s="399" t="str">
        <v>促聲
（入）</v>
      </c>
      <c r="AB35" s="399" t="str">
        <v>姜促</v>
      </c>
      <c r="AC35" s="399" t="str">
        <v>18</v>
      </c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</row>
    <row r="36" spans="2:45" ht="54" customHeight="1">
      <c r="B36" s="374">
        <v>33</v>
      </c>
      <c r="C36" s="389" t="s">
        <v>1187</v>
      </c>
      <c r="D36" s="376" t="s">
        <v>319</v>
      </c>
      <c r="E36" s="377" t="s">
        <v>1186</v>
      </c>
      <c r="F36" s="378" t="s">
        <v>320</v>
      </c>
      <c r="G36" s="379" t="s">
        <v>319</v>
      </c>
      <c r="H36" s="380" t="s">
        <v>319</v>
      </c>
      <c r="I36" s="380" t="s">
        <v>319</v>
      </c>
      <c r="J36" s="380" t="s">
        <v>319</v>
      </c>
      <c r="K36" s="380" t="s">
        <v>1781</v>
      </c>
      <c r="L36" s="381" t="s">
        <v>1105</v>
      </c>
      <c r="M36" s="382" t="str">
        <f>韻母對照資料表[[#This Row],[十五音]]&amp;LEFT(韻母對照資料表[[#This Row],[舒促聲]],1)</f>
        <v>巾舒</v>
      </c>
      <c r="N36" s="383">
        <v>17</v>
      </c>
      <c r="O36" s="367">
        <f>IF(韻母對照資料表[[#This Row],[台語音標]]="", 0, LEN(韻母對照資料表[[#This Row],[台語音標]]))</f>
        <v>2</v>
      </c>
      <c r="P36" s="41"/>
      <c r="Q36" s="399" t="str">
        <v>37</v>
      </c>
      <c r="R36" s="399" t="str">
        <v>堪</v>
      </c>
      <c r="S36" s="399" t="str">
        <v>am</v>
      </c>
      <c r="T36" s="399" t="str">
        <v>甘</v>
      </c>
      <c r="U36" s="399" t="str">
        <v>ㆰ</v>
      </c>
      <c r="V36" s="399" t="str">
        <v>am</v>
      </c>
      <c r="W36" s="399" t="str">
        <v>am</v>
      </c>
      <c r="X36" s="399" t="str">
        <v>am</v>
      </c>
      <c r="Y36" s="399" t="str">
        <v>am</v>
      </c>
      <c r="Z36" s="399" t="str">
        <v>am</v>
      </c>
      <c r="AA36" s="399" t="str">
        <v>舒聲
（平/上/去）</v>
      </c>
      <c r="AB36" s="399" t="str">
        <v>甘舒</v>
      </c>
      <c r="AC36" s="399" t="str">
        <v>19</v>
      </c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</row>
    <row r="37" spans="2:45" ht="54" customHeight="1">
      <c r="B37" s="374">
        <v>34</v>
      </c>
      <c r="C37" s="375" t="s">
        <v>1188</v>
      </c>
      <c r="D37" s="376" t="s">
        <v>360</v>
      </c>
      <c r="E37" s="377" t="s">
        <v>1186</v>
      </c>
      <c r="F37" s="378" t="s">
        <v>361</v>
      </c>
      <c r="G37" s="379" t="s">
        <v>1189</v>
      </c>
      <c r="H37" s="380" t="s">
        <v>1189</v>
      </c>
      <c r="I37" s="380" t="s">
        <v>1189</v>
      </c>
      <c r="J37" s="380" t="s">
        <v>1189</v>
      </c>
      <c r="K37" s="380" t="s">
        <v>1784</v>
      </c>
      <c r="L37" s="381" t="s">
        <v>1108</v>
      </c>
      <c r="M37" s="382" t="str">
        <f>韻母對照資料表[[#This Row],[十五音]]&amp;LEFT(韻母對照資料表[[#This Row],[舒促聲]],1)</f>
        <v>巾促</v>
      </c>
      <c r="N37" s="383">
        <v>17</v>
      </c>
      <c r="O37" s="367">
        <f>IF(韻母對照資料表[[#This Row],[台語音標]]="", 0, LEN(韻母對照資料表[[#This Row],[台語音標]]))</f>
        <v>2</v>
      </c>
      <c r="P37" s="41"/>
      <c r="Q37" s="399" t="str">
        <v>38</v>
      </c>
      <c r="R37" s="399" t="str">
        <v>答</v>
      </c>
      <c r="S37" s="399" t="str">
        <v>ap̚</v>
      </c>
      <c r="T37" s="399" t="str">
        <v>甘</v>
      </c>
      <c r="U37" s="399" t="str">
        <v>ㄚㆴ</v>
      </c>
      <c r="V37" s="399" t="str">
        <v>ap</v>
      </c>
      <c r="W37" s="399" t="str">
        <v>ap</v>
      </c>
      <c r="X37" s="399" t="str">
        <v>ap</v>
      </c>
      <c r="Y37" s="399" t="str">
        <v>ap</v>
      </c>
      <c r="Z37" s="399" t="str">
        <v>ap</v>
      </c>
      <c r="AA37" s="399" t="str">
        <v>促聲
（入）</v>
      </c>
      <c r="AB37" s="399" t="str">
        <v>甘促</v>
      </c>
      <c r="AC37" s="399" t="str">
        <v>19</v>
      </c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</row>
    <row r="38" spans="2:45" ht="54" customHeight="1">
      <c r="B38" s="374">
        <v>35</v>
      </c>
      <c r="C38" s="385" t="s">
        <v>1191</v>
      </c>
      <c r="D38" s="376" t="s">
        <v>3634</v>
      </c>
      <c r="E38" s="377" t="s">
        <v>1190</v>
      </c>
      <c r="F38" s="378" t="s">
        <v>467</v>
      </c>
      <c r="G38" s="379" t="s">
        <v>1192</v>
      </c>
      <c r="H38" s="380" t="s">
        <v>1192</v>
      </c>
      <c r="I38" s="380" t="s">
        <v>1192</v>
      </c>
      <c r="J38" s="380" t="s">
        <v>1192</v>
      </c>
      <c r="K38" s="380" t="s">
        <v>1791</v>
      </c>
      <c r="L38" s="381" t="s">
        <v>1105</v>
      </c>
      <c r="M38" s="382" t="str">
        <f>韻母對照資料表[[#This Row],[十五音]]&amp;LEFT(韻母對照資料表[[#This Row],[舒促聲]],1)</f>
        <v>姜舒</v>
      </c>
      <c r="N38" s="383">
        <v>18</v>
      </c>
      <c r="O38" s="367">
        <f>IF(韻母對照資料表[[#This Row],[台語音標]]="", 0, LEN(韻母對照資料表[[#This Row],[台語音標]]))</f>
        <v>4</v>
      </c>
      <c r="P38" s="41"/>
      <c r="Q38" s="399" t="str">
        <v>39</v>
      </c>
      <c r="R38" s="399" t="str">
        <v>花</v>
      </c>
      <c r="S38" s="399" t="str">
        <v>ua</v>
      </c>
      <c r="T38" s="399" t="str">
        <v>瓜</v>
      </c>
      <c r="U38" s="399" t="str">
        <v>ㄨㄚ</v>
      </c>
      <c r="V38" s="399" t="str">
        <v>ua</v>
      </c>
      <c r="W38" s="399" t="str">
        <v>ua</v>
      </c>
      <c r="X38" s="399" t="str">
        <v>oa</v>
      </c>
      <c r="Y38" s="399" t="str">
        <v>ua</v>
      </c>
      <c r="Z38" s="399" t="str">
        <v>ua</v>
      </c>
      <c r="AA38" s="399" t="str">
        <v>舒聲
（平/上/去）</v>
      </c>
      <c r="AB38" s="399" t="str">
        <v>瓜舒</v>
      </c>
      <c r="AC38" s="399" t="str">
        <v>20</v>
      </c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</row>
    <row r="39" spans="2:45" ht="54" customHeight="1">
      <c r="B39" s="374">
        <v>36</v>
      </c>
      <c r="C39" s="385" t="s">
        <v>1193</v>
      </c>
      <c r="D39" s="376" t="s">
        <v>1194</v>
      </c>
      <c r="E39" s="377" t="s">
        <v>1190</v>
      </c>
      <c r="F39" s="378" t="s">
        <v>509</v>
      </c>
      <c r="G39" s="379" t="s">
        <v>1195</v>
      </c>
      <c r="H39" s="380" t="s">
        <v>1195</v>
      </c>
      <c r="I39" s="380" t="s">
        <v>1195</v>
      </c>
      <c r="J39" s="380" t="s">
        <v>1195</v>
      </c>
      <c r="K39" s="380" t="s">
        <v>1793</v>
      </c>
      <c r="L39" s="381" t="s">
        <v>1108</v>
      </c>
      <c r="M39" s="382" t="str">
        <f>韻母對照資料表[[#This Row],[十五音]]&amp;LEFT(韻母對照資料表[[#This Row],[舒促聲]],1)</f>
        <v>姜促</v>
      </c>
      <c r="N39" s="383">
        <v>18</v>
      </c>
      <c r="O39" s="367">
        <f>IF(韻母對照資料表[[#This Row],[台語音標]]="", 0, LEN(韻母對照資料表[[#This Row],[台語音標]]))</f>
        <v>3</v>
      </c>
      <c r="P39" s="41"/>
      <c r="Q39" s="399" t="str">
        <v>40</v>
      </c>
      <c r="R39" s="399" t="str">
        <v>缽</v>
      </c>
      <c r="S39" s="399" t="str">
        <v>ua?</v>
      </c>
      <c r="T39" s="399" t="str">
        <v>瓜</v>
      </c>
      <c r="U39" s="399" t="str">
        <v>ㄨㄚㆷ</v>
      </c>
      <c r="V39" s="399" t="str">
        <v>uah</v>
      </c>
      <c r="W39" s="399" t="str">
        <v>uah</v>
      </c>
      <c r="X39" s="399" t="str">
        <v>oah</v>
      </c>
      <c r="Y39" s="399" t="str">
        <v>uah</v>
      </c>
      <c r="Z39" s="399" t="str">
        <v>uah</v>
      </c>
      <c r="AA39" s="399" t="str">
        <v>促聲
（入）</v>
      </c>
      <c r="AB39" s="399" t="str">
        <v>瓜促</v>
      </c>
      <c r="AC39" s="399" t="str">
        <v>20</v>
      </c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</row>
    <row r="40" spans="2:45" ht="54" customHeight="1">
      <c r="B40" s="374">
        <v>37</v>
      </c>
      <c r="C40" s="375" t="s">
        <v>1197</v>
      </c>
      <c r="D40" s="376" t="s">
        <v>67</v>
      </c>
      <c r="E40" s="377" t="s">
        <v>1196</v>
      </c>
      <c r="F40" s="378" t="s">
        <v>68</v>
      </c>
      <c r="G40" s="379" t="s">
        <v>67</v>
      </c>
      <c r="H40" s="380" t="s">
        <v>67</v>
      </c>
      <c r="I40" s="380" t="s">
        <v>67</v>
      </c>
      <c r="J40" s="380" t="s">
        <v>67</v>
      </c>
      <c r="K40" s="380" t="s">
        <v>1762</v>
      </c>
      <c r="L40" s="381" t="s">
        <v>1105</v>
      </c>
      <c r="M40" s="382" t="str">
        <f>韻母對照資料表[[#This Row],[十五音]]&amp;LEFT(韻母對照資料表[[#This Row],[舒促聲]],1)</f>
        <v>甘舒</v>
      </c>
      <c r="N40" s="383">
        <v>19</v>
      </c>
      <c r="O40" s="367">
        <f>IF(韻母對照資料表[[#This Row],[台語音標]]="", 0, LEN(韻母對照資料表[[#This Row],[台語音標]]))</f>
        <v>2</v>
      </c>
      <c r="P40" s="41"/>
      <c r="Q40" s="399" t="str">
        <v>41</v>
      </c>
      <c r="R40" s="399" t="str">
        <v>邦</v>
      </c>
      <c r="S40" s="399" t="str">
        <v>aŋ</v>
      </c>
      <c r="T40" s="399" t="str">
        <v>江</v>
      </c>
      <c r="U40" s="399" t="str">
        <v>ㄤ</v>
      </c>
      <c r="V40" s="399" t="str">
        <v>ang</v>
      </c>
      <c r="W40" s="399" t="str">
        <v>ang</v>
      </c>
      <c r="X40" s="399" t="str">
        <v>ang</v>
      </c>
      <c r="Y40" s="399" t="str">
        <v>ang</v>
      </c>
      <c r="Z40" s="399" t="str">
        <v>ang</v>
      </c>
      <c r="AA40" s="399" t="str">
        <v>舒聲
（平/上/去）</v>
      </c>
      <c r="AB40" s="399" t="str">
        <v>江舒</v>
      </c>
      <c r="AC40" s="399" t="str">
        <v>21</v>
      </c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</row>
    <row r="41" spans="2:45" ht="54" customHeight="1">
      <c r="B41" s="374">
        <v>38</v>
      </c>
      <c r="C41" s="375" t="s">
        <v>2210</v>
      </c>
      <c r="D41" s="376" t="s">
        <v>109</v>
      </c>
      <c r="E41" s="377" t="s">
        <v>1196</v>
      </c>
      <c r="F41" s="378" t="s">
        <v>110</v>
      </c>
      <c r="G41" s="379" t="s">
        <v>1198</v>
      </c>
      <c r="H41" s="380" t="s">
        <v>1198</v>
      </c>
      <c r="I41" s="380" t="s">
        <v>1198</v>
      </c>
      <c r="J41" s="380" t="s">
        <v>1198</v>
      </c>
      <c r="K41" s="380" t="s">
        <v>1765</v>
      </c>
      <c r="L41" s="381" t="s">
        <v>1108</v>
      </c>
      <c r="M41" s="382" t="str">
        <f>韻母對照資料表[[#This Row],[十五音]]&amp;LEFT(韻母對照資料表[[#This Row],[舒促聲]],1)</f>
        <v>甘促</v>
      </c>
      <c r="N41" s="383">
        <v>19</v>
      </c>
      <c r="O41" s="367">
        <f>IF(韻母對照資料表[[#This Row],[台語音標]]="", 0, LEN(韻母對照資料表[[#This Row],[台語音標]]))</f>
        <v>2</v>
      </c>
      <c r="P41" s="41"/>
      <c r="Q41" s="399" t="str">
        <v>42</v>
      </c>
      <c r="R41" s="399" t="str">
        <v>角</v>
      </c>
      <c r="S41" s="399" t="str">
        <v>ak̚</v>
      </c>
      <c r="T41" s="399" t="str">
        <v>江</v>
      </c>
      <c r="U41" s="399" t="str">
        <v>ㄚㆻ</v>
      </c>
      <c r="V41" s="399" t="str">
        <v>ak</v>
      </c>
      <c r="W41" s="399" t="str">
        <v>ak</v>
      </c>
      <c r="X41" s="399" t="str">
        <v>ak</v>
      </c>
      <c r="Y41" s="399" t="str">
        <v>ak</v>
      </c>
      <c r="Z41" s="399" t="str">
        <v>ak</v>
      </c>
      <c r="AA41" s="399" t="str">
        <v>促聲
（入）</v>
      </c>
      <c r="AB41" s="399" t="str">
        <v>江促</v>
      </c>
      <c r="AC41" s="399" t="str">
        <v>21</v>
      </c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</row>
    <row r="42" spans="2:45" ht="54" customHeight="1">
      <c r="B42" s="374">
        <v>39</v>
      </c>
      <c r="C42" s="389" t="s">
        <v>1200</v>
      </c>
      <c r="D42" s="376" t="s">
        <v>790</v>
      </c>
      <c r="E42" s="377" t="s">
        <v>1199</v>
      </c>
      <c r="F42" s="378" t="s">
        <v>791</v>
      </c>
      <c r="G42" s="379" t="s">
        <v>790</v>
      </c>
      <c r="H42" s="380" t="s">
        <v>790</v>
      </c>
      <c r="I42" s="380" t="s">
        <v>1201</v>
      </c>
      <c r="J42" s="380" t="s">
        <v>790</v>
      </c>
      <c r="K42" s="380" t="s">
        <v>1821</v>
      </c>
      <c r="L42" s="381" t="s">
        <v>1105</v>
      </c>
      <c r="M42" s="382" t="str">
        <f>韻母對照資料表[[#This Row],[十五音]]&amp;LEFT(韻母對照資料表[[#This Row],[舒促聲]],1)</f>
        <v>瓜舒</v>
      </c>
      <c r="N42" s="383">
        <v>20</v>
      </c>
      <c r="O42" s="367">
        <f>IF(韻母對照資料表[[#This Row],[台語音標]]="", 0, LEN(韻母對照資料表[[#This Row],[台語音標]]))</f>
        <v>2</v>
      </c>
      <c r="P42" s="41"/>
      <c r="Q42" s="399" t="str">
        <v>43</v>
      </c>
      <c r="R42" s="399" t="str">
        <v>尖</v>
      </c>
      <c r="S42" s="399" t="str">
        <v>iam</v>
      </c>
      <c r="T42" s="399" t="str">
        <v>兼</v>
      </c>
      <c r="U42" s="399" t="str">
        <v>ㄧㆰ</v>
      </c>
      <c r="V42" s="399" t="str">
        <v>iam</v>
      </c>
      <c r="W42" s="399" t="str">
        <v>iam</v>
      </c>
      <c r="X42" s="399" t="str">
        <v>iam</v>
      </c>
      <c r="Y42" s="399" t="str">
        <v>iam</v>
      </c>
      <c r="Z42" s="399" t="str">
        <v>iam</v>
      </c>
      <c r="AA42" s="399" t="str">
        <v>舒聲
（平/上/去）</v>
      </c>
      <c r="AB42" s="399" t="str">
        <v>兼舒</v>
      </c>
      <c r="AC42" s="399" t="str">
        <v>22</v>
      </c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</row>
    <row r="43" spans="2:45" ht="54" customHeight="1">
      <c r="B43" s="374">
        <v>40</v>
      </c>
      <c r="C43" s="375" t="s">
        <v>2211</v>
      </c>
      <c r="D43" s="376" t="s">
        <v>1202</v>
      </c>
      <c r="E43" s="377" t="s">
        <v>1199</v>
      </c>
      <c r="F43" s="378" t="s">
        <v>821</v>
      </c>
      <c r="G43" s="379" t="s">
        <v>1203</v>
      </c>
      <c r="H43" s="380" t="s">
        <v>1203</v>
      </c>
      <c r="I43" s="380" t="s">
        <v>1204</v>
      </c>
      <c r="J43" s="380" t="s">
        <v>1203</v>
      </c>
      <c r="K43" s="380" t="s">
        <v>1823</v>
      </c>
      <c r="L43" s="381" t="s">
        <v>1108</v>
      </c>
      <c r="M43" s="382" t="str">
        <f>韻母對照資料表[[#This Row],[十五音]]&amp;LEFT(韻母對照資料表[[#This Row],[舒促聲]],1)</f>
        <v>瓜促</v>
      </c>
      <c r="N43" s="383">
        <v>20</v>
      </c>
      <c r="O43" s="367">
        <f>IF(韻母對照資料表[[#This Row],[台語音標]]="", 0, LEN(韻母對照資料表[[#This Row],[台語音標]]))</f>
        <v>3</v>
      </c>
      <c r="P43" s="41"/>
      <c r="Q43" s="399" t="str">
        <v>44</v>
      </c>
      <c r="R43" s="399" t="str">
        <v>接</v>
      </c>
      <c r="S43" s="399" t="str">
        <v>iap̚</v>
      </c>
      <c r="T43" s="399" t="str">
        <v>兼</v>
      </c>
      <c r="U43" s="399" t="str">
        <v>ㄧㄚㆴ</v>
      </c>
      <c r="V43" s="399" t="str">
        <v>iap</v>
      </c>
      <c r="W43" s="399" t="str">
        <v>iap</v>
      </c>
      <c r="X43" s="399" t="str">
        <v>iap</v>
      </c>
      <c r="Y43" s="399" t="str">
        <v>iap</v>
      </c>
      <c r="Z43" s="399" t="str">
        <v>iap</v>
      </c>
      <c r="AA43" s="399" t="str">
        <v>促聲
（入）</v>
      </c>
      <c r="AB43" s="399" t="str">
        <v>兼促</v>
      </c>
      <c r="AC43" s="399" t="str">
        <v>22</v>
      </c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</row>
    <row r="44" spans="2:45" ht="54" customHeight="1">
      <c r="B44" s="374">
        <v>41</v>
      </c>
      <c r="C44" s="375" t="s">
        <v>2295</v>
      </c>
      <c r="D44" s="376" t="s">
        <v>3635</v>
      </c>
      <c r="E44" s="377" t="s">
        <v>1205</v>
      </c>
      <c r="F44" s="378" t="s">
        <v>95</v>
      </c>
      <c r="G44" s="379" t="s">
        <v>1206</v>
      </c>
      <c r="H44" s="380" t="s">
        <v>1206</v>
      </c>
      <c r="I44" s="380" t="s">
        <v>1206</v>
      </c>
      <c r="J44" s="380" t="s">
        <v>1206</v>
      </c>
      <c r="K44" s="380" t="s">
        <v>1764</v>
      </c>
      <c r="L44" s="381" t="s">
        <v>1105</v>
      </c>
      <c r="M44" s="382" t="str">
        <f>韻母對照資料表[[#This Row],[十五音]]&amp;LEFT(韻母對照資料表[[#This Row],[舒促聲]],1)</f>
        <v>江舒</v>
      </c>
      <c r="N44" s="383">
        <v>21</v>
      </c>
      <c r="O44" s="367">
        <f>IF(韻母對照資料表[[#This Row],[台語音標]]="", 0, LEN(韻母對照資料表[[#This Row],[台語音標]]))</f>
        <v>3</v>
      </c>
      <c r="P44" s="41"/>
      <c r="Q44" s="399" t="str">
        <v>45</v>
      </c>
      <c r="R44" s="399" t="str">
        <v>鬧</v>
      </c>
      <c r="S44" s="399" t="str">
        <v>au</v>
      </c>
      <c r="T44" s="399" t="str">
        <v>交</v>
      </c>
      <c r="U44" s="399" t="str">
        <v>ㄠ</v>
      </c>
      <c r="V44" s="399" t="str">
        <v>au</v>
      </c>
      <c r="W44" s="399" t="str">
        <v>au</v>
      </c>
      <c r="X44" s="399" t="str">
        <v>au</v>
      </c>
      <c r="Y44" s="399" t="str">
        <v>ao</v>
      </c>
      <c r="Z44" s="399" t="str">
        <v>au</v>
      </c>
      <c r="AA44" s="399" t="str">
        <v>舒聲
（平/上/去）</v>
      </c>
      <c r="AB44" s="399" t="str">
        <v>交舒</v>
      </c>
      <c r="AC44" s="399" t="str">
        <v>23</v>
      </c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</row>
    <row r="45" spans="2:45" ht="54" customHeight="1">
      <c r="B45" s="374">
        <v>42</v>
      </c>
      <c r="C45" s="375" t="s">
        <v>1207</v>
      </c>
      <c r="D45" s="376" t="s">
        <v>134</v>
      </c>
      <c r="E45" s="377" t="s">
        <v>1205</v>
      </c>
      <c r="F45" s="378" t="s">
        <v>135</v>
      </c>
      <c r="G45" s="379" t="s">
        <v>1208</v>
      </c>
      <c r="H45" s="380" t="s">
        <v>1208</v>
      </c>
      <c r="I45" s="380" t="s">
        <v>1208</v>
      </c>
      <c r="J45" s="380" t="s">
        <v>1208</v>
      </c>
      <c r="K45" s="380" t="s">
        <v>1848</v>
      </c>
      <c r="L45" s="381" t="s">
        <v>1108</v>
      </c>
      <c r="M45" s="382" t="str">
        <f>韻母對照資料表[[#This Row],[十五音]]&amp;LEFT(韻母對照資料表[[#This Row],[舒促聲]],1)</f>
        <v>江促</v>
      </c>
      <c r="N45" s="383">
        <v>21</v>
      </c>
      <c r="O45" s="367">
        <f>IF(韻母對照資料表[[#This Row],[台語音標]]="", 0, LEN(韻母對照資料表[[#This Row],[台語音標]]))</f>
        <v>2</v>
      </c>
      <c r="P45" s="41"/>
      <c r="Q45" s="399" t="str">
        <v>46</v>
      </c>
      <c r="R45" s="399" t="str">
        <v>暴</v>
      </c>
      <c r="S45" s="399" t="str">
        <v>au?</v>
      </c>
      <c r="T45" s="399" t="str">
        <v>交</v>
      </c>
      <c r="U45" s="399" t="str">
        <v>ㄠㆷ</v>
      </c>
      <c r="V45" s="399" t="str">
        <v>auh</v>
      </c>
      <c r="W45" s="399" t="str">
        <v>auh</v>
      </c>
      <c r="X45" s="399" t="str">
        <v>auh</v>
      </c>
      <c r="Y45" s="399" t="str">
        <v>aoh</v>
      </c>
      <c r="Z45" s="399" t="str">
        <v>auh</v>
      </c>
      <c r="AA45" s="399" t="str">
        <v>促聲
（入）</v>
      </c>
      <c r="AB45" s="399" t="str">
        <v>交促</v>
      </c>
      <c r="AC45" s="399" t="str">
        <v>23</v>
      </c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</row>
    <row r="46" spans="2:45" ht="54" customHeight="1">
      <c r="B46" s="374">
        <v>43</v>
      </c>
      <c r="C46" s="375" t="s">
        <v>1210</v>
      </c>
      <c r="D46" s="376" t="s">
        <v>1211</v>
      </c>
      <c r="E46" s="377" t="s">
        <v>1209</v>
      </c>
      <c r="F46" s="378" t="s">
        <v>438</v>
      </c>
      <c r="G46" s="379" t="s">
        <v>1211</v>
      </c>
      <c r="H46" s="380" t="s">
        <v>1211</v>
      </c>
      <c r="I46" s="380" t="s">
        <v>1211</v>
      </c>
      <c r="J46" s="380" t="s">
        <v>1211</v>
      </c>
      <c r="K46" s="380" t="s">
        <v>1790</v>
      </c>
      <c r="L46" s="381" t="s">
        <v>1105</v>
      </c>
      <c r="M46" s="382" t="str">
        <f>韻母對照資料表[[#This Row],[十五音]]&amp;LEFT(韻母對照資料表[[#This Row],[舒促聲]],1)</f>
        <v>兼舒</v>
      </c>
      <c r="N46" s="383">
        <v>22</v>
      </c>
      <c r="O46" s="367">
        <f>IF(韻母對照資料表[[#This Row],[台語音標]]="", 0, LEN(韻母對照資料表[[#This Row],[台語音標]]))</f>
        <v>3</v>
      </c>
      <c r="P46" s="41"/>
      <c r="Q46" s="399" t="str">
        <v>47</v>
      </c>
      <c r="R46" s="399" t="str">
        <v>名</v>
      </c>
      <c r="S46" s="399" t="str">
        <v>ia</v>
      </c>
      <c r="T46" s="399" t="str">
        <v>迦</v>
      </c>
      <c r="U46" s="399" t="str">
        <v>ㄧㄚ</v>
      </c>
      <c r="V46" s="399" t="str">
        <v>ia</v>
      </c>
      <c r="W46" s="399" t="str">
        <v>ia</v>
      </c>
      <c r="X46" s="399" t="str">
        <v>ia</v>
      </c>
      <c r="Y46" s="399" t="str">
        <v>ia</v>
      </c>
      <c r="Z46" s="399" t="str">
        <v>ia</v>
      </c>
      <c r="AA46" s="399" t="str">
        <v>舒聲
（平/上/去）</v>
      </c>
      <c r="AB46" s="399" t="str">
        <v>迦舒</v>
      </c>
      <c r="AC46" s="399" t="str">
        <v>24</v>
      </c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</row>
    <row r="47" spans="2:45" ht="54" customHeight="1">
      <c r="B47" s="374">
        <v>44</v>
      </c>
      <c r="C47" s="375" t="s">
        <v>1212</v>
      </c>
      <c r="D47" s="376" t="s">
        <v>1213</v>
      </c>
      <c r="E47" s="377" t="s">
        <v>1209</v>
      </c>
      <c r="F47" s="378" t="s">
        <v>480</v>
      </c>
      <c r="G47" s="379" t="s">
        <v>1214</v>
      </c>
      <c r="H47" s="380" t="s">
        <v>1214</v>
      </c>
      <c r="I47" s="380" t="s">
        <v>1214</v>
      </c>
      <c r="J47" s="380" t="s">
        <v>1214</v>
      </c>
      <c r="K47" s="380" t="s">
        <v>1792</v>
      </c>
      <c r="L47" s="381" t="s">
        <v>1108</v>
      </c>
      <c r="M47" s="382" t="str">
        <f>韻母對照資料表[[#This Row],[十五音]]&amp;LEFT(韻母對照資料表[[#This Row],[舒促聲]],1)</f>
        <v>兼促</v>
      </c>
      <c r="N47" s="383">
        <v>22</v>
      </c>
      <c r="O47" s="367">
        <f>IF(韻母對照資料表[[#This Row],[台語音標]]="", 0, LEN(韻母對照資料表[[#This Row],[台語音標]]))</f>
        <v>3</v>
      </c>
      <c r="P47" s="41"/>
      <c r="Q47" s="399" t="str">
        <v>48</v>
      </c>
      <c r="R47" s="399" t="str">
        <v>壁</v>
      </c>
      <c r="S47" s="399" t="str">
        <v>ia?</v>
      </c>
      <c r="T47" s="399" t="str">
        <v>迦</v>
      </c>
      <c r="U47" s="399" t="str">
        <v>ㄧㄚㆷ</v>
      </c>
      <c r="V47" s="399" t="str">
        <v>iah</v>
      </c>
      <c r="W47" s="399" t="str">
        <v>iah</v>
      </c>
      <c r="X47" s="399" t="str">
        <v>iah</v>
      </c>
      <c r="Y47" s="399" t="str">
        <v>iah</v>
      </c>
      <c r="Z47" s="399" t="str">
        <v>iah</v>
      </c>
      <c r="AA47" s="399" t="str">
        <v>促聲
（入）</v>
      </c>
      <c r="AB47" s="399" t="str">
        <v>迦促</v>
      </c>
      <c r="AC47" s="399" t="str">
        <v>24</v>
      </c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</row>
    <row r="48" spans="2:45" ht="54" customHeight="1">
      <c r="B48" s="374">
        <v>45</v>
      </c>
      <c r="C48" s="375" t="s">
        <v>1216</v>
      </c>
      <c r="D48" s="376" t="s">
        <v>180</v>
      </c>
      <c r="E48" s="377" t="s">
        <v>1215</v>
      </c>
      <c r="F48" s="378" t="s">
        <v>181</v>
      </c>
      <c r="G48" s="379" t="s">
        <v>180</v>
      </c>
      <c r="H48" s="380" t="s">
        <v>180</v>
      </c>
      <c r="I48" s="380" t="s">
        <v>180</v>
      </c>
      <c r="J48" s="380" t="s">
        <v>1217</v>
      </c>
      <c r="K48" s="380" t="s">
        <v>1771</v>
      </c>
      <c r="L48" s="381" t="s">
        <v>1105</v>
      </c>
      <c r="M48" s="382" t="str">
        <f>韻母對照資料表[[#This Row],[十五音]]&amp;LEFT(韻母對照資料表[[#This Row],[舒促聲]],1)</f>
        <v>交舒</v>
      </c>
      <c r="N48" s="383">
        <v>23</v>
      </c>
      <c r="O48" s="367">
        <f>IF(韻母對照資料表[[#This Row],[台語音標]]="", 0, LEN(韻母對照資料表[[#This Row],[台語音標]]))</f>
        <v>2</v>
      </c>
      <c r="P48" s="41"/>
      <c r="Q48" s="399" t="str">
        <v>49</v>
      </c>
      <c r="R48" s="399" t="str">
        <v>話</v>
      </c>
      <c r="S48" s="399" t="str">
        <v>uei</v>
      </c>
      <c r="T48" s="399" t="str">
        <v>檜</v>
      </c>
      <c r="U48" s="399" t="str">
        <v>ㄨㆤ</v>
      </c>
      <c r="V48" s="399" t="str">
        <v>ue</v>
      </c>
      <c r="W48" s="399" t="str">
        <v>ue</v>
      </c>
      <c r="X48" s="399" t="str">
        <v>oe</v>
      </c>
      <c r="Y48" s="399" t="str">
        <v>ue</v>
      </c>
      <c r="Z48" s="399" t="str">
        <v>ue</v>
      </c>
      <c r="AA48" s="399" t="str">
        <v>舒聲
（平/上/去）</v>
      </c>
      <c r="AB48" s="399" t="str">
        <v>檜舒</v>
      </c>
      <c r="AC48" s="399" t="str">
        <v>25</v>
      </c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</row>
    <row r="49" spans="2:45" ht="54" customHeight="1">
      <c r="B49" s="374">
        <v>46</v>
      </c>
      <c r="C49" s="393" t="s">
        <v>2212</v>
      </c>
      <c r="D49" s="376" t="s">
        <v>1218</v>
      </c>
      <c r="E49" s="377" t="s">
        <v>1215</v>
      </c>
      <c r="F49" s="378" t="s">
        <v>199</v>
      </c>
      <c r="G49" s="379" t="s">
        <v>1219</v>
      </c>
      <c r="H49" s="380" t="s">
        <v>1219</v>
      </c>
      <c r="I49" s="380" t="s">
        <v>1219</v>
      </c>
      <c r="J49" s="380" t="s">
        <v>1220</v>
      </c>
      <c r="K49" s="380" t="s">
        <v>1772</v>
      </c>
      <c r="L49" s="381" t="s">
        <v>1108</v>
      </c>
      <c r="M49" s="382" t="str">
        <f>韻母對照資料表[[#This Row],[十五音]]&amp;LEFT(韻母對照資料表[[#This Row],[舒促聲]],1)</f>
        <v>交促</v>
      </c>
      <c r="N49" s="383">
        <v>23</v>
      </c>
      <c r="O49" s="367">
        <f>IF(韻母對照資料表[[#This Row],[台語音標]]="", 0, LEN(韻母對照資料表[[#This Row],[台語音標]]))</f>
        <v>3</v>
      </c>
      <c r="P49" s="41"/>
      <c r="Q49" s="399" t="str">
        <v>50</v>
      </c>
      <c r="R49" s="399" t="str">
        <v>拔</v>
      </c>
      <c r="S49" s="399" t="str">
        <v>uei?</v>
      </c>
      <c r="T49" s="399" t="str">
        <v>檜</v>
      </c>
      <c r="U49" s="399" t="str">
        <v>ㄨㆤㆷ</v>
      </c>
      <c r="V49" s="399" t="str">
        <v>ueh</v>
      </c>
      <c r="W49" s="399" t="str">
        <v>ueh</v>
      </c>
      <c r="X49" s="399" t="str">
        <v>oeh</v>
      </c>
      <c r="Y49" s="399" t="str">
        <v>ueh</v>
      </c>
      <c r="Z49" s="399" t="str">
        <v>ueh</v>
      </c>
      <c r="AA49" s="399" t="str">
        <v>促聲
（入）</v>
      </c>
      <c r="AB49" s="399" t="str">
        <v>檜促</v>
      </c>
      <c r="AC49" s="399" t="str">
        <v>25</v>
      </c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</row>
    <row r="50" spans="2:45" ht="54" customHeight="1">
      <c r="B50" s="374">
        <v>47</v>
      </c>
      <c r="C50" s="375" t="s">
        <v>2290</v>
      </c>
      <c r="D50" s="376" t="s">
        <v>1222</v>
      </c>
      <c r="E50" s="377" t="s">
        <v>1221</v>
      </c>
      <c r="F50" s="378" t="s">
        <v>392</v>
      </c>
      <c r="G50" s="379" t="s">
        <v>1222</v>
      </c>
      <c r="H50" s="380" t="s">
        <v>1222</v>
      </c>
      <c r="I50" s="380" t="s">
        <v>1222</v>
      </c>
      <c r="J50" s="380" t="s">
        <v>1222</v>
      </c>
      <c r="K50" s="380" t="s">
        <v>1786</v>
      </c>
      <c r="L50" s="381" t="s">
        <v>1105</v>
      </c>
      <c r="M50" s="382" t="str">
        <f>韻母對照資料表[[#This Row],[十五音]]&amp;LEFT(韻母對照資料表[[#This Row],[舒促聲]],1)</f>
        <v>迦舒</v>
      </c>
      <c r="N50" s="383">
        <v>24</v>
      </c>
      <c r="O50" s="367">
        <f>IF(韻母對照資料表[[#This Row],[台語音標]]="", 0, LEN(韻母對照資料表[[#This Row],[台語音標]]))</f>
        <v>2</v>
      </c>
      <c r="P50" s="41"/>
      <c r="Q50" s="399" t="str">
        <v>51</v>
      </c>
      <c r="R50" s="399" t="str">
        <v>聽</v>
      </c>
      <c r="S50" s="399" t="str">
        <v>ã</v>
      </c>
      <c r="T50" s="399" t="str">
        <v>監</v>
      </c>
      <c r="U50" s="399" t="str">
        <v>ㆩ</v>
      </c>
      <c r="V50" s="399" t="str">
        <v>ann</v>
      </c>
      <c r="W50" s="399" t="str">
        <v>ann</v>
      </c>
      <c r="X50" s="399" t="str">
        <v>aⁿ</v>
      </c>
      <c r="Y50" s="399" t="str">
        <v>na</v>
      </c>
      <c r="Z50" s="399" t="str">
        <v>ann</v>
      </c>
      <c r="AA50" s="399" t="str">
        <v>舒聲
（平/上/去）</v>
      </c>
      <c r="AB50" s="399" t="str">
        <v>監舒</v>
      </c>
      <c r="AC50" s="399" t="str">
        <v>26</v>
      </c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</row>
    <row r="51" spans="2:45" ht="54" customHeight="1">
      <c r="B51" s="374">
        <v>48</v>
      </c>
      <c r="C51" s="375" t="s">
        <v>2213</v>
      </c>
      <c r="D51" s="376" t="s">
        <v>1223</v>
      </c>
      <c r="E51" s="377" t="s">
        <v>1221</v>
      </c>
      <c r="F51" s="378" t="s">
        <v>419</v>
      </c>
      <c r="G51" s="379" t="s">
        <v>1224</v>
      </c>
      <c r="H51" s="380" t="s">
        <v>1224</v>
      </c>
      <c r="I51" s="380" t="s">
        <v>1224</v>
      </c>
      <c r="J51" s="380" t="s">
        <v>1224</v>
      </c>
      <c r="K51" s="380" t="s">
        <v>1788</v>
      </c>
      <c r="L51" s="381" t="s">
        <v>1108</v>
      </c>
      <c r="M51" s="382" t="str">
        <f>韻母對照資料表[[#This Row],[十五音]]&amp;LEFT(韻母對照資料表[[#This Row],[舒促聲]],1)</f>
        <v>迦促</v>
      </c>
      <c r="N51" s="383">
        <v>24</v>
      </c>
      <c r="O51" s="367">
        <f>IF(韻母對照資料表[[#This Row],[台語音標]]="", 0, LEN(韻母對照資料表[[#This Row],[台語音標]]))</f>
        <v>3</v>
      </c>
      <c r="P51" s="41"/>
      <c r="Q51" s="399" t="str">
        <v>52</v>
      </c>
      <c r="R51" s="399" t="str">
        <v>含</v>
      </c>
      <c r="S51" s="399" t="str">
        <v>ã?</v>
      </c>
      <c r="T51" s="399" t="str">
        <v>監</v>
      </c>
      <c r="U51" s="399" t="str">
        <v>ㆩㆷ</v>
      </c>
      <c r="V51" s="399" t="str">
        <v>ahnn</v>
      </c>
      <c r="W51" s="399" t="str">
        <v>annh</v>
      </c>
      <c r="X51" s="399" t="str">
        <v>aⁿh</v>
      </c>
      <c r="Y51" s="399" t="str">
        <v>nah</v>
      </c>
      <c r="Z51" s="399" t="str">
        <v>annh</v>
      </c>
      <c r="AA51" s="399" t="str">
        <v>促聲
（入）</v>
      </c>
      <c r="AB51" s="399" t="str">
        <v>監促</v>
      </c>
      <c r="AC51" s="399" t="str">
        <v>26</v>
      </c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</row>
    <row r="52" spans="2:45" ht="54" customHeight="1">
      <c r="B52" s="374">
        <v>49</v>
      </c>
      <c r="C52" s="375" t="s">
        <v>1226</v>
      </c>
      <c r="D52" s="376" t="s">
        <v>1227</v>
      </c>
      <c r="E52" s="377" t="s">
        <v>1225</v>
      </c>
      <c r="F52" s="378" t="s">
        <v>890</v>
      </c>
      <c r="G52" s="379" t="s">
        <v>889</v>
      </c>
      <c r="H52" s="380" t="s">
        <v>889</v>
      </c>
      <c r="I52" s="380" t="s">
        <v>1228</v>
      </c>
      <c r="J52" s="380" t="s">
        <v>889</v>
      </c>
      <c r="K52" s="380" t="s">
        <v>1831</v>
      </c>
      <c r="L52" s="381" t="s">
        <v>1105</v>
      </c>
      <c r="M52" s="382" t="str">
        <f>韻母對照資料表[[#This Row],[十五音]]&amp;LEFT(韻母對照資料表[[#This Row],[舒促聲]],1)</f>
        <v>檜舒</v>
      </c>
      <c r="N52" s="383">
        <v>25</v>
      </c>
      <c r="O52" s="367">
        <f>IF(韻母對照資料表[[#This Row],[台語音標]]="", 0, LEN(韻母對照資料表[[#This Row],[台語音標]]))</f>
        <v>2</v>
      </c>
      <c r="P52" s="41"/>
      <c r="Q52" s="399" t="str">
        <v>53</v>
      </c>
      <c r="R52" s="399" t="str">
        <v>夫</v>
      </c>
      <c r="S52" s="399" t="str">
        <v>u</v>
      </c>
      <c r="T52" s="399" t="str">
        <v>艍</v>
      </c>
      <c r="U52" s="399" t="str">
        <v>ㄨ</v>
      </c>
      <c r="V52" s="399" t="str">
        <v>u</v>
      </c>
      <c r="W52" s="399" t="str">
        <v>u</v>
      </c>
      <c r="X52" s="399" t="str">
        <v>u</v>
      </c>
      <c r="Y52" s="399" t="str">
        <v>u</v>
      </c>
      <c r="Z52" s="399" t="str">
        <v>u</v>
      </c>
      <c r="AA52" s="399" t="str">
        <v>舒聲
（平/上/去）</v>
      </c>
      <c r="AB52" s="399" t="str">
        <v>艍舒</v>
      </c>
      <c r="AC52" s="399" t="str">
        <v>27</v>
      </c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</row>
    <row r="53" spans="2:45" ht="54" customHeight="1">
      <c r="B53" s="374">
        <v>50</v>
      </c>
      <c r="C53" s="385" t="s">
        <v>2214</v>
      </c>
      <c r="D53" s="376" t="s">
        <v>1229</v>
      </c>
      <c r="E53" s="377" t="s">
        <v>1225</v>
      </c>
      <c r="F53" s="378" t="s">
        <v>907</v>
      </c>
      <c r="G53" s="379" t="s">
        <v>1230</v>
      </c>
      <c r="H53" s="380" t="s">
        <v>1230</v>
      </c>
      <c r="I53" s="380" t="s">
        <v>1231</v>
      </c>
      <c r="J53" s="380" t="s">
        <v>1230</v>
      </c>
      <c r="K53" s="380" t="s">
        <v>1832</v>
      </c>
      <c r="L53" s="381" t="s">
        <v>1108</v>
      </c>
      <c r="M53" s="382" t="str">
        <f>韻母對照資料表[[#This Row],[十五音]]&amp;LEFT(韻母對照資料表[[#This Row],[舒促聲]],1)</f>
        <v>檜促</v>
      </c>
      <c r="N53" s="383">
        <v>25</v>
      </c>
      <c r="O53" s="367">
        <f>IF(韻母對照資料表[[#This Row],[台語音標]]="", 0, LEN(韻母對照資料表[[#This Row],[台語音標]]))</f>
        <v>3</v>
      </c>
      <c r="P53" s="41"/>
      <c r="Q53" s="399" t="str">
        <v>54</v>
      </c>
      <c r="R53" s="399" t="str">
        <v>勃</v>
      </c>
      <c r="S53" s="399" t="str">
        <v>u?</v>
      </c>
      <c r="T53" s="399" t="str">
        <v>艍</v>
      </c>
      <c r="U53" s="399" t="str">
        <v>ㄨㆷ</v>
      </c>
      <c r="V53" s="399" t="str">
        <v>uh</v>
      </c>
      <c r="W53" s="399" t="str">
        <v>uh</v>
      </c>
      <c r="X53" s="399" t="str">
        <v>uh</v>
      </c>
      <c r="Y53" s="399" t="str">
        <v>uh</v>
      </c>
      <c r="Z53" s="399" t="str">
        <v>uh</v>
      </c>
      <c r="AA53" s="399" t="str">
        <v>促聲
（入）</v>
      </c>
      <c r="AB53" s="399" t="str">
        <v>艍促</v>
      </c>
      <c r="AC53" s="399" t="str">
        <v>27</v>
      </c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</row>
    <row r="54" spans="2:45" ht="54" customHeight="1">
      <c r="B54" s="374">
        <v>51</v>
      </c>
      <c r="C54" s="385" t="s">
        <v>1233</v>
      </c>
      <c r="D54" s="376" t="s">
        <v>1234</v>
      </c>
      <c r="E54" s="377" t="s">
        <v>1232</v>
      </c>
      <c r="F54" s="378" t="s">
        <v>37</v>
      </c>
      <c r="G54" s="379" t="s">
        <v>1235</v>
      </c>
      <c r="H54" s="380" t="s">
        <v>1235</v>
      </c>
      <c r="I54" s="380" t="s">
        <v>1236</v>
      </c>
      <c r="J54" s="380" t="s">
        <v>1237</v>
      </c>
      <c r="K54" s="380" t="s">
        <v>1849</v>
      </c>
      <c r="L54" s="381" t="s">
        <v>1105</v>
      </c>
      <c r="M54" s="382" t="str">
        <f>韻母對照資料表[[#This Row],[十五音]]&amp;LEFT(韻母對照資料表[[#This Row],[舒促聲]],1)</f>
        <v>監舒</v>
      </c>
      <c r="N54" s="383">
        <v>26</v>
      </c>
      <c r="O54" s="367">
        <f>IF(韻母對照資料表[[#This Row],[台語音標]]="", 0, LEN(韻母對照資料表[[#This Row],[台語音標]]))</f>
        <v>3</v>
      </c>
      <c r="P54" s="41"/>
      <c r="Q54" s="399" t="str">
        <v>55</v>
      </c>
      <c r="R54" s="399" t="str">
        <v>些</v>
      </c>
      <c r="S54" s="399" t="str">
        <v>a</v>
      </c>
      <c r="T54" s="399" t="str">
        <v>膠</v>
      </c>
      <c r="U54" s="399" t="str">
        <v>ㄚ</v>
      </c>
      <c r="V54" s="399" t="str">
        <v>a</v>
      </c>
      <c r="W54" s="399" t="str">
        <v>a</v>
      </c>
      <c r="X54" s="399" t="str">
        <v>a</v>
      </c>
      <c r="Y54" s="399" t="str">
        <v>a</v>
      </c>
      <c r="Z54" s="399" t="str">
        <v>a</v>
      </c>
      <c r="AA54" s="399" t="str">
        <v>舒聲
（平/上/去）</v>
      </c>
      <c r="AB54" s="399" t="str">
        <v>膠舒</v>
      </c>
      <c r="AC54" s="399" t="str">
        <v>28</v>
      </c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</row>
    <row r="55" spans="2:45" ht="54" customHeight="1">
      <c r="B55" s="374">
        <v>52</v>
      </c>
      <c r="C55" s="394" t="s">
        <v>2215</v>
      </c>
      <c r="D55" s="376" t="s">
        <v>1238</v>
      </c>
      <c r="E55" s="377" t="s">
        <v>1232</v>
      </c>
      <c r="F55" s="378" t="s">
        <v>64</v>
      </c>
      <c r="G55" s="379" t="s">
        <v>1239</v>
      </c>
      <c r="H55" s="380" t="s">
        <v>1240</v>
      </c>
      <c r="I55" s="380" t="s">
        <v>1241</v>
      </c>
      <c r="J55" s="380" t="s">
        <v>1242</v>
      </c>
      <c r="K55" s="380" t="s">
        <v>1850</v>
      </c>
      <c r="L55" s="381" t="s">
        <v>1108</v>
      </c>
      <c r="M55" s="382" t="str">
        <f>韻母對照資料表[[#This Row],[十五音]]&amp;LEFT(韻母對照資料表[[#This Row],[舒促聲]],1)</f>
        <v>監促</v>
      </c>
      <c r="N55" s="383">
        <v>26</v>
      </c>
      <c r="O55" s="367">
        <f>IF(韻母對照資料表[[#This Row],[台語音標]]="", 0, LEN(韻母對照資料表[[#This Row],[台語音標]]))</f>
        <v>4</v>
      </c>
      <c r="P55" s="41"/>
      <c r="Q55" s="399" t="str">
        <v>56</v>
      </c>
      <c r="R55" s="399" t="str">
        <v>百</v>
      </c>
      <c r="S55" s="399" t="str">
        <v>a?</v>
      </c>
      <c r="T55" s="399" t="str">
        <v>膠</v>
      </c>
      <c r="U55" s="399" t="str">
        <v>ㄚㆷ</v>
      </c>
      <c r="V55" s="399" t="str">
        <v>ah</v>
      </c>
      <c r="W55" s="399" t="str">
        <v>ah</v>
      </c>
      <c r="X55" s="399" t="str">
        <v>ah</v>
      </c>
      <c r="Y55" s="399" t="str">
        <v>ah</v>
      </c>
      <c r="Z55" s="399" t="str">
        <v>ah</v>
      </c>
      <c r="AA55" s="399" t="str">
        <v>促聲
（入）</v>
      </c>
      <c r="AB55" s="399" t="str">
        <v>膠促</v>
      </c>
      <c r="AC55" s="399" t="str">
        <v>28</v>
      </c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</row>
    <row r="56" spans="2:45" ht="54" customHeight="1">
      <c r="B56" s="374">
        <v>53</v>
      </c>
      <c r="C56" s="375" t="s">
        <v>1244</v>
      </c>
      <c r="D56" s="376" t="s">
        <v>732</v>
      </c>
      <c r="E56" s="377" t="s">
        <v>1243</v>
      </c>
      <c r="F56" s="378" t="s">
        <v>733</v>
      </c>
      <c r="G56" s="379" t="s">
        <v>732</v>
      </c>
      <c r="H56" s="380" t="s">
        <v>732</v>
      </c>
      <c r="I56" s="380" t="s">
        <v>732</v>
      </c>
      <c r="J56" s="380" t="s">
        <v>732</v>
      </c>
      <c r="K56" s="380" t="s">
        <v>1706</v>
      </c>
      <c r="L56" s="381" t="s">
        <v>1105</v>
      </c>
      <c r="M56" s="382" t="str">
        <f>韻母對照資料表[[#This Row],[十五音]]&amp;LEFT(韻母對照資料表[[#This Row],[舒促聲]],1)</f>
        <v>艍舒</v>
      </c>
      <c r="N56" s="383">
        <v>27</v>
      </c>
      <c r="O56" s="367">
        <f>IF(韻母對照資料表[[#This Row],[台語音標]]="", 0, LEN(韻母對照資料表[[#This Row],[台語音標]]))</f>
        <v>1</v>
      </c>
      <c r="P56" s="41"/>
      <c r="Q56" s="399" t="str">
        <v>57</v>
      </c>
      <c r="R56" s="399" t="str">
        <v>爾</v>
      </c>
      <c r="S56" s="399" t="str">
        <v>i</v>
      </c>
      <c r="T56" s="399" t="str">
        <v>居</v>
      </c>
      <c r="U56" s="399" t="str">
        <v>ㄧ</v>
      </c>
      <c r="V56" s="399" t="str">
        <v>i</v>
      </c>
      <c r="W56" s="399" t="str">
        <v>i</v>
      </c>
      <c r="X56" s="399" t="str">
        <v>i</v>
      </c>
      <c r="Y56" s="399" t="str">
        <v>i</v>
      </c>
      <c r="Z56" s="399" t="str">
        <v>i</v>
      </c>
      <c r="AA56" s="399" t="str">
        <v>舒聲
（平/上/去）</v>
      </c>
      <c r="AB56" s="399" t="str">
        <v>居舒</v>
      </c>
      <c r="AC56" s="399" t="str">
        <v>29</v>
      </c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</row>
    <row r="57" spans="2:45" ht="54" customHeight="1">
      <c r="B57" s="374">
        <v>54</v>
      </c>
      <c r="C57" s="389" t="s">
        <v>2216</v>
      </c>
      <c r="D57" s="376" t="s">
        <v>1245</v>
      </c>
      <c r="E57" s="377" t="s">
        <v>1243</v>
      </c>
      <c r="F57" s="378" t="s">
        <v>749</v>
      </c>
      <c r="G57" s="379" t="s">
        <v>1246</v>
      </c>
      <c r="H57" s="380" t="s">
        <v>1246</v>
      </c>
      <c r="I57" s="380" t="s">
        <v>1246</v>
      </c>
      <c r="J57" s="380" t="s">
        <v>1246</v>
      </c>
      <c r="K57" s="380" t="s">
        <v>1818</v>
      </c>
      <c r="L57" s="381" t="s">
        <v>1108</v>
      </c>
      <c r="M57" s="382" t="str">
        <f>韻母對照資料表[[#This Row],[十五音]]&amp;LEFT(韻母對照資料表[[#This Row],[舒促聲]],1)</f>
        <v>艍促</v>
      </c>
      <c r="N57" s="383">
        <v>27</v>
      </c>
      <c r="O57" s="367">
        <f>IF(韻母對照資料表[[#This Row],[台語音標]]="", 0, LEN(韻母對照資料表[[#This Row],[台語音標]]))</f>
        <v>2</v>
      </c>
      <c r="P57" s="41"/>
      <c r="Q57" s="399" t="str">
        <v>58</v>
      </c>
      <c r="R57" s="399" t="str">
        <v>逼</v>
      </c>
      <c r="S57" s="399" t="str">
        <v>i?</v>
      </c>
      <c r="T57" s="399" t="str">
        <v>居</v>
      </c>
      <c r="U57" s="399" t="str">
        <v>ㄧㆷ</v>
      </c>
      <c r="V57" s="399" t="str">
        <v>ih</v>
      </c>
      <c r="W57" s="399" t="str">
        <v>ih</v>
      </c>
      <c r="X57" s="399" t="str">
        <v>ih</v>
      </c>
      <c r="Y57" s="399" t="str">
        <v>ih</v>
      </c>
      <c r="Z57" s="399" t="str">
        <v>ih</v>
      </c>
      <c r="AA57" s="399" t="str">
        <v>促聲
（入）</v>
      </c>
      <c r="AB57" s="399" t="str">
        <v>居促</v>
      </c>
      <c r="AC57" s="399" t="str">
        <v>29</v>
      </c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</row>
    <row r="58" spans="2:45" ht="54" customHeight="1">
      <c r="B58" s="374">
        <v>55</v>
      </c>
      <c r="C58" s="375" t="s">
        <v>1248</v>
      </c>
      <c r="D58" s="376" t="s">
        <v>18</v>
      </c>
      <c r="E58" s="377" t="s">
        <v>1247</v>
      </c>
      <c r="F58" s="378" t="s">
        <v>19</v>
      </c>
      <c r="G58" s="379" t="s">
        <v>18</v>
      </c>
      <c r="H58" s="380" t="s">
        <v>18</v>
      </c>
      <c r="I58" s="380" t="s">
        <v>18</v>
      </c>
      <c r="J58" s="380" t="s">
        <v>18</v>
      </c>
      <c r="K58" s="380" t="s">
        <v>1758</v>
      </c>
      <c r="L58" s="381" t="s">
        <v>1105</v>
      </c>
      <c r="M58" s="382" t="str">
        <f>韻母對照資料表[[#This Row],[十五音]]&amp;LEFT(韻母對照資料表[[#This Row],[舒促聲]],1)</f>
        <v>膠舒</v>
      </c>
      <c r="N58" s="383">
        <v>28</v>
      </c>
      <c r="O58" s="367">
        <f>IF(韻母對照資料表[[#This Row],[台語音標]]="", 0, LEN(韻母對照資料表[[#This Row],[台語音標]]))</f>
        <v>1</v>
      </c>
      <c r="P58" s="41"/>
      <c r="Q58" s="399" t="str">
        <v>59</v>
      </c>
      <c r="R58" s="399" t="str">
        <v>油</v>
      </c>
      <c r="S58" s="399" t="str">
        <v>iu</v>
      </c>
      <c r="T58" s="399" t="str">
        <v>丩</v>
      </c>
      <c r="U58" s="399" t="str">
        <v>ㄧㄨ</v>
      </c>
      <c r="V58" s="399" t="str">
        <v>iu</v>
      </c>
      <c r="W58" s="399" t="str">
        <v>iu</v>
      </c>
      <c r="X58" s="399" t="str">
        <v>iu</v>
      </c>
      <c r="Y58" s="399" t="str">
        <v>iu</v>
      </c>
      <c r="Z58" s="399" t="str">
        <v>iu</v>
      </c>
      <c r="AA58" s="399" t="str">
        <v>舒聲
（平/上/去）</v>
      </c>
      <c r="AB58" s="399" t="str">
        <v>丩舒</v>
      </c>
      <c r="AC58" s="399" t="str">
        <v>30</v>
      </c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</row>
    <row r="59" spans="2:45" ht="54" customHeight="1">
      <c r="B59" s="374">
        <v>56</v>
      </c>
      <c r="C59" s="375" t="s">
        <v>2217</v>
      </c>
      <c r="D59" s="376" t="s">
        <v>1249</v>
      </c>
      <c r="E59" s="377" t="s">
        <v>1247</v>
      </c>
      <c r="F59" s="378" t="s">
        <v>48</v>
      </c>
      <c r="G59" s="379" t="s">
        <v>1250</v>
      </c>
      <c r="H59" s="380" t="s">
        <v>1250</v>
      </c>
      <c r="I59" s="380" t="s">
        <v>1250</v>
      </c>
      <c r="J59" s="380" t="s">
        <v>1250</v>
      </c>
      <c r="K59" s="380" t="s">
        <v>1760</v>
      </c>
      <c r="L59" s="381" t="s">
        <v>1108</v>
      </c>
      <c r="M59" s="382" t="str">
        <f>韻母對照資料表[[#This Row],[十五音]]&amp;LEFT(韻母對照資料表[[#This Row],[舒促聲]],1)</f>
        <v>膠促</v>
      </c>
      <c r="N59" s="383">
        <v>28</v>
      </c>
      <c r="O59" s="367">
        <f>IF(韻母對照資料表[[#This Row],[台語音標]]="", 0, LEN(韻母對照資料表[[#This Row],[台語音標]]))</f>
        <v>2</v>
      </c>
      <c r="P59" s="41"/>
      <c r="Q59" s="399" t="str">
        <v>61</v>
      </c>
      <c r="R59" s="399" t="str">
        <v>爭</v>
      </c>
      <c r="S59" s="399" t="str">
        <v>ɛ̃</v>
      </c>
      <c r="T59" s="399" t="str">
        <v>更</v>
      </c>
      <c r="U59" s="399" t="str">
        <v>ㆥ</v>
      </c>
      <c r="V59" s="399" t="str">
        <v>enn</v>
      </c>
      <c r="W59" s="399" t="str">
        <v>enn</v>
      </c>
      <c r="X59" s="399" t="str">
        <v>eⁿ</v>
      </c>
      <c r="Y59" s="399" t="str">
        <v>ne</v>
      </c>
      <c r="Z59" s="399" t="str">
        <v>enn</v>
      </c>
      <c r="AA59" s="399" t="str">
        <v>舒聲
（平/上/去）</v>
      </c>
      <c r="AB59" s="399" t="str">
        <v>更舒</v>
      </c>
      <c r="AC59" s="399" t="str">
        <v>31</v>
      </c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</row>
    <row r="60" spans="2:45" ht="54" customHeight="1">
      <c r="B60" s="374">
        <v>57</v>
      </c>
      <c r="C60" s="375" t="s">
        <v>1252</v>
      </c>
      <c r="D60" s="376" t="s">
        <v>260</v>
      </c>
      <c r="E60" s="377" t="s">
        <v>1251</v>
      </c>
      <c r="F60" s="378" t="s">
        <v>261</v>
      </c>
      <c r="G60" s="379" t="s">
        <v>260</v>
      </c>
      <c r="H60" s="380" t="s">
        <v>260</v>
      </c>
      <c r="I60" s="380" t="s">
        <v>260</v>
      </c>
      <c r="J60" s="380" t="s">
        <v>260</v>
      </c>
      <c r="K60" s="380" t="s">
        <v>1777</v>
      </c>
      <c r="L60" s="381" t="s">
        <v>1105</v>
      </c>
      <c r="M60" s="382" t="str">
        <f>韻母對照資料表[[#This Row],[十五音]]&amp;LEFT(韻母對照資料表[[#This Row],[舒促聲]],1)</f>
        <v>居舒</v>
      </c>
      <c r="N60" s="383">
        <v>29</v>
      </c>
      <c r="O60" s="367">
        <f>IF(韻母對照資料表[[#This Row],[台語音標]]="", 0, LEN(韻母對照資料表[[#This Row],[台語音標]]))</f>
        <v>1</v>
      </c>
      <c r="P60" s="41"/>
      <c r="Q60" s="399" t="str">
        <v>62</v>
      </c>
      <c r="R60" s="399" t="str">
        <v>挾</v>
      </c>
      <c r="S60" s="399" t="str">
        <v>ɛ̃?</v>
      </c>
      <c r="T60" s="399" t="str">
        <v>更</v>
      </c>
      <c r="U60" s="399" t="str">
        <v>ㆥㆷ</v>
      </c>
      <c r="V60" s="399" t="str">
        <v>ehnn</v>
      </c>
      <c r="W60" s="399" t="str">
        <v>ennh</v>
      </c>
      <c r="X60" s="399" t="str">
        <v>eⁿh</v>
      </c>
      <c r="Y60" s="399" t="str">
        <v>neh</v>
      </c>
      <c r="Z60" s="399" t="str">
        <v>ennh</v>
      </c>
      <c r="AA60" s="399" t="str">
        <v>促聲
（入）</v>
      </c>
      <c r="AB60" s="399" t="str">
        <v>更促</v>
      </c>
      <c r="AC60" s="399" t="str">
        <v>31</v>
      </c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</row>
    <row r="61" spans="2:45" ht="54" customHeight="1">
      <c r="B61" s="374">
        <v>58</v>
      </c>
      <c r="C61" s="385" t="s">
        <v>1253</v>
      </c>
      <c r="D61" s="376" t="s">
        <v>1254</v>
      </c>
      <c r="E61" s="377" t="s">
        <v>1251</v>
      </c>
      <c r="F61" s="378" t="s">
        <v>292</v>
      </c>
      <c r="G61" s="379" t="s">
        <v>1255</v>
      </c>
      <c r="H61" s="380" t="s">
        <v>1255</v>
      </c>
      <c r="I61" s="380" t="s">
        <v>1255</v>
      </c>
      <c r="J61" s="380" t="s">
        <v>1255</v>
      </c>
      <c r="K61" s="380" t="s">
        <v>1779</v>
      </c>
      <c r="L61" s="381" t="s">
        <v>1108</v>
      </c>
      <c r="M61" s="382" t="str">
        <f>韻母對照資料表[[#This Row],[十五音]]&amp;LEFT(韻母對照資料表[[#This Row],[舒促聲]],1)</f>
        <v>居促</v>
      </c>
      <c r="N61" s="383">
        <v>29</v>
      </c>
      <c r="O61" s="367">
        <f>IF(韻母對照資料表[[#This Row],[台語音標]]="", 0, LEN(韻母對照資料表[[#This Row],[台語音標]]))</f>
        <v>2</v>
      </c>
      <c r="P61" s="41"/>
      <c r="Q61" s="399" t="str">
        <v>63</v>
      </c>
      <c r="R61" s="399" t="str">
        <v>荒</v>
      </c>
      <c r="S61" s="399" t="str">
        <v>uĩ</v>
      </c>
      <c r="T61" s="399" t="str">
        <v>褌</v>
      </c>
      <c r="U61" s="399" t="str">
        <v>ㄨㆪ</v>
      </c>
      <c r="V61" s="399" t="str">
        <v>uinn</v>
      </c>
      <c r="W61" s="399" t="str">
        <v>uinn</v>
      </c>
      <c r="X61" s="399" t="str">
        <v>uiⁿ</v>
      </c>
      <c r="Y61" s="399" t="str">
        <v>nui</v>
      </c>
      <c r="Z61" s="399" t="str">
        <v>uinn</v>
      </c>
      <c r="AA61" s="399" t="str">
        <v>舒聲
（平/上/去）</v>
      </c>
      <c r="AB61" s="399" t="str">
        <v>褌舒</v>
      </c>
      <c r="AC61" s="399" t="str">
        <v>32</v>
      </c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</row>
    <row r="62" spans="2:45" ht="54" customHeight="1">
      <c r="B62" s="374">
        <v>59</v>
      </c>
      <c r="C62" s="375" t="s">
        <v>1257</v>
      </c>
      <c r="D62" s="376" t="s">
        <v>604</v>
      </c>
      <c r="E62" s="377" t="s">
        <v>1256</v>
      </c>
      <c r="F62" s="378" t="s">
        <v>605</v>
      </c>
      <c r="G62" s="379" t="s">
        <v>1802</v>
      </c>
      <c r="H62" s="380" t="s">
        <v>604</v>
      </c>
      <c r="I62" s="380" t="s">
        <v>604</v>
      </c>
      <c r="J62" s="380" t="s">
        <v>604</v>
      </c>
      <c r="K62" s="380" t="s">
        <v>1802</v>
      </c>
      <c r="L62" s="381" t="s">
        <v>1105</v>
      </c>
      <c r="M62" s="382" t="str">
        <f>韻母對照資料表[[#This Row],[十五音]]&amp;LEFT(韻母對照資料表[[#This Row],[舒促聲]],1)</f>
        <v>丩舒</v>
      </c>
      <c r="N62" s="383">
        <v>30</v>
      </c>
      <c r="O62" s="367">
        <f>IF(韻母對照資料表[[#This Row],[台語音標]]="", 0, LEN(韻母對照資料表[[#This Row],[台語音標]]))</f>
        <v>2</v>
      </c>
      <c r="P62" s="41"/>
      <c r="Q62" s="399" t="str">
        <v>65</v>
      </c>
      <c r="R62" s="399" t="str">
        <v>少</v>
      </c>
      <c r="S62" s="399" t="str">
        <v>io</v>
      </c>
      <c r="T62" s="399" t="str">
        <v>茄</v>
      </c>
      <c r="U62" s="399" t="str">
        <v>ㄧㄜ</v>
      </c>
      <c r="V62" s="399" t="str">
        <v>io</v>
      </c>
      <c r="W62" s="399" t="str">
        <v>io</v>
      </c>
      <c r="X62" s="399" t="str">
        <v>io</v>
      </c>
      <c r="Y62" s="399" t="str">
        <v>io</v>
      </c>
      <c r="Z62" s="399" t="str">
        <v>ior</v>
      </c>
      <c r="AA62" s="399" t="str">
        <v>舒聲
（平/上/去）</v>
      </c>
      <c r="AB62" s="399" t="str">
        <v>茄舒</v>
      </c>
      <c r="AC62" s="399" t="str">
        <v>33</v>
      </c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</row>
    <row r="63" spans="2:45" ht="54" customHeight="1">
      <c r="B63" s="374">
        <v>60</v>
      </c>
      <c r="C63" s="386"/>
      <c r="D63" s="387"/>
      <c r="E63" s="386"/>
      <c r="F63" s="392"/>
      <c r="G63" s="386"/>
      <c r="H63" s="386"/>
      <c r="I63" s="386"/>
      <c r="J63" s="386"/>
      <c r="K63" s="386"/>
      <c r="L63" s="386"/>
      <c r="M63" s="386"/>
      <c r="N63" s="386"/>
      <c r="O63" s="367">
        <f>IF(韻母對照資料表[[#This Row],[台語音標]]="", 0, LEN(韻母對照資料表[[#This Row],[台語音標]]))</f>
        <v>0</v>
      </c>
      <c r="P63" s="41"/>
      <c r="Q63" s="399" t="str">
        <v>66</v>
      </c>
      <c r="R63" s="399" t="str">
        <v>著</v>
      </c>
      <c r="S63" s="399" t="str">
        <v>io?</v>
      </c>
      <c r="T63" s="399" t="str">
        <v>茄</v>
      </c>
      <c r="U63" s="399" t="str">
        <v>ㄧㄜㆷ</v>
      </c>
      <c r="V63" s="399" t="str">
        <v>ioh</v>
      </c>
      <c r="W63" s="399" t="str">
        <v>ioh</v>
      </c>
      <c r="X63" s="399" t="str">
        <v>ioh</v>
      </c>
      <c r="Y63" s="399" t="str">
        <v>ioh</v>
      </c>
      <c r="Z63" s="399" t="str">
        <v>iorh</v>
      </c>
      <c r="AA63" s="399" t="str">
        <v>促聲
（入）</v>
      </c>
      <c r="AB63" s="399" t="str">
        <v>茄促</v>
      </c>
      <c r="AC63" s="399" t="str">
        <v>33</v>
      </c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</row>
    <row r="64" spans="2:45" ht="54" customHeight="1">
      <c r="B64" s="374">
        <v>61</v>
      </c>
      <c r="C64" s="375" t="s">
        <v>1259</v>
      </c>
      <c r="D64" s="376" t="s">
        <v>1260</v>
      </c>
      <c r="E64" s="377" t="s">
        <v>1258</v>
      </c>
      <c r="F64" s="378" t="s">
        <v>227</v>
      </c>
      <c r="G64" s="379" t="s">
        <v>1261</v>
      </c>
      <c r="H64" s="380" t="s">
        <v>1261</v>
      </c>
      <c r="I64" s="380" t="s">
        <v>1262</v>
      </c>
      <c r="J64" s="380" t="s">
        <v>1263</v>
      </c>
      <c r="K64" s="380" t="s">
        <v>1851</v>
      </c>
      <c r="L64" s="381" t="s">
        <v>1105</v>
      </c>
      <c r="M64" s="382" t="str">
        <f>韻母對照資料表[[#This Row],[十五音]]&amp;LEFT(韻母對照資料表[[#This Row],[舒促聲]],1)</f>
        <v>更舒</v>
      </c>
      <c r="N64" s="383">
        <v>31</v>
      </c>
      <c r="O64" s="367">
        <f>IF(韻母對照資料表[[#This Row],[台語音標]]="", 0, LEN(韻母對照資料表[[#This Row],[台語音標]]))</f>
        <v>3</v>
      </c>
      <c r="P64" s="41"/>
      <c r="Q64" s="399" t="str">
        <v>67</v>
      </c>
      <c r="R64" s="399" t="str">
        <v>庚</v>
      </c>
      <c r="S64" s="399" t="str">
        <v>ĩ</v>
      </c>
      <c r="T64" s="399" t="str">
        <v>梔</v>
      </c>
      <c r="U64" s="399" t="str">
        <v>ㆪ</v>
      </c>
      <c r="V64" s="399" t="str">
        <v>inn</v>
      </c>
      <c r="W64" s="399" t="str">
        <v>inn</v>
      </c>
      <c r="X64" s="399" t="str">
        <v>iⁿ</v>
      </c>
      <c r="Y64" s="399" t="str">
        <v>ni</v>
      </c>
      <c r="Z64" s="399" t="str">
        <v>inn</v>
      </c>
      <c r="AA64" s="399" t="str">
        <v>舒聲
（平/上/去）</v>
      </c>
      <c r="AB64" s="399" t="str">
        <v>梔舒</v>
      </c>
      <c r="AC64" s="399" t="str">
        <v>34</v>
      </c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</row>
    <row r="65" spans="2:45" ht="54" customHeight="1">
      <c r="B65" s="374">
        <v>62</v>
      </c>
      <c r="C65" s="385" t="s">
        <v>2218</v>
      </c>
      <c r="D65" s="376" t="s">
        <v>1264</v>
      </c>
      <c r="E65" s="377" t="s">
        <v>1258</v>
      </c>
      <c r="F65" s="378" t="s">
        <v>257</v>
      </c>
      <c r="G65" s="379" t="s">
        <v>1265</v>
      </c>
      <c r="H65" s="380" t="s">
        <v>1266</v>
      </c>
      <c r="I65" s="380" t="s">
        <v>1267</v>
      </c>
      <c r="J65" s="380" t="s">
        <v>1268</v>
      </c>
      <c r="K65" s="380" t="s">
        <v>1852</v>
      </c>
      <c r="L65" s="381" t="s">
        <v>1108</v>
      </c>
      <c r="M65" s="382" t="str">
        <f>韻母對照資料表[[#This Row],[十五音]]&amp;LEFT(韻母對照資料表[[#This Row],[舒促聲]],1)</f>
        <v>更促</v>
      </c>
      <c r="N65" s="383">
        <v>31</v>
      </c>
      <c r="O65" s="367">
        <f>IF(韻母對照資料表[[#This Row],[台語音標]]="", 0, LEN(韻母對照資料表[[#This Row],[台語音標]]))</f>
        <v>4</v>
      </c>
      <c r="P65" s="41"/>
      <c r="Q65" s="399" t="str">
        <v>68</v>
      </c>
      <c r="R65" s="399" t="str">
        <v>欷</v>
      </c>
      <c r="S65" s="399" t="str">
        <v>ĩ?</v>
      </c>
      <c r="T65" s="399" t="str">
        <v>梔</v>
      </c>
      <c r="U65" s="399" t="str">
        <v>ㆪㆷ</v>
      </c>
      <c r="V65" s="399" t="str">
        <v>ihnn</v>
      </c>
      <c r="W65" s="399" t="str">
        <v>innh</v>
      </c>
      <c r="X65" s="399" t="str">
        <v>iⁿh</v>
      </c>
      <c r="Y65" s="399" t="str">
        <v>nih</v>
      </c>
      <c r="Z65" s="399" t="str">
        <v>innh</v>
      </c>
      <c r="AA65" s="399" t="str">
        <v>促聲
（入）</v>
      </c>
      <c r="AB65" s="399" t="str">
        <v>梔促</v>
      </c>
      <c r="AC65" s="399" t="str">
        <v>34</v>
      </c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</row>
    <row r="66" spans="2:45" ht="54" customHeight="1">
      <c r="B66" s="374">
        <v>63</v>
      </c>
      <c r="C66" s="385" t="s">
        <v>1270</v>
      </c>
      <c r="D66" s="376" t="s">
        <v>937</v>
      </c>
      <c r="E66" s="377" t="s">
        <v>1269</v>
      </c>
      <c r="F66" s="378" t="s">
        <v>938</v>
      </c>
      <c r="G66" s="379" t="s">
        <v>1271</v>
      </c>
      <c r="H66" s="380" t="s">
        <v>1271</v>
      </c>
      <c r="I66" s="380" t="s">
        <v>1272</v>
      </c>
      <c r="J66" s="380" t="s">
        <v>1273</v>
      </c>
      <c r="K66" s="380" t="s">
        <v>1853</v>
      </c>
      <c r="L66" s="381" t="s">
        <v>1105</v>
      </c>
      <c r="M66" s="382" t="str">
        <f>韻母對照資料表[[#This Row],[十五音]]&amp;LEFT(韻母對照資料表[[#This Row],[舒促聲]],1)</f>
        <v>褌舒</v>
      </c>
      <c r="N66" s="383">
        <v>32</v>
      </c>
      <c r="O66" s="367">
        <f>IF(韻母對照資料表[[#This Row],[台語音標]]="", 0, LEN(韻母對照資料表[[#This Row],[台語音標]]))</f>
        <v>4</v>
      </c>
      <c r="P66" s="41"/>
      <c r="Q66" s="399" t="str">
        <v>69</v>
      </c>
      <c r="R66" s="399" t="str">
        <v>腔</v>
      </c>
      <c r="S66" s="399" t="str">
        <v>iɔ̃</v>
      </c>
      <c r="T66" s="399" t="str">
        <v>薑</v>
      </c>
      <c r="U66" s="399" t="str">
        <v>ㄧㆧ</v>
      </c>
      <c r="V66" s="399" t="str">
        <v>ionn</v>
      </c>
      <c r="W66" s="399" t="str">
        <v>ionn</v>
      </c>
      <c r="X66" s="399" t="str">
        <v>ioⁿ</v>
      </c>
      <c r="Y66" s="399" t="str">
        <v>nioo</v>
      </c>
      <c r="Z66" s="399" t="str">
        <v>ioonn</v>
      </c>
      <c r="AA66" s="399" t="str">
        <v>舒聲
（平/上/去）</v>
      </c>
      <c r="AB66" s="399" t="str">
        <v>薑舒</v>
      </c>
      <c r="AC66" s="399" t="str">
        <v>35</v>
      </c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</row>
    <row r="67" spans="2:45" ht="54" customHeight="1">
      <c r="B67" s="374">
        <v>64</v>
      </c>
      <c r="C67" s="386"/>
      <c r="D67" s="387"/>
      <c r="E67" s="386"/>
      <c r="F67" s="392"/>
      <c r="G67" s="386"/>
      <c r="H67" s="386"/>
      <c r="I67" s="386"/>
      <c r="J67" s="386"/>
      <c r="K67" s="386"/>
      <c r="L67" s="386"/>
      <c r="M67" s="386"/>
      <c r="N67" s="386"/>
      <c r="O67" s="367">
        <f>IF(韻母對照資料表[[#This Row],[台語音標]]="", 0, LEN(韻母對照資料表[[#This Row],[台語音標]]))</f>
        <v>0</v>
      </c>
      <c r="P67" s="41"/>
      <c r="Q67" s="399" t="str">
        <v>71</v>
      </c>
      <c r="R67" s="399" t="str">
        <v>且</v>
      </c>
      <c r="S67" s="399" t="str">
        <v>iã</v>
      </c>
      <c r="T67" s="399" t="str">
        <v>驚</v>
      </c>
      <c r="U67" s="399" t="str">
        <v>ㄧㆩ</v>
      </c>
      <c r="V67" s="399" t="str">
        <v>iann</v>
      </c>
      <c r="W67" s="399" t="str">
        <v>iannh</v>
      </c>
      <c r="X67" s="399" t="str">
        <v>iaⁿ</v>
      </c>
      <c r="Y67" s="399" t="str">
        <v>nia</v>
      </c>
      <c r="Z67" s="399" t="str">
        <v>iann</v>
      </c>
      <c r="AA67" s="399" t="str">
        <v>舒聲
（平/上/去）</v>
      </c>
      <c r="AB67" s="399" t="str">
        <v>驚舒</v>
      </c>
      <c r="AC67" s="399" t="str">
        <v>36</v>
      </c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</row>
    <row r="68" spans="2:45" ht="54" customHeight="1">
      <c r="B68" s="374">
        <v>65</v>
      </c>
      <c r="C68" s="375" t="s">
        <v>1275</v>
      </c>
      <c r="D68" s="376" t="s">
        <v>1276</v>
      </c>
      <c r="E68" s="377" t="s">
        <v>1274</v>
      </c>
      <c r="F68" s="378" t="s">
        <v>543</v>
      </c>
      <c r="G68" s="379" t="s">
        <v>1277</v>
      </c>
      <c r="H68" s="380" t="s">
        <v>1277</v>
      </c>
      <c r="I68" s="380" t="s">
        <v>1277</v>
      </c>
      <c r="J68" s="380" t="s">
        <v>1277</v>
      </c>
      <c r="K68" s="380" t="s">
        <v>1854</v>
      </c>
      <c r="L68" s="381" t="s">
        <v>1105</v>
      </c>
      <c r="M68" s="382" t="str">
        <f>韻母對照資料表[[#This Row],[十五音]]&amp;LEFT(韻母對照資料表[[#This Row],[舒促聲]],1)</f>
        <v>茄舒</v>
      </c>
      <c r="N68" s="383">
        <v>33</v>
      </c>
      <c r="O68" s="367">
        <f>IF(韻母對照資料表[[#This Row],[台語音標]]="", 0, LEN(韻母對照資料表[[#This Row],[台語音標]]))</f>
        <v>2</v>
      </c>
      <c r="P68" s="41"/>
      <c r="Q68" s="399" t="str">
        <v>73</v>
      </c>
      <c r="R68" s="399" t="str">
        <v>肝</v>
      </c>
      <c r="S68" s="399" t="str">
        <v>uã</v>
      </c>
      <c r="T68" s="399" t="str">
        <v>官</v>
      </c>
      <c r="U68" s="399" t="str">
        <v>ㄨㆩ</v>
      </c>
      <c r="V68" s="399" t="str">
        <v>uann</v>
      </c>
      <c r="W68" s="399" t="str">
        <v>uann</v>
      </c>
      <c r="X68" s="399" t="str">
        <v>oaⁿ</v>
      </c>
      <c r="Y68" s="399" t="str">
        <v>nua</v>
      </c>
      <c r="Z68" s="399" t="str">
        <v>uann</v>
      </c>
      <c r="AA68" s="399" t="str">
        <v>舒聲
（平/上/去）</v>
      </c>
      <c r="AB68" s="399" t="str">
        <v>官舒</v>
      </c>
      <c r="AC68" s="399" t="str">
        <v>37</v>
      </c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</row>
    <row r="69" spans="2:45" ht="54" customHeight="1">
      <c r="B69" s="374">
        <v>66</v>
      </c>
      <c r="C69" s="389" t="s">
        <v>1856</v>
      </c>
      <c r="D69" s="376" t="s">
        <v>1278</v>
      </c>
      <c r="E69" s="377" t="s">
        <v>1274</v>
      </c>
      <c r="F69" s="378" t="s">
        <v>568</v>
      </c>
      <c r="G69" s="379" t="s">
        <v>1279</v>
      </c>
      <c r="H69" s="380" t="s">
        <v>1279</v>
      </c>
      <c r="I69" s="380" t="s">
        <v>1279</v>
      </c>
      <c r="J69" s="380" t="s">
        <v>1279</v>
      </c>
      <c r="K69" s="380" t="s">
        <v>1855</v>
      </c>
      <c r="L69" s="381" t="s">
        <v>1108</v>
      </c>
      <c r="M69" s="382" t="str">
        <f>韻母對照資料表[[#This Row],[十五音]]&amp;LEFT(韻母對照資料表[[#This Row],[舒促聲]],1)</f>
        <v>茄促</v>
      </c>
      <c r="N69" s="383">
        <v>33</v>
      </c>
      <c r="O69" s="367">
        <f>IF(韻母對照資料表[[#This Row],[台語音標]]="", 0, LEN(韻母對照資料表[[#This Row],[台語音標]]))</f>
        <v>3</v>
      </c>
      <c r="P69" s="41"/>
      <c r="Q69" s="399" t="str">
        <v>75</v>
      </c>
      <c r="R69" s="399" t="str">
        <v>床</v>
      </c>
      <c r="S69" s="399" t="str">
        <v>ŋ̍</v>
      </c>
      <c r="T69" s="399" t="str">
        <v>鋼</v>
      </c>
      <c r="U69" s="399" t="str">
        <v>ㆭ</v>
      </c>
      <c r="V69" s="399" t="str">
        <v>ng</v>
      </c>
      <c r="W69" s="399" t="str">
        <v>ng</v>
      </c>
      <c r="X69" s="399" t="str">
        <v>ng</v>
      </c>
      <c r="Y69" s="399" t="str">
        <v>ng</v>
      </c>
      <c r="Z69" s="399" t="str">
        <v>ng</v>
      </c>
      <c r="AA69" s="399" t="str">
        <v>舒聲
（平/上/去）</v>
      </c>
      <c r="AB69" s="399" t="str">
        <v>鋼舒</v>
      </c>
      <c r="AC69" s="399" t="str">
        <v>38</v>
      </c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</row>
    <row r="70" spans="2:45" ht="54" customHeight="1">
      <c r="B70" s="374">
        <v>67</v>
      </c>
      <c r="C70" s="375" t="s">
        <v>1281</v>
      </c>
      <c r="D70" s="376" t="s">
        <v>279</v>
      </c>
      <c r="E70" s="377" t="s">
        <v>1280</v>
      </c>
      <c r="F70" s="378" t="s">
        <v>280</v>
      </c>
      <c r="G70" s="379" t="s">
        <v>1282</v>
      </c>
      <c r="H70" s="380" t="s">
        <v>1282</v>
      </c>
      <c r="I70" s="380" t="s">
        <v>1283</v>
      </c>
      <c r="J70" s="380" t="s">
        <v>1284</v>
      </c>
      <c r="K70" s="380" t="s">
        <v>1857</v>
      </c>
      <c r="L70" s="381" t="s">
        <v>1105</v>
      </c>
      <c r="M70" s="382" t="str">
        <f>韻母對照資料表[[#This Row],[十五音]]&amp;LEFT(韻母對照資料表[[#This Row],[舒促聲]],1)</f>
        <v>梔舒</v>
      </c>
      <c r="N70" s="383">
        <v>34</v>
      </c>
      <c r="O70" s="367">
        <f>IF(韻母對照資料表[[#This Row],[台語音標]]="", 0, LEN(韻母對照資料表[[#This Row],[台語音標]]))</f>
        <v>3</v>
      </c>
      <c r="P70" s="41"/>
      <c r="Q70" s="399" t="str">
        <v>77</v>
      </c>
      <c r="R70" s="399" t="str">
        <v>會</v>
      </c>
      <c r="S70" s="399" t="str">
        <v>e</v>
      </c>
      <c r="T70" s="399" t="str">
        <v>伽</v>
      </c>
      <c r="U70" s="399" t="str">
        <v>ㆤ</v>
      </c>
      <c r="V70" s="399" t="str">
        <v>e</v>
      </c>
      <c r="W70" s="399" t="str">
        <v>e</v>
      </c>
      <c r="X70" s="399" t="str">
        <v>e</v>
      </c>
      <c r="Y70" s="399" t="str">
        <v>e</v>
      </c>
      <c r="Z70" s="399" t="str">
        <v>e</v>
      </c>
      <c r="AA70" s="399" t="str">
        <v>舒聲
（平/上/去）</v>
      </c>
      <c r="AB70" s="399" t="str">
        <v>伽舒</v>
      </c>
      <c r="AC70" s="399" t="str">
        <v>39</v>
      </c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</row>
    <row r="71" spans="2:45" ht="54" customHeight="1">
      <c r="B71" s="374">
        <v>68</v>
      </c>
      <c r="C71" s="389" t="s">
        <v>2219</v>
      </c>
      <c r="D71" s="376" t="s">
        <v>1286</v>
      </c>
      <c r="E71" s="377" t="s">
        <v>1280</v>
      </c>
      <c r="F71" s="378" t="s">
        <v>1285</v>
      </c>
      <c r="G71" s="379" t="s">
        <v>1287</v>
      </c>
      <c r="H71" s="380" t="s">
        <v>1288</v>
      </c>
      <c r="I71" s="380" t="s">
        <v>1289</v>
      </c>
      <c r="J71" s="380" t="s">
        <v>1290</v>
      </c>
      <c r="K71" s="380" t="s">
        <v>1858</v>
      </c>
      <c r="L71" s="381" t="s">
        <v>1108</v>
      </c>
      <c r="M71" s="382" t="str">
        <f>韻母對照資料表[[#This Row],[十五音]]&amp;LEFT(韻母對照資料表[[#This Row],[舒促聲]],1)</f>
        <v>梔促</v>
      </c>
      <c r="N71" s="383">
        <v>34</v>
      </c>
      <c r="O71" s="367">
        <f>IF(韻母對照資料表[[#This Row],[台語音標]]="", 0, LEN(韻母對照資料表[[#This Row],[台語音標]]))</f>
        <v>4</v>
      </c>
      <c r="P71" s="41"/>
      <c r="Q71" s="399" t="str">
        <v>78</v>
      </c>
      <c r="R71" s="399" t="str">
        <v>伯</v>
      </c>
      <c r="S71" s="399" t="str">
        <v>e?</v>
      </c>
      <c r="T71" s="399" t="str">
        <v>伽</v>
      </c>
      <c r="U71" s="399" t="str">
        <v>ㆤㆷ</v>
      </c>
      <c r="V71" s="399" t="str">
        <v>eh</v>
      </c>
      <c r="W71" s="399" t="str">
        <v>eh</v>
      </c>
      <c r="X71" s="399" t="str">
        <v>eh</v>
      </c>
      <c r="Y71" s="399" t="str">
        <v>eh</v>
      </c>
      <c r="Z71" s="399" t="str">
        <v>eh</v>
      </c>
      <c r="AA71" s="399" t="str">
        <v>促聲
（入）</v>
      </c>
      <c r="AB71" s="399" t="str">
        <v>伽促</v>
      </c>
      <c r="AC71" s="399" t="str">
        <v>39</v>
      </c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</row>
    <row r="72" spans="2:45" ht="54" customHeight="1">
      <c r="B72" s="374">
        <v>69</v>
      </c>
      <c r="C72" s="395" t="s">
        <v>1292</v>
      </c>
      <c r="D72" s="376" t="s">
        <v>3636</v>
      </c>
      <c r="E72" s="377" t="s">
        <v>1291</v>
      </c>
      <c r="F72" s="378" t="s">
        <v>559</v>
      </c>
      <c r="G72" s="379" t="s">
        <v>1293</v>
      </c>
      <c r="H72" s="380" t="s">
        <v>1293</v>
      </c>
      <c r="I72" s="380" t="s">
        <v>1294</v>
      </c>
      <c r="J72" s="380" t="s">
        <v>1295</v>
      </c>
      <c r="K72" s="380" t="s">
        <v>1860</v>
      </c>
      <c r="L72" s="381" t="s">
        <v>1105</v>
      </c>
      <c r="M72" s="382" t="str">
        <f>韻母對照資料表[[#This Row],[十五音]]&amp;LEFT(韻母對照資料表[[#This Row],[舒促聲]],1)</f>
        <v>薑舒</v>
      </c>
      <c r="N72" s="383">
        <v>35</v>
      </c>
      <c r="O72" s="367">
        <f>IF(韻母對照資料表[[#This Row],[台語音標]]="", 0, LEN(韻母對照資料表[[#This Row],[台語音標]]))</f>
        <v>4</v>
      </c>
      <c r="P72" s="41"/>
      <c r="Q72" s="399" t="str">
        <v>79</v>
      </c>
      <c r="R72" s="399" t="str">
        <v>挨</v>
      </c>
      <c r="S72" s="399" t="str">
        <v>ãi</v>
      </c>
      <c r="T72" s="399" t="str">
        <v>閒</v>
      </c>
      <c r="U72" s="399" t="str">
        <v>ㆮ</v>
      </c>
      <c r="V72" s="399" t="str">
        <v>ainn</v>
      </c>
      <c r="W72" s="399" t="str">
        <v>ainn</v>
      </c>
      <c r="X72" s="399" t="str">
        <v>aiⁿ</v>
      </c>
      <c r="Y72" s="399" t="str">
        <v>nai</v>
      </c>
      <c r="Z72" s="399" t="str">
        <v>ainn</v>
      </c>
      <c r="AA72" s="399" t="str">
        <v>舒聲
（平/上/去）</v>
      </c>
      <c r="AB72" s="399" t="str">
        <v>閒舒</v>
      </c>
      <c r="AC72" s="399" t="str">
        <v>40</v>
      </c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</row>
    <row r="73" spans="2:45" ht="54" customHeight="1">
      <c r="B73" s="374">
        <v>70</v>
      </c>
      <c r="C73" s="386">
        <v>0</v>
      </c>
      <c r="D73" s="387">
        <v>0</v>
      </c>
      <c r="E73" s="386">
        <v>0</v>
      </c>
      <c r="F73" s="392">
        <v>0</v>
      </c>
      <c r="G73" s="386"/>
      <c r="H73" s="386">
        <v>0</v>
      </c>
      <c r="I73" s="386">
        <v>0</v>
      </c>
      <c r="J73" s="386">
        <v>0</v>
      </c>
      <c r="K73" s="386"/>
      <c r="L73" s="386">
        <v>0</v>
      </c>
      <c r="M73" s="386">
        <v>0</v>
      </c>
      <c r="N73" s="386">
        <v>0</v>
      </c>
      <c r="O73" s="367">
        <f>IF(韻母對照資料表[[#This Row],[台語音標]]="", 0, LEN(韻母對照資料表[[#This Row],[台語音標]]))</f>
        <v>0</v>
      </c>
      <c r="P73" s="41"/>
      <c r="Q73" s="399" t="str">
        <v>81</v>
      </c>
      <c r="R73" s="399" t="str">
        <v>張</v>
      </c>
      <c r="S73" s="399" t="str">
        <v>õu</v>
      </c>
      <c r="T73" s="399" t="str">
        <v>姑</v>
      </c>
      <c r="U73" s="399" t="str">
        <v>ㆧ</v>
      </c>
      <c r="V73" s="399" t="str">
        <v>oonn</v>
      </c>
      <c r="W73" s="399" t="str">
        <v>onn</v>
      </c>
      <c r="X73" s="399" t="str">
        <v>oⁿ</v>
      </c>
      <c r="Y73" s="399" t="str">
        <v>noo</v>
      </c>
      <c r="Z73" s="399" t="str">
        <v>oonn</v>
      </c>
      <c r="AA73" s="399" t="str">
        <v>舒聲
（平/上/去）</v>
      </c>
      <c r="AB73" s="399" t="str">
        <v>姑舒</v>
      </c>
      <c r="AC73" s="399" t="str">
        <v>41</v>
      </c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</row>
    <row r="74" spans="2:45" ht="54" customHeight="1">
      <c r="B74" s="374">
        <v>71</v>
      </c>
      <c r="C74" s="375" t="s">
        <v>1297</v>
      </c>
      <c r="D74" s="376" t="s">
        <v>406</v>
      </c>
      <c r="E74" s="377" t="s">
        <v>1296</v>
      </c>
      <c r="F74" s="378" t="s">
        <v>407</v>
      </c>
      <c r="G74" s="379" t="s">
        <v>1298</v>
      </c>
      <c r="H74" s="380" t="s">
        <v>1299</v>
      </c>
      <c r="I74" s="380" t="s">
        <v>1300</v>
      </c>
      <c r="J74" s="380" t="s">
        <v>1301</v>
      </c>
      <c r="K74" s="380" t="s">
        <v>1861</v>
      </c>
      <c r="L74" s="381" t="s">
        <v>1105</v>
      </c>
      <c r="M74" s="382" t="str">
        <f>韻母對照資料表[[#This Row],[十五音]]&amp;LEFT(韻母對照資料表[[#This Row],[舒促聲]],1)</f>
        <v>驚舒</v>
      </c>
      <c r="N74" s="383">
        <v>36</v>
      </c>
      <c r="O74" s="367">
        <f>IF(韻母對照資料表[[#This Row],[台語音標]]="", 0, LEN(韻母對照資料表[[#This Row],[台語音標]]))</f>
        <v>4</v>
      </c>
      <c r="P74" s="41"/>
      <c r="Q74" s="399" t="str">
        <v>83</v>
      </c>
      <c r="R74" s="399" t="str">
        <v>姆</v>
      </c>
      <c r="S74" s="399" t="str">
        <v>m̩</v>
      </c>
      <c r="T74" s="399" t="str">
        <v>姆</v>
      </c>
      <c r="U74" s="399" t="str">
        <v>ㆬ</v>
      </c>
      <c r="V74" s="399" t="str">
        <v>m</v>
      </c>
      <c r="W74" s="399" t="str">
        <v>m</v>
      </c>
      <c r="X74" s="399" t="str">
        <v>m</v>
      </c>
      <c r="Y74" s="399" t="str">
        <v>m</v>
      </c>
      <c r="Z74" s="399" t="str">
        <v>m</v>
      </c>
      <c r="AA74" s="399" t="str">
        <v>舒聲
（平/上/去）</v>
      </c>
      <c r="AB74" s="399" t="str">
        <v>姆舒</v>
      </c>
      <c r="AC74" s="399" t="str">
        <v>42</v>
      </c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</row>
    <row r="75" spans="2:45" ht="54" customHeight="1">
      <c r="B75" s="374">
        <v>72</v>
      </c>
      <c r="C75" s="386">
        <v>0</v>
      </c>
      <c r="D75" s="387">
        <v>0</v>
      </c>
      <c r="E75" s="386">
        <v>0</v>
      </c>
      <c r="F75" s="392">
        <v>0</v>
      </c>
      <c r="G75" s="386"/>
      <c r="H75" s="386">
        <v>0</v>
      </c>
      <c r="I75" s="386">
        <v>0</v>
      </c>
      <c r="J75" s="386">
        <v>0</v>
      </c>
      <c r="K75" s="386"/>
      <c r="L75" s="386">
        <v>0</v>
      </c>
      <c r="M75" s="386">
        <v>0</v>
      </c>
      <c r="N75" s="386">
        <v>0</v>
      </c>
      <c r="O75" s="367">
        <f>IF(韻母對照資料表[[#This Row],[台語音標]]="", 0, LEN(韻母對照資料表[[#This Row],[台語音標]]))</f>
        <v>0</v>
      </c>
      <c r="P75" s="41"/>
      <c r="Q75" s="399" t="str">
        <v>85</v>
      </c>
      <c r="R75" s="399" t="str">
        <v>闖</v>
      </c>
      <c r="S75" s="399" t="str">
        <v>uaŋ</v>
      </c>
      <c r="T75" s="399" t="str">
        <v>光</v>
      </c>
      <c r="U75" s="399" t="str">
        <v>ㄨㄤ</v>
      </c>
      <c r="V75" s="399" t="str">
        <v>uang</v>
      </c>
      <c r="W75" s="399" t="str">
        <v>uang</v>
      </c>
      <c r="X75" s="399" t="str">
        <v>oang</v>
      </c>
      <c r="Y75" s="399" t="str">
        <v>uang</v>
      </c>
      <c r="Z75" s="399" t="str">
        <v>uang</v>
      </c>
      <c r="AA75" s="399" t="str">
        <v>舒聲
（平/上/去）</v>
      </c>
      <c r="AB75" s="399" t="str">
        <v>光舒</v>
      </c>
      <c r="AC75" s="399" t="str">
        <v>43</v>
      </c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</row>
    <row r="76" spans="2:45" ht="54" customHeight="1">
      <c r="B76" s="374">
        <v>73</v>
      </c>
      <c r="C76" s="375" t="s">
        <v>2294</v>
      </c>
      <c r="D76" s="376" t="s">
        <v>1303</v>
      </c>
      <c r="E76" s="377" t="s">
        <v>1302</v>
      </c>
      <c r="F76" s="378" t="s">
        <v>809</v>
      </c>
      <c r="G76" s="379" t="s">
        <v>1304</v>
      </c>
      <c r="H76" s="380" t="s">
        <v>1304</v>
      </c>
      <c r="I76" s="380" t="s">
        <v>1305</v>
      </c>
      <c r="J76" s="380" t="s">
        <v>1306</v>
      </c>
      <c r="K76" s="380" t="s">
        <v>1862</v>
      </c>
      <c r="L76" s="381" t="s">
        <v>1105</v>
      </c>
      <c r="M76" s="382" t="str">
        <f>韻母對照資料表[[#This Row],[十五音]]&amp;LEFT(韻母對照資料表[[#This Row],[舒促聲]],1)</f>
        <v>官舒</v>
      </c>
      <c r="N76" s="383">
        <v>37</v>
      </c>
      <c r="O76" s="367">
        <f>IF(韻母對照資料表[[#This Row],[台語音標]]="", 0, LEN(韻母對照資料表[[#This Row],[台語音標]]))</f>
        <v>4</v>
      </c>
      <c r="P76" s="41"/>
      <c r="Q76" s="399" t="str">
        <v>86</v>
      </c>
      <c r="R76" s="399" t="str">
        <v>伏</v>
      </c>
      <c r="S76" s="399" t="str">
        <v>uak̚</v>
      </c>
      <c r="T76" s="399" t="str">
        <v>光</v>
      </c>
      <c r="U76" s="399" t="str">
        <v>ㄨㄚㆻ</v>
      </c>
      <c r="V76" s="399" t="str">
        <v>uak</v>
      </c>
      <c r="W76" s="399" t="str">
        <v>uak</v>
      </c>
      <c r="X76" s="399" t="str">
        <v>oak</v>
      </c>
      <c r="Y76" s="399" t="str">
        <v>uak</v>
      </c>
      <c r="Z76" s="399" t="str">
        <v>uak</v>
      </c>
      <c r="AA76" s="399" t="str">
        <v>促聲
（入）</v>
      </c>
      <c r="AB76" s="399" t="str">
        <v>光促</v>
      </c>
      <c r="AC76" s="399" t="str">
        <v>43</v>
      </c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</row>
    <row r="77" spans="2:45" ht="54" customHeight="1">
      <c r="B77" s="374">
        <v>74</v>
      </c>
      <c r="C77" s="386">
        <v>0</v>
      </c>
      <c r="D77" s="387">
        <v>0</v>
      </c>
      <c r="E77" s="386">
        <v>0</v>
      </c>
      <c r="F77" s="392">
        <v>0</v>
      </c>
      <c r="G77" s="386"/>
      <c r="H77" s="386">
        <v>0</v>
      </c>
      <c r="I77" s="386">
        <v>0</v>
      </c>
      <c r="J77" s="386">
        <v>0</v>
      </c>
      <c r="K77" s="386"/>
      <c r="L77" s="386">
        <v>0</v>
      </c>
      <c r="M77" s="386">
        <v>0</v>
      </c>
      <c r="N77" s="386">
        <v>0</v>
      </c>
      <c r="O77" s="367">
        <f>IF(韻母對照資料表[[#This Row],[台語音標]]="", 0, LEN(韻母對照資料表[[#This Row],[台語音標]]))</f>
        <v>0</v>
      </c>
      <c r="P77" s="41"/>
      <c r="Q77" s="399" t="str">
        <v>87</v>
      </c>
      <c r="R77" s="399" t="str">
        <v>檨</v>
      </c>
      <c r="S77" s="399" t="str">
        <v>uãi</v>
      </c>
      <c r="T77" s="399" t="str">
        <v>閂</v>
      </c>
      <c r="U77" s="399" t="str">
        <v>ㄨㆮ</v>
      </c>
      <c r="V77" s="399" t="str">
        <v>uainn</v>
      </c>
      <c r="W77" s="399" t="str">
        <v>uainn</v>
      </c>
      <c r="X77" s="399" t="str">
        <v>oaiⁿ</v>
      </c>
      <c r="Y77" s="399" t="str">
        <v>nuai</v>
      </c>
      <c r="Z77" s="399" t="str">
        <v>uainn</v>
      </c>
      <c r="AA77" s="399" t="str">
        <v>舒聲
（平/上/去）</v>
      </c>
      <c r="AB77" s="399" t="str">
        <v>閂舒</v>
      </c>
      <c r="AC77" s="399" t="str">
        <v>44</v>
      </c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</row>
    <row r="78" spans="2:45" ht="54" customHeight="1">
      <c r="B78" s="374">
        <v>75</v>
      </c>
      <c r="C78" s="375" t="s">
        <v>1308</v>
      </c>
      <c r="D78" s="376" t="s">
        <v>3637</v>
      </c>
      <c r="E78" s="377" t="s">
        <v>1307</v>
      </c>
      <c r="F78" s="378" t="s">
        <v>956</v>
      </c>
      <c r="G78" s="379" t="s">
        <v>1309</v>
      </c>
      <c r="H78" s="380" t="s">
        <v>1309</v>
      </c>
      <c r="I78" s="380" t="s">
        <v>1309</v>
      </c>
      <c r="J78" s="380" t="s">
        <v>1309</v>
      </c>
      <c r="K78" s="380" t="s">
        <v>1096</v>
      </c>
      <c r="L78" s="381" t="s">
        <v>1105</v>
      </c>
      <c r="M78" s="382" t="str">
        <f>韻母對照資料表[[#This Row],[十五音]]&amp;LEFT(韻母對照資料表[[#This Row],[舒促聲]],1)</f>
        <v>鋼舒</v>
      </c>
      <c r="N78" s="383">
        <v>38</v>
      </c>
      <c r="O78" s="367">
        <f>IF(韻母對照資料表[[#This Row],[台語音標]]="", 0, LEN(韻母對照資料表[[#This Row],[台語音標]]))</f>
        <v>2</v>
      </c>
      <c r="P78" s="41"/>
      <c r="Q78" s="399" t="str">
        <v>88</v>
      </c>
      <c r="R78" s="399" t="str">
        <v>蹶</v>
      </c>
      <c r="S78" s="399" t="str">
        <v>uãi?</v>
      </c>
      <c r="T78" s="399" t="str">
        <v>閂</v>
      </c>
      <c r="U78" s="399" t="str">
        <v>ㄨㆮㆷ</v>
      </c>
      <c r="V78" s="399" t="str">
        <v>uaihnn</v>
      </c>
      <c r="W78" s="399" t="str">
        <v>uainnh</v>
      </c>
      <c r="X78" s="399" t="str">
        <v>oaiⁿh</v>
      </c>
      <c r="Y78" s="399" t="str">
        <v>nuaih</v>
      </c>
      <c r="Z78" s="399" t="str">
        <v>uainnh</v>
      </c>
      <c r="AA78" s="399" t="str">
        <v>促聲
（入）</v>
      </c>
      <c r="AB78" s="399" t="str">
        <v>閂促</v>
      </c>
      <c r="AC78" s="399" t="str">
        <v>44</v>
      </c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</row>
    <row r="79" spans="2:45" ht="54" customHeight="1">
      <c r="B79" s="374">
        <v>76</v>
      </c>
      <c r="C79" s="386">
        <v>0</v>
      </c>
      <c r="D79" s="387">
        <v>0</v>
      </c>
      <c r="E79" s="386">
        <v>0</v>
      </c>
      <c r="F79" s="392">
        <v>0</v>
      </c>
      <c r="G79" s="386"/>
      <c r="H79" s="386">
        <v>0</v>
      </c>
      <c r="I79" s="386">
        <v>0</v>
      </c>
      <c r="J79" s="386">
        <v>0</v>
      </c>
      <c r="K79" s="386"/>
      <c r="L79" s="386">
        <v>0</v>
      </c>
      <c r="M79" s="386">
        <v>0</v>
      </c>
      <c r="N79" s="386">
        <v>0</v>
      </c>
      <c r="O79" s="367">
        <f>IF(韻母對照資料表[[#This Row],[台語音標]]="", 0, LEN(韻母對照資料表[[#This Row],[台語音標]]))</f>
        <v>0</v>
      </c>
      <c r="P79" s="41"/>
      <c r="Q79" s="399" t="str">
        <v>89</v>
      </c>
      <c r="R79" s="399" t="str">
        <v>◯</v>
      </c>
      <c r="S79" s="399" t="str">
        <v>uẽi</v>
      </c>
      <c r="T79" s="399" t="str">
        <v>糜</v>
      </c>
      <c r="U79" s="399" t="str">
        <v>ㄨㆥ</v>
      </c>
      <c r="V79" s="399" t="str">
        <v>uenn</v>
      </c>
      <c r="W79" s="399" t="str">
        <v>uenn</v>
      </c>
      <c r="X79" s="399" t="str">
        <v>oeⁿ</v>
      </c>
      <c r="Y79" s="399" t="str">
        <v>nue</v>
      </c>
      <c r="Z79" s="399" t="str">
        <v>uenn</v>
      </c>
      <c r="AA79" s="399" t="str">
        <v>舒聲
（平/上/去）</v>
      </c>
      <c r="AB79" s="399" t="str">
        <v>糜舒</v>
      </c>
      <c r="AC79" s="399" t="str">
        <v>45</v>
      </c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</row>
    <row r="80" spans="2:45" ht="54" customHeight="1">
      <c r="B80" s="374">
        <v>77</v>
      </c>
      <c r="C80" s="375" t="s">
        <v>1311</v>
      </c>
      <c r="D80" s="376" t="s">
        <v>208</v>
      </c>
      <c r="E80" s="377" t="s">
        <v>1310</v>
      </c>
      <c r="F80" s="378" t="s">
        <v>209</v>
      </c>
      <c r="G80" s="379" t="s">
        <v>208</v>
      </c>
      <c r="H80" s="380" t="s">
        <v>208</v>
      </c>
      <c r="I80" s="380" t="s">
        <v>208</v>
      </c>
      <c r="J80" s="380" t="s">
        <v>208</v>
      </c>
      <c r="K80" s="380" t="s">
        <v>1773</v>
      </c>
      <c r="L80" s="381" t="s">
        <v>1105</v>
      </c>
      <c r="M80" s="382" t="str">
        <f>韻母對照資料表[[#This Row],[十五音]]&amp;LEFT(韻母對照資料表[[#This Row],[舒促聲]],1)</f>
        <v>伽舒</v>
      </c>
      <c r="N80" s="383">
        <v>39</v>
      </c>
      <c r="O80" s="367">
        <f>IF(韻母對照資料表[[#This Row],[台語音標]]="", 0, LEN(韻母對照資料表[[#This Row],[台語音標]]))</f>
        <v>1</v>
      </c>
      <c r="P80" s="41"/>
      <c r="Q80" s="399" t="str">
        <v>91</v>
      </c>
      <c r="R80" s="399" t="str">
        <v>鳥</v>
      </c>
      <c r="S80" s="399" t="str">
        <v>iãu</v>
      </c>
      <c r="T80" s="399" t="str">
        <v>嘄</v>
      </c>
      <c r="U80" s="399" t="str">
        <v>ㄧㆯ</v>
      </c>
      <c r="V80" s="399" t="str">
        <v>iaunn</v>
      </c>
      <c r="W80" s="399" t="str">
        <v>iaunn</v>
      </c>
      <c r="X80" s="399" t="str">
        <v>iauⁿ</v>
      </c>
      <c r="Y80" s="399" t="str">
        <v>niao</v>
      </c>
      <c r="Z80" s="399" t="str">
        <v>iaunn</v>
      </c>
      <c r="AA80" s="399" t="str">
        <v>舒聲
（平/上/去）</v>
      </c>
      <c r="AB80" s="399" t="str">
        <v>嘄舒</v>
      </c>
      <c r="AC80" s="399" t="str">
        <v>46</v>
      </c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</row>
    <row r="81" spans="2:45" ht="54" customHeight="1">
      <c r="B81" s="374">
        <v>78</v>
      </c>
      <c r="C81" s="375" t="s">
        <v>2220</v>
      </c>
      <c r="D81" s="376" t="s">
        <v>1312</v>
      </c>
      <c r="E81" s="377" t="s">
        <v>1310</v>
      </c>
      <c r="F81" s="378" t="s">
        <v>239</v>
      </c>
      <c r="G81" s="379" t="s">
        <v>1313</v>
      </c>
      <c r="H81" s="380" t="s">
        <v>1313</v>
      </c>
      <c r="I81" s="380" t="s">
        <v>1313</v>
      </c>
      <c r="J81" s="380" t="s">
        <v>1313</v>
      </c>
      <c r="K81" s="380" t="s">
        <v>1775</v>
      </c>
      <c r="L81" s="381" t="s">
        <v>1108</v>
      </c>
      <c r="M81" s="382" t="str">
        <f>韻母對照資料表[[#This Row],[十五音]]&amp;LEFT(韻母對照資料表[[#This Row],[舒促聲]],1)</f>
        <v>伽促</v>
      </c>
      <c r="N81" s="383">
        <v>39</v>
      </c>
      <c r="O81" s="367">
        <f>IF(韻母對照資料表[[#This Row],[台語音標]]="", 0, LEN(韻母對照資料表[[#This Row],[台語音標]]))</f>
        <v>2</v>
      </c>
      <c r="P81" s="41"/>
      <c r="Q81" s="399" t="str">
        <v>92</v>
      </c>
      <c r="R81" s="399" t="str">
        <v>◯</v>
      </c>
      <c r="S81" s="399" t="str">
        <v>iãu?</v>
      </c>
      <c r="T81" s="399" t="str">
        <v>嘄</v>
      </c>
      <c r="U81" s="399" t="str">
        <v>ㄧㆯㆷ</v>
      </c>
      <c r="V81" s="399" t="str">
        <v>iauhnn</v>
      </c>
      <c r="W81" s="399" t="str">
        <v>iaunnh</v>
      </c>
      <c r="X81" s="399" t="str">
        <v>iauⁿh</v>
      </c>
      <c r="Y81" s="399" t="str">
        <v>niaoh</v>
      </c>
      <c r="Z81" s="399" t="str">
        <v>iaunnh</v>
      </c>
      <c r="AA81" s="399" t="str">
        <v>促聲
（入）</v>
      </c>
      <c r="AB81" s="399" t="str">
        <v>嘄促</v>
      </c>
      <c r="AC81" s="399" t="str">
        <v>46</v>
      </c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</row>
    <row r="82" spans="2:45" ht="54" customHeight="1">
      <c r="B82" s="374">
        <v>79</v>
      </c>
      <c r="C82" s="393" t="s">
        <v>1315</v>
      </c>
      <c r="D82" s="376" t="s">
        <v>1316</v>
      </c>
      <c r="E82" s="377" t="s">
        <v>1314</v>
      </c>
      <c r="F82" s="378" t="s">
        <v>168</v>
      </c>
      <c r="G82" s="379" t="s">
        <v>1317</v>
      </c>
      <c r="H82" s="380" t="s">
        <v>1317</v>
      </c>
      <c r="I82" s="380" t="s">
        <v>1318</v>
      </c>
      <c r="J82" s="380" t="s">
        <v>1319</v>
      </c>
      <c r="K82" s="380" t="s">
        <v>1863</v>
      </c>
      <c r="L82" s="381" t="s">
        <v>1105</v>
      </c>
      <c r="M82" s="382" t="str">
        <f>韻母對照資料表[[#This Row],[十五音]]&amp;LEFT(韻母對照資料表[[#This Row],[舒促聲]],1)</f>
        <v>閒舒</v>
      </c>
      <c r="N82" s="383">
        <v>40</v>
      </c>
      <c r="O82" s="367">
        <f>IF(韻母對照資料表[[#This Row],[台語音標]]="", 0, LEN(韻母對照資料表[[#This Row],[台語音標]]))</f>
        <v>4</v>
      </c>
      <c r="P82" s="41"/>
      <c r="Q82" s="399" t="str">
        <v>93</v>
      </c>
      <c r="R82" s="399" t="str">
        <v>丼</v>
      </c>
      <c r="S82" s="399" t="str">
        <v>ɔm</v>
      </c>
      <c r="T82" s="399" t="str">
        <v>箴</v>
      </c>
      <c r="U82" s="399" t="str">
        <v>ㆱ</v>
      </c>
      <c r="V82" s="399" t="str">
        <v>om</v>
      </c>
      <c r="W82" s="399" t="str">
        <v>om</v>
      </c>
      <c r="X82" s="399" t="str">
        <v>om</v>
      </c>
      <c r="Y82" s="399" t="str">
        <v>om</v>
      </c>
      <c r="Z82" s="399" t="str">
        <v>oom</v>
      </c>
      <c r="AA82" s="399" t="str">
        <v>舒聲
（平/上/去）</v>
      </c>
      <c r="AB82" s="399" t="str">
        <v>箴舒</v>
      </c>
      <c r="AC82" s="399" t="str">
        <v>47</v>
      </c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</row>
    <row r="83" spans="2:45" ht="54" customHeight="1">
      <c r="B83" s="374">
        <v>80</v>
      </c>
      <c r="C83" s="386">
        <v>0</v>
      </c>
      <c r="D83" s="387">
        <v>0</v>
      </c>
      <c r="E83" s="386">
        <v>0</v>
      </c>
      <c r="F83" s="386">
        <v>0</v>
      </c>
      <c r="G83" s="386"/>
      <c r="H83" s="386">
        <v>0</v>
      </c>
      <c r="I83" s="386">
        <v>0</v>
      </c>
      <c r="J83" s="386">
        <v>0</v>
      </c>
      <c r="K83" s="386"/>
      <c r="L83" s="386">
        <v>0</v>
      </c>
      <c r="M83" s="386">
        <v>0</v>
      </c>
      <c r="N83" s="386">
        <v>0</v>
      </c>
      <c r="O83" s="367">
        <f>IF(韻母對照資料表[[#This Row],[台語音標]]="", 0, LEN(韻母對照資料表[[#This Row],[台語音標]]))</f>
        <v>0</v>
      </c>
      <c r="P83" s="41"/>
      <c r="Q83" s="399" t="str">
        <v>94</v>
      </c>
      <c r="R83" s="399" t="str">
        <v>吷</v>
      </c>
      <c r="S83" s="399" t="str">
        <v>ɔp̚</v>
      </c>
      <c r="T83" s="399" t="str">
        <v>箴</v>
      </c>
      <c r="U83" s="399" t="str">
        <v>ㆦㆴ</v>
      </c>
      <c r="V83" s="399" t="str">
        <v>op</v>
      </c>
      <c r="W83" s="399" t="str">
        <v>op</v>
      </c>
      <c r="X83" s="399" t="str">
        <v>op</v>
      </c>
      <c r="Y83" s="399" t="str">
        <v>op</v>
      </c>
      <c r="Z83" s="399" t="str">
        <v>oop</v>
      </c>
      <c r="AA83" s="399" t="str">
        <v>促聲
（入）</v>
      </c>
      <c r="AB83" s="399" t="str">
        <v>箴促</v>
      </c>
      <c r="AC83" s="399" t="str">
        <v>47</v>
      </c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</row>
    <row r="84" spans="2:45" ht="54" customHeight="1">
      <c r="B84" s="374">
        <v>81</v>
      </c>
      <c r="C84" s="393" t="s">
        <v>1865</v>
      </c>
      <c r="D84" s="376" t="s">
        <v>1321</v>
      </c>
      <c r="E84" s="377" t="s">
        <v>1320</v>
      </c>
      <c r="F84" s="378" t="s">
        <v>667</v>
      </c>
      <c r="G84" s="379" t="s">
        <v>1322</v>
      </c>
      <c r="H84" s="380" t="s">
        <v>1323</v>
      </c>
      <c r="I84" s="380" t="s">
        <v>1324</v>
      </c>
      <c r="J84" s="380" t="s">
        <v>1325</v>
      </c>
      <c r="K84" s="380" t="s">
        <v>1864</v>
      </c>
      <c r="L84" s="381" t="s">
        <v>1105</v>
      </c>
      <c r="M84" s="382" t="str">
        <f>韻母對照資料表[[#This Row],[十五音]]&amp;LEFT(韻母對照資料表[[#This Row],[舒促聲]],1)</f>
        <v>姑舒</v>
      </c>
      <c r="N84" s="383">
        <v>41</v>
      </c>
      <c r="O84" s="367">
        <f>IF(韻母對照資料表[[#This Row],[台語音標]]="", 0, LEN(韻母對照資料表[[#This Row],[台語音標]]))</f>
        <v>4</v>
      </c>
      <c r="P84" s="41"/>
      <c r="Q84" s="399" t="str">
        <v>95</v>
      </c>
      <c r="R84" s="399" t="str">
        <v>懸</v>
      </c>
      <c r="S84" s="399" t="str">
        <v>ãu</v>
      </c>
      <c r="T84" s="399" t="str">
        <v>爻</v>
      </c>
      <c r="U84" s="399" t="str">
        <v>ㆯ</v>
      </c>
      <c r="V84" s="399" t="str">
        <v>aunn</v>
      </c>
      <c r="W84" s="399" t="str">
        <v>aunn</v>
      </c>
      <c r="X84" s="399" t="str">
        <v>auⁿ</v>
      </c>
      <c r="Y84" s="399" t="str">
        <v>nao</v>
      </c>
      <c r="Z84" s="399" t="str">
        <v>aunn</v>
      </c>
      <c r="AA84" s="399" t="str">
        <v>舒聲
（平/上/去）</v>
      </c>
      <c r="AB84" s="399" t="str">
        <v>爻舒</v>
      </c>
      <c r="AC84" s="399" t="str">
        <v>48</v>
      </c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</row>
    <row r="85" spans="2:45" ht="54" customHeight="1">
      <c r="B85" s="374">
        <v>82</v>
      </c>
      <c r="C85" s="386">
        <v>0</v>
      </c>
      <c r="D85" s="387">
        <v>0</v>
      </c>
      <c r="E85" s="386">
        <v>0</v>
      </c>
      <c r="F85" s="392">
        <v>0</v>
      </c>
      <c r="G85" s="386"/>
      <c r="H85" s="386">
        <v>0</v>
      </c>
      <c r="I85" s="386">
        <v>0</v>
      </c>
      <c r="J85" s="386">
        <v>0</v>
      </c>
      <c r="K85" s="386"/>
      <c r="L85" s="386">
        <v>0</v>
      </c>
      <c r="M85" s="386">
        <v>0</v>
      </c>
      <c r="N85" s="386">
        <v>0</v>
      </c>
      <c r="O85" s="367">
        <f>IF(韻母對照資料表[[#This Row],[台語音標]]="", 0, LEN(韻母對照資料表[[#This Row],[台語音標]]))</f>
        <v>0</v>
      </c>
      <c r="P85" s="41"/>
      <c r="Q85" s="399" t="str">
        <v>97</v>
      </c>
      <c r="R85" s="399" t="str">
        <v>呼</v>
      </c>
      <c r="S85" s="399" t="str">
        <v>õ</v>
      </c>
      <c r="T85" s="399" t="str">
        <v>扛</v>
      </c>
      <c r="U85" s="399" t="str">
        <v>ㆧ</v>
      </c>
      <c r="V85" s="399" t="str">
        <v>onn</v>
      </c>
      <c r="W85" s="399" t="str">
        <v>onn</v>
      </c>
      <c r="X85" s="399" t="str">
        <v>on</v>
      </c>
      <c r="Y85" s="399" t="str">
        <v>noo</v>
      </c>
      <c r="Z85" s="399" t="str">
        <v>ornn</v>
      </c>
      <c r="AA85" s="399" t="str">
        <v>舒聲
（平/上/去）</v>
      </c>
      <c r="AB85" s="399" t="str">
        <v>扛舒</v>
      </c>
      <c r="AC85" s="399" t="str">
        <v>49</v>
      </c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</row>
    <row r="86" spans="2:45" ht="54" customHeight="1">
      <c r="B86" s="374">
        <v>83</v>
      </c>
      <c r="C86" s="375" t="s">
        <v>1326</v>
      </c>
      <c r="D86" s="376" t="s">
        <v>949</v>
      </c>
      <c r="E86" s="377" t="s">
        <v>1326</v>
      </c>
      <c r="F86" s="378" t="s">
        <v>950</v>
      </c>
      <c r="G86" s="379" t="s">
        <v>5</v>
      </c>
      <c r="H86" s="380" t="s">
        <v>5</v>
      </c>
      <c r="I86" s="380" t="s">
        <v>5</v>
      </c>
      <c r="J86" s="380" t="s">
        <v>5</v>
      </c>
      <c r="K86" s="380" t="s">
        <v>1086</v>
      </c>
      <c r="L86" s="381" t="s">
        <v>1105</v>
      </c>
      <c r="M86" s="382" t="str">
        <f>韻母對照資料表[[#This Row],[十五音]]&amp;LEFT(韻母對照資料表[[#This Row],[舒促聲]],1)</f>
        <v>姆舒</v>
      </c>
      <c r="N86" s="383">
        <v>42</v>
      </c>
      <c r="O86" s="367">
        <f>IF(韻母對照資料表[[#This Row],[台語音標]]="", 0, LEN(韻母對照資料表[[#This Row],[台語音標]]))</f>
        <v>1</v>
      </c>
      <c r="P86" s="41"/>
      <c r="Q86" s="399" t="str">
        <v>98</v>
      </c>
      <c r="R86" s="399" t="str">
        <v>◯</v>
      </c>
      <c r="S86" s="399" t="str">
        <v>õʔ</v>
      </c>
      <c r="T86" s="399" t="str">
        <v>扛</v>
      </c>
      <c r="U86" s="399" t="str">
        <v>ㆧㆷ</v>
      </c>
      <c r="V86" s="399" t="str">
        <v>ohnn</v>
      </c>
      <c r="W86" s="399" t="str">
        <v>onnh</v>
      </c>
      <c r="X86" s="399" t="str">
        <v>onh</v>
      </c>
      <c r="Y86" s="399" t="str">
        <v>nooh</v>
      </c>
      <c r="Z86" s="399" t="str">
        <v>uenn</v>
      </c>
      <c r="AA86" s="399" t="str">
        <v>促聲
（入）</v>
      </c>
      <c r="AB86" s="399" t="str">
        <v>扛促</v>
      </c>
      <c r="AC86" s="399" t="str">
        <v>49</v>
      </c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</row>
    <row r="87" spans="2:45" ht="54" customHeight="1">
      <c r="B87" s="374">
        <v>84</v>
      </c>
      <c r="C87" s="386">
        <v>0</v>
      </c>
      <c r="D87" s="387">
        <v>0</v>
      </c>
      <c r="E87" s="386">
        <v>0</v>
      </c>
      <c r="F87" s="386">
        <v>0</v>
      </c>
      <c r="G87" s="386"/>
      <c r="H87" s="386">
        <v>0</v>
      </c>
      <c r="I87" s="386">
        <v>0</v>
      </c>
      <c r="J87" s="386">
        <v>0</v>
      </c>
      <c r="K87" s="386"/>
      <c r="L87" s="386">
        <v>0</v>
      </c>
      <c r="M87" s="386">
        <v>0</v>
      </c>
      <c r="N87" s="386">
        <v>0</v>
      </c>
      <c r="O87" s="367">
        <f>IF(韻母對照資料表[[#This Row],[台語音標]]="", 0, LEN(韻母對照資料表[[#This Row],[台語音標]]))</f>
        <v>0</v>
      </c>
      <c r="P87" s="41"/>
      <c r="Q87" s="399" t="str">
        <v>99</v>
      </c>
      <c r="R87" s="399" t="str">
        <v>香</v>
      </c>
      <c r="S87" s="399" t="str">
        <v>ĩu</v>
      </c>
      <c r="T87" s="399" t="str">
        <v>牛</v>
      </c>
      <c r="U87" s="399" t="str">
        <v>ㄧㆫ</v>
      </c>
      <c r="V87" s="399" t="str">
        <v>iunn</v>
      </c>
      <c r="W87" s="399" t="str">
        <v>iunn</v>
      </c>
      <c r="X87" s="399" t="str">
        <v>iuⁿ</v>
      </c>
      <c r="Y87" s="399" t="str">
        <v>niu</v>
      </c>
      <c r="Z87" s="399" t="str">
        <v>iunn</v>
      </c>
      <c r="AA87" s="399" t="str">
        <v>舒聲
（平/上/去）</v>
      </c>
      <c r="AB87" s="399" t="str">
        <v>牛舒</v>
      </c>
      <c r="AC87" s="399" t="str">
        <v>50</v>
      </c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</row>
    <row r="88" spans="2:45" ht="54" customHeight="1">
      <c r="B88" s="374">
        <v>85</v>
      </c>
      <c r="C88" s="375" t="s">
        <v>1328</v>
      </c>
      <c r="D88" s="376" t="s">
        <v>3638</v>
      </c>
      <c r="E88" s="377" t="s">
        <v>1327</v>
      </c>
      <c r="F88" s="378" t="s">
        <v>851</v>
      </c>
      <c r="G88" s="379" t="s">
        <v>1329</v>
      </c>
      <c r="H88" s="380" t="s">
        <v>1329</v>
      </c>
      <c r="I88" s="380" t="s">
        <v>1330</v>
      </c>
      <c r="J88" s="380" t="s">
        <v>1329</v>
      </c>
      <c r="K88" s="380" t="s">
        <v>1825</v>
      </c>
      <c r="L88" s="381" t="s">
        <v>1105</v>
      </c>
      <c r="M88" s="382" t="str">
        <f>韻母對照資料表[[#This Row],[十五音]]&amp;LEFT(韻母對照資料表[[#This Row],[舒促聲]],1)</f>
        <v>光舒</v>
      </c>
      <c r="N88" s="383">
        <v>43</v>
      </c>
      <c r="O88" s="367">
        <f>IF(韻母對照資料表[[#This Row],[台語音標]]="", 0, LEN(韻母對照資料表[[#This Row],[台語音標]]))</f>
        <v>4</v>
      </c>
      <c r="P88" s="41"/>
      <c r="Q88" s="41"/>
      <c r="R88" s="41"/>
      <c r="S88" s="41"/>
      <c r="T88" s="41"/>
      <c r="U88" s="41"/>
      <c r="V88" s="41"/>
      <c r="W88" s="41"/>
      <c r="X88" s="41"/>
      <c r="Y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</row>
    <row r="89" spans="2:45" ht="54" customHeight="1">
      <c r="B89" s="374">
        <v>86</v>
      </c>
      <c r="C89" s="393" t="s">
        <v>2221</v>
      </c>
      <c r="D89" s="376" t="s">
        <v>1332</v>
      </c>
      <c r="E89" s="377" t="s">
        <v>1327</v>
      </c>
      <c r="F89" s="378" t="s">
        <v>1331</v>
      </c>
      <c r="G89" s="379" t="s">
        <v>1333</v>
      </c>
      <c r="H89" s="380" t="s">
        <v>1333</v>
      </c>
      <c r="I89" s="380" t="s">
        <v>1334</v>
      </c>
      <c r="J89" s="380" t="s">
        <v>1333</v>
      </c>
      <c r="K89" s="380" t="s">
        <v>1866</v>
      </c>
      <c r="L89" s="381" t="s">
        <v>1108</v>
      </c>
      <c r="M89" s="382" t="str">
        <f>韻母對照資料表[[#This Row],[十五音]]&amp;LEFT(韻母對照資料表[[#This Row],[舒促聲]],1)</f>
        <v>光促</v>
      </c>
      <c r="N89" s="383">
        <v>43</v>
      </c>
      <c r="O89" s="367">
        <f>IF(韻母對照資料表[[#This Row],[台語音標]]="", 0, LEN(韻母對照資料表[[#This Row],[台語音標]]))</f>
        <v>3</v>
      </c>
      <c r="P89" s="41"/>
      <c r="Q89" s="41"/>
      <c r="R89" s="41"/>
      <c r="S89" s="41"/>
      <c r="T89" s="41"/>
      <c r="U89" s="41"/>
      <c r="V89" s="41"/>
      <c r="W89" s="41"/>
      <c r="X89" s="41"/>
      <c r="Y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</row>
    <row r="90" spans="2:45" ht="54" customHeight="1">
      <c r="B90" s="374">
        <v>87</v>
      </c>
      <c r="C90" s="375" t="s">
        <v>1336</v>
      </c>
      <c r="D90" s="376" t="s">
        <v>1337</v>
      </c>
      <c r="E90" s="377" t="s">
        <v>1335</v>
      </c>
      <c r="F90" s="378" t="s">
        <v>875</v>
      </c>
      <c r="G90" s="379" t="s">
        <v>1338</v>
      </c>
      <c r="H90" s="380" t="s">
        <v>1338</v>
      </c>
      <c r="I90" s="380" t="s">
        <v>1339</v>
      </c>
      <c r="J90" s="380" t="s">
        <v>1340</v>
      </c>
      <c r="K90" s="380" t="s">
        <v>1867</v>
      </c>
      <c r="L90" s="381" t="s">
        <v>1105</v>
      </c>
      <c r="M90" s="382" t="str">
        <f>韻母對照資料表[[#This Row],[十五音]]&amp;LEFT(韻母對照資料表[[#This Row],[舒促聲]],1)</f>
        <v>閂舒</v>
      </c>
      <c r="N90" s="383">
        <v>44</v>
      </c>
      <c r="O90" s="367">
        <f>IF(韻母對照資料表[[#This Row],[台語音標]]="", 0, LEN(韻母對照資料表[[#This Row],[台語音標]]))</f>
        <v>5</v>
      </c>
      <c r="P90" s="41"/>
      <c r="Q90" s="41"/>
      <c r="R90" s="41"/>
      <c r="S90" s="41"/>
      <c r="T90" s="41"/>
      <c r="U90" s="41"/>
      <c r="V90" s="41"/>
      <c r="W90" s="41"/>
      <c r="X90" s="41"/>
      <c r="Y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</row>
    <row r="91" spans="2:45" ht="54" customHeight="1">
      <c r="B91" s="374">
        <v>88</v>
      </c>
      <c r="C91" s="394" t="s">
        <v>1869</v>
      </c>
      <c r="D91" s="376" t="s">
        <v>1341</v>
      </c>
      <c r="E91" s="377" t="s">
        <v>1335</v>
      </c>
      <c r="F91" s="378" t="s">
        <v>887</v>
      </c>
      <c r="G91" s="379" t="s">
        <v>1342</v>
      </c>
      <c r="H91" s="380" t="s">
        <v>1343</v>
      </c>
      <c r="I91" s="380" t="s">
        <v>1344</v>
      </c>
      <c r="J91" s="380" t="s">
        <v>1345</v>
      </c>
      <c r="K91" s="380" t="s">
        <v>1868</v>
      </c>
      <c r="L91" s="381" t="s">
        <v>1108</v>
      </c>
      <c r="M91" s="382" t="str">
        <f>韻母對照資料表[[#This Row],[十五音]]&amp;LEFT(韻母對照資料表[[#This Row],[舒促聲]],1)</f>
        <v>閂促</v>
      </c>
      <c r="N91" s="383">
        <v>44</v>
      </c>
      <c r="O91" s="367">
        <f>IF(韻母對照資料表[[#This Row],[台語音標]]="", 0, LEN(韻母對照資料表[[#This Row],[台語音標]]))</f>
        <v>6</v>
      </c>
      <c r="P91" s="41"/>
      <c r="Q91" s="41"/>
      <c r="R91" s="41"/>
      <c r="S91" s="41"/>
      <c r="T91" s="41"/>
      <c r="U91" s="41"/>
      <c r="V91" s="41"/>
      <c r="W91" s="41"/>
      <c r="X91" s="41"/>
      <c r="Y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</row>
    <row r="92" spans="2:45" ht="54" customHeight="1">
      <c r="B92" s="374">
        <v>89</v>
      </c>
      <c r="C92" s="393" t="s">
        <v>1109</v>
      </c>
      <c r="D92" s="376" t="s">
        <v>1348</v>
      </c>
      <c r="E92" s="377" t="s">
        <v>1346</v>
      </c>
      <c r="F92" s="378" t="s">
        <v>1347</v>
      </c>
      <c r="G92" s="379" t="s">
        <v>1349</v>
      </c>
      <c r="H92" s="380" t="s">
        <v>1349</v>
      </c>
      <c r="I92" s="380" t="s">
        <v>1350</v>
      </c>
      <c r="J92" s="380" t="s">
        <v>1351</v>
      </c>
      <c r="K92" s="396" t="s">
        <v>1870</v>
      </c>
      <c r="L92" s="381" t="s">
        <v>1105</v>
      </c>
      <c r="M92" s="382" t="str">
        <f>韻母對照資料表[[#This Row],[十五音]]&amp;LEFT(韻母對照資料表[[#This Row],[舒促聲]],1)</f>
        <v>糜舒</v>
      </c>
      <c r="N92" s="383">
        <v>45</v>
      </c>
      <c r="O92" s="367">
        <f>IF(韻母對照資料表[[#This Row],[台語音標]]="", 0, LEN(韻母對照資料表[[#This Row],[台語音標]]))</f>
        <v>4</v>
      </c>
      <c r="P92" s="41"/>
      <c r="Q92" s="41"/>
      <c r="R92" s="41"/>
      <c r="S92" s="41"/>
      <c r="T92" s="41"/>
      <c r="U92" s="41"/>
      <c r="V92" s="41"/>
      <c r="W92" s="41"/>
      <c r="X92" s="41"/>
      <c r="Y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</row>
    <row r="93" spans="2:45" ht="54" customHeight="1">
      <c r="B93" s="374">
        <v>90</v>
      </c>
      <c r="C93" s="386">
        <v>0</v>
      </c>
      <c r="D93" s="376" t="s">
        <v>1352</v>
      </c>
      <c r="E93" s="386">
        <v>0</v>
      </c>
      <c r="F93" s="392">
        <v>0</v>
      </c>
      <c r="G93" s="386"/>
      <c r="H93" s="386">
        <v>0</v>
      </c>
      <c r="I93" s="386">
        <v>0</v>
      </c>
      <c r="J93" s="386">
        <v>0</v>
      </c>
      <c r="K93" s="386"/>
      <c r="L93" s="386">
        <v>0</v>
      </c>
      <c r="M93" s="386">
        <v>0</v>
      </c>
      <c r="N93" s="386">
        <v>0</v>
      </c>
      <c r="O93" s="367">
        <f>IF(韻母對照資料表[[#This Row],[台語音標]]="", 0, LEN(韻母對照資料表[[#This Row],[台語音標]]))</f>
        <v>0</v>
      </c>
      <c r="P93" s="41"/>
      <c r="Q93" s="41"/>
      <c r="R93" s="41"/>
      <c r="S93" s="41"/>
      <c r="T93" s="41"/>
      <c r="U93" s="41"/>
      <c r="V93" s="41"/>
      <c r="W93" s="41"/>
      <c r="X93" s="41"/>
      <c r="Y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</row>
    <row r="94" spans="2:45" ht="54" customHeight="1">
      <c r="B94" s="374">
        <v>91</v>
      </c>
      <c r="C94" s="385" t="s">
        <v>1354</v>
      </c>
      <c r="D94" s="376" t="s">
        <v>1355</v>
      </c>
      <c r="E94" s="377" t="s">
        <v>1353</v>
      </c>
      <c r="F94" s="378" t="s">
        <v>536</v>
      </c>
      <c r="G94" s="379" t="s">
        <v>1356</v>
      </c>
      <c r="H94" s="380" t="s">
        <v>1356</v>
      </c>
      <c r="I94" s="380" t="s">
        <v>1357</v>
      </c>
      <c r="J94" s="380" t="s">
        <v>1358</v>
      </c>
      <c r="K94" s="380" t="s">
        <v>1871</v>
      </c>
      <c r="L94" s="381" t="s">
        <v>1105</v>
      </c>
      <c r="M94" s="382" t="str">
        <f>韻母對照資料表[[#This Row],[十五音]]&amp;LEFT(韻母對照資料表[[#This Row],[舒促聲]],1)</f>
        <v>嘄舒</v>
      </c>
      <c r="N94" s="383">
        <v>46</v>
      </c>
      <c r="O94" s="367">
        <f>IF(韻母對照資料表[[#This Row],[台語音標]]="", 0, LEN(韻母對照資料表[[#This Row],[台語音標]]))</f>
        <v>5</v>
      </c>
      <c r="P94" s="41"/>
      <c r="Q94" s="41"/>
      <c r="R94" s="41"/>
      <c r="S94" s="41"/>
      <c r="T94" s="41"/>
      <c r="U94" s="41"/>
      <c r="V94" s="41"/>
      <c r="W94" s="41"/>
      <c r="X94" s="41"/>
      <c r="Y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</row>
    <row r="95" spans="2:45" ht="54" customHeight="1">
      <c r="B95" s="374">
        <v>92</v>
      </c>
      <c r="C95" s="375" t="s">
        <v>1109</v>
      </c>
      <c r="D95" s="376" t="s">
        <v>1360</v>
      </c>
      <c r="E95" s="377" t="s">
        <v>1353</v>
      </c>
      <c r="F95" s="378" t="s">
        <v>1359</v>
      </c>
      <c r="G95" s="379" t="s">
        <v>1361</v>
      </c>
      <c r="H95" s="380" t="s">
        <v>1362</v>
      </c>
      <c r="I95" s="380" t="s">
        <v>1363</v>
      </c>
      <c r="J95" s="380" t="s">
        <v>1364</v>
      </c>
      <c r="K95" s="380" t="s">
        <v>1872</v>
      </c>
      <c r="L95" s="381" t="s">
        <v>1108</v>
      </c>
      <c r="M95" s="382" t="str">
        <f>韻母對照資料表[[#This Row],[十五音]]&amp;LEFT(韻母對照資料表[[#This Row],[舒促聲]],1)</f>
        <v>嘄促</v>
      </c>
      <c r="N95" s="383">
        <v>46</v>
      </c>
      <c r="O95" s="367">
        <f>IF(韻母對照資料表[[#This Row],[台語音標]]="", 0, LEN(韻母對照資料表[[#This Row],[台語音標]]))</f>
        <v>6</v>
      </c>
      <c r="P95" s="41"/>
      <c r="Q95" s="41"/>
      <c r="R95" s="41"/>
      <c r="S95" s="41"/>
      <c r="T95" s="41"/>
      <c r="U95" s="41"/>
      <c r="V95" s="41"/>
      <c r="W95" s="41"/>
      <c r="X95" s="41"/>
      <c r="Y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</row>
    <row r="96" spans="2:45" ht="54" customHeight="1">
      <c r="B96" s="374">
        <v>93</v>
      </c>
      <c r="C96" s="385" t="s">
        <v>1874</v>
      </c>
      <c r="D96" s="376" t="s">
        <v>3639</v>
      </c>
      <c r="E96" s="377" t="s">
        <v>1365</v>
      </c>
      <c r="F96" s="378" t="s">
        <v>694</v>
      </c>
      <c r="G96" s="379" t="s">
        <v>1366</v>
      </c>
      <c r="H96" s="380" t="s">
        <v>1366</v>
      </c>
      <c r="I96" s="380" t="s">
        <v>1366</v>
      </c>
      <c r="J96" s="380" t="s">
        <v>1366</v>
      </c>
      <c r="K96" s="380" t="s">
        <v>1873</v>
      </c>
      <c r="L96" s="381" t="s">
        <v>1105</v>
      </c>
      <c r="M96" s="382" t="str">
        <f>韻母對照資料表[[#This Row],[十五音]]&amp;LEFT(韻母對照資料表[[#This Row],[舒促聲]],1)</f>
        <v>箴舒</v>
      </c>
      <c r="N96" s="383">
        <v>47</v>
      </c>
      <c r="O96" s="367">
        <f>IF(韻母對照資料表[[#This Row],[台語音標]]="", 0, LEN(韻母對照資料表[[#This Row],[台語音標]]))</f>
        <v>2</v>
      </c>
      <c r="P96" s="41"/>
      <c r="Q96" s="41"/>
      <c r="R96" s="41"/>
      <c r="S96" s="41"/>
      <c r="T96" s="41"/>
      <c r="U96" s="41"/>
      <c r="V96" s="41"/>
      <c r="W96" s="41"/>
      <c r="X96" s="41"/>
      <c r="Y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</row>
    <row r="97" spans="2:45" ht="54" customHeight="1">
      <c r="B97" s="374">
        <v>94</v>
      </c>
      <c r="C97" s="375" t="s">
        <v>1876</v>
      </c>
      <c r="D97" s="376" t="s">
        <v>3640</v>
      </c>
      <c r="E97" s="377" t="s">
        <v>1365</v>
      </c>
      <c r="F97" s="378" t="s">
        <v>713</v>
      </c>
      <c r="G97" s="379" t="s">
        <v>1367</v>
      </c>
      <c r="H97" s="380" t="s">
        <v>1367</v>
      </c>
      <c r="I97" s="380" t="s">
        <v>1367</v>
      </c>
      <c r="J97" s="380" t="s">
        <v>1367</v>
      </c>
      <c r="K97" s="380" t="s">
        <v>1875</v>
      </c>
      <c r="L97" s="381" t="s">
        <v>1108</v>
      </c>
      <c r="M97" s="382" t="str">
        <f>韻母對照資料表[[#This Row],[十五音]]&amp;LEFT(韻母對照資料表[[#This Row],[舒促聲]],1)</f>
        <v>箴促</v>
      </c>
      <c r="N97" s="383">
        <v>47</v>
      </c>
      <c r="O97" s="367">
        <f>IF(韻母對照資料表[[#This Row],[台語音標]]="", 0, LEN(韻母對照資料表[[#This Row],[台語音標]]))</f>
        <v>2</v>
      </c>
      <c r="P97" s="41"/>
      <c r="Q97" s="41"/>
      <c r="R97" s="41"/>
      <c r="S97" s="41"/>
      <c r="T97" s="41"/>
      <c r="U97" s="41"/>
      <c r="V97" s="41"/>
      <c r="W97" s="41"/>
      <c r="X97" s="41"/>
      <c r="Y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</row>
    <row r="98" spans="2:45" ht="54" customHeight="1">
      <c r="B98" s="374">
        <v>95</v>
      </c>
      <c r="C98" s="394" t="s">
        <v>1878</v>
      </c>
      <c r="D98" s="376" t="s">
        <v>1370</v>
      </c>
      <c r="E98" s="377" t="s">
        <v>1368</v>
      </c>
      <c r="F98" s="378" t="s">
        <v>1369</v>
      </c>
      <c r="G98" s="379" t="s">
        <v>1371</v>
      </c>
      <c r="H98" s="380" t="s">
        <v>1371</v>
      </c>
      <c r="I98" s="380" t="s">
        <v>1372</v>
      </c>
      <c r="J98" s="380" t="s">
        <v>1373</v>
      </c>
      <c r="K98" s="397" t="s">
        <v>1877</v>
      </c>
      <c r="L98" s="381" t="s">
        <v>1105</v>
      </c>
      <c r="M98" s="382" t="str">
        <f>韻母對照資料表[[#This Row],[十五音]]&amp;LEFT(韻母對照資料表[[#This Row],[舒促聲]],1)</f>
        <v>爻舒</v>
      </c>
      <c r="N98" s="383">
        <v>48</v>
      </c>
      <c r="O98" s="367">
        <f>IF(韻母對照資料表[[#This Row],[台語音標]]="", 0, LEN(韻母對照資料表[[#This Row],[台語音標]]))</f>
        <v>4</v>
      </c>
      <c r="P98" s="41"/>
      <c r="Q98" s="41"/>
      <c r="R98" s="41"/>
      <c r="S98" s="41"/>
      <c r="T98" s="41"/>
      <c r="U98" s="41"/>
      <c r="V98" s="41"/>
      <c r="W98" s="41"/>
      <c r="X98" s="41"/>
      <c r="Y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</row>
    <row r="99" spans="2:45" ht="54" customHeight="1">
      <c r="B99" s="374">
        <v>96</v>
      </c>
      <c r="C99" s="386"/>
      <c r="D99" s="387"/>
      <c r="E99" s="386"/>
      <c r="F99" s="386"/>
      <c r="G99" s="386"/>
      <c r="H99" s="386"/>
      <c r="I99" s="386"/>
      <c r="J99" s="386"/>
      <c r="K99" s="386"/>
      <c r="L99" s="386"/>
      <c r="M99" s="386"/>
      <c r="N99" s="386"/>
      <c r="O99" s="367">
        <f>IF(韻母對照資料表[[#This Row],[台語音標]]="", 0, LEN(韻母對照資料表[[#This Row],[台語音標]]))</f>
        <v>0</v>
      </c>
      <c r="P99" s="41"/>
      <c r="Q99" s="41"/>
      <c r="R99" s="41"/>
      <c r="S99" s="41"/>
      <c r="T99" s="41"/>
      <c r="U99" s="41"/>
      <c r="V99" s="41"/>
      <c r="W99" s="41"/>
      <c r="X99" s="41"/>
      <c r="Y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</row>
    <row r="100" spans="2:45" ht="54" customHeight="1">
      <c r="B100" s="374">
        <v>97</v>
      </c>
      <c r="C100" s="385" t="s">
        <v>1375</v>
      </c>
      <c r="D100" s="398" t="s">
        <v>2230</v>
      </c>
      <c r="E100" s="377" t="s">
        <v>1374</v>
      </c>
      <c r="F100" s="396" t="s">
        <v>2224</v>
      </c>
      <c r="G100" s="396" t="s">
        <v>2223</v>
      </c>
      <c r="H100" s="396" t="s">
        <v>2223</v>
      </c>
      <c r="I100" s="390" t="s">
        <v>2233</v>
      </c>
      <c r="J100" s="396" t="s">
        <v>2227</v>
      </c>
      <c r="K100" s="396" t="s">
        <v>2222</v>
      </c>
      <c r="L100" s="381" t="s">
        <v>1105</v>
      </c>
      <c r="M100" s="382" t="str">
        <f>韻母對照資料表[[#This Row],[十五音]]&amp;LEFT(韻母對照資料表[[#This Row],[舒促聲]],1)</f>
        <v>扛舒</v>
      </c>
      <c r="N100" s="383">
        <v>49</v>
      </c>
      <c r="O100" s="367">
        <f>IF(韻母對照資料表[[#This Row],[台語音標]]="", 0, LEN(韻母對照資料表[[#This Row],[台語音標]]))</f>
        <v>3</v>
      </c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</row>
    <row r="101" spans="2:45" ht="54" customHeight="1">
      <c r="B101" s="374">
        <v>98</v>
      </c>
      <c r="C101" s="375" t="s">
        <v>1109</v>
      </c>
      <c r="D101" s="398" t="s">
        <v>2231</v>
      </c>
      <c r="E101" s="377" t="s">
        <v>1374</v>
      </c>
      <c r="F101" s="390" t="s">
        <v>2226</v>
      </c>
      <c r="G101" s="390" t="s">
        <v>2225</v>
      </c>
      <c r="H101" s="390" t="s">
        <v>2228</v>
      </c>
      <c r="I101" s="390" t="s">
        <v>2232</v>
      </c>
      <c r="J101" s="390" t="s">
        <v>2229</v>
      </c>
      <c r="K101" s="390" t="s">
        <v>1870</v>
      </c>
      <c r="L101" s="381" t="s">
        <v>1108</v>
      </c>
      <c r="M101" s="382" t="str">
        <f>韻母對照資料表[[#This Row],[十五音]]&amp;LEFT(韻母對照資料表[[#This Row],[舒促聲]],1)</f>
        <v>扛促</v>
      </c>
      <c r="N101" s="383">
        <v>49</v>
      </c>
      <c r="O101" s="367">
        <f>IF(韻母對照資料表[[#This Row],[台語音標]]="", 0, LEN(韻母對照資料表[[#This Row],[台語音標]]))</f>
        <v>4</v>
      </c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</row>
    <row r="102" spans="2:45" ht="54" customHeight="1">
      <c r="B102" s="374">
        <v>99</v>
      </c>
      <c r="C102" s="375" t="s">
        <v>1379</v>
      </c>
      <c r="D102" s="376" t="s">
        <v>1380</v>
      </c>
      <c r="E102" s="377" t="s">
        <v>1378</v>
      </c>
      <c r="F102" s="378" t="s">
        <v>622</v>
      </c>
      <c r="G102" s="379" t="s">
        <v>1381</v>
      </c>
      <c r="H102" s="380" t="s">
        <v>1381</v>
      </c>
      <c r="I102" s="380" t="s">
        <v>1382</v>
      </c>
      <c r="J102" s="380" t="s">
        <v>1383</v>
      </c>
      <c r="K102" s="380" t="s">
        <v>1879</v>
      </c>
      <c r="L102" s="381" t="s">
        <v>1105</v>
      </c>
      <c r="M102" s="382" t="str">
        <f>韻母對照資料表[[#This Row],[十五音]]&amp;LEFT(韻母對照資料表[[#This Row],[舒促聲]],1)</f>
        <v>牛舒</v>
      </c>
      <c r="N102" s="383">
        <v>50</v>
      </c>
      <c r="O102" s="367">
        <f>IF(韻母對照資料表[[#This Row],[台語音標]]="", 0, LEN(韻母對照資料表[[#This Row],[台語音標]]))</f>
        <v>4</v>
      </c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</row>
    <row r="103" spans="2:45" ht="54" customHeight="1">
      <c r="B103" s="374">
        <v>100</v>
      </c>
      <c r="C103" s="386"/>
      <c r="D103" s="387"/>
      <c r="E103" s="386"/>
      <c r="F103" s="392"/>
      <c r="G103" s="386"/>
      <c r="H103" s="386"/>
      <c r="I103" s="386"/>
      <c r="J103" s="386"/>
      <c r="K103" s="386"/>
      <c r="L103" s="386"/>
      <c r="M103" s="386"/>
      <c r="N103" s="386"/>
      <c r="O103" s="369">
        <f>IF(韻母對照資料表[[#This Row],[台語音標]]="", 0, LEN(韻母對照資料表[[#This Row],[台語音標]]))</f>
        <v>0</v>
      </c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</row>
  </sheetData>
  <phoneticPr fontId="3" type="noConversion"/>
  <conditionalFormatting sqref="B4:N103">
    <cfRule type="expression" dxfId="3" priority="9">
      <formula>LEFT($L4,2)="舒聲"</formula>
    </cfRule>
    <cfRule type="expression" priority="10">
      <formula>LEFT($L4,2)="促聲"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4791-B793-4B77-ABF9-8ECBD364092C}">
  <dimension ref="C2:P18"/>
  <sheetViews>
    <sheetView showGridLines="0" workbookViewId="0">
      <selection activeCell="D2" sqref="D2:P9"/>
    </sheetView>
  </sheetViews>
  <sheetFormatPr defaultRowHeight="16.5" outlineLevelRow="1"/>
  <cols>
    <col min="1" max="2" width="4.125" customWidth="1"/>
    <col min="3" max="3" width="15.375" customWidth="1"/>
    <col min="4" max="4" width="10.5" bestFit="1" customWidth="1"/>
    <col min="5" max="5" width="10.5" customWidth="1"/>
    <col min="6" max="6" width="15.375" customWidth="1"/>
    <col min="7" max="7" width="12.875" customWidth="1"/>
    <col min="8" max="8" width="13" customWidth="1"/>
    <col min="9" max="10" width="15.375" customWidth="1"/>
    <col min="11" max="16" width="14.625" customWidth="1"/>
  </cols>
  <sheetData>
    <row r="2" spans="3:16" ht="25.5">
      <c r="C2" s="45" t="s">
        <v>2346</v>
      </c>
      <c r="D2" s="46" t="s">
        <v>1387</v>
      </c>
      <c r="E2" s="46" t="s">
        <v>2367</v>
      </c>
      <c r="F2" s="45" t="s">
        <v>1385</v>
      </c>
      <c r="G2" s="432" t="s">
        <v>1384</v>
      </c>
      <c r="H2" s="433"/>
      <c r="I2" s="45" t="s">
        <v>1385</v>
      </c>
      <c r="J2" s="45" t="s">
        <v>1386</v>
      </c>
      <c r="K2" s="46" t="s">
        <v>1388</v>
      </c>
      <c r="L2" s="46" t="s">
        <v>2352</v>
      </c>
      <c r="M2" s="46" t="s">
        <v>2359</v>
      </c>
      <c r="N2" s="46" t="s">
        <v>1389</v>
      </c>
      <c r="O2" s="45" t="s">
        <v>1390</v>
      </c>
      <c r="P2" s="46" t="s">
        <v>1391</v>
      </c>
    </row>
    <row r="3" spans="3:16" ht="59.25">
      <c r="C3" s="245" t="s">
        <v>2347</v>
      </c>
      <c r="D3" s="50">
        <v>44</v>
      </c>
      <c r="E3" s="50">
        <v>55</v>
      </c>
      <c r="F3" s="49" t="s">
        <v>1393</v>
      </c>
      <c r="G3" s="47" t="s">
        <v>1392</v>
      </c>
      <c r="H3" s="48" t="str">
        <f xml:space="preserve"> "tong" &amp; O3</f>
        <v>tong1</v>
      </c>
      <c r="I3" s="49" t="s">
        <v>1393</v>
      </c>
      <c r="J3" s="49" t="s">
        <v>1394</v>
      </c>
      <c r="K3" s="51" t="s">
        <v>1395</v>
      </c>
      <c r="L3" s="51" t="s">
        <v>1758</v>
      </c>
      <c r="M3" s="247" t="s">
        <v>2360</v>
      </c>
      <c r="N3" s="52" t="s">
        <v>1396</v>
      </c>
      <c r="O3" s="53">
        <v>1</v>
      </c>
      <c r="P3" s="53">
        <v>1</v>
      </c>
    </row>
    <row r="4" spans="3:16" ht="59.25">
      <c r="C4" s="246" t="s">
        <v>2348</v>
      </c>
      <c r="D4" s="57">
        <v>22</v>
      </c>
      <c r="E4" s="57">
        <v>33</v>
      </c>
      <c r="F4" s="56" t="s">
        <v>1398</v>
      </c>
      <c r="G4" s="54" t="s">
        <v>1397</v>
      </c>
      <c r="H4" s="55" t="str">
        <f t="shared" ref="H4:H7" si="0" xml:space="preserve"> "tong" &amp; O4</f>
        <v>tong7</v>
      </c>
      <c r="I4" s="56" t="s">
        <v>1398</v>
      </c>
      <c r="J4" s="56" t="s">
        <v>1399</v>
      </c>
      <c r="K4" s="58" t="s">
        <v>1400</v>
      </c>
      <c r="L4" s="58" t="s">
        <v>2357</v>
      </c>
      <c r="M4" s="248" t="s">
        <v>2363</v>
      </c>
      <c r="N4" s="59" t="s">
        <v>1401</v>
      </c>
      <c r="O4" s="60">
        <v>7</v>
      </c>
      <c r="P4" s="60">
        <v>6</v>
      </c>
    </row>
    <row r="5" spans="3:16" ht="59.25">
      <c r="C5" s="245" t="s">
        <v>2349</v>
      </c>
      <c r="D5" s="50">
        <v>21</v>
      </c>
      <c r="E5" s="50">
        <v>31</v>
      </c>
      <c r="F5" s="49" t="s">
        <v>1403</v>
      </c>
      <c r="G5" s="47" t="s">
        <v>1402</v>
      </c>
      <c r="H5" s="48" t="str">
        <f t="shared" si="0"/>
        <v>tong3</v>
      </c>
      <c r="I5" s="49" t="s">
        <v>1403</v>
      </c>
      <c r="J5" s="49" t="s">
        <v>1404</v>
      </c>
      <c r="K5" s="51" t="s">
        <v>1405</v>
      </c>
      <c r="L5" s="51" t="s">
        <v>2354</v>
      </c>
      <c r="M5" s="247" t="s">
        <v>2361</v>
      </c>
      <c r="N5" s="61" t="s">
        <v>1406</v>
      </c>
      <c r="O5" s="53">
        <v>3</v>
      </c>
      <c r="P5" s="53">
        <v>5</v>
      </c>
    </row>
    <row r="6" spans="3:16" ht="59.25">
      <c r="C6" s="246" t="s">
        <v>2350</v>
      </c>
      <c r="D6" s="57">
        <v>53</v>
      </c>
      <c r="E6" s="57">
        <v>51</v>
      </c>
      <c r="F6" s="56" t="s">
        <v>1408</v>
      </c>
      <c r="G6" s="54" t="s">
        <v>1407</v>
      </c>
      <c r="H6" s="55" t="str">
        <f xml:space="preserve"> "tong" &amp; O6</f>
        <v>tong2</v>
      </c>
      <c r="I6" s="56" t="s">
        <v>1408</v>
      </c>
      <c r="J6" s="56" t="s">
        <v>1409</v>
      </c>
      <c r="K6" s="62" t="s">
        <v>1410</v>
      </c>
      <c r="L6" s="62" t="s">
        <v>2353</v>
      </c>
      <c r="M6" s="249" t="s">
        <v>2362</v>
      </c>
      <c r="N6" s="59" t="s">
        <v>1411</v>
      </c>
      <c r="O6" s="60">
        <v>2</v>
      </c>
      <c r="P6" s="60">
        <v>3</v>
      </c>
    </row>
    <row r="7" spans="3:16" ht="59.25">
      <c r="C7" s="245" t="s">
        <v>2351</v>
      </c>
      <c r="D7" s="50">
        <v>13</v>
      </c>
      <c r="E7" s="50">
        <v>24</v>
      </c>
      <c r="F7" s="49" t="s">
        <v>1413</v>
      </c>
      <c r="G7" s="47" t="s">
        <v>1412</v>
      </c>
      <c r="H7" s="48" t="str">
        <f t="shared" si="0"/>
        <v>tong5</v>
      </c>
      <c r="I7" s="49" t="s">
        <v>1413</v>
      </c>
      <c r="J7" s="49" t="s">
        <v>1414</v>
      </c>
      <c r="K7" s="63" t="s">
        <v>1415</v>
      </c>
      <c r="L7" s="63" t="s">
        <v>2358</v>
      </c>
      <c r="M7" s="250" t="s">
        <v>2364</v>
      </c>
      <c r="N7" s="61" t="s">
        <v>1416</v>
      </c>
      <c r="O7" s="53">
        <v>5</v>
      </c>
      <c r="P7" s="53">
        <v>2</v>
      </c>
    </row>
    <row r="8" spans="3:16" ht="59.25">
      <c r="C8" s="246" t="s">
        <v>2344</v>
      </c>
      <c r="D8" s="57">
        <v>32</v>
      </c>
      <c r="E8" s="57">
        <v>30</v>
      </c>
      <c r="F8" s="56" t="s">
        <v>1419</v>
      </c>
      <c r="G8" s="54" t="s">
        <v>1417</v>
      </c>
      <c r="H8" s="55" t="s">
        <v>1418</v>
      </c>
      <c r="I8" s="56" t="s">
        <v>1419</v>
      </c>
      <c r="J8" s="56" t="s">
        <v>1420</v>
      </c>
      <c r="K8" s="62" t="s">
        <v>1421</v>
      </c>
      <c r="L8" s="62" t="s">
        <v>2355</v>
      </c>
      <c r="M8" s="249" t="s">
        <v>2365</v>
      </c>
      <c r="N8" s="59" t="s">
        <v>1396</v>
      </c>
      <c r="O8" s="60">
        <v>4</v>
      </c>
      <c r="P8" s="60">
        <v>7</v>
      </c>
    </row>
    <row r="9" spans="3:16" ht="59.25">
      <c r="C9" s="245" t="s">
        <v>2345</v>
      </c>
      <c r="D9" s="50">
        <v>121</v>
      </c>
      <c r="E9" s="50">
        <v>50</v>
      </c>
      <c r="F9" s="49" t="s">
        <v>1424</v>
      </c>
      <c r="G9" s="47" t="s">
        <v>1422</v>
      </c>
      <c r="H9" s="48" t="s">
        <v>1423</v>
      </c>
      <c r="I9" s="49" t="s">
        <v>1424</v>
      </c>
      <c r="J9" s="49" t="s">
        <v>1425</v>
      </c>
      <c r="K9" s="51" t="s">
        <v>1426</v>
      </c>
      <c r="L9" s="51" t="s">
        <v>2356</v>
      </c>
      <c r="M9" s="247" t="s">
        <v>2366</v>
      </c>
      <c r="N9" s="61" t="s">
        <v>1427</v>
      </c>
      <c r="O9" s="53">
        <v>8</v>
      </c>
      <c r="P9" s="53">
        <v>8</v>
      </c>
    </row>
    <row r="18" spans="3:16" ht="57.75" outlineLevel="1">
      <c r="C18" s="65" t="s">
        <v>1428</v>
      </c>
      <c r="D18" s="66">
        <v>53</v>
      </c>
      <c r="E18" s="66"/>
      <c r="F18" s="65" t="s">
        <v>1428</v>
      </c>
      <c r="G18" s="64" t="s">
        <v>1407</v>
      </c>
      <c r="H18" s="65" t="str">
        <f xml:space="preserve"> "dong" &amp; O18</f>
        <v>dong6</v>
      </c>
      <c r="I18" s="65" t="s">
        <v>1428</v>
      </c>
      <c r="J18" s="65"/>
      <c r="K18" s="66"/>
      <c r="L18" s="66"/>
      <c r="M18" s="66"/>
      <c r="N18" s="67" t="s">
        <v>1396</v>
      </c>
      <c r="O18" s="66">
        <v>6</v>
      </c>
      <c r="P18" s="68">
        <v>4</v>
      </c>
    </row>
  </sheetData>
  <mergeCells count="1">
    <mergeCell ref="G2:H2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534A1-6015-473D-8BF7-97119A99F5D2}">
  <sheetPr>
    <tabColor rgb="FF92D050"/>
  </sheetPr>
  <dimension ref="B2:AM85"/>
  <sheetViews>
    <sheetView showGridLines="0" zoomScale="60" zoomScaleNormal="60" workbookViewId="0">
      <selection activeCell="O33" sqref="O33"/>
    </sheetView>
  </sheetViews>
  <sheetFormatPr defaultColWidth="16.125" defaultRowHeight="25.5"/>
  <cols>
    <col min="1" max="1" width="6.375" style="3" customWidth="1"/>
    <col min="2" max="2" width="15.5" style="3" customWidth="1"/>
    <col min="3" max="39" width="11.625" style="3" customWidth="1"/>
    <col min="40" max="16384" width="16.125" style="3"/>
  </cols>
  <sheetData>
    <row r="2" spans="2:39" s="144" customFormat="1">
      <c r="B2" s="440" t="s">
        <v>2438</v>
      </c>
      <c r="C2" s="441"/>
      <c r="D2" s="436"/>
      <c r="E2" s="435"/>
      <c r="F2" s="434" t="s">
        <v>1082</v>
      </c>
      <c r="G2" s="435"/>
      <c r="H2" s="434" t="s">
        <v>994</v>
      </c>
      <c r="I2" s="435"/>
      <c r="J2" s="434" t="s">
        <v>1013</v>
      </c>
      <c r="K2" s="435"/>
      <c r="L2" s="434" t="s">
        <v>1841</v>
      </c>
      <c r="M2" s="435"/>
      <c r="N2" s="434" t="s">
        <v>1086</v>
      </c>
      <c r="O2" s="435"/>
      <c r="P2" s="434" t="s">
        <v>1008</v>
      </c>
      <c r="Q2" s="435"/>
      <c r="R2" s="434" t="s">
        <v>1018</v>
      </c>
      <c r="S2" s="435"/>
      <c r="T2" s="434" t="s">
        <v>1091</v>
      </c>
      <c r="U2" s="435"/>
      <c r="V2" s="434" t="s">
        <v>990</v>
      </c>
      <c r="W2" s="435"/>
      <c r="X2" s="434" t="s">
        <v>2439</v>
      </c>
      <c r="Y2" s="435"/>
      <c r="Z2" s="439" t="s">
        <v>2440</v>
      </c>
      <c r="AA2" s="435"/>
      <c r="AB2" s="434" t="s">
        <v>2441</v>
      </c>
      <c r="AC2" s="435"/>
      <c r="AD2" s="439" t="s">
        <v>2442</v>
      </c>
      <c r="AE2" s="435"/>
      <c r="AF2" s="434" t="s">
        <v>998</v>
      </c>
      <c r="AG2" s="435"/>
      <c r="AH2" s="434" t="s">
        <v>1003</v>
      </c>
      <c r="AI2" s="435"/>
      <c r="AJ2" s="434" t="s">
        <v>1844</v>
      </c>
      <c r="AK2" s="435"/>
      <c r="AL2" s="434" t="s">
        <v>1096</v>
      </c>
      <c r="AM2" s="435"/>
    </row>
    <row r="3" spans="2:39" ht="30">
      <c r="B3" s="288"/>
      <c r="C3" s="1" t="s">
        <v>1648</v>
      </c>
      <c r="D3" s="437" t="s">
        <v>0</v>
      </c>
      <c r="E3" s="438"/>
      <c r="F3" s="437" t="s">
        <v>1</v>
      </c>
      <c r="G3" s="438"/>
      <c r="H3" s="437" t="s">
        <v>2</v>
      </c>
      <c r="I3" s="438"/>
      <c r="J3" s="437" t="s">
        <v>3</v>
      </c>
      <c r="K3" s="438"/>
      <c r="L3" s="437" t="s">
        <v>4</v>
      </c>
      <c r="M3" s="438"/>
      <c r="N3" s="437" t="s">
        <v>5</v>
      </c>
      <c r="O3" s="438"/>
      <c r="P3" s="437" t="s">
        <v>6</v>
      </c>
      <c r="Q3" s="438"/>
      <c r="R3" s="437" t="s">
        <v>7</v>
      </c>
      <c r="S3" s="438"/>
      <c r="T3" s="437" t="s">
        <v>8</v>
      </c>
      <c r="U3" s="438"/>
      <c r="V3" s="437" t="s">
        <v>9</v>
      </c>
      <c r="W3" s="438"/>
      <c r="X3" s="437" t="s">
        <v>10</v>
      </c>
      <c r="Y3" s="438"/>
      <c r="Z3" s="437" t="s">
        <v>11</v>
      </c>
      <c r="AA3" s="438"/>
      <c r="AB3" s="437" t="s">
        <v>12</v>
      </c>
      <c r="AC3" s="438"/>
      <c r="AD3" s="437" t="s">
        <v>13</v>
      </c>
      <c r="AE3" s="438"/>
      <c r="AF3" s="437" t="s">
        <v>14</v>
      </c>
      <c r="AG3" s="438"/>
      <c r="AH3" s="437" t="s">
        <v>15</v>
      </c>
      <c r="AI3" s="438"/>
      <c r="AJ3" s="437" t="s">
        <v>16</v>
      </c>
      <c r="AK3" s="438"/>
      <c r="AL3" s="437" t="s">
        <v>17</v>
      </c>
      <c r="AM3" s="438"/>
    </row>
    <row r="4" spans="2:39">
      <c r="B4" s="143" t="s">
        <v>1758</v>
      </c>
      <c r="C4" s="142" t="s">
        <v>18</v>
      </c>
      <c r="D4" s="4" t="s">
        <v>19</v>
      </c>
      <c r="E4" s="145" t="str">
        <f xml:space="preserve"> IF(D4="", "", _xlfn.CONCAT(D$2,$B4))</f>
        <v>a</v>
      </c>
      <c r="F4" s="4" t="s">
        <v>20</v>
      </c>
      <c r="G4" s="145" t="str">
        <f xml:space="preserve"> IF(F4="", "", _xlfn.CONCAT(F$2,$B4))</f>
        <v>ha</v>
      </c>
      <c r="H4" s="4" t="s">
        <v>21</v>
      </c>
      <c r="I4" s="145" t="str">
        <f xml:space="preserve"> IF(H4="", "", _xlfn.CONCAT(H$2,$B4))</f>
        <v>ba</v>
      </c>
      <c r="J4" s="4" t="s">
        <v>22</v>
      </c>
      <c r="K4" s="145" t="str">
        <f xml:space="preserve"> IF(J4="", "", _xlfn.CONCAT(J$2,$B4))</f>
        <v>pa</v>
      </c>
      <c r="L4" s="4" t="s">
        <v>23</v>
      </c>
      <c r="M4" s="145" t="str">
        <f xml:space="preserve"> IF(L4="", "", _xlfn.CONCAT(L$2,$B4))</f>
        <v>bba</v>
      </c>
      <c r="N4" s="4" t="s">
        <v>24</v>
      </c>
      <c r="O4" s="145" t="str">
        <f xml:space="preserve"> IF(N4="", "", _xlfn.CONCAT(N$2,$B4))</f>
        <v>ma</v>
      </c>
      <c r="P4" s="4" t="s">
        <v>25</v>
      </c>
      <c r="Q4" s="145" t="str">
        <f xml:space="preserve"> IF(P4="", "", _xlfn.CONCAT(P$2,$B4))</f>
        <v>da</v>
      </c>
      <c r="R4" s="4" t="s">
        <v>26</v>
      </c>
      <c r="S4" s="145" t="str">
        <f xml:space="preserve"> IF(R4="", "", _xlfn.CONCAT(R$2,$B4))</f>
        <v>ta</v>
      </c>
      <c r="T4" s="4" t="s">
        <v>27</v>
      </c>
      <c r="U4" s="145" t="str">
        <f xml:space="preserve"> IF(T4="", "", _xlfn.CONCAT(T$2,$B4))</f>
        <v>na</v>
      </c>
      <c r="V4" s="4" t="s">
        <v>28</v>
      </c>
      <c r="W4" s="145" t="str">
        <f xml:space="preserve"> IF(V4="", "", _xlfn.CONCAT(V$2,$B4))</f>
        <v>la</v>
      </c>
      <c r="X4" s="4" t="s">
        <v>29</v>
      </c>
      <c r="Y4" s="145" t="str">
        <f xml:space="preserve"> IF(X4="", "", IF(LEFT(X4)="ㄗ", _xlfn.CONCAT("z", $B4), IF(OR(LEFT(X4,2)="ㄐㄧ", LEFT(X4,2)="ㄐㆪ"), _xlfn.CONCAT("j",$B4), _xlfn.CONCAT("j",$B4))))</f>
        <v>za</v>
      </c>
      <c r="Z4" s="4" t="s">
        <v>30</v>
      </c>
      <c r="AA4" s="145" t="str">
        <f xml:space="preserve"> IF(Z4="", "", IF(LEFT(Z4)="ㄘ", _xlfn.CONCAT("c", $B4), IF(OR(LEFT(Z4,2)="ㄑㄧ", LEFT(Z4,2)="ㄑㆪ"), _xlfn.CONCAT("ch",$B4), _xlfn.CONCAT("ch",$B4))))</f>
        <v>ca</v>
      </c>
      <c r="AB4" s="4"/>
      <c r="AC4" s="145" t="str">
        <f xml:space="preserve"> IF(AB4="", "", IF(LEFT(AB4)="ㆡ", _xlfn.CONCAT("j", $B4), IF(OR(LEFT(AB4,2)="ㆢㄧ", LEFT(AB4,2)="ㆢㆪ"), _xlfn.CONCAT("jj",$B4), _xlfn.CONCAT("jj",$B4))))</f>
        <v/>
      </c>
      <c r="AD4" s="4" t="s">
        <v>31</v>
      </c>
      <c r="AE4" s="145" t="str">
        <f xml:space="preserve"> IF(AD4="", "", IF(LEFT(AD4)="ㄙ", _xlfn.CONCAT("s", $B4), IF(OR(LEFT(AD4,2)="ㄒㄧ", LEFT(AD4,2)="ㄒㆪ"), _xlfn.CONCAT("sh",$B4), _xlfn.CONCAT("sh",$B4))))</f>
        <v>sa</v>
      </c>
      <c r="AF4" s="4" t="s">
        <v>32</v>
      </c>
      <c r="AG4" s="145" t="str">
        <f xml:space="preserve"> IF(AF4="", "", _xlfn.CONCAT(AF$2,$B4))</f>
        <v>ga</v>
      </c>
      <c r="AH4" s="4" t="s">
        <v>33</v>
      </c>
      <c r="AI4" s="145" t="str">
        <f xml:space="preserve"> IF(AH4="", "", _xlfn.CONCAT(AH$2,$B4))</f>
        <v>ka</v>
      </c>
      <c r="AJ4" s="4" t="s">
        <v>34</v>
      </c>
      <c r="AK4" s="145" t="str">
        <f xml:space="preserve"> IF(AJ4="", "", _xlfn.CONCAT(AJ$2,$B4))</f>
        <v>gga</v>
      </c>
      <c r="AL4" s="4" t="s">
        <v>35</v>
      </c>
      <c r="AM4" s="145" t="str">
        <f xml:space="preserve"> IF(AL4="", "", _xlfn.CONCAT(AL$2,$B4))</f>
        <v>nga</v>
      </c>
    </row>
    <row r="5" spans="2:39">
      <c r="B5" s="143" t="s">
        <v>1759</v>
      </c>
      <c r="C5" s="142" t="s">
        <v>36</v>
      </c>
      <c r="D5" s="4" t="s">
        <v>37</v>
      </c>
      <c r="E5" s="145" t="str">
        <f t="shared" ref="E5:G68" si="0" xml:space="preserve"> IF(D5="", "", _xlfn.CONCAT(D$2,$B5))</f>
        <v>Na</v>
      </c>
      <c r="F5" s="4" t="s">
        <v>38</v>
      </c>
      <c r="G5" s="145" t="str">
        <f t="shared" si="0"/>
        <v>hNa</v>
      </c>
      <c r="H5" s="4"/>
      <c r="I5" s="145" t="str">
        <f t="shared" ref="I5" si="1" xml:space="preserve"> IF(H5="", "", _xlfn.CONCAT(H$2,$B5))</f>
        <v/>
      </c>
      <c r="J5" s="4" t="s">
        <v>39</v>
      </c>
      <c r="K5" s="145" t="str">
        <f t="shared" ref="K5" si="2" xml:space="preserve"> IF(J5="", "", _xlfn.CONCAT(J$2,$B5))</f>
        <v>pNa</v>
      </c>
      <c r="L5" s="4"/>
      <c r="M5" s="145" t="str">
        <f t="shared" ref="M5" si="3" xml:space="preserve"> IF(L5="", "", _xlfn.CONCAT(L$2,$B5))</f>
        <v/>
      </c>
      <c r="N5" s="4"/>
      <c r="O5" s="145" t="str">
        <f t="shared" ref="O5" si="4" xml:space="preserve"> IF(N5="", "", _xlfn.CONCAT(N$2,$B5))</f>
        <v/>
      </c>
      <c r="P5" s="4" t="s">
        <v>40</v>
      </c>
      <c r="Q5" s="145" t="str">
        <f t="shared" ref="Q5" si="5" xml:space="preserve"> IF(P5="", "", _xlfn.CONCAT(P$2,$B5))</f>
        <v>dNa</v>
      </c>
      <c r="R5" s="4" t="s">
        <v>41</v>
      </c>
      <c r="S5" s="145" t="str">
        <f t="shared" ref="S5" si="6" xml:space="preserve"> IF(R5="", "", _xlfn.CONCAT(R$2,$B5))</f>
        <v>tNa</v>
      </c>
      <c r="T5" s="4"/>
      <c r="U5" s="145" t="str">
        <f t="shared" ref="U5" si="7" xml:space="preserve"> IF(T5="", "", _xlfn.CONCAT(T$2,$B5))</f>
        <v/>
      </c>
      <c r="V5" s="4"/>
      <c r="W5" s="145" t="str">
        <f t="shared" ref="W5" si="8" xml:space="preserve"> IF(V5="", "", _xlfn.CONCAT(V$2,$B5))</f>
        <v/>
      </c>
      <c r="X5" s="4" t="s">
        <v>42</v>
      </c>
      <c r="Y5" s="145" t="str">
        <f t="shared" ref="Y5:Y68" si="9" xml:space="preserve"> IF(X5="", "", IF(LEFT(X5)="ㄗ", _xlfn.CONCAT("z", $B5), IF(OR(LEFT(X5,2)="ㄐㄧ", LEFT(X5,2)="ㄐㆪ"), _xlfn.CONCAT("j",$B5), _xlfn.CONCAT("j",$B5))))</f>
        <v>zNa</v>
      </c>
      <c r="Z5" s="4" t="s">
        <v>43</v>
      </c>
      <c r="AA5" s="145" t="str">
        <f t="shared" ref="AA5:AA68" si="10" xml:space="preserve"> IF(Z5="", "", IF(LEFT(Z5)="ㄘ", _xlfn.CONCAT("c", $B5), IF(OR(LEFT(Z5,2)="ㄑㄧ", LEFT(Z5,2)="ㄑㆪ"), _xlfn.CONCAT("ch",$B5), _xlfn.CONCAT("ch",$B5))))</f>
        <v>cNa</v>
      </c>
      <c r="AB5" s="4"/>
      <c r="AC5" s="145" t="str">
        <f t="shared" ref="AC5:AC68" si="11" xml:space="preserve"> IF(AB5="", "", IF(LEFT(AB5)="ㆡ", _xlfn.CONCAT("j", $B5), IF(OR(LEFT(AB5,2)="ㆢㄧ", LEFT(AB5,2)="ㆢㆪ"), _xlfn.CONCAT("jj",$B5), _xlfn.CONCAT("jj",$B5))))</f>
        <v/>
      </c>
      <c r="AD5" s="4" t="s">
        <v>44</v>
      </c>
      <c r="AE5" s="145" t="str">
        <f t="shared" ref="AE5:AE68" si="12" xml:space="preserve"> IF(AD5="", "", IF(LEFT(AD5)="ㄙ", _xlfn.CONCAT("s", $B5), IF(OR(LEFT(AD5,2)="ㄒㄧ", LEFT(AD5,2)="ㄒㆪ"), _xlfn.CONCAT("sh",$B5), _xlfn.CONCAT("sh",$B5))))</f>
        <v>sNa</v>
      </c>
      <c r="AF5" s="4" t="s">
        <v>45</v>
      </c>
      <c r="AG5" s="145" t="str">
        <f t="shared" ref="AG5" si="13" xml:space="preserve"> IF(AF5="", "", _xlfn.CONCAT(AF$2,$B5))</f>
        <v>gNa</v>
      </c>
      <c r="AH5" s="4" t="s">
        <v>46</v>
      </c>
      <c r="AI5" s="145" t="str">
        <f t="shared" ref="AI5" si="14" xml:space="preserve"> IF(AH5="", "", _xlfn.CONCAT(AH$2,$B5))</f>
        <v>kNa</v>
      </c>
      <c r="AJ5" s="4"/>
      <c r="AK5" s="145" t="str">
        <f t="shared" ref="AK5" si="15" xml:space="preserve"> IF(AJ5="", "", _xlfn.CONCAT(AJ$2,$B5))</f>
        <v/>
      </c>
      <c r="AL5" s="4"/>
      <c r="AM5" s="145" t="str">
        <f t="shared" ref="AM5" si="16" xml:space="preserve"> IF(AL5="", "", _xlfn.CONCAT(AL$2,$B5))</f>
        <v/>
      </c>
    </row>
    <row r="6" spans="2:39">
      <c r="B6" s="143" t="s">
        <v>1760</v>
      </c>
      <c r="C6" s="142" t="s">
        <v>47</v>
      </c>
      <c r="D6" s="4" t="s">
        <v>48</v>
      </c>
      <c r="E6" s="145" t="str">
        <f t="shared" si="0"/>
        <v>ah</v>
      </c>
      <c r="F6" s="4" t="s">
        <v>49</v>
      </c>
      <c r="G6" s="145" t="str">
        <f t="shared" si="0"/>
        <v>hah</v>
      </c>
      <c r="H6" s="4" t="s">
        <v>50</v>
      </c>
      <c r="I6" s="145" t="str">
        <f t="shared" ref="I6" si="17" xml:space="preserve"> IF(H6="", "", _xlfn.CONCAT(H$2,$B6))</f>
        <v>bah</v>
      </c>
      <c r="J6" s="4" t="s">
        <v>51</v>
      </c>
      <c r="K6" s="145" t="str">
        <f t="shared" ref="K6" si="18" xml:space="preserve"> IF(J6="", "", _xlfn.CONCAT(J$2,$B6))</f>
        <v>pah</v>
      </c>
      <c r="L6" s="4" t="s">
        <v>52</v>
      </c>
      <c r="M6" s="145" t="str">
        <f t="shared" ref="M6" si="19" xml:space="preserve"> IF(L6="", "", _xlfn.CONCAT(L$2,$B6))</f>
        <v>bbah</v>
      </c>
      <c r="N6" s="4" t="s">
        <v>53</v>
      </c>
      <c r="O6" s="145" t="str">
        <f t="shared" ref="O6" si="20" xml:space="preserve"> IF(N6="", "", _xlfn.CONCAT(N$2,$B6))</f>
        <v>mah</v>
      </c>
      <c r="P6" s="4" t="s">
        <v>54</v>
      </c>
      <c r="Q6" s="145" t="str">
        <f t="shared" ref="Q6" si="21" xml:space="preserve"> IF(P6="", "", _xlfn.CONCAT(P$2,$B6))</f>
        <v>dah</v>
      </c>
      <c r="R6" s="4" t="s">
        <v>55</v>
      </c>
      <c r="S6" s="145" t="str">
        <f t="shared" ref="S6" si="22" xml:space="preserve"> IF(R6="", "", _xlfn.CONCAT(R$2,$B6))</f>
        <v>tah</v>
      </c>
      <c r="T6" s="4" t="s">
        <v>56</v>
      </c>
      <c r="U6" s="145" t="str">
        <f t="shared" ref="U6" si="23" xml:space="preserve"> IF(T6="", "", _xlfn.CONCAT(T$2,$B6))</f>
        <v>nah</v>
      </c>
      <c r="V6" s="4" t="s">
        <v>57</v>
      </c>
      <c r="W6" s="145" t="str">
        <f t="shared" ref="W6" si="24" xml:space="preserve"> IF(V6="", "", _xlfn.CONCAT(V$2,$B6))</f>
        <v>lah</v>
      </c>
      <c r="X6" s="4" t="s">
        <v>58</v>
      </c>
      <c r="Y6" s="145" t="str">
        <f t="shared" si="9"/>
        <v>zah</v>
      </c>
      <c r="Z6" s="4" t="s">
        <v>59</v>
      </c>
      <c r="AA6" s="145" t="str">
        <f t="shared" si="10"/>
        <v>cah</v>
      </c>
      <c r="AB6" s="4"/>
      <c r="AC6" s="145" t="str">
        <f t="shared" si="11"/>
        <v/>
      </c>
      <c r="AD6" s="4" t="s">
        <v>60</v>
      </c>
      <c r="AE6" s="145" t="str">
        <f t="shared" si="12"/>
        <v>sah</v>
      </c>
      <c r="AF6" s="4" t="s">
        <v>61</v>
      </c>
      <c r="AG6" s="145" t="str">
        <f t="shared" ref="AG6" si="25" xml:space="preserve"> IF(AF6="", "", _xlfn.CONCAT(AF$2,$B6))</f>
        <v>gah</v>
      </c>
      <c r="AH6" s="4" t="s">
        <v>62</v>
      </c>
      <c r="AI6" s="145" t="str">
        <f t="shared" ref="AI6" si="26" xml:space="preserve"> IF(AH6="", "", _xlfn.CONCAT(AH$2,$B6))</f>
        <v>kah</v>
      </c>
      <c r="AJ6" s="4"/>
      <c r="AK6" s="145" t="str">
        <f t="shared" ref="AK6" si="27" xml:space="preserve"> IF(AJ6="", "", _xlfn.CONCAT(AJ$2,$B6))</f>
        <v/>
      </c>
      <c r="AL6" s="4"/>
      <c r="AM6" s="145" t="str">
        <f t="shared" ref="AM6" si="28" xml:space="preserve"> IF(AL6="", "", _xlfn.CONCAT(AL$2,$B6))</f>
        <v/>
      </c>
    </row>
    <row r="7" spans="2:39">
      <c r="B7" s="143" t="s">
        <v>1761</v>
      </c>
      <c r="C7" s="142" t="s">
        <v>63</v>
      </c>
      <c r="D7" s="4" t="s">
        <v>64</v>
      </c>
      <c r="E7" s="145" t="str">
        <f t="shared" si="0"/>
        <v>Nah</v>
      </c>
      <c r="F7" s="4" t="s">
        <v>65</v>
      </c>
      <c r="G7" s="145" t="str">
        <f t="shared" si="0"/>
        <v>hNah</v>
      </c>
      <c r="H7" s="4"/>
      <c r="I7" s="145" t="str">
        <f t="shared" ref="I7" si="29" xml:space="preserve"> IF(H7="", "", _xlfn.CONCAT(H$2,$B7))</f>
        <v/>
      </c>
      <c r="J7" s="4"/>
      <c r="K7" s="145" t="str">
        <f t="shared" ref="K7" si="30" xml:space="preserve"> IF(J7="", "", _xlfn.CONCAT(J$2,$B7))</f>
        <v/>
      </c>
      <c r="L7" s="4"/>
      <c r="M7" s="145" t="str">
        <f t="shared" ref="M7" si="31" xml:space="preserve"> IF(L7="", "", _xlfn.CONCAT(L$2,$B7))</f>
        <v/>
      </c>
      <c r="N7" s="4"/>
      <c r="O7" s="145" t="str">
        <f t="shared" ref="O7" si="32" xml:space="preserve"> IF(N7="", "", _xlfn.CONCAT(N$2,$B7))</f>
        <v/>
      </c>
      <c r="P7" s="4"/>
      <c r="Q7" s="145" t="str">
        <f t="shared" ref="Q7" si="33" xml:space="preserve"> IF(P7="", "", _xlfn.CONCAT(P$2,$B7))</f>
        <v/>
      </c>
      <c r="R7" s="4"/>
      <c r="S7" s="145" t="str">
        <f t="shared" ref="S7" si="34" xml:space="preserve"> IF(R7="", "", _xlfn.CONCAT(R$2,$B7))</f>
        <v/>
      </c>
      <c r="T7" s="4"/>
      <c r="U7" s="145" t="str">
        <f t="shared" ref="U7" si="35" xml:space="preserve"> IF(T7="", "", _xlfn.CONCAT(T$2,$B7))</f>
        <v/>
      </c>
      <c r="V7" s="4"/>
      <c r="W7" s="145" t="str">
        <f t="shared" ref="W7" si="36" xml:space="preserve"> IF(V7="", "", _xlfn.CONCAT(V$2,$B7))</f>
        <v/>
      </c>
      <c r="X7" s="4"/>
      <c r="Y7" s="145" t="str">
        <f t="shared" si="9"/>
        <v/>
      </c>
      <c r="Z7" s="4"/>
      <c r="AA7" s="145" t="str">
        <f t="shared" si="10"/>
        <v/>
      </c>
      <c r="AB7" s="4"/>
      <c r="AC7" s="145" t="str">
        <f t="shared" si="11"/>
        <v/>
      </c>
      <c r="AD7" s="4" t="s">
        <v>66</v>
      </c>
      <c r="AE7" s="145" t="str">
        <f t="shared" si="12"/>
        <v>sNah</v>
      </c>
      <c r="AF7" s="4"/>
      <c r="AG7" s="145" t="str">
        <f t="shared" ref="AG7" si="37" xml:space="preserve"> IF(AF7="", "", _xlfn.CONCAT(AF$2,$B7))</f>
        <v/>
      </c>
      <c r="AH7" s="4"/>
      <c r="AI7" s="145" t="str">
        <f t="shared" ref="AI7" si="38" xml:space="preserve"> IF(AH7="", "", _xlfn.CONCAT(AH$2,$B7))</f>
        <v/>
      </c>
      <c r="AJ7" s="4"/>
      <c r="AK7" s="145" t="str">
        <f t="shared" ref="AK7" si="39" xml:space="preserve"> IF(AJ7="", "", _xlfn.CONCAT(AJ$2,$B7))</f>
        <v/>
      </c>
      <c r="AL7" s="4"/>
      <c r="AM7" s="145" t="str">
        <f t="shared" ref="AM7" si="40" xml:space="preserve"> IF(AL7="", "", _xlfn.CONCAT(AL$2,$B7))</f>
        <v/>
      </c>
    </row>
    <row r="8" spans="2:39">
      <c r="B8" s="143" t="s">
        <v>1762</v>
      </c>
      <c r="C8" s="142" t="s">
        <v>67</v>
      </c>
      <c r="D8" s="4" t="s">
        <v>68</v>
      </c>
      <c r="E8" s="145" t="str">
        <f t="shared" si="0"/>
        <v>am</v>
      </c>
      <c r="F8" s="4" t="s">
        <v>69</v>
      </c>
      <c r="G8" s="145" t="str">
        <f t="shared" si="0"/>
        <v>ham</v>
      </c>
      <c r="H8" s="4"/>
      <c r="I8" s="145" t="str">
        <f t="shared" ref="I8" si="41" xml:space="preserve"> IF(H8="", "", _xlfn.CONCAT(H$2,$B8))</f>
        <v/>
      </c>
      <c r="J8" s="4"/>
      <c r="K8" s="145" t="str">
        <f t="shared" ref="K8" si="42" xml:space="preserve"> IF(J8="", "", _xlfn.CONCAT(J$2,$B8))</f>
        <v/>
      </c>
      <c r="L8" s="4"/>
      <c r="M8" s="145" t="str">
        <f t="shared" ref="M8" si="43" xml:space="preserve"> IF(L8="", "", _xlfn.CONCAT(L$2,$B8))</f>
        <v/>
      </c>
      <c r="N8" s="4"/>
      <c r="O8" s="145" t="str">
        <f t="shared" ref="O8" si="44" xml:space="preserve"> IF(N8="", "", _xlfn.CONCAT(N$2,$B8))</f>
        <v/>
      </c>
      <c r="P8" s="4" t="s">
        <v>70</v>
      </c>
      <c r="Q8" s="145" t="str">
        <f t="shared" ref="Q8" si="45" xml:space="preserve"> IF(P8="", "", _xlfn.CONCAT(P$2,$B8))</f>
        <v>dam</v>
      </c>
      <c r="R8" s="4" t="s">
        <v>71</v>
      </c>
      <c r="S8" s="145" t="str">
        <f t="shared" ref="S8" si="46" xml:space="preserve"> IF(R8="", "", _xlfn.CONCAT(R$2,$B8))</f>
        <v>tam</v>
      </c>
      <c r="T8" s="4"/>
      <c r="U8" s="145" t="str">
        <f t="shared" ref="U8" si="47" xml:space="preserve"> IF(T8="", "", _xlfn.CONCAT(T$2,$B8))</f>
        <v/>
      </c>
      <c r="V8" s="4" t="s">
        <v>72</v>
      </c>
      <c r="W8" s="145" t="str">
        <f t="shared" ref="W8" si="48" xml:space="preserve"> IF(V8="", "", _xlfn.CONCAT(V$2,$B8))</f>
        <v>lam</v>
      </c>
      <c r="X8" s="4" t="s">
        <v>73</v>
      </c>
      <c r="Y8" s="145" t="str">
        <f t="shared" si="9"/>
        <v>zam</v>
      </c>
      <c r="Z8" s="4" t="s">
        <v>74</v>
      </c>
      <c r="AA8" s="145" t="str">
        <f t="shared" si="10"/>
        <v>cam</v>
      </c>
      <c r="AB8" s="4"/>
      <c r="AC8" s="145" t="str">
        <f t="shared" si="11"/>
        <v/>
      </c>
      <c r="AD8" s="4" t="s">
        <v>75</v>
      </c>
      <c r="AE8" s="145" t="str">
        <f t="shared" si="12"/>
        <v>sam</v>
      </c>
      <c r="AF8" s="4" t="s">
        <v>76</v>
      </c>
      <c r="AG8" s="145" t="str">
        <f t="shared" ref="AG8" si="49" xml:space="preserve"> IF(AF8="", "", _xlfn.CONCAT(AF$2,$B8))</f>
        <v>gam</v>
      </c>
      <c r="AH8" s="4" t="s">
        <v>77</v>
      </c>
      <c r="AI8" s="145" t="str">
        <f t="shared" ref="AI8" si="50" xml:space="preserve"> IF(AH8="", "", _xlfn.CONCAT(AH$2,$B8))</f>
        <v>kam</v>
      </c>
      <c r="AJ8" s="4" t="s">
        <v>78</v>
      </c>
      <c r="AK8" s="145" t="str">
        <f t="shared" ref="AK8" si="51" xml:space="preserve"> IF(AJ8="", "", _xlfn.CONCAT(AJ$2,$B8))</f>
        <v>ggam</v>
      </c>
      <c r="AL8" s="4"/>
      <c r="AM8" s="145" t="str">
        <f t="shared" ref="AM8" si="52" xml:space="preserve"> IF(AL8="", "", _xlfn.CONCAT(AL$2,$B8))</f>
        <v/>
      </c>
    </row>
    <row r="9" spans="2:39">
      <c r="B9" s="143" t="s">
        <v>1763</v>
      </c>
      <c r="C9" s="142" t="s">
        <v>79</v>
      </c>
      <c r="D9" s="4" t="s">
        <v>80</v>
      </c>
      <c r="E9" s="145" t="str">
        <f t="shared" si="0"/>
        <v>an</v>
      </c>
      <c r="F9" s="4" t="s">
        <v>81</v>
      </c>
      <c r="G9" s="145" t="str">
        <f t="shared" si="0"/>
        <v>han</v>
      </c>
      <c r="H9" s="4" t="s">
        <v>82</v>
      </c>
      <c r="I9" s="145" t="str">
        <f t="shared" ref="I9" si="53" xml:space="preserve"> IF(H9="", "", _xlfn.CONCAT(H$2,$B9))</f>
        <v>ban</v>
      </c>
      <c r="J9" s="4" t="s">
        <v>83</v>
      </c>
      <c r="K9" s="145" t="str">
        <f t="shared" ref="K9" si="54" xml:space="preserve"> IF(J9="", "", _xlfn.CONCAT(J$2,$B9))</f>
        <v>pan</v>
      </c>
      <c r="L9" s="4" t="s">
        <v>84</v>
      </c>
      <c r="M9" s="145" t="str">
        <f t="shared" ref="M9" si="55" xml:space="preserve"> IF(L9="", "", _xlfn.CONCAT(L$2,$B9))</f>
        <v>bban</v>
      </c>
      <c r="N9" s="4"/>
      <c r="O9" s="145" t="str">
        <f t="shared" ref="O9" si="56" xml:space="preserve"> IF(N9="", "", _xlfn.CONCAT(N$2,$B9))</f>
        <v/>
      </c>
      <c r="P9" s="4" t="s">
        <v>85</v>
      </c>
      <c r="Q9" s="145" t="str">
        <f t="shared" ref="Q9" si="57" xml:space="preserve"> IF(P9="", "", _xlfn.CONCAT(P$2,$B9))</f>
        <v>dan</v>
      </c>
      <c r="R9" s="4" t="s">
        <v>86</v>
      </c>
      <c r="S9" s="145" t="str">
        <f t="shared" ref="S9" si="58" xml:space="preserve"> IF(R9="", "", _xlfn.CONCAT(R$2,$B9))</f>
        <v>tan</v>
      </c>
      <c r="T9" s="4"/>
      <c r="U9" s="145" t="str">
        <f t="shared" ref="U9" si="59" xml:space="preserve"> IF(T9="", "", _xlfn.CONCAT(T$2,$B9))</f>
        <v/>
      </c>
      <c r="V9" s="4" t="s">
        <v>87</v>
      </c>
      <c r="W9" s="145" t="str">
        <f t="shared" ref="W9" si="60" xml:space="preserve"> IF(V9="", "", _xlfn.CONCAT(V$2,$B9))</f>
        <v>lan</v>
      </c>
      <c r="X9" s="4" t="s">
        <v>88</v>
      </c>
      <c r="Y9" s="145" t="str">
        <f t="shared" si="9"/>
        <v>zan</v>
      </c>
      <c r="Z9" s="4" t="s">
        <v>89</v>
      </c>
      <c r="AA9" s="145" t="str">
        <f t="shared" si="10"/>
        <v>can</v>
      </c>
      <c r="AB9" s="4"/>
      <c r="AC9" s="145" t="str">
        <f t="shared" si="11"/>
        <v/>
      </c>
      <c r="AD9" s="4" t="s">
        <v>90</v>
      </c>
      <c r="AE9" s="145" t="str">
        <f t="shared" si="12"/>
        <v>san</v>
      </c>
      <c r="AF9" s="4" t="s">
        <v>91</v>
      </c>
      <c r="AG9" s="145" t="str">
        <f t="shared" ref="AG9" si="61" xml:space="preserve"> IF(AF9="", "", _xlfn.CONCAT(AF$2,$B9))</f>
        <v>gan</v>
      </c>
      <c r="AH9" s="4" t="s">
        <v>92</v>
      </c>
      <c r="AI9" s="145" t="str">
        <f t="shared" ref="AI9" si="62" xml:space="preserve"> IF(AH9="", "", _xlfn.CONCAT(AH$2,$B9))</f>
        <v>kan</v>
      </c>
      <c r="AJ9" s="4" t="s">
        <v>93</v>
      </c>
      <c r="AK9" s="145" t="str">
        <f t="shared" ref="AK9" si="63" xml:space="preserve"> IF(AJ9="", "", _xlfn.CONCAT(AJ$2,$B9))</f>
        <v>ggan</v>
      </c>
      <c r="AL9" s="4"/>
      <c r="AM9" s="145" t="str">
        <f t="shared" ref="AM9" si="64" xml:space="preserve"> IF(AL9="", "", _xlfn.CONCAT(AL$2,$B9))</f>
        <v/>
      </c>
    </row>
    <row r="10" spans="2:39">
      <c r="B10" s="143" t="s">
        <v>1764</v>
      </c>
      <c r="C10" s="142" t="s">
        <v>94</v>
      </c>
      <c r="D10" s="4" t="s">
        <v>95</v>
      </c>
      <c r="E10" s="145" t="str">
        <f t="shared" si="0"/>
        <v>ang</v>
      </c>
      <c r="F10" s="4" t="s">
        <v>96</v>
      </c>
      <c r="G10" s="145" t="str">
        <f t="shared" si="0"/>
        <v>hang</v>
      </c>
      <c r="H10" s="4" t="s">
        <v>97</v>
      </c>
      <c r="I10" s="145" t="str">
        <f t="shared" ref="I10" si="65" xml:space="preserve"> IF(H10="", "", _xlfn.CONCAT(H$2,$B10))</f>
        <v>bang</v>
      </c>
      <c r="J10" s="4" t="s">
        <v>98</v>
      </c>
      <c r="K10" s="145" t="str">
        <f t="shared" ref="K10" si="66" xml:space="preserve"> IF(J10="", "", _xlfn.CONCAT(J$2,$B10))</f>
        <v>pang</v>
      </c>
      <c r="L10" s="4" t="s">
        <v>99</v>
      </c>
      <c r="M10" s="145" t="str">
        <f t="shared" ref="M10" si="67" xml:space="preserve"> IF(L10="", "", _xlfn.CONCAT(L$2,$B10))</f>
        <v>bbang</v>
      </c>
      <c r="N10" s="4"/>
      <c r="O10" s="145" t="str">
        <f t="shared" ref="O10" si="68" xml:space="preserve"> IF(N10="", "", _xlfn.CONCAT(N$2,$B10))</f>
        <v/>
      </c>
      <c r="P10" s="4" t="s">
        <v>100</v>
      </c>
      <c r="Q10" s="145" t="str">
        <f t="shared" ref="Q10" si="69" xml:space="preserve"> IF(P10="", "", _xlfn.CONCAT(P$2,$B10))</f>
        <v>dang</v>
      </c>
      <c r="R10" s="4" t="s">
        <v>101</v>
      </c>
      <c r="S10" s="145" t="str">
        <f t="shared" ref="S10" si="70" xml:space="preserve"> IF(R10="", "", _xlfn.CONCAT(R$2,$B10))</f>
        <v>tang</v>
      </c>
      <c r="T10" s="4"/>
      <c r="U10" s="145" t="str">
        <f t="shared" ref="U10" si="71" xml:space="preserve"> IF(T10="", "", _xlfn.CONCAT(T$2,$B10))</f>
        <v/>
      </c>
      <c r="V10" s="4" t="s">
        <v>102</v>
      </c>
      <c r="W10" s="145" t="str">
        <f t="shared" ref="W10" si="72" xml:space="preserve"> IF(V10="", "", _xlfn.CONCAT(V$2,$B10))</f>
        <v>lang</v>
      </c>
      <c r="X10" s="4" t="s">
        <v>103</v>
      </c>
      <c r="Y10" s="145" t="str">
        <f t="shared" si="9"/>
        <v>zang</v>
      </c>
      <c r="Z10" s="4" t="s">
        <v>104</v>
      </c>
      <c r="AA10" s="145" t="str">
        <f t="shared" si="10"/>
        <v>cang</v>
      </c>
      <c r="AB10" s="4"/>
      <c r="AC10" s="145" t="str">
        <f t="shared" si="11"/>
        <v/>
      </c>
      <c r="AD10" s="4" t="s">
        <v>105</v>
      </c>
      <c r="AE10" s="145" t="str">
        <f t="shared" si="12"/>
        <v>sang</v>
      </c>
      <c r="AF10" s="4" t="s">
        <v>106</v>
      </c>
      <c r="AG10" s="145" t="str">
        <f t="shared" ref="AG10" si="73" xml:space="preserve"> IF(AF10="", "", _xlfn.CONCAT(AF$2,$B10))</f>
        <v>gang</v>
      </c>
      <c r="AH10" s="4" t="s">
        <v>107</v>
      </c>
      <c r="AI10" s="145" t="str">
        <f t="shared" ref="AI10" si="74" xml:space="preserve"> IF(AH10="", "", _xlfn.CONCAT(AH$2,$B10))</f>
        <v>kang</v>
      </c>
      <c r="AJ10" s="4" t="s">
        <v>108</v>
      </c>
      <c r="AK10" s="145" t="str">
        <f t="shared" ref="AK10" si="75" xml:space="preserve"> IF(AJ10="", "", _xlfn.CONCAT(AJ$2,$B10))</f>
        <v>ggang</v>
      </c>
      <c r="AL10" s="4"/>
      <c r="AM10" s="145" t="str">
        <f t="shared" ref="AM10" si="76" xml:space="preserve"> IF(AL10="", "", _xlfn.CONCAT(AL$2,$B10))</f>
        <v/>
      </c>
    </row>
    <row r="11" spans="2:39">
      <c r="B11" s="143" t="s">
        <v>1765</v>
      </c>
      <c r="C11" s="142" t="s">
        <v>109</v>
      </c>
      <c r="D11" s="4" t="s">
        <v>110</v>
      </c>
      <c r="E11" s="145" t="str">
        <f t="shared" si="0"/>
        <v>ap</v>
      </c>
      <c r="F11" s="4" t="s">
        <v>111</v>
      </c>
      <c r="G11" s="145" t="str">
        <f t="shared" si="0"/>
        <v>hap</v>
      </c>
      <c r="H11" s="4"/>
      <c r="I11" s="145" t="str">
        <f t="shared" ref="I11" si="77" xml:space="preserve"> IF(H11="", "", _xlfn.CONCAT(H$2,$B11))</f>
        <v/>
      </c>
      <c r="J11" s="4"/>
      <c r="K11" s="145" t="str">
        <f t="shared" ref="K11" si="78" xml:space="preserve"> IF(J11="", "", _xlfn.CONCAT(J$2,$B11))</f>
        <v/>
      </c>
      <c r="L11" s="4"/>
      <c r="M11" s="145" t="str">
        <f t="shared" ref="M11" si="79" xml:space="preserve"> IF(L11="", "", _xlfn.CONCAT(L$2,$B11))</f>
        <v/>
      </c>
      <c r="N11" s="4"/>
      <c r="O11" s="145" t="str">
        <f t="shared" ref="O11" si="80" xml:space="preserve"> IF(N11="", "", _xlfn.CONCAT(N$2,$B11))</f>
        <v/>
      </c>
      <c r="P11" s="4" t="s">
        <v>112</v>
      </c>
      <c r="Q11" s="145" t="str">
        <f t="shared" ref="Q11" si="81" xml:space="preserve"> IF(P11="", "", _xlfn.CONCAT(P$2,$B11))</f>
        <v>dap</v>
      </c>
      <c r="R11" s="4" t="s">
        <v>113</v>
      </c>
      <c r="S11" s="145" t="str">
        <f t="shared" ref="S11" si="82" xml:space="preserve"> IF(R11="", "", _xlfn.CONCAT(R$2,$B11))</f>
        <v>tap</v>
      </c>
      <c r="T11" s="4"/>
      <c r="U11" s="145" t="str">
        <f t="shared" ref="U11" si="83" xml:space="preserve"> IF(T11="", "", _xlfn.CONCAT(T$2,$B11))</f>
        <v/>
      </c>
      <c r="V11" s="4" t="s">
        <v>114</v>
      </c>
      <c r="W11" s="145" t="str">
        <f t="shared" ref="W11" si="84" xml:space="preserve"> IF(V11="", "", _xlfn.CONCAT(V$2,$B11))</f>
        <v>lap</v>
      </c>
      <c r="X11" s="4" t="s">
        <v>115</v>
      </c>
      <c r="Y11" s="145" t="str">
        <f t="shared" si="9"/>
        <v>zap</v>
      </c>
      <c r="Z11" s="4" t="s">
        <v>116</v>
      </c>
      <c r="AA11" s="145" t="str">
        <f t="shared" si="10"/>
        <v>cap</v>
      </c>
      <c r="AB11" s="4"/>
      <c r="AC11" s="145" t="str">
        <f t="shared" si="11"/>
        <v/>
      </c>
      <c r="AD11" s="4" t="s">
        <v>117</v>
      </c>
      <c r="AE11" s="145" t="str">
        <f t="shared" si="12"/>
        <v>sap</v>
      </c>
      <c r="AF11" s="4" t="s">
        <v>118</v>
      </c>
      <c r="AG11" s="145" t="str">
        <f t="shared" ref="AG11" si="85" xml:space="preserve"> IF(AF11="", "", _xlfn.CONCAT(AF$2,$B11))</f>
        <v>gap</v>
      </c>
      <c r="AH11" s="4" t="s">
        <v>119</v>
      </c>
      <c r="AI11" s="145" t="str">
        <f t="shared" ref="AI11" si="86" xml:space="preserve"> IF(AH11="", "", _xlfn.CONCAT(AH$2,$B11))</f>
        <v>kap</v>
      </c>
      <c r="AJ11" s="4"/>
      <c r="AK11" s="145" t="str">
        <f t="shared" ref="AK11" si="87" xml:space="preserve"> IF(AJ11="", "", _xlfn.CONCAT(AJ$2,$B11))</f>
        <v/>
      </c>
      <c r="AL11" s="4"/>
      <c r="AM11" s="145" t="str">
        <f t="shared" ref="AM11" si="88" xml:space="preserve"> IF(AL11="", "", _xlfn.CONCAT(AL$2,$B11))</f>
        <v/>
      </c>
    </row>
    <row r="12" spans="2:39">
      <c r="B12" s="143" t="s">
        <v>1766</v>
      </c>
      <c r="C12" s="142" t="s">
        <v>120</v>
      </c>
      <c r="D12" s="4" t="s">
        <v>121</v>
      </c>
      <c r="E12" s="145" t="str">
        <f t="shared" si="0"/>
        <v>at</v>
      </c>
      <c r="F12" s="4" t="s">
        <v>122</v>
      </c>
      <c r="G12" s="145" t="str">
        <f t="shared" si="0"/>
        <v>hat</v>
      </c>
      <c r="H12" s="4" t="s">
        <v>123</v>
      </c>
      <c r="I12" s="145" t="str">
        <f t="shared" ref="I12" si="89" xml:space="preserve"> IF(H12="", "", _xlfn.CONCAT(H$2,$B12))</f>
        <v>bat</v>
      </c>
      <c r="J12" s="4" t="s">
        <v>124</v>
      </c>
      <c r="K12" s="145" t="str">
        <f t="shared" ref="K12" si="90" xml:space="preserve"> IF(J12="", "", _xlfn.CONCAT(J$2,$B12))</f>
        <v>pat</v>
      </c>
      <c r="L12" s="4" t="s">
        <v>125</v>
      </c>
      <c r="M12" s="145" t="str">
        <f t="shared" ref="M12" si="91" xml:space="preserve"> IF(L12="", "", _xlfn.CONCAT(L$2,$B12))</f>
        <v>bbat</v>
      </c>
      <c r="N12" s="4"/>
      <c r="O12" s="145" t="str">
        <f t="shared" ref="O12" si="92" xml:space="preserve"> IF(N12="", "", _xlfn.CONCAT(N$2,$B12))</f>
        <v/>
      </c>
      <c r="P12" s="4" t="s">
        <v>126</v>
      </c>
      <c r="Q12" s="145" t="str">
        <f t="shared" ref="Q12" si="93" xml:space="preserve"> IF(P12="", "", _xlfn.CONCAT(P$2,$B12))</f>
        <v>dat</v>
      </c>
      <c r="R12" s="4" t="s">
        <v>127</v>
      </c>
      <c r="S12" s="145" t="str">
        <f t="shared" ref="S12" si="94" xml:space="preserve"> IF(R12="", "", _xlfn.CONCAT(R$2,$B12))</f>
        <v>tat</v>
      </c>
      <c r="T12" s="4"/>
      <c r="U12" s="145" t="str">
        <f t="shared" ref="U12" si="95" xml:space="preserve"> IF(T12="", "", _xlfn.CONCAT(T$2,$B12))</f>
        <v/>
      </c>
      <c r="V12" s="4" t="s">
        <v>128</v>
      </c>
      <c r="W12" s="145" t="str">
        <f t="shared" ref="W12" si="96" xml:space="preserve"> IF(V12="", "", _xlfn.CONCAT(V$2,$B12))</f>
        <v>lat</v>
      </c>
      <c r="X12" s="4" t="s">
        <v>129</v>
      </c>
      <c r="Y12" s="145" t="str">
        <f t="shared" si="9"/>
        <v>zat</v>
      </c>
      <c r="Z12" s="4" t="s">
        <v>130</v>
      </c>
      <c r="AA12" s="145" t="str">
        <f t="shared" si="10"/>
        <v>cat</v>
      </c>
      <c r="AB12" s="4"/>
      <c r="AC12" s="145" t="str">
        <f t="shared" si="11"/>
        <v/>
      </c>
      <c r="AD12" s="4" t="s">
        <v>131</v>
      </c>
      <c r="AE12" s="145" t="str">
        <f t="shared" si="12"/>
        <v>sat</v>
      </c>
      <c r="AF12" s="4" t="s">
        <v>132</v>
      </c>
      <c r="AG12" s="145" t="str">
        <f t="shared" ref="AG12" si="97" xml:space="preserve"> IF(AF12="", "", _xlfn.CONCAT(AF$2,$B12))</f>
        <v>gat</v>
      </c>
      <c r="AH12" s="4" t="s">
        <v>133</v>
      </c>
      <c r="AI12" s="145" t="str">
        <f t="shared" ref="AI12" si="98" xml:space="preserve"> IF(AH12="", "", _xlfn.CONCAT(AH$2,$B12))</f>
        <v>kat</v>
      </c>
      <c r="AJ12" s="4"/>
      <c r="AK12" s="145" t="str">
        <f t="shared" ref="AK12" si="99" xml:space="preserve"> IF(AJ12="", "", _xlfn.CONCAT(AJ$2,$B12))</f>
        <v/>
      </c>
      <c r="AL12" s="4"/>
      <c r="AM12" s="145" t="str">
        <f t="shared" ref="AM12" si="100" xml:space="preserve"> IF(AL12="", "", _xlfn.CONCAT(AL$2,$B12))</f>
        <v/>
      </c>
    </row>
    <row r="13" spans="2:39">
      <c r="B13" s="143" t="s">
        <v>1766</v>
      </c>
      <c r="C13" s="142" t="s">
        <v>134</v>
      </c>
      <c r="D13" s="4" t="s">
        <v>135</v>
      </c>
      <c r="E13" s="145" t="str">
        <f t="shared" si="0"/>
        <v>at</v>
      </c>
      <c r="F13" s="4" t="s">
        <v>136</v>
      </c>
      <c r="G13" s="145" t="str">
        <f t="shared" si="0"/>
        <v>hat</v>
      </c>
      <c r="H13" s="4" t="s">
        <v>137</v>
      </c>
      <c r="I13" s="145" t="str">
        <f t="shared" ref="I13" si="101" xml:space="preserve"> IF(H13="", "", _xlfn.CONCAT(H$2,$B13))</f>
        <v>bat</v>
      </c>
      <c r="J13" s="4" t="s">
        <v>138</v>
      </c>
      <c r="K13" s="145" t="str">
        <f t="shared" ref="K13" si="102" xml:space="preserve"> IF(J13="", "", _xlfn.CONCAT(J$2,$B13))</f>
        <v>pat</v>
      </c>
      <c r="L13" s="4" t="s">
        <v>139</v>
      </c>
      <c r="M13" s="145" t="str">
        <f t="shared" ref="M13" si="103" xml:space="preserve"> IF(L13="", "", _xlfn.CONCAT(L$2,$B13))</f>
        <v>bbat</v>
      </c>
      <c r="N13" s="4"/>
      <c r="O13" s="145" t="str">
        <f t="shared" ref="O13" si="104" xml:space="preserve"> IF(N13="", "", _xlfn.CONCAT(N$2,$B13))</f>
        <v/>
      </c>
      <c r="P13" s="4" t="s">
        <v>140</v>
      </c>
      <c r="Q13" s="145" t="str">
        <f t="shared" ref="Q13" si="105" xml:space="preserve"> IF(P13="", "", _xlfn.CONCAT(P$2,$B13))</f>
        <v>dat</v>
      </c>
      <c r="R13" s="4" t="s">
        <v>141</v>
      </c>
      <c r="S13" s="145" t="str">
        <f t="shared" ref="S13" si="106" xml:space="preserve"> IF(R13="", "", _xlfn.CONCAT(R$2,$B13))</f>
        <v>tat</v>
      </c>
      <c r="T13" s="4"/>
      <c r="U13" s="145" t="str">
        <f t="shared" ref="U13" si="107" xml:space="preserve"> IF(T13="", "", _xlfn.CONCAT(T$2,$B13))</f>
        <v/>
      </c>
      <c r="V13" s="4" t="s">
        <v>142</v>
      </c>
      <c r="W13" s="145" t="str">
        <f t="shared" ref="W13" si="108" xml:space="preserve"> IF(V13="", "", _xlfn.CONCAT(V$2,$B13))</f>
        <v>lat</v>
      </c>
      <c r="X13" s="4" t="s">
        <v>143</v>
      </c>
      <c r="Y13" s="145" t="str">
        <f t="shared" si="9"/>
        <v>zat</v>
      </c>
      <c r="Z13" s="4" t="s">
        <v>144</v>
      </c>
      <c r="AA13" s="145" t="str">
        <f t="shared" si="10"/>
        <v>cat</v>
      </c>
      <c r="AB13" s="4"/>
      <c r="AC13" s="145" t="str">
        <f t="shared" si="11"/>
        <v/>
      </c>
      <c r="AD13" s="4" t="s">
        <v>145</v>
      </c>
      <c r="AE13" s="145" t="str">
        <f t="shared" si="12"/>
        <v>sat</v>
      </c>
      <c r="AF13" s="4" t="s">
        <v>146</v>
      </c>
      <c r="AG13" s="145" t="str">
        <f t="shared" ref="AG13" si="109" xml:space="preserve"> IF(AF13="", "", _xlfn.CONCAT(AF$2,$B13))</f>
        <v>gat</v>
      </c>
      <c r="AH13" s="4" t="s">
        <v>147</v>
      </c>
      <c r="AI13" s="145" t="str">
        <f t="shared" ref="AI13" si="110" xml:space="preserve"> IF(AH13="", "", _xlfn.CONCAT(AH$2,$B13))</f>
        <v>kat</v>
      </c>
      <c r="AJ13" s="4" t="s">
        <v>148</v>
      </c>
      <c r="AK13" s="145" t="str">
        <f t="shared" ref="AK13" si="111" xml:space="preserve"> IF(AJ13="", "", _xlfn.CONCAT(AJ$2,$B13))</f>
        <v>ggat</v>
      </c>
      <c r="AL13" s="4"/>
      <c r="AM13" s="145" t="str">
        <f t="shared" ref="AM13" si="112" xml:space="preserve"> IF(AL13="", "", _xlfn.CONCAT(AL$2,$B13))</f>
        <v/>
      </c>
    </row>
    <row r="14" spans="2:39">
      <c r="B14" s="143" t="s">
        <v>1767</v>
      </c>
      <c r="C14" s="142" t="s">
        <v>149</v>
      </c>
      <c r="D14" s="4" t="s">
        <v>150</v>
      </c>
      <c r="E14" s="145" t="str">
        <f t="shared" si="0"/>
        <v>ai</v>
      </c>
      <c r="F14" s="4" t="s">
        <v>151</v>
      </c>
      <c r="G14" s="145" t="str">
        <f t="shared" si="0"/>
        <v>hai</v>
      </c>
      <c r="H14" s="4" t="s">
        <v>152</v>
      </c>
      <c r="I14" s="145" t="str">
        <f t="shared" ref="I14" si="113" xml:space="preserve"> IF(H14="", "", _xlfn.CONCAT(H$2,$B14))</f>
        <v>bai</v>
      </c>
      <c r="J14" s="4" t="s">
        <v>153</v>
      </c>
      <c r="K14" s="145" t="str">
        <f t="shared" ref="K14" si="114" xml:space="preserve"> IF(J14="", "", _xlfn.CONCAT(J$2,$B14))</f>
        <v>pai</v>
      </c>
      <c r="L14" s="4" t="s">
        <v>154</v>
      </c>
      <c r="M14" s="145" t="str">
        <f t="shared" ref="M14" si="115" xml:space="preserve"> IF(L14="", "", _xlfn.CONCAT(L$2,$B14))</f>
        <v>bbai</v>
      </c>
      <c r="N14" s="4" t="s">
        <v>155</v>
      </c>
      <c r="O14" s="145" t="str">
        <f t="shared" ref="O14" si="116" xml:space="preserve"> IF(N14="", "", _xlfn.CONCAT(N$2,$B14))</f>
        <v>mai</v>
      </c>
      <c r="P14" s="4" t="s">
        <v>156</v>
      </c>
      <c r="Q14" s="145" t="str">
        <f t="shared" ref="Q14" si="117" xml:space="preserve"> IF(P14="", "", _xlfn.CONCAT(P$2,$B14))</f>
        <v>dai</v>
      </c>
      <c r="R14" s="4" t="s">
        <v>157</v>
      </c>
      <c r="S14" s="145" t="str">
        <f t="shared" ref="S14" si="118" xml:space="preserve"> IF(R14="", "", _xlfn.CONCAT(R$2,$B14))</f>
        <v>tai</v>
      </c>
      <c r="T14" s="4" t="s">
        <v>158</v>
      </c>
      <c r="U14" s="145" t="str">
        <f t="shared" ref="U14" si="119" xml:space="preserve"> IF(T14="", "", _xlfn.CONCAT(T$2,$B14))</f>
        <v>nai</v>
      </c>
      <c r="V14" s="4" t="s">
        <v>159</v>
      </c>
      <c r="W14" s="145" t="str">
        <f t="shared" ref="W14" si="120" xml:space="preserve"> IF(V14="", "", _xlfn.CONCAT(V$2,$B14))</f>
        <v>lai</v>
      </c>
      <c r="X14" s="4" t="s">
        <v>160</v>
      </c>
      <c r="Y14" s="145" t="str">
        <f t="shared" si="9"/>
        <v>zai</v>
      </c>
      <c r="Z14" s="4" t="s">
        <v>161</v>
      </c>
      <c r="AA14" s="145" t="str">
        <f t="shared" si="10"/>
        <v>cai</v>
      </c>
      <c r="AB14" s="4"/>
      <c r="AC14" s="145" t="str">
        <f t="shared" si="11"/>
        <v/>
      </c>
      <c r="AD14" s="4" t="s">
        <v>162</v>
      </c>
      <c r="AE14" s="145" t="str">
        <f t="shared" si="12"/>
        <v>sai</v>
      </c>
      <c r="AF14" s="4" t="s">
        <v>163</v>
      </c>
      <c r="AG14" s="145" t="str">
        <f t="shared" ref="AG14" si="121" xml:space="preserve"> IF(AF14="", "", _xlfn.CONCAT(AF$2,$B14))</f>
        <v>gai</v>
      </c>
      <c r="AH14" s="4" t="s">
        <v>164</v>
      </c>
      <c r="AI14" s="145" t="str">
        <f t="shared" ref="AI14" si="122" xml:space="preserve"> IF(AH14="", "", _xlfn.CONCAT(AH$2,$B14))</f>
        <v>kai</v>
      </c>
      <c r="AJ14" s="4" t="s">
        <v>165</v>
      </c>
      <c r="AK14" s="145" t="str">
        <f t="shared" ref="AK14" si="123" xml:space="preserve"> IF(AJ14="", "", _xlfn.CONCAT(AJ$2,$B14))</f>
        <v>ggai</v>
      </c>
      <c r="AL14" s="4" t="s">
        <v>166</v>
      </c>
      <c r="AM14" s="145" t="str">
        <f t="shared" ref="AM14" si="124" xml:space="preserve"> IF(AL14="", "", _xlfn.CONCAT(AL$2,$B14))</f>
        <v>ngai</v>
      </c>
    </row>
    <row r="15" spans="2:39">
      <c r="B15" s="143" t="s">
        <v>1768</v>
      </c>
      <c r="C15" s="142" t="s">
        <v>167</v>
      </c>
      <c r="D15" s="4" t="s">
        <v>168</v>
      </c>
      <c r="E15" s="145" t="str">
        <f t="shared" si="0"/>
        <v>Nai</v>
      </c>
      <c r="F15" s="4" t="s">
        <v>169</v>
      </c>
      <c r="G15" s="145" t="str">
        <f t="shared" si="0"/>
        <v>hNai</v>
      </c>
      <c r="H15" s="4"/>
      <c r="I15" s="145" t="str">
        <f t="shared" ref="I15" si="125" xml:space="preserve"> IF(H15="", "", _xlfn.CONCAT(H$2,$B15))</f>
        <v/>
      </c>
      <c r="J15" s="4" t="s">
        <v>170</v>
      </c>
      <c r="K15" s="145" t="str">
        <f t="shared" ref="K15" si="126" xml:space="preserve"> IF(J15="", "", _xlfn.CONCAT(J$2,$B15))</f>
        <v>pNai</v>
      </c>
      <c r="L15" s="4"/>
      <c r="M15" s="145" t="str">
        <f t="shared" ref="M15" si="127" xml:space="preserve"> IF(L15="", "", _xlfn.CONCAT(L$2,$B15))</f>
        <v/>
      </c>
      <c r="N15" s="4"/>
      <c r="O15" s="145" t="str">
        <f t="shared" ref="O15" si="128" xml:space="preserve"> IF(N15="", "", _xlfn.CONCAT(N$2,$B15))</f>
        <v/>
      </c>
      <c r="P15" s="4" t="s">
        <v>171</v>
      </c>
      <c r="Q15" s="145" t="str">
        <f t="shared" ref="Q15" si="129" xml:space="preserve"> IF(P15="", "", _xlfn.CONCAT(P$2,$B15))</f>
        <v>dNai</v>
      </c>
      <c r="R15" s="4"/>
      <c r="S15" s="145" t="str">
        <f t="shared" ref="S15" si="130" xml:space="preserve"> IF(R15="", "", _xlfn.CONCAT(R$2,$B15))</f>
        <v/>
      </c>
      <c r="T15" s="4"/>
      <c r="U15" s="145" t="str">
        <f t="shared" ref="U15" si="131" xml:space="preserve"> IF(T15="", "", _xlfn.CONCAT(T$2,$B15))</f>
        <v/>
      </c>
      <c r="V15" s="4"/>
      <c r="W15" s="145" t="str">
        <f t="shared" ref="W15" si="132" xml:space="preserve"> IF(V15="", "", _xlfn.CONCAT(V$2,$B15))</f>
        <v/>
      </c>
      <c r="X15" s="4" t="s">
        <v>172</v>
      </c>
      <c r="Y15" s="145" t="str">
        <f t="shared" si="9"/>
        <v>zNai</v>
      </c>
      <c r="Z15" s="4"/>
      <c r="AA15" s="145" t="str">
        <f t="shared" si="10"/>
        <v/>
      </c>
      <c r="AB15" s="4"/>
      <c r="AC15" s="145" t="str">
        <f t="shared" si="11"/>
        <v/>
      </c>
      <c r="AD15" s="4"/>
      <c r="AE15" s="145" t="str">
        <f t="shared" si="12"/>
        <v/>
      </c>
      <c r="AF15" s="4" t="s">
        <v>173</v>
      </c>
      <c r="AG15" s="145" t="str">
        <f t="shared" ref="AG15" si="133" xml:space="preserve"> IF(AF15="", "", _xlfn.CONCAT(AF$2,$B15))</f>
        <v>gNai</v>
      </c>
      <c r="AH15" s="4" t="s">
        <v>174</v>
      </c>
      <c r="AI15" s="145" t="str">
        <f t="shared" ref="AI15" si="134" xml:space="preserve"> IF(AH15="", "", _xlfn.CONCAT(AH$2,$B15))</f>
        <v>kNai</v>
      </c>
      <c r="AJ15" s="4"/>
      <c r="AK15" s="145" t="str">
        <f t="shared" ref="AK15" si="135" xml:space="preserve"> IF(AJ15="", "", _xlfn.CONCAT(AJ$2,$B15))</f>
        <v/>
      </c>
      <c r="AL15" s="4"/>
      <c r="AM15" s="145" t="str">
        <f t="shared" ref="AM15" si="136" xml:space="preserve"> IF(AL15="", "", _xlfn.CONCAT(AL$2,$B15))</f>
        <v/>
      </c>
    </row>
    <row r="16" spans="2:39">
      <c r="B16" s="143" t="s">
        <v>1770</v>
      </c>
      <c r="C16" s="142" t="s">
        <v>175</v>
      </c>
      <c r="D16" s="4" t="s">
        <v>176</v>
      </c>
      <c r="E16" s="145" t="str">
        <f t="shared" si="0"/>
        <v>aih</v>
      </c>
      <c r="F16" s="4" t="s">
        <v>177</v>
      </c>
      <c r="G16" s="145" t="str">
        <f t="shared" si="0"/>
        <v>haih</v>
      </c>
      <c r="H16" s="4"/>
      <c r="I16" s="145" t="str">
        <f t="shared" ref="I16" si="137" xml:space="preserve"> IF(H16="", "", _xlfn.CONCAT(H$2,$B16))</f>
        <v/>
      </c>
      <c r="J16" s="4"/>
      <c r="K16" s="145" t="str">
        <f t="shared" ref="K16" si="138" xml:space="preserve"> IF(J16="", "", _xlfn.CONCAT(J$2,$B16))</f>
        <v/>
      </c>
      <c r="L16" s="4"/>
      <c r="M16" s="145" t="str">
        <f t="shared" ref="M16" si="139" xml:space="preserve"> IF(L16="", "", _xlfn.CONCAT(L$2,$B16))</f>
        <v/>
      </c>
      <c r="N16" s="4"/>
      <c r="O16" s="145" t="str">
        <f t="shared" ref="O16" si="140" xml:space="preserve"> IF(N16="", "", _xlfn.CONCAT(N$2,$B16))</f>
        <v/>
      </c>
      <c r="P16" s="4"/>
      <c r="Q16" s="145" t="str">
        <f t="shared" ref="Q16" si="141" xml:space="preserve"> IF(P16="", "", _xlfn.CONCAT(P$2,$B16))</f>
        <v/>
      </c>
      <c r="R16" s="4"/>
      <c r="S16" s="145" t="str">
        <f t="shared" ref="S16" si="142" xml:space="preserve"> IF(R16="", "", _xlfn.CONCAT(R$2,$B16))</f>
        <v/>
      </c>
      <c r="T16" s="4"/>
      <c r="U16" s="145" t="str">
        <f t="shared" ref="U16" si="143" xml:space="preserve"> IF(T16="", "", _xlfn.CONCAT(T$2,$B16))</f>
        <v/>
      </c>
      <c r="V16" s="4" t="s">
        <v>178</v>
      </c>
      <c r="W16" s="145" t="str">
        <f t="shared" ref="W16" si="144" xml:space="preserve"> IF(V16="", "", _xlfn.CONCAT(V$2,$B16))</f>
        <v>laih</v>
      </c>
      <c r="X16" s="4"/>
      <c r="Y16" s="145" t="str">
        <f t="shared" si="9"/>
        <v/>
      </c>
      <c r="Z16" s="4"/>
      <c r="AA16" s="145" t="str">
        <f t="shared" si="10"/>
        <v/>
      </c>
      <c r="AB16" s="4"/>
      <c r="AC16" s="145" t="str">
        <f t="shared" si="11"/>
        <v/>
      </c>
      <c r="AD16" s="4" t="s">
        <v>179</v>
      </c>
      <c r="AE16" s="145" t="str">
        <f t="shared" si="12"/>
        <v>saih</v>
      </c>
      <c r="AF16" s="4"/>
      <c r="AG16" s="145" t="str">
        <f t="shared" ref="AG16" si="145" xml:space="preserve"> IF(AF16="", "", _xlfn.CONCAT(AF$2,$B16))</f>
        <v/>
      </c>
      <c r="AH16" s="4"/>
      <c r="AI16" s="145" t="str">
        <f t="shared" ref="AI16" si="146" xml:space="preserve"> IF(AH16="", "", _xlfn.CONCAT(AH$2,$B16))</f>
        <v/>
      </c>
      <c r="AJ16" s="4"/>
      <c r="AK16" s="145" t="str">
        <f t="shared" ref="AK16" si="147" xml:space="preserve"> IF(AJ16="", "", _xlfn.CONCAT(AJ$2,$B16))</f>
        <v/>
      </c>
      <c r="AL16" s="4"/>
      <c r="AM16" s="145" t="str">
        <f t="shared" ref="AM16" si="148" xml:space="preserve"> IF(AL16="", "", _xlfn.CONCAT(AL$2,$B16))</f>
        <v/>
      </c>
    </row>
    <row r="17" spans="2:39">
      <c r="B17" s="143" t="s">
        <v>1771</v>
      </c>
      <c r="C17" s="142" t="s">
        <v>180</v>
      </c>
      <c r="D17" s="4" t="s">
        <v>181</v>
      </c>
      <c r="E17" s="145" t="str">
        <f t="shared" si="0"/>
        <v>au</v>
      </c>
      <c r="F17" s="4" t="s">
        <v>182</v>
      </c>
      <c r="G17" s="145" t="str">
        <f t="shared" si="0"/>
        <v>hau</v>
      </c>
      <c r="H17" s="4" t="s">
        <v>183</v>
      </c>
      <c r="I17" s="145" t="str">
        <f t="shared" ref="I17" si="149" xml:space="preserve"> IF(H17="", "", _xlfn.CONCAT(H$2,$B17))</f>
        <v>bau</v>
      </c>
      <c r="J17" s="4" t="s">
        <v>184</v>
      </c>
      <c r="K17" s="145" t="str">
        <f t="shared" ref="K17" si="150" xml:space="preserve"> IF(J17="", "", _xlfn.CONCAT(J$2,$B17))</f>
        <v>pau</v>
      </c>
      <c r="L17" s="4" t="s">
        <v>185</v>
      </c>
      <c r="M17" s="145" t="str">
        <f t="shared" ref="M17" si="151" xml:space="preserve"> IF(L17="", "", _xlfn.CONCAT(L$2,$B17))</f>
        <v>bbau</v>
      </c>
      <c r="N17" s="4" t="s">
        <v>186</v>
      </c>
      <c r="O17" s="145" t="str">
        <f t="shared" ref="O17" si="152" xml:space="preserve"> IF(N17="", "", _xlfn.CONCAT(N$2,$B17))</f>
        <v>mau</v>
      </c>
      <c r="P17" s="4" t="s">
        <v>187</v>
      </c>
      <c r="Q17" s="145" t="str">
        <f t="shared" ref="Q17" si="153" xml:space="preserve"> IF(P17="", "", _xlfn.CONCAT(P$2,$B17))</f>
        <v>dau</v>
      </c>
      <c r="R17" s="4" t="s">
        <v>188</v>
      </c>
      <c r="S17" s="145" t="str">
        <f t="shared" ref="S17" si="154" xml:space="preserve"> IF(R17="", "", _xlfn.CONCAT(R$2,$B17))</f>
        <v>tau</v>
      </c>
      <c r="T17" s="4" t="s">
        <v>189</v>
      </c>
      <c r="U17" s="145" t="str">
        <f t="shared" ref="U17" si="155" xml:space="preserve"> IF(T17="", "", _xlfn.CONCAT(T$2,$B17))</f>
        <v>nau</v>
      </c>
      <c r="V17" s="4" t="s">
        <v>190</v>
      </c>
      <c r="W17" s="145" t="str">
        <f t="shared" ref="W17" si="156" xml:space="preserve"> IF(V17="", "", _xlfn.CONCAT(V$2,$B17))</f>
        <v>lau</v>
      </c>
      <c r="X17" s="4" t="s">
        <v>191</v>
      </c>
      <c r="Y17" s="145" t="str">
        <f t="shared" si="9"/>
        <v>zau</v>
      </c>
      <c r="Z17" s="4" t="s">
        <v>192</v>
      </c>
      <c r="AA17" s="145" t="str">
        <f t="shared" si="10"/>
        <v>cau</v>
      </c>
      <c r="AB17" s="4"/>
      <c r="AC17" s="145" t="str">
        <f t="shared" si="11"/>
        <v/>
      </c>
      <c r="AD17" s="4" t="s">
        <v>193</v>
      </c>
      <c r="AE17" s="145" t="str">
        <f t="shared" si="12"/>
        <v>sau</v>
      </c>
      <c r="AF17" s="4" t="s">
        <v>194</v>
      </c>
      <c r="AG17" s="145" t="str">
        <f t="shared" ref="AG17" si="157" xml:space="preserve"> IF(AF17="", "", _xlfn.CONCAT(AF$2,$B17))</f>
        <v>gau</v>
      </c>
      <c r="AH17" s="4" t="s">
        <v>195</v>
      </c>
      <c r="AI17" s="145" t="str">
        <f t="shared" ref="AI17" si="158" xml:space="preserve"> IF(AH17="", "", _xlfn.CONCAT(AH$2,$B17))</f>
        <v>kau</v>
      </c>
      <c r="AJ17" s="4" t="s">
        <v>196</v>
      </c>
      <c r="AK17" s="145" t="str">
        <f t="shared" ref="AK17" si="159" xml:space="preserve"> IF(AJ17="", "", _xlfn.CONCAT(AJ$2,$B17))</f>
        <v>ggau</v>
      </c>
      <c r="AL17" s="4" t="s">
        <v>197</v>
      </c>
      <c r="AM17" s="145" t="str">
        <f t="shared" ref="AM17" si="160" xml:space="preserve"> IF(AL17="", "", _xlfn.CONCAT(AL$2,$B17))</f>
        <v>ngau</v>
      </c>
    </row>
    <row r="18" spans="2:39">
      <c r="B18" s="143" t="s">
        <v>1772</v>
      </c>
      <c r="C18" s="142" t="s">
        <v>198</v>
      </c>
      <c r="D18" s="4" t="s">
        <v>199</v>
      </c>
      <c r="E18" s="145" t="str">
        <f t="shared" si="0"/>
        <v>auh</v>
      </c>
      <c r="F18" s="4"/>
      <c r="G18" s="145" t="str">
        <f t="shared" si="0"/>
        <v/>
      </c>
      <c r="H18" s="4"/>
      <c r="I18" s="145" t="str">
        <f t="shared" ref="I18" si="161" xml:space="preserve"> IF(H18="", "", _xlfn.CONCAT(H$2,$B18))</f>
        <v/>
      </c>
      <c r="J18" s="4" t="s">
        <v>200</v>
      </c>
      <c r="K18" s="145" t="str">
        <f t="shared" ref="K18" si="162" xml:space="preserve"> IF(J18="", "", _xlfn.CONCAT(J$2,$B18))</f>
        <v>pauh</v>
      </c>
      <c r="L18" s="4"/>
      <c r="M18" s="145" t="str">
        <f t="shared" ref="M18" si="163" xml:space="preserve"> IF(L18="", "", _xlfn.CONCAT(L$2,$B18))</f>
        <v/>
      </c>
      <c r="N18" s="4" t="s">
        <v>201</v>
      </c>
      <c r="O18" s="145" t="str">
        <f t="shared" ref="O18" si="164" xml:space="preserve"> IF(N18="", "", _xlfn.CONCAT(N$2,$B18))</f>
        <v>mauh</v>
      </c>
      <c r="P18" s="4" t="s">
        <v>202</v>
      </c>
      <c r="Q18" s="145" t="str">
        <f t="shared" ref="Q18" si="165" xml:space="preserve"> IF(P18="", "", _xlfn.CONCAT(P$2,$B18))</f>
        <v>dauh</v>
      </c>
      <c r="R18" s="4"/>
      <c r="S18" s="145" t="str">
        <f t="shared" ref="S18" si="166" xml:space="preserve"> IF(R18="", "", _xlfn.CONCAT(R$2,$B18))</f>
        <v/>
      </c>
      <c r="T18" s="4" t="s">
        <v>203</v>
      </c>
      <c r="U18" s="145" t="str">
        <f t="shared" ref="U18" si="167" xml:space="preserve"> IF(T18="", "", _xlfn.CONCAT(T$2,$B18))</f>
        <v>nauh</v>
      </c>
      <c r="V18" s="4" t="s">
        <v>204</v>
      </c>
      <c r="W18" s="145" t="str">
        <f t="shared" ref="W18" si="168" xml:space="preserve"> IF(V18="", "", _xlfn.CONCAT(V$2,$B18))</f>
        <v>lauh</v>
      </c>
      <c r="X18" s="4"/>
      <c r="Y18" s="145" t="str">
        <f t="shared" si="9"/>
        <v/>
      </c>
      <c r="Z18" s="4" t="s">
        <v>205</v>
      </c>
      <c r="AA18" s="145" t="str">
        <f t="shared" si="10"/>
        <v>cauh</v>
      </c>
      <c r="AB18" s="4"/>
      <c r="AC18" s="145" t="str">
        <f t="shared" si="11"/>
        <v/>
      </c>
      <c r="AD18" s="4"/>
      <c r="AE18" s="145" t="str">
        <f t="shared" si="12"/>
        <v/>
      </c>
      <c r="AF18" s="4" t="s">
        <v>206</v>
      </c>
      <c r="AG18" s="145" t="str">
        <f t="shared" ref="AG18" si="169" xml:space="preserve"> IF(AF18="", "", _xlfn.CONCAT(AF$2,$B18))</f>
        <v>gauh</v>
      </c>
      <c r="AH18" s="4"/>
      <c r="AI18" s="145" t="str">
        <f t="shared" ref="AI18" si="170" xml:space="preserve"> IF(AH18="", "", _xlfn.CONCAT(AH$2,$B18))</f>
        <v/>
      </c>
      <c r="AJ18" s="4"/>
      <c r="AK18" s="145" t="str">
        <f t="shared" ref="AK18" si="171" xml:space="preserve"> IF(AJ18="", "", _xlfn.CONCAT(AJ$2,$B18))</f>
        <v/>
      </c>
      <c r="AL18" s="4" t="s">
        <v>207</v>
      </c>
      <c r="AM18" s="145" t="str">
        <f t="shared" ref="AM18" si="172" xml:space="preserve"> IF(AL18="", "", _xlfn.CONCAT(AL$2,$B18))</f>
        <v>ngauh</v>
      </c>
    </row>
    <row r="19" spans="2:39">
      <c r="B19" s="143" t="s">
        <v>1773</v>
      </c>
      <c r="C19" s="142" t="s">
        <v>208</v>
      </c>
      <c r="D19" s="4" t="s">
        <v>209</v>
      </c>
      <c r="E19" s="145" t="str">
        <f t="shared" si="0"/>
        <v>e</v>
      </c>
      <c r="F19" s="4" t="s">
        <v>210</v>
      </c>
      <c r="G19" s="145" t="str">
        <f t="shared" si="0"/>
        <v>he</v>
      </c>
      <c r="H19" s="4" t="s">
        <v>211</v>
      </c>
      <c r="I19" s="145" t="str">
        <f t="shared" ref="I19" si="173" xml:space="preserve"> IF(H19="", "", _xlfn.CONCAT(H$2,$B19))</f>
        <v>be</v>
      </c>
      <c r="J19" s="4" t="s">
        <v>212</v>
      </c>
      <c r="K19" s="145" t="str">
        <f t="shared" ref="K19" si="174" xml:space="preserve"> IF(J19="", "", _xlfn.CONCAT(J$2,$B19))</f>
        <v>pe</v>
      </c>
      <c r="L19" s="4" t="s">
        <v>213</v>
      </c>
      <c r="M19" s="145" t="str">
        <f t="shared" ref="M19" si="175" xml:space="preserve"> IF(L19="", "", _xlfn.CONCAT(L$2,$B19))</f>
        <v>bbe</v>
      </c>
      <c r="N19" s="4" t="s">
        <v>214</v>
      </c>
      <c r="O19" s="145" t="str">
        <f t="shared" ref="O19" si="176" xml:space="preserve"> IF(N19="", "", _xlfn.CONCAT(N$2,$B19))</f>
        <v>me</v>
      </c>
      <c r="P19" s="4" t="s">
        <v>215</v>
      </c>
      <c r="Q19" s="145" t="str">
        <f t="shared" ref="Q19" si="177" xml:space="preserve"> IF(P19="", "", _xlfn.CONCAT(P$2,$B19))</f>
        <v>de</v>
      </c>
      <c r="R19" s="4" t="s">
        <v>216</v>
      </c>
      <c r="S19" s="145" t="str">
        <f t="shared" ref="S19" si="178" xml:space="preserve"> IF(R19="", "", _xlfn.CONCAT(R$2,$B19))</f>
        <v>te</v>
      </c>
      <c r="T19" s="4" t="s">
        <v>217</v>
      </c>
      <c r="U19" s="145" t="str">
        <f t="shared" ref="U19" si="179" xml:space="preserve"> IF(T19="", "", _xlfn.CONCAT(T$2,$B19))</f>
        <v>ne</v>
      </c>
      <c r="V19" s="4" t="s">
        <v>218</v>
      </c>
      <c r="W19" s="145" t="str">
        <f t="shared" ref="W19" si="180" xml:space="preserve"> IF(V19="", "", _xlfn.CONCAT(V$2,$B19))</f>
        <v>le</v>
      </c>
      <c r="X19" s="4" t="s">
        <v>219</v>
      </c>
      <c r="Y19" s="145" t="str">
        <f t="shared" si="9"/>
        <v>ze</v>
      </c>
      <c r="Z19" s="4" t="s">
        <v>220</v>
      </c>
      <c r="AA19" s="145" t="str">
        <f t="shared" si="10"/>
        <v>ce</v>
      </c>
      <c r="AB19" s="4"/>
      <c r="AC19" s="145" t="str">
        <f t="shared" si="11"/>
        <v/>
      </c>
      <c r="AD19" s="4" t="s">
        <v>221</v>
      </c>
      <c r="AE19" s="145" t="str">
        <f t="shared" si="12"/>
        <v>se</v>
      </c>
      <c r="AF19" s="4" t="s">
        <v>222</v>
      </c>
      <c r="AG19" s="145" t="str">
        <f t="shared" ref="AG19" si="181" xml:space="preserve"> IF(AF19="", "", _xlfn.CONCAT(AF$2,$B19))</f>
        <v>ge</v>
      </c>
      <c r="AH19" s="4" t="s">
        <v>223</v>
      </c>
      <c r="AI19" s="145" t="str">
        <f t="shared" ref="AI19" si="182" xml:space="preserve"> IF(AH19="", "", _xlfn.CONCAT(AH$2,$B19))</f>
        <v>ke</v>
      </c>
      <c r="AJ19" s="4" t="s">
        <v>224</v>
      </c>
      <c r="AK19" s="145" t="str">
        <f t="shared" ref="AK19" si="183" xml:space="preserve"> IF(AJ19="", "", _xlfn.CONCAT(AJ$2,$B19))</f>
        <v>gge</v>
      </c>
      <c r="AL19" s="4" t="s">
        <v>225</v>
      </c>
      <c r="AM19" s="145" t="str">
        <f t="shared" ref="AM19" si="184" xml:space="preserve"> IF(AL19="", "", _xlfn.CONCAT(AL$2,$B19))</f>
        <v>nge</v>
      </c>
    </row>
    <row r="20" spans="2:39">
      <c r="B20" s="143" t="s">
        <v>1774</v>
      </c>
      <c r="C20" s="142" t="s">
        <v>226</v>
      </c>
      <c r="D20" s="4" t="s">
        <v>227</v>
      </c>
      <c r="E20" s="145" t="str">
        <f t="shared" si="0"/>
        <v>Ne</v>
      </c>
      <c r="F20" s="4" t="s">
        <v>228</v>
      </c>
      <c r="G20" s="145" t="str">
        <f t="shared" si="0"/>
        <v>hNe</v>
      </c>
      <c r="H20" s="4" t="s">
        <v>229</v>
      </c>
      <c r="I20" s="145" t="str">
        <f t="shared" ref="I20" si="185" xml:space="preserve"> IF(H20="", "", _xlfn.CONCAT(H$2,$B20))</f>
        <v>bNe</v>
      </c>
      <c r="J20" s="4" t="s">
        <v>230</v>
      </c>
      <c r="K20" s="145" t="str">
        <f t="shared" ref="K20" si="186" xml:space="preserve"> IF(J20="", "", _xlfn.CONCAT(J$2,$B20))</f>
        <v>pNe</v>
      </c>
      <c r="L20" s="4"/>
      <c r="M20" s="145" t="str">
        <f t="shared" ref="M20" si="187" xml:space="preserve"> IF(L20="", "", _xlfn.CONCAT(L$2,$B20))</f>
        <v/>
      </c>
      <c r="N20" s="4"/>
      <c r="O20" s="145" t="str">
        <f t="shared" ref="O20" si="188" xml:space="preserve"> IF(N20="", "", _xlfn.CONCAT(N$2,$B20))</f>
        <v/>
      </c>
      <c r="P20" s="4" t="s">
        <v>231</v>
      </c>
      <c r="Q20" s="145" t="str">
        <f t="shared" ref="Q20" si="189" xml:space="preserve"> IF(P20="", "", _xlfn.CONCAT(P$2,$B20))</f>
        <v>dNe</v>
      </c>
      <c r="R20" s="4" t="s">
        <v>232</v>
      </c>
      <c r="S20" s="145" t="str">
        <f t="shared" ref="S20" si="190" xml:space="preserve"> IF(R20="", "", _xlfn.CONCAT(R$2,$B20))</f>
        <v>tNe</v>
      </c>
      <c r="T20" s="4"/>
      <c r="U20" s="145" t="str">
        <f t="shared" ref="U20" si="191" xml:space="preserve"> IF(T20="", "", _xlfn.CONCAT(T$2,$B20))</f>
        <v/>
      </c>
      <c r="V20" s="4"/>
      <c r="W20" s="145" t="str">
        <f t="shared" ref="W20" si="192" xml:space="preserve"> IF(V20="", "", _xlfn.CONCAT(V$2,$B20))</f>
        <v/>
      </c>
      <c r="X20" s="4" t="s">
        <v>233</v>
      </c>
      <c r="Y20" s="145" t="str">
        <f t="shared" si="9"/>
        <v>zNe</v>
      </c>
      <c r="Z20" s="4" t="s">
        <v>234</v>
      </c>
      <c r="AA20" s="145" t="str">
        <f t="shared" si="10"/>
        <v>cNe</v>
      </c>
      <c r="AB20" s="4"/>
      <c r="AC20" s="145" t="str">
        <f t="shared" si="11"/>
        <v/>
      </c>
      <c r="AD20" s="4" t="s">
        <v>235</v>
      </c>
      <c r="AE20" s="145" t="str">
        <f t="shared" si="12"/>
        <v>sNe</v>
      </c>
      <c r="AF20" s="4" t="s">
        <v>236</v>
      </c>
      <c r="AG20" s="145" t="str">
        <f t="shared" ref="AG20" si="193" xml:space="preserve"> IF(AF20="", "", _xlfn.CONCAT(AF$2,$B20))</f>
        <v>gNe</v>
      </c>
      <c r="AH20" s="4" t="s">
        <v>237</v>
      </c>
      <c r="AI20" s="145" t="str">
        <f t="shared" ref="AI20" si="194" xml:space="preserve"> IF(AH20="", "", _xlfn.CONCAT(AH$2,$B20))</f>
        <v>kNe</v>
      </c>
      <c r="AJ20" s="4"/>
      <c r="AK20" s="145" t="str">
        <f t="shared" ref="AK20" si="195" xml:space="preserve"> IF(AJ20="", "", _xlfn.CONCAT(AJ$2,$B20))</f>
        <v/>
      </c>
      <c r="AL20" s="4"/>
      <c r="AM20" s="145" t="str">
        <f t="shared" ref="AM20" si="196" xml:space="preserve"> IF(AL20="", "", _xlfn.CONCAT(AL$2,$B20))</f>
        <v/>
      </c>
    </row>
    <row r="21" spans="2:39">
      <c r="B21" s="143" t="s">
        <v>1775</v>
      </c>
      <c r="C21" s="142" t="s">
        <v>238</v>
      </c>
      <c r="D21" s="4" t="s">
        <v>239</v>
      </c>
      <c r="E21" s="145" t="str">
        <f t="shared" si="0"/>
        <v>eh</v>
      </c>
      <c r="F21" s="4" t="s">
        <v>240</v>
      </c>
      <c r="G21" s="145" t="str">
        <f t="shared" si="0"/>
        <v>heh</v>
      </c>
      <c r="H21" s="4" t="s">
        <v>241</v>
      </c>
      <c r="I21" s="145" t="str">
        <f t="shared" ref="I21" si="197" xml:space="preserve"> IF(H21="", "", _xlfn.CONCAT(H$2,$B21))</f>
        <v>beh</v>
      </c>
      <c r="J21" s="4" t="s">
        <v>242</v>
      </c>
      <c r="K21" s="145" t="str">
        <f t="shared" ref="K21" si="198" xml:space="preserve"> IF(J21="", "", _xlfn.CONCAT(J$2,$B21))</f>
        <v>peh</v>
      </c>
      <c r="L21" s="4" t="s">
        <v>243</v>
      </c>
      <c r="M21" s="145" t="str">
        <f t="shared" ref="M21" si="199" xml:space="preserve"> IF(L21="", "", _xlfn.CONCAT(L$2,$B21))</f>
        <v>bbeh</v>
      </c>
      <c r="N21" s="4" t="s">
        <v>244</v>
      </c>
      <c r="O21" s="145" t="str">
        <f t="shared" ref="O21" si="200" xml:space="preserve"> IF(N21="", "", _xlfn.CONCAT(N$2,$B21))</f>
        <v>meh</v>
      </c>
      <c r="P21" s="4" t="s">
        <v>245</v>
      </c>
      <c r="Q21" s="145" t="str">
        <f t="shared" ref="Q21" si="201" xml:space="preserve"> IF(P21="", "", _xlfn.CONCAT(P$2,$B21))</f>
        <v>deh</v>
      </c>
      <c r="R21" s="4" t="s">
        <v>246</v>
      </c>
      <c r="S21" s="145" t="str">
        <f t="shared" ref="S21" si="202" xml:space="preserve"> IF(R21="", "", _xlfn.CONCAT(R$2,$B21))</f>
        <v>teh</v>
      </c>
      <c r="T21" s="4" t="s">
        <v>247</v>
      </c>
      <c r="U21" s="145" t="str">
        <f t="shared" ref="U21" si="203" xml:space="preserve"> IF(T21="", "", _xlfn.CONCAT(T$2,$B21))</f>
        <v>neh</v>
      </c>
      <c r="V21" s="4" t="s">
        <v>248</v>
      </c>
      <c r="W21" s="145" t="str">
        <f t="shared" ref="W21" si="204" xml:space="preserve"> IF(V21="", "", _xlfn.CONCAT(V$2,$B21))</f>
        <v>leh</v>
      </c>
      <c r="X21" s="4" t="s">
        <v>249</v>
      </c>
      <c r="Y21" s="145" t="str">
        <f t="shared" si="9"/>
        <v>zeh</v>
      </c>
      <c r="Z21" s="4" t="s">
        <v>250</v>
      </c>
      <c r="AA21" s="145" t="str">
        <f t="shared" si="10"/>
        <v>ceh</v>
      </c>
      <c r="AB21" s="4"/>
      <c r="AC21" s="145" t="str">
        <f t="shared" si="11"/>
        <v/>
      </c>
      <c r="AD21" s="4" t="s">
        <v>251</v>
      </c>
      <c r="AE21" s="145" t="str">
        <f t="shared" si="12"/>
        <v>seh</v>
      </c>
      <c r="AF21" s="4" t="s">
        <v>252</v>
      </c>
      <c r="AG21" s="145" t="str">
        <f t="shared" ref="AG21" si="205" xml:space="preserve"> IF(AF21="", "", _xlfn.CONCAT(AF$2,$B21))</f>
        <v>geh</v>
      </c>
      <c r="AH21" s="4" t="s">
        <v>253</v>
      </c>
      <c r="AI21" s="145" t="str">
        <f t="shared" ref="AI21" si="206" xml:space="preserve"> IF(AH21="", "", _xlfn.CONCAT(AH$2,$B21))</f>
        <v>keh</v>
      </c>
      <c r="AJ21" s="4" t="s">
        <v>254</v>
      </c>
      <c r="AK21" s="145" t="str">
        <f t="shared" ref="AK21" si="207" xml:space="preserve"> IF(AJ21="", "", _xlfn.CONCAT(AJ$2,$B21))</f>
        <v>ggeh</v>
      </c>
      <c r="AL21" s="4" t="s">
        <v>255</v>
      </c>
      <c r="AM21" s="145" t="str">
        <f t="shared" ref="AM21" si="208" xml:space="preserve"> IF(AL21="", "", _xlfn.CONCAT(AL$2,$B21))</f>
        <v>ngeh</v>
      </c>
    </row>
    <row r="22" spans="2:39">
      <c r="B22" s="143" t="s">
        <v>1776</v>
      </c>
      <c r="C22" s="142" t="s">
        <v>256</v>
      </c>
      <c r="D22" s="4" t="s">
        <v>257</v>
      </c>
      <c r="E22" s="145" t="str">
        <f t="shared" si="0"/>
        <v>Neh</v>
      </c>
      <c r="F22" s="4" t="s">
        <v>258</v>
      </c>
      <c r="G22" s="145" t="str">
        <f t="shared" si="0"/>
        <v>hNeh</v>
      </c>
      <c r="H22" s="4"/>
      <c r="I22" s="145" t="str">
        <f t="shared" ref="I22" si="209" xml:space="preserve"> IF(H22="", "", _xlfn.CONCAT(H$2,$B22))</f>
        <v/>
      </c>
      <c r="J22" s="4"/>
      <c r="K22" s="145" t="str">
        <f t="shared" ref="K22" si="210" xml:space="preserve"> IF(J22="", "", _xlfn.CONCAT(J$2,$B22))</f>
        <v/>
      </c>
      <c r="L22" s="4"/>
      <c r="M22" s="145" t="str">
        <f t="shared" ref="M22" si="211" xml:space="preserve"> IF(L22="", "", _xlfn.CONCAT(L$2,$B22))</f>
        <v/>
      </c>
      <c r="N22" s="4"/>
      <c r="O22" s="145" t="str">
        <f t="shared" ref="O22" si="212" xml:space="preserve"> IF(N22="", "", _xlfn.CONCAT(N$2,$B22))</f>
        <v/>
      </c>
      <c r="P22" s="4"/>
      <c r="Q22" s="145" t="str">
        <f t="shared" ref="Q22" si="213" xml:space="preserve"> IF(P22="", "", _xlfn.CONCAT(P$2,$B22))</f>
        <v/>
      </c>
      <c r="R22" s="4"/>
      <c r="S22" s="145" t="str">
        <f t="shared" ref="S22" si="214" xml:space="preserve"> IF(R22="", "", _xlfn.CONCAT(R$2,$B22))</f>
        <v/>
      </c>
      <c r="T22" s="4"/>
      <c r="U22" s="145" t="str">
        <f t="shared" ref="U22" si="215" xml:space="preserve"> IF(T22="", "", _xlfn.CONCAT(T$2,$B22))</f>
        <v/>
      </c>
      <c r="V22" s="4"/>
      <c r="W22" s="145" t="str">
        <f t="shared" ref="W22" si="216" xml:space="preserve"> IF(V22="", "", _xlfn.CONCAT(V$2,$B22))</f>
        <v/>
      </c>
      <c r="X22" s="4"/>
      <c r="Y22" s="145" t="str">
        <f t="shared" si="9"/>
        <v/>
      </c>
      <c r="Z22" s="4"/>
      <c r="AA22" s="145" t="str">
        <f t="shared" si="10"/>
        <v/>
      </c>
      <c r="AB22" s="4"/>
      <c r="AC22" s="145" t="str">
        <f t="shared" si="11"/>
        <v/>
      </c>
      <c r="AD22" s="4"/>
      <c r="AE22" s="145" t="str">
        <f t="shared" si="12"/>
        <v/>
      </c>
      <c r="AF22" s="4"/>
      <c r="AG22" s="145" t="str">
        <f t="shared" ref="AG22" si="217" xml:space="preserve"> IF(AF22="", "", _xlfn.CONCAT(AF$2,$B22))</f>
        <v/>
      </c>
      <c r="AH22" s="4" t="s">
        <v>259</v>
      </c>
      <c r="AI22" s="145" t="str">
        <f t="shared" ref="AI22" si="218" xml:space="preserve"> IF(AH22="", "", _xlfn.CONCAT(AH$2,$B22))</f>
        <v>kNeh</v>
      </c>
      <c r="AJ22" s="4"/>
      <c r="AK22" s="145" t="str">
        <f t="shared" ref="AK22" si="219" xml:space="preserve"> IF(AJ22="", "", _xlfn.CONCAT(AJ$2,$B22))</f>
        <v/>
      </c>
      <c r="AL22" s="4"/>
      <c r="AM22" s="145" t="str">
        <f t="shared" ref="AM22" si="220" xml:space="preserve"> IF(AL22="", "", _xlfn.CONCAT(AL$2,$B22))</f>
        <v/>
      </c>
    </row>
    <row r="23" spans="2:39">
      <c r="B23" s="143" t="s">
        <v>1777</v>
      </c>
      <c r="C23" s="142" t="s">
        <v>260</v>
      </c>
      <c r="D23" s="4" t="s">
        <v>261</v>
      </c>
      <c r="E23" s="145" t="str">
        <f t="shared" si="0"/>
        <v>i</v>
      </c>
      <c r="F23" s="4" t="s">
        <v>262</v>
      </c>
      <c r="G23" s="145" t="str">
        <f t="shared" si="0"/>
        <v>hi</v>
      </c>
      <c r="H23" s="4" t="s">
        <v>263</v>
      </c>
      <c r="I23" s="145" t="str">
        <f t="shared" ref="I23" si="221" xml:space="preserve"> IF(H23="", "", _xlfn.CONCAT(H$2,$B23))</f>
        <v>bi</v>
      </c>
      <c r="J23" s="4" t="s">
        <v>264</v>
      </c>
      <c r="K23" s="145" t="str">
        <f t="shared" ref="K23" si="222" xml:space="preserve"> IF(J23="", "", _xlfn.CONCAT(J$2,$B23))</f>
        <v>pi</v>
      </c>
      <c r="L23" s="4" t="s">
        <v>265</v>
      </c>
      <c r="M23" s="145" t="str">
        <f t="shared" ref="M23" si="223" xml:space="preserve"> IF(L23="", "", _xlfn.CONCAT(L$2,$B23))</f>
        <v>bbi</v>
      </c>
      <c r="N23" s="4" t="s">
        <v>266</v>
      </c>
      <c r="O23" s="145" t="str">
        <f t="shared" ref="O23" si="224" xml:space="preserve"> IF(N23="", "", _xlfn.CONCAT(N$2,$B23))</f>
        <v>mi</v>
      </c>
      <c r="P23" s="4" t="s">
        <v>267</v>
      </c>
      <c r="Q23" s="145" t="str">
        <f t="shared" ref="Q23" si="225" xml:space="preserve"> IF(P23="", "", _xlfn.CONCAT(P$2,$B23))</f>
        <v>di</v>
      </c>
      <c r="R23" s="4" t="s">
        <v>268</v>
      </c>
      <c r="S23" s="145" t="str">
        <f t="shared" ref="S23" si="226" xml:space="preserve"> IF(R23="", "", _xlfn.CONCAT(R$2,$B23))</f>
        <v>ti</v>
      </c>
      <c r="T23" s="4" t="s">
        <v>269</v>
      </c>
      <c r="U23" s="145" t="str">
        <f t="shared" ref="U23" si="227" xml:space="preserve"> IF(T23="", "", _xlfn.CONCAT(T$2,$B23))</f>
        <v>ni</v>
      </c>
      <c r="V23" s="4" t="s">
        <v>270</v>
      </c>
      <c r="W23" s="145" t="str">
        <f t="shared" ref="W23" si="228" xml:space="preserve"> IF(V23="", "", _xlfn.CONCAT(V$2,$B23))</f>
        <v>li</v>
      </c>
      <c r="X23" s="4" t="s">
        <v>271</v>
      </c>
      <c r="Y23" s="145" t="str">
        <f t="shared" si="9"/>
        <v>ji</v>
      </c>
      <c r="Z23" s="4" t="s">
        <v>272</v>
      </c>
      <c r="AA23" s="145" t="str">
        <f t="shared" si="10"/>
        <v>chi</v>
      </c>
      <c r="AB23" s="4" t="s">
        <v>273</v>
      </c>
      <c r="AC23" s="145" t="str">
        <f t="shared" si="11"/>
        <v>jji</v>
      </c>
      <c r="AD23" s="4" t="s">
        <v>274</v>
      </c>
      <c r="AE23" s="145" t="str">
        <f t="shared" si="12"/>
        <v>shi</v>
      </c>
      <c r="AF23" s="4" t="s">
        <v>275</v>
      </c>
      <c r="AG23" s="145" t="str">
        <f t="shared" ref="AG23" si="229" xml:space="preserve"> IF(AF23="", "", _xlfn.CONCAT(AF$2,$B23))</f>
        <v>gi</v>
      </c>
      <c r="AH23" s="4" t="s">
        <v>276</v>
      </c>
      <c r="AI23" s="145" t="str">
        <f t="shared" ref="AI23" si="230" xml:space="preserve"> IF(AH23="", "", _xlfn.CONCAT(AH$2,$B23))</f>
        <v>ki</v>
      </c>
      <c r="AJ23" s="4" t="s">
        <v>277</v>
      </c>
      <c r="AK23" s="145" t="str">
        <f t="shared" ref="AK23" si="231" xml:space="preserve"> IF(AJ23="", "", _xlfn.CONCAT(AJ$2,$B23))</f>
        <v>ggi</v>
      </c>
      <c r="AL23" s="4" t="s">
        <v>278</v>
      </c>
      <c r="AM23" s="145" t="str">
        <f t="shared" ref="AM23" si="232" xml:space="preserve"> IF(AL23="", "", _xlfn.CONCAT(AL$2,$B23))</f>
        <v>ngi</v>
      </c>
    </row>
    <row r="24" spans="2:39">
      <c r="B24" s="143" t="s">
        <v>1778</v>
      </c>
      <c r="C24" s="142" t="s">
        <v>279</v>
      </c>
      <c r="D24" s="4" t="s">
        <v>280</v>
      </c>
      <c r="E24" s="145" t="str">
        <f t="shared" si="0"/>
        <v>Ni</v>
      </c>
      <c r="F24" s="4" t="s">
        <v>281</v>
      </c>
      <c r="G24" s="145" t="str">
        <f t="shared" si="0"/>
        <v>hNi</v>
      </c>
      <c r="H24" s="4" t="s">
        <v>282</v>
      </c>
      <c r="I24" s="145" t="str">
        <f t="shared" ref="I24" si="233" xml:space="preserve"> IF(H24="", "", _xlfn.CONCAT(H$2,$B24))</f>
        <v>bNi</v>
      </c>
      <c r="J24" s="4" t="s">
        <v>283</v>
      </c>
      <c r="K24" s="145" t="str">
        <f t="shared" ref="K24" si="234" xml:space="preserve"> IF(J24="", "", _xlfn.CONCAT(J$2,$B24))</f>
        <v>pNi</v>
      </c>
      <c r="L24" s="4"/>
      <c r="M24" s="145" t="str">
        <f t="shared" ref="M24" si="235" xml:space="preserve"> IF(L24="", "", _xlfn.CONCAT(L$2,$B24))</f>
        <v/>
      </c>
      <c r="N24" s="4"/>
      <c r="O24" s="145" t="str">
        <f t="shared" ref="O24" si="236" xml:space="preserve"> IF(N24="", "", _xlfn.CONCAT(N$2,$B24))</f>
        <v/>
      </c>
      <c r="P24" s="4" t="s">
        <v>284</v>
      </c>
      <c r="Q24" s="145" t="str">
        <f t="shared" ref="Q24" si="237" xml:space="preserve"> IF(P24="", "", _xlfn.CONCAT(P$2,$B24))</f>
        <v>dNi</v>
      </c>
      <c r="R24" s="4" t="s">
        <v>285</v>
      </c>
      <c r="S24" s="145" t="str">
        <f t="shared" ref="S24" si="238" xml:space="preserve"> IF(R24="", "", _xlfn.CONCAT(R$2,$B24))</f>
        <v>tNi</v>
      </c>
      <c r="T24" s="4"/>
      <c r="U24" s="145" t="str">
        <f t="shared" ref="U24" si="239" xml:space="preserve"> IF(T24="", "", _xlfn.CONCAT(T$2,$B24))</f>
        <v/>
      </c>
      <c r="V24" s="4"/>
      <c r="W24" s="145" t="str">
        <f t="shared" ref="W24" si="240" xml:space="preserve"> IF(V24="", "", _xlfn.CONCAT(V$2,$B24))</f>
        <v/>
      </c>
      <c r="X24" s="4" t="s">
        <v>286</v>
      </c>
      <c r="Y24" s="145" t="str">
        <f t="shared" si="9"/>
        <v>jNi</v>
      </c>
      <c r="Z24" s="4" t="s">
        <v>287</v>
      </c>
      <c r="AA24" s="145" t="str">
        <f t="shared" si="10"/>
        <v>chNi</v>
      </c>
      <c r="AB24" s="4"/>
      <c r="AC24" s="145" t="str">
        <f t="shared" si="11"/>
        <v/>
      </c>
      <c r="AD24" s="4" t="s">
        <v>288</v>
      </c>
      <c r="AE24" s="145" t="str">
        <f t="shared" si="12"/>
        <v>shNi</v>
      </c>
      <c r="AF24" s="4" t="s">
        <v>289</v>
      </c>
      <c r="AG24" s="145" t="str">
        <f t="shared" ref="AG24" si="241" xml:space="preserve"> IF(AF24="", "", _xlfn.CONCAT(AF$2,$B24))</f>
        <v>gNi</v>
      </c>
      <c r="AH24" s="4" t="s">
        <v>290</v>
      </c>
      <c r="AI24" s="145" t="str">
        <f t="shared" ref="AI24" si="242" xml:space="preserve"> IF(AH24="", "", _xlfn.CONCAT(AH$2,$B24))</f>
        <v>kNi</v>
      </c>
      <c r="AJ24" s="4"/>
      <c r="AK24" s="145" t="str">
        <f t="shared" ref="AK24" si="243" xml:space="preserve"> IF(AJ24="", "", _xlfn.CONCAT(AJ$2,$B24))</f>
        <v/>
      </c>
      <c r="AL24" s="4"/>
      <c r="AM24" s="145" t="str">
        <f t="shared" ref="AM24" si="244" xml:space="preserve"> IF(AL24="", "", _xlfn.CONCAT(AL$2,$B24))</f>
        <v/>
      </c>
    </row>
    <row r="25" spans="2:39">
      <c r="B25" s="143" t="s">
        <v>1779</v>
      </c>
      <c r="C25" s="142" t="s">
        <v>291</v>
      </c>
      <c r="D25" s="4" t="s">
        <v>292</v>
      </c>
      <c r="E25" s="145" t="str">
        <f t="shared" si="0"/>
        <v>ih</v>
      </c>
      <c r="F25" s="4"/>
      <c r="G25" s="145" t="str">
        <f t="shared" si="0"/>
        <v/>
      </c>
      <c r="H25" s="4" t="s">
        <v>293</v>
      </c>
      <c r="I25" s="145" t="str">
        <f t="shared" ref="I25" si="245" xml:space="preserve"> IF(H25="", "", _xlfn.CONCAT(H$2,$B25))</f>
        <v>bih</v>
      </c>
      <c r="J25" s="4" t="s">
        <v>294</v>
      </c>
      <c r="K25" s="145" t="str">
        <f t="shared" ref="K25" si="246" xml:space="preserve"> IF(J25="", "", _xlfn.CONCAT(J$2,$B25))</f>
        <v>pih</v>
      </c>
      <c r="L25" s="4" t="s">
        <v>295</v>
      </c>
      <c r="M25" s="145" t="str">
        <f t="shared" ref="M25" si="247" xml:space="preserve"> IF(L25="", "", _xlfn.CONCAT(L$2,$B25))</f>
        <v>bbih</v>
      </c>
      <c r="N25" s="4" t="s">
        <v>296</v>
      </c>
      <c r="O25" s="145" t="str">
        <f t="shared" ref="O25" si="248" xml:space="preserve"> IF(N25="", "", _xlfn.CONCAT(N$2,$B25))</f>
        <v>mih</v>
      </c>
      <c r="P25" s="4" t="s">
        <v>297</v>
      </c>
      <c r="Q25" s="145" t="str">
        <f t="shared" ref="Q25" si="249" xml:space="preserve"> IF(P25="", "", _xlfn.CONCAT(P$2,$B25))</f>
        <v>dih</v>
      </c>
      <c r="R25" s="4" t="s">
        <v>298</v>
      </c>
      <c r="S25" s="145" t="str">
        <f t="shared" ref="S25" si="250" xml:space="preserve"> IF(R25="", "", _xlfn.CONCAT(R$2,$B25))</f>
        <v>tih</v>
      </c>
      <c r="T25" s="4" t="s">
        <v>299</v>
      </c>
      <c r="U25" s="145" t="str">
        <f t="shared" ref="U25" si="251" xml:space="preserve"> IF(T25="", "", _xlfn.CONCAT(T$2,$B25))</f>
        <v>nih</v>
      </c>
      <c r="V25" s="4" t="s">
        <v>300</v>
      </c>
      <c r="W25" s="145" t="str">
        <f t="shared" ref="W25" si="252" xml:space="preserve"> IF(V25="", "", _xlfn.CONCAT(V$2,$B25))</f>
        <v>lih</v>
      </c>
      <c r="X25" s="4" t="s">
        <v>301</v>
      </c>
      <c r="Y25" s="145" t="str">
        <f t="shared" si="9"/>
        <v>jih</v>
      </c>
      <c r="Z25" s="4" t="s">
        <v>302</v>
      </c>
      <c r="AA25" s="145" t="str">
        <f t="shared" si="10"/>
        <v>chih</v>
      </c>
      <c r="AB25" s="4"/>
      <c r="AC25" s="145" t="str">
        <f t="shared" si="11"/>
        <v/>
      </c>
      <c r="AD25" s="4" t="s">
        <v>303</v>
      </c>
      <c r="AE25" s="145" t="str">
        <f t="shared" si="12"/>
        <v>shih</v>
      </c>
      <c r="AF25" s="4" t="s">
        <v>304</v>
      </c>
      <c r="AG25" s="145" t="str">
        <f t="shared" ref="AG25" si="253" xml:space="preserve"> IF(AF25="", "", _xlfn.CONCAT(AF$2,$B25))</f>
        <v>gih</v>
      </c>
      <c r="AH25" s="4" t="s">
        <v>305</v>
      </c>
      <c r="AI25" s="145" t="str">
        <f t="shared" ref="AI25" si="254" xml:space="preserve"> IF(AH25="", "", _xlfn.CONCAT(AH$2,$B25))</f>
        <v>kih</v>
      </c>
      <c r="AJ25" s="4"/>
      <c r="AK25" s="145" t="str">
        <f t="shared" ref="AK25" si="255" xml:space="preserve"> IF(AJ25="", "", _xlfn.CONCAT(AJ$2,$B25))</f>
        <v/>
      </c>
      <c r="AL25" s="4"/>
      <c r="AM25" s="145" t="str">
        <f t="shared" ref="AM25" si="256" xml:space="preserve"> IF(AL25="", "", _xlfn.CONCAT(AL$2,$B25))</f>
        <v/>
      </c>
    </row>
    <row r="26" spans="2:39">
      <c r="B26" s="143" t="s">
        <v>1780</v>
      </c>
      <c r="C26" s="142" t="s">
        <v>306</v>
      </c>
      <c r="D26" s="4" t="s">
        <v>307</v>
      </c>
      <c r="E26" s="145" t="str">
        <f t="shared" si="0"/>
        <v>im</v>
      </c>
      <c r="F26" s="4" t="s">
        <v>308</v>
      </c>
      <c r="G26" s="145" t="str">
        <f t="shared" si="0"/>
        <v>him</v>
      </c>
      <c r="H26" s="4"/>
      <c r="I26" s="145" t="str">
        <f t="shared" ref="I26" si="257" xml:space="preserve"> IF(H26="", "", _xlfn.CONCAT(H$2,$B26))</f>
        <v/>
      </c>
      <c r="J26" s="4"/>
      <c r="K26" s="145" t="str">
        <f t="shared" ref="K26" si="258" xml:space="preserve"> IF(J26="", "", _xlfn.CONCAT(J$2,$B26))</f>
        <v/>
      </c>
      <c r="L26" s="4"/>
      <c r="M26" s="145" t="str">
        <f t="shared" ref="M26" si="259" xml:space="preserve"> IF(L26="", "", _xlfn.CONCAT(L$2,$B26))</f>
        <v/>
      </c>
      <c r="N26" s="4"/>
      <c r="O26" s="145" t="str">
        <f t="shared" ref="O26" si="260" xml:space="preserve"> IF(N26="", "", _xlfn.CONCAT(N$2,$B26))</f>
        <v/>
      </c>
      <c r="P26" s="4" t="s">
        <v>309</v>
      </c>
      <c r="Q26" s="145" t="str">
        <f t="shared" ref="Q26" si="261" xml:space="preserve"> IF(P26="", "", _xlfn.CONCAT(P$2,$B26))</f>
        <v>dim</v>
      </c>
      <c r="R26" s="4" t="s">
        <v>310</v>
      </c>
      <c r="S26" s="145" t="str">
        <f t="shared" ref="S26" si="262" xml:space="preserve"> IF(R26="", "", _xlfn.CONCAT(R$2,$B26))</f>
        <v>tim</v>
      </c>
      <c r="T26" s="4"/>
      <c r="U26" s="145" t="str">
        <f t="shared" ref="U26" si="263" xml:space="preserve"> IF(T26="", "", _xlfn.CONCAT(T$2,$B26))</f>
        <v/>
      </c>
      <c r="V26" s="4" t="s">
        <v>311</v>
      </c>
      <c r="W26" s="145" t="str">
        <f t="shared" ref="W26" si="264" xml:space="preserve"> IF(V26="", "", _xlfn.CONCAT(V$2,$B26))</f>
        <v>lim</v>
      </c>
      <c r="X26" s="4" t="s">
        <v>312</v>
      </c>
      <c r="Y26" s="145" t="str">
        <f t="shared" si="9"/>
        <v>jim</v>
      </c>
      <c r="Z26" s="4" t="s">
        <v>313</v>
      </c>
      <c r="AA26" s="145" t="str">
        <f t="shared" si="10"/>
        <v>chim</v>
      </c>
      <c r="AB26" s="4" t="s">
        <v>314</v>
      </c>
      <c r="AC26" s="145" t="str">
        <f t="shared" si="11"/>
        <v>jjim</v>
      </c>
      <c r="AD26" s="4" t="s">
        <v>315</v>
      </c>
      <c r="AE26" s="145" t="str">
        <f t="shared" si="12"/>
        <v>shim</v>
      </c>
      <c r="AF26" s="4" t="s">
        <v>316</v>
      </c>
      <c r="AG26" s="145" t="str">
        <f t="shared" ref="AG26" si="265" xml:space="preserve"> IF(AF26="", "", _xlfn.CONCAT(AF$2,$B26))</f>
        <v>gim</v>
      </c>
      <c r="AH26" s="4" t="s">
        <v>317</v>
      </c>
      <c r="AI26" s="145" t="str">
        <f t="shared" ref="AI26" si="266" xml:space="preserve"> IF(AH26="", "", _xlfn.CONCAT(AH$2,$B26))</f>
        <v>kim</v>
      </c>
      <c r="AJ26" s="4" t="s">
        <v>318</v>
      </c>
      <c r="AK26" s="145" t="str">
        <f t="shared" ref="AK26" si="267" xml:space="preserve"> IF(AJ26="", "", _xlfn.CONCAT(AJ$2,$B26))</f>
        <v>ggim</v>
      </c>
      <c r="AL26" s="4"/>
      <c r="AM26" s="145" t="str">
        <f t="shared" ref="AM26" si="268" xml:space="preserve"> IF(AL26="", "", _xlfn.CONCAT(AL$2,$B26))</f>
        <v/>
      </c>
    </row>
    <row r="27" spans="2:39">
      <c r="B27" s="143" t="s">
        <v>1781</v>
      </c>
      <c r="C27" s="142" t="s">
        <v>319</v>
      </c>
      <c r="D27" s="4" t="s">
        <v>320</v>
      </c>
      <c r="E27" s="145" t="str">
        <f t="shared" si="0"/>
        <v>in</v>
      </c>
      <c r="F27" s="4" t="s">
        <v>321</v>
      </c>
      <c r="G27" s="145" t="str">
        <f t="shared" si="0"/>
        <v>hin</v>
      </c>
      <c r="H27" s="4" t="s">
        <v>322</v>
      </c>
      <c r="I27" s="145" t="str">
        <f t="shared" ref="I27" si="269" xml:space="preserve"> IF(H27="", "", _xlfn.CONCAT(H$2,$B27))</f>
        <v>bin</v>
      </c>
      <c r="J27" s="4" t="s">
        <v>323</v>
      </c>
      <c r="K27" s="145" t="str">
        <f t="shared" ref="K27" si="270" xml:space="preserve"> IF(J27="", "", _xlfn.CONCAT(J$2,$B27))</f>
        <v>pin</v>
      </c>
      <c r="L27" s="4" t="s">
        <v>324</v>
      </c>
      <c r="M27" s="145" t="str">
        <f t="shared" ref="M27" si="271" xml:space="preserve"> IF(L27="", "", _xlfn.CONCAT(L$2,$B27))</f>
        <v>bbin</v>
      </c>
      <c r="N27" s="4"/>
      <c r="O27" s="145" t="str">
        <f t="shared" ref="O27" si="272" xml:space="preserve"> IF(N27="", "", _xlfn.CONCAT(N$2,$B27))</f>
        <v/>
      </c>
      <c r="P27" s="4" t="s">
        <v>325</v>
      </c>
      <c r="Q27" s="145" t="str">
        <f t="shared" ref="Q27" si="273" xml:space="preserve"> IF(P27="", "", _xlfn.CONCAT(P$2,$B27))</f>
        <v>din</v>
      </c>
      <c r="R27" s="4" t="s">
        <v>326</v>
      </c>
      <c r="S27" s="145" t="str">
        <f t="shared" ref="S27" si="274" xml:space="preserve"> IF(R27="", "", _xlfn.CONCAT(R$2,$B27))</f>
        <v>tin</v>
      </c>
      <c r="T27" s="4"/>
      <c r="U27" s="145" t="str">
        <f t="shared" ref="U27" si="275" xml:space="preserve"> IF(T27="", "", _xlfn.CONCAT(T$2,$B27))</f>
        <v/>
      </c>
      <c r="V27" s="4" t="s">
        <v>327</v>
      </c>
      <c r="W27" s="145" t="str">
        <f t="shared" ref="W27" si="276" xml:space="preserve"> IF(V27="", "", _xlfn.CONCAT(V$2,$B27))</f>
        <v>lin</v>
      </c>
      <c r="X27" s="4" t="s">
        <v>328</v>
      </c>
      <c r="Y27" s="145" t="str">
        <f t="shared" si="9"/>
        <v>jin</v>
      </c>
      <c r="Z27" s="4" t="s">
        <v>329</v>
      </c>
      <c r="AA27" s="145" t="str">
        <f t="shared" si="10"/>
        <v>chin</v>
      </c>
      <c r="AB27" s="4" t="s">
        <v>330</v>
      </c>
      <c r="AC27" s="145" t="str">
        <f t="shared" si="11"/>
        <v>jjin</v>
      </c>
      <c r="AD27" s="4" t="s">
        <v>331</v>
      </c>
      <c r="AE27" s="145" t="str">
        <f t="shared" si="12"/>
        <v>shin</v>
      </c>
      <c r="AF27" s="4" t="s">
        <v>332</v>
      </c>
      <c r="AG27" s="145" t="str">
        <f t="shared" ref="AG27" si="277" xml:space="preserve"> IF(AF27="", "", _xlfn.CONCAT(AF$2,$B27))</f>
        <v>gin</v>
      </c>
      <c r="AH27" s="4" t="s">
        <v>333</v>
      </c>
      <c r="AI27" s="145" t="str">
        <f t="shared" ref="AI27" si="278" xml:space="preserve"> IF(AH27="", "", _xlfn.CONCAT(AH$2,$B27))</f>
        <v>kin</v>
      </c>
      <c r="AJ27" s="4" t="s">
        <v>334</v>
      </c>
      <c r="AK27" s="145" t="str">
        <f t="shared" ref="AK27" si="279" xml:space="preserve"> IF(AJ27="", "", _xlfn.CONCAT(AJ$2,$B27))</f>
        <v>ggin</v>
      </c>
      <c r="AL27" s="4"/>
      <c r="AM27" s="145" t="str">
        <f t="shared" ref="AM27" si="280" xml:space="preserve"> IF(AL27="", "", _xlfn.CONCAT(AL$2,$B27))</f>
        <v/>
      </c>
    </row>
    <row r="28" spans="2:39">
      <c r="B28" s="143" t="s">
        <v>1782</v>
      </c>
      <c r="C28" s="142" t="s">
        <v>335</v>
      </c>
      <c r="D28" s="4" t="s">
        <v>336</v>
      </c>
      <c r="E28" s="145" t="str">
        <f t="shared" si="0"/>
        <v>ing</v>
      </c>
      <c r="F28" s="4" t="s">
        <v>337</v>
      </c>
      <c r="G28" s="145" t="str">
        <f t="shared" si="0"/>
        <v>hing</v>
      </c>
      <c r="H28" s="4" t="s">
        <v>338</v>
      </c>
      <c r="I28" s="145" t="str">
        <f t="shared" ref="I28" si="281" xml:space="preserve"> IF(H28="", "", _xlfn.CONCAT(H$2,$B28))</f>
        <v>bing</v>
      </c>
      <c r="J28" s="4" t="s">
        <v>339</v>
      </c>
      <c r="K28" s="145" t="str">
        <f t="shared" ref="K28" si="282" xml:space="preserve"> IF(J28="", "", _xlfn.CONCAT(J$2,$B28))</f>
        <v>ping</v>
      </c>
      <c r="L28" s="4" t="s">
        <v>340</v>
      </c>
      <c r="M28" s="145" t="str">
        <f t="shared" ref="M28" si="283" xml:space="preserve"> IF(L28="", "", _xlfn.CONCAT(L$2,$B28))</f>
        <v>bbing</v>
      </c>
      <c r="N28" s="4"/>
      <c r="O28" s="145" t="str">
        <f t="shared" ref="O28" si="284" xml:space="preserve"> IF(N28="", "", _xlfn.CONCAT(N$2,$B28))</f>
        <v/>
      </c>
      <c r="P28" s="4" t="s">
        <v>341</v>
      </c>
      <c r="Q28" s="145" t="str">
        <f t="shared" ref="Q28" si="285" xml:space="preserve"> IF(P28="", "", _xlfn.CONCAT(P$2,$B28))</f>
        <v>ding</v>
      </c>
      <c r="R28" s="4" t="s">
        <v>342</v>
      </c>
      <c r="S28" s="145" t="str">
        <f t="shared" ref="S28" si="286" xml:space="preserve"> IF(R28="", "", _xlfn.CONCAT(R$2,$B28))</f>
        <v>ting</v>
      </c>
      <c r="T28" s="4"/>
      <c r="U28" s="145" t="str">
        <f t="shared" ref="U28" si="287" xml:space="preserve"> IF(T28="", "", _xlfn.CONCAT(T$2,$B28))</f>
        <v/>
      </c>
      <c r="V28" s="4" t="s">
        <v>343</v>
      </c>
      <c r="W28" s="145" t="str">
        <f t="shared" ref="W28" si="288" xml:space="preserve"> IF(V28="", "", _xlfn.CONCAT(V$2,$B28))</f>
        <v>ling</v>
      </c>
      <c r="X28" s="4" t="s">
        <v>344</v>
      </c>
      <c r="Y28" s="145" t="str">
        <f t="shared" si="9"/>
        <v>jing</v>
      </c>
      <c r="Z28" s="4" t="s">
        <v>345</v>
      </c>
      <c r="AA28" s="145" t="str">
        <f t="shared" si="10"/>
        <v>ching</v>
      </c>
      <c r="AB28" s="4"/>
      <c r="AC28" s="145" t="str">
        <f t="shared" si="11"/>
        <v/>
      </c>
      <c r="AD28" s="4" t="s">
        <v>346</v>
      </c>
      <c r="AE28" s="145" t="str">
        <f t="shared" si="12"/>
        <v>shing</v>
      </c>
      <c r="AF28" s="4" t="s">
        <v>347</v>
      </c>
      <c r="AG28" s="145" t="str">
        <f t="shared" ref="AG28" si="289" xml:space="preserve"> IF(AF28="", "", _xlfn.CONCAT(AF$2,$B28))</f>
        <v>ging</v>
      </c>
      <c r="AH28" s="4" t="s">
        <v>348</v>
      </c>
      <c r="AI28" s="145" t="str">
        <f t="shared" ref="AI28" si="290" xml:space="preserve"> IF(AH28="", "", _xlfn.CONCAT(AH$2,$B28))</f>
        <v>king</v>
      </c>
      <c r="AJ28" s="4" t="s">
        <v>349</v>
      </c>
      <c r="AK28" s="145" t="str">
        <f t="shared" ref="AK28" si="291" xml:space="preserve"> IF(AJ28="", "", _xlfn.CONCAT(AJ$2,$B28))</f>
        <v>gging</v>
      </c>
      <c r="AL28" s="4"/>
      <c r="AM28" s="145" t="str">
        <f t="shared" ref="AM28" si="292" xml:space="preserve"> IF(AL28="", "", _xlfn.CONCAT(AL$2,$B28))</f>
        <v/>
      </c>
    </row>
    <row r="29" spans="2:39">
      <c r="B29" s="143" t="s">
        <v>1783</v>
      </c>
      <c r="C29" s="142" t="s">
        <v>350</v>
      </c>
      <c r="D29" s="4" t="s">
        <v>351</v>
      </c>
      <c r="E29" s="145" t="str">
        <f t="shared" si="0"/>
        <v>ip</v>
      </c>
      <c r="F29" s="4" t="s">
        <v>352</v>
      </c>
      <c r="G29" s="145" t="str">
        <f t="shared" si="0"/>
        <v>hip</v>
      </c>
      <c r="H29" s="4"/>
      <c r="I29" s="145" t="str">
        <f t="shared" ref="I29" si="293" xml:space="preserve"> IF(H29="", "", _xlfn.CONCAT(H$2,$B29))</f>
        <v/>
      </c>
      <c r="J29" s="4"/>
      <c r="K29" s="145" t="str">
        <f t="shared" ref="K29" si="294" xml:space="preserve"> IF(J29="", "", _xlfn.CONCAT(J$2,$B29))</f>
        <v/>
      </c>
      <c r="L29" s="4"/>
      <c r="M29" s="145" t="str">
        <f t="shared" ref="M29" si="295" xml:space="preserve"> IF(L29="", "", _xlfn.CONCAT(L$2,$B29))</f>
        <v/>
      </c>
      <c r="N29" s="4"/>
      <c r="O29" s="145" t="str">
        <f t="shared" ref="O29" si="296" xml:space="preserve"> IF(N29="", "", _xlfn.CONCAT(N$2,$B29))</f>
        <v/>
      </c>
      <c r="P29" s="4"/>
      <c r="Q29" s="145" t="str">
        <f t="shared" ref="Q29" si="297" xml:space="preserve"> IF(P29="", "", _xlfn.CONCAT(P$2,$B29))</f>
        <v/>
      </c>
      <c r="R29" s="4"/>
      <c r="S29" s="145" t="str">
        <f t="shared" ref="S29" si="298" xml:space="preserve"> IF(R29="", "", _xlfn.CONCAT(R$2,$B29))</f>
        <v/>
      </c>
      <c r="T29" s="4"/>
      <c r="U29" s="145" t="str">
        <f t="shared" ref="U29" si="299" xml:space="preserve"> IF(T29="", "", _xlfn.CONCAT(T$2,$B29))</f>
        <v/>
      </c>
      <c r="V29" s="4" t="s">
        <v>353</v>
      </c>
      <c r="W29" s="145" t="str">
        <f t="shared" ref="W29" si="300" xml:space="preserve"> IF(V29="", "", _xlfn.CONCAT(V$2,$B29))</f>
        <v>lip</v>
      </c>
      <c r="X29" s="4" t="s">
        <v>354</v>
      </c>
      <c r="Y29" s="145" t="str">
        <f t="shared" si="9"/>
        <v>jip</v>
      </c>
      <c r="Z29" s="4" t="s">
        <v>355</v>
      </c>
      <c r="AA29" s="145" t="str">
        <f t="shared" si="10"/>
        <v>chip</v>
      </c>
      <c r="AB29" s="4" t="s">
        <v>356</v>
      </c>
      <c r="AC29" s="145" t="str">
        <f t="shared" si="11"/>
        <v>jjip</v>
      </c>
      <c r="AD29" s="4" t="s">
        <v>357</v>
      </c>
      <c r="AE29" s="145" t="str">
        <f t="shared" si="12"/>
        <v>ship</v>
      </c>
      <c r="AF29" s="4" t="s">
        <v>358</v>
      </c>
      <c r="AG29" s="145" t="str">
        <f t="shared" ref="AG29" si="301" xml:space="preserve"> IF(AF29="", "", _xlfn.CONCAT(AF$2,$B29))</f>
        <v>gip</v>
      </c>
      <c r="AH29" s="4" t="s">
        <v>359</v>
      </c>
      <c r="AI29" s="145" t="str">
        <f t="shared" ref="AI29" si="302" xml:space="preserve"> IF(AH29="", "", _xlfn.CONCAT(AH$2,$B29))</f>
        <v>kip</v>
      </c>
      <c r="AJ29" s="4"/>
      <c r="AK29" s="145" t="str">
        <f t="shared" ref="AK29" si="303" xml:space="preserve"> IF(AJ29="", "", _xlfn.CONCAT(AJ$2,$B29))</f>
        <v/>
      </c>
      <c r="AL29" s="4"/>
      <c r="AM29" s="145" t="str">
        <f t="shared" ref="AM29" si="304" xml:space="preserve"> IF(AL29="", "", _xlfn.CONCAT(AL$2,$B29))</f>
        <v/>
      </c>
    </row>
    <row r="30" spans="2:39">
      <c r="B30" s="143" t="s">
        <v>1784</v>
      </c>
      <c r="C30" s="142" t="s">
        <v>360</v>
      </c>
      <c r="D30" s="4" t="s">
        <v>361</v>
      </c>
      <c r="E30" s="145" t="str">
        <f t="shared" si="0"/>
        <v>it</v>
      </c>
      <c r="F30" s="4" t="s">
        <v>362</v>
      </c>
      <c r="G30" s="145" t="str">
        <f t="shared" si="0"/>
        <v>hit</v>
      </c>
      <c r="H30" s="4" t="s">
        <v>363</v>
      </c>
      <c r="I30" s="145" t="str">
        <f t="shared" ref="I30" si="305" xml:space="preserve"> IF(H30="", "", _xlfn.CONCAT(H$2,$B30))</f>
        <v>bit</v>
      </c>
      <c r="J30" s="4" t="s">
        <v>364</v>
      </c>
      <c r="K30" s="145" t="str">
        <f t="shared" ref="K30" si="306" xml:space="preserve"> IF(J30="", "", _xlfn.CONCAT(J$2,$B30))</f>
        <v>pit</v>
      </c>
      <c r="L30" s="4" t="s">
        <v>365</v>
      </c>
      <c r="M30" s="145" t="str">
        <f t="shared" ref="M30" si="307" xml:space="preserve"> IF(L30="", "", _xlfn.CONCAT(L$2,$B30))</f>
        <v>bbit</v>
      </c>
      <c r="N30" s="4"/>
      <c r="O30" s="145" t="str">
        <f t="shared" ref="O30" si="308" xml:space="preserve"> IF(N30="", "", _xlfn.CONCAT(N$2,$B30))</f>
        <v/>
      </c>
      <c r="P30" s="4" t="s">
        <v>366</v>
      </c>
      <c r="Q30" s="145" t="str">
        <f t="shared" ref="Q30" si="309" xml:space="preserve"> IF(P30="", "", _xlfn.CONCAT(P$2,$B30))</f>
        <v>dit</v>
      </c>
      <c r="R30" s="4" t="s">
        <v>367</v>
      </c>
      <c r="S30" s="145" t="str">
        <f t="shared" ref="S30" si="310" xml:space="preserve"> IF(R30="", "", _xlfn.CONCAT(R$2,$B30))</f>
        <v>tit</v>
      </c>
      <c r="T30" s="4"/>
      <c r="U30" s="145" t="str">
        <f t="shared" ref="U30" si="311" xml:space="preserve"> IF(T30="", "", _xlfn.CONCAT(T$2,$B30))</f>
        <v/>
      </c>
      <c r="V30" s="4" t="s">
        <v>368</v>
      </c>
      <c r="W30" s="145" t="str">
        <f t="shared" ref="W30" si="312" xml:space="preserve"> IF(V30="", "", _xlfn.CONCAT(V$2,$B30))</f>
        <v>lit</v>
      </c>
      <c r="X30" s="4" t="s">
        <v>369</v>
      </c>
      <c r="Y30" s="145" t="str">
        <f t="shared" si="9"/>
        <v>jit</v>
      </c>
      <c r="Z30" s="4" t="s">
        <v>370</v>
      </c>
      <c r="AA30" s="145" t="str">
        <f t="shared" si="10"/>
        <v>chit</v>
      </c>
      <c r="AB30" s="4" t="s">
        <v>371</v>
      </c>
      <c r="AC30" s="145" t="str">
        <f t="shared" si="11"/>
        <v>jjit</v>
      </c>
      <c r="AD30" s="4" t="s">
        <v>372</v>
      </c>
      <c r="AE30" s="145" t="str">
        <f t="shared" si="12"/>
        <v>shit</v>
      </c>
      <c r="AF30" s="4" t="s">
        <v>373</v>
      </c>
      <c r="AG30" s="145" t="str">
        <f t="shared" ref="AG30" si="313" xml:space="preserve"> IF(AF30="", "", _xlfn.CONCAT(AF$2,$B30))</f>
        <v>git</v>
      </c>
      <c r="AH30" s="4" t="s">
        <v>374</v>
      </c>
      <c r="AI30" s="145" t="str">
        <f t="shared" ref="AI30" si="314" xml:space="preserve"> IF(AH30="", "", _xlfn.CONCAT(AH$2,$B30))</f>
        <v>kit</v>
      </c>
      <c r="AJ30" s="4"/>
      <c r="AK30" s="145" t="str">
        <f t="shared" ref="AK30" si="315" xml:space="preserve"> IF(AJ30="", "", _xlfn.CONCAT(AJ$2,$B30))</f>
        <v/>
      </c>
      <c r="AL30" s="4"/>
      <c r="AM30" s="145" t="str">
        <f t="shared" ref="AM30" si="316" xml:space="preserve"> IF(AL30="", "", _xlfn.CONCAT(AL$2,$B30))</f>
        <v/>
      </c>
    </row>
    <row r="31" spans="2:39">
      <c r="B31" s="143" t="s">
        <v>1845</v>
      </c>
      <c r="C31" s="142" t="s">
        <v>375</v>
      </c>
      <c r="D31" s="4" t="s">
        <v>376</v>
      </c>
      <c r="E31" s="145" t="str">
        <f t="shared" si="0"/>
        <v>iek</v>
      </c>
      <c r="F31" s="4" t="s">
        <v>377</v>
      </c>
      <c r="G31" s="145" t="str">
        <f t="shared" si="0"/>
        <v>hiek</v>
      </c>
      <c r="H31" s="4" t="s">
        <v>378</v>
      </c>
      <c r="I31" s="145" t="str">
        <f t="shared" ref="I31" si="317" xml:space="preserve"> IF(H31="", "", _xlfn.CONCAT(H$2,$B31))</f>
        <v>biek</v>
      </c>
      <c r="J31" s="4" t="s">
        <v>379</v>
      </c>
      <c r="K31" s="145" t="str">
        <f t="shared" ref="K31" si="318" xml:space="preserve"> IF(J31="", "", _xlfn.CONCAT(J$2,$B31))</f>
        <v>piek</v>
      </c>
      <c r="L31" s="4" t="s">
        <v>380</v>
      </c>
      <c r="M31" s="145" t="str">
        <f t="shared" ref="M31" si="319" xml:space="preserve"> IF(L31="", "", _xlfn.CONCAT(L$2,$B31))</f>
        <v>bbiek</v>
      </c>
      <c r="N31" s="4"/>
      <c r="O31" s="145" t="str">
        <f t="shared" ref="O31" si="320" xml:space="preserve"> IF(N31="", "", _xlfn.CONCAT(N$2,$B31))</f>
        <v/>
      </c>
      <c r="P31" s="4" t="s">
        <v>381</v>
      </c>
      <c r="Q31" s="145" t="str">
        <f t="shared" ref="Q31" si="321" xml:space="preserve"> IF(P31="", "", _xlfn.CONCAT(P$2,$B31))</f>
        <v>diek</v>
      </c>
      <c r="R31" s="4" t="s">
        <v>382</v>
      </c>
      <c r="S31" s="145" t="str">
        <f t="shared" ref="S31" si="322" xml:space="preserve"> IF(R31="", "", _xlfn.CONCAT(R$2,$B31))</f>
        <v>tiek</v>
      </c>
      <c r="T31" s="4"/>
      <c r="U31" s="145" t="str">
        <f t="shared" ref="U31" si="323" xml:space="preserve"> IF(T31="", "", _xlfn.CONCAT(T$2,$B31))</f>
        <v/>
      </c>
      <c r="V31" s="4" t="s">
        <v>383</v>
      </c>
      <c r="W31" s="145" t="str">
        <f t="shared" ref="W31" si="324" xml:space="preserve"> IF(V31="", "", _xlfn.CONCAT(V$2,$B31))</f>
        <v>liek</v>
      </c>
      <c r="X31" s="4" t="s">
        <v>384</v>
      </c>
      <c r="Y31" s="145" t="str">
        <f t="shared" si="9"/>
        <v>jiek</v>
      </c>
      <c r="Z31" s="4" t="s">
        <v>385</v>
      </c>
      <c r="AA31" s="145" t="str">
        <f t="shared" si="10"/>
        <v>chiek</v>
      </c>
      <c r="AB31" s="4" t="s">
        <v>386</v>
      </c>
      <c r="AC31" s="145" t="str">
        <f t="shared" si="11"/>
        <v>jjiek</v>
      </c>
      <c r="AD31" s="4" t="s">
        <v>387</v>
      </c>
      <c r="AE31" s="145" t="str">
        <f t="shared" si="12"/>
        <v>shiek</v>
      </c>
      <c r="AF31" s="4" t="s">
        <v>388</v>
      </c>
      <c r="AG31" s="145" t="str">
        <f t="shared" ref="AG31" si="325" xml:space="preserve"> IF(AF31="", "", _xlfn.CONCAT(AF$2,$B31))</f>
        <v>giek</v>
      </c>
      <c r="AH31" s="4" t="s">
        <v>389</v>
      </c>
      <c r="AI31" s="145" t="str">
        <f t="shared" ref="AI31" si="326" xml:space="preserve"> IF(AH31="", "", _xlfn.CONCAT(AH$2,$B31))</f>
        <v>kiek</v>
      </c>
      <c r="AJ31" s="4" t="s">
        <v>390</v>
      </c>
      <c r="AK31" s="145" t="str">
        <f t="shared" ref="AK31" si="327" xml:space="preserve"> IF(AJ31="", "", _xlfn.CONCAT(AJ$2,$B31))</f>
        <v>ggiek</v>
      </c>
      <c r="AL31" s="4"/>
      <c r="AM31" s="145" t="str">
        <f t="shared" ref="AM31" si="328" xml:space="preserve"> IF(AL31="", "", _xlfn.CONCAT(AL$2,$B31))</f>
        <v/>
      </c>
    </row>
    <row r="32" spans="2:39">
      <c r="B32" s="143" t="s">
        <v>1786</v>
      </c>
      <c r="C32" s="142" t="s">
        <v>391</v>
      </c>
      <c r="D32" s="4" t="s">
        <v>392</v>
      </c>
      <c r="E32" s="145" t="str">
        <f t="shared" si="0"/>
        <v>ia</v>
      </c>
      <c r="F32" s="4" t="s">
        <v>393</v>
      </c>
      <c r="G32" s="145" t="str">
        <f t="shared" si="0"/>
        <v>hia</v>
      </c>
      <c r="H32" s="4"/>
      <c r="I32" s="145" t="str">
        <f t="shared" ref="I32" si="329" xml:space="preserve"> IF(H32="", "", _xlfn.CONCAT(H$2,$B32))</f>
        <v/>
      </c>
      <c r="J32" s="4"/>
      <c r="K32" s="145" t="str">
        <f t="shared" ref="K32" si="330" xml:space="preserve"> IF(J32="", "", _xlfn.CONCAT(J$2,$B32))</f>
        <v/>
      </c>
      <c r="L32" s="4"/>
      <c r="M32" s="145" t="str">
        <f t="shared" ref="M32" si="331" xml:space="preserve"> IF(L32="", "", _xlfn.CONCAT(L$2,$B32))</f>
        <v/>
      </c>
      <c r="N32" s="4" t="s">
        <v>394</v>
      </c>
      <c r="O32" s="145" t="str">
        <f t="shared" ref="O32" si="332" xml:space="preserve"> IF(N32="", "", _xlfn.CONCAT(N$2,$B32))</f>
        <v>mia</v>
      </c>
      <c r="P32" s="4" t="s">
        <v>395</v>
      </c>
      <c r="Q32" s="145" t="str">
        <f t="shared" ref="Q32" si="333" xml:space="preserve"> IF(P32="", "", _xlfn.CONCAT(P$2,$B32))</f>
        <v>dia</v>
      </c>
      <c r="R32" s="4"/>
      <c r="S32" s="145" t="str">
        <f t="shared" ref="S32" si="334" xml:space="preserve"> IF(R32="", "", _xlfn.CONCAT(R$2,$B32))</f>
        <v/>
      </c>
      <c r="T32" s="4" t="s">
        <v>396</v>
      </c>
      <c r="U32" s="145" t="str">
        <f t="shared" ref="U32" si="335" xml:space="preserve"> IF(T32="", "", _xlfn.CONCAT(T$2,$B32))</f>
        <v>nia</v>
      </c>
      <c r="V32" s="4" t="s">
        <v>397</v>
      </c>
      <c r="W32" s="145" t="str">
        <f t="shared" ref="W32" si="336" xml:space="preserve"> IF(V32="", "", _xlfn.CONCAT(V$2,$B32))</f>
        <v>lia</v>
      </c>
      <c r="X32" s="4" t="s">
        <v>398</v>
      </c>
      <c r="Y32" s="145" t="str">
        <f t="shared" si="9"/>
        <v>jia</v>
      </c>
      <c r="Z32" s="4" t="s">
        <v>399</v>
      </c>
      <c r="AA32" s="145" t="str">
        <f t="shared" si="10"/>
        <v>chia</v>
      </c>
      <c r="AB32" s="4" t="s">
        <v>400</v>
      </c>
      <c r="AC32" s="145" t="str">
        <f t="shared" si="11"/>
        <v>jjia</v>
      </c>
      <c r="AD32" s="4" t="s">
        <v>401</v>
      </c>
      <c r="AE32" s="145" t="str">
        <f t="shared" si="12"/>
        <v>shia</v>
      </c>
      <c r="AF32" s="4" t="s">
        <v>402</v>
      </c>
      <c r="AG32" s="145" t="str">
        <f t="shared" ref="AG32" si="337" xml:space="preserve"> IF(AF32="", "", _xlfn.CONCAT(AF$2,$B32))</f>
        <v>gia</v>
      </c>
      <c r="AH32" s="4" t="s">
        <v>403</v>
      </c>
      <c r="AI32" s="145" t="str">
        <f t="shared" ref="AI32" si="338" xml:space="preserve"> IF(AH32="", "", _xlfn.CONCAT(AH$2,$B32))</f>
        <v>kia</v>
      </c>
      <c r="AJ32" s="4" t="s">
        <v>404</v>
      </c>
      <c r="AK32" s="145" t="str">
        <f t="shared" ref="AK32" si="339" xml:space="preserve"> IF(AJ32="", "", _xlfn.CONCAT(AJ$2,$B32))</f>
        <v>ggia</v>
      </c>
      <c r="AL32" s="4" t="s">
        <v>405</v>
      </c>
      <c r="AM32" s="145" t="str">
        <f t="shared" ref="AM32" si="340" xml:space="preserve"> IF(AL32="", "", _xlfn.CONCAT(AL$2,$B32))</f>
        <v>ngia</v>
      </c>
    </row>
    <row r="33" spans="2:39">
      <c r="B33" s="143" t="s">
        <v>1787</v>
      </c>
      <c r="C33" s="142" t="s">
        <v>406</v>
      </c>
      <c r="D33" s="4" t="s">
        <v>407</v>
      </c>
      <c r="E33" s="145" t="str">
        <f t="shared" si="0"/>
        <v>Nia</v>
      </c>
      <c r="F33" s="4" t="s">
        <v>408</v>
      </c>
      <c r="G33" s="145" t="str">
        <f t="shared" si="0"/>
        <v>hNia</v>
      </c>
      <c r="H33" s="4" t="s">
        <v>409</v>
      </c>
      <c r="I33" s="145" t="str">
        <f t="shared" ref="I33" si="341" xml:space="preserve"> IF(H33="", "", _xlfn.CONCAT(H$2,$B33))</f>
        <v>bNia</v>
      </c>
      <c r="J33" s="4" t="s">
        <v>410</v>
      </c>
      <c r="K33" s="145" t="str">
        <f t="shared" ref="K33" si="342" xml:space="preserve"> IF(J33="", "", _xlfn.CONCAT(J$2,$B33))</f>
        <v>pNia</v>
      </c>
      <c r="L33" s="4"/>
      <c r="M33" s="145" t="str">
        <f t="shared" ref="M33" si="343" xml:space="preserve"> IF(L33="", "", _xlfn.CONCAT(L$2,$B33))</f>
        <v/>
      </c>
      <c r="N33" s="4"/>
      <c r="O33" s="145" t="str">
        <f t="shared" ref="O33" si="344" xml:space="preserve"> IF(N33="", "", _xlfn.CONCAT(N$2,$B33))</f>
        <v/>
      </c>
      <c r="P33" s="4" t="s">
        <v>411</v>
      </c>
      <c r="Q33" s="145" t="str">
        <f t="shared" ref="Q33" si="345" xml:space="preserve"> IF(P33="", "", _xlfn.CONCAT(P$2,$B33))</f>
        <v>dNia</v>
      </c>
      <c r="R33" s="4" t="s">
        <v>412</v>
      </c>
      <c r="S33" s="145" t="str">
        <f t="shared" ref="S33" si="346" xml:space="preserve"> IF(R33="", "", _xlfn.CONCAT(R$2,$B33))</f>
        <v>tNia</v>
      </c>
      <c r="T33" s="4"/>
      <c r="U33" s="145" t="str">
        <f t="shared" ref="U33" si="347" xml:space="preserve"> IF(T33="", "", _xlfn.CONCAT(T$2,$B33))</f>
        <v/>
      </c>
      <c r="V33" s="4"/>
      <c r="W33" s="145" t="str">
        <f t="shared" ref="W33" si="348" xml:space="preserve"> IF(V33="", "", _xlfn.CONCAT(V$2,$B33))</f>
        <v/>
      </c>
      <c r="X33" s="4" t="s">
        <v>413</v>
      </c>
      <c r="Y33" s="145" t="str">
        <f t="shared" si="9"/>
        <v>jNia</v>
      </c>
      <c r="Z33" s="4" t="s">
        <v>414</v>
      </c>
      <c r="AA33" s="145" t="str">
        <f t="shared" si="10"/>
        <v>chNia</v>
      </c>
      <c r="AB33" s="4"/>
      <c r="AC33" s="145" t="str">
        <f t="shared" si="11"/>
        <v/>
      </c>
      <c r="AD33" s="4" t="s">
        <v>415</v>
      </c>
      <c r="AE33" s="145" t="str">
        <f t="shared" si="12"/>
        <v>shNia</v>
      </c>
      <c r="AF33" s="4" t="s">
        <v>416</v>
      </c>
      <c r="AG33" s="145" t="str">
        <f t="shared" ref="AG33" si="349" xml:space="preserve"> IF(AF33="", "", _xlfn.CONCAT(AF$2,$B33))</f>
        <v>gNia</v>
      </c>
      <c r="AH33" s="4" t="s">
        <v>417</v>
      </c>
      <c r="AI33" s="145" t="str">
        <f t="shared" ref="AI33" si="350" xml:space="preserve"> IF(AH33="", "", _xlfn.CONCAT(AH$2,$B33))</f>
        <v>kNia</v>
      </c>
      <c r="AJ33" s="4"/>
      <c r="AK33" s="145" t="str">
        <f t="shared" ref="AK33" si="351" xml:space="preserve"> IF(AJ33="", "", _xlfn.CONCAT(AJ$2,$B33))</f>
        <v/>
      </c>
      <c r="AL33" s="4"/>
      <c r="AM33" s="145" t="str">
        <f t="shared" ref="AM33" si="352" xml:space="preserve"> IF(AL33="", "", _xlfn.CONCAT(AL$2,$B33))</f>
        <v/>
      </c>
    </row>
    <row r="34" spans="2:39">
      <c r="B34" s="143" t="s">
        <v>1788</v>
      </c>
      <c r="C34" s="142" t="s">
        <v>418</v>
      </c>
      <c r="D34" s="4" t="s">
        <v>419</v>
      </c>
      <c r="E34" s="145" t="str">
        <f t="shared" si="0"/>
        <v>iah</v>
      </c>
      <c r="F34" s="4" t="s">
        <v>420</v>
      </c>
      <c r="G34" s="145" t="str">
        <f t="shared" si="0"/>
        <v>hiah</v>
      </c>
      <c r="H34" s="4" t="s">
        <v>421</v>
      </c>
      <c r="I34" s="145" t="str">
        <f t="shared" ref="I34" si="353" xml:space="preserve"> IF(H34="", "", _xlfn.CONCAT(H$2,$B34))</f>
        <v>biah</v>
      </c>
      <c r="J34" s="4" t="s">
        <v>422</v>
      </c>
      <c r="K34" s="145" t="str">
        <f t="shared" ref="K34" si="354" xml:space="preserve"> IF(J34="", "", _xlfn.CONCAT(J$2,$B34))</f>
        <v>piah</v>
      </c>
      <c r="L34" s="4"/>
      <c r="M34" s="145" t="str">
        <f t="shared" ref="M34" si="355" xml:space="preserve"> IF(L34="", "", _xlfn.CONCAT(L$2,$B34))</f>
        <v/>
      </c>
      <c r="N34" s="4"/>
      <c r="O34" s="145" t="str">
        <f t="shared" ref="O34" si="356" xml:space="preserve"> IF(N34="", "", _xlfn.CONCAT(N$2,$B34))</f>
        <v/>
      </c>
      <c r="P34" s="4" t="s">
        <v>423</v>
      </c>
      <c r="Q34" s="145" t="str">
        <f t="shared" ref="Q34" si="357" xml:space="preserve"> IF(P34="", "", _xlfn.CONCAT(P$2,$B34))</f>
        <v>diah</v>
      </c>
      <c r="R34" s="4" t="s">
        <v>424</v>
      </c>
      <c r="S34" s="145" t="str">
        <f t="shared" ref="S34" si="358" xml:space="preserve"> IF(R34="", "", _xlfn.CONCAT(R$2,$B34))</f>
        <v>tiah</v>
      </c>
      <c r="T34" s="4"/>
      <c r="U34" s="145" t="str">
        <f t="shared" ref="U34" si="359" xml:space="preserve"> IF(T34="", "", _xlfn.CONCAT(T$2,$B34))</f>
        <v/>
      </c>
      <c r="V34" s="4" t="s">
        <v>425</v>
      </c>
      <c r="W34" s="145" t="str">
        <f t="shared" ref="W34" si="360" xml:space="preserve"> IF(V34="", "", _xlfn.CONCAT(V$2,$B34))</f>
        <v>liah</v>
      </c>
      <c r="X34" s="4" t="s">
        <v>426</v>
      </c>
      <c r="Y34" s="145" t="str">
        <f t="shared" si="9"/>
        <v>jiah</v>
      </c>
      <c r="Z34" s="4" t="s">
        <v>427</v>
      </c>
      <c r="AA34" s="145" t="str">
        <f t="shared" si="10"/>
        <v>chiah</v>
      </c>
      <c r="AB34" s="4" t="s">
        <v>428</v>
      </c>
      <c r="AC34" s="145" t="str">
        <f t="shared" si="11"/>
        <v>jjiah</v>
      </c>
      <c r="AD34" s="4" t="s">
        <v>429</v>
      </c>
      <c r="AE34" s="145" t="str">
        <f t="shared" si="12"/>
        <v>shiah</v>
      </c>
      <c r="AF34" s="4" t="s">
        <v>430</v>
      </c>
      <c r="AG34" s="145" t="str">
        <f t="shared" ref="AG34" si="361" xml:space="preserve"> IF(AF34="", "", _xlfn.CONCAT(AF$2,$B34))</f>
        <v>giah</v>
      </c>
      <c r="AH34" s="4" t="s">
        <v>431</v>
      </c>
      <c r="AI34" s="145" t="str">
        <f t="shared" ref="AI34" si="362" xml:space="preserve"> IF(AH34="", "", _xlfn.CONCAT(AH$2,$B34))</f>
        <v>kiah</v>
      </c>
      <c r="AJ34" s="4" t="s">
        <v>432</v>
      </c>
      <c r="AK34" s="145" t="str">
        <f t="shared" ref="AK34" si="363" xml:space="preserve"> IF(AJ34="", "", _xlfn.CONCAT(AJ$2,$B34))</f>
        <v>ggiah</v>
      </c>
      <c r="AL34" s="4"/>
      <c r="AM34" s="145" t="str">
        <f t="shared" ref="AM34" si="364" xml:space="preserve"> IF(AL34="", "", _xlfn.CONCAT(AL$2,$B34))</f>
        <v/>
      </c>
    </row>
    <row r="35" spans="2:39">
      <c r="B35" s="143" t="s">
        <v>1789</v>
      </c>
      <c r="C35" s="142" t="s">
        <v>433</v>
      </c>
      <c r="D35" s="4" t="s">
        <v>434</v>
      </c>
      <c r="E35" s="145" t="str">
        <f t="shared" si="0"/>
        <v>Niah</v>
      </c>
      <c r="F35" s="4" t="s">
        <v>435</v>
      </c>
      <c r="G35" s="145" t="str">
        <f t="shared" si="0"/>
        <v>hNiah</v>
      </c>
      <c r="H35" s="4"/>
      <c r="I35" s="145" t="str">
        <f t="shared" ref="I35" si="365" xml:space="preserve"> IF(H35="", "", _xlfn.CONCAT(H$2,$B35))</f>
        <v/>
      </c>
      <c r="J35" s="4"/>
      <c r="K35" s="145" t="str">
        <f t="shared" ref="K35" si="366" xml:space="preserve"> IF(J35="", "", _xlfn.CONCAT(J$2,$B35))</f>
        <v/>
      </c>
      <c r="L35" s="4"/>
      <c r="M35" s="145" t="str">
        <f t="shared" ref="M35" si="367" xml:space="preserve"> IF(L35="", "", _xlfn.CONCAT(L$2,$B35))</f>
        <v/>
      </c>
      <c r="N35" s="4"/>
      <c r="O35" s="145" t="str">
        <f t="shared" ref="O35" si="368" xml:space="preserve"> IF(N35="", "", _xlfn.CONCAT(N$2,$B35))</f>
        <v/>
      </c>
      <c r="P35" s="4"/>
      <c r="Q35" s="145" t="str">
        <f t="shared" ref="Q35" si="369" xml:space="preserve"> IF(P35="", "", _xlfn.CONCAT(P$2,$B35))</f>
        <v/>
      </c>
      <c r="R35" s="4"/>
      <c r="S35" s="145" t="str">
        <f t="shared" ref="S35" si="370" xml:space="preserve"> IF(R35="", "", _xlfn.CONCAT(R$2,$B35))</f>
        <v/>
      </c>
      <c r="T35" s="4"/>
      <c r="U35" s="145" t="str">
        <f t="shared" ref="U35" si="371" xml:space="preserve"> IF(T35="", "", _xlfn.CONCAT(T$2,$B35))</f>
        <v/>
      </c>
      <c r="V35" s="4"/>
      <c r="W35" s="145" t="str">
        <f t="shared" ref="W35" si="372" xml:space="preserve"> IF(V35="", "", _xlfn.CONCAT(V$2,$B35))</f>
        <v/>
      </c>
      <c r="X35" s="4"/>
      <c r="Y35" s="145" t="str">
        <f t="shared" si="9"/>
        <v/>
      </c>
      <c r="Z35" s="4"/>
      <c r="AA35" s="145" t="str">
        <f t="shared" si="10"/>
        <v/>
      </c>
      <c r="AB35" s="4"/>
      <c r="AC35" s="145" t="str">
        <f t="shared" si="11"/>
        <v/>
      </c>
      <c r="AD35" s="4" t="s">
        <v>436</v>
      </c>
      <c r="AE35" s="145" t="str">
        <f t="shared" si="12"/>
        <v>shNiah</v>
      </c>
      <c r="AF35" s="4"/>
      <c r="AG35" s="145" t="str">
        <f t="shared" ref="AG35" si="373" xml:space="preserve"> IF(AF35="", "", _xlfn.CONCAT(AF$2,$B35))</f>
        <v/>
      </c>
      <c r="AH35" s="4"/>
      <c r="AI35" s="145" t="str">
        <f t="shared" ref="AI35" si="374" xml:space="preserve"> IF(AH35="", "", _xlfn.CONCAT(AH$2,$B35))</f>
        <v/>
      </c>
      <c r="AJ35" s="4"/>
      <c r="AK35" s="145" t="str">
        <f t="shared" ref="AK35" si="375" xml:space="preserve"> IF(AJ35="", "", _xlfn.CONCAT(AJ$2,$B35))</f>
        <v/>
      </c>
      <c r="AL35" s="4"/>
      <c r="AM35" s="145" t="str">
        <f t="shared" ref="AM35" si="376" xml:space="preserve"> IF(AL35="", "", _xlfn.CONCAT(AL$2,$B35))</f>
        <v/>
      </c>
    </row>
    <row r="36" spans="2:39">
      <c r="B36" s="143" t="s">
        <v>1790</v>
      </c>
      <c r="C36" s="142" t="s">
        <v>437</v>
      </c>
      <c r="D36" s="4" t="s">
        <v>438</v>
      </c>
      <c r="E36" s="145" t="str">
        <f t="shared" si="0"/>
        <v>iam</v>
      </c>
      <c r="F36" s="4" t="s">
        <v>439</v>
      </c>
      <c r="G36" s="145" t="str">
        <f t="shared" si="0"/>
        <v>hiam</v>
      </c>
      <c r="H36" s="4"/>
      <c r="I36" s="145" t="str">
        <f t="shared" ref="I36" si="377" xml:space="preserve"> IF(H36="", "", _xlfn.CONCAT(H$2,$B36))</f>
        <v/>
      </c>
      <c r="J36" s="4"/>
      <c r="K36" s="145" t="str">
        <f t="shared" ref="K36" si="378" xml:space="preserve"> IF(J36="", "", _xlfn.CONCAT(J$2,$B36))</f>
        <v/>
      </c>
      <c r="L36" s="4"/>
      <c r="M36" s="145" t="str">
        <f t="shared" ref="M36" si="379" xml:space="preserve"> IF(L36="", "", _xlfn.CONCAT(L$2,$B36))</f>
        <v/>
      </c>
      <c r="N36" s="4"/>
      <c r="O36" s="145" t="str">
        <f t="shared" ref="O36" si="380" xml:space="preserve"> IF(N36="", "", _xlfn.CONCAT(N$2,$B36))</f>
        <v/>
      </c>
      <c r="P36" s="4" t="s">
        <v>440</v>
      </c>
      <c r="Q36" s="145" t="str">
        <f t="shared" ref="Q36" si="381" xml:space="preserve"> IF(P36="", "", _xlfn.CONCAT(P$2,$B36))</f>
        <v>diam</v>
      </c>
      <c r="R36" s="4" t="s">
        <v>441</v>
      </c>
      <c r="S36" s="145" t="str">
        <f t="shared" ref="S36" si="382" xml:space="preserve"> IF(R36="", "", _xlfn.CONCAT(R$2,$B36))</f>
        <v>tiam</v>
      </c>
      <c r="T36" s="4"/>
      <c r="U36" s="145" t="str">
        <f t="shared" ref="U36" si="383" xml:space="preserve"> IF(T36="", "", _xlfn.CONCAT(T$2,$B36))</f>
        <v/>
      </c>
      <c r="V36" s="4" t="s">
        <v>442</v>
      </c>
      <c r="W36" s="145" t="str">
        <f t="shared" ref="W36" si="384" xml:space="preserve"> IF(V36="", "", _xlfn.CONCAT(V$2,$B36))</f>
        <v>liam</v>
      </c>
      <c r="X36" s="4" t="s">
        <v>443</v>
      </c>
      <c r="Y36" s="145" t="str">
        <f t="shared" si="9"/>
        <v>jiam</v>
      </c>
      <c r="Z36" s="4" t="s">
        <v>444</v>
      </c>
      <c r="AA36" s="145" t="str">
        <f t="shared" si="10"/>
        <v>chiam</v>
      </c>
      <c r="AB36" s="4" t="s">
        <v>445</v>
      </c>
      <c r="AC36" s="145" t="str">
        <f t="shared" si="11"/>
        <v>jjiam</v>
      </c>
      <c r="AD36" s="4" t="s">
        <v>446</v>
      </c>
      <c r="AE36" s="145" t="str">
        <f t="shared" si="12"/>
        <v>shiam</v>
      </c>
      <c r="AF36" s="4" t="s">
        <v>447</v>
      </c>
      <c r="AG36" s="145" t="str">
        <f t="shared" ref="AG36" si="385" xml:space="preserve"> IF(AF36="", "", _xlfn.CONCAT(AF$2,$B36))</f>
        <v>giam</v>
      </c>
      <c r="AH36" s="4" t="s">
        <v>448</v>
      </c>
      <c r="AI36" s="145" t="str">
        <f t="shared" ref="AI36" si="386" xml:space="preserve"> IF(AH36="", "", _xlfn.CONCAT(AH$2,$B36))</f>
        <v>kiam</v>
      </c>
      <c r="AJ36" s="4" t="s">
        <v>449</v>
      </c>
      <c r="AK36" s="145" t="str">
        <f t="shared" ref="AK36" si="387" xml:space="preserve"> IF(AJ36="", "", _xlfn.CONCAT(AJ$2,$B36))</f>
        <v>ggiam</v>
      </c>
      <c r="AL36" s="4"/>
      <c r="AM36" s="145" t="str">
        <f t="shared" ref="AM36" si="388" xml:space="preserve"> IF(AL36="", "", _xlfn.CONCAT(AL$2,$B36))</f>
        <v/>
      </c>
    </row>
    <row r="37" spans="2:39">
      <c r="B37" s="143" t="s">
        <v>1700</v>
      </c>
      <c r="C37" s="142" t="s">
        <v>450</v>
      </c>
      <c r="D37" s="4" t="s">
        <v>451</v>
      </c>
      <c r="E37" s="145" t="str">
        <f t="shared" si="0"/>
        <v>ian</v>
      </c>
      <c r="F37" s="4" t="s">
        <v>452</v>
      </c>
      <c r="G37" s="145" t="str">
        <f t="shared" si="0"/>
        <v>hian</v>
      </c>
      <c r="H37" s="4" t="s">
        <v>453</v>
      </c>
      <c r="I37" s="145" t="str">
        <f t="shared" ref="I37" si="389" xml:space="preserve"> IF(H37="", "", _xlfn.CONCAT(H$2,$B37))</f>
        <v>bian</v>
      </c>
      <c r="J37" s="4" t="s">
        <v>454</v>
      </c>
      <c r="K37" s="145" t="str">
        <f t="shared" ref="K37" si="390" xml:space="preserve"> IF(J37="", "", _xlfn.CONCAT(J$2,$B37))</f>
        <v>pian</v>
      </c>
      <c r="L37" s="4" t="s">
        <v>455</v>
      </c>
      <c r="M37" s="145" t="str">
        <f t="shared" ref="M37" si="391" xml:space="preserve"> IF(L37="", "", _xlfn.CONCAT(L$2,$B37))</f>
        <v>bbian</v>
      </c>
      <c r="N37" s="4"/>
      <c r="O37" s="145" t="str">
        <f t="shared" ref="O37" si="392" xml:space="preserve"> IF(N37="", "", _xlfn.CONCAT(N$2,$B37))</f>
        <v/>
      </c>
      <c r="P37" s="4" t="s">
        <v>456</v>
      </c>
      <c r="Q37" s="145" t="str">
        <f t="shared" ref="Q37" si="393" xml:space="preserve"> IF(P37="", "", _xlfn.CONCAT(P$2,$B37))</f>
        <v>dian</v>
      </c>
      <c r="R37" s="4" t="s">
        <v>457</v>
      </c>
      <c r="S37" s="145" t="str">
        <f t="shared" ref="S37" si="394" xml:space="preserve"> IF(R37="", "", _xlfn.CONCAT(R$2,$B37))</f>
        <v>tian</v>
      </c>
      <c r="T37" s="4"/>
      <c r="U37" s="145" t="str">
        <f t="shared" ref="U37" si="395" xml:space="preserve"> IF(T37="", "", _xlfn.CONCAT(T$2,$B37))</f>
        <v/>
      </c>
      <c r="V37" s="4" t="s">
        <v>458</v>
      </c>
      <c r="W37" s="145" t="str">
        <f t="shared" ref="W37" si="396" xml:space="preserve"> IF(V37="", "", _xlfn.CONCAT(V$2,$B37))</f>
        <v>lian</v>
      </c>
      <c r="X37" s="4" t="s">
        <v>459</v>
      </c>
      <c r="Y37" s="145" t="str">
        <f t="shared" si="9"/>
        <v>jian</v>
      </c>
      <c r="Z37" s="4" t="s">
        <v>460</v>
      </c>
      <c r="AA37" s="145" t="str">
        <f t="shared" si="10"/>
        <v>chian</v>
      </c>
      <c r="AB37" s="4" t="s">
        <v>461</v>
      </c>
      <c r="AC37" s="145" t="str">
        <f t="shared" si="11"/>
        <v>jjian</v>
      </c>
      <c r="AD37" s="4" t="s">
        <v>462</v>
      </c>
      <c r="AE37" s="145" t="str">
        <f t="shared" si="12"/>
        <v>shian</v>
      </c>
      <c r="AF37" s="4" t="s">
        <v>463</v>
      </c>
      <c r="AG37" s="145" t="str">
        <f t="shared" ref="AG37" si="397" xml:space="preserve"> IF(AF37="", "", _xlfn.CONCAT(AF$2,$B37))</f>
        <v>gian</v>
      </c>
      <c r="AH37" s="4" t="s">
        <v>464</v>
      </c>
      <c r="AI37" s="145" t="str">
        <f t="shared" ref="AI37" si="398" xml:space="preserve"> IF(AH37="", "", _xlfn.CONCAT(AH$2,$B37))</f>
        <v>kian</v>
      </c>
      <c r="AJ37" s="4" t="s">
        <v>465</v>
      </c>
      <c r="AK37" s="145" t="str">
        <f t="shared" ref="AK37" si="399" xml:space="preserve"> IF(AJ37="", "", _xlfn.CONCAT(AJ$2,$B37))</f>
        <v>ggian</v>
      </c>
      <c r="AL37" s="4"/>
      <c r="AM37" s="145" t="str">
        <f t="shared" ref="AM37" si="400" xml:space="preserve"> IF(AL37="", "", _xlfn.CONCAT(AL$2,$B37))</f>
        <v/>
      </c>
    </row>
    <row r="38" spans="2:39">
      <c r="B38" s="143" t="s">
        <v>1791</v>
      </c>
      <c r="C38" s="142" t="s">
        <v>466</v>
      </c>
      <c r="D38" s="4" t="s">
        <v>467</v>
      </c>
      <c r="E38" s="145" t="str">
        <f t="shared" si="0"/>
        <v>iang</v>
      </c>
      <c r="F38" s="4" t="s">
        <v>468</v>
      </c>
      <c r="G38" s="145" t="str">
        <f t="shared" si="0"/>
        <v>hiang</v>
      </c>
      <c r="H38" s="4" t="s">
        <v>469</v>
      </c>
      <c r="I38" s="145" t="str">
        <f t="shared" ref="I38" si="401" xml:space="preserve"> IF(H38="", "", _xlfn.CONCAT(H$2,$B38))</f>
        <v>biang</v>
      </c>
      <c r="J38" s="4" t="s">
        <v>470</v>
      </c>
      <c r="K38" s="145" t="str">
        <f t="shared" ref="K38" si="402" xml:space="preserve"> IF(J38="", "", _xlfn.CONCAT(J$2,$B38))</f>
        <v>piang</v>
      </c>
      <c r="L38" s="4"/>
      <c r="M38" s="145" t="str">
        <f t="shared" ref="M38" si="403" xml:space="preserve"> IF(L38="", "", _xlfn.CONCAT(L$2,$B38))</f>
        <v/>
      </c>
      <c r="N38" s="4"/>
      <c r="O38" s="145" t="str">
        <f t="shared" ref="O38" si="404" xml:space="preserve"> IF(N38="", "", _xlfn.CONCAT(N$2,$B38))</f>
        <v/>
      </c>
      <c r="P38" s="4"/>
      <c r="Q38" s="145" t="str">
        <f t="shared" ref="Q38" si="405" xml:space="preserve"> IF(P38="", "", _xlfn.CONCAT(P$2,$B38))</f>
        <v/>
      </c>
      <c r="R38" s="4"/>
      <c r="S38" s="145" t="str">
        <f t="shared" ref="S38" si="406" xml:space="preserve"> IF(R38="", "", _xlfn.CONCAT(R$2,$B38))</f>
        <v/>
      </c>
      <c r="T38" s="4"/>
      <c r="U38" s="145" t="str">
        <f t="shared" ref="U38" si="407" xml:space="preserve"> IF(T38="", "", _xlfn.CONCAT(T$2,$B38))</f>
        <v/>
      </c>
      <c r="V38" s="4" t="s">
        <v>471</v>
      </c>
      <c r="W38" s="145" t="str">
        <f t="shared" ref="W38" si="408" xml:space="preserve"> IF(V38="", "", _xlfn.CONCAT(V$2,$B38))</f>
        <v>liang</v>
      </c>
      <c r="X38" s="4" t="s">
        <v>472</v>
      </c>
      <c r="Y38" s="145" t="str">
        <f t="shared" si="9"/>
        <v>jiang</v>
      </c>
      <c r="Z38" s="4" t="s">
        <v>473</v>
      </c>
      <c r="AA38" s="145" t="str">
        <f t="shared" si="10"/>
        <v>chiang</v>
      </c>
      <c r="AB38" s="4" t="s">
        <v>474</v>
      </c>
      <c r="AC38" s="145" t="str">
        <f t="shared" si="11"/>
        <v>jjiang</v>
      </c>
      <c r="AD38" s="4" t="s">
        <v>475</v>
      </c>
      <c r="AE38" s="145" t="str">
        <f t="shared" si="12"/>
        <v>shiang</v>
      </c>
      <c r="AF38" s="4" t="s">
        <v>476</v>
      </c>
      <c r="AG38" s="145" t="str">
        <f t="shared" ref="AG38" si="409" xml:space="preserve"> IF(AF38="", "", _xlfn.CONCAT(AF$2,$B38))</f>
        <v>giang</v>
      </c>
      <c r="AH38" s="4" t="s">
        <v>477</v>
      </c>
      <c r="AI38" s="145" t="str">
        <f t="shared" ref="AI38" si="410" xml:space="preserve"> IF(AH38="", "", _xlfn.CONCAT(AH$2,$B38))</f>
        <v>kiang</v>
      </c>
      <c r="AJ38" s="4" t="s">
        <v>478</v>
      </c>
      <c r="AK38" s="145" t="str">
        <f t="shared" ref="AK38" si="411" xml:space="preserve"> IF(AJ38="", "", _xlfn.CONCAT(AJ$2,$B38))</f>
        <v>ggiang</v>
      </c>
      <c r="AL38" s="4"/>
      <c r="AM38" s="145" t="str">
        <f t="shared" ref="AM38" si="412" xml:space="preserve"> IF(AL38="", "", _xlfn.CONCAT(AL$2,$B38))</f>
        <v/>
      </c>
    </row>
    <row r="39" spans="2:39">
      <c r="B39" s="143" t="s">
        <v>1792</v>
      </c>
      <c r="C39" s="142" t="s">
        <v>479</v>
      </c>
      <c r="D39" s="4" t="s">
        <v>480</v>
      </c>
      <c r="E39" s="145" t="str">
        <f t="shared" si="0"/>
        <v>iap</v>
      </c>
      <c r="F39" s="4" t="s">
        <v>481</v>
      </c>
      <c r="G39" s="145" t="str">
        <f t="shared" si="0"/>
        <v>hiap</v>
      </c>
      <c r="H39" s="4"/>
      <c r="I39" s="145" t="str">
        <f t="shared" ref="I39" si="413" xml:space="preserve"> IF(H39="", "", _xlfn.CONCAT(H$2,$B39))</f>
        <v/>
      </c>
      <c r="J39" s="4"/>
      <c r="K39" s="145" t="str">
        <f t="shared" ref="K39" si="414" xml:space="preserve"> IF(J39="", "", _xlfn.CONCAT(J$2,$B39))</f>
        <v/>
      </c>
      <c r="L39" s="4"/>
      <c r="M39" s="145" t="str">
        <f t="shared" ref="M39" si="415" xml:space="preserve"> IF(L39="", "", _xlfn.CONCAT(L$2,$B39))</f>
        <v/>
      </c>
      <c r="N39" s="4"/>
      <c r="O39" s="145" t="str">
        <f t="shared" ref="O39" si="416" xml:space="preserve"> IF(N39="", "", _xlfn.CONCAT(N$2,$B39))</f>
        <v/>
      </c>
      <c r="P39" s="4" t="s">
        <v>482</v>
      </c>
      <c r="Q39" s="145" t="str">
        <f t="shared" ref="Q39" si="417" xml:space="preserve"> IF(P39="", "", _xlfn.CONCAT(P$2,$B39))</f>
        <v>diap</v>
      </c>
      <c r="R39" s="4" t="s">
        <v>483</v>
      </c>
      <c r="S39" s="145" t="str">
        <f t="shared" ref="S39" si="418" xml:space="preserve"> IF(R39="", "", _xlfn.CONCAT(R$2,$B39))</f>
        <v>tiap</v>
      </c>
      <c r="T39" s="4"/>
      <c r="U39" s="145" t="str">
        <f t="shared" ref="U39" si="419" xml:space="preserve"> IF(T39="", "", _xlfn.CONCAT(T$2,$B39))</f>
        <v/>
      </c>
      <c r="V39" s="4" t="s">
        <v>484</v>
      </c>
      <c r="W39" s="145" t="str">
        <f t="shared" ref="W39" si="420" xml:space="preserve"> IF(V39="", "", _xlfn.CONCAT(V$2,$B39))</f>
        <v>liap</v>
      </c>
      <c r="X39" s="4" t="s">
        <v>485</v>
      </c>
      <c r="Y39" s="145" t="str">
        <f t="shared" si="9"/>
        <v>jiap</v>
      </c>
      <c r="Z39" s="4" t="s">
        <v>486</v>
      </c>
      <c r="AA39" s="145" t="str">
        <f t="shared" si="10"/>
        <v>chiap</v>
      </c>
      <c r="AB39" s="4" t="s">
        <v>487</v>
      </c>
      <c r="AC39" s="145" t="str">
        <f t="shared" si="11"/>
        <v>jjiap</v>
      </c>
      <c r="AD39" s="4" t="s">
        <v>488</v>
      </c>
      <c r="AE39" s="145" t="str">
        <f t="shared" si="12"/>
        <v>shiap</v>
      </c>
      <c r="AF39" s="4" t="s">
        <v>489</v>
      </c>
      <c r="AG39" s="145" t="str">
        <f t="shared" ref="AG39" si="421" xml:space="preserve"> IF(AF39="", "", _xlfn.CONCAT(AF$2,$B39))</f>
        <v>giap</v>
      </c>
      <c r="AH39" s="4" t="s">
        <v>490</v>
      </c>
      <c r="AI39" s="145" t="str">
        <f t="shared" ref="AI39" si="422" xml:space="preserve"> IF(AH39="", "", _xlfn.CONCAT(AH$2,$B39))</f>
        <v>kiap</v>
      </c>
      <c r="AJ39" s="4" t="s">
        <v>491</v>
      </c>
      <c r="AK39" s="145" t="str">
        <f t="shared" ref="AK39" si="423" xml:space="preserve"> IF(AJ39="", "", _xlfn.CONCAT(AJ$2,$B39))</f>
        <v>ggiap</v>
      </c>
      <c r="AL39" s="4"/>
      <c r="AM39" s="145" t="str">
        <f t="shared" ref="AM39" si="424" xml:space="preserve"> IF(AL39="", "", _xlfn.CONCAT(AL$2,$B39))</f>
        <v/>
      </c>
    </row>
    <row r="40" spans="2:39">
      <c r="B40" s="143" t="s">
        <v>1701</v>
      </c>
      <c r="C40" s="142" t="s">
        <v>492</v>
      </c>
      <c r="D40" s="4" t="s">
        <v>493</v>
      </c>
      <c r="E40" s="145" t="str">
        <f t="shared" si="0"/>
        <v>iat</v>
      </c>
      <c r="F40" s="4" t="s">
        <v>494</v>
      </c>
      <c r="G40" s="145" t="str">
        <f t="shared" si="0"/>
        <v>hiat</v>
      </c>
      <c r="H40" s="4" t="s">
        <v>495</v>
      </c>
      <c r="I40" s="145" t="str">
        <f t="shared" ref="I40" si="425" xml:space="preserve"> IF(H40="", "", _xlfn.CONCAT(H$2,$B40))</f>
        <v>biat</v>
      </c>
      <c r="J40" s="4" t="s">
        <v>496</v>
      </c>
      <c r="K40" s="145" t="str">
        <f t="shared" ref="K40" si="426" xml:space="preserve"> IF(J40="", "", _xlfn.CONCAT(J$2,$B40))</f>
        <v>piat</v>
      </c>
      <c r="L40" s="4" t="s">
        <v>497</v>
      </c>
      <c r="M40" s="145" t="str">
        <f t="shared" ref="M40" si="427" xml:space="preserve"> IF(L40="", "", _xlfn.CONCAT(L$2,$B40))</f>
        <v>bbiat</v>
      </c>
      <c r="N40" s="4"/>
      <c r="O40" s="145" t="str">
        <f t="shared" ref="O40" si="428" xml:space="preserve"> IF(N40="", "", _xlfn.CONCAT(N$2,$B40))</f>
        <v/>
      </c>
      <c r="P40" s="4" t="s">
        <v>498</v>
      </c>
      <c r="Q40" s="145" t="str">
        <f t="shared" ref="Q40" si="429" xml:space="preserve"> IF(P40="", "", _xlfn.CONCAT(P$2,$B40))</f>
        <v>diat</v>
      </c>
      <c r="R40" s="4" t="s">
        <v>499</v>
      </c>
      <c r="S40" s="145" t="str">
        <f t="shared" ref="S40" si="430" xml:space="preserve"> IF(R40="", "", _xlfn.CONCAT(R$2,$B40))</f>
        <v>tiat</v>
      </c>
      <c r="T40" s="4"/>
      <c r="U40" s="145" t="str">
        <f t="shared" ref="U40" si="431" xml:space="preserve"> IF(T40="", "", _xlfn.CONCAT(T$2,$B40))</f>
        <v/>
      </c>
      <c r="V40" s="4" t="s">
        <v>500</v>
      </c>
      <c r="W40" s="145" t="str">
        <f t="shared" ref="W40" si="432" xml:space="preserve"> IF(V40="", "", _xlfn.CONCAT(V$2,$B40))</f>
        <v>liat</v>
      </c>
      <c r="X40" s="4" t="s">
        <v>501</v>
      </c>
      <c r="Y40" s="145" t="str">
        <f t="shared" si="9"/>
        <v>jiat</v>
      </c>
      <c r="Z40" s="4" t="s">
        <v>502</v>
      </c>
      <c r="AA40" s="145" t="str">
        <f t="shared" si="10"/>
        <v>chiat</v>
      </c>
      <c r="AB40" s="4" t="s">
        <v>503</v>
      </c>
      <c r="AC40" s="145" t="str">
        <f t="shared" si="11"/>
        <v>jjiat</v>
      </c>
      <c r="AD40" s="4" t="s">
        <v>504</v>
      </c>
      <c r="AE40" s="145" t="str">
        <f t="shared" si="12"/>
        <v>shiat</v>
      </c>
      <c r="AF40" s="4" t="s">
        <v>505</v>
      </c>
      <c r="AG40" s="145" t="str">
        <f t="shared" ref="AG40" si="433" xml:space="preserve"> IF(AF40="", "", _xlfn.CONCAT(AF$2,$B40))</f>
        <v>giat</v>
      </c>
      <c r="AH40" s="4" t="s">
        <v>506</v>
      </c>
      <c r="AI40" s="145" t="str">
        <f t="shared" ref="AI40" si="434" xml:space="preserve"> IF(AH40="", "", _xlfn.CONCAT(AH$2,$B40))</f>
        <v>kiat</v>
      </c>
      <c r="AJ40" s="4" t="s">
        <v>507</v>
      </c>
      <c r="AK40" s="145" t="str">
        <f t="shared" ref="AK40" si="435" xml:space="preserve"> IF(AJ40="", "", _xlfn.CONCAT(AJ$2,$B40))</f>
        <v>ggiat</v>
      </c>
      <c r="AL40" s="4"/>
      <c r="AM40" s="145" t="str">
        <f t="shared" ref="AM40" si="436" xml:space="preserve"> IF(AL40="", "", _xlfn.CONCAT(AL$2,$B40))</f>
        <v/>
      </c>
    </row>
    <row r="41" spans="2:39">
      <c r="B41" s="143" t="s">
        <v>1793</v>
      </c>
      <c r="C41" s="142" t="s">
        <v>508</v>
      </c>
      <c r="D41" s="4" t="s">
        <v>509</v>
      </c>
      <c r="E41" s="145" t="str">
        <f t="shared" si="0"/>
        <v>iak</v>
      </c>
      <c r="F41" s="4"/>
      <c r="G41" s="145" t="str">
        <f t="shared" si="0"/>
        <v/>
      </c>
      <c r="H41" s="4" t="s">
        <v>510</v>
      </c>
      <c r="I41" s="145" t="str">
        <f t="shared" ref="I41" si="437" xml:space="preserve"> IF(H41="", "", _xlfn.CONCAT(H$2,$B41))</f>
        <v>biak</v>
      </c>
      <c r="J41" s="4" t="s">
        <v>511</v>
      </c>
      <c r="K41" s="145" t="str">
        <f t="shared" ref="K41" si="438" xml:space="preserve"> IF(J41="", "", _xlfn.CONCAT(J$2,$B41))</f>
        <v>piak</v>
      </c>
      <c r="L41" s="4"/>
      <c r="M41" s="145" t="str">
        <f t="shared" ref="M41" si="439" xml:space="preserve"> IF(L41="", "", _xlfn.CONCAT(L$2,$B41))</f>
        <v/>
      </c>
      <c r="N41" s="4"/>
      <c r="O41" s="145" t="str">
        <f t="shared" ref="O41" si="440" xml:space="preserve"> IF(N41="", "", _xlfn.CONCAT(N$2,$B41))</f>
        <v/>
      </c>
      <c r="P41" s="4" t="s">
        <v>512</v>
      </c>
      <c r="Q41" s="145" t="str">
        <f t="shared" ref="Q41" si="441" xml:space="preserve"> IF(P41="", "", _xlfn.CONCAT(P$2,$B41))</f>
        <v>diak</v>
      </c>
      <c r="R41" s="4"/>
      <c r="S41" s="145" t="str">
        <f t="shared" ref="S41" si="442" xml:space="preserve"> IF(R41="", "", _xlfn.CONCAT(R$2,$B41))</f>
        <v/>
      </c>
      <c r="T41" s="4"/>
      <c r="U41" s="145" t="str">
        <f t="shared" ref="U41" si="443" xml:space="preserve"> IF(T41="", "", _xlfn.CONCAT(T$2,$B41))</f>
        <v/>
      </c>
      <c r="V41" s="4"/>
      <c r="W41" s="145" t="str">
        <f t="shared" ref="W41" si="444" xml:space="preserve"> IF(V41="", "", _xlfn.CONCAT(V$2,$B41))</f>
        <v/>
      </c>
      <c r="X41" s="4"/>
      <c r="Y41" s="145" t="str">
        <f t="shared" si="9"/>
        <v/>
      </c>
      <c r="Z41" s="4" t="s">
        <v>513</v>
      </c>
      <c r="AA41" s="145" t="str">
        <f t="shared" si="10"/>
        <v>chiak</v>
      </c>
      <c r="AB41" s="4"/>
      <c r="AC41" s="145" t="str">
        <f t="shared" si="11"/>
        <v/>
      </c>
      <c r="AD41" s="4" t="s">
        <v>514</v>
      </c>
      <c r="AE41" s="145" t="str">
        <f t="shared" si="12"/>
        <v>shiak</v>
      </c>
      <c r="AF41" s="4"/>
      <c r="AG41" s="145" t="str">
        <f t="shared" ref="AG41" si="445" xml:space="preserve"> IF(AF41="", "", _xlfn.CONCAT(AF$2,$B41))</f>
        <v/>
      </c>
      <c r="AH41" s="4" t="s">
        <v>515</v>
      </c>
      <c r="AI41" s="145" t="str">
        <f t="shared" ref="AI41" si="446" xml:space="preserve"> IF(AH41="", "", _xlfn.CONCAT(AH$2,$B41))</f>
        <v>kiak</v>
      </c>
      <c r="AJ41" s="4"/>
      <c r="AK41" s="145" t="str">
        <f t="shared" ref="AK41" si="447" xml:space="preserve"> IF(AJ41="", "", _xlfn.CONCAT(AJ$2,$B41))</f>
        <v/>
      </c>
      <c r="AL41" s="4"/>
      <c r="AM41" s="145" t="str">
        <f t="shared" ref="AM41" si="448" xml:space="preserve"> IF(AL41="", "", _xlfn.CONCAT(AL$2,$B41))</f>
        <v/>
      </c>
    </row>
    <row r="42" spans="2:39">
      <c r="B42" s="143" t="s">
        <v>1794</v>
      </c>
      <c r="C42" s="142" t="s">
        <v>516</v>
      </c>
      <c r="D42" s="4" t="s">
        <v>517</v>
      </c>
      <c r="E42" s="145" t="str">
        <f t="shared" si="0"/>
        <v>iau</v>
      </c>
      <c r="F42" s="4" t="s">
        <v>518</v>
      </c>
      <c r="G42" s="145" t="str">
        <f t="shared" si="0"/>
        <v>hiau</v>
      </c>
      <c r="H42" s="4" t="s">
        <v>519</v>
      </c>
      <c r="I42" s="145" t="str">
        <f t="shared" ref="I42" si="449" xml:space="preserve"> IF(H42="", "", _xlfn.CONCAT(H$2,$B42))</f>
        <v>biau</v>
      </c>
      <c r="J42" s="4" t="s">
        <v>520</v>
      </c>
      <c r="K42" s="145" t="str">
        <f t="shared" ref="K42" si="450" xml:space="preserve"> IF(J42="", "", _xlfn.CONCAT(J$2,$B42))</f>
        <v>piau</v>
      </c>
      <c r="L42" s="4" t="s">
        <v>521</v>
      </c>
      <c r="M42" s="145" t="str">
        <f t="shared" ref="M42" si="451" xml:space="preserve"> IF(L42="", "", _xlfn.CONCAT(L$2,$B42))</f>
        <v>bbiau</v>
      </c>
      <c r="N42" s="4" t="s">
        <v>522</v>
      </c>
      <c r="O42" s="145" t="str">
        <f t="shared" ref="O42" si="452" xml:space="preserve"> IF(N42="", "", _xlfn.CONCAT(N$2,$B42))</f>
        <v>miau</v>
      </c>
      <c r="P42" s="4" t="s">
        <v>523</v>
      </c>
      <c r="Q42" s="145" t="str">
        <f t="shared" ref="Q42" si="453" xml:space="preserve"> IF(P42="", "", _xlfn.CONCAT(P$2,$B42))</f>
        <v>diau</v>
      </c>
      <c r="R42" s="4" t="s">
        <v>524</v>
      </c>
      <c r="S42" s="145" t="str">
        <f t="shared" ref="S42" si="454" xml:space="preserve"> IF(R42="", "", _xlfn.CONCAT(R$2,$B42))</f>
        <v>tiau</v>
      </c>
      <c r="T42" s="4" t="s">
        <v>525</v>
      </c>
      <c r="U42" s="145" t="str">
        <f t="shared" ref="U42" si="455" xml:space="preserve"> IF(T42="", "", _xlfn.CONCAT(T$2,$B42))</f>
        <v>niau</v>
      </c>
      <c r="V42" s="4" t="s">
        <v>526</v>
      </c>
      <c r="W42" s="145" t="str">
        <f t="shared" ref="W42" si="456" xml:space="preserve"> IF(V42="", "", _xlfn.CONCAT(V$2,$B42))</f>
        <v>liau</v>
      </c>
      <c r="X42" s="4" t="s">
        <v>527</v>
      </c>
      <c r="Y42" s="145" t="str">
        <f t="shared" si="9"/>
        <v>jiau</v>
      </c>
      <c r="Z42" s="4" t="s">
        <v>528</v>
      </c>
      <c r="AA42" s="145" t="str">
        <f t="shared" si="10"/>
        <v>chiau</v>
      </c>
      <c r="AB42" s="4" t="s">
        <v>529</v>
      </c>
      <c r="AC42" s="145" t="str">
        <f t="shared" si="11"/>
        <v>jjiau</v>
      </c>
      <c r="AD42" s="4" t="s">
        <v>530</v>
      </c>
      <c r="AE42" s="145" t="str">
        <f t="shared" si="12"/>
        <v>shiau</v>
      </c>
      <c r="AF42" s="4" t="s">
        <v>531</v>
      </c>
      <c r="AG42" s="145" t="str">
        <f t="shared" ref="AG42" si="457" xml:space="preserve"> IF(AF42="", "", _xlfn.CONCAT(AF$2,$B42))</f>
        <v>giau</v>
      </c>
      <c r="AH42" s="4" t="s">
        <v>532</v>
      </c>
      <c r="AI42" s="145" t="str">
        <f t="shared" ref="AI42" si="458" xml:space="preserve"> IF(AH42="", "", _xlfn.CONCAT(AH$2,$B42))</f>
        <v>kiau</v>
      </c>
      <c r="AJ42" s="4" t="s">
        <v>533</v>
      </c>
      <c r="AK42" s="145" t="str">
        <f t="shared" ref="AK42" si="459" xml:space="preserve"> IF(AJ42="", "", _xlfn.CONCAT(AJ$2,$B42))</f>
        <v>ggiau</v>
      </c>
      <c r="AL42" s="4" t="s">
        <v>534</v>
      </c>
      <c r="AM42" s="145" t="str">
        <f t="shared" ref="AM42" si="460" xml:space="preserve"> IF(AL42="", "", _xlfn.CONCAT(AL$2,$B42))</f>
        <v>ngiau</v>
      </c>
    </row>
    <row r="43" spans="2:39">
      <c r="B43" s="143" t="s">
        <v>1795</v>
      </c>
      <c r="C43" s="142" t="s">
        <v>535</v>
      </c>
      <c r="D43" s="4" t="s">
        <v>536</v>
      </c>
      <c r="E43" s="145" t="str">
        <f t="shared" si="0"/>
        <v>Niau</v>
      </c>
      <c r="F43" s="4"/>
      <c r="G43" s="145" t="str">
        <f t="shared" si="0"/>
        <v/>
      </c>
      <c r="H43" s="4"/>
      <c r="I43" s="145" t="str">
        <f t="shared" ref="I43" si="461" xml:space="preserve"> IF(H43="", "", _xlfn.CONCAT(H$2,$B43))</f>
        <v/>
      </c>
      <c r="J43" s="4"/>
      <c r="K43" s="145" t="str">
        <f t="shared" ref="K43" si="462" xml:space="preserve"> IF(J43="", "", _xlfn.CONCAT(J$2,$B43))</f>
        <v/>
      </c>
      <c r="L43" s="4"/>
      <c r="M43" s="145" t="str">
        <f t="shared" ref="M43" si="463" xml:space="preserve"> IF(L43="", "", _xlfn.CONCAT(L$2,$B43))</f>
        <v/>
      </c>
      <c r="N43" s="4"/>
      <c r="O43" s="145" t="str">
        <f t="shared" ref="O43" si="464" xml:space="preserve"> IF(N43="", "", _xlfn.CONCAT(N$2,$B43))</f>
        <v/>
      </c>
      <c r="P43" s="4"/>
      <c r="Q43" s="145" t="str">
        <f t="shared" ref="Q43" si="465" xml:space="preserve"> IF(P43="", "", _xlfn.CONCAT(P$2,$B43))</f>
        <v/>
      </c>
      <c r="R43" s="4"/>
      <c r="S43" s="145" t="str">
        <f t="shared" ref="S43" si="466" xml:space="preserve"> IF(R43="", "", _xlfn.CONCAT(R$2,$B43))</f>
        <v/>
      </c>
      <c r="T43" s="4"/>
      <c r="U43" s="145" t="str">
        <f t="shared" ref="U43" si="467" xml:space="preserve"> IF(T43="", "", _xlfn.CONCAT(T$2,$B43))</f>
        <v/>
      </c>
      <c r="V43" s="4"/>
      <c r="W43" s="145" t="str">
        <f t="shared" ref="W43" si="468" xml:space="preserve"> IF(V43="", "", _xlfn.CONCAT(V$2,$B43))</f>
        <v/>
      </c>
      <c r="X43" s="4"/>
      <c r="Y43" s="145" t="str">
        <f t="shared" si="9"/>
        <v/>
      </c>
      <c r="Z43" s="4"/>
      <c r="AA43" s="145" t="str">
        <f t="shared" si="10"/>
        <v/>
      </c>
      <c r="AB43" s="4"/>
      <c r="AC43" s="145" t="str">
        <f t="shared" si="11"/>
        <v/>
      </c>
      <c r="AD43" s="4"/>
      <c r="AE43" s="145" t="str">
        <f t="shared" si="12"/>
        <v/>
      </c>
      <c r="AF43" s="4"/>
      <c r="AG43" s="145" t="str">
        <f t="shared" ref="AG43" si="469" xml:space="preserve"> IF(AF43="", "", _xlfn.CONCAT(AF$2,$B43))</f>
        <v/>
      </c>
      <c r="AH43" s="4"/>
      <c r="AI43" s="145" t="str">
        <f t="shared" ref="AI43" si="470" xml:space="preserve"> IF(AH43="", "", _xlfn.CONCAT(AH$2,$B43))</f>
        <v/>
      </c>
      <c r="AJ43" s="4"/>
      <c r="AK43" s="145" t="str">
        <f t="shared" ref="AK43" si="471" xml:space="preserve"> IF(AJ43="", "", _xlfn.CONCAT(AJ$2,$B43))</f>
        <v/>
      </c>
      <c r="AL43" s="4"/>
      <c r="AM43" s="145" t="str">
        <f t="shared" ref="AM43" si="472" xml:space="preserve"> IF(AL43="", "", _xlfn.CONCAT(AL$2,$B43))</f>
        <v/>
      </c>
    </row>
    <row r="44" spans="2:39">
      <c r="B44" s="143" t="s">
        <v>1796</v>
      </c>
      <c r="C44" s="142" t="s">
        <v>537</v>
      </c>
      <c r="D44" s="4" t="s">
        <v>538</v>
      </c>
      <c r="E44" s="145" t="str">
        <f t="shared" si="0"/>
        <v>iauh</v>
      </c>
      <c r="F44" s="4" t="s">
        <v>539</v>
      </c>
      <c r="G44" s="145" t="str">
        <f t="shared" si="0"/>
        <v>hiauh</v>
      </c>
      <c r="H44" s="4"/>
      <c r="I44" s="145" t="str">
        <f t="shared" ref="I44" si="473" xml:space="preserve"> IF(H44="", "", _xlfn.CONCAT(H$2,$B44))</f>
        <v/>
      </c>
      <c r="J44" s="4"/>
      <c r="K44" s="145" t="str">
        <f t="shared" ref="K44" si="474" xml:space="preserve"> IF(J44="", "", _xlfn.CONCAT(J$2,$B44))</f>
        <v/>
      </c>
      <c r="L44" s="4"/>
      <c r="M44" s="145" t="str">
        <f t="shared" ref="M44" si="475" xml:space="preserve"> IF(L44="", "", _xlfn.CONCAT(L$2,$B44))</f>
        <v/>
      </c>
      <c r="N44" s="4"/>
      <c r="O44" s="145" t="str">
        <f t="shared" ref="O44" si="476" xml:space="preserve"> IF(N44="", "", _xlfn.CONCAT(N$2,$B44))</f>
        <v/>
      </c>
      <c r="P44" s="4"/>
      <c r="Q44" s="145" t="str">
        <f t="shared" ref="Q44" si="477" xml:space="preserve"> IF(P44="", "", _xlfn.CONCAT(P$2,$B44))</f>
        <v/>
      </c>
      <c r="R44" s="4"/>
      <c r="S44" s="145" t="str">
        <f t="shared" ref="S44" si="478" xml:space="preserve"> IF(R44="", "", _xlfn.CONCAT(R$2,$B44))</f>
        <v/>
      </c>
      <c r="T44" s="4"/>
      <c r="U44" s="145" t="str">
        <f t="shared" ref="U44" si="479" xml:space="preserve"> IF(T44="", "", _xlfn.CONCAT(T$2,$B44))</f>
        <v/>
      </c>
      <c r="V44" s="4"/>
      <c r="W44" s="145" t="str">
        <f t="shared" ref="W44" si="480" xml:space="preserve"> IF(V44="", "", _xlfn.CONCAT(V$2,$B44))</f>
        <v/>
      </c>
      <c r="X44" s="4"/>
      <c r="Y44" s="145" t="str">
        <f t="shared" si="9"/>
        <v/>
      </c>
      <c r="Z44" s="4"/>
      <c r="AA44" s="145" t="str">
        <f t="shared" si="10"/>
        <v/>
      </c>
      <c r="AB44" s="4"/>
      <c r="AC44" s="145" t="str">
        <f t="shared" si="11"/>
        <v/>
      </c>
      <c r="AD44" s="4"/>
      <c r="AE44" s="145" t="str">
        <f t="shared" si="12"/>
        <v/>
      </c>
      <c r="AF44" s="4"/>
      <c r="AG44" s="145" t="str">
        <f t="shared" ref="AG44" si="481" xml:space="preserve"> IF(AF44="", "", _xlfn.CONCAT(AF$2,$B44))</f>
        <v/>
      </c>
      <c r="AH44" s="4" t="s">
        <v>540</v>
      </c>
      <c r="AI44" s="145" t="str">
        <f t="shared" ref="AI44" si="482" xml:space="preserve"> IF(AH44="", "", _xlfn.CONCAT(AH$2,$B44))</f>
        <v>kiauh</v>
      </c>
      <c r="AJ44" s="4"/>
      <c r="AK44" s="145" t="str">
        <f t="shared" ref="AK44" si="483" xml:space="preserve"> IF(AJ44="", "", _xlfn.CONCAT(AJ$2,$B44))</f>
        <v/>
      </c>
      <c r="AL44" s="4" t="s">
        <v>541</v>
      </c>
      <c r="AM44" s="145" t="str">
        <f t="shared" ref="AM44" si="484" xml:space="preserve"> IF(AL44="", "", _xlfn.CONCAT(AL$2,$B44))</f>
        <v>ngiauh</v>
      </c>
    </row>
    <row r="45" spans="2:39">
      <c r="B45" s="143" t="s">
        <v>1797</v>
      </c>
      <c r="C45" s="142" t="s">
        <v>542</v>
      </c>
      <c r="D45" s="4" t="s">
        <v>543</v>
      </c>
      <c r="E45" s="145" t="str">
        <f t="shared" si="0"/>
        <v>io</v>
      </c>
      <c r="F45" s="4" t="s">
        <v>544</v>
      </c>
      <c r="G45" s="145" t="str">
        <f t="shared" si="0"/>
        <v>hio</v>
      </c>
      <c r="H45" s="4" t="s">
        <v>545</v>
      </c>
      <c r="I45" s="145" t="str">
        <f t="shared" ref="I45" si="485" xml:space="preserve"> IF(H45="", "", _xlfn.CONCAT(H$2,$B45))</f>
        <v>bio</v>
      </c>
      <c r="J45" s="4" t="s">
        <v>546</v>
      </c>
      <c r="K45" s="145" t="str">
        <f t="shared" ref="K45" si="486" xml:space="preserve"> IF(J45="", "", _xlfn.CONCAT(J$2,$B45))</f>
        <v>pio</v>
      </c>
      <c r="L45" s="4" t="s">
        <v>547</v>
      </c>
      <c r="M45" s="145" t="str">
        <f t="shared" ref="M45" si="487" xml:space="preserve"> IF(L45="", "", _xlfn.CONCAT(L$2,$B45))</f>
        <v>bbio</v>
      </c>
      <c r="N45" s="4"/>
      <c r="O45" s="145" t="str">
        <f t="shared" ref="O45" si="488" xml:space="preserve"> IF(N45="", "", _xlfn.CONCAT(N$2,$B45))</f>
        <v/>
      </c>
      <c r="P45" s="4" t="s">
        <v>548</v>
      </c>
      <c r="Q45" s="145" t="str">
        <f t="shared" ref="Q45" si="489" xml:space="preserve"> IF(P45="", "", _xlfn.CONCAT(P$2,$B45))</f>
        <v>dio</v>
      </c>
      <c r="R45" s="4" t="s">
        <v>549</v>
      </c>
      <c r="S45" s="145" t="str">
        <f t="shared" ref="S45" si="490" xml:space="preserve"> IF(R45="", "", _xlfn.CONCAT(R$2,$B45))</f>
        <v>tio</v>
      </c>
      <c r="T45" s="4"/>
      <c r="U45" s="145" t="str">
        <f t="shared" ref="U45" si="491" xml:space="preserve"> IF(T45="", "", _xlfn.CONCAT(T$2,$B45))</f>
        <v/>
      </c>
      <c r="V45" s="4" t="s">
        <v>550</v>
      </c>
      <c r="W45" s="145" t="str">
        <f t="shared" ref="W45" si="492" xml:space="preserve"> IF(V45="", "", _xlfn.CONCAT(V$2,$B45))</f>
        <v>lio</v>
      </c>
      <c r="X45" s="4" t="s">
        <v>551</v>
      </c>
      <c r="Y45" s="145" t="str">
        <f t="shared" si="9"/>
        <v>jio</v>
      </c>
      <c r="Z45" s="4" t="s">
        <v>552</v>
      </c>
      <c r="AA45" s="145" t="str">
        <f t="shared" si="10"/>
        <v>chio</v>
      </c>
      <c r="AB45" s="4" t="s">
        <v>553</v>
      </c>
      <c r="AC45" s="145" t="str">
        <f t="shared" si="11"/>
        <v>jjio</v>
      </c>
      <c r="AD45" s="4" t="s">
        <v>554</v>
      </c>
      <c r="AE45" s="145" t="str">
        <f t="shared" si="12"/>
        <v>shio</v>
      </c>
      <c r="AF45" s="4" t="s">
        <v>555</v>
      </c>
      <c r="AG45" s="145" t="str">
        <f t="shared" ref="AG45" si="493" xml:space="preserve"> IF(AF45="", "", _xlfn.CONCAT(AF$2,$B45))</f>
        <v>gio</v>
      </c>
      <c r="AH45" s="4" t="s">
        <v>556</v>
      </c>
      <c r="AI45" s="145" t="str">
        <f t="shared" ref="AI45" si="494" xml:space="preserve"> IF(AH45="", "", _xlfn.CONCAT(AH$2,$B45))</f>
        <v>kio</v>
      </c>
      <c r="AJ45" s="4" t="s">
        <v>557</v>
      </c>
      <c r="AK45" s="145" t="str">
        <f t="shared" ref="AK45" si="495" xml:space="preserve"> IF(AJ45="", "", _xlfn.CONCAT(AJ$2,$B45))</f>
        <v>ggio</v>
      </c>
      <c r="AL45" s="4"/>
      <c r="AM45" s="145" t="str">
        <f t="shared" ref="AM45" si="496" xml:space="preserve"> IF(AL45="", "", _xlfn.CONCAT(AL$2,$B45))</f>
        <v/>
      </c>
    </row>
    <row r="46" spans="2:39">
      <c r="B46" s="143" t="s">
        <v>1798</v>
      </c>
      <c r="C46" s="142" t="s">
        <v>558</v>
      </c>
      <c r="D46" s="4" t="s">
        <v>559</v>
      </c>
      <c r="E46" s="145" t="str">
        <f t="shared" si="0"/>
        <v>ioo</v>
      </c>
      <c r="F46" s="4" t="s">
        <v>560</v>
      </c>
      <c r="G46" s="145" t="str">
        <f t="shared" si="0"/>
        <v>hioo</v>
      </c>
      <c r="H46" s="4"/>
      <c r="I46" s="145" t="str">
        <f t="shared" ref="I46" si="497" xml:space="preserve"> IF(H46="", "", _xlfn.CONCAT(H$2,$B46))</f>
        <v/>
      </c>
      <c r="J46" s="4"/>
      <c r="K46" s="145" t="str">
        <f t="shared" ref="K46" si="498" xml:space="preserve"> IF(J46="", "", _xlfn.CONCAT(J$2,$B46))</f>
        <v/>
      </c>
      <c r="L46" s="4"/>
      <c r="M46" s="145" t="str">
        <f t="shared" ref="M46" si="499" xml:space="preserve"> IF(L46="", "", _xlfn.CONCAT(L$2,$B46))</f>
        <v/>
      </c>
      <c r="N46" s="4"/>
      <c r="O46" s="145" t="str">
        <f t="shared" ref="O46" si="500" xml:space="preserve"> IF(N46="", "", _xlfn.CONCAT(N$2,$B46))</f>
        <v/>
      </c>
      <c r="P46" s="4" t="s">
        <v>561</v>
      </c>
      <c r="Q46" s="145" t="str">
        <f t="shared" ref="Q46" si="501" xml:space="preserve"> IF(P46="", "", _xlfn.CONCAT(P$2,$B46))</f>
        <v>dioo</v>
      </c>
      <c r="R46" s="4"/>
      <c r="S46" s="145" t="str">
        <f t="shared" ref="S46" si="502" xml:space="preserve"> IF(R46="", "", _xlfn.CONCAT(R$2,$B46))</f>
        <v/>
      </c>
      <c r="T46" s="4"/>
      <c r="U46" s="145" t="str">
        <f t="shared" ref="U46" si="503" xml:space="preserve"> IF(T46="", "", _xlfn.CONCAT(T$2,$B46))</f>
        <v/>
      </c>
      <c r="V46" s="4"/>
      <c r="W46" s="145" t="str">
        <f t="shared" ref="W46" si="504" xml:space="preserve"> IF(V46="", "", _xlfn.CONCAT(V$2,$B46))</f>
        <v/>
      </c>
      <c r="X46" s="4" t="s">
        <v>562</v>
      </c>
      <c r="Y46" s="145" t="str">
        <f t="shared" si="9"/>
        <v>jioo</v>
      </c>
      <c r="Z46" s="4" t="s">
        <v>563</v>
      </c>
      <c r="AA46" s="145" t="str">
        <f t="shared" si="10"/>
        <v>chioo</v>
      </c>
      <c r="AB46" s="4"/>
      <c r="AC46" s="145" t="str">
        <f t="shared" si="11"/>
        <v/>
      </c>
      <c r="AD46" s="4" t="s">
        <v>564</v>
      </c>
      <c r="AE46" s="145" t="str">
        <f t="shared" si="12"/>
        <v>shioo</v>
      </c>
      <c r="AF46" s="4" t="s">
        <v>565</v>
      </c>
      <c r="AG46" s="145" t="str">
        <f t="shared" ref="AG46" si="505" xml:space="preserve"> IF(AF46="", "", _xlfn.CONCAT(AF$2,$B46))</f>
        <v>gioo</v>
      </c>
      <c r="AH46" s="4" t="s">
        <v>566</v>
      </c>
      <c r="AI46" s="145" t="str">
        <f t="shared" ref="AI46" si="506" xml:space="preserve"> IF(AH46="", "", _xlfn.CONCAT(AH$2,$B46))</f>
        <v>kioo</v>
      </c>
      <c r="AJ46" s="4"/>
      <c r="AK46" s="145" t="str">
        <f t="shared" ref="AK46" si="507" xml:space="preserve"> IF(AJ46="", "", _xlfn.CONCAT(AJ$2,$B46))</f>
        <v/>
      </c>
      <c r="AL46" s="4"/>
      <c r="AM46" s="145" t="str">
        <f t="shared" ref="AM46" si="508" xml:space="preserve"> IF(AL46="", "", _xlfn.CONCAT(AL$2,$B46))</f>
        <v/>
      </c>
    </row>
    <row r="47" spans="2:39">
      <c r="B47" s="143" t="s">
        <v>1799</v>
      </c>
      <c r="C47" s="142" t="s">
        <v>567</v>
      </c>
      <c r="D47" s="4" t="s">
        <v>568</v>
      </c>
      <c r="E47" s="145" t="str">
        <f t="shared" si="0"/>
        <v>ioh</v>
      </c>
      <c r="F47" s="4" t="s">
        <v>569</v>
      </c>
      <c r="G47" s="145" t="str">
        <f t="shared" si="0"/>
        <v>hioh</v>
      </c>
      <c r="H47" s="4"/>
      <c r="I47" s="145" t="str">
        <f t="shared" ref="I47" si="509" xml:space="preserve"> IF(H47="", "", _xlfn.CONCAT(H$2,$B47))</f>
        <v/>
      </c>
      <c r="J47" s="4"/>
      <c r="K47" s="145" t="str">
        <f t="shared" ref="K47" si="510" xml:space="preserve"> IF(J47="", "", _xlfn.CONCAT(J$2,$B47))</f>
        <v/>
      </c>
      <c r="L47" s="4"/>
      <c r="M47" s="145" t="str">
        <f t="shared" ref="M47" si="511" xml:space="preserve"> IF(L47="", "", _xlfn.CONCAT(L$2,$B47))</f>
        <v/>
      </c>
      <c r="N47" s="4"/>
      <c r="O47" s="145" t="str">
        <f t="shared" ref="O47" si="512" xml:space="preserve"> IF(N47="", "", _xlfn.CONCAT(N$2,$B47))</f>
        <v/>
      </c>
      <c r="P47" s="4" t="s">
        <v>570</v>
      </c>
      <c r="Q47" s="145" t="str">
        <f t="shared" ref="Q47" si="513" xml:space="preserve"> IF(P47="", "", _xlfn.CONCAT(P$2,$B47))</f>
        <v>dioh</v>
      </c>
      <c r="R47" s="4"/>
      <c r="S47" s="145" t="str">
        <f t="shared" ref="S47" si="514" xml:space="preserve"> IF(R47="", "", _xlfn.CONCAT(R$2,$B47))</f>
        <v/>
      </c>
      <c r="T47" s="4"/>
      <c r="U47" s="145" t="str">
        <f t="shared" ref="U47" si="515" xml:space="preserve"> IF(T47="", "", _xlfn.CONCAT(T$2,$B47))</f>
        <v/>
      </c>
      <c r="V47" s="4" t="s">
        <v>571</v>
      </c>
      <c r="W47" s="145" t="str">
        <f t="shared" ref="W47" si="516" xml:space="preserve"> IF(V47="", "", _xlfn.CONCAT(V$2,$B47))</f>
        <v>lioh</v>
      </c>
      <c r="X47" s="4" t="s">
        <v>572</v>
      </c>
      <c r="Y47" s="145" t="str">
        <f t="shared" si="9"/>
        <v>jioh</v>
      </c>
      <c r="Z47" s="4" t="s">
        <v>573</v>
      </c>
      <c r="AA47" s="145" t="str">
        <f t="shared" si="10"/>
        <v>chioh</v>
      </c>
      <c r="AB47" s="4"/>
      <c r="AC47" s="145" t="str">
        <f t="shared" si="11"/>
        <v/>
      </c>
      <c r="AD47" s="4" t="s">
        <v>574</v>
      </c>
      <c r="AE47" s="145" t="str">
        <f t="shared" si="12"/>
        <v>shioh</v>
      </c>
      <c r="AF47" s="4" t="s">
        <v>575</v>
      </c>
      <c r="AG47" s="145" t="str">
        <f t="shared" ref="AG47" si="517" xml:space="preserve"> IF(AF47="", "", _xlfn.CONCAT(AF$2,$B47))</f>
        <v>gioh</v>
      </c>
      <c r="AH47" s="4" t="s">
        <v>576</v>
      </c>
      <c r="AI47" s="145" t="str">
        <f t="shared" ref="AI47" si="518" xml:space="preserve"> IF(AH47="", "", _xlfn.CONCAT(AH$2,$B47))</f>
        <v>kioh</v>
      </c>
      <c r="AJ47" s="4" t="s">
        <v>577</v>
      </c>
      <c r="AK47" s="145" t="str">
        <f t="shared" ref="AK47" si="519" xml:space="preserve"> IF(AJ47="", "", _xlfn.CONCAT(AJ$2,$B47))</f>
        <v>ggioh</v>
      </c>
      <c r="AL47" s="4"/>
      <c r="AM47" s="145" t="str">
        <f t="shared" ref="AM47" si="520" xml:space="preserve"> IF(AL47="", "", _xlfn.CONCAT(AL$2,$B47))</f>
        <v/>
      </c>
    </row>
    <row r="48" spans="2:39">
      <c r="B48" s="143" t="s">
        <v>1800</v>
      </c>
      <c r="C48" s="142" t="s">
        <v>578</v>
      </c>
      <c r="D48" s="4" t="s">
        <v>579</v>
      </c>
      <c r="E48" s="145" t="str">
        <f t="shared" si="0"/>
        <v>iong</v>
      </c>
      <c r="F48" s="4" t="s">
        <v>580</v>
      </c>
      <c r="G48" s="145" t="str">
        <f t="shared" si="0"/>
        <v>hiong</v>
      </c>
      <c r="H48" s="4"/>
      <c r="I48" s="145" t="str">
        <f t="shared" ref="I48" si="521" xml:space="preserve"> IF(H48="", "", _xlfn.CONCAT(H$2,$B48))</f>
        <v/>
      </c>
      <c r="J48" s="4"/>
      <c r="K48" s="145" t="str">
        <f t="shared" ref="K48" si="522" xml:space="preserve"> IF(J48="", "", _xlfn.CONCAT(J$2,$B48))</f>
        <v/>
      </c>
      <c r="L48" s="4"/>
      <c r="M48" s="145" t="str">
        <f t="shared" ref="M48" si="523" xml:space="preserve"> IF(L48="", "", _xlfn.CONCAT(L$2,$B48))</f>
        <v/>
      </c>
      <c r="N48" s="4"/>
      <c r="O48" s="145" t="str">
        <f t="shared" ref="O48" si="524" xml:space="preserve"> IF(N48="", "", _xlfn.CONCAT(N$2,$B48))</f>
        <v/>
      </c>
      <c r="P48" s="4" t="s">
        <v>581</v>
      </c>
      <c r="Q48" s="145" t="str">
        <f t="shared" ref="Q48" si="525" xml:space="preserve"> IF(P48="", "", _xlfn.CONCAT(P$2,$B48))</f>
        <v>diong</v>
      </c>
      <c r="R48" s="4" t="s">
        <v>582</v>
      </c>
      <c r="S48" s="145" t="str">
        <f t="shared" ref="S48" si="526" xml:space="preserve"> IF(R48="", "", _xlfn.CONCAT(R$2,$B48))</f>
        <v>tiong</v>
      </c>
      <c r="T48" s="4"/>
      <c r="U48" s="145" t="str">
        <f t="shared" ref="U48" si="527" xml:space="preserve"> IF(T48="", "", _xlfn.CONCAT(T$2,$B48))</f>
        <v/>
      </c>
      <c r="V48" s="4" t="s">
        <v>583</v>
      </c>
      <c r="W48" s="145" t="str">
        <f t="shared" ref="W48" si="528" xml:space="preserve"> IF(V48="", "", _xlfn.CONCAT(V$2,$B48))</f>
        <v>liong</v>
      </c>
      <c r="X48" s="4" t="s">
        <v>584</v>
      </c>
      <c r="Y48" s="145" t="str">
        <f t="shared" si="9"/>
        <v>jiong</v>
      </c>
      <c r="Z48" s="4" t="s">
        <v>585</v>
      </c>
      <c r="AA48" s="145" t="str">
        <f t="shared" si="10"/>
        <v>chiong</v>
      </c>
      <c r="AB48" s="4" t="s">
        <v>586</v>
      </c>
      <c r="AC48" s="145" t="str">
        <f t="shared" si="11"/>
        <v>jjiong</v>
      </c>
      <c r="AD48" s="4" t="s">
        <v>587</v>
      </c>
      <c r="AE48" s="145" t="str">
        <f t="shared" si="12"/>
        <v>shiong</v>
      </c>
      <c r="AF48" s="4" t="s">
        <v>588</v>
      </c>
      <c r="AG48" s="145" t="str">
        <f t="shared" ref="AG48" si="529" xml:space="preserve"> IF(AF48="", "", _xlfn.CONCAT(AF$2,$B48))</f>
        <v>giong</v>
      </c>
      <c r="AH48" s="4" t="s">
        <v>589</v>
      </c>
      <c r="AI48" s="145" t="str">
        <f t="shared" ref="AI48" si="530" xml:space="preserve"> IF(AH48="", "", _xlfn.CONCAT(AH$2,$B48))</f>
        <v>kiong</v>
      </c>
      <c r="AJ48" s="4" t="s">
        <v>590</v>
      </c>
      <c r="AK48" s="145" t="str">
        <f t="shared" ref="AK48" si="531" xml:space="preserve"> IF(AJ48="", "", _xlfn.CONCAT(AJ$2,$B48))</f>
        <v>ggiong</v>
      </c>
      <c r="AL48" s="4"/>
      <c r="AM48" s="145" t="str">
        <f t="shared" ref="AM48" si="532" xml:space="preserve"> IF(AL48="", "", _xlfn.CONCAT(AL$2,$B48))</f>
        <v/>
      </c>
    </row>
    <row r="49" spans="2:39">
      <c r="B49" s="143" t="s">
        <v>1801</v>
      </c>
      <c r="C49" s="142" t="s">
        <v>591</v>
      </c>
      <c r="D49" s="4" t="s">
        <v>592</v>
      </c>
      <c r="E49" s="145" t="str">
        <f t="shared" si="0"/>
        <v>iok</v>
      </c>
      <c r="F49" s="4" t="s">
        <v>593</v>
      </c>
      <c r="G49" s="145" t="str">
        <f t="shared" si="0"/>
        <v>hiok</v>
      </c>
      <c r="H49" s="4"/>
      <c r="I49" s="145" t="str">
        <f t="shared" ref="I49" si="533" xml:space="preserve"> IF(H49="", "", _xlfn.CONCAT(H$2,$B49))</f>
        <v/>
      </c>
      <c r="J49" s="4"/>
      <c r="K49" s="145" t="str">
        <f t="shared" ref="K49" si="534" xml:space="preserve"> IF(J49="", "", _xlfn.CONCAT(J$2,$B49))</f>
        <v/>
      </c>
      <c r="L49" s="4"/>
      <c r="M49" s="145" t="str">
        <f t="shared" ref="M49" si="535" xml:space="preserve"> IF(L49="", "", _xlfn.CONCAT(L$2,$B49))</f>
        <v/>
      </c>
      <c r="N49" s="4"/>
      <c r="O49" s="145" t="str">
        <f t="shared" ref="O49" si="536" xml:space="preserve"> IF(N49="", "", _xlfn.CONCAT(N$2,$B49))</f>
        <v/>
      </c>
      <c r="P49" s="4" t="s">
        <v>594</v>
      </c>
      <c r="Q49" s="145" t="str">
        <f t="shared" ref="Q49" si="537" xml:space="preserve"> IF(P49="", "", _xlfn.CONCAT(P$2,$B49))</f>
        <v>diok</v>
      </c>
      <c r="R49" s="4" t="s">
        <v>595</v>
      </c>
      <c r="S49" s="145" t="str">
        <f t="shared" ref="S49" si="538" xml:space="preserve"> IF(R49="", "", _xlfn.CONCAT(R$2,$B49))</f>
        <v>tiok</v>
      </c>
      <c r="T49" s="4"/>
      <c r="U49" s="145" t="str">
        <f t="shared" ref="U49" si="539" xml:space="preserve"> IF(T49="", "", _xlfn.CONCAT(T$2,$B49))</f>
        <v/>
      </c>
      <c r="V49" s="4" t="s">
        <v>596</v>
      </c>
      <c r="W49" s="145" t="str">
        <f t="shared" ref="W49" si="540" xml:space="preserve"> IF(V49="", "", _xlfn.CONCAT(V$2,$B49))</f>
        <v>liok</v>
      </c>
      <c r="X49" s="4" t="s">
        <v>597</v>
      </c>
      <c r="Y49" s="145" t="str">
        <f t="shared" si="9"/>
        <v>jiok</v>
      </c>
      <c r="Z49" s="4" t="s">
        <v>598</v>
      </c>
      <c r="AA49" s="145" t="str">
        <f t="shared" si="10"/>
        <v>chiok</v>
      </c>
      <c r="AB49" s="4" t="s">
        <v>599</v>
      </c>
      <c r="AC49" s="145" t="str">
        <f t="shared" si="11"/>
        <v>jjiok</v>
      </c>
      <c r="AD49" s="4" t="s">
        <v>600</v>
      </c>
      <c r="AE49" s="145" t="str">
        <f t="shared" si="12"/>
        <v>shiok</v>
      </c>
      <c r="AF49" s="4" t="s">
        <v>601</v>
      </c>
      <c r="AG49" s="145" t="str">
        <f t="shared" ref="AG49" si="541" xml:space="preserve"> IF(AF49="", "", _xlfn.CONCAT(AF$2,$B49))</f>
        <v>giok</v>
      </c>
      <c r="AH49" s="4" t="s">
        <v>602</v>
      </c>
      <c r="AI49" s="145" t="str">
        <f t="shared" ref="AI49" si="542" xml:space="preserve"> IF(AH49="", "", _xlfn.CONCAT(AH$2,$B49))</f>
        <v>kiok</v>
      </c>
      <c r="AJ49" s="4" t="s">
        <v>603</v>
      </c>
      <c r="AK49" s="145" t="str">
        <f t="shared" ref="AK49" si="543" xml:space="preserve"> IF(AJ49="", "", _xlfn.CONCAT(AJ$2,$B49))</f>
        <v>ggiok</v>
      </c>
      <c r="AL49" s="4"/>
      <c r="AM49" s="145" t="str">
        <f t="shared" ref="AM49" si="544" xml:space="preserve"> IF(AL49="", "", _xlfn.CONCAT(AL$2,$B49))</f>
        <v/>
      </c>
    </row>
    <row r="50" spans="2:39">
      <c r="B50" s="143" t="s">
        <v>1802</v>
      </c>
      <c r="C50" s="142" t="s">
        <v>604</v>
      </c>
      <c r="D50" s="4" t="s">
        <v>605</v>
      </c>
      <c r="E50" s="145" t="str">
        <f t="shared" si="0"/>
        <v>iu</v>
      </c>
      <c r="F50" s="4" t="s">
        <v>606</v>
      </c>
      <c r="G50" s="145" t="str">
        <f t="shared" si="0"/>
        <v>hiu</v>
      </c>
      <c r="H50" s="4" t="s">
        <v>607</v>
      </c>
      <c r="I50" s="145" t="str">
        <f t="shared" ref="I50" si="545" xml:space="preserve"> IF(H50="", "", _xlfn.CONCAT(H$2,$B50))</f>
        <v>biu</v>
      </c>
      <c r="J50" s="4"/>
      <c r="K50" s="145" t="str">
        <f t="shared" ref="K50" si="546" xml:space="preserve"> IF(J50="", "", _xlfn.CONCAT(J$2,$B50))</f>
        <v/>
      </c>
      <c r="L50" s="4" t="s">
        <v>608</v>
      </c>
      <c r="M50" s="145" t="str">
        <f t="shared" ref="M50" si="547" xml:space="preserve"> IF(L50="", "", _xlfn.CONCAT(L$2,$B50))</f>
        <v>bbiu</v>
      </c>
      <c r="N50" s="4"/>
      <c r="O50" s="145" t="str">
        <f t="shared" ref="O50" si="548" xml:space="preserve"> IF(N50="", "", _xlfn.CONCAT(N$2,$B50))</f>
        <v/>
      </c>
      <c r="P50" s="4" t="s">
        <v>609</v>
      </c>
      <c r="Q50" s="145" t="str">
        <f t="shared" ref="Q50" si="549" xml:space="preserve"> IF(P50="", "", _xlfn.CONCAT(P$2,$B50))</f>
        <v>diu</v>
      </c>
      <c r="R50" s="4" t="s">
        <v>610</v>
      </c>
      <c r="S50" s="145" t="str">
        <f t="shared" ref="S50" si="550" xml:space="preserve"> IF(R50="", "", _xlfn.CONCAT(R$2,$B50))</f>
        <v>tiu</v>
      </c>
      <c r="T50" s="4" t="s">
        <v>611</v>
      </c>
      <c r="U50" s="145" t="str">
        <f t="shared" ref="U50" si="551" xml:space="preserve"> IF(T50="", "", _xlfn.CONCAT(T$2,$B50))</f>
        <v>niu</v>
      </c>
      <c r="V50" s="4" t="s">
        <v>612</v>
      </c>
      <c r="W50" s="145" t="str">
        <f t="shared" ref="W50" si="552" xml:space="preserve"> IF(V50="", "", _xlfn.CONCAT(V$2,$B50))</f>
        <v>liu</v>
      </c>
      <c r="X50" s="4" t="s">
        <v>613</v>
      </c>
      <c r="Y50" s="145" t="str">
        <f t="shared" si="9"/>
        <v>jiu</v>
      </c>
      <c r="Z50" s="4" t="s">
        <v>614</v>
      </c>
      <c r="AA50" s="145" t="str">
        <f t="shared" si="10"/>
        <v>chiu</v>
      </c>
      <c r="AB50" s="4" t="s">
        <v>615</v>
      </c>
      <c r="AC50" s="145" t="str">
        <f t="shared" si="11"/>
        <v>jjiu</v>
      </c>
      <c r="AD50" s="4" t="s">
        <v>616</v>
      </c>
      <c r="AE50" s="145" t="str">
        <f t="shared" si="12"/>
        <v>shiu</v>
      </c>
      <c r="AF50" s="4" t="s">
        <v>617</v>
      </c>
      <c r="AG50" s="145" t="str">
        <f t="shared" ref="AG50" si="553" xml:space="preserve"> IF(AF50="", "", _xlfn.CONCAT(AF$2,$B50))</f>
        <v>giu</v>
      </c>
      <c r="AH50" s="4" t="s">
        <v>618</v>
      </c>
      <c r="AI50" s="145" t="str">
        <f t="shared" ref="AI50" si="554" xml:space="preserve"> IF(AH50="", "", _xlfn.CONCAT(AH$2,$B50))</f>
        <v>kiu</v>
      </c>
      <c r="AJ50" s="4" t="s">
        <v>619</v>
      </c>
      <c r="AK50" s="145" t="str">
        <f t="shared" ref="AK50" si="555" xml:space="preserve"> IF(AJ50="", "", _xlfn.CONCAT(AJ$2,$B50))</f>
        <v>ggiu</v>
      </c>
      <c r="AL50" s="4" t="s">
        <v>620</v>
      </c>
      <c r="AM50" s="145" t="str">
        <f t="shared" ref="AM50" si="556" xml:space="preserve"> IF(AL50="", "", _xlfn.CONCAT(AL$2,$B50))</f>
        <v>ngiu</v>
      </c>
    </row>
    <row r="51" spans="2:39">
      <c r="B51" s="143" t="s">
        <v>1803</v>
      </c>
      <c r="C51" s="142" t="s">
        <v>621</v>
      </c>
      <c r="D51" s="4" t="s">
        <v>622</v>
      </c>
      <c r="E51" s="145" t="str">
        <f t="shared" si="0"/>
        <v>Niu</v>
      </c>
      <c r="F51" s="4" t="s">
        <v>623</v>
      </c>
      <c r="G51" s="145" t="str">
        <f t="shared" si="0"/>
        <v>hNiu</v>
      </c>
      <c r="H51" s="4"/>
      <c r="I51" s="145" t="str">
        <f t="shared" ref="I51" si="557" xml:space="preserve"> IF(H51="", "", _xlfn.CONCAT(H$2,$B51))</f>
        <v/>
      </c>
      <c r="J51" s="4"/>
      <c r="K51" s="145" t="str">
        <f t="shared" ref="K51" si="558" xml:space="preserve"> IF(J51="", "", _xlfn.CONCAT(J$2,$B51))</f>
        <v/>
      </c>
      <c r="L51" s="4"/>
      <c r="M51" s="145" t="str">
        <f t="shared" ref="M51" si="559" xml:space="preserve"> IF(L51="", "", _xlfn.CONCAT(L$2,$B51))</f>
        <v/>
      </c>
      <c r="N51" s="4"/>
      <c r="O51" s="145" t="str">
        <f t="shared" ref="O51" si="560" xml:space="preserve"> IF(N51="", "", _xlfn.CONCAT(N$2,$B51))</f>
        <v/>
      </c>
      <c r="P51" s="4" t="s">
        <v>624</v>
      </c>
      <c r="Q51" s="145" t="str">
        <f t="shared" ref="Q51" si="561" xml:space="preserve"> IF(P51="", "", _xlfn.CONCAT(P$2,$B51))</f>
        <v>dNiu</v>
      </c>
      <c r="R51" s="4"/>
      <c r="S51" s="145" t="str">
        <f t="shared" ref="S51" si="562" xml:space="preserve"> IF(R51="", "", _xlfn.CONCAT(R$2,$B51))</f>
        <v/>
      </c>
      <c r="T51" s="4"/>
      <c r="U51" s="145" t="str">
        <f t="shared" ref="U51" si="563" xml:space="preserve"> IF(T51="", "", _xlfn.CONCAT(T$2,$B51))</f>
        <v/>
      </c>
      <c r="V51" s="4"/>
      <c r="W51" s="145" t="str">
        <f t="shared" ref="W51" si="564" xml:space="preserve"> IF(V51="", "", _xlfn.CONCAT(V$2,$B51))</f>
        <v/>
      </c>
      <c r="X51" s="4" t="s">
        <v>625</v>
      </c>
      <c r="Y51" s="145" t="str">
        <f t="shared" si="9"/>
        <v>jNiu</v>
      </c>
      <c r="Z51" s="4" t="s">
        <v>626</v>
      </c>
      <c r="AA51" s="145" t="str">
        <f t="shared" si="10"/>
        <v>chNiu</v>
      </c>
      <c r="AB51" s="4"/>
      <c r="AC51" s="145" t="str">
        <f t="shared" si="11"/>
        <v/>
      </c>
      <c r="AD51" s="4" t="s">
        <v>627</v>
      </c>
      <c r="AE51" s="145" t="str">
        <f t="shared" si="12"/>
        <v>shNiu</v>
      </c>
      <c r="AF51" s="4" t="s">
        <v>628</v>
      </c>
      <c r="AG51" s="145" t="str">
        <f t="shared" ref="AG51" si="565" xml:space="preserve"> IF(AF51="", "", _xlfn.CONCAT(AF$2,$B51))</f>
        <v>gNiu</v>
      </c>
      <c r="AH51" s="4" t="s">
        <v>629</v>
      </c>
      <c r="AI51" s="145" t="str">
        <f t="shared" ref="AI51" si="566" xml:space="preserve"> IF(AH51="", "", _xlfn.CONCAT(AH$2,$B51))</f>
        <v>kNiu</v>
      </c>
      <c r="AJ51" s="4"/>
      <c r="AK51" s="145" t="str">
        <f t="shared" ref="AK51" si="567" xml:space="preserve"> IF(AJ51="", "", _xlfn.CONCAT(AJ$2,$B51))</f>
        <v/>
      </c>
      <c r="AL51" s="4"/>
      <c r="AM51" s="145" t="str">
        <f t="shared" ref="AM51" si="568" xml:space="preserve"> IF(AL51="", "", _xlfn.CONCAT(AL$2,$B51))</f>
        <v/>
      </c>
    </row>
    <row r="52" spans="2:39">
      <c r="B52" s="143" t="s">
        <v>1805</v>
      </c>
      <c r="C52" s="142" t="s">
        <v>630</v>
      </c>
      <c r="D52" s="4" t="s">
        <v>631</v>
      </c>
      <c r="E52" s="145" t="str">
        <f t="shared" si="0"/>
        <v>iuh</v>
      </c>
      <c r="F52" s="4" t="s">
        <v>632</v>
      </c>
      <c r="G52" s="145" t="str">
        <f t="shared" si="0"/>
        <v>hiuh</v>
      </c>
      <c r="H52" s="4"/>
      <c r="I52" s="145" t="str">
        <f t="shared" ref="I52" si="569" xml:space="preserve"> IF(H52="", "", _xlfn.CONCAT(H$2,$B52))</f>
        <v/>
      </c>
      <c r="J52" s="4"/>
      <c r="K52" s="145" t="str">
        <f t="shared" ref="K52" si="570" xml:space="preserve"> IF(J52="", "", _xlfn.CONCAT(J$2,$B52))</f>
        <v/>
      </c>
      <c r="L52" s="4"/>
      <c r="M52" s="145" t="str">
        <f t="shared" ref="M52" si="571" xml:space="preserve"> IF(L52="", "", _xlfn.CONCAT(L$2,$B52))</f>
        <v/>
      </c>
      <c r="N52" s="4"/>
      <c r="O52" s="145" t="str">
        <f t="shared" ref="O52" si="572" xml:space="preserve"> IF(N52="", "", _xlfn.CONCAT(N$2,$B52))</f>
        <v/>
      </c>
      <c r="P52" s="4"/>
      <c r="Q52" s="145" t="str">
        <f t="shared" ref="Q52" si="573" xml:space="preserve"> IF(P52="", "", _xlfn.CONCAT(P$2,$B52))</f>
        <v/>
      </c>
      <c r="R52" s="4"/>
      <c r="S52" s="145" t="str">
        <f t="shared" ref="S52" si="574" xml:space="preserve"> IF(R52="", "", _xlfn.CONCAT(R$2,$B52))</f>
        <v/>
      </c>
      <c r="T52" s="4"/>
      <c r="U52" s="145" t="str">
        <f t="shared" ref="U52" si="575" xml:space="preserve"> IF(T52="", "", _xlfn.CONCAT(T$2,$B52))</f>
        <v/>
      </c>
      <c r="V52" s="4"/>
      <c r="W52" s="145" t="str">
        <f t="shared" ref="W52" si="576" xml:space="preserve"> IF(V52="", "", _xlfn.CONCAT(V$2,$B52))</f>
        <v/>
      </c>
      <c r="X52" s="4"/>
      <c r="Y52" s="145" t="str">
        <f t="shared" si="9"/>
        <v/>
      </c>
      <c r="Z52" s="4"/>
      <c r="AA52" s="145" t="str">
        <f t="shared" si="10"/>
        <v/>
      </c>
      <c r="AB52" s="4"/>
      <c r="AC52" s="145" t="str">
        <f t="shared" si="11"/>
        <v/>
      </c>
      <c r="AD52" s="4"/>
      <c r="AE52" s="145" t="str">
        <f t="shared" si="12"/>
        <v/>
      </c>
      <c r="AF52" s="4"/>
      <c r="AG52" s="145" t="str">
        <f t="shared" ref="AG52" si="577" xml:space="preserve"> IF(AF52="", "", _xlfn.CONCAT(AF$2,$B52))</f>
        <v/>
      </c>
      <c r="AH52" s="4"/>
      <c r="AI52" s="145" t="str">
        <f t="shared" ref="AI52" si="578" xml:space="preserve"> IF(AH52="", "", _xlfn.CONCAT(AH$2,$B52))</f>
        <v/>
      </c>
      <c r="AJ52" s="4"/>
      <c r="AK52" s="145" t="str">
        <f t="shared" ref="AK52" si="579" xml:space="preserve"> IF(AJ52="", "", _xlfn.CONCAT(AJ$2,$B52))</f>
        <v/>
      </c>
      <c r="AL52" s="4"/>
      <c r="AM52" s="145" t="str">
        <f t="shared" ref="AM52" si="580" xml:space="preserve"> IF(AL52="", "", _xlfn.CONCAT(AL$2,$B52))</f>
        <v/>
      </c>
    </row>
    <row r="53" spans="2:39">
      <c r="B53" s="143" t="s">
        <v>1807</v>
      </c>
      <c r="C53" s="142" t="s">
        <v>633</v>
      </c>
      <c r="D53" s="4" t="s">
        <v>634</v>
      </c>
      <c r="E53" s="145" t="str">
        <f t="shared" si="0"/>
        <v>or</v>
      </c>
      <c r="F53" s="4" t="s">
        <v>635</v>
      </c>
      <c r="G53" s="145" t="str">
        <f t="shared" si="0"/>
        <v>hor</v>
      </c>
      <c r="H53" s="4" t="s">
        <v>636</v>
      </c>
      <c r="I53" s="145" t="str">
        <f t="shared" ref="I53" si="581" xml:space="preserve"> IF(H53="", "", _xlfn.CONCAT(H$2,$B53))</f>
        <v>bor</v>
      </c>
      <c r="J53" s="4" t="s">
        <v>637</v>
      </c>
      <c r="K53" s="145" t="str">
        <f t="shared" ref="K53" si="582" xml:space="preserve"> IF(J53="", "", _xlfn.CONCAT(J$2,$B53))</f>
        <v>por</v>
      </c>
      <c r="L53" s="4" t="s">
        <v>638</v>
      </c>
      <c r="M53" s="145" t="str">
        <f t="shared" ref="M53" si="583" xml:space="preserve"> IF(L53="", "", _xlfn.CONCAT(L$2,$B53))</f>
        <v>bbor</v>
      </c>
      <c r="N53" s="4"/>
      <c r="O53" s="145" t="str">
        <f t="shared" ref="O53" si="584" xml:space="preserve"> IF(N53="", "", _xlfn.CONCAT(N$2,$B53))</f>
        <v/>
      </c>
      <c r="P53" s="4" t="s">
        <v>639</v>
      </c>
      <c r="Q53" s="145" t="str">
        <f t="shared" ref="Q53" si="585" xml:space="preserve"> IF(P53="", "", _xlfn.CONCAT(P$2,$B53))</f>
        <v>dor</v>
      </c>
      <c r="R53" s="4" t="s">
        <v>640</v>
      </c>
      <c r="S53" s="145" t="str">
        <f t="shared" ref="S53" si="586" xml:space="preserve"> IF(R53="", "", _xlfn.CONCAT(R$2,$B53))</f>
        <v>tor</v>
      </c>
      <c r="T53" s="4"/>
      <c r="U53" s="145" t="str">
        <f t="shared" ref="U53" si="587" xml:space="preserve"> IF(T53="", "", _xlfn.CONCAT(T$2,$B53))</f>
        <v/>
      </c>
      <c r="V53" s="4" t="s">
        <v>641</v>
      </c>
      <c r="W53" s="145" t="str">
        <f t="shared" ref="W53" si="588" xml:space="preserve"> IF(V53="", "", _xlfn.CONCAT(V$2,$B53))</f>
        <v>lor</v>
      </c>
      <c r="X53" s="4" t="s">
        <v>642</v>
      </c>
      <c r="Y53" s="145" t="str">
        <f t="shared" si="9"/>
        <v>zor</v>
      </c>
      <c r="Z53" s="4" t="s">
        <v>643</v>
      </c>
      <c r="AA53" s="145" t="str">
        <f t="shared" si="10"/>
        <v>cor</v>
      </c>
      <c r="AB53" s="4"/>
      <c r="AC53" s="145" t="str">
        <f t="shared" si="11"/>
        <v/>
      </c>
      <c r="AD53" s="4" t="s">
        <v>644</v>
      </c>
      <c r="AE53" s="145" t="str">
        <f t="shared" si="12"/>
        <v>sor</v>
      </c>
      <c r="AF53" s="4" t="s">
        <v>645</v>
      </c>
      <c r="AG53" s="145" t="str">
        <f t="shared" ref="AG53" si="589" xml:space="preserve"> IF(AF53="", "", _xlfn.CONCAT(AF$2,$B53))</f>
        <v>gor</v>
      </c>
      <c r="AH53" s="4" t="s">
        <v>646</v>
      </c>
      <c r="AI53" s="145" t="str">
        <f t="shared" ref="AI53" si="590" xml:space="preserve"> IF(AH53="", "", _xlfn.CONCAT(AH$2,$B53))</f>
        <v>kor</v>
      </c>
      <c r="AJ53" s="4" t="s">
        <v>647</v>
      </c>
      <c r="AK53" s="145" t="str">
        <f t="shared" ref="AK53" si="591" xml:space="preserve"> IF(AJ53="", "", _xlfn.CONCAT(AJ$2,$B53))</f>
        <v>ggor</v>
      </c>
      <c r="AL53" s="4"/>
      <c r="AM53" s="145" t="str">
        <f t="shared" ref="AM53" si="592" xml:space="preserve"> IF(AL53="", "", _xlfn.CONCAT(AL$2,$B53))</f>
        <v/>
      </c>
    </row>
    <row r="54" spans="2:39">
      <c r="B54" s="143" t="s">
        <v>1806</v>
      </c>
      <c r="C54" s="142" t="s">
        <v>648</v>
      </c>
      <c r="D54" s="4" t="s">
        <v>649</v>
      </c>
      <c r="E54" s="145" t="str">
        <f t="shared" si="0"/>
        <v>oo</v>
      </c>
      <c r="F54" s="4" t="s">
        <v>650</v>
      </c>
      <c r="G54" s="145" t="str">
        <f t="shared" si="0"/>
        <v>hoo</v>
      </c>
      <c r="H54" s="4" t="s">
        <v>651</v>
      </c>
      <c r="I54" s="145" t="str">
        <f t="shared" ref="I54" si="593" xml:space="preserve"> IF(H54="", "", _xlfn.CONCAT(H$2,$B54))</f>
        <v>boo</v>
      </c>
      <c r="J54" s="4" t="s">
        <v>652</v>
      </c>
      <c r="K54" s="145" t="str">
        <f t="shared" ref="K54" si="594" xml:space="preserve"> IF(J54="", "", _xlfn.CONCAT(J$2,$B54))</f>
        <v>poo</v>
      </c>
      <c r="L54" s="4" t="s">
        <v>653</v>
      </c>
      <c r="M54" s="145" t="str">
        <f t="shared" ref="M54" si="595" xml:space="preserve"> IF(L54="", "", _xlfn.CONCAT(L$2,$B54))</f>
        <v>bboo</v>
      </c>
      <c r="N54" s="4" t="s">
        <v>654</v>
      </c>
      <c r="O54" s="145" t="str">
        <f t="shared" ref="O54" si="596" xml:space="preserve"> IF(N54="", "", _xlfn.CONCAT(N$2,$B54))</f>
        <v>moo</v>
      </c>
      <c r="P54" s="4" t="s">
        <v>655</v>
      </c>
      <c r="Q54" s="145" t="str">
        <f t="shared" ref="Q54" si="597" xml:space="preserve"> IF(P54="", "", _xlfn.CONCAT(P$2,$B54))</f>
        <v>doo</v>
      </c>
      <c r="R54" s="4" t="s">
        <v>656</v>
      </c>
      <c r="S54" s="145" t="str">
        <f t="shared" ref="S54" si="598" xml:space="preserve"> IF(R54="", "", _xlfn.CONCAT(R$2,$B54))</f>
        <v>too</v>
      </c>
      <c r="T54" s="4" t="s">
        <v>657</v>
      </c>
      <c r="U54" s="145" t="str">
        <f t="shared" ref="U54" si="599" xml:space="preserve"> IF(T54="", "", _xlfn.CONCAT(T$2,$B54))</f>
        <v>noo</v>
      </c>
      <c r="V54" s="4" t="s">
        <v>658</v>
      </c>
      <c r="W54" s="145" t="str">
        <f t="shared" ref="W54" si="600" xml:space="preserve"> IF(V54="", "", _xlfn.CONCAT(V$2,$B54))</f>
        <v>loo</v>
      </c>
      <c r="X54" s="4" t="s">
        <v>659</v>
      </c>
      <c r="Y54" s="145" t="str">
        <f t="shared" si="9"/>
        <v>zoo</v>
      </c>
      <c r="Z54" s="4" t="s">
        <v>660</v>
      </c>
      <c r="AA54" s="145" t="str">
        <f t="shared" si="10"/>
        <v>coo</v>
      </c>
      <c r="AB54" s="4"/>
      <c r="AC54" s="145" t="str">
        <f t="shared" si="11"/>
        <v/>
      </c>
      <c r="AD54" s="4" t="s">
        <v>661</v>
      </c>
      <c r="AE54" s="145" t="str">
        <f t="shared" si="12"/>
        <v>soo</v>
      </c>
      <c r="AF54" s="4" t="s">
        <v>662</v>
      </c>
      <c r="AG54" s="145" t="str">
        <f t="shared" ref="AG54" si="601" xml:space="preserve"> IF(AF54="", "", _xlfn.CONCAT(AF$2,$B54))</f>
        <v>goo</v>
      </c>
      <c r="AH54" s="4" t="s">
        <v>663</v>
      </c>
      <c r="AI54" s="145" t="str">
        <f t="shared" ref="AI54" si="602" xml:space="preserve"> IF(AH54="", "", _xlfn.CONCAT(AH$2,$B54))</f>
        <v>koo</v>
      </c>
      <c r="AJ54" s="4" t="s">
        <v>664</v>
      </c>
      <c r="AK54" s="145" t="str">
        <f t="shared" ref="AK54" si="603" xml:space="preserve"> IF(AJ54="", "", _xlfn.CONCAT(AJ$2,$B54))</f>
        <v>ggoo</v>
      </c>
      <c r="AL54" s="4" t="s">
        <v>665</v>
      </c>
      <c r="AM54" s="145" t="str">
        <f t="shared" ref="AM54" si="604" xml:space="preserve"> IF(AL54="", "", _xlfn.CONCAT(AL$2,$B54))</f>
        <v>ngoo</v>
      </c>
    </row>
    <row r="55" spans="2:39">
      <c r="B55" s="143" t="s">
        <v>1808</v>
      </c>
      <c r="C55" s="142" t="s">
        <v>666</v>
      </c>
      <c r="D55" s="4" t="s">
        <v>667</v>
      </c>
      <c r="E55" s="145" t="str">
        <f t="shared" si="0"/>
        <v>Noo</v>
      </c>
      <c r="F55" s="4" t="s">
        <v>668</v>
      </c>
      <c r="G55" s="145" t="str">
        <f t="shared" si="0"/>
        <v>hNoo</v>
      </c>
      <c r="H55" s="4"/>
      <c r="I55" s="145" t="str">
        <f t="shared" ref="I55" si="605" xml:space="preserve"> IF(H55="", "", _xlfn.CONCAT(H$2,$B55))</f>
        <v/>
      </c>
      <c r="J55" s="4"/>
      <c r="K55" s="145" t="str">
        <f t="shared" ref="K55" si="606" xml:space="preserve"> IF(J55="", "", _xlfn.CONCAT(J$2,$B55))</f>
        <v/>
      </c>
      <c r="L55" s="4"/>
      <c r="M55" s="145" t="str">
        <f t="shared" ref="M55" si="607" xml:space="preserve"> IF(L55="", "", _xlfn.CONCAT(L$2,$B55))</f>
        <v/>
      </c>
      <c r="N55" s="4"/>
      <c r="O55" s="145" t="str">
        <f t="shared" ref="O55" si="608" xml:space="preserve"> IF(N55="", "", _xlfn.CONCAT(N$2,$B55))</f>
        <v/>
      </c>
      <c r="P55" s="4"/>
      <c r="Q55" s="145" t="str">
        <f t="shared" ref="Q55" si="609" xml:space="preserve"> IF(P55="", "", _xlfn.CONCAT(P$2,$B55))</f>
        <v/>
      </c>
      <c r="R55" s="4"/>
      <c r="S55" s="145" t="str">
        <f t="shared" ref="S55" si="610" xml:space="preserve"> IF(R55="", "", _xlfn.CONCAT(R$2,$B55))</f>
        <v/>
      </c>
      <c r="T55" s="4"/>
      <c r="U55" s="145" t="str">
        <f t="shared" ref="U55" si="611" xml:space="preserve"> IF(T55="", "", _xlfn.CONCAT(T$2,$B55))</f>
        <v/>
      </c>
      <c r="V55" s="4"/>
      <c r="W55" s="145" t="str">
        <f t="shared" ref="W55" si="612" xml:space="preserve"> IF(V55="", "", _xlfn.CONCAT(V$2,$B55))</f>
        <v/>
      </c>
      <c r="X55" s="4"/>
      <c r="Y55" s="145" t="str">
        <f t="shared" si="9"/>
        <v/>
      </c>
      <c r="Z55" s="4"/>
      <c r="AA55" s="145" t="str">
        <f t="shared" si="10"/>
        <v/>
      </c>
      <c r="AB55" s="4"/>
      <c r="AC55" s="145" t="str">
        <f t="shared" si="11"/>
        <v/>
      </c>
      <c r="AD55" s="4"/>
      <c r="AE55" s="145" t="str">
        <f t="shared" si="12"/>
        <v/>
      </c>
      <c r="AF55" s="4" t="s">
        <v>669</v>
      </c>
      <c r="AG55" s="145" t="str">
        <f t="shared" ref="AG55" si="613" xml:space="preserve"> IF(AF55="", "", _xlfn.CONCAT(AF$2,$B55))</f>
        <v>gNoo</v>
      </c>
      <c r="AH55" s="4"/>
      <c r="AI55" s="145" t="str">
        <f t="shared" ref="AI55" si="614" xml:space="preserve"> IF(AH55="", "", _xlfn.CONCAT(AH$2,$B55))</f>
        <v/>
      </c>
      <c r="AJ55" s="4"/>
      <c r="AK55" s="145" t="str">
        <f t="shared" ref="AK55" si="615" xml:space="preserve"> IF(AJ55="", "", _xlfn.CONCAT(AJ$2,$B55))</f>
        <v/>
      </c>
      <c r="AL55" s="4"/>
      <c r="AM55" s="145" t="str">
        <f t="shared" ref="AM55" si="616" xml:space="preserve"> IF(AL55="", "", _xlfn.CONCAT(AL$2,$B55))</f>
        <v/>
      </c>
    </row>
    <row r="56" spans="2:39">
      <c r="B56" s="143" t="s">
        <v>1809</v>
      </c>
      <c r="C56" s="142" t="s">
        <v>670</v>
      </c>
      <c r="D56" s="4" t="s">
        <v>671</v>
      </c>
      <c r="E56" s="145" t="str">
        <f t="shared" si="0"/>
        <v>oh</v>
      </c>
      <c r="F56" s="4" t="s">
        <v>672</v>
      </c>
      <c r="G56" s="145" t="str">
        <f t="shared" si="0"/>
        <v>hoh</v>
      </c>
      <c r="H56" s="4" t="s">
        <v>673</v>
      </c>
      <c r="I56" s="145" t="str">
        <f t="shared" ref="I56" si="617" xml:space="preserve"> IF(H56="", "", _xlfn.CONCAT(H$2,$B56))</f>
        <v>boh</v>
      </c>
      <c r="J56" s="4" t="s">
        <v>674</v>
      </c>
      <c r="K56" s="145" t="str">
        <f t="shared" ref="K56" si="618" xml:space="preserve"> IF(J56="", "", _xlfn.CONCAT(J$2,$B56))</f>
        <v>poh</v>
      </c>
      <c r="L56" s="4" t="s">
        <v>675</v>
      </c>
      <c r="M56" s="145" t="str">
        <f t="shared" ref="M56" si="619" xml:space="preserve"> IF(L56="", "", _xlfn.CONCAT(L$2,$B56))</f>
        <v>bboh</v>
      </c>
      <c r="N56" s="4"/>
      <c r="O56" s="145" t="str">
        <f t="shared" ref="O56" si="620" xml:space="preserve"> IF(N56="", "", _xlfn.CONCAT(N$2,$B56))</f>
        <v/>
      </c>
      <c r="P56" s="4" t="s">
        <v>676</v>
      </c>
      <c r="Q56" s="145" t="str">
        <f t="shared" ref="Q56" si="621" xml:space="preserve"> IF(P56="", "", _xlfn.CONCAT(P$2,$B56))</f>
        <v>doh</v>
      </c>
      <c r="R56" s="4" t="s">
        <v>677</v>
      </c>
      <c r="S56" s="145" t="str">
        <f t="shared" ref="S56" si="622" xml:space="preserve"> IF(R56="", "", _xlfn.CONCAT(R$2,$B56))</f>
        <v>toh</v>
      </c>
      <c r="T56" s="4"/>
      <c r="U56" s="145" t="str">
        <f t="shared" ref="U56" si="623" xml:space="preserve"> IF(T56="", "", _xlfn.CONCAT(T$2,$B56))</f>
        <v/>
      </c>
      <c r="V56" s="4" t="s">
        <v>678</v>
      </c>
      <c r="W56" s="145" t="str">
        <f t="shared" ref="W56" si="624" xml:space="preserve"> IF(V56="", "", _xlfn.CONCAT(V$2,$B56))</f>
        <v>loh</v>
      </c>
      <c r="X56" s="4" t="s">
        <v>679</v>
      </c>
      <c r="Y56" s="145" t="str">
        <f t="shared" si="9"/>
        <v>zoh</v>
      </c>
      <c r="Z56" s="4" t="s">
        <v>680</v>
      </c>
      <c r="AA56" s="145" t="str">
        <f t="shared" si="10"/>
        <v>coh</v>
      </c>
      <c r="AB56" s="4"/>
      <c r="AC56" s="145" t="str">
        <f t="shared" si="11"/>
        <v/>
      </c>
      <c r="AD56" s="4" t="s">
        <v>681</v>
      </c>
      <c r="AE56" s="145" t="str">
        <f t="shared" si="12"/>
        <v>soh</v>
      </c>
      <c r="AF56" s="4" t="s">
        <v>682</v>
      </c>
      <c r="AG56" s="145" t="str">
        <f t="shared" ref="AG56" si="625" xml:space="preserve"> IF(AF56="", "", _xlfn.CONCAT(AF$2,$B56))</f>
        <v>goh</v>
      </c>
      <c r="AH56" s="4"/>
      <c r="AI56" s="145" t="str">
        <f t="shared" ref="AI56" si="626" xml:space="preserve"> IF(AH56="", "", _xlfn.CONCAT(AH$2,$B56))</f>
        <v/>
      </c>
      <c r="AJ56" s="4"/>
      <c r="AK56" s="145" t="str">
        <f t="shared" ref="AK56" si="627" xml:space="preserve"> IF(AJ56="", "", _xlfn.CONCAT(AJ$2,$B56))</f>
        <v/>
      </c>
      <c r="AL56" s="4"/>
      <c r="AM56" s="145" t="str">
        <f t="shared" ref="AM56" si="628" xml:space="preserve"> IF(AL56="", "", _xlfn.CONCAT(AL$2,$B56))</f>
        <v/>
      </c>
    </row>
    <row r="57" spans="2:39">
      <c r="B57" s="143" t="s">
        <v>1811</v>
      </c>
      <c r="C57" s="142" t="s">
        <v>683</v>
      </c>
      <c r="D57" s="4" t="s">
        <v>684</v>
      </c>
      <c r="E57" s="145" t="str">
        <f t="shared" si="0"/>
        <v>ooh</v>
      </c>
      <c r="F57" s="4" t="s">
        <v>685</v>
      </c>
      <c r="G57" s="145" t="str">
        <f t="shared" si="0"/>
        <v>hooh</v>
      </c>
      <c r="H57" s="4"/>
      <c r="I57" s="145" t="str">
        <f t="shared" ref="I57" si="629" xml:space="preserve"> IF(H57="", "", _xlfn.CONCAT(H$2,$B57))</f>
        <v/>
      </c>
      <c r="J57" s="4"/>
      <c r="K57" s="145" t="str">
        <f t="shared" ref="K57" si="630" xml:space="preserve"> IF(J57="", "", _xlfn.CONCAT(J$2,$B57))</f>
        <v/>
      </c>
      <c r="L57" s="4"/>
      <c r="M57" s="145" t="str">
        <f t="shared" ref="M57" si="631" xml:space="preserve"> IF(L57="", "", _xlfn.CONCAT(L$2,$B57))</f>
        <v/>
      </c>
      <c r="N57" s="4" t="s">
        <v>686</v>
      </c>
      <c r="O57" s="145" t="str">
        <f t="shared" ref="O57" si="632" xml:space="preserve"> IF(N57="", "", _xlfn.CONCAT(N$2,$B57))</f>
        <v>mooh</v>
      </c>
      <c r="P57" s="4" t="s">
        <v>687</v>
      </c>
      <c r="Q57" s="145" t="str">
        <f t="shared" ref="Q57" si="633" xml:space="preserve"> IF(P57="", "", _xlfn.CONCAT(P$2,$B57))</f>
        <v>dooh</v>
      </c>
      <c r="R57" s="4"/>
      <c r="S57" s="145" t="str">
        <f t="shared" ref="S57" si="634" xml:space="preserve"> IF(R57="", "", _xlfn.CONCAT(R$2,$B57))</f>
        <v/>
      </c>
      <c r="T57" s="4"/>
      <c r="U57" s="145" t="str">
        <f t="shared" ref="U57" si="635" xml:space="preserve"> IF(T57="", "", _xlfn.CONCAT(T$2,$B57))</f>
        <v/>
      </c>
      <c r="V57" s="4" t="s">
        <v>688</v>
      </c>
      <c r="W57" s="145" t="str">
        <f t="shared" ref="W57" si="636" xml:space="preserve"> IF(V57="", "", _xlfn.CONCAT(V$2,$B57))</f>
        <v>looh</v>
      </c>
      <c r="X57" s="4"/>
      <c r="Y57" s="145" t="str">
        <f t="shared" si="9"/>
        <v/>
      </c>
      <c r="Z57" s="4"/>
      <c r="AA57" s="145" t="str">
        <f t="shared" si="10"/>
        <v/>
      </c>
      <c r="AB57" s="4"/>
      <c r="AC57" s="145" t="str">
        <f t="shared" si="11"/>
        <v/>
      </c>
      <c r="AD57" s="4"/>
      <c r="AE57" s="145" t="str">
        <f t="shared" si="12"/>
        <v/>
      </c>
      <c r="AF57" s="4" t="s">
        <v>689</v>
      </c>
      <c r="AG57" s="145" t="str">
        <f t="shared" ref="AG57" si="637" xml:space="preserve"> IF(AF57="", "", _xlfn.CONCAT(AF$2,$B57))</f>
        <v>gooh</v>
      </c>
      <c r="AH57" s="4"/>
      <c r="AI57" s="145" t="str">
        <f t="shared" ref="AI57" si="638" xml:space="preserve"> IF(AH57="", "", _xlfn.CONCAT(AH$2,$B57))</f>
        <v/>
      </c>
      <c r="AJ57" s="4"/>
      <c r="AK57" s="145" t="str">
        <f t="shared" ref="AK57" si="639" xml:space="preserve"> IF(AJ57="", "", _xlfn.CONCAT(AJ$2,$B57))</f>
        <v/>
      </c>
      <c r="AL57" s="4"/>
      <c r="AM57" s="145" t="str">
        <f t="shared" ref="AM57" si="640" xml:space="preserve"> IF(AL57="", "", _xlfn.CONCAT(AL$2,$B57))</f>
        <v/>
      </c>
    </row>
    <row r="58" spans="2:39">
      <c r="B58" s="143" t="s">
        <v>1813</v>
      </c>
      <c r="C58" s="142" t="s">
        <v>690</v>
      </c>
      <c r="D58" s="4" t="s">
        <v>691</v>
      </c>
      <c r="E58" s="145" t="str">
        <f t="shared" si="0"/>
        <v>o?</v>
      </c>
      <c r="F58" s="4" t="s">
        <v>692</v>
      </c>
      <c r="G58" s="145" t="str">
        <f t="shared" si="0"/>
        <v>ho?</v>
      </c>
      <c r="H58" s="4"/>
      <c r="I58" s="145" t="str">
        <f t="shared" ref="I58" si="641" xml:space="preserve"> IF(H58="", "", _xlfn.CONCAT(H$2,$B58))</f>
        <v/>
      </c>
      <c r="J58" s="4"/>
      <c r="K58" s="145" t="str">
        <f t="shared" ref="K58" si="642" xml:space="preserve"> IF(J58="", "", _xlfn.CONCAT(J$2,$B58))</f>
        <v/>
      </c>
      <c r="L58" s="4"/>
      <c r="M58" s="145" t="str">
        <f t="shared" ref="M58" si="643" xml:space="preserve"> IF(L58="", "", _xlfn.CONCAT(L$2,$B58))</f>
        <v/>
      </c>
      <c r="N58" s="4"/>
      <c r="O58" s="145" t="str">
        <f t="shared" ref="O58" si="644" xml:space="preserve"> IF(N58="", "", _xlfn.CONCAT(N$2,$B58))</f>
        <v/>
      </c>
      <c r="P58" s="4"/>
      <c r="Q58" s="145" t="str">
        <f t="shared" ref="Q58" si="645" xml:space="preserve"> IF(P58="", "", _xlfn.CONCAT(P$2,$B58))</f>
        <v/>
      </c>
      <c r="R58" s="4"/>
      <c r="S58" s="145" t="str">
        <f t="shared" ref="S58" si="646" xml:space="preserve"> IF(R58="", "", _xlfn.CONCAT(R$2,$B58))</f>
        <v/>
      </c>
      <c r="T58" s="4"/>
      <c r="U58" s="145" t="str">
        <f t="shared" ref="U58" si="647" xml:space="preserve"> IF(T58="", "", _xlfn.CONCAT(T$2,$B58))</f>
        <v/>
      </c>
      <c r="V58" s="4"/>
      <c r="W58" s="145" t="str">
        <f t="shared" ref="W58" si="648" xml:space="preserve"> IF(V58="", "", _xlfn.CONCAT(V$2,$B58))</f>
        <v/>
      </c>
      <c r="X58" s="4"/>
      <c r="Y58" s="145" t="str">
        <f t="shared" si="9"/>
        <v/>
      </c>
      <c r="Z58" s="4"/>
      <c r="AA58" s="145" t="str">
        <f t="shared" si="10"/>
        <v/>
      </c>
      <c r="AB58" s="4"/>
      <c r="AC58" s="145" t="str">
        <f t="shared" si="11"/>
        <v/>
      </c>
      <c r="AD58" s="4"/>
      <c r="AE58" s="145" t="str">
        <f t="shared" si="12"/>
        <v/>
      </c>
      <c r="AF58" s="4"/>
      <c r="AG58" s="145" t="str">
        <f t="shared" ref="AG58" si="649" xml:space="preserve"> IF(AF58="", "", _xlfn.CONCAT(AF$2,$B58))</f>
        <v/>
      </c>
      <c r="AH58" s="4"/>
      <c r="AI58" s="145" t="str">
        <f t="shared" ref="AI58" si="650" xml:space="preserve"> IF(AH58="", "", _xlfn.CONCAT(AH$2,$B58))</f>
        <v/>
      </c>
      <c r="AJ58" s="4"/>
      <c r="AK58" s="145" t="str">
        <f t="shared" ref="AK58" si="651" xml:space="preserve"> IF(AJ58="", "", _xlfn.CONCAT(AJ$2,$B58))</f>
        <v/>
      </c>
      <c r="AL58" s="4"/>
      <c r="AM58" s="145" t="str">
        <f t="shared" ref="AM58" si="652" xml:space="preserve"> IF(AL58="", "", _xlfn.CONCAT(AL$2,$B58))</f>
        <v/>
      </c>
    </row>
    <row r="59" spans="2:39">
      <c r="B59" s="143" t="s">
        <v>1814</v>
      </c>
      <c r="C59" s="142" t="s">
        <v>693</v>
      </c>
      <c r="D59" s="4" t="s">
        <v>694</v>
      </c>
      <c r="E59" s="145" t="str">
        <f t="shared" si="0"/>
        <v>om</v>
      </c>
      <c r="F59" s="4"/>
      <c r="G59" s="145" t="str">
        <f t="shared" si="0"/>
        <v/>
      </c>
      <c r="H59" s="4"/>
      <c r="I59" s="145" t="str">
        <f t="shared" ref="I59" si="653" xml:space="preserve"> IF(H59="", "", _xlfn.CONCAT(H$2,$B59))</f>
        <v/>
      </c>
      <c r="J59" s="4"/>
      <c r="K59" s="145" t="str">
        <f t="shared" ref="K59" si="654" xml:space="preserve"> IF(J59="", "", _xlfn.CONCAT(J$2,$B59))</f>
        <v/>
      </c>
      <c r="L59" s="4"/>
      <c r="M59" s="145" t="str">
        <f t="shared" ref="M59" si="655" xml:space="preserve"> IF(L59="", "", _xlfn.CONCAT(L$2,$B59))</f>
        <v/>
      </c>
      <c r="N59" s="4"/>
      <c r="O59" s="145" t="str">
        <f t="shared" ref="O59" si="656" xml:space="preserve"> IF(N59="", "", _xlfn.CONCAT(N$2,$B59))</f>
        <v/>
      </c>
      <c r="P59" s="4" t="s">
        <v>695</v>
      </c>
      <c r="Q59" s="145" t="str">
        <f t="shared" ref="Q59" si="657" xml:space="preserve"> IF(P59="", "", _xlfn.CONCAT(P$2,$B59))</f>
        <v>dom</v>
      </c>
      <c r="R59" s="4"/>
      <c r="S59" s="145" t="str">
        <f t="shared" ref="S59" si="658" xml:space="preserve"> IF(R59="", "", _xlfn.CONCAT(R$2,$B59))</f>
        <v/>
      </c>
      <c r="T59" s="4"/>
      <c r="U59" s="145" t="str">
        <f t="shared" ref="U59" si="659" xml:space="preserve"> IF(T59="", "", _xlfn.CONCAT(T$2,$B59))</f>
        <v/>
      </c>
      <c r="V59" s="4"/>
      <c r="W59" s="145" t="str">
        <f t="shared" ref="W59" si="660" xml:space="preserve"> IF(V59="", "", _xlfn.CONCAT(V$2,$B59))</f>
        <v/>
      </c>
      <c r="X59" s="4"/>
      <c r="Y59" s="145" t="str">
        <f t="shared" si="9"/>
        <v/>
      </c>
      <c r="Z59" s="4"/>
      <c r="AA59" s="145" t="str">
        <f t="shared" si="10"/>
        <v/>
      </c>
      <c r="AB59" s="4"/>
      <c r="AC59" s="145" t="str">
        <f t="shared" si="11"/>
        <v/>
      </c>
      <c r="AD59" s="4" t="s">
        <v>696</v>
      </c>
      <c r="AE59" s="145" t="str">
        <f t="shared" si="12"/>
        <v>som</v>
      </c>
      <c r="AF59" s="4"/>
      <c r="AG59" s="145" t="str">
        <f t="shared" ref="AG59" si="661" xml:space="preserve"> IF(AF59="", "", _xlfn.CONCAT(AF$2,$B59))</f>
        <v/>
      </c>
      <c r="AH59" s="4"/>
      <c r="AI59" s="145" t="str">
        <f t="shared" ref="AI59" si="662" xml:space="preserve"> IF(AH59="", "", _xlfn.CONCAT(AH$2,$B59))</f>
        <v/>
      </c>
      <c r="AJ59" s="4"/>
      <c r="AK59" s="145" t="str">
        <f t="shared" ref="AK59" si="663" xml:space="preserve"> IF(AJ59="", "", _xlfn.CONCAT(AJ$2,$B59))</f>
        <v/>
      </c>
      <c r="AL59" s="4"/>
      <c r="AM59" s="145" t="str">
        <f t="shared" ref="AM59" si="664" xml:space="preserve"> IF(AL59="", "", _xlfn.CONCAT(AL$2,$B59))</f>
        <v/>
      </c>
    </row>
    <row r="60" spans="2:39">
      <c r="B60" s="143" t="s">
        <v>1815</v>
      </c>
      <c r="C60" s="142" t="s">
        <v>697</v>
      </c>
      <c r="D60" s="4" t="s">
        <v>698</v>
      </c>
      <c r="E60" s="145" t="str">
        <f t="shared" si="0"/>
        <v>ong</v>
      </c>
      <c r="F60" s="4" t="s">
        <v>699</v>
      </c>
      <c r="G60" s="145" t="str">
        <f t="shared" si="0"/>
        <v>hong</v>
      </c>
      <c r="H60" s="4" t="s">
        <v>700</v>
      </c>
      <c r="I60" s="145" t="str">
        <f t="shared" ref="I60" si="665" xml:space="preserve"> IF(H60="", "", _xlfn.CONCAT(H$2,$B60))</f>
        <v>bong</v>
      </c>
      <c r="J60" s="4" t="s">
        <v>701</v>
      </c>
      <c r="K60" s="145" t="str">
        <f t="shared" ref="K60" si="666" xml:space="preserve"> IF(J60="", "", _xlfn.CONCAT(J$2,$B60))</f>
        <v>pong</v>
      </c>
      <c r="L60" s="4" t="s">
        <v>702</v>
      </c>
      <c r="M60" s="145" t="str">
        <f t="shared" ref="M60" si="667" xml:space="preserve"> IF(L60="", "", _xlfn.CONCAT(L$2,$B60))</f>
        <v>bbong</v>
      </c>
      <c r="N60" s="4"/>
      <c r="O60" s="145" t="str">
        <f t="shared" ref="O60" si="668" xml:space="preserve"> IF(N60="", "", _xlfn.CONCAT(N$2,$B60))</f>
        <v/>
      </c>
      <c r="P60" s="4" t="s">
        <v>703</v>
      </c>
      <c r="Q60" s="145" t="str">
        <f t="shared" ref="Q60" si="669" xml:space="preserve"> IF(P60="", "", _xlfn.CONCAT(P$2,$B60))</f>
        <v>dong</v>
      </c>
      <c r="R60" s="4" t="s">
        <v>704</v>
      </c>
      <c r="S60" s="145" t="str">
        <f t="shared" ref="S60" si="670" xml:space="preserve"> IF(R60="", "", _xlfn.CONCAT(R$2,$B60))</f>
        <v>tong</v>
      </c>
      <c r="T60" s="4"/>
      <c r="U60" s="145" t="str">
        <f t="shared" ref="U60" si="671" xml:space="preserve"> IF(T60="", "", _xlfn.CONCAT(T$2,$B60))</f>
        <v/>
      </c>
      <c r="V60" s="4" t="s">
        <v>705</v>
      </c>
      <c r="W60" s="145" t="str">
        <f t="shared" ref="W60" si="672" xml:space="preserve"> IF(V60="", "", _xlfn.CONCAT(V$2,$B60))</f>
        <v>long</v>
      </c>
      <c r="X60" s="4" t="s">
        <v>706</v>
      </c>
      <c r="Y60" s="145" t="str">
        <f t="shared" si="9"/>
        <v>zong</v>
      </c>
      <c r="Z60" s="4" t="s">
        <v>707</v>
      </c>
      <c r="AA60" s="145" t="str">
        <f t="shared" si="10"/>
        <v>cong</v>
      </c>
      <c r="AB60" s="4"/>
      <c r="AC60" s="145" t="str">
        <f t="shared" si="11"/>
        <v/>
      </c>
      <c r="AD60" s="4" t="s">
        <v>708</v>
      </c>
      <c r="AE60" s="145" t="str">
        <f t="shared" si="12"/>
        <v>song</v>
      </c>
      <c r="AF60" s="4" t="s">
        <v>709</v>
      </c>
      <c r="AG60" s="145" t="str">
        <f t="shared" ref="AG60" si="673" xml:space="preserve"> IF(AF60="", "", _xlfn.CONCAT(AF$2,$B60))</f>
        <v>gong</v>
      </c>
      <c r="AH60" s="4" t="s">
        <v>710</v>
      </c>
      <c r="AI60" s="145" t="str">
        <f t="shared" ref="AI60" si="674" xml:space="preserve"> IF(AH60="", "", _xlfn.CONCAT(AH$2,$B60))</f>
        <v>kong</v>
      </c>
      <c r="AJ60" s="4" t="s">
        <v>711</v>
      </c>
      <c r="AK60" s="145" t="str">
        <f t="shared" ref="AK60" si="675" xml:space="preserve"> IF(AJ60="", "", _xlfn.CONCAT(AJ$2,$B60))</f>
        <v>ggong</v>
      </c>
      <c r="AL60" s="4"/>
      <c r="AM60" s="145" t="str">
        <f t="shared" ref="AM60" si="676" xml:space="preserve"> IF(AL60="", "", _xlfn.CONCAT(AL$2,$B60))</f>
        <v/>
      </c>
    </row>
    <row r="61" spans="2:39">
      <c r="B61" s="143" t="s">
        <v>1816</v>
      </c>
      <c r="C61" s="142" t="s">
        <v>712</v>
      </c>
      <c r="D61" s="4" t="s">
        <v>713</v>
      </c>
      <c r="E61" s="145" t="str">
        <f t="shared" si="0"/>
        <v>op</v>
      </c>
      <c r="F61" s="4" t="s">
        <v>714</v>
      </c>
      <c r="G61" s="145" t="str">
        <f t="shared" si="0"/>
        <v>hop</v>
      </c>
      <c r="H61" s="4"/>
      <c r="I61" s="145" t="str">
        <f t="shared" ref="I61" si="677" xml:space="preserve"> IF(H61="", "", _xlfn.CONCAT(H$2,$B61))</f>
        <v/>
      </c>
      <c r="J61" s="4"/>
      <c r="K61" s="145" t="str">
        <f t="shared" ref="K61" si="678" xml:space="preserve"> IF(J61="", "", _xlfn.CONCAT(J$2,$B61))</f>
        <v/>
      </c>
      <c r="L61" s="4"/>
      <c r="M61" s="145" t="str">
        <f t="shared" ref="M61" si="679" xml:space="preserve"> IF(L61="", "", _xlfn.CONCAT(L$2,$B61))</f>
        <v/>
      </c>
      <c r="N61" s="4"/>
      <c r="O61" s="145" t="str">
        <f t="shared" ref="O61" si="680" xml:space="preserve"> IF(N61="", "", _xlfn.CONCAT(N$2,$B61))</f>
        <v/>
      </c>
      <c r="P61" s="4"/>
      <c r="Q61" s="145" t="str">
        <f t="shared" ref="Q61" si="681" xml:space="preserve"> IF(P61="", "", _xlfn.CONCAT(P$2,$B61))</f>
        <v/>
      </c>
      <c r="R61" s="4"/>
      <c r="S61" s="145" t="str">
        <f t="shared" ref="S61" si="682" xml:space="preserve"> IF(R61="", "", _xlfn.CONCAT(R$2,$B61))</f>
        <v/>
      </c>
      <c r="T61" s="4"/>
      <c r="U61" s="145" t="str">
        <f t="shared" ref="U61" si="683" xml:space="preserve"> IF(T61="", "", _xlfn.CONCAT(T$2,$B61))</f>
        <v/>
      </c>
      <c r="V61" s="4" t="s">
        <v>715</v>
      </c>
      <c r="W61" s="145" t="str">
        <f t="shared" ref="W61" si="684" xml:space="preserve"> IF(V61="", "", _xlfn.CONCAT(V$2,$B61))</f>
        <v>lop</v>
      </c>
      <c r="X61" s="4"/>
      <c r="Y61" s="145" t="str">
        <f t="shared" si="9"/>
        <v/>
      </c>
      <c r="Z61" s="4"/>
      <c r="AA61" s="145" t="str">
        <f t="shared" si="10"/>
        <v/>
      </c>
      <c r="AB61" s="4"/>
      <c r="AC61" s="145" t="str">
        <f t="shared" si="11"/>
        <v/>
      </c>
      <c r="AD61" s="4"/>
      <c r="AE61" s="145" t="str">
        <f t="shared" si="12"/>
        <v/>
      </c>
      <c r="AF61" s="4" t="s">
        <v>716</v>
      </c>
      <c r="AG61" s="145" t="str">
        <f t="shared" ref="AG61" si="685" xml:space="preserve"> IF(AF61="", "", _xlfn.CONCAT(AF$2,$B61))</f>
        <v>gop</v>
      </c>
      <c r="AH61" s="4"/>
      <c r="AI61" s="145" t="str">
        <f t="shared" ref="AI61" si="686" xml:space="preserve"> IF(AH61="", "", _xlfn.CONCAT(AH$2,$B61))</f>
        <v/>
      </c>
      <c r="AJ61" s="4"/>
      <c r="AK61" s="145" t="str">
        <f t="shared" ref="AK61" si="687" xml:space="preserve"> IF(AJ61="", "", _xlfn.CONCAT(AJ$2,$B61))</f>
        <v/>
      </c>
      <c r="AL61" s="4"/>
      <c r="AM61" s="145" t="str">
        <f t="shared" ref="AM61" si="688" xml:space="preserve"> IF(AL61="", "", _xlfn.CONCAT(AL$2,$B61))</f>
        <v/>
      </c>
    </row>
    <row r="62" spans="2:39">
      <c r="B62" s="143" t="s">
        <v>1817</v>
      </c>
      <c r="C62" s="142" t="s">
        <v>717</v>
      </c>
      <c r="D62" s="4" t="s">
        <v>718</v>
      </c>
      <c r="E62" s="145" t="str">
        <f t="shared" si="0"/>
        <v>ok</v>
      </c>
      <c r="F62" s="4" t="s">
        <v>719</v>
      </c>
      <c r="G62" s="145" t="str">
        <f t="shared" si="0"/>
        <v>hok</v>
      </c>
      <c r="H62" s="4" t="s">
        <v>720</v>
      </c>
      <c r="I62" s="145" t="str">
        <f t="shared" ref="I62" si="689" xml:space="preserve"> IF(H62="", "", _xlfn.CONCAT(H$2,$B62))</f>
        <v>bok</v>
      </c>
      <c r="J62" s="4" t="s">
        <v>721</v>
      </c>
      <c r="K62" s="145" t="str">
        <f t="shared" ref="K62" si="690" xml:space="preserve"> IF(J62="", "", _xlfn.CONCAT(J$2,$B62))</f>
        <v>pok</v>
      </c>
      <c r="L62" s="4" t="s">
        <v>722</v>
      </c>
      <c r="M62" s="145" t="str">
        <f t="shared" ref="M62" si="691" xml:space="preserve"> IF(L62="", "", _xlfn.CONCAT(L$2,$B62))</f>
        <v>bbok</v>
      </c>
      <c r="N62" s="4"/>
      <c r="O62" s="145" t="str">
        <f t="shared" ref="O62" si="692" xml:space="preserve"> IF(N62="", "", _xlfn.CONCAT(N$2,$B62))</f>
        <v/>
      </c>
      <c r="P62" s="4" t="s">
        <v>723</v>
      </c>
      <c r="Q62" s="145" t="str">
        <f t="shared" ref="Q62" si="693" xml:space="preserve"> IF(P62="", "", _xlfn.CONCAT(P$2,$B62))</f>
        <v>dok</v>
      </c>
      <c r="R62" s="4" t="s">
        <v>724</v>
      </c>
      <c r="S62" s="145" t="str">
        <f t="shared" ref="S62" si="694" xml:space="preserve"> IF(R62="", "", _xlfn.CONCAT(R$2,$B62))</f>
        <v>tok</v>
      </c>
      <c r="T62" s="4"/>
      <c r="U62" s="145" t="str">
        <f t="shared" ref="U62" si="695" xml:space="preserve"> IF(T62="", "", _xlfn.CONCAT(T$2,$B62))</f>
        <v/>
      </c>
      <c r="V62" s="4" t="s">
        <v>725</v>
      </c>
      <c r="W62" s="145" t="str">
        <f t="shared" ref="W62" si="696" xml:space="preserve"> IF(V62="", "", _xlfn.CONCAT(V$2,$B62))</f>
        <v>lok</v>
      </c>
      <c r="X62" s="4" t="s">
        <v>726</v>
      </c>
      <c r="Y62" s="145" t="str">
        <f t="shared" si="9"/>
        <v>zok</v>
      </c>
      <c r="Z62" s="4" t="s">
        <v>727</v>
      </c>
      <c r="AA62" s="145" t="str">
        <f t="shared" si="10"/>
        <v>cok</v>
      </c>
      <c r="AB62" s="4"/>
      <c r="AC62" s="145" t="str">
        <f t="shared" si="11"/>
        <v/>
      </c>
      <c r="AD62" s="4" t="s">
        <v>728</v>
      </c>
      <c r="AE62" s="145" t="str">
        <f t="shared" si="12"/>
        <v>sok</v>
      </c>
      <c r="AF62" s="4" t="s">
        <v>729</v>
      </c>
      <c r="AG62" s="145" t="str">
        <f t="shared" ref="AG62" si="697" xml:space="preserve"> IF(AF62="", "", _xlfn.CONCAT(AF$2,$B62))</f>
        <v>gok</v>
      </c>
      <c r="AH62" s="4" t="s">
        <v>730</v>
      </c>
      <c r="AI62" s="145" t="str">
        <f t="shared" ref="AI62" si="698" xml:space="preserve"> IF(AH62="", "", _xlfn.CONCAT(AH$2,$B62))</f>
        <v>kok</v>
      </c>
      <c r="AJ62" s="4" t="s">
        <v>731</v>
      </c>
      <c r="AK62" s="145" t="str">
        <f t="shared" ref="AK62" si="699" xml:space="preserve"> IF(AJ62="", "", _xlfn.CONCAT(AJ$2,$B62))</f>
        <v>ggok</v>
      </c>
      <c r="AL62" s="4"/>
      <c r="AM62" s="145" t="str">
        <f t="shared" ref="AM62" si="700" xml:space="preserve"> IF(AL62="", "", _xlfn.CONCAT(AL$2,$B62))</f>
        <v/>
      </c>
    </row>
    <row r="63" spans="2:39">
      <c r="B63" s="143" t="s">
        <v>1706</v>
      </c>
      <c r="C63" s="142" t="s">
        <v>732</v>
      </c>
      <c r="D63" s="4" t="s">
        <v>733</v>
      </c>
      <c r="E63" s="145" t="str">
        <f t="shared" si="0"/>
        <v>u</v>
      </c>
      <c r="F63" s="4" t="s">
        <v>734</v>
      </c>
      <c r="G63" s="145" t="str">
        <f t="shared" si="0"/>
        <v>hu</v>
      </c>
      <c r="H63" s="4" t="s">
        <v>735</v>
      </c>
      <c r="I63" s="145" t="str">
        <f t="shared" ref="I63" si="701" xml:space="preserve"> IF(H63="", "", _xlfn.CONCAT(H$2,$B63))</f>
        <v>bu</v>
      </c>
      <c r="J63" s="4" t="s">
        <v>736</v>
      </c>
      <c r="K63" s="145" t="str">
        <f t="shared" ref="K63" si="702" xml:space="preserve"> IF(J63="", "", _xlfn.CONCAT(J$2,$B63))</f>
        <v>pu</v>
      </c>
      <c r="L63" s="4" t="s">
        <v>737</v>
      </c>
      <c r="M63" s="145" t="str">
        <f t="shared" ref="M63" si="703" xml:space="preserve"> IF(L63="", "", _xlfn.CONCAT(L$2,$B63))</f>
        <v>bbu</v>
      </c>
      <c r="N63" s="4"/>
      <c r="O63" s="145" t="str">
        <f t="shared" ref="O63" si="704" xml:space="preserve"> IF(N63="", "", _xlfn.CONCAT(N$2,$B63))</f>
        <v/>
      </c>
      <c r="P63" s="4" t="s">
        <v>738</v>
      </c>
      <c r="Q63" s="145" t="str">
        <f t="shared" ref="Q63" si="705" xml:space="preserve"> IF(P63="", "", _xlfn.CONCAT(P$2,$B63))</f>
        <v>du</v>
      </c>
      <c r="R63" s="4" t="s">
        <v>739</v>
      </c>
      <c r="S63" s="145" t="str">
        <f t="shared" ref="S63" si="706" xml:space="preserve"> IF(R63="", "", _xlfn.CONCAT(R$2,$B63))</f>
        <v>tu</v>
      </c>
      <c r="T63" s="4"/>
      <c r="U63" s="145" t="str">
        <f t="shared" ref="U63" si="707" xml:space="preserve"> IF(T63="", "", _xlfn.CONCAT(T$2,$B63))</f>
        <v/>
      </c>
      <c r="V63" s="4" t="s">
        <v>740</v>
      </c>
      <c r="W63" s="145" t="str">
        <f t="shared" ref="W63" si="708" xml:space="preserve"> IF(V63="", "", _xlfn.CONCAT(V$2,$B63))</f>
        <v>lu</v>
      </c>
      <c r="X63" s="4" t="s">
        <v>741</v>
      </c>
      <c r="Y63" s="145" t="str">
        <f t="shared" si="9"/>
        <v>zu</v>
      </c>
      <c r="Z63" s="4" t="s">
        <v>742</v>
      </c>
      <c r="AA63" s="145" t="str">
        <f t="shared" si="10"/>
        <v>cu</v>
      </c>
      <c r="AB63" s="4" t="s">
        <v>743</v>
      </c>
      <c r="AC63" s="145" t="str">
        <f t="shared" si="11"/>
        <v>ju</v>
      </c>
      <c r="AD63" s="4" t="s">
        <v>744</v>
      </c>
      <c r="AE63" s="145" t="str">
        <f t="shared" si="12"/>
        <v>su</v>
      </c>
      <c r="AF63" s="4" t="s">
        <v>745</v>
      </c>
      <c r="AG63" s="145" t="str">
        <f t="shared" ref="AG63" si="709" xml:space="preserve"> IF(AF63="", "", _xlfn.CONCAT(AF$2,$B63))</f>
        <v>gu</v>
      </c>
      <c r="AH63" s="4" t="s">
        <v>746</v>
      </c>
      <c r="AI63" s="145" t="str">
        <f t="shared" ref="AI63" si="710" xml:space="preserve"> IF(AH63="", "", _xlfn.CONCAT(AH$2,$B63))</f>
        <v>ku</v>
      </c>
      <c r="AJ63" s="4" t="s">
        <v>747</v>
      </c>
      <c r="AK63" s="145" t="str">
        <f t="shared" ref="AK63" si="711" xml:space="preserve"> IF(AJ63="", "", _xlfn.CONCAT(AJ$2,$B63))</f>
        <v>ggu</v>
      </c>
      <c r="AL63" s="4"/>
      <c r="AM63" s="145" t="str">
        <f t="shared" ref="AM63" si="712" xml:space="preserve"> IF(AL63="", "", _xlfn.CONCAT(AL$2,$B63))</f>
        <v/>
      </c>
    </row>
    <row r="64" spans="2:39">
      <c r="B64" s="143" t="s">
        <v>1818</v>
      </c>
      <c r="C64" s="142" t="s">
        <v>748</v>
      </c>
      <c r="D64" s="4" t="s">
        <v>749</v>
      </c>
      <c r="E64" s="145" t="str">
        <f t="shared" si="0"/>
        <v>uh</v>
      </c>
      <c r="F64" s="4"/>
      <c r="G64" s="145" t="str">
        <f t="shared" si="0"/>
        <v/>
      </c>
      <c r="H64" s="4" t="s">
        <v>750</v>
      </c>
      <c r="I64" s="145" t="str">
        <f t="shared" ref="I64" si="713" xml:space="preserve"> IF(H64="", "", _xlfn.CONCAT(H$2,$B64))</f>
        <v>buh</v>
      </c>
      <c r="J64" s="4" t="s">
        <v>751</v>
      </c>
      <c r="K64" s="145" t="str">
        <f t="shared" ref="K64" si="714" xml:space="preserve"> IF(J64="", "", _xlfn.CONCAT(J$2,$B64))</f>
        <v>puh</v>
      </c>
      <c r="L64" s="4" t="s">
        <v>752</v>
      </c>
      <c r="M64" s="145" t="str">
        <f t="shared" ref="M64" si="715" xml:space="preserve"> IF(L64="", "", _xlfn.CONCAT(L$2,$B64))</f>
        <v>bbuh</v>
      </c>
      <c r="N64" s="4"/>
      <c r="O64" s="145" t="str">
        <f t="shared" ref="O64" si="716" xml:space="preserve"> IF(N64="", "", _xlfn.CONCAT(N$2,$B64))</f>
        <v/>
      </c>
      <c r="P64" s="4" t="s">
        <v>753</v>
      </c>
      <c r="Q64" s="145" t="str">
        <f t="shared" ref="Q64" si="717" xml:space="preserve"> IF(P64="", "", _xlfn.CONCAT(P$2,$B64))</f>
        <v>duh</v>
      </c>
      <c r="R64" s="4" t="s">
        <v>754</v>
      </c>
      <c r="S64" s="145" t="str">
        <f t="shared" ref="S64" si="718" xml:space="preserve"> IF(R64="", "", _xlfn.CONCAT(R$2,$B64))</f>
        <v>tuh</v>
      </c>
      <c r="T64" s="4"/>
      <c r="U64" s="145" t="str">
        <f t="shared" ref="U64" si="719" xml:space="preserve"> IF(T64="", "", _xlfn.CONCAT(T$2,$B64))</f>
        <v/>
      </c>
      <c r="V64" s="4" t="s">
        <v>755</v>
      </c>
      <c r="W64" s="145" t="str">
        <f t="shared" ref="W64" si="720" xml:space="preserve"> IF(V64="", "", _xlfn.CONCAT(V$2,$B64))</f>
        <v>luh</v>
      </c>
      <c r="X64" s="4" t="s">
        <v>756</v>
      </c>
      <c r="Y64" s="145" t="str">
        <f t="shared" si="9"/>
        <v>zuh</v>
      </c>
      <c r="Z64" s="4" t="s">
        <v>757</v>
      </c>
      <c r="AA64" s="145" t="str">
        <f t="shared" si="10"/>
        <v>cuh</v>
      </c>
      <c r="AB64" s="4"/>
      <c r="AC64" s="145" t="str">
        <f t="shared" si="11"/>
        <v/>
      </c>
      <c r="AD64" s="4" t="s">
        <v>758</v>
      </c>
      <c r="AE64" s="145" t="str">
        <f t="shared" si="12"/>
        <v>suh</v>
      </c>
      <c r="AF64" s="4"/>
      <c r="AG64" s="145" t="str">
        <f t="shared" ref="AG64" si="721" xml:space="preserve"> IF(AF64="", "", _xlfn.CONCAT(AF$2,$B64))</f>
        <v/>
      </c>
      <c r="AH64" s="4" t="s">
        <v>759</v>
      </c>
      <c r="AI64" s="145" t="str">
        <f t="shared" ref="AI64" si="722" xml:space="preserve"> IF(AH64="", "", _xlfn.CONCAT(AH$2,$B64))</f>
        <v>kuh</v>
      </c>
      <c r="AJ64" s="4"/>
      <c r="AK64" s="145" t="str">
        <f t="shared" ref="AK64" si="723" xml:space="preserve"> IF(AJ64="", "", _xlfn.CONCAT(AJ$2,$B64))</f>
        <v/>
      </c>
      <c r="AL64" s="4"/>
      <c r="AM64" s="145" t="str">
        <f t="shared" ref="AM64" si="724" xml:space="preserve"> IF(AL64="", "", _xlfn.CONCAT(AL$2,$B64))</f>
        <v/>
      </c>
    </row>
    <row r="65" spans="2:39">
      <c r="B65" s="143" t="s">
        <v>1819</v>
      </c>
      <c r="C65" s="142" t="s">
        <v>760</v>
      </c>
      <c r="D65" s="4" t="s">
        <v>761</v>
      </c>
      <c r="E65" s="145" t="str">
        <f t="shared" si="0"/>
        <v>un</v>
      </c>
      <c r="F65" s="4" t="s">
        <v>762</v>
      </c>
      <c r="G65" s="145" t="str">
        <f t="shared" si="0"/>
        <v>hun</v>
      </c>
      <c r="H65" s="4" t="s">
        <v>763</v>
      </c>
      <c r="I65" s="145" t="str">
        <f t="shared" ref="I65" si="725" xml:space="preserve"> IF(H65="", "", _xlfn.CONCAT(H$2,$B65))</f>
        <v>bun</v>
      </c>
      <c r="J65" s="4" t="s">
        <v>764</v>
      </c>
      <c r="K65" s="145" t="str">
        <f t="shared" ref="K65" si="726" xml:space="preserve"> IF(J65="", "", _xlfn.CONCAT(J$2,$B65))</f>
        <v>pun</v>
      </c>
      <c r="L65" s="4" t="s">
        <v>765</v>
      </c>
      <c r="M65" s="145" t="str">
        <f t="shared" ref="M65" si="727" xml:space="preserve"> IF(L65="", "", _xlfn.CONCAT(L$2,$B65))</f>
        <v>bbun</v>
      </c>
      <c r="N65" s="4"/>
      <c r="O65" s="145" t="str">
        <f t="shared" ref="O65" si="728" xml:space="preserve"> IF(N65="", "", _xlfn.CONCAT(N$2,$B65))</f>
        <v/>
      </c>
      <c r="P65" s="4" t="s">
        <v>766</v>
      </c>
      <c r="Q65" s="145" t="str">
        <f t="shared" ref="Q65" si="729" xml:space="preserve"> IF(P65="", "", _xlfn.CONCAT(P$2,$B65))</f>
        <v>dun</v>
      </c>
      <c r="R65" s="4" t="s">
        <v>767</v>
      </c>
      <c r="S65" s="145" t="str">
        <f t="shared" ref="S65" si="730" xml:space="preserve"> IF(R65="", "", _xlfn.CONCAT(R$2,$B65))</f>
        <v>tun</v>
      </c>
      <c r="T65" s="4"/>
      <c r="U65" s="145" t="str">
        <f t="shared" ref="U65" si="731" xml:space="preserve"> IF(T65="", "", _xlfn.CONCAT(T$2,$B65))</f>
        <v/>
      </c>
      <c r="V65" s="4" t="s">
        <v>768</v>
      </c>
      <c r="W65" s="145" t="str">
        <f t="shared" ref="W65" si="732" xml:space="preserve"> IF(V65="", "", _xlfn.CONCAT(V$2,$B65))</f>
        <v>lun</v>
      </c>
      <c r="X65" s="4" t="s">
        <v>769</v>
      </c>
      <c r="Y65" s="145" t="str">
        <f t="shared" si="9"/>
        <v>zun</v>
      </c>
      <c r="Z65" s="4" t="s">
        <v>770</v>
      </c>
      <c r="AA65" s="145" t="str">
        <f t="shared" si="10"/>
        <v>cun</v>
      </c>
      <c r="AB65" s="4" t="s">
        <v>771</v>
      </c>
      <c r="AC65" s="145" t="str">
        <f t="shared" si="11"/>
        <v>jun</v>
      </c>
      <c r="AD65" s="4" t="s">
        <v>772</v>
      </c>
      <c r="AE65" s="145" t="str">
        <f t="shared" si="12"/>
        <v>sun</v>
      </c>
      <c r="AF65" s="4" t="s">
        <v>773</v>
      </c>
      <c r="AG65" s="145" t="str">
        <f t="shared" ref="AG65" si="733" xml:space="preserve"> IF(AF65="", "", _xlfn.CONCAT(AF$2,$B65))</f>
        <v>gun</v>
      </c>
      <c r="AH65" s="4" t="s">
        <v>774</v>
      </c>
      <c r="AI65" s="145" t="str">
        <f t="shared" ref="AI65" si="734" xml:space="preserve"> IF(AH65="", "", _xlfn.CONCAT(AH$2,$B65))</f>
        <v>kun</v>
      </c>
      <c r="AJ65" s="4" t="s">
        <v>775</v>
      </c>
      <c r="AK65" s="145" t="str">
        <f t="shared" ref="AK65" si="735" xml:space="preserve"> IF(AJ65="", "", _xlfn.CONCAT(AJ$2,$B65))</f>
        <v>ggun</v>
      </c>
      <c r="AL65" s="4"/>
      <c r="AM65" s="145" t="str">
        <f t="shared" ref="AM65" si="736" xml:space="preserve"> IF(AL65="", "", _xlfn.CONCAT(AL$2,$B65))</f>
        <v/>
      </c>
    </row>
    <row r="66" spans="2:39">
      <c r="B66" s="143" t="s">
        <v>1820</v>
      </c>
      <c r="C66" s="142" t="s">
        <v>776</v>
      </c>
      <c r="D66" s="4" t="s">
        <v>777</v>
      </c>
      <c r="E66" s="145" t="str">
        <f t="shared" si="0"/>
        <v>ut</v>
      </c>
      <c r="F66" s="4" t="s">
        <v>778</v>
      </c>
      <c r="G66" s="145" t="str">
        <f t="shared" si="0"/>
        <v>hut</v>
      </c>
      <c r="H66" s="4" t="s">
        <v>779</v>
      </c>
      <c r="I66" s="145" t="str">
        <f t="shared" ref="I66" si="737" xml:space="preserve"> IF(H66="", "", _xlfn.CONCAT(H$2,$B66))</f>
        <v>but</v>
      </c>
      <c r="J66" s="4" t="s">
        <v>780</v>
      </c>
      <c r="K66" s="145" t="str">
        <f t="shared" ref="K66" si="738" xml:space="preserve"> IF(J66="", "", _xlfn.CONCAT(J$2,$B66))</f>
        <v>put</v>
      </c>
      <c r="L66" s="4" t="s">
        <v>781</v>
      </c>
      <c r="M66" s="145" t="str">
        <f t="shared" ref="M66" si="739" xml:space="preserve"> IF(L66="", "", _xlfn.CONCAT(L$2,$B66))</f>
        <v>bbut</v>
      </c>
      <c r="N66" s="4"/>
      <c r="O66" s="145" t="str">
        <f t="shared" ref="O66" si="740" xml:space="preserve"> IF(N66="", "", _xlfn.CONCAT(N$2,$B66))</f>
        <v/>
      </c>
      <c r="P66" s="4" t="s">
        <v>782</v>
      </c>
      <c r="Q66" s="145" t="str">
        <f t="shared" ref="Q66" si="741" xml:space="preserve"> IF(P66="", "", _xlfn.CONCAT(P$2,$B66))</f>
        <v>dut</v>
      </c>
      <c r="R66" s="4" t="s">
        <v>783</v>
      </c>
      <c r="S66" s="145" t="str">
        <f t="shared" ref="S66" si="742" xml:space="preserve"> IF(R66="", "", _xlfn.CONCAT(R$2,$B66))</f>
        <v>tut</v>
      </c>
      <c r="T66" s="4"/>
      <c r="U66" s="145" t="str">
        <f t="shared" ref="U66" si="743" xml:space="preserve"> IF(T66="", "", _xlfn.CONCAT(T$2,$B66))</f>
        <v/>
      </c>
      <c r="V66" s="4" t="s">
        <v>784</v>
      </c>
      <c r="W66" s="145" t="str">
        <f t="shared" ref="W66" si="744" xml:space="preserve"> IF(V66="", "", _xlfn.CONCAT(V$2,$B66))</f>
        <v>lut</v>
      </c>
      <c r="X66" s="4" t="s">
        <v>785</v>
      </c>
      <c r="Y66" s="145" t="str">
        <f t="shared" si="9"/>
        <v>zut</v>
      </c>
      <c r="Z66" s="4" t="s">
        <v>786</v>
      </c>
      <c r="AA66" s="145" t="str">
        <f t="shared" si="10"/>
        <v>cut</v>
      </c>
      <c r="AB66" s="4"/>
      <c r="AC66" s="145" t="str">
        <f t="shared" si="11"/>
        <v/>
      </c>
      <c r="AD66" s="4" t="s">
        <v>787</v>
      </c>
      <c r="AE66" s="145" t="str">
        <f t="shared" si="12"/>
        <v>sut</v>
      </c>
      <c r="AF66" s="4" t="s">
        <v>788</v>
      </c>
      <c r="AG66" s="145" t="str">
        <f t="shared" ref="AG66" si="745" xml:space="preserve"> IF(AF66="", "", _xlfn.CONCAT(AF$2,$B66))</f>
        <v>gut</v>
      </c>
      <c r="AH66" s="4" t="s">
        <v>789</v>
      </c>
      <c r="AI66" s="145" t="str">
        <f t="shared" ref="AI66" si="746" xml:space="preserve"> IF(AH66="", "", _xlfn.CONCAT(AH$2,$B66))</f>
        <v>kut</v>
      </c>
      <c r="AJ66" s="4"/>
      <c r="AK66" s="145" t="str">
        <f t="shared" ref="AK66" si="747" xml:space="preserve"> IF(AJ66="", "", _xlfn.CONCAT(AJ$2,$B66))</f>
        <v/>
      </c>
      <c r="AL66" s="4"/>
      <c r="AM66" s="145" t="str">
        <f t="shared" ref="AM66" si="748" xml:space="preserve"> IF(AL66="", "", _xlfn.CONCAT(AL$2,$B66))</f>
        <v/>
      </c>
    </row>
    <row r="67" spans="2:39">
      <c r="B67" s="143" t="s">
        <v>1821</v>
      </c>
      <c r="C67" s="142" t="s">
        <v>790</v>
      </c>
      <c r="D67" s="4" t="s">
        <v>791</v>
      </c>
      <c r="E67" s="145" t="str">
        <f t="shared" si="0"/>
        <v>ua</v>
      </c>
      <c r="F67" s="4" t="s">
        <v>792</v>
      </c>
      <c r="G67" s="145" t="str">
        <f t="shared" si="0"/>
        <v>hua</v>
      </c>
      <c r="H67" s="4" t="s">
        <v>793</v>
      </c>
      <c r="I67" s="145" t="str">
        <f t="shared" ref="I67" si="749" xml:space="preserve"> IF(H67="", "", _xlfn.CONCAT(H$2,$B67))</f>
        <v>bua</v>
      </c>
      <c r="J67" s="4" t="s">
        <v>794</v>
      </c>
      <c r="K67" s="145" t="str">
        <f t="shared" ref="K67" si="750" xml:space="preserve"> IF(J67="", "", _xlfn.CONCAT(J$2,$B67))</f>
        <v>pua</v>
      </c>
      <c r="L67" s="4" t="s">
        <v>795</v>
      </c>
      <c r="M67" s="145" t="str">
        <f t="shared" ref="M67" si="751" xml:space="preserve"> IF(L67="", "", _xlfn.CONCAT(L$2,$B67))</f>
        <v>bbua</v>
      </c>
      <c r="N67" s="4" t="s">
        <v>796</v>
      </c>
      <c r="O67" s="145" t="str">
        <f t="shared" ref="O67" si="752" xml:space="preserve"> IF(N67="", "", _xlfn.CONCAT(N$2,$B67))</f>
        <v>mua</v>
      </c>
      <c r="P67" s="4" t="s">
        <v>797</v>
      </c>
      <c r="Q67" s="145" t="str">
        <f t="shared" ref="Q67" si="753" xml:space="preserve"> IF(P67="", "", _xlfn.CONCAT(P$2,$B67))</f>
        <v>dua</v>
      </c>
      <c r="R67" s="4" t="s">
        <v>798</v>
      </c>
      <c r="S67" s="145" t="str">
        <f t="shared" ref="S67" si="754" xml:space="preserve"> IF(R67="", "", _xlfn.CONCAT(R$2,$B67))</f>
        <v>tua</v>
      </c>
      <c r="T67" s="4" t="s">
        <v>799</v>
      </c>
      <c r="U67" s="145" t="str">
        <f t="shared" ref="U67" si="755" xml:space="preserve"> IF(T67="", "", _xlfn.CONCAT(T$2,$B67))</f>
        <v>nua</v>
      </c>
      <c r="V67" s="4" t="s">
        <v>800</v>
      </c>
      <c r="W67" s="145" t="str">
        <f t="shared" ref="W67" si="756" xml:space="preserve"> IF(V67="", "", _xlfn.CONCAT(V$2,$B67))</f>
        <v>lua</v>
      </c>
      <c r="X67" s="4" t="s">
        <v>801</v>
      </c>
      <c r="Y67" s="145" t="str">
        <f t="shared" si="9"/>
        <v>zua</v>
      </c>
      <c r="Z67" s="4" t="s">
        <v>802</v>
      </c>
      <c r="AA67" s="145" t="str">
        <f t="shared" si="10"/>
        <v>cua</v>
      </c>
      <c r="AB67" s="4" t="s">
        <v>803</v>
      </c>
      <c r="AC67" s="145" t="str">
        <f t="shared" si="11"/>
        <v>jua</v>
      </c>
      <c r="AD67" s="4" t="s">
        <v>804</v>
      </c>
      <c r="AE67" s="145" t="str">
        <f t="shared" si="12"/>
        <v>sua</v>
      </c>
      <c r="AF67" s="4" t="s">
        <v>805</v>
      </c>
      <c r="AG67" s="145" t="str">
        <f t="shared" ref="AG67" si="757" xml:space="preserve"> IF(AF67="", "", _xlfn.CONCAT(AF$2,$B67))</f>
        <v>gua</v>
      </c>
      <c r="AH67" s="4" t="s">
        <v>806</v>
      </c>
      <c r="AI67" s="145" t="str">
        <f t="shared" ref="AI67" si="758" xml:space="preserve"> IF(AH67="", "", _xlfn.CONCAT(AH$2,$B67))</f>
        <v>kua</v>
      </c>
      <c r="AJ67" s="4" t="s">
        <v>807</v>
      </c>
      <c r="AK67" s="145" t="str">
        <f t="shared" ref="AK67" si="759" xml:space="preserve"> IF(AJ67="", "", _xlfn.CONCAT(AJ$2,$B67))</f>
        <v>ggua</v>
      </c>
      <c r="AL67" s="4"/>
      <c r="AM67" s="145" t="str">
        <f t="shared" ref="AM67" si="760" xml:space="preserve"> IF(AL67="", "", _xlfn.CONCAT(AL$2,$B67))</f>
        <v/>
      </c>
    </row>
    <row r="68" spans="2:39">
      <c r="B68" s="143" t="s">
        <v>1822</v>
      </c>
      <c r="C68" s="142" t="s">
        <v>808</v>
      </c>
      <c r="D68" s="4" t="s">
        <v>809</v>
      </c>
      <c r="E68" s="145" t="str">
        <f t="shared" si="0"/>
        <v>Nua</v>
      </c>
      <c r="F68" s="4" t="s">
        <v>810</v>
      </c>
      <c r="G68" s="145" t="str">
        <f t="shared" si="0"/>
        <v>hNua</v>
      </c>
      <c r="H68" s="4" t="s">
        <v>811</v>
      </c>
      <c r="I68" s="145" t="str">
        <f t="shared" ref="I68" si="761" xml:space="preserve"> IF(H68="", "", _xlfn.CONCAT(H$2,$B68))</f>
        <v>bNua</v>
      </c>
      <c r="J68" s="4" t="s">
        <v>812</v>
      </c>
      <c r="K68" s="145" t="str">
        <f t="shared" ref="K68" si="762" xml:space="preserve"> IF(J68="", "", _xlfn.CONCAT(J$2,$B68))</f>
        <v>pNua</v>
      </c>
      <c r="L68" s="4"/>
      <c r="M68" s="145" t="str">
        <f t="shared" ref="M68" si="763" xml:space="preserve"> IF(L68="", "", _xlfn.CONCAT(L$2,$B68))</f>
        <v/>
      </c>
      <c r="N68" s="4"/>
      <c r="O68" s="145" t="str">
        <f t="shared" ref="O68" si="764" xml:space="preserve"> IF(N68="", "", _xlfn.CONCAT(N$2,$B68))</f>
        <v/>
      </c>
      <c r="P68" s="4" t="s">
        <v>813</v>
      </c>
      <c r="Q68" s="145" t="str">
        <f t="shared" ref="Q68" si="765" xml:space="preserve"> IF(P68="", "", _xlfn.CONCAT(P$2,$B68))</f>
        <v>dNua</v>
      </c>
      <c r="R68" s="4" t="s">
        <v>814</v>
      </c>
      <c r="S68" s="145" t="str">
        <f t="shared" ref="S68" si="766" xml:space="preserve"> IF(R68="", "", _xlfn.CONCAT(R$2,$B68))</f>
        <v>tNua</v>
      </c>
      <c r="T68" s="4"/>
      <c r="U68" s="145" t="str">
        <f t="shared" ref="U68" si="767" xml:space="preserve"> IF(T68="", "", _xlfn.CONCAT(T$2,$B68))</f>
        <v/>
      </c>
      <c r="V68" s="4"/>
      <c r="W68" s="145" t="str">
        <f t="shared" ref="W68" si="768" xml:space="preserve"> IF(V68="", "", _xlfn.CONCAT(V$2,$B68))</f>
        <v/>
      </c>
      <c r="X68" s="4" t="s">
        <v>815</v>
      </c>
      <c r="Y68" s="145" t="str">
        <f t="shared" si="9"/>
        <v>zNua</v>
      </c>
      <c r="Z68" s="4" t="s">
        <v>816</v>
      </c>
      <c r="AA68" s="145" t="str">
        <f t="shared" si="10"/>
        <v>cNua</v>
      </c>
      <c r="AB68" s="4"/>
      <c r="AC68" s="145" t="str">
        <f t="shared" si="11"/>
        <v/>
      </c>
      <c r="AD68" s="4" t="s">
        <v>817</v>
      </c>
      <c r="AE68" s="145" t="str">
        <f t="shared" si="12"/>
        <v>sNua</v>
      </c>
      <c r="AF68" s="4" t="s">
        <v>818</v>
      </c>
      <c r="AG68" s="145" t="str">
        <f t="shared" ref="AG68" si="769" xml:space="preserve"> IF(AF68="", "", _xlfn.CONCAT(AF$2,$B68))</f>
        <v>gNua</v>
      </c>
      <c r="AH68" s="4" t="s">
        <v>819</v>
      </c>
      <c r="AI68" s="145" t="str">
        <f t="shared" ref="AI68" si="770" xml:space="preserve"> IF(AH68="", "", _xlfn.CONCAT(AH$2,$B68))</f>
        <v>kNua</v>
      </c>
      <c r="AJ68" s="4"/>
      <c r="AK68" s="145" t="str">
        <f t="shared" ref="AK68" si="771" xml:space="preserve"> IF(AJ68="", "", _xlfn.CONCAT(AJ$2,$B68))</f>
        <v/>
      </c>
      <c r="AL68" s="4"/>
      <c r="AM68" s="145" t="str">
        <f t="shared" ref="AM68" si="772" xml:space="preserve"> IF(AL68="", "", _xlfn.CONCAT(AL$2,$B68))</f>
        <v/>
      </c>
    </row>
    <row r="69" spans="2:39">
      <c r="B69" s="143" t="s">
        <v>1823</v>
      </c>
      <c r="C69" s="142" t="s">
        <v>820</v>
      </c>
      <c r="D69" s="4" t="s">
        <v>821</v>
      </c>
      <c r="E69" s="145" t="str">
        <f t="shared" ref="E69:G85" si="773" xml:space="preserve"> IF(D69="", "", _xlfn.CONCAT(D$2,$B69))</f>
        <v>uah</v>
      </c>
      <c r="F69" s="4" t="s">
        <v>822</v>
      </c>
      <c r="G69" s="145" t="str">
        <f t="shared" si="773"/>
        <v>huah</v>
      </c>
      <c r="H69" s="4" t="s">
        <v>823</v>
      </c>
      <c r="I69" s="145" t="str">
        <f t="shared" ref="I69" si="774" xml:space="preserve"> IF(H69="", "", _xlfn.CONCAT(H$2,$B69))</f>
        <v>buah</v>
      </c>
      <c r="J69" s="4" t="s">
        <v>824</v>
      </c>
      <c r="K69" s="145" t="str">
        <f t="shared" ref="K69" si="775" xml:space="preserve"> IF(J69="", "", _xlfn.CONCAT(J$2,$B69))</f>
        <v>puah</v>
      </c>
      <c r="L69" s="4" t="s">
        <v>825</v>
      </c>
      <c r="M69" s="145" t="str">
        <f t="shared" ref="M69" si="776" xml:space="preserve"> IF(L69="", "", _xlfn.CONCAT(L$2,$B69))</f>
        <v>bbuah</v>
      </c>
      <c r="N69" s="4"/>
      <c r="O69" s="145" t="str">
        <f t="shared" ref="O69" si="777" xml:space="preserve"> IF(N69="", "", _xlfn.CONCAT(N$2,$B69))</f>
        <v/>
      </c>
      <c r="P69" s="4" t="s">
        <v>826</v>
      </c>
      <c r="Q69" s="145" t="str">
        <f t="shared" ref="Q69" si="778" xml:space="preserve"> IF(P69="", "", _xlfn.CONCAT(P$2,$B69))</f>
        <v>duah</v>
      </c>
      <c r="R69" s="4" t="s">
        <v>827</v>
      </c>
      <c r="S69" s="145" t="str">
        <f t="shared" ref="S69" si="779" xml:space="preserve"> IF(R69="", "", _xlfn.CONCAT(R$2,$B69))</f>
        <v>tuah</v>
      </c>
      <c r="T69" s="4"/>
      <c r="U69" s="145" t="str">
        <f t="shared" ref="U69" si="780" xml:space="preserve"> IF(T69="", "", _xlfn.CONCAT(T$2,$B69))</f>
        <v/>
      </c>
      <c r="V69" s="4" t="s">
        <v>828</v>
      </c>
      <c r="W69" s="145" t="str">
        <f t="shared" ref="W69" si="781" xml:space="preserve"> IF(V69="", "", _xlfn.CONCAT(V$2,$B69))</f>
        <v>luah</v>
      </c>
      <c r="X69" s="4" t="s">
        <v>829</v>
      </c>
      <c r="Y69" s="145" t="str">
        <f t="shared" ref="Y69:Y85" si="782" xml:space="preserve"> IF(X69="", "", IF(LEFT(X69)="ㄗ", _xlfn.CONCAT("z", $B69), IF(OR(LEFT(X69,2)="ㄐㄧ", LEFT(X69,2)="ㄐㆪ"), _xlfn.CONCAT("j",$B69), _xlfn.CONCAT("j",$B69))))</f>
        <v>zuah</v>
      </c>
      <c r="Z69" s="4" t="s">
        <v>830</v>
      </c>
      <c r="AA69" s="145" t="str">
        <f t="shared" ref="AA69:AA85" si="783" xml:space="preserve"> IF(Z69="", "", IF(LEFT(Z69)="ㄘ", _xlfn.CONCAT("c", $B69), IF(OR(LEFT(Z69,2)="ㄑㄧ", LEFT(Z69,2)="ㄑㆪ"), _xlfn.CONCAT("ch",$B69), _xlfn.CONCAT("ch",$B69))))</f>
        <v>cuah</v>
      </c>
      <c r="AB69" s="4" t="s">
        <v>831</v>
      </c>
      <c r="AC69" s="145" t="str">
        <f t="shared" ref="AC69:AC85" si="784" xml:space="preserve"> IF(AB69="", "", IF(LEFT(AB69)="ㆡ", _xlfn.CONCAT("j", $B69), IF(OR(LEFT(AB69,2)="ㆢㄧ", LEFT(AB69,2)="ㆢㆪ"), _xlfn.CONCAT("jj",$B69), _xlfn.CONCAT("jj",$B69))))</f>
        <v>juah</v>
      </c>
      <c r="AD69" s="4" t="s">
        <v>832</v>
      </c>
      <c r="AE69" s="145" t="str">
        <f t="shared" ref="AE69:AE85" si="785" xml:space="preserve"> IF(AD69="", "", IF(LEFT(AD69)="ㄙ", _xlfn.CONCAT("s", $B69), IF(OR(LEFT(AD69,2)="ㄒㄧ", LEFT(AD69,2)="ㄒㆪ"), _xlfn.CONCAT("sh",$B69), _xlfn.CONCAT("sh",$B69))))</f>
        <v>suah</v>
      </c>
      <c r="AF69" s="4" t="s">
        <v>833</v>
      </c>
      <c r="AG69" s="145" t="str">
        <f t="shared" ref="AG69" si="786" xml:space="preserve"> IF(AF69="", "", _xlfn.CONCAT(AF$2,$B69))</f>
        <v>guah</v>
      </c>
      <c r="AH69" s="4" t="s">
        <v>834</v>
      </c>
      <c r="AI69" s="145" t="str">
        <f t="shared" ref="AI69" si="787" xml:space="preserve"> IF(AH69="", "", _xlfn.CONCAT(AH$2,$B69))</f>
        <v>kuah</v>
      </c>
      <c r="AJ69" s="4"/>
      <c r="AK69" s="145" t="str">
        <f t="shared" ref="AK69" si="788" xml:space="preserve"> IF(AJ69="", "", _xlfn.CONCAT(AJ$2,$B69))</f>
        <v/>
      </c>
      <c r="AL69" s="4"/>
      <c r="AM69" s="145" t="str">
        <f t="shared" ref="AM69" si="789" xml:space="preserve"> IF(AL69="", "", _xlfn.CONCAT(AL$2,$B69))</f>
        <v/>
      </c>
    </row>
    <row r="70" spans="2:39">
      <c r="B70" s="143" t="s">
        <v>1824</v>
      </c>
      <c r="C70" s="142" t="s">
        <v>835</v>
      </c>
      <c r="D70" s="4" t="s">
        <v>836</v>
      </c>
      <c r="E70" s="145" t="str">
        <f t="shared" si="773"/>
        <v>uan</v>
      </c>
      <c r="F70" s="4" t="s">
        <v>837</v>
      </c>
      <c r="G70" s="145" t="str">
        <f t="shared" si="773"/>
        <v>huan</v>
      </c>
      <c r="H70" s="4" t="s">
        <v>838</v>
      </c>
      <c r="I70" s="145" t="str">
        <f t="shared" ref="I70" si="790" xml:space="preserve"> IF(H70="", "", _xlfn.CONCAT(H$2,$B70))</f>
        <v>buan</v>
      </c>
      <c r="J70" s="4" t="s">
        <v>839</v>
      </c>
      <c r="K70" s="145" t="str">
        <f t="shared" ref="K70" si="791" xml:space="preserve"> IF(J70="", "", _xlfn.CONCAT(J$2,$B70))</f>
        <v>puan</v>
      </c>
      <c r="L70" s="4" t="s">
        <v>840</v>
      </c>
      <c r="M70" s="145" t="str">
        <f t="shared" ref="M70" si="792" xml:space="preserve"> IF(L70="", "", _xlfn.CONCAT(L$2,$B70))</f>
        <v>bbuan</v>
      </c>
      <c r="N70" s="4"/>
      <c r="O70" s="145" t="str">
        <f t="shared" ref="O70" si="793" xml:space="preserve"> IF(N70="", "", _xlfn.CONCAT(N$2,$B70))</f>
        <v/>
      </c>
      <c r="P70" s="4" t="s">
        <v>841</v>
      </c>
      <c r="Q70" s="145" t="str">
        <f t="shared" ref="Q70" si="794" xml:space="preserve"> IF(P70="", "", _xlfn.CONCAT(P$2,$B70))</f>
        <v>duan</v>
      </c>
      <c r="R70" s="4" t="s">
        <v>842</v>
      </c>
      <c r="S70" s="145" t="str">
        <f t="shared" ref="S70" si="795" xml:space="preserve"> IF(R70="", "", _xlfn.CONCAT(R$2,$B70))</f>
        <v>tuan</v>
      </c>
      <c r="T70" s="4"/>
      <c r="U70" s="145" t="str">
        <f t="shared" ref="U70" si="796" xml:space="preserve"> IF(T70="", "", _xlfn.CONCAT(T$2,$B70))</f>
        <v/>
      </c>
      <c r="V70" s="4" t="s">
        <v>843</v>
      </c>
      <c r="W70" s="145" t="str">
        <f t="shared" ref="W70" si="797" xml:space="preserve"> IF(V70="", "", _xlfn.CONCAT(V$2,$B70))</f>
        <v>luan</v>
      </c>
      <c r="X70" s="4" t="s">
        <v>844</v>
      </c>
      <c r="Y70" s="145" t="str">
        <f t="shared" si="782"/>
        <v>zuan</v>
      </c>
      <c r="Z70" s="4" t="s">
        <v>845</v>
      </c>
      <c r="AA70" s="145" t="str">
        <f t="shared" si="783"/>
        <v>cuan</v>
      </c>
      <c r="AB70" s="4"/>
      <c r="AC70" s="145" t="str">
        <f t="shared" si="784"/>
        <v/>
      </c>
      <c r="AD70" s="4" t="s">
        <v>846</v>
      </c>
      <c r="AE70" s="145" t="str">
        <f t="shared" si="785"/>
        <v>suan</v>
      </c>
      <c r="AF70" s="4" t="s">
        <v>847</v>
      </c>
      <c r="AG70" s="145" t="str">
        <f t="shared" ref="AG70" si="798" xml:space="preserve"> IF(AF70="", "", _xlfn.CONCAT(AF$2,$B70))</f>
        <v>guan</v>
      </c>
      <c r="AH70" s="4" t="s">
        <v>848</v>
      </c>
      <c r="AI70" s="145" t="str">
        <f t="shared" ref="AI70" si="799" xml:space="preserve"> IF(AH70="", "", _xlfn.CONCAT(AH$2,$B70))</f>
        <v>kuan</v>
      </c>
      <c r="AJ70" s="4" t="s">
        <v>849</v>
      </c>
      <c r="AK70" s="145" t="str">
        <f t="shared" ref="AK70" si="800" xml:space="preserve"> IF(AJ70="", "", _xlfn.CONCAT(AJ$2,$B70))</f>
        <v>gguan</v>
      </c>
      <c r="AL70" s="4"/>
      <c r="AM70" s="145" t="str">
        <f t="shared" ref="AM70" si="801" xml:space="preserve"> IF(AL70="", "", _xlfn.CONCAT(AL$2,$B70))</f>
        <v/>
      </c>
    </row>
    <row r="71" spans="2:39">
      <c r="B71" s="143" t="s">
        <v>1825</v>
      </c>
      <c r="C71" s="142" t="s">
        <v>850</v>
      </c>
      <c r="D71" s="4" t="s">
        <v>851</v>
      </c>
      <c r="E71" s="145" t="str">
        <f t="shared" si="773"/>
        <v>uang</v>
      </c>
      <c r="F71" s="4" t="s">
        <v>852</v>
      </c>
      <c r="G71" s="145" t="str">
        <f t="shared" si="773"/>
        <v>huang</v>
      </c>
      <c r="H71" s="4"/>
      <c r="I71" s="145" t="str">
        <f t="shared" ref="I71" si="802" xml:space="preserve"> IF(H71="", "", _xlfn.CONCAT(H$2,$B71))</f>
        <v/>
      </c>
      <c r="J71" s="4"/>
      <c r="K71" s="145" t="str">
        <f t="shared" ref="K71" si="803" xml:space="preserve"> IF(J71="", "", _xlfn.CONCAT(J$2,$B71))</f>
        <v/>
      </c>
      <c r="L71" s="4"/>
      <c r="M71" s="145" t="str">
        <f t="shared" ref="M71" si="804" xml:space="preserve"> IF(L71="", "", _xlfn.CONCAT(L$2,$B71))</f>
        <v/>
      </c>
      <c r="N71" s="4"/>
      <c r="O71" s="145" t="str">
        <f t="shared" ref="O71" si="805" xml:space="preserve"> IF(N71="", "", _xlfn.CONCAT(N$2,$B71))</f>
        <v/>
      </c>
      <c r="P71" s="4"/>
      <c r="Q71" s="145" t="str">
        <f t="shared" ref="Q71" si="806" xml:space="preserve"> IF(P71="", "", _xlfn.CONCAT(P$2,$B71))</f>
        <v/>
      </c>
      <c r="R71" s="4"/>
      <c r="S71" s="145" t="str">
        <f t="shared" ref="S71" si="807" xml:space="preserve"> IF(R71="", "", _xlfn.CONCAT(R$2,$B71))</f>
        <v/>
      </c>
      <c r="T71" s="4"/>
      <c r="U71" s="145" t="str">
        <f t="shared" ref="U71" si="808" xml:space="preserve"> IF(T71="", "", _xlfn.CONCAT(T$2,$B71))</f>
        <v/>
      </c>
      <c r="V71" s="4"/>
      <c r="W71" s="145" t="str">
        <f t="shared" ref="W71" si="809" xml:space="preserve"> IF(V71="", "", _xlfn.CONCAT(V$2,$B71))</f>
        <v/>
      </c>
      <c r="X71" s="4"/>
      <c r="Y71" s="145" t="str">
        <f t="shared" si="782"/>
        <v/>
      </c>
      <c r="Z71" s="4" t="s">
        <v>853</v>
      </c>
      <c r="AA71" s="145" t="str">
        <f t="shared" si="783"/>
        <v>cuang</v>
      </c>
      <c r="AB71" s="4"/>
      <c r="AC71" s="145" t="str">
        <f t="shared" si="784"/>
        <v/>
      </c>
      <c r="AD71" s="4"/>
      <c r="AE71" s="145" t="str">
        <f t="shared" si="785"/>
        <v/>
      </c>
      <c r="AF71" s="4"/>
      <c r="AG71" s="145" t="str">
        <f t="shared" ref="AG71" si="810" xml:space="preserve"> IF(AF71="", "", _xlfn.CONCAT(AF$2,$B71))</f>
        <v/>
      </c>
      <c r="AH71" s="4"/>
      <c r="AI71" s="145" t="str">
        <f t="shared" ref="AI71" si="811" xml:space="preserve"> IF(AH71="", "", _xlfn.CONCAT(AH$2,$B71))</f>
        <v/>
      </c>
      <c r="AJ71" s="4"/>
      <c r="AK71" s="145" t="str">
        <f t="shared" ref="AK71" si="812" xml:space="preserve"> IF(AJ71="", "", _xlfn.CONCAT(AJ$2,$B71))</f>
        <v/>
      </c>
      <c r="AL71" s="4"/>
      <c r="AM71" s="145" t="str">
        <f t="shared" ref="AM71" si="813" xml:space="preserve"> IF(AL71="", "", _xlfn.CONCAT(AL$2,$B71))</f>
        <v/>
      </c>
    </row>
    <row r="72" spans="2:39">
      <c r="B72" s="143" t="s">
        <v>1826</v>
      </c>
      <c r="C72" s="142" t="s">
        <v>854</v>
      </c>
      <c r="D72" s="4" t="s">
        <v>855</v>
      </c>
      <c r="E72" s="145" t="str">
        <f t="shared" si="773"/>
        <v>uat</v>
      </c>
      <c r="F72" s="4" t="s">
        <v>856</v>
      </c>
      <c r="G72" s="145" t="str">
        <f t="shared" si="773"/>
        <v>huat</v>
      </c>
      <c r="H72" s="4" t="s">
        <v>857</v>
      </c>
      <c r="I72" s="145" t="str">
        <f t="shared" ref="I72" si="814" xml:space="preserve"> IF(H72="", "", _xlfn.CONCAT(H$2,$B72))</f>
        <v>buat</v>
      </c>
      <c r="J72" s="4" t="s">
        <v>858</v>
      </c>
      <c r="K72" s="145" t="str">
        <f t="shared" ref="K72" si="815" xml:space="preserve"> IF(J72="", "", _xlfn.CONCAT(J$2,$B72))</f>
        <v>puat</v>
      </c>
      <c r="L72" s="4" t="s">
        <v>859</v>
      </c>
      <c r="M72" s="145" t="str">
        <f t="shared" ref="M72" si="816" xml:space="preserve"> IF(L72="", "", _xlfn.CONCAT(L$2,$B72))</f>
        <v>bbuat</v>
      </c>
      <c r="N72" s="4"/>
      <c r="O72" s="145" t="str">
        <f t="shared" ref="O72" si="817" xml:space="preserve"> IF(N72="", "", _xlfn.CONCAT(N$2,$B72))</f>
        <v/>
      </c>
      <c r="P72" s="4" t="s">
        <v>860</v>
      </c>
      <c r="Q72" s="145" t="str">
        <f t="shared" ref="Q72" si="818" xml:space="preserve"> IF(P72="", "", _xlfn.CONCAT(P$2,$B72))</f>
        <v>duat</v>
      </c>
      <c r="R72" s="4" t="s">
        <v>861</v>
      </c>
      <c r="S72" s="145" t="str">
        <f t="shared" ref="S72" si="819" xml:space="preserve"> IF(R72="", "", _xlfn.CONCAT(R$2,$B72))</f>
        <v>tuat</v>
      </c>
      <c r="T72" s="4"/>
      <c r="U72" s="145" t="str">
        <f t="shared" ref="U72" si="820" xml:space="preserve"> IF(T72="", "", _xlfn.CONCAT(T$2,$B72))</f>
        <v/>
      </c>
      <c r="V72" s="4" t="s">
        <v>862</v>
      </c>
      <c r="W72" s="145" t="str">
        <f t="shared" ref="W72" si="821" xml:space="preserve"> IF(V72="", "", _xlfn.CONCAT(V$2,$B72))</f>
        <v>luat</v>
      </c>
      <c r="X72" s="4" t="s">
        <v>863</v>
      </c>
      <c r="Y72" s="145" t="str">
        <f t="shared" si="782"/>
        <v>zuat</v>
      </c>
      <c r="Z72" s="4"/>
      <c r="AA72" s="145" t="str">
        <f t="shared" si="783"/>
        <v/>
      </c>
      <c r="AB72" s="4"/>
      <c r="AC72" s="145" t="str">
        <f t="shared" si="784"/>
        <v/>
      </c>
      <c r="AD72" s="4" t="s">
        <v>864</v>
      </c>
      <c r="AE72" s="145" t="str">
        <f t="shared" si="785"/>
        <v>suat</v>
      </c>
      <c r="AF72" s="4" t="s">
        <v>865</v>
      </c>
      <c r="AG72" s="145" t="str">
        <f t="shared" ref="AG72" si="822" xml:space="preserve"> IF(AF72="", "", _xlfn.CONCAT(AF$2,$B72))</f>
        <v>guat</v>
      </c>
      <c r="AH72" s="4" t="s">
        <v>866</v>
      </c>
      <c r="AI72" s="145" t="str">
        <f t="shared" ref="AI72" si="823" xml:space="preserve"> IF(AH72="", "", _xlfn.CONCAT(AH$2,$B72))</f>
        <v>kuat</v>
      </c>
      <c r="AJ72" s="4" t="s">
        <v>867</v>
      </c>
      <c r="AK72" s="145" t="str">
        <f t="shared" ref="AK72" si="824" xml:space="preserve"> IF(AJ72="", "", _xlfn.CONCAT(AJ$2,$B72))</f>
        <v>gguat</v>
      </c>
      <c r="AL72" s="4"/>
      <c r="AM72" s="145" t="str">
        <f t="shared" ref="AM72" si="825" xml:space="preserve"> IF(AL72="", "", _xlfn.CONCAT(AL$2,$B72))</f>
        <v/>
      </c>
    </row>
    <row r="73" spans="2:39">
      <c r="B73" s="143" t="s">
        <v>1827</v>
      </c>
      <c r="C73" s="142" t="s">
        <v>868</v>
      </c>
      <c r="D73" s="4" t="s">
        <v>869</v>
      </c>
      <c r="E73" s="145" t="str">
        <f t="shared" si="773"/>
        <v>uai</v>
      </c>
      <c r="F73" s="4" t="s">
        <v>870</v>
      </c>
      <c r="G73" s="145" t="str">
        <f t="shared" si="773"/>
        <v>huai</v>
      </c>
      <c r="H73" s="4"/>
      <c r="I73" s="145" t="str">
        <f t="shared" ref="I73" si="826" xml:space="preserve"> IF(H73="", "", _xlfn.CONCAT(H$2,$B73))</f>
        <v/>
      </c>
      <c r="J73" s="4"/>
      <c r="K73" s="145" t="str">
        <f t="shared" ref="K73" si="827" xml:space="preserve"> IF(J73="", "", _xlfn.CONCAT(J$2,$B73))</f>
        <v/>
      </c>
      <c r="L73" s="4"/>
      <c r="M73" s="145" t="str">
        <f t="shared" ref="M73" si="828" xml:space="preserve"> IF(L73="", "", _xlfn.CONCAT(L$2,$B73))</f>
        <v/>
      </c>
      <c r="N73" s="4"/>
      <c r="O73" s="145" t="str">
        <f t="shared" ref="O73" si="829" xml:space="preserve"> IF(N73="", "", _xlfn.CONCAT(N$2,$B73))</f>
        <v/>
      </c>
      <c r="P73" s="4"/>
      <c r="Q73" s="145" t="str">
        <f t="shared" ref="Q73" si="830" xml:space="preserve"> IF(P73="", "", _xlfn.CONCAT(P$2,$B73))</f>
        <v/>
      </c>
      <c r="R73" s="4"/>
      <c r="S73" s="145" t="str">
        <f t="shared" ref="S73" si="831" xml:space="preserve"> IF(R73="", "", _xlfn.CONCAT(R$2,$B73))</f>
        <v/>
      </c>
      <c r="T73" s="4"/>
      <c r="U73" s="145" t="str">
        <f t="shared" ref="U73" si="832" xml:space="preserve"> IF(T73="", "", _xlfn.CONCAT(T$2,$B73))</f>
        <v/>
      </c>
      <c r="V73" s="4"/>
      <c r="W73" s="145" t="str">
        <f t="shared" ref="W73" si="833" xml:space="preserve"> IF(V73="", "", _xlfn.CONCAT(V$2,$B73))</f>
        <v/>
      </c>
      <c r="X73" s="4"/>
      <c r="Y73" s="145" t="str">
        <f t="shared" si="782"/>
        <v/>
      </c>
      <c r="Z73" s="4"/>
      <c r="AA73" s="145" t="str">
        <f t="shared" si="783"/>
        <v/>
      </c>
      <c r="AB73" s="4"/>
      <c r="AC73" s="145" t="str">
        <f t="shared" si="784"/>
        <v/>
      </c>
      <c r="AD73" s="4" t="s">
        <v>871</v>
      </c>
      <c r="AE73" s="145" t="str">
        <f t="shared" si="785"/>
        <v>suai</v>
      </c>
      <c r="AF73" s="4" t="s">
        <v>872</v>
      </c>
      <c r="AG73" s="145" t="str">
        <f t="shared" ref="AG73" si="834" xml:space="preserve"> IF(AF73="", "", _xlfn.CONCAT(AF$2,$B73))</f>
        <v>guai</v>
      </c>
      <c r="AH73" s="4" t="s">
        <v>873</v>
      </c>
      <c r="AI73" s="145" t="str">
        <f t="shared" ref="AI73" si="835" xml:space="preserve"> IF(AH73="", "", _xlfn.CONCAT(AH$2,$B73))</f>
        <v>kuai</v>
      </c>
      <c r="AJ73" s="4"/>
      <c r="AK73" s="145" t="str">
        <f t="shared" ref="AK73" si="836" xml:space="preserve"> IF(AJ73="", "", _xlfn.CONCAT(AJ$2,$B73))</f>
        <v/>
      </c>
      <c r="AL73" s="4"/>
      <c r="AM73" s="145" t="str">
        <f t="shared" ref="AM73" si="837" xml:space="preserve"> IF(AL73="", "", _xlfn.CONCAT(AL$2,$B73))</f>
        <v/>
      </c>
    </row>
    <row r="74" spans="2:39">
      <c r="B74" s="143" t="s">
        <v>1828</v>
      </c>
      <c r="C74" s="142" t="s">
        <v>874</v>
      </c>
      <c r="D74" s="4" t="s">
        <v>875</v>
      </c>
      <c r="E74" s="145" t="str">
        <f t="shared" si="773"/>
        <v>Nuai</v>
      </c>
      <c r="F74" s="4" t="s">
        <v>876</v>
      </c>
      <c r="G74" s="145" t="str">
        <f t="shared" si="773"/>
        <v>hNuai</v>
      </c>
      <c r="H74" s="4"/>
      <c r="I74" s="145" t="str">
        <f t="shared" ref="I74" si="838" xml:space="preserve"> IF(H74="", "", _xlfn.CONCAT(H$2,$B74))</f>
        <v/>
      </c>
      <c r="J74" s="4"/>
      <c r="K74" s="145" t="str">
        <f t="shared" ref="K74" si="839" xml:space="preserve"> IF(J74="", "", _xlfn.CONCAT(J$2,$B74))</f>
        <v/>
      </c>
      <c r="L74" s="4"/>
      <c r="M74" s="145" t="str">
        <f t="shared" ref="M74" si="840" xml:space="preserve"> IF(L74="", "", _xlfn.CONCAT(L$2,$B74))</f>
        <v/>
      </c>
      <c r="N74" s="4"/>
      <c r="O74" s="145" t="str">
        <f t="shared" ref="O74" si="841" xml:space="preserve"> IF(N74="", "", _xlfn.CONCAT(N$2,$B74))</f>
        <v/>
      </c>
      <c r="P74" s="4"/>
      <c r="Q74" s="145" t="str">
        <f t="shared" ref="Q74" si="842" xml:space="preserve"> IF(P74="", "", _xlfn.CONCAT(P$2,$B74))</f>
        <v/>
      </c>
      <c r="R74" s="4"/>
      <c r="S74" s="145" t="str">
        <f t="shared" ref="S74" si="843" xml:space="preserve"> IF(R74="", "", _xlfn.CONCAT(R$2,$B74))</f>
        <v/>
      </c>
      <c r="T74" s="4"/>
      <c r="U74" s="145" t="str">
        <f t="shared" ref="U74" si="844" xml:space="preserve"> IF(T74="", "", _xlfn.CONCAT(T$2,$B74))</f>
        <v/>
      </c>
      <c r="V74" s="4"/>
      <c r="W74" s="145" t="str">
        <f t="shared" ref="W74" si="845" xml:space="preserve"> IF(V74="", "", _xlfn.CONCAT(V$2,$B74))</f>
        <v/>
      </c>
      <c r="X74" s="4" t="s">
        <v>877</v>
      </c>
      <c r="Y74" s="145" t="str">
        <f t="shared" si="782"/>
        <v>zNuai</v>
      </c>
      <c r="Z74" s="4"/>
      <c r="AA74" s="145" t="str">
        <f t="shared" si="783"/>
        <v/>
      </c>
      <c r="AB74" s="4"/>
      <c r="AC74" s="145" t="str">
        <f t="shared" si="784"/>
        <v/>
      </c>
      <c r="AD74" s="4" t="s">
        <v>878</v>
      </c>
      <c r="AE74" s="145" t="str">
        <f t="shared" si="785"/>
        <v>sNuai</v>
      </c>
      <c r="AF74" s="4" t="s">
        <v>879</v>
      </c>
      <c r="AG74" s="145" t="str">
        <f t="shared" ref="AG74" si="846" xml:space="preserve"> IF(AF74="", "", _xlfn.CONCAT(AF$2,$B74))</f>
        <v>gNuai</v>
      </c>
      <c r="AH74" s="4"/>
      <c r="AI74" s="145" t="str">
        <f t="shared" ref="AI74" si="847" xml:space="preserve"> IF(AH74="", "", _xlfn.CONCAT(AH$2,$B74))</f>
        <v/>
      </c>
      <c r="AJ74" s="4"/>
      <c r="AK74" s="145" t="str">
        <f t="shared" ref="AK74" si="848" xml:space="preserve"> IF(AJ74="", "", _xlfn.CONCAT(AJ$2,$B74))</f>
        <v/>
      </c>
      <c r="AL74" s="4"/>
      <c r="AM74" s="145" t="str">
        <f t="shared" ref="AM74" si="849" xml:space="preserve"> IF(AL74="", "", _xlfn.CONCAT(AL$2,$B74))</f>
        <v/>
      </c>
    </row>
    <row r="75" spans="2:39">
      <c r="B75" s="143" t="s">
        <v>1829</v>
      </c>
      <c r="C75" s="142" t="s">
        <v>880</v>
      </c>
      <c r="D75" s="4" t="s">
        <v>881</v>
      </c>
      <c r="E75" s="145" t="str">
        <f t="shared" si="773"/>
        <v>uaih</v>
      </c>
      <c r="F75" s="4"/>
      <c r="G75" s="145" t="str">
        <f t="shared" si="773"/>
        <v/>
      </c>
      <c r="H75" s="4"/>
      <c r="I75" s="145" t="str">
        <f t="shared" ref="I75" si="850" xml:space="preserve"> IF(H75="", "", _xlfn.CONCAT(H$2,$B75))</f>
        <v/>
      </c>
      <c r="J75" s="4"/>
      <c r="K75" s="145" t="str">
        <f t="shared" ref="K75" si="851" xml:space="preserve"> IF(J75="", "", _xlfn.CONCAT(J$2,$B75))</f>
        <v/>
      </c>
      <c r="L75" s="4" t="s">
        <v>882</v>
      </c>
      <c r="M75" s="145" t="str">
        <f t="shared" ref="M75" si="852" xml:space="preserve"> IF(L75="", "", _xlfn.CONCAT(L$2,$B75))</f>
        <v>bbuaih</v>
      </c>
      <c r="N75" s="4"/>
      <c r="O75" s="145" t="str">
        <f t="shared" ref="O75" si="853" xml:space="preserve"> IF(N75="", "", _xlfn.CONCAT(N$2,$B75))</f>
        <v/>
      </c>
      <c r="P75" s="4"/>
      <c r="Q75" s="145" t="str">
        <f t="shared" ref="Q75" si="854" xml:space="preserve"> IF(P75="", "", _xlfn.CONCAT(P$2,$B75))</f>
        <v/>
      </c>
      <c r="R75" s="4"/>
      <c r="S75" s="145" t="str">
        <f t="shared" ref="S75" si="855" xml:space="preserve"> IF(R75="", "", _xlfn.CONCAT(R$2,$B75))</f>
        <v/>
      </c>
      <c r="T75" s="4"/>
      <c r="U75" s="145" t="str">
        <f t="shared" ref="U75" si="856" xml:space="preserve"> IF(T75="", "", _xlfn.CONCAT(T$2,$B75))</f>
        <v/>
      </c>
      <c r="V75" s="4" t="s">
        <v>883</v>
      </c>
      <c r="W75" s="145" t="str">
        <f t="shared" ref="W75" si="857" xml:space="preserve"> IF(V75="", "", _xlfn.CONCAT(V$2,$B75))</f>
        <v>luaih</v>
      </c>
      <c r="X75" s="4"/>
      <c r="Y75" s="145" t="str">
        <f t="shared" si="782"/>
        <v/>
      </c>
      <c r="Z75" s="4" t="s">
        <v>884</v>
      </c>
      <c r="AA75" s="145" t="str">
        <f t="shared" si="783"/>
        <v>cuaih</v>
      </c>
      <c r="AB75" s="4"/>
      <c r="AC75" s="145" t="str">
        <f t="shared" si="784"/>
        <v/>
      </c>
      <c r="AD75" s="4"/>
      <c r="AE75" s="145" t="str">
        <f t="shared" si="785"/>
        <v/>
      </c>
      <c r="AF75" s="4" t="s">
        <v>885</v>
      </c>
      <c r="AG75" s="145" t="str">
        <f t="shared" ref="AG75" si="858" xml:space="preserve"> IF(AF75="", "", _xlfn.CONCAT(AF$2,$B75))</f>
        <v>guaih</v>
      </c>
      <c r="AH75" s="4"/>
      <c r="AI75" s="145" t="str">
        <f t="shared" ref="AI75" si="859" xml:space="preserve"> IF(AH75="", "", _xlfn.CONCAT(AH$2,$B75))</f>
        <v/>
      </c>
      <c r="AJ75" s="4"/>
      <c r="AK75" s="145" t="str">
        <f t="shared" ref="AK75" si="860" xml:space="preserve"> IF(AJ75="", "", _xlfn.CONCAT(AJ$2,$B75))</f>
        <v/>
      </c>
      <c r="AL75" s="4"/>
      <c r="AM75" s="145" t="str">
        <f t="shared" ref="AM75" si="861" xml:space="preserve"> IF(AL75="", "", _xlfn.CONCAT(AL$2,$B75))</f>
        <v/>
      </c>
    </row>
    <row r="76" spans="2:39">
      <c r="B76" s="143" t="s">
        <v>1830</v>
      </c>
      <c r="C76" s="142" t="s">
        <v>886</v>
      </c>
      <c r="D76" s="4" t="s">
        <v>887</v>
      </c>
      <c r="E76" s="145" t="str">
        <f t="shared" si="773"/>
        <v>Nuaih</v>
      </c>
      <c r="F76" s="4"/>
      <c r="G76" s="145" t="str">
        <f t="shared" si="773"/>
        <v/>
      </c>
      <c r="H76" s="4"/>
      <c r="I76" s="145" t="str">
        <f t="shared" ref="I76" si="862" xml:space="preserve"> IF(H76="", "", _xlfn.CONCAT(H$2,$B76))</f>
        <v/>
      </c>
      <c r="J76" s="4"/>
      <c r="K76" s="145" t="str">
        <f t="shared" ref="K76" si="863" xml:space="preserve"> IF(J76="", "", _xlfn.CONCAT(J$2,$B76))</f>
        <v/>
      </c>
      <c r="L76" s="4"/>
      <c r="M76" s="145" t="str">
        <f t="shared" ref="M76" si="864" xml:space="preserve"> IF(L76="", "", _xlfn.CONCAT(L$2,$B76))</f>
        <v/>
      </c>
      <c r="N76" s="4"/>
      <c r="O76" s="145" t="str">
        <f t="shared" ref="O76" si="865" xml:space="preserve"> IF(N76="", "", _xlfn.CONCAT(N$2,$B76))</f>
        <v/>
      </c>
      <c r="P76" s="4"/>
      <c r="Q76" s="145" t="str">
        <f t="shared" ref="Q76" si="866" xml:space="preserve"> IF(P76="", "", _xlfn.CONCAT(P$2,$B76))</f>
        <v/>
      </c>
      <c r="R76" s="4"/>
      <c r="S76" s="145" t="str">
        <f t="shared" ref="S76" si="867" xml:space="preserve"> IF(R76="", "", _xlfn.CONCAT(R$2,$B76))</f>
        <v/>
      </c>
      <c r="T76" s="4"/>
      <c r="U76" s="145" t="str">
        <f t="shared" ref="U76" si="868" xml:space="preserve"> IF(T76="", "", _xlfn.CONCAT(T$2,$B76))</f>
        <v/>
      </c>
      <c r="V76" s="4"/>
      <c r="W76" s="145" t="str">
        <f t="shared" ref="W76" si="869" xml:space="preserve"> IF(V76="", "", _xlfn.CONCAT(V$2,$B76))</f>
        <v/>
      </c>
      <c r="X76" s="4"/>
      <c r="Y76" s="145" t="str">
        <f t="shared" si="782"/>
        <v/>
      </c>
      <c r="Z76" s="4"/>
      <c r="AA76" s="145" t="str">
        <f t="shared" si="783"/>
        <v/>
      </c>
      <c r="AB76" s="4"/>
      <c r="AC76" s="145" t="str">
        <f t="shared" si="784"/>
        <v/>
      </c>
      <c r="AD76" s="4"/>
      <c r="AE76" s="145" t="str">
        <f t="shared" si="785"/>
        <v/>
      </c>
      <c r="AF76" s="4" t="s">
        <v>888</v>
      </c>
      <c r="AG76" s="145" t="str">
        <f t="shared" ref="AG76" si="870" xml:space="preserve"> IF(AF76="", "", _xlfn.CONCAT(AF$2,$B76))</f>
        <v>gNuaih</v>
      </c>
      <c r="AH76" s="4"/>
      <c r="AI76" s="145" t="str">
        <f t="shared" ref="AI76" si="871" xml:space="preserve"> IF(AH76="", "", _xlfn.CONCAT(AH$2,$B76))</f>
        <v/>
      </c>
      <c r="AJ76" s="4"/>
      <c r="AK76" s="145" t="str">
        <f t="shared" ref="AK76" si="872" xml:space="preserve"> IF(AJ76="", "", _xlfn.CONCAT(AJ$2,$B76))</f>
        <v/>
      </c>
      <c r="AL76" s="4"/>
      <c r="AM76" s="145" t="str">
        <f t="shared" ref="AM76" si="873" xml:space="preserve"> IF(AL76="", "", _xlfn.CONCAT(AL$2,$B76))</f>
        <v/>
      </c>
    </row>
    <row r="77" spans="2:39">
      <c r="B77" s="143" t="s">
        <v>1831</v>
      </c>
      <c r="C77" s="142" t="s">
        <v>889</v>
      </c>
      <c r="D77" s="4" t="s">
        <v>890</v>
      </c>
      <c r="E77" s="145" t="str">
        <f t="shared" si="773"/>
        <v>ue</v>
      </c>
      <c r="F77" s="4" t="s">
        <v>891</v>
      </c>
      <c r="G77" s="145" t="str">
        <f t="shared" si="773"/>
        <v>hue</v>
      </c>
      <c r="H77" s="4" t="s">
        <v>892</v>
      </c>
      <c r="I77" s="145" t="str">
        <f t="shared" ref="I77" si="874" xml:space="preserve"> IF(H77="", "", _xlfn.CONCAT(H$2,$B77))</f>
        <v>bue</v>
      </c>
      <c r="J77" s="4" t="s">
        <v>893</v>
      </c>
      <c r="K77" s="145" t="str">
        <f t="shared" ref="K77" si="875" xml:space="preserve"> IF(J77="", "", _xlfn.CONCAT(J$2,$B77))</f>
        <v>pue</v>
      </c>
      <c r="L77" s="4" t="s">
        <v>894</v>
      </c>
      <c r="M77" s="145" t="str">
        <f t="shared" ref="M77" si="876" xml:space="preserve"> IF(L77="", "", _xlfn.CONCAT(L$2,$B77))</f>
        <v>bbue</v>
      </c>
      <c r="N77" s="4" t="s">
        <v>895</v>
      </c>
      <c r="O77" s="145" t="str">
        <f t="shared" ref="O77" si="877" xml:space="preserve"> IF(N77="", "", _xlfn.CONCAT(N$2,$B77))</f>
        <v>mue</v>
      </c>
      <c r="P77" s="4" t="s">
        <v>896</v>
      </c>
      <c r="Q77" s="145" t="str">
        <f t="shared" ref="Q77" si="878" xml:space="preserve"> IF(P77="", "", _xlfn.CONCAT(P$2,$B77))</f>
        <v>due</v>
      </c>
      <c r="R77" s="4" t="s">
        <v>897</v>
      </c>
      <c r="S77" s="145" t="str">
        <f t="shared" ref="S77" si="879" xml:space="preserve"> IF(R77="", "", _xlfn.CONCAT(R$2,$B77))</f>
        <v>tue</v>
      </c>
      <c r="T77" s="4"/>
      <c r="U77" s="145" t="str">
        <f t="shared" ref="U77" si="880" xml:space="preserve"> IF(T77="", "", _xlfn.CONCAT(T$2,$B77))</f>
        <v/>
      </c>
      <c r="V77" s="4" t="s">
        <v>898</v>
      </c>
      <c r="W77" s="145" t="str">
        <f t="shared" ref="W77" si="881" xml:space="preserve"> IF(V77="", "", _xlfn.CONCAT(V$2,$B77))</f>
        <v>lue</v>
      </c>
      <c r="X77" s="4" t="s">
        <v>899</v>
      </c>
      <c r="Y77" s="145" t="str">
        <f t="shared" si="782"/>
        <v>zue</v>
      </c>
      <c r="Z77" s="4" t="s">
        <v>900</v>
      </c>
      <c r="AA77" s="145" t="str">
        <f t="shared" si="783"/>
        <v>cue</v>
      </c>
      <c r="AB77" s="4" t="s">
        <v>901</v>
      </c>
      <c r="AC77" s="145" t="str">
        <f t="shared" si="784"/>
        <v>jue</v>
      </c>
      <c r="AD77" s="4" t="s">
        <v>902</v>
      </c>
      <c r="AE77" s="145" t="str">
        <f t="shared" si="785"/>
        <v>sue</v>
      </c>
      <c r="AF77" s="4" t="s">
        <v>903</v>
      </c>
      <c r="AG77" s="145" t="str">
        <f t="shared" ref="AG77" si="882" xml:space="preserve"> IF(AF77="", "", _xlfn.CONCAT(AF$2,$B77))</f>
        <v>gue</v>
      </c>
      <c r="AH77" s="4" t="s">
        <v>904</v>
      </c>
      <c r="AI77" s="145" t="str">
        <f t="shared" ref="AI77" si="883" xml:space="preserve"> IF(AH77="", "", _xlfn.CONCAT(AH$2,$B77))</f>
        <v>kue</v>
      </c>
      <c r="AJ77" s="4" t="s">
        <v>905</v>
      </c>
      <c r="AK77" s="145" t="str">
        <f t="shared" ref="AK77" si="884" xml:space="preserve"> IF(AJ77="", "", _xlfn.CONCAT(AJ$2,$B77))</f>
        <v>ggue</v>
      </c>
      <c r="AL77" s="4"/>
      <c r="AM77" s="145" t="str">
        <f t="shared" ref="AM77" si="885" xml:space="preserve"> IF(AL77="", "", _xlfn.CONCAT(AL$2,$B77))</f>
        <v/>
      </c>
    </row>
    <row r="78" spans="2:39">
      <c r="B78" s="143" t="s">
        <v>1832</v>
      </c>
      <c r="C78" s="142" t="s">
        <v>906</v>
      </c>
      <c r="D78" s="4" t="s">
        <v>907</v>
      </c>
      <c r="E78" s="145" t="str">
        <f t="shared" si="773"/>
        <v>ueh</v>
      </c>
      <c r="F78" s="4" t="s">
        <v>908</v>
      </c>
      <c r="G78" s="145" t="str">
        <f t="shared" si="773"/>
        <v>hueh</v>
      </c>
      <c r="H78" s="4" t="s">
        <v>909</v>
      </c>
      <c r="I78" s="145" t="str">
        <f t="shared" ref="I78" si="886" xml:space="preserve"> IF(H78="", "", _xlfn.CONCAT(H$2,$B78))</f>
        <v>bueh</v>
      </c>
      <c r="J78" s="4" t="s">
        <v>910</v>
      </c>
      <c r="K78" s="145" t="str">
        <f t="shared" ref="K78" si="887" xml:space="preserve"> IF(J78="", "", _xlfn.CONCAT(J$2,$B78))</f>
        <v>pueh</v>
      </c>
      <c r="L78" s="4" t="s">
        <v>911</v>
      </c>
      <c r="M78" s="145" t="str">
        <f t="shared" ref="M78" si="888" xml:space="preserve"> IF(L78="", "", _xlfn.CONCAT(L$2,$B78))</f>
        <v>bbueh</v>
      </c>
      <c r="N78" s="4"/>
      <c r="O78" s="145" t="str">
        <f t="shared" ref="O78" si="889" xml:space="preserve"> IF(N78="", "", _xlfn.CONCAT(N$2,$B78))</f>
        <v/>
      </c>
      <c r="P78" s="4"/>
      <c r="Q78" s="145" t="str">
        <f t="shared" ref="Q78" si="890" xml:space="preserve"> IF(P78="", "", _xlfn.CONCAT(P$2,$B78))</f>
        <v/>
      </c>
      <c r="R78" s="4" t="s">
        <v>912</v>
      </c>
      <c r="S78" s="145" t="str">
        <f t="shared" ref="S78" si="891" xml:space="preserve"> IF(R78="", "", _xlfn.CONCAT(R$2,$B78))</f>
        <v>tueh</v>
      </c>
      <c r="T78" s="4"/>
      <c r="U78" s="145" t="str">
        <f t="shared" ref="U78" si="892" xml:space="preserve"> IF(T78="", "", _xlfn.CONCAT(T$2,$B78))</f>
        <v/>
      </c>
      <c r="V78" s="4" t="s">
        <v>913</v>
      </c>
      <c r="W78" s="145" t="str">
        <f t="shared" ref="W78" si="893" xml:space="preserve"> IF(V78="", "", _xlfn.CONCAT(V$2,$B78))</f>
        <v>lueh</v>
      </c>
      <c r="X78" s="4" t="s">
        <v>914</v>
      </c>
      <c r="Y78" s="145" t="str">
        <f t="shared" si="782"/>
        <v>zueh</v>
      </c>
      <c r="Z78" s="4" t="s">
        <v>915</v>
      </c>
      <c r="AA78" s="145" t="str">
        <f t="shared" si="783"/>
        <v>cueh</v>
      </c>
      <c r="AB78" s="4"/>
      <c r="AC78" s="145" t="str">
        <f t="shared" si="784"/>
        <v/>
      </c>
      <c r="AD78" s="4" t="s">
        <v>916</v>
      </c>
      <c r="AE78" s="145" t="str">
        <f t="shared" si="785"/>
        <v>sueh</v>
      </c>
      <c r="AF78" s="4" t="s">
        <v>917</v>
      </c>
      <c r="AG78" s="145" t="str">
        <f t="shared" ref="AG78" si="894" xml:space="preserve"> IF(AF78="", "", _xlfn.CONCAT(AF$2,$B78))</f>
        <v>gueh</v>
      </c>
      <c r="AH78" s="4" t="s">
        <v>918</v>
      </c>
      <c r="AI78" s="145" t="str">
        <f t="shared" ref="AI78" si="895" xml:space="preserve"> IF(AH78="", "", _xlfn.CONCAT(AH$2,$B78))</f>
        <v>kueh</v>
      </c>
      <c r="AJ78" s="4" t="s">
        <v>919</v>
      </c>
      <c r="AK78" s="145" t="str">
        <f t="shared" ref="AK78" si="896" xml:space="preserve"> IF(AJ78="", "", _xlfn.CONCAT(AJ$2,$B78))</f>
        <v>ggueh</v>
      </c>
      <c r="AL78" s="4" t="s">
        <v>920</v>
      </c>
      <c r="AM78" s="145" t="str">
        <f t="shared" ref="AM78" si="897" xml:space="preserve"> IF(AL78="", "", _xlfn.CONCAT(AL$2,$B78))</f>
        <v>ngueh</v>
      </c>
    </row>
    <row r="79" spans="2:39">
      <c r="B79" s="143" t="s">
        <v>1833</v>
      </c>
      <c r="C79" s="142" t="s">
        <v>921</v>
      </c>
      <c r="D79" s="4" t="s">
        <v>922</v>
      </c>
      <c r="E79" s="145" t="str">
        <f t="shared" si="773"/>
        <v>ui</v>
      </c>
      <c r="F79" s="4" t="s">
        <v>923</v>
      </c>
      <c r="G79" s="145" t="str">
        <f t="shared" si="773"/>
        <v>hui</v>
      </c>
      <c r="H79" s="4" t="s">
        <v>924</v>
      </c>
      <c r="I79" s="145" t="str">
        <f t="shared" ref="I79" si="898" xml:space="preserve"> IF(H79="", "", _xlfn.CONCAT(H$2,$B79))</f>
        <v>bui</v>
      </c>
      <c r="J79" s="4" t="s">
        <v>925</v>
      </c>
      <c r="K79" s="145" t="str">
        <f t="shared" ref="K79" si="899" xml:space="preserve"> IF(J79="", "", _xlfn.CONCAT(J$2,$B79))</f>
        <v>pui</v>
      </c>
      <c r="L79" s="4" t="s">
        <v>926</v>
      </c>
      <c r="M79" s="145" t="str">
        <f t="shared" ref="M79" si="900" xml:space="preserve"> IF(L79="", "", _xlfn.CONCAT(L$2,$B79))</f>
        <v>bbui</v>
      </c>
      <c r="N79" s="4" t="s">
        <v>927</v>
      </c>
      <c r="O79" s="145" t="str">
        <f t="shared" ref="O79" si="901" xml:space="preserve"> IF(N79="", "", _xlfn.CONCAT(N$2,$B79))</f>
        <v>mui</v>
      </c>
      <c r="P79" s="4" t="s">
        <v>928</v>
      </c>
      <c r="Q79" s="145" t="str">
        <f t="shared" ref="Q79" si="902" xml:space="preserve"> IF(P79="", "", _xlfn.CONCAT(P$2,$B79))</f>
        <v>dui</v>
      </c>
      <c r="R79" s="4" t="s">
        <v>929</v>
      </c>
      <c r="S79" s="145" t="str">
        <f t="shared" ref="S79" si="903" xml:space="preserve"> IF(R79="", "", _xlfn.CONCAT(R$2,$B79))</f>
        <v>tui</v>
      </c>
      <c r="T79" s="4"/>
      <c r="U79" s="145" t="str">
        <f t="shared" ref="U79" si="904" xml:space="preserve"> IF(T79="", "", _xlfn.CONCAT(T$2,$B79))</f>
        <v/>
      </c>
      <c r="V79" s="4" t="s">
        <v>930</v>
      </c>
      <c r="W79" s="145" t="str">
        <f t="shared" ref="W79" si="905" xml:space="preserve"> IF(V79="", "", _xlfn.CONCAT(V$2,$B79))</f>
        <v>lui</v>
      </c>
      <c r="X79" s="4" t="s">
        <v>931</v>
      </c>
      <c r="Y79" s="145" t="str">
        <f t="shared" si="782"/>
        <v>zui</v>
      </c>
      <c r="Z79" s="4" t="s">
        <v>932</v>
      </c>
      <c r="AA79" s="145" t="str">
        <f t="shared" si="783"/>
        <v>cui</v>
      </c>
      <c r="AB79" s="4"/>
      <c r="AC79" s="145" t="str">
        <f t="shared" si="784"/>
        <v/>
      </c>
      <c r="AD79" s="4" t="s">
        <v>933</v>
      </c>
      <c r="AE79" s="145" t="str">
        <f t="shared" si="785"/>
        <v>sui</v>
      </c>
      <c r="AF79" s="4" t="s">
        <v>934</v>
      </c>
      <c r="AG79" s="145" t="str">
        <f t="shared" ref="AG79" si="906" xml:space="preserve"> IF(AF79="", "", _xlfn.CONCAT(AF$2,$B79))</f>
        <v>gui</v>
      </c>
      <c r="AH79" s="4" t="s">
        <v>935</v>
      </c>
      <c r="AI79" s="145" t="str">
        <f t="shared" ref="AI79" si="907" xml:space="preserve"> IF(AH79="", "", _xlfn.CONCAT(AH$2,$B79))</f>
        <v>kui</v>
      </c>
      <c r="AJ79" s="4" t="s">
        <v>936</v>
      </c>
      <c r="AK79" s="145" t="str">
        <f t="shared" ref="AK79" si="908" xml:space="preserve"> IF(AJ79="", "", _xlfn.CONCAT(AJ$2,$B79))</f>
        <v>ggui</v>
      </c>
      <c r="AL79" s="4"/>
      <c r="AM79" s="145" t="str">
        <f t="shared" ref="AM79" si="909" xml:space="preserve"> IF(AL79="", "", _xlfn.CONCAT(AL$2,$B79))</f>
        <v/>
      </c>
    </row>
    <row r="80" spans="2:39">
      <c r="B80" s="143" t="s">
        <v>1834</v>
      </c>
      <c r="C80" s="142" t="s">
        <v>937</v>
      </c>
      <c r="D80" s="4" t="s">
        <v>938</v>
      </c>
      <c r="E80" s="145" t="str">
        <f t="shared" si="773"/>
        <v>Nui</v>
      </c>
      <c r="F80" s="4" t="s">
        <v>939</v>
      </c>
      <c r="G80" s="145" t="str">
        <f t="shared" si="773"/>
        <v>hNui</v>
      </c>
      <c r="H80" s="4" t="s">
        <v>940</v>
      </c>
      <c r="I80" s="145" t="str">
        <f t="shared" ref="I80" si="910" xml:space="preserve"> IF(H80="", "", _xlfn.CONCAT(H$2,$B80))</f>
        <v>bNui</v>
      </c>
      <c r="J80" s="4"/>
      <c r="K80" s="145" t="str">
        <f t="shared" ref="K80" si="911" xml:space="preserve"> IF(J80="", "", _xlfn.CONCAT(J$2,$B80))</f>
        <v/>
      </c>
      <c r="L80" s="4"/>
      <c r="M80" s="145" t="str">
        <f t="shared" ref="M80" si="912" xml:space="preserve"> IF(L80="", "", _xlfn.CONCAT(L$2,$B80))</f>
        <v/>
      </c>
      <c r="N80" s="4"/>
      <c r="O80" s="145" t="str">
        <f t="shared" ref="O80" si="913" xml:space="preserve"> IF(N80="", "", _xlfn.CONCAT(N$2,$B80))</f>
        <v/>
      </c>
      <c r="P80" s="4"/>
      <c r="Q80" s="145" t="str">
        <f t="shared" ref="Q80" si="914" xml:space="preserve"> IF(P80="", "", _xlfn.CONCAT(P$2,$B80))</f>
        <v/>
      </c>
      <c r="R80" s="4"/>
      <c r="S80" s="145" t="str">
        <f t="shared" ref="S80" si="915" xml:space="preserve"> IF(R80="", "", _xlfn.CONCAT(R$2,$B80))</f>
        <v/>
      </c>
      <c r="T80" s="4"/>
      <c r="U80" s="145" t="str">
        <f t="shared" ref="U80" si="916" xml:space="preserve"> IF(T80="", "", _xlfn.CONCAT(T$2,$B80))</f>
        <v/>
      </c>
      <c r="V80" s="4"/>
      <c r="W80" s="145" t="str">
        <f t="shared" ref="W80" si="917" xml:space="preserve"> IF(V80="", "", _xlfn.CONCAT(V$2,$B80))</f>
        <v/>
      </c>
      <c r="X80" s="4" t="s">
        <v>941</v>
      </c>
      <c r="Y80" s="145" t="str">
        <f t="shared" si="782"/>
        <v>zNui</v>
      </c>
      <c r="Z80" s="4" t="s">
        <v>942</v>
      </c>
      <c r="AA80" s="145" t="str">
        <f t="shared" si="783"/>
        <v>cNui</v>
      </c>
      <c r="AB80" s="4"/>
      <c r="AC80" s="145" t="str">
        <f t="shared" si="784"/>
        <v/>
      </c>
      <c r="AD80" s="4" t="s">
        <v>943</v>
      </c>
      <c r="AE80" s="145" t="str">
        <f t="shared" si="785"/>
        <v>sNui</v>
      </c>
      <c r="AF80" s="4" t="s">
        <v>944</v>
      </c>
      <c r="AG80" s="145" t="str">
        <f t="shared" ref="AG80" si="918" xml:space="preserve"> IF(AF80="", "", _xlfn.CONCAT(AF$2,$B80))</f>
        <v>gNui</v>
      </c>
      <c r="AH80" s="4"/>
      <c r="AI80" s="145" t="str">
        <f t="shared" ref="AI80" si="919" xml:space="preserve"> IF(AH80="", "", _xlfn.CONCAT(AH$2,$B80))</f>
        <v/>
      </c>
      <c r="AJ80" s="4"/>
      <c r="AK80" s="145" t="str">
        <f t="shared" ref="AK80" si="920" xml:space="preserve"> IF(AJ80="", "", _xlfn.CONCAT(AJ$2,$B80))</f>
        <v/>
      </c>
      <c r="AL80" s="4"/>
      <c r="AM80" s="145" t="str">
        <f t="shared" ref="AM80" si="921" xml:space="preserve"> IF(AL80="", "", _xlfn.CONCAT(AL$2,$B80))</f>
        <v/>
      </c>
    </row>
    <row r="81" spans="2:39">
      <c r="B81" s="143" t="s">
        <v>1836</v>
      </c>
      <c r="C81" s="142" t="s">
        <v>945</v>
      </c>
      <c r="D81" s="4" t="s">
        <v>946</v>
      </c>
      <c r="E81" s="145" t="str">
        <f t="shared" si="773"/>
        <v>uih</v>
      </c>
      <c r="F81" s="4" t="s">
        <v>947</v>
      </c>
      <c r="G81" s="145" t="str">
        <f t="shared" si="773"/>
        <v>huih</v>
      </c>
      <c r="H81" s="4"/>
      <c r="I81" s="145" t="str">
        <f t="shared" ref="I81" si="922" xml:space="preserve"> IF(H81="", "", _xlfn.CONCAT(H$2,$B81))</f>
        <v/>
      </c>
      <c r="J81" s="4"/>
      <c r="K81" s="145" t="str">
        <f t="shared" ref="K81" si="923" xml:space="preserve"> IF(J81="", "", _xlfn.CONCAT(J$2,$B81))</f>
        <v/>
      </c>
      <c r="L81" s="4"/>
      <c r="M81" s="145" t="str">
        <f t="shared" ref="M81" si="924" xml:space="preserve"> IF(L81="", "", _xlfn.CONCAT(L$2,$B81))</f>
        <v/>
      </c>
      <c r="N81" s="4"/>
      <c r="O81" s="145" t="str">
        <f t="shared" ref="O81" si="925" xml:space="preserve"> IF(N81="", "", _xlfn.CONCAT(N$2,$B81))</f>
        <v/>
      </c>
      <c r="P81" s="4"/>
      <c r="Q81" s="145" t="str">
        <f t="shared" ref="Q81" si="926" xml:space="preserve"> IF(P81="", "", _xlfn.CONCAT(P$2,$B81))</f>
        <v/>
      </c>
      <c r="R81" s="4"/>
      <c r="S81" s="145" t="str">
        <f t="shared" ref="S81" si="927" xml:space="preserve"> IF(R81="", "", _xlfn.CONCAT(R$2,$B81))</f>
        <v/>
      </c>
      <c r="T81" s="4"/>
      <c r="U81" s="145" t="str">
        <f t="shared" ref="U81" si="928" xml:space="preserve"> IF(T81="", "", _xlfn.CONCAT(T$2,$B81))</f>
        <v/>
      </c>
      <c r="V81" s="4"/>
      <c r="W81" s="145" t="str">
        <f t="shared" ref="W81" si="929" xml:space="preserve"> IF(V81="", "", _xlfn.CONCAT(V$2,$B81))</f>
        <v/>
      </c>
      <c r="X81" s="4"/>
      <c r="Y81" s="145" t="str">
        <f t="shared" si="782"/>
        <v/>
      </c>
      <c r="Z81" s="4"/>
      <c r="AA81" s="145" t="str">
        <f t="shared" si="783"/>
        <v/>
      </c>
      <c r="AB81" s="4"/>
      <c r="AC81" s="145" t="str">
        <f t="shared" si="784"/>
        <v/>
      </c>
      <c r="AD81" s="4"/>
      <c r="AE81" s="145" t="str">
        <f t="shared" si="785"/>
        <v/>
      </c>
      <c r="AF81" s="4" t="s">
        <v>948</v>
      </c>
      <c r="AG81" s="145" t="str">
        <f t="shared" ref="AG81" si="930" xml:space="preserve"> IF(AF81="", "", _xlfn.CONCAT(AF$2,$B81))</f>
        <v>guih</v>
      </c>
      <c r="AH81" s="4"/>
      <c r="AI81" s="145" t="str">
        <f t="shared" ref="AI81" si="931" xml:space="preserve"> IF(AH81="", "", _xlfn.CONCAT(AH$2,$B81))</f>
        <v/>
      </c>
      <c r="AJ81" s="4"/>
      <c r="AK81" s="145" t="str">
        <f t="shared" ref="AK81" si="932" xml:space="preserve"> IF(AJ81="", "", _xlfn.CONCAT(AJ$2,$B81))</f>
        <v/>
      </c>
      <c r="AL81" s="4"/>
      <c r="AM81" s="145" t="str">
        <f t="shared" ref="AM81" si="933" xml:space="preserve"> IF(AL81="", "", _xlfn.CONCAT(AL$2,$B81))</f>
        <v/>
      </c>
    </row>
    <row r="82" spans="2:39">
      <c r="B82" s="143" t="s">
        <v>1086</v>
      </c>
      <c r="C82" s="142" t="s">
        <v>949</v>
      </c>
      <c r="D82" s="4" t="s">
        <v>950</v>
      </c>
      <c r="E82" s="145" t="str">
        <f t="shared" si="773"/>
        <v>m</v>
      </c>
      <c r="F82" s="4" t="s">
        <v>951</v>
      </c>
      <c r="G82" s="145" t="str">
        <f t="shared" si="773"/>
        <v>hm</v>
      </c>
      <c r="H82" s="4"/>
      <c r="I82" s="145" t="str">
        <f t="shared" ref="I82" si="934" xml:space="preserve"> IF(H82="", "", _xlfn.CONCAT(H$2,$B82))</f>
        <v/>
      </c>
      <c r="J82" s="4"/>
      <c r="K82" s="145" t="str">
        <f t="shared" ref="K82" si="935" xml:space="preserve"> IF(J82="", "", _xlfn.CONCAT(J$2,$B82))</f>
        <v/>
      </c>
      <c r="L82" s="4"/>
      <c r="M82" s="145" t="str">
        <f t="shared" ref="M82" si="936" xml:space="preserve"> IF(L82="", "", _xlfn.CONCAT(L$2,$B82))</f>
        <v/>
      </c>
      <c r="N82" s="4"/>
      <c r="O82" s="145" t="str">
        <f t="shared" ref="O82" si="937" xml:space="preserve"> IF(N82="", "", _xlfn.CONCAT(N$2,$B82))</f>
        <v/>
      </c>
      <c r="P82" s="4"/>
      <c r="Q82" s="145" t="str">
        <f t="shared" ref="Q82" si="938" xml:space="preserve"> IF(P82="", "", _xlfn.CONCAT(P$2,$B82))</f>
        <v/>
      </c>
      <c r="R82" s="4"/>
      <c r="S82" s="145" t="str">
        <f t="shared" ref="S82" si="939" xml:space="preserve"> IF(R82="", "", _xlfn.CONCAT(R$2,$B82))</f>
        <v/>
      </c>
      <c r="T82" s="4"/>
      <c r="U82" s="145" t="str">
        <f t="shared" ref="U82" si="940" xml:space="preserve"> IF(T82="", "", _xlfn.CONCAT(T$2,$B82))</f>
        <v/>
      </c>
      <c r="V82" s="4"/>
      <c r="W82" s="145" t="str">
        <f t="shared" ref="W82" si="941" xml:space="preserve"> IF(V82="", "", _xlfn.CONCAT(V$2,$B82))</f>
        <v/>
      </c>
      <c r="X82" s="4"/>
      <c r="Y82" s="145" t="str">
        <f t="shared" si="782"/>
        <v/>
      </c>
      <c r="Z82" s="4"/>
      <c r="AA82" s="145" t="str">
        <f t="shared" si="783"/>
        <v/>
      </c>
      <c r="AB82" s="4"/>
      <c r="AC82" s="145" t="str">
        <f t="shared" si="784"/>
        <v/>
      </c>
      <c r="AD82" s="4"/>
      <c r="AE82" s="145" t="str">
        <f t="shared" si="785"/>
        <v/>
      </c>
      <c r="AF82" s="4"/>
      <c r="AG82" s="145" t="str">
        <f t="shared" ref="AG82" si="942" xml:space="preserve"> IF(AF82="", "", _xlfn.CONCAT(AF$2,$B82))</f>
        <v/>
      </c>
      <c r="AH82" s="4"/>
      <c r="AI82" s="145" t="str">
        <f t="shared" ref="AI82" si="943" xml:space="preserve"> IF(AH82="", "", _xlfn.CONCAT(AH$2,$B82))</f>
        <v/>
      </c>
      <c r="AJ82" s="4"/>
      <c r="AK82" s="145" t="str">
        <f t="shared" ref="AK82" si="944" xml:space="preserve"> IF(AJ82="", "", _xlfn.CONCAT(AJ$2,$B82))</f>
        <v/>
      </c>
      <c r="AL82" s="4"/>
      <c r="AM82" s="145" t="str">
        <f t="shared" ref="AM82" si="945" xml:space="preserve"> IF(AL82="", "", _xlfn.CONCAT(AL$2,$B82))</f>
        <v/>
      </c>
    </row>
    <row r="83" spans="2:39">
      <c r="B83" s="143" t="s">
        <v>1838</v>
      </c>
      <c r="C83" s="142" t="s">
        <v>952</v>
      </c>
      <c r="D83" s="4" t="s">
        <v>953</v>
      </c>
      <c r="E83" s="145" t="str">
        <f t="shared" si="773"/>
        <v>mh</v>
      </c>
      <c r="F83" s="4" t="s">
        <v>954</v>
      </c>
      <c r="G83" s="145" t="str">
        <f t="shared" si="773"/>
        <v>hmh</v>
      </c>
      <c r="H83" s="4"/>
      <c r="I83" s="145" t="str">
        <f t="shared" ref="I83" si="946" xml:space="preserve"> IF(H83="", "", _xlfn.CONCAT(H$2,$B83))</f>
        <v/>
      </c>
      <c r="J83" s="4"/>
      <c r="K83" s="145" t="str">
        <f t="shared" ref="K83" si="947" xml:space="preserve"> IF(J83="", "", _xlfn.CONCAT(J$2,$B83))</f>
        <v/>
      </c>
      <c r="L83" s="4"/>
      <c r="M83" s="145" t="str">
        <f t="shared" ref="M83" si="948" xml:space="preserve"> IF(L83="", "", _xlfn.CONCAT(L$2,$B83))</f>
        <v/>
      </c>
      <c r="N83" s="4"/>
      <c r="O83" s="145" t="str">
        <f t="shared" ref="O83" si="949" xml:space="preserve"> IF(N83="", "", _xlfn.CONCAT(N$2,$B83))</f>
        <v/>
      </c>
      <c r="P83" s="4"/>
      <c r="Q83" s="145" t="str">
        <f t="shared" ref="Q83" si="950" xml:space="preserve"> IF(P83="", "", _xlfn.CONCAT(P$2,$B83))</f>
        <v/>
      </c>
      <c r="R83" s="4"/>
      <c r="S83" s="145" t="str">
        <f t="shared" ref="S83" si="951" xml:space="preserve"> IF(R83="", "", _xlfn.CONCAT(R$2,$B83))</f>
        <v/>
      </c>
      <c r="T83" s="4"/>
      <c r="U83" s="145" t="str">
        <f t="shared" ref="U83" si="952" xml:space="preserve"> IF(T83="", "", _xlfn.CONCAT(T$2,$B83))</f>
        <v/>
      </c>
      <c r="V83" s="4"/>
      <c r="W83" s="145" t="str">
        <f t="shared" ref="W83" si="953" xml:space="preserve"> IF(V83="", "", _xlfn.CONCAT(V$2,$B83))</f>
        <v/>
      </c>
      <c r="X83" s="4"/>
      <c r="Y83" s="145" t="str">
        <f t="shared" si="782"/>
        <v/>
      </c>
      <c r="Z83" s="4"/>
      <c r="AA83" s="145" t="str">
        <f t="shared" si="783"/>
        <v/>
      </c>
      <c r="AB83" s="4"/>
      <c r="AC83" s="145" t="str">
        <f t="shared" si="784"/>
        <v/>
      </c>
      <c r="AD83" s="4"/>
      <c r="AE83" s="145" t="str">
        <f t="shared" si="785"/>
        <v/>
      </c>
      <c r="AF83" s="4"/>
      <c r="AG83" s="145" t="str">
        <f t="shared" ref="AG83" si="954" xml:space="preserve"> IF(AF83="", "", _xlfn.CONCAT(AF$2,$B83))</f>
        <v/>
      </c>
      <c r="AH83" s="4"/>
      <c r="AI83" s="145" t="str">
        <f t="shared" ref="AI83" si="955" xml:space="preserve"> IF(AH83="", "", _xlfn.CONCAT(AH$2,$B83))</f>
        <v/>
      </c>
      <c r="AJ83" s="4"/>
      <c r="AK83" s="145" t="str">
        <f t="shared" ref="AK83" si="956" xml:space="preserve"> IF(AJ83="", "", _xlfn.CONCAT(AJ$2,$B83))</f>
        <v/>
      </c>
      <c r="AL83" s="4"/>
      <c r="AM83" s="145" t="str">
        <f t="shared" ref="AM83" si="957" xml:space="preserve"> IF(AL83="", "", _xlfn.CONCAT(AL$2,$B83))</f>
        <v/>
      </c>
    </row>
    <row r="84" spans="2:39">
      <c r="B84" s="143" t="s">
        <v>1096</v>
      </c>
      <c r="C84" s="142" t="s">
        <v>955</v>
      </c>
      <c r="D84" s="4" t="s">
        <v>956</v>
      </c>
      <c r="E84" s="145" t="str">
        <f t="shared" si="773"/>
        <v>ng</v>
      </c>
      <c r="F84" s="4" t="s">
        <v>957</v>
      </c>
      <c r="G84" s="145" t="str">
        <f t="shared" si="773"/>
        <v>hng</v>
      </c>
      <c r="H84" s="4" t="s">
        <v>958</v>
      </c>
      <c r="I84" s="145" t="str">
        <f t="shared" ref="I84" si="958" xml:space="preserve"> IF(H84="", "", _xlfn.CONCAT(H$2,$B84))</f>
        <v>bng</v>
      </c>
      <c r="J84" s="4"/>
      <c r="K84" s="145" t="str">
        <f t="shared" ref="K84" si="959" xml:space="preserve"> IF(J84="", "", _xlfn.CONCAT(J$2,$B84))</f>
        <v/>
      </c>
      <c r="L84" s="4"/>
      <c r="M84" s="145" t="str">
        <f t="shared" ref="M84" si="960" xml:space="preserve"> IF(L84="", "", _xlfn.CONCAT(L$2,$B84))</f>
        <v/>
      </c>
      <c r="N84" s="4" t="s">
        <v>959</v>
      </c>
      <c r="O84" s="145" t="str">
        <f t="shared" ref="O84" si="961" xml:space="preserve"> IF(N84="", "", _xlfn.CONCAT(N$2,$B84))</f>
        <v>mng</v>
      </c>
      <c r="P84" s="4" t="s">
        <v>960</v>
      </c>
      <c r="Q84" s="145" t="str">
        <f t="shared" ref="Q84" si="962" xml:space="preserve"> IF(P84="", "", _xlfn.CONCAT(P$2,$B84))</f>
        <v>dng</v>
      </c>
      <c r="R84" s="4" t="s">
        <v>961</v>
      </c>
      <c r="S84" s="145" t="str">
        <f t="shared" ref="S84" si="963" xml:space="preserve"> IF(R84="", "", _xlfn.CONCAT(R$2,$B84))</f>
        <v>tng</v>
      </c>
      <c r="T84" s="4" t="s">
        <v>962</v>
      </c>
      <c r="U84" s="145" t="str">
        <f t="shared" ref="U84" si="964" xml:space="preserve"> IF(T84="", "", _xlfn.CONCAT(T$2,$B84))</f>
        <v>nng</v>
      </c>
      <c r="V84" s="4"/>
      <c r="W84" s="145" t="str">
        <f t="shared" ref="W84" si="965" xml:space="preserve"> IF(V84="", "", _xlfn.CONCAT(V$2,$B84))</f>
        <v/>
      </c>
      <c r="X84" s="4" t="s">
        <v>963</v>
      </c>
      <c r="Y84" s="145" t="str">
        <f t="shared" si="782"/>
        <v>zng</v>
      </c>
      <c r="Z84" s="4" t="s">
        <v>964</v>
      </c>
      <c r="AA84" s="145" t="str">
        <f t="shared" si="783"/>
        <v>cng</v>
      </c>
      <c r="AB84" s="4"/>
      <c r="AC84" s="145" t="str">
        <f t="shared" si="784"/>
        <v/>
      </c>
      <c r="AD84" s="4" t="s">
        <v>965</v>
      </c>
      <c r="AE84" s="145" t="str">
        <f t="shared" si="785"/>
        <v>sng</v>
      </c>
      <c r="AF84" s="4" t="s">
        <v>966</v>
      </c>
      <c r="AG84" s="145" t="str">
        <f t="shared" ref="AG84" si="966" xml:space="preserve"> IF(AF84="", "", _xlfn.CONCAT(AF$2,$B84))</f>
        <v>gng</v>
      </c>
      <c r="AH84" s="4" t="s">
        <v>967</v>
      </c>
      <c r="AI84" s="145" t="str">
        <f t="shared" ref="AI84" si="967" xml:space="preserve"> IF(AH84="", "", _xlfn.CONCAT(AH$2,$B84))</f>
        <v>kng</v>
      </c>
      <c r="AJ84" s="4"/>
      <c r="AK84" s="145" t="str">
        <f t="shared" ref="AK84" si="968" xml:space="preserve"> IF(AJ84="", "", _xlfn.CONCAT(AJ$2,$B84))</f>
        <v/>
      </c>
      <c r="AL84" s="4"/>
      <c r="AM84" s="145" t="str">
        <f t="shared" ref="AM84" si="969" xml:space="preserve"> IF(AL84="", "", _xlfn.CONCAT(AL$2,$B84))</f>
        <v/>
      </c>
    </row>
    <row r="85" spans="2:39">
      <c r="B85" s="143" t="s">
        <v>1840</v>
      </c>
      <c r="C85" s="142" t="s">
        <v>968</v>
      </c>
      <c r="D85" s="4" t="s">
        <v>969</v>
      </c>
      <c r="E85" s="145" t="str">
        <f t="shared" si="773"/>
        <v>ngh</v>
      </c>
      <c r="F85" s="4" t="s">
        <v>970</v>
      </c>
      <c r="G85" s="145" t="str">
        <f t="shared" si="773"/>
        <v>hngh</v>
      </c>
      <c r="H85" s="4"/>
      <c r="I85" s="145" t="str">
        <f t="shared" ref="I85" si="970" xml:space="preserve"> IF(H85="", "", _xlfn.CONCAT(H$2,$B85))</f>
        <v/>
      </c>
      <c r="J85" s="4" t="s">
        <v>971</v>
      </c>
      <c r="K85" s="145" t="str">
        <f t="shared" ref="K85" si="971" xml:space="preserve"> IF(J85="", "", _xlfn.CONCAT(J$2,$B85))</f>
        <v>pngh</v>
      </c>
      <c r="L85" s="4"/>
      <c r="M85" s="145" t="str">
        <f t="shared" ref="M85" si="972" xml:space="preserve"> IF(L85="", "", _xlfn.CONCAT(L$2,$B85))</f>
        <v/>
      </c>
      <c r="N85" s="4" t="s">
        <v>972</v>
      </c>
      <c r="O85" s="145" t="str">
        <f t="shared" ref="O85" si="973" xml:space="preserve"> IF(N85="", "", _xlfn.CONCAT(N$2,$B85))</f>
        <v>mngh</v>
      </c>
      <c r="P85" s="4"/>
      <c r="Q85" s="145" t="str">
        <f t="shared" ref="Q85" si="974" xml:space="preserve"> IF(P85="", "", _xlfn.CONCAT(P$2,$B85))</f>
        <v/>
      </c>
      <c r="R85" s="4"/>
      <c r="S85" s="145" t="str">
        <f t="shared" ref="S85" si="975" xml:space="preserve"> IF(R85="", "", _xlfn.CONCAT(R$2,$B85))</f>
        <v/>
      </c>
      <c r="T85" s="4"/>
      <c r="U85" s="145" t="str">
        <f t="shared" ref="U85" si="976" xml:space="preserve"> IF(T85="", "", _xlfn.CONCAT(T$2,$B85))</f>
        <v/>
      </c>
      <c r="V85" s="4"/>
      <c r="W85" s="145" t="str">
        <f t="shared" ref="W85" si="977" xml:space="preserve"> IF(V85="", "", _xlfn.CONCAT(V$2,$B85))</f>
        <v/>
      </c>
      <c r="X85" s="4"/>
      <c r="Y85" s="145" t="str">
        <f t="shared" si="782"/>
        <v/>
      </c>
      <c r="Z85" s="4" t="s">
        <v>973</v>
      </c>
      <c r="AA85" s="145" t="str">
        <f t="shared" si="783"/>
        <v>cngh</v>
      </c>
      <c r="AB85" s="4"/>
      <c r="AC85" s="145" t="str">
        <f t="shared" si="784"/>
        <v/>
      </c>
      <c r="AD85" s="4" t="s">
        <v>974</v>
      </c>
      <c r="AE85" s="145" t="str">
        <f t="shared" si="785"/>
        <v>sngh</v>
      </c>
      <c r="AF85" s="4"/>
      <c r="AG85" s="145" t="str">
        <f t="shared" ref="AG85" si="978" xml:space="preserve"> IF(AF85="", "", _xlfn.CONCAT(AF$2,$B85))</f>
        <v/>
      </c>
      <c r="AH85" s="4" t="s">
        <v>975</v>
      </c>
      <c r="AI85" s="145" t="str">
        <f t="shared" ref="AI85" si="979" xml:space="preserve"> IF(AH85="", "", _xlfn.CONCAT(AH$2,$B85))</f>
        <v>kngh</v>
      </c>
      <c r="AJ85" s="4"/>
      <c r="AK85" s="145" t="str">
        <f t="shared" ref="AK85" si="980" xml:space="preserve"> IF(AJ85="", "", _xlfn.CONCAT(AJ$2,$B85))</f>
        <v/>
      </c>
      <c r="AL85" s="4"/>
      <c r="AM85" s="145" t="str">
        <f t="shared" ref="AM85" si="981" xml:space="preserve"> IF(AL85="", "", _xlfn.CONCAT(AL$2,$B85))</f>
        <v/>
      </c>
    </row>
  </sheetData>
  <mergeCells count="37">
    <mergeCell ref="AJ3:AK3"/>
    <mergeCell ref="AL3:AM3"/>
    <mergeCell ref="B2:C2"/>
    <mergeCell ref="X3:Y3"/>
    <mergeCell ref="Z3:AA3"/>
    <mergeCell ref="AB3:AC3"/>
    <mergeCell ref="AD3:AE3"/>
    <mergeCell ref="AF3:AG3"/>
    <mergeCell ref="AH3:AI3"/>
    <mergeCell ref="AJ2:AK2"/>
    <mergeCell ref="AL2:AM2"/>
    <mergeCell ref="H3:I3"/>
    <mergeCell ref="J3:K3"/>
    <mergeCell ref="L3:M3"/>
    <mergeCell ref="N3:O3"/>
    <mergeCell ref="P3:Q3"/>
    <mergeCell ref="R3:S3"/>
    <mergeCell ref="T3:U3"/>
    <mergeCell ref="V3:W3"/>
    <mergeCell ref="X2:Y2"/>
    <mergeCell ref="Z2:AA2"/>
    <mergeCell ref="AB2:AC2"/>
    <mergeCell ref="AD2:AE2"/>
    <mergeCell ref="AF2:AG2"/>
    <mergeCell ref="AH2:AI2"/>
    <mergeCell ref="L2:M2"/>
    <mergeCell ref="N2:O2"/>
    <mergeCell ref="P2:Q2"/>
    <mergeCell ref="R2:S2"/>
    <mergeCell ref="T2:U2"/>
    <mergeCell ref="V2:W2"/>
    <mergeCell ref="J2:K2"/>
    <mergeCell ref="D2:E2"/>
    <mergeCell ref="D3:E3"/>
    <mergeCell ref="F2:G2"/>
    <mergeCell ref="F3:G3"/>
    <mergeCell ref="H2:I2"/>
  </mergeCells>
  <phoneticPr fontId="3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C1BCA-B4D5-482E-93E6-13E48C498F97}">
  <sheetPr>
    <tabColor rgb="FFFF0000"/>
  </sheetPr>
  <dimension ref="B1:CF92"/>
  <sheetViews>
    <sheetView topLeftCell="A2" workbookViewId="0">
      <pane ySplit="1" topLeftCell="A3" activePane="bottomLeft" state="frozen"/>
      <selection activeCell="C12" sqref="C12"/>
      <selection pane="bottomLeft" activeCell="J3" sqref="J3"/>
    </sheetView>
  </sheetViews>
  <sheetFormatPr defaultColWidth="13.625" defaultRowHeight="39" outlineLevelCol="1"/>
  <cols>
    <col min="1" max="1" width="8" style="70" customWidth="1"/>
    <col min="2" max="2" width="8.5" style="70" customWidth="1"/>
    <col min="3" max="4" width="16.25" style="71" customWidth="1"/>
    <col min="5" max="5" width="14.5" style="215" bestFit="1" customWidth="1"/>
    <col min="6" max="6" width="16.25" style="71" customWidth="1"/>
    <col min="7" max="7" width="16.25" style="71" hidden="1" customWidth="1" outlineLevel="1"/>
    <col min="8" max="8" width="16.25" style="71" customWidth="1" collapsed="1"/>
    <col min="9" max="11" width="16.25" style="71" customWidth="1"/>
    <col min="12" max="12" width="16.25" style="82" customWidth="1"/>
    <col min="13" max="14" width="16.25" style="69" customWidth="1"/>
    <col min="15" max="15" width="8" style="70" customWidth="1"/>
    <col min="16" max="16" width="8.5" style="70" customWidth="1"/>
    <col min="17" max="17" width="15.875" style="82" customWidth="1"/>
    <col min="18" max="18" width="15.875" style="69" customWidth="1"/>
    <col min="19" max="20" width="15.875" style="83" customWidth="1"/>
    <col min="21" max="21" width="8" style="70" customWidth="1"/>
    <col min="22" max="22" width="8.5" style="70" customWidth="1"/>
    <col min="23" max="24" width="15.875" style="83" customWidth="1"/>
    <col min="25" max="25" width="15.875" style="69" customWidth="1"/>
    <col min="26" max="26" width="15.875" style="82" customWidth="1"/>
    <col min="27" max="27" width="9.5" style="70" customWidth="1"/>
    <col min="28" max="28" width="10.625" style="70" customWidth="1"/>
    <col min="29" max="29" width="33.75" style="70" customWidth="1"/>
    <col min="30" max="16384" width="13.625" style="70"/>
  </cols>
  <sheetData>
    <row r="1" spans="2:84">
      <c r="B1" s="81" t="s">
        <v>1429</v>
      </c>
      <c r="G1" s="237"/>
      <c r="P1" s="81" t="s">
        <v>1549</v>
      </c>
      <c r="V1" s="81" t="s">
        <v>1550</v>
      </c>
    </row>
    <row r="2" spans="2:84" s="86" customFormat="1" ht="30.75" thickBot="1">
      <c r="B2" s="128" t="s">
        <v>1019</v>
      </c>
      <c r="C2" s="127" t="s">
        <v>1430</v>
      </c>
      <c r="D2" s="127" t="s">
        <v>1431</v>
      </c>
      <c r="E2" s="127" t="s">
        <v>2253</v>
      </c>
      <c r="F2" s="129" t="s">
        <v>978</v>
      </c>
      <c r="G2" s="238" t="s">
        <v>2305</v>
      </c>
      <c r="H2" s="129" t="s">
        <v>2287</v>
      </c>
      <c r="I2" s="129" t="s">
        <v>1756</v>
      </c>
      <c r="J2" s="129" t="s">
        <v>1757</v>
      </c>
      <c r="K2" s="129" t="s">
        <v>2284</v>
      </c>
      <c r="L2" s="127" t="s">
        <v>1753</v>
      </c>
      <c r="M2" s="130" t="s">
        <v>2314</v>
      </c>
      <c r="N2" s="131" t="s">
        <v>2315</v>
      </c>
      <c r="P2" s="87" t="s">
        <v>1019</v>
      </c>
      <c r="Q2" s="90" t="s">
        <v>1431</v>
      </c>
      <c r="R2" s="89" t="s">
        <v>2303</v>
      </c>
      <c r="S2" s="88" t="s">
        <v>1554</v>
      </c>
      <c r="T2" s="88" t="s">
        <v>1555</v>
      </c>
      <c r="V2" s="87" t="s">
        <v>1019</v>
      </c>
      <c r="W2" s="84" t="s">
        <v>1551</v>
      </c>
      <c r="X2" s="85" t="s">
        <v>1430</v>
      </c>
      <c r="Y2" s="89" t="s">
        <v>1552</v>
      </c>
      <c r="Z2" s="90" t="s">
        <v>1553</v>
      </c>
      <c r="AC2" s="91" t="s">
        <v>1019</v>
      </c>
      <c r="AD2" s="92">
        <v>1</v>
      </c>
      <c r="AE2" s="92">
        <f t="shared" ref="AE2:CF2" si="0">AD2+1</f>
        <v>2</v>
      </c>
      <c r="AF2" s="92">
        <f t="shared" si="0"/>
        <v>3</v>
      </c>
      <c r="AG2" s="92">
        <f t="shared" si="0"/>
        <v>4</v>
      </c>
      <c r="AH2" s="93">
        <f t="shared" si="0"/>
        <v>5</v>
      </c>
      <c r="AI2" s="93">
        <f t="shared" si="0"/>
        <v>6</v>
      </c>
      <c r="AJ2" s="93">
        <f t="shared" si="0"/>
        <v>7</v>
      </c>
      <c r="AK2" s="93">
        <f t="shared" si="0"/>
        <v>8</v>
      </c>
      <c r="AL2" s="92">
        <f t="shared" si="0"/>
        <v>9</v>
      </c>
      <c r="AM2" s="92">
        <f t="shared" si="0"/>
        <v>10</v>
      </c>
      <c r="AN2" s="92">
        <f t="shared" si="0"/>
        <v>11</v>
      </c>
      <c r="AO2" s="92">
        <f t="shared" si="0"/>
        <v>12</v>
      </c>
      <c r="AP2" s="93">
        <f t="shared" si="0"/>
        <v>13</v>
      </c>
      <c r="AQ2" s="93">
        <f t="shared" si="0"/>
        <v>14</v>
      </c>
      <c r="AR2" s="93">
        <f t="shared" si="0"/>
        <v>15</v>
      </c>
      <c r="AS2" s="93">
        <f t="shared" si="0"/>
        <v>16</v>
      </c>
      <c r="AT2" s="92">
        <f t="shared" si="0"/>
        <v>17</v>
      </c>
      <c r="AU2" s="92">
        <f t="shared" si="0"/>
        <v>18</v>
      </c>
      <c r="AV2" s="92">
        <f t="shared" si="0"/>
        <v>19</v>
      </c>
      <c r="AW2" s="92">
        <f t="shared" si="0"/>
        <v>20</v>
      </c>
      <c r="AX2" s="93">
        <f t="shared" si="0"/>
        <v>21</v>
      </c>
      <c r="AY2" s="92">
        <f t="shared" si="0"/>
        <v>22</v>
      </c>
      <c r="AZ2" s="92">
        <f t="shared" si="0"/>
        <v>23</v>
      </c>
      <c r="BA2" s="92">
        <f t="shared" si="0"/>
        <v>24</v>
      </c>
      <c r="BB2" s="92">
        <f t="shared" si="0"/>
        <v>25</v>
      </c>
      <c r="BC2" s="92">
        <f t="shared" si="0"/>
        <v>26</v>
      </c>
      <c r="BD2" s="92">
        <f t="shared" si="0"/>
        <v>27</v>
      </c>
      <c r="BE2" s="92">
        <f t="shared" si="0"/>
        <v>28</v>
      </c>
      <c r="BF2" s="92">
        <f t="shared" si="0"/>
        <v>29</v>
      </c>
      <c r="BG2" s="92">
        <f t="shared" si="0"/>
        <v>30</v>
      </c>
      <c r="BH2" s="92">
        <f t="shared" si="0"/>
        <v>31</v>
      </c>
      <c r="BI2" s="92">
        <f t="shared" si="0"/>
        <v>32</v>
      </c>
      <c r="BJ2" s="92">
        <f t="shared" si="0"/>
        <v>33</v>
      </c>
      <c r="BK2" s="92">
        <f t="shared" si="0"/>
        <v>34</v>
      </c>
      <c r="BL2" s="92">
        <f t="shared" si="0"/>
        <v>35</v>
      </c>
      <c r="BM2" s="92">
        <f t="shared" si="0"/>
        <v>36</v>
      </c>
      <c r="BN2" s="92">
        <f t="shared" si="0"/>
        <v>37</v>
      </c>
      <c r="BO2" s="92">
        <f t="shared" si="0"/>
        <v>38</v>
      </c>
      <c r="BP2" s="92">
        <f t="shared" si="0"/>
        <v>39</v>
      </c>
      <c r="BQ2" s="92">
        <f t="shared" si="0"/>
        <v>40</v>
      </c>
      <c r="BR2" s="92">
        <f t="shared" si="0"/>
        <v>41</v>
      </c>
      <c r="BS2" s="92">
        <f t="shared" si="0"/>
        <v>42</v>
      </c>
      <c r="BT2" s="92">
        <f t="shared" si="0"/>
        <v>43</v>
      </c>
      <c r="BU2" s="92">
        <f t="shared" si="0"/>
        <v>44</v>
      </c>
      <c r="BV2" s="92">
        <f t="shared" si="0"/>
        <v>45</v>
      </c>
      <c r="BW2" s="92">
        <f t="shared" si="0"/>
        <v>46</v>
      </c>
      <c r="BX2" s="92">
        <f t="shared" si="0"/>
        <v>47</v>
      </c>
      <c r="BY2" s="92">
        <f t="shared" si="0"/>
        <v>48</v>
      </c>
      <c r="BZ2" s="92">
        <f t="shared" si="0"/>
        <v>49</v>
      </c>
      <c r="CA2" s="92">
        <f t="shared" si="0"/>
        <v>50</v>
      </c>
      <c r="CB2" s="92">
        <f t="shared" si="0"/>
        <v>51</v>
      </c>
      <c r="CC2" s="92">
        <f t="shared" si="0"/>
        <v>52</v>
      </c>
      <c r="CD2" s="92">
        <f t="shared" si="0"/>
        <v>53</v>
      </c>
      <c r="CE2" s="92">
        <f t="shared" si="0"/>
        <v>54</v>
      </c>
      <c r="CF2" s="92">
        <f t="shared" si="0"/>
        <v>55</v>
      </c>
    </row>
    <row r="3" spans="2:84" ht="58.5" thickTop="1">
      <c r="B3" s="79" cm="1">
        <f t="array" ref="B3" xml:space="preserve"> ROW() - ROW($2:$2)</f>
        <v>1</v>
      </c>
      <c r="C3" s="212" t="s">
        <v>1437</v>
      </c>
      <c r="D3" s="212" t="s">
        <v>1437</v>
      </c>
      <c r="E3" s="216" t="s">
        <v>2255</v>
      </c>
      <c r="F3" s="132" t="s">
        <v>1652</v>
      </c>
      <c r="G3" s="139" t="str" cm="1">
        <f t="array" ref="G3" xml:space="preserve"> INDEX(廣韻聲母對照資料表[廣韻], MATCH(TRUE, EXACT($D3, 廣韻聲母對照資料表[台語音標]),0))</f>
        <v>明</v>
      </c>
      <c r="H3" s="209" t="str" cm="1">
        <f t="array" ref="H3" xml:space="preserve"> INDEX(聲母對照資料表[十五音], MATCH(TRUE, EXACT($D3, 聲母碼),0))</f>
        <v>門</v>
      </c>
      <c r="I3" s="74" t="str" cm="1">
        <f t="array" ref="I3" xml:space="preserve"> INDEX(聲母對照資料表[白話字], MATCH(TRUE, EXACT($D3, 聲母碼),0))</f>
        <v>b</v>
      </c>
      <c r="J3" s="74" t="str" cm="1">
        <f t="array" ref="J3" xml:space="preserve"> INDEX(聲母對照資料表[台羅拼音], MATCH(TRUE, EXACT($D3, 聲母碼),0))</f>
        <v>b</v>
      </c>
      <c r="K3" s="74" t="str" cm="1">
        <f t="array" ref="K3" xml:space="preserve"> INDEX(聲母對照資料表[閩拼方案], MATCH(TRUE, EXACT($D3, 聲母碼),0))</f>
        <v>bb</v>
      </c>
      <c r="L3" s="95" t="str" cm="1">
        <f t="array" ref="L3" xml:space="preserve"> INDEX(聲母對照資料表[注音二式], MATCH(TRUE, EXACT($D3, 聲母碼),0))</f>
        <v>bb</v>
      </c>
      <c r="M3" s="105" t="s">
        <v>1645</v>
      </c>
      <c r="N3" s="75" t="s">
        <v>1446</v>
      </c>
      <c r="P3" s="234">
        <v>1</v>
      </c>
      <c r="Q3" s="95" t="s">
        <v>260</v>
      </c>
      <c r="R3" s="94" t="s">
        <v>260</v>
      </c>
      <c r="S3" s="96" t="s">
        <v>261</v>
      </c>
      <c r="T3" s="96" t="s">
        <v>1556</v>
      </c>
      <c r="V3" s="79">
        <v>1</v>
      </c>
      <c r="W3" s="96" t="s">
        <v>1557</v>
      </c>
      <c r="X3" s="97" t="s">
        <v>18</v>
      </c>
      <c r="Y3" s="98" t="s">
        <v>18</v>
      </c>
      <c r="Z3" s="99" t="s">
        <v>18</v>
      </c>
      <c r="AC3" s="100" t="s">
        <v>1551</v>
      </c>
      <c r="AD3" s="101" t="str" cm="1">
        <f t="array" aca="1" ref="AD3" ca="1" xml:space="preserve"> INDIRECT( ADDRESS( ROW($E$2) + AD$2, COLUMN($E$2)) )</f>
        <v>ㆠ</v>
      </c>
      <c r="AE3" s="101" t="str" cm="1">
        <f t="array" aca="1" ref="AE3" ca="1" xml:space="preserve"> INDIRECT( ADDRESS( ROW($E$2) + AE$2, COLUMN($E$2)) )</f>
        <v>ㄅ</v>
      </c>
      <c r="AF3" s="101" t="str" cm="1">
        <f t="array" aca="1" ref="AF3" ca="1" xml:space="preserve"> INDIRECT( ADDRESS( ROW($E$2) + AF$2, COLUMN($E$2)) )</f>
        <v>ㄆ</v>
      </c>
      <c r="AG3" s="101" t="str" cm="1">
        <f t="array" aca="1" ref="AG3" ca="1" xml:space="preserve"> INDIRECT( ADDRESS( ROW($E$2) + AG$2, COLUMN($E$2)) )</f>
        <v>ㄇ</v>
      </c>
      <c r="AH3" s="101" t="str" cm="1">
        <f t="array" aca="1" ref="AH3" ca="1" xml:space="preserve"> INDIRECT( ADDRESS( ROW($E$2) + AH$2, COLUMN($E$2)) )</f>
        <v>ㄉ</v>
      </c>
      <c r="AI3" s="101" t="str" cm="1">
        <f t="array" aca="1" ref="AI3" ca="1" xml:space="preserve"> INDIRECT( ADDRESS( ROW($E$2) + AI$2, COLUMN($E$2)) )</f>
        <v>ㄊ</v>
      </c>
      <c r="AJ3" s="101" t="str" cm="1">
        <f t="array" aca="1" ref="AJ3" ca="1" xml:space="preserve"> INDIRECT( ADDRESS( ROW($E$2) + AJ$2, COLUMN($E$2)) )</f>
        <v>ㄋ</v>
      </c>
      <c r="AK3" s="101" t="str" cm="1">
        <f t="array" aca="1" ref="AK3" ca="1" xml:space="preserve"> INDIRECT( ADDRESS( ROW($E$2) + AK$2, COLUMN($E$2)) )</f>
        <v>ㄌ</v>
      </c>
      <c r="AL3" s="101" t="str" cm="1">
        <f t="array" aca="1" ref="AL3" ca="1" xml:space="preserve"> INDIRECT( ADDRESS( ROW($E$2) + AL$2, COLUMN($E$2)) )</f>
        <v>ㆣ</v>
      </c>
      <c r="AM3" s="101" t="str" cm="1">
        <f t="array" aca="1" ref="AM3" ca="1" xml:space="preserve"> INDIRECT( ADDRESS( ROW($E$2) + AM$2, COLUMN($E$2)) )</f>
        <v>ㄍ</v>
      </c>
      <c r="AN3" s="101" t="str" cm="1">
        <f t="array" aca="1" ref="AN3" ca="1" xml:space="preserve"> INDIRECT( ADDRESS( ROW($E$2) + AN$2, COLUMN($E$2)) )</f>
        <v>ㄎ</v>
      </c>
      <c r="AO3" s="101" t="str" cm="1">
        <f t="array" aca="1" ref="AO3" ca="1" xml:space="preserve"> INDIRECT( ADDRESS( ROW($E$2) + AO$2, COLUMN($E$2)) )</f>
        <v>ㄫ</v>
      </c>
      <c r="AP3" s="101" t="str" cm="1">
        <f t="array" aca="1" ref="AP3" ca="1" xml:space="preserve"> INDIRECT( ADDRESS( ROW($E$2) + AP$2, COLUMN($E$2)) )</f>
        <v>ㄗ</v>
      </c>
      <c r="AQ3" s="101" t="str" cm="1">
        <f t="array" aca="1" ref="AQ3" ca="1" xml:space="preserve"> INDIRECT( ADDRESS( ROW($E$2) + AQ$2, COLUMN($E$2)) )</f>
        <v>ㄘ</v>
      </c>
      <c r="AR3" s="101" t="str" cm="1">
        <f t="array" aca="1" ref="AR3" ca="1" xml:space="preserve"> INDIRECT( ADDRESS( ROW($E$2) + AR$2, COLUMN($E$2)) )</f>
        <v>ㆡ</v>
      </c>
      <c r="AS3" s="101" t="str" cm="1">
        <f t="array" aca="1" ref="AS3" ca="1" xml:space="preserve"> INDIRECT( ADDRESS( ROW($E$2) + AS$2, COLUMN($E$2)) )</f>
        <v>ㄙ</v>
      </c>
      <c r="AT3" s="101" t="str" cm="1">
        <f t="array" aca="1" ref="AT3" ca="1" xml:space="preserve"> INDIRECT( ADDRESS( ROW($E$2) + AT$2, COLUMN($E$2)) )</f>
        <v>ㆢ</v>
      </c>
      <c r="AU3" s="101" t="str" cm="1">
        <f t="array" aca="1" ref="AU3" ca="1" xml:space="preserve"> INDIRECT( ADDRESS( ROW($E$2) + AU$2, COLUMN($E$2)) )</f>
        <v>ㄐ</v>
      </c>
      <c r="AV3" s="101" t="str" cm="1">
        <f t="array" aca="1" ref="AV3" ca="1" xml:space="preserve"> INDIRECT( ADDRESS( ROW($E$2) + AV$2, COLUMN($E$2)) )</f>
        <v>ㄑ</v>
      </c>
      <c r="AW3" s="101" t="str" cm="1">
        <f t="array" aca="1" ref="AW3" ca="1" xml:space="preserve"> INDIRECT( ADDRESS( ROW($E$2) + AW$2, COLUMN($E$2)) )</f>
        <v>ㄒ</v>
      </c>
      <c r="AX3" s="101" t="str" cm="1">
        <f t="array" aca="1" ref="AX3" ca="1" xml:space="preserve"> INDIRECT( ADDRESS( ROW($E$2) + AX$2, COLUMN($E$2)) )</f>
        <v>ㄏ</v>
      </c>
      <c r="AY3" s="101" cm="1">
        <f t="array" aca="1" ref="AY3" ca="1" xml:space="preserve"> INDIRECT( ADDRESS( ROW($E$2) + AY$2, COLUMN($E$2)) )</f>
        <v>0</v>
      </c>
      <c r="AZ3" s="101" t="str" cm="1">
        <f t="array" aca="1" ref="AZ3" ca="1" xml:space="preserve"> INDIRECT( ADDRESS( ROW($E$2) + AZ$2, COLUMN($E$2)) )</f>
        <v>ㄚ</v>
      </c>
      <c r="BA3" s="101" t="str" cm="1">
        <f t="array" aca="1" ref="BA3" ca="1" xml:space="preserve"> INDIRECT( ADDRESS( ROW($E$2) + BA$2, COLUMN($E$2)) )</f>
        <v>ㄧ</v>
      </c>
      <c r="BB3" s="101" t="str" cm="1">
        <f t="array" aca="1" ref="BB3" ca="1" xml:space="preserve"> INDIRECT( ADDRESS( ROW($E$2) + BB$2, COLUMN($E$2)) )</f>
        <v>ㄨ</v>
      </c>
      <c r="BC3" s="101" t="str" cm="1">
        <f t="array" aca="1" ref="BC3" ca="1" xml:space="preserve"> INDIRECT( ADDRESS( ROW($E$2) + BC$2, COLUMN($E$2)) )</f>
        <v>ㆤ</v>
      </c>
      <c r="BD3" s="101" t="str" cm="1">
        <f t="array" aca="1" ref="BD3" ca="1" xml:space="preserve"> INDIRECT( ADDRESS( ROW($E$2) + BD$2, COLUMN($E$2)) )</f>
        <v>ㄜ</v>
      </c>
      <c r="BE3" s="101" t="str" cm="1">
        <f t="array" aca="1" ref="BE3" ca="1" xml:space="preserve"> INDIRECT( ADDRESS( ROW($E$2) + BE$2, COLUMN($E$2)) )</f>
        <v>ㆦ</v>
      </c>
      <c r="BF3" s="101" t="str" cm="1">
        <f t="array" aca="1" ref="BF3" ca="1" xml:space="preserve"> INDIRECT( ADDRESS( ROW($E$2) + BF$2, COLUMN($E$2)) )</f>
        <v>ㄞ</v>
      </c>
      <c r="BG3" s="101" t="str" cm="1">
        <f t="array" aca="1" ref="BG3" ca="1" xml:space="preserve"> INDIRECT( ADDRESS( ROW($E$2) + BG$2, COLUMN($E$2)) )</f>
        <v>ㄠ</v>
      </c>
      <c r="BH3" s="101" t="str" cm="1">
        <f t="array" aca="1" ref="BH3" ca="1" xml:space="preserve"> INDIRECT( ADDRESS( ROW($E$2) + BH$2, COLUMN($E$2)) )</f>
        <v>ㄢ</v>
      </c>
      <c r="BI3" s="101" t="str" cm="1">
        <f t="array" aca="1" ref="BI3" ca="1" xml:space="preserve"> INDIRECT( ADDRESS( ROW($E$2) + BI$2, COLUMN($E$2)) )</f>
        <v>ㆰ</v>
      </c>
      <c r="BJ3" s="101" t="str" cm="1">
        <f t="array" aca="1" ref="BJ3" ca="1" xml:space="preserve"> INDIRECT( ADDRESS( ROW($E$2) + BJ$2, COLUMN($E$2)) )</f>
        <v>ㄤ</v>
      </c>
      <c r="BK3" s="101" t="str" cm="1">
        <f t="array" aca="1" ref="BK3" ca="1" xml:space="preserve"> INDIRECT( ADDRESS( ROW($E$2) + BK$2, COLUMN($E$2)) )</f>
        <v>ㄨㄚ</v>
      </c>
      <c r="BL3" s="101" t="str" cm="1">
        <f t="array" aca="1" ref="BL3" ca="1" xml:space="preserve"> INDIRECT( ADDRESS( ROW($E$2) + BL$2, COLUMN($E$2)) )</f>
        <v>ㄨㆤ</v>
      </c>
      <c r="BM3" s="101" t="str" cm="1">
        <f t="array" aca="1" ref="BM3" ca="1" xml:space="preserve"> INDIRECT( ADDRESS( ROW($E$2) + BM$2, COLUMN($E$2)) )</f>
        <v>ㄨㄞ</v>
      </c>
      <c r="BN3" s="101" t="str" cm="1">
        <f t="array" aca="1" ref="BN3" ca="1" xml:space="preserve"> INDIRECT( ADDRESS( ROW($E$2) + BN$2, COLUMN($E$2)) )</f>
        <v>ㄨㄞ</v>
      </c>
      <c r="BO3" s="101" t="str" cm="1">
        <f t="array" aca="1" ref="BO3" ca="1" xml:space="preserve"> INDIRECT( ADDRESS( ROW($E$2) + BO$2, COLUMN($E$2)) )</f>
        <v>ㄧㄥ</v>
      </c>
      <c r="BP3" s="101" t="str" cm="1">
        <f t="array" aca="1" ref="BP3" ca="1" xml:space="preserve"> INDIRECT( ADDRESS( ROW($E$2) + BP$2, COLUMN($E$2)) )</f>
        <v>ㄧㆻ</v>
      </c>
      <c r="BQ3" s="101" t="str" cm="1">
        <f t="array" aca="1" ref="BQ3" ca="1" xml:space="preserve"> INDIRECT( ADDRESS( ROW($E$2) + BQ$2, COLUMN($E$2)) )</f>
        <v>ㄧㄥ</v>
      </c>
      <c r="BR3" s="101" t="str" cm="1">
        <f t="array" aca="1" ref="BR3" ca="1" xml:space="preserve"> INDIRECT( ADDRESS( ROW($E$2) + BR$2, COLUMN($E$2)) )</f>
        <v>ㄧㆤㆻ</v>
      </c>
      <c r="BS3" s="101" t="str" cm="1">
        <f t="array" aca="1" ref="BS3" ca="1" xml:space="preserve"> INDIRECT( ADDRESS( ROW($E$2) + BS$2, COLUMN($E$2)) )</f>
        <v>ㄧㄢ</v>
      </c>
      <c r="BT3" s="101" t="str" cm="1">
        <f t="array" aca="1" ref="BT3" ca="1" xml:space="preserve"> INDIRECT( ADDRESS( ROW($E$2) + BT$2, COLUMN($E$2)) )</f>
        <v>ㄧㄚㆵ</v>
      </c>
      <c r="BU3" s="101" t="str" cm="1">
        <f t="array" aca="1" ref="BU3" ca="1" xml:space="preserve"> INDIRECT( ADDRESS( ROW($E$2) + BU$2, COLUMN($E$2)) )</f>
        <v>ㆲ</v>
      </c>
      <c r="BV3" s="101" t="str" cm="1">
        <f t="array" aca="1" ref="BV3" ca="1" xml:space="preserve"> INDIRECT( ADDRESS( ROW($E$2) + BV$2, COLUMN($E$2)) )</f>
        <v>ㆦㆻ</v>
      </c>
      <c r="BW3" s="101" t="str" cm="1">
        <f t="array" aca="1" ref="BW3" ca="1" xml:space="preserve"> INDIRECT( ADDRESS( ROW($E$2) + BW$2, COLUMN($E$2)) )</f>
        <v>ㆱ</v>
      </c>
      <c r="BX3" s="101" t="str" cm="1">
        <f t="array" aca="1" ref="BX3" ca="1" xml:space="preserve"> INDIRECT( ADDRESS( ROW($E$2) + BX$2, COLUMN($E$2)) )</f>
        <v>ㆦㆴ</v>
      </c>
      <c r="BY3" s="101" t="str" cm="1">
        <f t="array" aca="1" ref="BY3" ca="1" xml:space="preserve"> INDIRECT( ADDRESS( ROW($E$2) + BY$2, COLUMN($E$2)) )</f>
        <v>ㄧㄚ</v>
      </c>
      <c r="BZ3" s="101" t="str" cm="1">
        <f t="array" aca="1" ref="BZ3" ca="1" xml:space="preserve"> INDIRECT( ADDRESS( ROW($E$2) + BZ$2, COLUMN($E$2)) )</f>
        <v>ㄧㄠ</v>
      </c>
      <c r="CA3" s="101" t="str" cm="1">
        <f t="array" aca="1" ref="CA3" ca="1" xml:space="preserve"> INDIRECT( ADDRESS( ROW($E$2) + CA$2, COLUMN($E$2)) )</f>
        <v>ㄧㄨ</v>
      </c>
      <c r="CB3" s="101" t="str" cm="1">
        <f t="array" aca="1" ref="CB3" ca="1" xml:space="preserve"> INDIRECT( ADDRESS( ROW($E$2) + CB$2, COLUMN($E$2)) )</f>
        <v>ㄧㄜ</v>
      </c>
      <c r="CC3" s="101" t="str" cm="1">
        <f t="array" aca="1" ref="CC3" ca="1" xml:space="preserve"> INDIRECT( ADDRESS( ROW($E$2) + CC$2, COLUMN($E$2)) )</f>
        <v>ㄧㆲ</v>
      </c>
      <c r="CD3" s="101" t="str" cm="1">
        <f t="array" aca="1" ref="CD3" ca="1" xml:space="preserve"> INDIRECT( ADDRESS( ROW($E$2) + CD$2, COLUMN($E$2)) )</f>
        <v>ㄨㄧ</v>
      </c>
      <c r="CE3" s="101" t="str" cm="1">
        <f t="array" aca="1" ref="CE3" ca="1" xml:space="preserve"> INDIRECT( ADDRESS( ROW($E$2) + CE$2, COLUMN($E$2)) )</f>
        <v>ㆩ</v>
      </c>
      <c r="CF3" s="101" t="str" cm="1">
        <f t="array" aca="1" ref="CF3" ca="1" xml:space="preserve"> INDIRECT( ADDRESS( ROW($E$2) + CF$2, COLUMN($E$2)) )</f>
        <v>ㆪ</v>
      </c>
    </row>
    <row r="4" spans="2:84" ht="57.75">
      <c r="B4" s="79" cm="1">
        <f t="array" ref="B4" xml:space="preserve"> ROW() - ROW($2:$2)</f>
        <v>2</v>
      </c>
      <c r="C4" s="212" t="s">
        <v>2</v>
      </c>
      <c r="D4" s="212" t="s">
        <v>2</v>
      </c>
      <c r="E4" s="216" t="s">
        <v>1436</v>
      </c>
      <c r="F4" s="132" t="s">
        <v>1649</v>
      </c>
      <c r="G4" s="139" t="str" cm="1">
        <f t="array" ref="G4" xml:space="preserve"> INDEX(廣韻聲母對照資料表[廣韻], MATCH(TRUE, EXACT($D4, 廣韻聲母對照資料表[台語音標]),0))</f>
        <v>幫</v>
      </c>
      <c r="H4" s="209" t="str" cm="1">
        <f t="array" ref="H4" xml:space="preserve"> INDEX(聲母對照資料表[十五音], MATCH(TRUE, EXACT($D4, 聲母碼),0))</f>
        <v>邊</v>
      </c>
      <c r="I4" s="74" t="str" cm="1">
        <f t="array" ref="I4" xml:space="preserve"> INDEX(聲母對照資料表[白話字], MATCH(TRUE, EXACT($D4, 聲母碼),0))</f>
        <v>p</v>
      </c>
      <c r="J4" s="74" t="str" cm="1">
        <f t="array" ref="J4" xml:space="preserve"> INDEX(聲母對照資料表[台羅拼音], MATCH(TRUE, EXACT($D4, 聲母碼),0))</f>
        <v>p</v>
      </c>
      <c r="K4" s="74" t="str" cm="1">
        <f t="array" ref="K4" xml:space="preserve"> INDEX(聲母對照資料表[閩拼方案], MATCH(TRUE, EXACT($D4, 聲母碼),0))</f>
        <v>b</v>
      </c>
      <c r="L4" s="95" t="str" cm="1">
        <f t="array" ref="L4" xml:space="preserve"> INDEX(聲母對照資料表[注音二式], MATCH(TRUE, EXACT($D4, 聲母碼),0))</f>
        <v>b</v>
      </c>
      <c r="M4" s="94" t="s">
        <v>4</v>
      </c>
      <c r="N4" s="75" t="s">
        <v>1438</v>
      </c>
      <c r="P4" s="234">
        <v>2</v>
      </c>
      <c r="Q4" s="95" t="s">
        <v>732</v>
      </c>
      <c r="R4" s="94" t="s">
        <v>732</v>
      </c>
      <c r="S4" s="96" t="s">
        <v>733</v>
      </c>
      <c r="T4" s="96" t="s">
        <v>1559</v>
      </c>
      <c r="V4" s="79">
        <f t="shared" ref="V4:V12" si="1">V3+1</f>
        <v>2</v>
      </c>
      <c r="W4" s="96" t="s">
        <v>1560</v>
      </c>
      <c r="X4" s="97" t="s">
        <v>1249</v>
      </c>
      <c r="Y4" s="98" t="s">
        <v>18</v>
      </c>
      <c r="Z4" s="99" t="s">
        <v>1250</v>
      </c>
      <c r="AC4" s="103" t="s">
        <v>1561</v>
      </c>
      <c r="AD4" s="104" t="str" cm="1">
        <f t="array" aca="1" ref="AD4" ca="1" xml:space="preserve"> INDIRECT( ADDRESS( ROW($D$2) + AD$2, COLUMN($D$2)) )</f>
        <v>b</v>
      </c>
      <c r="AE4" s="104" t="str" cm="1">
        <f t="array" aca="1" ref="AE4" ca="1" xml:space="preserve"> INDIRECT( ADDRESS( ROW($D$2) + AE$2, COLUMN($D$2)) )</f>
        <v>p</v>
      </c>
      <c r="AF4" s="104" t="str" cm="1">
        <f t="array" aca="1" ref="AF4" ca="1" xml:space="preserve"> INDIRECT( ADDRESS( ROW($D$2) + AF$2, COLUMN($D$2)) )</f>
        <v>ph</v>
      </c>
      <c r="AG4" s="104" t="str" cm="1">
        <f t="array" aca="1" ref="AG4" ca="1" xml:space="preserve"> INDIRECT( ADDRESS( ROW($D$2) + AG$2, COLUMN($D$2)) )</f>
        <v>m</v>
      </c>
      <c r="AH4" s="104" t="str" cm="1">
        <f t="array" aca="1" ref="AH4" ca="1" xml:space="preserve"> INDIRECT( ADDRESS( ROW($D$2) + AH$2, COLUMN($D$2)) )</f>
        <v>t</v>
      </c>
      <c r="AI4" s="104" t="str" cm="1">
        <f t="array" aca="1" ref="AI4" ca="1" xml:space="preserve"> INDIRECT( ADDRESS( ROW($D$2) + AI$2, COLUMN($D$2)) )</f>
        <v>th</v>
      </c>
      <c r="AJ4" s="104" t="str" cm="1">
        <f t="array" aca="1" ref="AJ4" ca="1" xml:space="preserve"> INDIRECT( ADDRESS( ROW($D$2) + AJ$2, COLUMN($D$2)) )</f>
        <v>n</v>
      </c>
      <c r="AK4" s="104" t="str" cm="1">
        <f t="array" aca="1" ref="AK4" ca="1" xml:space="preserve"> INDIRECT( ADDRESS( ROW($D$2) + AK$2, COLUMN($D$2)) )</f>
        <v>l</v>
      </c>
      <c r="AL4" s="104" t="str" cm="1">
        <f t="array" aca="1" ref="AL4" ca="1" xml:space="preserve"> INDIRECT( ADDRESS( ROW($D$2) + AL$2, COLUMN($D$2)) )</f>
        <v>g</v>
      </c>
      <c r="AM4" s="104" t="str" cm="1">
        <f t="array" aca="1" ref="AM4" ca="1" xml:space="preserve"> INDIRECT( ADDRESS( ROW($D$2) + AM$2, COLUMN($D$2)) )</f>
        <v>k</v>
      </c>
      <c r="AN4" s="104" t="str" cm="1">
        <f t="array" aca="1" ref="AN4" ca="1" xml:space="preserve"> INDIRECT( ADDRESS( ROW($D$2) + AN$2, COLUMN($D$2)) )</f>
        <v>kh</v>
      </c>
      <c r="AO4" s="104" t="str" cm="1">
        <f t="array" aca="1" ref="AO4" ca="1" xml:space="preserve"> INDIRECT( ADDRESS( ROW($D$2) + AO$2, COLUMN($D$2)) )</f>
        <v>ng</v>
      </c>
      <c r="AP4" s="104" t="str" cm="1">
        <f t="array" aca="1" ref="AP4" ca="1" xml:space="preserve"> INDIRECT( ADDRESS( ROW($D$2) + AP$2, COLUMN($D$2)) )</f>
        <v>z</v>
      </c>
      <c r="AQ4" s="104" t="str" cm="1">
        <f t="array" aca="1" ref="AQ4" ca="1" xml:space="preserve"> INDIRECT( ADDRESS( ROW($D$2) + AQ$2, COLUMN($D$2)) )</f>
        <v>c</v>
      </c>
      <c r="AR4" s="104" t="str" cm="1">
        <f t="array" aca="1" ref="AR4" ca="1" xml:space="preserve"> INDIRECT( ADDRESS( ROW($D$2) + AR$2, COLUMN($D$2)) )</f>
        <v>j</v>
      </c>
      <c r="AS4" s="104" t="str" cm="1">
        <f t="array" aca="1" ref="AS4" ca="1" xml:space="preserve"> INDIRECT( ADDRESS( ROW($D$2) + AS$2, COLUMN($D$2)) )</f>
        <v>s</v>
      </c>
      <c r="AT4" s="104" t="str" cm="1">
        <f t="array" aca="1" ref="AT4" ca="1" xml:space="preserve"> INDIRECT( ADDRESS( ROW($D$2) + AT$2, COLUMN($D$2)) )</f>
        <v>ji</v>
      </c>
      <c r="AU4" s="104" t="str" cm="1">
        <f t="array" aca="1" ref="AU4" ca="1" xml:space="preserve"> INDIRECT( ADDRESS( ROW($D$2) + AU$2, COLUMN($D$2)) )</f>
        <v>zi</v>
      </c>
      <c r="AV4" s="104" t="str" cm="1">
        <f t="array" aca="1" ref="AV4" ca="1" xml:space="preserve"> INDIRECT( ADDRESS( ROW($D$2) + AV$2, COLUMN($D$2)) )</f>
        <v>ci</v>
      </c>
      <c r="AW4" s="104" t="str" cm="1">
        <f t="array" aca="1" ref="AW4" ca="1" xml:space="preserve"> INDIRECT( ADDRESS( ROW($D$2) + AW$2, COLUMN($D$2)) )</f>
        <v>si</v>
      </c>
      <c r="AX4" s="104" t="str" cm="1">
        <f t="array" aca="1" ref="AX4" ca="1" xml:space="preserve"> INDIRECT( ADDRESS( ROW($D$2) + AX$2, COLUMN($D$2)) )</f>
        <v>h</v>
      </c>
      <c r="AY4" s="104" t="str" cm="1">
        <f t="array" aca="1" ref="AY4" ca="1" xml:space="preserve"> INDIRECT( ADDRESS( ROW($D$2) + AY$2, COLUMN($D$2)) )</f>
        <v>Ø</v>
      </c>
      <c r="AZ4" s="104" t="str" cm="1">
        <f t="array" aca="1" ref="AZ4" ca="1" xml:space="preserve"> INDIRECT( ADDRESS( ROW($D$2) + AZ$2, COLUMN($D$2)) )</f>
        <v>a</v>
      </c>
      <c r="BA4" s="104" t="str" cm="1">
        <f t="array" aca="1" ref="BA4" ca="1" xml:space="preserve"> INDIRECT( ADDRESS( ROW($D$2) + BA$2, COLUMN($D$2)) )</f>
        <v>i</v>
      </c>
      <c r="BB4" s="104" t="str" cm="1">
        <f t="array" aca="1" ref="BB4" ca="1" xml:space="preserve"> INDIRECT( ADDRESS( ROW($D$2) + BB$2, COLUMN($D$2)) )</f>
        <v>u</v>
      </c>
      <c r="BC4" s="104" t="str" cm="1">
        <f t="array" aca="1" ref="BC4" ca="1" xml:space="preserve"> INDIRECT( ADDRESS( ROW($D$2) + BC$2, COLUMN($D$2)) )</f>
        <v>e</v>
      </c>
      <c r="BD4" s="104" t="str" cm="1">
        <f t="array" aca="1" ref="BD4" ca="1" xml:space="preserve"> INDIRECT( ADDRESS( ROW($D$2) + BD$2, COLUMN($D$2)) )</f>
        <v>o</v>
      </c>
      <c r="BE4" s="104" t="str" cm="1">
        <f t="array" aca="1" ref="BE4" ca="1" xml:space="preserve"> INDIRECT( ADDRESS( ROW($D$2) + BE$2, COLUMN($D$2)) )</f>
        <v>oo</v>
      </c>
      <c r="BF4" s="104" t="str" cm="1">
        <f t="array" aca="1" ref="BF4" ca="1" xml:space="preserve"> INDIRECT( ADDRESS( ROW($D$2) + BF$2, COLUMN($D$2)) )</f>
        <v>ai</v>
      </c>
      <c r="BG4" s="104" t="str" cm="1">
        <f t="array" aca="1" ref="BG4" ca="1" xml:space="preserve"> INDIRECT( ADDRESS( ROW($D$2) + BG$2, COLUMN($D$2)) )</f>
        <v>au</v>
      </c>
      <c r="BH4" s="104" t="str" cm="1">
        <f t="array" aca="1" ref="BH4" ca="1" xml:space="preserve"> INDIRECT( ADDRESS( ROW($D$2) + BH$2, COLUMN($D$2)) )</f>
        <v>an</v>
      </c>
      <c r="BI4" s="104" t="str" cm="1">
        <f t="array" aca="1" ref="BI4" ca="1" xml:space="preserve"> INDIRECT( ADDRESS( ROW($D$2) + BI$2, COLUMN($D$2)) )</f>
        <v>am</v>
      </c>
      <c r="BJ4" s="104" t="str" cm="1">
        <f t="array" aca="1" ref="BJ4" ca="1" xml:space="preserve"> INDIRECT( ADDRESS( ROW($D$2) + BJ$2, COLUMN($D$2)) )</f>
        <v>ang</v>
      </c>
      <c r="BK4" s="104" t="str" cm="1">
        <f t="array" aca="1" ref="BK4" ca="1" xml:space="preserve"> INDIRECT( ADDRESS( ROW($D$2) + BK$2, COLUMN($D$2)) )</f>
        <v>ua</v>
      </c>
      <c r="BL4" s="104" t="str" cm="1">
        <f t="array" aca="1" ref="BL4" ca="1" xml:space="preserve"> INDIRECT( ADDRESS( ROW($D$2) + BL$2, COLUMN($D$2)) )</f>
        <v>ue</v>
      </c>
      <c r="BM4" s="104" t="str" cm="1">
        <f t="array" aca="1" ref="BM4" ca="1" xml:space="preserve"> INDIRECT( ADDRESS( ROW($D$2) + BM$2, COLUMN($D$2)) )</f>
        <v>uai</v>
      </c>
      <c r="BN4" s="104" t="str" cm="1">
        <f t="array" aca="1" ref="BN4" ca="1" xml:space="preserve"> INDIRECT( ADDRESS( ROW($D$2) + BN$2, COLUMN($D$2)) )</f>
        <v>uan</v>
      </c>
      <c r="BO4" s="104" t="str" cm="1">
        <f t="array" aca="1" ref="BO4" ca="1" xml:space="preserve"> INDIRECT( ADDRESS( ROW($D$2) + BO$2, COLUMN($D$2)) )</f>
        <v>ing</v>
      </c>
      <c r="BP4" s="104" t="str" cm="1">
        <f t="array" aca="1" ref="BP4" ca="1" xml:space="preserve"> INDIRECT( ADDRESS( ROW($D$2) + BP$2, COLUMN($D$2)) )</f>
        <v>ik</v>
      </c>
      <c r="BQ4" s="104" t="str" cm="1">
        <f t="array" aca="1" ref="BQ4" ca="1" xml:space="preserve"> INDIRECT( ADDRESS( ROW($D$2) + BQ$2, COLUMN($D$2)) )</f>
        <v>ing</v>
      </c>
      <c r="BR4" s="104" t="str" cm="1">
        <f t="array" aca="1" ref="BR4" ca="1" xml:space="preserve"> INDIRECT( ADDRESS( ROW($D$2) + BR$2, COLUMN($D$2)) )</f>
        <v>iek</v>
      </c>
      <c r="BS4" s="104" t="str" cm="1">
        <f t="array" aca="1" ref="BS4" ca="1" xml:space="preserve"> INDIRECT( ADDRESS( ROW($D$2) + BS$2, COLUMN($D$2)) )</f>
        <v>ian</v>
      </c>
      <c r="BT4" s="104" t="str" cm="1">
        <f t="array" aca="1" ref="BT4" ca="1" xml:space="preserve"> INDIRECT( ADDRESS( ROW($D$2) + BT$2, COLUMN($D$2)) )</f>
        <v>iat</v>
      </c>
      <c r="BU4" s="104" t="str" cm="1">
        <f t="array" aca="1" ref="BU4" ca="1" xml:space="preserve"> INDIRECT( ADDRESS( ROW($D$2) + BU$2, COLUMN($D$2)) )</f>
        <v>ong</v>
      </c>
      <c r="BV4" s="104" t="str" cm="1">
        <f t="array" aca="1" ref="BV4" ca="1" xml:space="preserve"> INDIRECT( ADDRESS( ROW($D$2) + BV$2, COLUMN($D$2)) )</f>
        <v>ok</v>
      </c>
      <c r="BW4" s="104" t="str" cm="1">
        <f t="array" aca="1" ref="BW4" ca="1" xml:space="preserve"> INDIRECT( ADDRESS( ROW($D$2) + BW$2, COLUMN($D$2)) )</f>
        <v>om</v>
      </c>
      <c r="BX4" s="104" t="str" cm="1">
        <f t="array" aca="1" ref="BX4" ca="1" xml:space="preserve"> INDIRECT( ADDRESS( ROW($D$2) + BX$2, COLUMN($D$2)) )</f>
        <v>op</v>
      </c>
      <c r="BY4" s="104" t="str" cm="1">
        <f t="array" aca="1" ref="BY4" ca="1" xml:space="preserve"> INDIRECT( ADDRESS( ROW($D$2) + BY$2, COLUMN($D$2)) )</f>
        <v>ia</v>
      </c>
      <c r="BZ4" s="104" t="str" cm="1">
        <f t="array" aca="1" ref="BZ4" ca="1" xml:space="preserve"> INDIRECT( ADDRESS( ROW($D$2) + BZ$2, COLUMN($D$2)) )</f>
        <v>iau</v>
      </c>
      <c r="CA4" s="104" t="str" cm="1">
        <f t="array" aca="1" ref="CA4" ca="1" xml:space="preserve"> INDIRECT( ADDRESS( ROW($D$2) + CA$2, COLUMN($D$2)) )</f>
        <v>iu</v>
      </c>
      <c r="CB4" s="104" t="str" cm="1">
        <f t="array" aca="1" ref="CB4" ca="1" xml:space="preserve"> INDIRECT( ADDRESS( ROW($D$2) + CB$2, COLUMN($D$2)) )</f>
        <v>io</v>
      </c>
      <c r="CC4" s="104" t="str" cm="1">
        <f t="array" aca="1" ref="CC4" ca="1" xml:space="preserve"> INDIRECT( ADDRESS( ROW($D$2) + CC$2, COLUMN($D$2)) )</f>
        <v>iong</v>
      </c>
      <c r="CD4" s="104" t="str" cm="1">
        <f t="array" aca="1" ref="CD4" ca="1" xml:space="preserve"> INDIRECT( ADDRESS( ROW($D$2) + CD$2, COLUMN($D$2)) )</f>
        <v>ui</v>
      </c>
      <c r="CE4" s="104" t="str" cm="1">
        <f t="array" aca="1" ref="CE4" ca="1" xml:space="preserve"> INDIRECT( ADDRESS( ROW($D$2) + CE$2, COLUMN($D$2)) )</f>
        <v>ann</v>
      </c>
      <c r="CF4" s="104" t="str" cm="1">
        <f t="array" aca="1" ref="CF4" ca="1" xml:space="preserve"> INDIRECT( ADDRESS( ROW($D$2) + CF$2, COLUMN($D$2)) )</f>
        <v>inn</v>
      </c>
    </row>
    <row r="5" spans="2:84" ht="57.75">
      <c r="B5" s="79" cm="1">
        <f t="array" ref="B5" xml:space="preserve"> ROW() - ROW($2:$2)</f>
        <v>3</v>
      </c>
      <c r="C5" s="212" t="s">
        <v>1444</v>
      </c>
      <c r="D5" s="212" t="s">
        <v>1558</v>
      </c>
      <c r="E5" s="216" t="s">
        <v>2254</v>
      </c>
      <c r="F5" s="132" t="s">
        <v>1650</v>
      </c>
      <c r="G5" s="139" t="str" cm="1">
        <f t="array" ref="G5" xml:space="preserve"> INDEX(廣韻聲母對照資料表[廣韻], MATCH(TRUE, EXACT($D5, 廣韻聲母對照資料表[台語音標]),0))</f>
        <v>滂</v>
      </c>
      <c r="H5" s="209" t="str" cm="1">
        <f t="array" ref="H5" xml:space="preserve"> INDEX(聲母對照資料表[十五音], MATCH(TRUE, EXACT($D5, 聲母碼),0))</f>
        <v>頗</v>
      </c>
      <c r="I5" s="74" t="str" cm="1">
        <f t="array" ref="I5" xml:space="preserve"> INDEX(聲母對照資料表[白話字], MATCH(TRUE, EXACT($D5, 聲母碼),0))</f>
        <v>ph</v>
      </c>
      <c r="J5" s="74" t="str" cm="1">
        <f t="array" ref="J5" xml:space="preserve"> INDEX(聲母對照資料表[台羅拼音], MATCH(TRUE, EXACT($D5, 聲母碼),0))</f>
        <v>ph</v>
      </c>
      <c r="K5" s="74" t="str" cm="1">
        <f t="array" ref="K5" xml:space="preserve"> INDEX(聲母對照資料表[閩拼方案], MATCH(TRUE, EXACT($D5, 聲母碼),0))</f>
        <v>p</v>
      </c>
      <c r="L5" s="95" t="str" cm="1">
        <f t="array" ref="L5" xml:space="preserve"> INDEX(聲母對照資料表[注音二式], MATCH(TRUE, EXACT($D5, 聲母碼),0))</f>
        <v>p</v>
      </c>
      <c r="M5" s="102" t="s">
        <v>2</v>
      </c>
      <c r="N5" s="75" t="s">
        <v>18</v>
      </c>
      <c r="P5" s="234">
        <v>3</v>
      </c>
      <c r="Q5" s="95" t="s">
        <v>18</v>
      </c>
      <c r="R5" s="105" t="s">
        <v>18</v>
      </c>
      <c r="S5" s="96" t="s">
        <v>19</v>
      </c>
      <c r="T5" s="96" t="s">
        <v>1560</v>
      </c>
      <c r="V5" s="79">
        <f t="shared" si="1"/>
        <v>3</v>
      </c>
      <c r="W5" s="96" t="s">
        <v>1562</v>
      </c>
      <c r="X5" s="97" t="s">
        <v>1529</v>
      </c>
      <c r="Y5" s="106" t="s">
        <v>1563</v>
      </c>
      <c r="Z5" s="99" t="s">
        <v>1235</v>
      </c>
      <c r="AC5" s="107" t="s">
        <v>1564</v>
      </c>
      <c r="AD5" s="108" t="str" cm="1">
        <f t="array" aca="1" ref="AD5" ca="1" xml:space="preserve"> INDIRECT( ADDRESS( ROW($M$2) + AD$2, COLUMN($M$2)) )</f>
        <v>B</v>
      </c>
      <c r="AE5" s="108" t="str" cm="1">
        <f t="array" aca="1" ref="AE5" ca="1" xml:space="preserve"> INDIRECT( ADDRESS( ROW($M$2) + AE$2, COLUMN($M$2)) )</f>
        <v>b</v>
      </c>
      <c r="AF5" s="108" t="str" cm="1">
        <f t="array" aca="1" ref="AF5" ca="1" xml:space="preserve"> INDIRECT( ADDRESS( ROW($M$2) + AF$2, COLUMN($M$2)) )</f>
        <v>p</v>
      </c>
      <c r="AG5" s="108" t="str" cm="1">
        <f t="array" aca="1" ref="AG5" ca="1" xml:space="preserve"> INDIRECT( ADDRESS( ROW($M$2) + AG$2, COLUMN($M$2)) )</f>
        <v>m</v>
      </c>
      <c r="AH5" s="108" t="str" cm="1">
        <f t="array" aca="1" ref="AH5" ca="1" xml:space="preserve"> INDIRECT( ADDRESS( ROW($M$2) + AH$2, COLUMN($M$2)) )</f>
        <v>d</v>
      </c>
      <c r="AI5" s="108" t="str" cm="1">
        <f t="array" aca="1" ref="AI5" ca="1" xml:space="preserve"> INDIRECT( ADDRESS( ROW($M$2) + AI$2, COLUMN($M$2)) )</f>
        <v>t</v>
      </c>
      <c r="AJ5" s="108" t="str" cm="1">
        <f t="array" aca="1" ref="AJ5" ca="1" xml:space="preserve"> INDIRECT( ADDRESS( ROW($M$2) + AJ$2, COLUMN($M$2)) )</f>
        <v>n</v>
      </c>
      <c r="AK5" s="108" t="str" cm="1">
        <f t="array" aca="1" ref="AK5" ca="1" xml:space="preserve"> INDIRECT( ADDRESS( ROW($M$2) + AK$2, COLUMN($M$2)) )</f>
        <v>l</v>
      </c>
      <c r="AL5" s="108" t="str" cm="1">
        <f t="array" aca="1" ref="AL5" ca="1" xml:space="preserve"> INDIRECT( ADDRESS( ROW($M$2) + AL$2, COLUMN($M$2)) )</f>
        <v>G</v>
      </c>
      <c r="AM5" s="108" t="str" cm="1">
        <f t="array" aca="1" ref="AM5" ca="1" xml:space="preserve"> INDIRECT( ADDRESS( ROW($M$2) + AM$2, COLUMN($M$2)) )</f>
        <v>g</v>
      </c>
      <c r="AN5" s="108" t="str" cm="1">
        <f t="array" aca="1" ref="AN5" ca="1" xml:space="preserve"> INDIRECT( ADDRESS( ROW($M$2) + AN$2, COLUMN($M$2)) )</f>
        <v>k</v>
      </c>
      <c r="AO5" s="108" t="str" cm="1">
        <f t="array" aca="1" ref="AO5" ca="1" xml:space="preserve"> INDIRECT( ADDRESS( ROW($M$2) + AO$2, COLUMN($M$2)) )</f>
        <v>w</v>
      </c>
      <c r="AP5" s="108" t="str" cm="1">
        <f t="array" aca="1" ref="AP5" ca="1" xml:space="preserve"> INDIRECT( ADDRESS( ROW($M$2) + AP$2, COLUMN($M$2)) )</f>
        <v>z</v>
      </c>
      <c r="AQ5" s="108" t="str" cm="1">
        <f t="array" aca="1" ref="AQ5" ca="1" xml:space="preserve"> INDIRECT( ADDRESS( ROW($M$2) + AQ$2, COLUMN($M$2)) )</f>
        <v>c</v>
      </c>
      <c r="AR5" s="108" t="str" cm="1">
        <f t="array" aca="1" ref="AR5" ca="1" xml:space="preserve"> INDIRECT( ADDRESS( ROW($M$2) + AR$2, COLUMN($M$2)) )</f>
        <v>Z</v>
      </c>
      <c r="AS5" s="108" t="str" cm="1">
        <f t="array" aca="1" ref="AS5" ca="1" xml:space="preserve"> INDIRECT( ADDRESS( ROW($M$2) + AS$2, COLUMN($M$2)) )</f>
        <v>s</v>
      </c>
      <c r="AT5" s="108" t="str" cm="1">
        <f t="array" aca="1" ref="AT5" ca="1" xml:space="preserve"> INDIRECT( ADDRESS( ROW($M$2) + AT$2, COLUMN($M$2)) )</f>
        <v>J</v>
      </c>
      <c r="AU5" s="108" t="str" cm="1">
        <f t="array" aca="1" ref="AU5" ca="1" xml:space="preserve"> INDIRECT( ADDRESS( ROW($M$2) + AU$2, COLUMN($M$2)) )</f>
        <v>j</v>
      </c>
      <c r="AV5" s="108" t="str" cm="1">
        <f t="array" aca="1" ref="AV5" ca="1" xml:space="preserve"> INDIRECT( ADDRESS( ROW($M$2) + AV$2, COLUMN($M$2)) )</f>
        <v>C</v>
      </c>
      <c r="AW5" s="108" t="str" cm="1">
        <f t="array" aca="1" ref="AW5" ca="1" xml:space="preserve"> INDIRECT( ADDRESS( ROW($M$2) + AW$2, COLUMN($M$2)) )</f>
        <v>S</v>
      </c>
      <c r="AX5" s="108" t="str" cm="1">
        <f t="array" aca="1" ref="AX5" ca="1" xml:space="preserve"> INDIRECT( ADDRESS( ROW($M$2) + AX$2, COLUMN($M$2)) )</f>
        <v>h</v>
      </c>
      <c r="AY5" s="108" t="str" cm="1">
        <f t="array" aca="1" ref="AY5" ca="1" xml:space="preserve"> INDIRECT( ADDRESS( ROW($M$2) + AY$2, COLUMN($M$2)) )</f>
        <v/>
      </c>
      <c r="AZ5" s="108" t="str" cm="1">
        <f t="array" aca="1" ref="AZ5" ca="1" xml:space="preserve"> INDIRECT( ADDRESS( ROW($M$2) + AZ$2, COLUMN($M$2)) )</f>
        <v>a</v>
      </c>
      <c r="BA5" s="108" t="str" cm="1">
        <f t="array" aca="1" ref="BA5" ca="1" xml:space="preserve"> INDIRECT( ADDRESS( ROW($M$2) + BA$2, COLUMN($M$2)) )</f>
        <v>i</v>
      </c>
      <c r="BB5" s="108" t="str" cm="1">
        <f t="array" aca="1" ref="BB5" ca="1" xml:space="preserve"> INDIRECT( ADDRESS( ROW($M$2) + BB$2, COLUMN($M$2)) )</f>
        <v>u</v>
      </c>
      <c r="BC5" s="108" t="str" cm="1">
        <f t="array" aca="1" ref="BC5" ca="1" xml:space="preserve"> INDIRECT( ADDRESS( ROW($M$2) + BC$2, COLUMN($M$2)) )</f>
        <v>e</v>
      </c>
      <c r="BD5" s="108" t="str" cm="1">
        <f t="array" aca="1" ref="BD5" ca="1" xml:space="preserve"> INDIRECT( ADDRESS( ROW($M$2) + BD$2, COLUMN($M$2)) )</f>
        <v>o</v>
      </c>
      <c r="BE5" s="108" t="str" cm="1">
        <f t="array" aca="1" ref="BE5" ca="1" xml:space="preserve"> INDIRECT( ADDRESS( ROW($M$2) + BE$2, COLUMN($M$2)) )</f>
        <v>O</v>
      </c>
      <c r="BF5" s="108" t="str" cm="1">
        <f t="array" aca="1" ref="BF5" ca="1" xml:space="preserve"> INDIRECT( ADDRESS( ROW($M$2) + BF$2, COLUMN($M$2)) )</f>
        <v>x</v>
      </c>
      <c r="BG5" s="108" t="str" cm="1">
        <f t="array" aca="1" ref="BG5" ca="1" xml:space="preserve"> INDIRECT( ADDRESS( ROW($M$2) + BG$2, COLUMN($M$2)) )</f>
        <v>y</v>
      </c>
      <c r="BH5" s="108" t="str" cm="1">
        <f t="array" aca="1" ref="BH5" ca="1" xml:space="preserve"> INDIRECT( ADDRESS( ROW($M$2) + BH$2, COLUMN($M$2)) )</f>
        <v>@</v>
      </c>
      <c r="BI5" s="108" t="str" cm="1">
        <f t="array" aca="1" ref="BI5" ca="1" xml:space="preserve"> INDIRECT( ADDRESS( ROW($M$2) + BI$2, COLUMN($M$2)) )</f>
        <v>V</v>
      </c>
      <c r="BJ5" s="108" t="str" cm="1">
        <f t="array" aca="1" ref="BJ5" ca="1" xml:space="preserve"> INDIRECT( ADDRESS( ROW($M$2) + BJ$2, COLUMN($M$2)) )</f>
        <v>P</v>
      </c>
      <c r="BK5" s="108" t="str" cm="1">
        <f t="array" aca="1" ref="BK5" ca="1" xml:space="preserve"> INDIRECT( ADDRESS( ROW($M$2) + BK$2, COLUMN($M$2)) )</f>
        <v/>
      </c>
      <c r="BL5" s="108" t="str" cm="1">
        <f t="array" aca="1" ref="BL5" ca="1" xml:space="preserve"> INDIRECT( ADDRESS( ROW($M$2) + BL$2, COLUMN($M$2)) )</f>
        <v/>
      </c>
      <c r="BM5" s="108" t="str" cm="1">
        <f t="array" aca="1" ref="BM5" ca="1" xml:space="preserve"> INDIRECT( ADDRESS( ROW($M$2) + BM$2, COLUMN($M$2)) )</f>
        <v/>
      </c>
      <c r="BN5" s="108" t="str" cm="1">
        <f t="array" aca="1" ref="BN5" ca="1" xml:space="preserve"> INDIRECT( ADDRESS( ROW($M$2) + BN$2, COLUMN($M$2)) )</f>
        <v/>
      </c>
      <c r="BO5" s="108" t="str" cm="1">
        <f t="array" aca="1" ref="BO5" ca="1" xml:space="preserve"> INDIRECT( ADDRESS( ROW($M$2) + BO$2, COLUMN($M$2)) )</f>
        <v/>
      </c>
      <c r="BP5" s="108" t="str" cm="1">
        <f t="array" aca="1" ref="BP5" ca="1" xml:space="preserve"> INDIRECT( ADDRESS( ROW($M$2) + BP$2, COLUMN($M$2)) )</f>
        <v/>
      </c>
      <c r="BQ5" s="108" t="str" cm="1">
        <f t="array" aca="1" ref="BQ5" ca="1" xml:space="preserve"> INDIRECT( ADDRESS( ROW($M$2) + BQ$2, COLUMN($M$2)) )</f>
        <v/>
      </c>
      <c r="BR5" s="108" t="str" cm="1">
        <f t="array" aca="1" ref="BR5" ca="1" xml:space="preserve"> INDIRECT( ADDRESS( ROW($M$2) + BR$2, COLUMN($M$2)) )</f>
        <v/>
      </c>
      <c r="BS5" s="108" t="str" cm="1">
        <f t="array" aca="1" ref="BS5" ca="1" xml:space="preserve"> INDIRECT( ADDRESS( ROW($M$2) + BS$2, COLUMN($M$2)) )</f>
        <v/>
      </c>
      <c r="BT5" s="108" t="str" cm="1">
        <f t="array" aca="1" ref="BT5" ca="1" xml:space="preserve"> INDIRECT( ADDRESS( ROW($M$2) + BT$2, COLUMN($M$2)) )</f>
        <v/>
      </c>
      <c r="BU5" s="108" t="str" cm="1">
        <f t="array" aca="1" ref="BU5" ca="1" xml:space="preserve"> INDIRECT( ADDRESS( ROW($M$2) + BU$2, COLUMN($M$2)) )</f>
        <v>H</v>
      </c>
      <c r="BV5" s="108" t="str" cm="1">
        <f t="array" aca="1" ref="BV5" ca="1" xml:space="preserve"> INDIRECT( ADDRESS( ROW($M$2) + BV$2, COLUMN($M$2)) )</f>
        <v/>
      </c>
      <c r="BW5" s="108" t="str" cm="1">
        <f t="array" aca="1" ref="BW5" ca="1" xml:space="preserve"> INDIRECT( ADDRESS( ROW($M$2) + BW$2, COLUMN($M$2)) )</f>
        <v>D</v>
      </c>
      <c r="BX5" s="108" t="str" cm="1">
        <f t="array" aca="1" ref="BX5" ca="1" xml:space="preserve"> INDIRECT( ADDRESS( ROW($M$2) + BX$2, COLUMN($M$2)) )</f>
        <v/>
      </c>
      <c r="BY5" s="108" t="str" cm="1">
        <f t="array" aca="1" ref="BY5" ca="1" xml:space="preserve"> INDIRECT( ADDRESS( ROW($M$2) + BY$2, COLUMN($M$2)) )</f>
        <v/>
      </c>
      <c r="BZ5" s="108" t="str" cm="1">
        <f t="array" aca="1" ref="BZ5" ca="1" xml:space="preserve"> INDIRECT( ADDRESS( ROW($M$2) + BZ$2, COLUMN($M$2)) )</f>
        <v/>
      </c>
      <c r="CA5" s="108" t="str" cm="1">
        <f t="array" aca="1" ref="CA5" ca="1" xml:space="preserve"> INDIRECT( ADDRESS( ROW($M$2) + CA$2, COLUMN($M$2)) )</f>
        <v/>
      </c>
      <c r="CB5" s="108" t="str" cm="1">
        <f t="array" aca="1" ref="CB5" ca="1" xml:space="preserve"> INDIRECT( ADDRESS( ROW($M$2) + CB$2, COLUMN($M$2)) )</f>
        <v/>
      </c>
      <c r="CC5" s="108" t="str" cm="1">
        <f t="array" aca="1" ref="CC5" ca="1" xml:space="preserve"> INDIRECT( ADDRESS( ROW($M$2) + CC$2, COLUMN($M$2)) )</f>
        <v/>
      </c>
      <c r="CD5" s="108" t="str" cm="1">
        <f t="array" aca="1" ref="CD5" ca="1" xml:space="preserve"> INDIRECT( ADDRESS( ROW($M$2) + CD$2, COLUMN($M$2)) )</f>
        <v/>
      </c>
      <c r="CE5" s="108" t="str" cm="1">
        <f t="array" aca="1" ref="CE5" ca="1" xml:space="preserve"> INDIRECT( ADDRESS( ROW($M$2) + CE$2, COLUMN($M$2)) )</f>
        <v>A</v>
      </c>
      <c r="CF5" s="108" t="str" cm="1">
        <f t="array" aca="1" ref="CF5" ca="1" xml:space="preserve"> INDIRECT( ADDRESS( ROW($M$2) + CF$2, COLUMN($M$2)) )</f>
        <v>I</v>
      </c>
    </row>
    <row r="6" spans="2:84" ht="57.75">
      <c r="B6" s="79" cm="1">
        <f t="array" ref="B6" xml:space="preserve"> ROW() - ROW($2:$2)</f>
        <v>4</v>
      </c>
      <c r="C6" s="212" t="s">
        <v>1461</v>
      </c>
      <c r="D6" s="212" t="s">
        <v>1461</v>
      </c>
      <c r="E6" s="216" t="s">
        <v>2256</v>
      </c>
      <c r="F6" s="132" t="s">
        <v>1653</v>
      </c>
      <c r="G6" s="139" t="e" cm="1">
        <f t="array" ref="G6" xml:space="preserve"> INDEX(廣韻聲母對照資料表[廣韻], MATCH(TRUE, EXACT($D6, 廣韻聲母對照資料表[台語音標]),0))</f>
        <v>#N/A</v>
      </c>
      <c r="H6" s="209" t="str" cm="1">
        <f t="array" ref="H6" xml:space="preserve"> INDEX(聲母對照資料表[十五音], MATCH(TRUE, EXACT($D6, 聲母碼),0))</f>
        <v>毛</v>
      </c>
      <c r="I6" s="74" t="str" cm="1">
        <f t="array" ref="I6" xml:space="preserve"> INDEX(聲母對照資料表[白話字], MATCH(TRUE, EXACT($D6, 聲母碼),0))</f>
        <v>m</v>
      </c>
      <c r="J6" s="74" t="str" cm="1">
        <f t="array" ref="J6" xml:space="preserve"> INDEX(聲母對照資料表[台羅拼音], MATCH(TRUE, EXACT($D6, 聲母碼),0))</f>
        <v>m</v>
      </c>
      <c r="K6" s="74" t="str" cm="1">
        <f t="array" ref="K6" xml:space="preserve"> INDEX(聲母對照資料表[閩拼方案], MATCH(TRUE, EXACT($D6, 聲母碼),0))</f>
        <v>bbn</v>
      </c>
      <c r="L6" s="95" t="str" cm="1">
        <f t="array" ref="L6" xml:space="preserve"> INDEX(聲母對照資料表[注音二式], MATCH(TRUE, EXACT($D6, 聲母碼),0))</f>
        <v>m</v>
      </c>
      <c r="M6" s="94" t="s">
        <v>5</v>
      </c>
      <c r="N6" s="75" t="s">
        <v>1469</v>
      </c>
      <c r="P6" s="234">
        <v>4</v>
      </c>
      <c r="Q6" s="95" t="s">
        <v>1159</v>
      </c>
      <c r="R6" s="94" t="s">
        <v>1180</v>
      </c>
      <c r="S6" s="96" t="s">
        <v>1565</v>
      </c>
      <c r="T6" s="96" t="s">
        <v>684</v>
      </c>
      <c r="V6" s="79">
        <f t="shared" si="1"/>
        <v>4</v>
      </c>
      <c r="W6" s="96" t="s">
        <v>1566</v>
      </c>
      <c r="X6" s="97" t="s">
        <v>1567</v>
      </c>
      <c r="Y6" s="106" t="s">
        <v>1563</v>
      </c>
      <c r="Z6" s="99" t="s">
        <v>1568</v>
      </c>
      <c r="AC6" s="109" t="s">
        <v>1569</v>
      </c>
      <c r="AD6" s="110" t="str" cm="1">
        <f t="array" aca="1" ref="AD6" ca="1" xml:space="preserve"> INDIRECT( ADDRESS( ROW($N$2) + AD$2, COLUMN($N$2)) )</f>
        <v>q</v>
      </c>
      <c r="AE6" s="110" t="str" cm="1">
        <f t="array" aca="1" ref="AE6" ca="1" xml:space="preserve"> INDIRECT( ADDRESS( ROW($N$2) + AE$2, COLUMN($N$2)) )</f>
        <v>1</v>
      </c>
      <c r="AF6" s="110" t="str" cm="1">
        <f t="array" aca="1" ref="AF6" ca="1" xml:space="preserve"> INDIRECT( ADDRESS( ROW($N$2) + AF$2, COLUMN($N$2)) )</f>
        <v>a</v>
      </c>
      <c r="AG6" s="110" t="str" cm="1">
        <f t="array" aca="1" ref="AG6" ca="1" xml:space="preserve"> INDIRECT( ADDRESS( ROW($N$2) + AG$2, COLUMN($N$2)) )</f>
        <v>2</v>
      </c>
      <c r="AH6" s="110" t="str" cm="1">
        <f t="array" aca="1" ref="AH6" ca="1" xml:space="preserve"> INDIRECT( ADDRESS( ROW($N$2) + AH$2, COLUMN($N$2)) )</f>
        <v>w</v>
      </c>
      <c r="AI6" s="110" t="str" cm="1">
        <f t="array" aca="1" ref="AI6" ca="1" xml:space="preserve"> INDIRECT( ADDRESS( ROW($N$2) + AI$2, COLUMN($N$2)) )</f>
        <v>s</v>
      </c>
      <c r="AJ6" s="110" t="str" cm="1">
        <f t="array" aca="1" ref="AJ6" ca="1" xml:space="preserve"> INDIRECT( ADDRESS( ROW($N$2) + AJ$2, COLUMN($N$2)) )</f>
        <v>x</v>
      </c>
      <c r="AK6" s="110" t="str" cm="1">
        <f t="array" aca="1" ref="AK6" ca="1" xml:space="preserve"> INDIRECT( ADDRESS( ROW($N$2) + AK$2, COLUMN($N$2)) )</f>
        <v>e</v>
      </c>
      <c r="AL6" s="110" t="str" cm="1">
        <f t="array" aca="1" ref="AL6" ca="1" xml:space="preserve"> INDIRECT( ADDRESS( ROW($N$2) + AL$2, COLUMN($N$2)) )</f>
        <v>d</v>
      </c>
      <c r="AM6" s="110" t="str" cm="1">
        <f t="array" aca="1" ref="AM6" ca="1" xml:space="preserve"> INDIRECT( ADDRESS( ROW($N$2) + AM$2, COLUMN($N$2)) )</f>
        <v>E</v>
      </c>
      <c r="AN6" s="110" t="str" cm="1">
        <f t="array" aca="1" ref="AN6" ca="1" xml:space="preserve"> INDIRECT( ADDRESS( ROW($N$2) + AN$2, COLUMN($N$2)) )</f>
        <v>D</v>
      </c>
      <c r="AO6" s="110" t="str" cm="1">
        <f t="array" aca="1" ref="AO6" ca="1" xml:space="preserve"> INDIRECT( ADDRESS( ROW($N$2) + AO$2, COLUMN($N$2)) )</f>
        <v>c</v>
      </c>
      <c r="AP6" s="110" t="str" cm="1">
        <f t="array" aca="1" ref="AP6" ca="1" xml:space="preserve"> INDIRECT( ADDRESS( ROW($N$2) + AP$2, COLUMN($N$2)) )</f>
        <v>y</v>
      </c>
      <c r="AQ6" s="110" t="str" cm="1">
        <f t="array" aca="1" ref="AQ6" ca="1" xml:space="preserve"> INDIRECT( ADDRESS( ROW($N$2) + AQ$2, COLUMN($N$2)) )</f>
        <v>h</v>
      </c>
      <c r="AR6" s="110" t="str" cm="1">
        <f t="array" aca="1" ref="AR6" ca="1" xml:space="preserve"> INDIRECT( ADDRESS( ROW($N$2) + AR$2, COLUMN($N$2)) )</f>
        <v>b</v>
      </c>
      <c r="AS6" s="110" t="str" cm="1">
        <f t="array" aca="1" ref="AS6" ca="1" xml:space="preserve"> INDIRECT( ADDRESS( ROW($N$2) + AS$2, COLUMN($N$2)) )</f>
        <v>n</v>
      </c>
      <c r="AT6" s="110" t="str" cm="1">
        <f t="array" aca="1" ref="AT6" ca="1" xml:space="preserve"> INDIRECT( ADDRESS( ROW($N$2) + AT$2, COLUMN($N$2)) )</f>
        <v>B</v>
      </c>
      <c r="AU6" s="110" t="str" cm="1">
        <f t="array" aca="1" ref="AU6" ca="1" xml:space="preserve"> INDIRECT( ADDRESS( ROW($N$2) + AU$2, COLUMN($N$2)) )</f>
        <v>Y</v>
      </c>
      <c r="AV6" s="110" t="str" cm="1">
        <f t="array" aca="1" ref="AV6" ca="1" xml:space="preserve"> INDIRECT( ADDRESS( ROW($N$2) + AV$2, COLUMN($N$2)) )</f>
        <v>H</v>
      </c>
      <c r="AW6" s="110" t="str" cm="1">
        <f t="array" aca="1" ref="AW6" ca="1" xml:space="preserve"> INDIRECT( ADDRESS( ROW($N$2) + AW$2, COLUMN($N$2)) )</f>
        <v>N</v>
      </c>
      <c r="AX6" s="110" t="str" cm="1">
        <f t="array" aca="1" ref="AX6" ca="1" xml:space="preserve"> INDIRECT( ADDRESS( ROW($N$2) + AX$2, COLUMN($N$2)) )</f>
        <v>r</v>
      </c>
      <c r="AY6" s="110" cm="1">
        <f t="array" aca="1" ref="AY6" ca="1" xml:space="preserve"> INDIRECT( ADDRESS( ROW($N$2) + AY$2, COLUMN($N$2)) )</f>
        <v>0</v>
      </c>
      <c r="AZ6" s="110" t="str" cm="1">
        <f t="array" aca="1" ref="AZ6" ca="1" xml:space="preserve"> INDIRECT( ADDRESS( ROW($N$2) + AZ$2, COLUMN($N$2)) )</f>
        <v>*</v>
      </c>
      <c r="BA6" s="110" t="str" cm="1">
        <f t="array" aca="1" ref="BA6" ca="1" xml:space="preserve"> INDIRECT( ADDRESS( ROW($N$2) + BA$2, COLUMN($N$2)) )</f>
        <v>U</v>
      </c>
      <c r="BB6" s="110" t="str" cm="1">
        <f t="array" aca="1" ref="BB6" ca="1" xml:space="preserve"> INDIRECT( ADDRESS( ROW($N$2) + BB$2, COLUMN($N$2)) )</f>
        <v>J</v>
      </c>
      <c r="BC6" s="110" t="str" cm="1">
        <f t="array" aca="1" ref="BC6" ca="1" xml:space="preserve"> INDIRECT( ADDRESS( ROW($N$2) + BC$2, COLUMN($N$2)) )</f>
        <v>O</v>
      </c>
      <c r="BD6" s="110" t="str" cm="1">
        <f t="array" aca="1" ref="BD6" ca="1" xml:space="preserve"> INDIRECT( ADDRESS( ROW($N$2) + BD$2, COLUMN($N$2)) )</f>
        <v>o</v>
      </c>
      <c r="BE6" s="110" t="str" cm="1">
        <f t="array" aca="1" ref="BE6" ca="1" xml:space="preserve"> INDIRECT( ADDRESS( ROW($N$2) + BE$2, COLUMN($N$2)) )</f>
        <v>I</v>
      </c>
      <c r="BF6" s="110" t="str" cm="1">
        <f t="array" aca="1" ref="BF6" ca="1" xml:space="preserve"> INDIRECT( ADDRESS( ROW($N$2) + BF$2, COLUMN($N$2)) )</f>
        <v>(</v>
      </c>
      <c r="BG6" s="110" t="str" cm="1">
        <f t="array" aca="1" ref="BG6" ca="1" xml:space="preserve"> INDIRECT( ADDRESS( ROW($N$2) + BG$2, COLUMN($N$2)) )</f>
        <v>L</v>
      </c>
      <c r="BH6" s="110" t="str" cm="1">
        <f t="array" aca="1" ref="BH6" ca="1" xml:space="preserve"> INDIRECT( ADDRESS( ROW($N$2) + BH$2, COLUMN($N$2)) )</f>
        <v>p</v>
      </c>
      <c r="BI6" s="110" t="str" cm="1">
        <f t="array" aca="1" ref="BI6" ca="1" xml:space="preserve"> INDIRECT( ADDRESS( ROW($N$2) + BI$2, COLUMN($N$2)) )</f>
        <v>&lt;</v>
      </c>
      <c r="BJ6" s="110" t="str" cm="1">
        <f t="array" aca="1" ref="BJ6" ca="1" xml:space="preserve"> INDIRECT( ADDRESS( ROW($N$2) + BJ$2, COLUMN($N$2)) )</f>
        <v>:</v>
      </c>
      <c r="BK6" s="110" cm="1">
        <f t="array" aca="1" ref="BK6" ca="1" xml:space="preserve"> INDIRECT( ADDRESS( ROW($N$2) + BK$2, COLUMN($N$2)) )</f>
        <v>0</v>
      </c>
      <c r="BL6" s="110" cm="1">
        <f t="array" aca="1" ref="BL6" ca="1" xml:space="preserve"> INDIRECT( ADDRESS( ROW($N$2) + BL$2, COLUMN($N$2)) )</f>
        <v>0</v>
      </c>
      <c r="BM6" s="110" cm="1">
        <f t="array" aca="1" ref="BM6" ca="1" xml:space="preserve"> INDIRECT( ADDRESS( ROW($N$2) + BM$2, COLUMN($N$2)) )</f>
        <v>0</v>
      </c>
      <c r="BN6" s="110" cm="1">
        <f t="array" aca="1" ref="BN6" ca="1" xml:space="preserve"> INDIRECT( ADDRESS( ROW($N$2) + BN$2, COLUMN($N$2)) )</f>
        <v>0</v>
      </c>
      <c r="BO6" s="110" cm="1">
        <f t="array" aca="1" ref="BO6" ca="1" xml:space="preserve"> INDIRECT( ADDRESS( ROW($N$2) + BO$2, COLUMN($N$2)) )</f>
        <v>0</v>
      </c>
      <c r="BP6" s="110" t="str" cm="1">
        <f t="array" aca="1" ref="BP6" ca="1" xml:space="preserve"> INDIRECT( ADDRESS( ROW($N$2) + BP$2, COLUMN($N$2)) )</f>
        <v>-</v>
      </c>
      <c r="BQ6" s="110" cm="1">
        <f t="array" aca="1" ref="BQ6" ca="1" xml:space="preserve"> INDIRECT( ADDRESS( ROW($N$2) + BQ$2, COLUMN($N$2)) )</f>
        <v>0</v>
      </c>
      <c r="BR6" s="110" cm="1">
        <f t="array" aca="1" ref="BR6" ca="1" xml:space="preserve"> INDIRECT( ADDRESS( ROW($N$2) + BR$2, COLUMN($N$2)) )</f>
        <v>0</v>
      </c>
      <c r="BS6" s="110" cm="1">
        <f t="array" aca="1" ref="BS6" ca="1" xml:space="preserve"> INDIRECT( ADDRESS( ROW($N$2) + BS$2, COLUMN($N$2)) )</f>
        <v>0</v>
      </c>
      <c r="BT6" s="110" cm="1">
        <f t="array" aca="1" ref="BT6" ca="1" xml:space="preserve"> INDIRECT( ADDRESS( ROW($N$2) + BT$2, COLUMN($N$2)) )</f>
        <v>0</v>
      </c>
      <c r="BU6" s="110" t="str" cm="1">
        <f t="array" aca="1" ref="BU6" ca="1" xml:space="preserve"> INDIRECT( ADDRESS( ROW($N$2) + BU$2, COLUMN($N$2)) )</f>
        <v>/</v>
      </c>
      <c r="BV6" s="110" cm="1">
        <f t="array" aca="1" ref="BV6" ca="1" xml:space="preserve"> INDIRECT( ADDRESS( ROW($N$2) + BV$2, COLUMN($N$2)) )</f>
        <v>0</v>
      </c>
      <c r="BW6" s="110" t="str" cm="1">
        <f t="array" aca="1" ref="BW6" ca="1" xml:space="preserve"> INDIRECT( ADDRESS( ROW($N$2) + BW$2, COLUMN($N$2)) )</f>
        <v>m</v>
      </c>
      <c r="BX6" s="110" cm="1">
        <f t="array" aca="1" ref="BX6" ca="1" xml:space="preserve"> INDIRECT( ADDRESS( ROW($N$2) + BX$2, COLUMN($N$2)) )</f>
        <v>0</v>
      </c>
      <c r="BY6" s="110" cm="1">
        <f t="array" aca="1" ref="BY6" ca="1" xml:space="preserve"> INDIRECT( ADDRESS( ROW($N$2) + BY$2, COLUMN($N$2)) )</f>
        <v>0</v>
      </c>
      <c r="BZ6" s="110" cm="1">
        <f t="array" aca="1" ref="BZ6" ca="1" xml:space="preserve"> INDIRECT( ADDRESS( ROW($N$2) + BZ$2, COLUMN($N$2)) )</f>
        <v>0</v>
      </c>
      <c r="CA6" s="110" cm="1">
        <f t="array" aca="1" ref="CA6" ca="1" xml:space="preserve"> INDIRECT( ADDRESS( ROW($N$2) + CA$2, COLUMN($N$2)) )</f>
        <v>0</v>
      </c>
      <c r="CB6" s="110" cm="1">
        <f t="array" aca="1" ref="CB6" ca="1" xml:space="preserve"> INDIRECT( ADDRESS( ROW($N$2) + CB$2, COLUMN($N$2)) )</f>
        <v>0</v>
      </c>
      <c r="CC6" s="110" cm="1">
        <f t="array" aca="1" ref="CC6" ca="1" xml:space="preserve"> INDIRECT( ADDRESS( ROW($N$2) + CC$2, COLUMN($N$2)) )</f>
        <v>0</v>
      </c>
      <c r="CD6" s="110" cm="1">
        <f t="array" aca="1" ref="CD6" ca="1" xml:space="preserve"> INDIRECT( ADDRESS( ROW($N$2) + CD$2, COLUMN($N$2)) )</f>
        <v>0</v>
      </c>
      <c r="CE6" s="110" t="str" cm="1">
        <f t="array" aca="1" ref="CE6" ca="1" xml:space="preserve"> INDIRECT( ADDRESS( ROW($N$2) + CE$2, COLUMN($N$2)) )</f>
        <v>i</v>
      </c>
      <c r="CF6" s="110" t="str" cm="1">
        <f t="array" aca="1" ref="CF6" ca="1" xml:space="preserve"> INDIRECT( ADDRESS( ROW($N$2) + CF$2, COLUMN($N$2)) )</f>
        <v>j</v>
      </c>
    </row>
    <row r="7" spans="2:84" ht="57.75">
      <c r="B7" s="111" cm="1">
        <f t="array" ref="B7" xml:space="preserve"> ROW() - ROW($2:$2)</f>
        <v>5</v>
      </c>
      <c r="C7" s="213" t="s">
        <v>6</v>
      </c>
      <c r="D7" s="213" t="s">
        <v>6</v>
      </c>
      <c r="E7" s="217" t="s">
        <v>1468</v>
      </c>
      <c r="F7" s="133" t="s">
        <v>1655</v>
      </c>
      <c r="G7" s="239" t="str" cm="1">
        <f t="array" ref="G7" xml:space="preserve"> INDEX(廣韻聲母對照資料表[廣韻], MATCH(TRUE, EXACT($D7, 廣韻聲母對照資料表[台語音標]),0))</f>
        <v>端</v>
      </c>
      <c r="H7" s="210" t="str" cm="1">
        <f t="array" ref="H7" xml:space="preserve"> INDEX(聲母對照資料表[十五音], MATCH(TRUE, EXACT($D7, 聲母碼),0))</f>
        <v>地</v>
      </c>
      <c r="I7" s="72" t="str" cm="1">
        <f t="array" ref="I7" xml:space="preserve"> INDEX(聲母對照資料表[白話字], MATCH(TRUE, EXACT($D7, 聲母碼),0))</f>
        <v>t</v>
      </c>
      <c r="J7" s="72" t="str" cm="1">
        <f t="array" ref="J7" xml:space="preserve"> INDEX(聲母對照資料表[台羅拼音], MATCH(TRUE, EXACT($D7, 聲母碼),0))</f>
        <v>t</v>
      </c>
      <c r="K7" s="72" t="str" cm="1">
        <f t="array" ref="K7" xml:space="preserve"> INDEX(聲母對照資料表[閩拼方案], MATCH(TRUE, EXACT($D7, 聲母碼),0))</f>
        <v>d</v>
      </c>
      <c r="L7" s="113" t="str" cm="1">
        <f t="array" ref="L7" xml:space="preserve"> INDEX(聲母對照資料表[注音二式], MATCH(TRUE, EXACT($D7, 聲母碼),0))</f>
        <v>d</v>
      </c>
      <c r="M7" s="112" t="s">
        <v>1007</v>
      </c>
      <c r="N7" s="73" t="s">
        <v>1477</v>
      </c>
      <c r="P7" s="234">
        <v>5</v>
      </c>
      <c r="Q7" s="95" t="s">
        <v>1180</v>
      </c>
      <c r="R7" s="94" t="s">
        <v>1180</v>
      </c>
      <c r="S7" s="96" t="s">
        <v>209</v>
      </c>
      <c r="T7" s="96" t="s">
        <v>239</v>
      </c>
      <c r="V7" s="79">
        <f t="shared" si="1"/>
        <v>5</v>
      </c>
      <c r="W7" s="96" t="s">
        <v>68</v>
      </c>
      <c r="X7" s="97" t="s">
        <v>1541</v>
      </c>
      <c r="Y7" s="106" t="s">
        <v>1570</v>
      </c>
      <c r="Z7" s="99" t="s">
        <v>1541</v>
      </c>
    </row>
    <row r="8" spans="2:84" ht="57.75">
      <c r="B8" s="114" cm="1">
        <f t="array" ref="B8" xml:space="preserve"> ROW() - ROW($2:$2)</f>
        <v>6</v>
      </c>
      <c r="C8" s="212" t="s">
        <v>7</v>
      </c>
      <c r="D8" s="212" t="s">
        <v>1017</v>
      </c>
      <c r="E8" s="216" t="s">
        <v>1476</v>
      </c>
      <c r="F8" s="132" t="s">
        <v>1657</v>
      </c>
      <c r="G8" s="139" t="str" cm="1">
        <f t="array" ref="G8" xml:space="preserve"> INDEX(廣韻聲母對照資料表[廣韻], MATCH(TRUE, EXACT($D8, 廣韻聲母對照資料表[台語音標]),0))</f>
        <v>透</v>
      </c>
      <c r="H8" s="209" t="str" cm="1">
        <f t="array" ref="H8" xml:space="preserve"> INDEX(聲母對照資料表[十五音], MATCH(TRUE, EXACT($D8, 聲母碼),0))</f>
        <v>他</v>
      </c>
      <c r="I8" s="74" t="str" cm="1">
        <f t="array" ref="I8" xml:space="preserve"> INDEX(聲母對照資料表[白話字], MATCH(TRUE, EXACT($D8, 聲母碼),0))</f>
        <v>th</v>
      </c>
      <c r="J8" s="74" t="str" cm="1">
        <f t="array" ref="J8" xml:space="preserve"> INDEX(聲母對照資料表[台羅拼音], MATCH(TRUE, EXACT($D8, 聲母碼),0))</f>
        <v>th</v>
      </c>
      <c r="K8" s="74" t="str" cm="1">
        <f t="array" ref="K8" xml:space="preserve"> INDEX(聲母對照資料表[閩拼方案], MATCH(TRUE, EXACT($D8, 聲母碼),0))</f>
        <v>t</v>
      </c>
      <c r="L8" s="95" t="str" cm="1">
        <f t="array" ref="L8" xml:space="preserve"> INDEX(聲母對照資料表[注音二式], MATCH(TRUE, EXACT($D8, 聲母碼),0))</f>
        <v>t</v>
      </c>
      <c r="M8" s="94" t="s">
        <v>6</v>
      </c>
      <c r="N8" s="75" t="s">
        <v>1047</v>
      </c>
      <c r="P8" s="234">
        <v>6</v>
      </c>
      <c r="Q8" s="95" t="s">
        <v>208</v>
      </c>
      <c r="R8" s="94" t="s">
        <v>208</v>
      </c>
      <c r="S8" s="96" t="s">
        <v>1565</v>
      </c>
      <c r="T8" s="96" t="s">
        <v>684</v>
      </c>
      <c r="V8" s="79">
        <f t="shared" si="1"/>
        <v>6</v>
      </c>
      <c r="W8" s="96" t="s">
        <v>1571</v>
      </c>
      <c r="X8" s="97" t="s">
        <v>1572</v>
      </c>
      <c r="Y8" s="106" t="s">
        <v>1573</v>
      </c>
      <c r="Z8" s="99" t="s">
        <v>1198</v>
      </c>
    </row>
    <row r="9" spans="2:84" ht="57.75">
      <c r="B9" s="114" cm="1">
        <f t="array" ref="B9" xml:space="preserve"> ROW() - ROW($2:$2)</f>
        <v>7</v>
      </c>
      <c r="C9" s="212" t="s">
        <v>8</v>
      </c>
      <c r="D9" s="212" t="s">
        <v>8</v>
      </c>
      <c r="E9" s="216" t="s">
        <v>1482</v>
      </c>
      <c r="F9" s="132" t="s">
        <v>1659</v>
      </c>
      <c r="G9" s="139" t="e" cm="1">
        <f t="array" ref="G9" xml:space="preserve"> INDEX(廣韻聲母對照資料表[廣韻], MATCH(TRUE, EXACT($D9, 廣韻聲母對照資料表[台語音標]),0))</f>
        <v>#N/A</v>
      </c>
      <c r="H9" s="209" t="str" cm="1">
        <f t="array" ref="H9" xml:space="preserve"> INDEX(聲母對照資料表[十五音], MATCH(TRUE, EXACT($D9, 聲母碼),0))</f>
        <v>耐</v>
      </c>
      <c r="I9" s="74" t="str" cm="1">
        <f t="array" ref="I9" xml:space="preserve"> INDEX(聲母對照資料表[白話字], MATCH(TRUE, EXACT($D9, 聲母碼),0))</f>
        <v>n</v>
      </c>
      <c r="J9" s="74" t="str" cm="1">
        <f t="array" ref="J9" xml:space="preserve"> INDEX(聲母對照資料表[台羅拼音], MATCH(TRUE, EXACT($D9, 聲母碼),0))</f>
        <v>n</v>
      </c>
      <c r="K9" s="74" t="str" cm="1">
        <f t="array" ref="K9" xml:space="preserve"> INDEX(聲母對照資料表[閩拼方案], MATCH(TRUE, EXACT($D9, 聲母碼),0))</f>
        <v>ln</v>
      </c>
      <c r="L9" s="95" t="str" cm="1">
        <f t="array" ref="L9" xml:space="preserve"> INDEX(聲母對照資料表[注音二式], MATCH(TRUE, EXACT($D9, 聲母碼),0))</f>
        <v>n</v>
      </c>
      <c r="M9" s="94" t="s">
        <v>8</v>
      </c>
      <c r="N9" s="75" t="s">
        <v>1485</v>
      </c>
      <c r="P9" s="234">
        <v>7</v>
      </c>
      <c r="Q9" s="95" t="s">
        <v>1185</v>
      </c>
      <c r="R9" s="94" t="s">
        <v>1522</v>
      </c>
      <c r="S9" s="96" t="s">
        <v>150</v>
      </c>
      <c r="T9" s="96" t="s">
        <v>176</v>
      </c>
      <c r="V9" s="79">
        <f t="shared" si="1"/>
        <v>7</v>
      </c>
      <c r="W9" s="96" t="s">
        <v>80</v>
      </c>
      <c r="X9" s="97" t="s">
        <v>79</v>
      </c>
      <c r="Y9" s="106" t="s">
        <v>1574</v>
      </c>
      <c r="Z9" s="99" t="s">
        <v>79</v>
      </c>
    </row>
    <row r="10" spans="2:84" ht="57.75">
      <c r="B10" s="115" cm="1">
        <f t="array" ref="B10" xml:space="preserve"> ROW() - ROW($2:$2)</f>
        <v>8</v>
      </c>
      <c r="C10" s="214" t="s">
        <v>9</v>
      </c>
      <c r="D10" s="214" t="s">
        <v>9</v>
      </c>
      <c r="E10" s="218" t="s">
        <v>1484</v>
      </c>
      <c r="F10" s="134" t="s">
        <v>1661</v>
      </c>
      <c r="G10" s="134" t="str" cm="1">
        <f t="array" ref="G10" xml:space="preserve"> INDEX(廣韻聲母對照資料表[廣韻], MATCH(TRUE, EXACT($D10, 廣韻聲母對照資料表[台語音標]),0))</f>
        <v>泥</v>
      </c>
      <c r="H10" s="211" t="str" cm="1">
        <f t="array" ref="H10" xml:space="preserve"> INDEX(聲母對照資料表[十五音], MATCH(TRUE, EXACT($D10, 聲母碼),0))</f>
        <v>柳</v>
      </c>
      <c r="I10" s="76" t="str" cm="1">
        <f t="array" ref="I10" xml:space="preserve"> INDEX(聲母對照資料表[白話字], MATCH(TRUE, EXACT($D10, 聲母碼),0))</f>
        <v>l</v>
      </c>
      <c r="J10" s="76" t="str" cm="1">
        <f t="array" ref="J10" xml:space="preserve"> INDEX(聲母對照資料表[台羅拼音], MATCH(TRUE, EXACT($D10, 聲母碼),0))</f>
        <v>l</v>
      </c>
      <c r="K10" s="76" t="str" cm="1">
        <f t="array" ref="K10" xml:space="preserve"> INDEX(聲母對照資料表[閩拼方案], MATCH(TRUE, EXACT($D10, 聲母碼),0))</f>
        <v>l</v>
      </c>
      <c r="L10" s="117" t="str" cm="1">
        <f t="array" ref="L10" xml:space="preserve"> INDEX(聲母對照資料表[注音二式], MATCH(TRUE, EXACT($D10, 聲母碼),0))</f>
        <v>l</v>
      </c>
      <c r="M10" s="116" t="s">
        <v>9</v>
      </c>
      <c r="N10" s="77" t="s">
        <v>208</v>
      </c>
      <c r="P10" s="234">
        <v>8</v>
      </c>
      <c r="Q10" s="95" t="s">
        <v>180</v>
      </c>
      <c r="R10" s="94" t="s">
        <v>1523</v>
      </c>
      <c r="S10" s="96" t="s">
        <v>181</v>
      </c>
      <c r="T10" s="96" t="s">
        <v>199</v>
      </c>
      <c r="V10" s="79">
        <f t="shared" si="1"/>
        <v>8</v>
      </c>
      <c r="W10" s="96" t="s">
        <v>1571</v>
      </c>
      <c r="X10" s="97" t="s">
        <v>1575</v>
      </c>
      <c r="Y10" s="106" t="s">
        <v>1574</v>
      </c>
      <c r="Z10" s="99" t="s">
        <v>1131</v>
      </c>
    </row>
    <row r="11" spans="2:84" ht="57.75">
      <c r="B11" s="79" cm="1">
        <f t="array" ref="B11" xml:space="preserve"> ROW() - ROW($2:$2)</f>
        <v>9</v>
      </c>
      <c r="C11" s="212" t="s">
        <v>2238</v>
      </c>
      <c r="D11" s="212" t="s">
        <v>1487</v>
      </c>
      <c r="E11" s="216" t="s">
        <v>2258</v>
      </c>
      <c r="F11" s="132" t="s">
        <v>1664</v>
      </c>
      <c r="G11" s="132" t="str" cm="1">
        <f t="array" ref="G11" xml:space="preserve"> INDEX(廣韻聲母對照資料表[廣韻], MATCH(TRUE, EXACT($D11, 廣韻聲母對照資料表[台語音標]),0))</f>
        <v>疑</v>
      </c>
      <c r="H11" s="209" t="str" cm="1">
        <f t="array" ref="H11" xml:space="preserve"> INDEX(聲母對照資料表[十五音], MATCH(TRUE, EXACT($D11, 聲母碼),0))</f>
        <v>語</v>
      </c>
      <c r="I11" s="74" t="str" cm="1">
        <f t="array" ref="I11" xml:space="preserve"> INDEX(聲母對照資料表[白話字], MATCH(TRUE, EXACT($D11, 聲母碼),0))</f>
        <v>g</v>
      </c>
      <c r="J11" s="74" t="str" cm="1">
        <f t="array" ref="J11" xml:space="preserve"> INDEX(聲母對照資料表[台羅拼音], MATCH(TRUE, EXACT($D11, 聲母碼),0))</f>
        <v>g</v>
      </c>
      <c r="K11" s="74" t="str" cm="1">
        <f t="array" ref="K11" xml:space="preserve"> INDEX(聲母對照資料表[閩拼方案], MATCH(TRUE, EXACT($D11, 聲母碼),0))</f>
        <v>gg</v>
      </c>
      <c r="L11" s="95" t="str" cm="1">
        <f t="array" ref="L11" xml:space="preserve"> INDEX(聲母對照資料表[注音二式], MATCH(TRUE, EXACT($D11, 聲母碼),0))</f>
        <v>gg</v>
      </c>
      <c r="M11" s="94" t="s">
        <v>1647</v>
      </c>
      <c r="N11" s="75" t="s">
        <v>1007</v>
      </c>
      <c r="P11" s="234">
        <v>9</v>
      </c>
      <c r="Q11" s="95" t="s">
        <v>604</v>
      </c>
      <c r="R11" s="94" t="s">
        <v>604</v>
      </c>
      <c r="S11" s="96" t="s">
        <v>605</v>
      </c>
      <c r="T11" s="96" t="s">
        <v>1576</v>
      </c>
      <c r="V11" s="79">
        <f t="shared" si="1"/>
        <v>9</v>
      </c>
      <c r="W11" s="96" t="s">
        <v>95</v>
      </c>
      <c r="X11" s="97" t="s">
        <v>1577</v>
      </c>
      <c r="Y11" s="106" t="s">
        <v>1578</v>
      </c>
      <c r="Z11" s="99" t="s">
        <v>1206</v>
      </c>
    </row>
    <row r="12" spans="2:84" ht="57.75">
      <c r="B12" s="79" cm="1">
        <f t="array" ref="B12" xml:space="preserve"> ROW() - ROW($2:$2)</f>
        <v>10</v>
      </c>
      <c r="C12" s="212" t="s">
        <v>14</v>
      </c>
      <c r="D12" s="212" t="s">
        <v>14</v>
      </c>
      <c r="E12" s="216" t="s">
        <v>1486</v>
      </c>
      <c r="F12" s="132" t="s">
        <v>1662</v>
      </c>
      <c r="G12" s="132" t="str" cm="1">
        <f t="array" ref="G12" xml:space="preserve"> INDEX(廣韻聲母對照資料表[廣韻], MATCH(TRUE, EXACT($D12, 廣韻聲母對照資料表[台語音標]),0))</f>
        <v>見</v>
      </c>
      <c r="H12" s="209" t="str" cm="1">
        <f t="array" ref="H12" xml:space="preserve"> INDEX(聲母對照資料表[十五音], MATCH(TRUE, EXACT($D12, 聲母碼),0))</f>
        <v>求</v>
      </c>
      <c r="I12" s="74" t="str" cm="1">
        <f t="array" ref="I12" xml:space="preserve"> INDEX(聲母對照資料表[白話字], MATCH(TRUE, EXACT($D12, 聲母碼),0))</f>
        <v>k</v>
      </c>
      <c r="J12" s="74" t="str" cm="1">
        <f t="array" ref="J12" xml:space="preserve"> INDEX(聲母對照資料表[台羅拼音], MATCH(TRUE, EXACT($D12, 聲母碼),0))</f>
        <v>k</v>
      </c>
      <c r="K12" s="74" t="str" cm="1">
        <f t="array" ref="K12" xml:space="preserve"> INDEX(聲母對照資料表[閩拼方案], MATCH(TRUE, EXACT($D12, 聲母碼),0))</f>
        <v>g</v>
      </c>
      <c r="L12" s="95" t="str" cm="1">
        <f t="array" ref="L12" xml:space="preserve"> INDEX(聲母對照資料表[注音二式], MATCH(TRUE, EXACT($D12, 聲母碼),0))</f>
        <v>g</v>
      </c>
      <c r="M12" s="94" t="s">
        <v>16</v>
      </c>
      <c r="N12" s="75" t="s">
        <v>1492</v>
      </c>
      <c r="P12" s="234">
        <v>10</v>
      </c>
      <c r="Q12" s="95" t="s">
        <v>1222</v>
      </c>
      <c r="R12" s="94" t="s">
        <v>1222</v>
      </c>
      <c r="S12" s="96" t="s">
        <v>392</v>
      </c>
      <c r="T12" s="96" t="s">
        <v>419</v>
      </c>
      <c r="V12" s="79">
        <f t="shared" si="1"/>
        <v>10</v>
      </c>
      <c r="W12" s="96" t="s">
        <v>1581</v>
      </c>
      <c r="X12" s="97" t="s">
        <v>1582</v>
      </c>
      <c r="Y12" s="106" t="s">
        <v>1578</v>
      </c>
      <c r="Z12" s="99" t="s">
        <v>1583</v>
      </c>
    </row>
    <row r="13" spans="2:84" ht="57.75">
      <c r="B13" s="79" cm="1">
        <f t="array" ref="B13" xml:space="preserve"> ROW() - ROW($2:$2)</f>
        <v>11</v>
      </c>
      <c r="C13" s="212" t="s">
        <v>1489</v>
      </c>
      <c r="D13" s="212" t="s">
        <v>1580</v>
      </c>
      <c r="E13" s="216" t="s">
        <v>2257</v>
      </c>
      <c r="F13" s="132" t="s">
        <v>1663</v>
      </c>
      <c r="G13" s="132" t="str" cm="1">
        <f t="array" ref="G13" xml:space="preserve"> INDEX(廣韻聲母對照資料表[廣韻], MATCH(TRUE, EXACT($D13, 廣韻聲母對照資料表[台語音標]),0))</f>
        <v>溪</v>
      </c>
      <c r="H13" s="209" t="str" cm="1">
        <f t="array" ref="H13" xml:space="preserve"> INDEX(聲母對照資料表[十五音], MATCH(TRUE, EXACT($D13, 聲母碼),0))</f>
        <v>去</v>
      </c>
      <c r="I13" s="74" t="str" cm="1">
        <f t="array" ref="I13" xml:space="preserve"> INDEX(聲母對照資料表[白話字], MATCH(TRUE, EXACT($D13, 聲母碼),0))</f>
        <v>kh</v>
      </c>
      <c r="J13" s="74" t="str" cm="1">
        <f t="array" ref="J13" xml:space="preserve"> INDEX(聲母對照資料表[台羅拼音], MATCH(TRUE, EXACT($D13, 聲母碼),0))</f>
        <v>kh</v>
      </c>
      <c r="K13" s="74" t="str" cm="1">
        <f t="array" ref="K13" xml:space="preserve"> INDEX(聲母對照資料表[閩拼方案], MATCH(TRUE, EXACT($D13, 聲母碼),0))</f>
        <v>k</v>
      </c>
      <c r="L13" s="95" t="str" cm="1">
        <f t="array" ref="L13" xml:space="preserve"> INDEX(聲母對照資料表[注音二式], MATCH(TRUE, EXACT($D13, 聲母碼),0))</f>
        <v>k</v>
      </c>
      <c r="M13" s="94" t="s">
        <v>14</v>
      </c>
      <c r="N13" s="75" t="s">
        <v>1579</v>
      </c>
      <c r="P13" s="234">
        <v>11</v>
      </c>
      <c r="Q13" s="95" t="s">
        <v>1277</v>
      </c>
      <c r="R13" s="94" t="s">
        <v>1277</v>
      </c>
      <c r="S13" s="96" t="s">
        <v>543</v>
      </c>
      <c r="T13" s="96" t="s">
        <v>568</v>
      </c>
      <c r="W13" s="70"/>
      <c r="X13" s="70"/>
      <c r="Y13" s="70"/>
      <c r="Z13" s="70"/>
    </row>
    <row r="14" spans="2:84" ht="57.75">
      <c r="B14" s="79" cm="1">
        <f t="array" ref="B14" xml:space="preserve"> ROW() - ROW($2:$2)</f>
        <v>12</v>
      </c>
      <c r="C14" s="212" t="s">
        <v>1744</v>
      </c>
      <c r="D14" s="212" t="s">
        <v>1495</v>
      </c>
      <c r="E14" s="216" t="s">
        <v>1496</v>
      </c>
      <c r="F14" s="132" t="s">
        <v>1665</v>
      </c>
      <c r="G14" s="132" t="e" cm="1">
        <f t="array" ref="G14" xml:space="preserve"> INDEX(廣韻聲母對照資料表[廣韻], MATCH(TRUE, EXACT($D14, 廣韻聲母對照資料表[台語音標]),0))</f>
        <v>#N/A</v>
      </c>
      <c r="H14" s="209" t="str" cm="1">
        <f t="array" ref="H14" xml:space="preserve"> INDEX(聲母對照資料表[十五音], MATCH(TRUE, EXACT($D14, 聲母碼),0))</f>
        <v>雅</v>
      </c>
      <c r="I14" s="74" t="str" cm="1">
        <f t="array" ref="I14" xml:space="preserve"> INDEX(聲母對照資料表[白話字], MATCH(TRUE, EXACT($D14, 聲母碼),0))</f>
        <v>ng</v>
      </c>
      <c r="J14" s="74" t="str" cm="1">
        <f t="array" ref="J14" xml:space="preserve"> INDEX(聲母對照資料表[台羅拼音], MATCH(TRUE, EXACT($D14, 聲母碼),0))</f>
        <v>ng</v>
      </c>
      <c r="K14" s="74" t="str" cm="1">
        <f t="array" ref="K14" xml:space="preserve"> INDEX(聲母對照資料表[閩拼方案], MATCH(TRUE, EXACT($D14, 聲母碼),0))</f>
        <v>ggn</v>
      </c>
      <c r="L14" s="95" t="str" cm="1">
        <f t="array" ref="L14" xml:space="preserve"> INDEX(聲母對照資料表[注音二式], MATCH(TRUE, EXACT($D14, 聲母碼),0))</f>
        <v>ng</v>
      </c>
      <c r="M14" s="105" t="s">
        <v>1477</v>
      </c>
      <c r="N14" s="75" t="s">
        <v>1073</v>
      </c>
      <c r="P14" s="234">
        <v>12</v>
      </c>
      <c r="Q14" s="95" t="s">
        <v>1163</v>
      </c>
      <c r="R14" s="105" t="s">
        <v>1585</v>
      </c>
      <c r="S14" s="96" t="s">
        <v>517</v>
      </c>
      <c r="T14" s="96" t="s">
        <v>538</v>
      </c>
      <c r="W14" s="70"/>
      <c r="X14" s="70"/>
      <c r="Y14" s="70"/>
      <c r="Z14" s="70"/>
    </row>
    <row r="15" spans="2:84" ht="57.75">
      <c r="B15" s="111" cm="1">
        <f t="array" ref="B15" xml:space="preserve"> ROW() - ROW($2:$2)</f>
        <v>13</v>
      </c>
      <c r="C15" s="213" t="s">
        <v>1742</v>
      </c>
      <c r="D15" s="213" t="s">
        <v>1028</v>
      </c>
      <c r="E15" s="217" t="s">
        <v>1497</v>
      </c>
      <c r="F15" s="133" t="s">
        <v>1666</v>
      </c>
      <c r="G15" s="133" t="str" cm="1">
        <f t="array" ref="G15" xml:space="preserve"> INDEX(廣韻聲母對照資料表[廣韻], MATCH(TRUE, EXACT($D15, 廣韻聲母對照資料表[台語音標]),0))</f>
        <v>精</v>
      </c>
      <c r="H15" s="210" t="str" cm="1">
        <f t="array" ref="H15" xml:space="preserve"> INDEX(聲母對照資料表[十五音], MATCH(TRUE, EXACT($D15, 聲母碼),0))</f>
        <v>曾</v>
      </c>
      <c r="I15" s="72" t="str" cm="1">
        <f t="array" ref="I15" xml:space="preserve"> INDEX(聲母對照資料表[白話字], MATCH(TRUE, EXACT($D15, 聲母碼),0))</f>
        <v>ch</v>
      </c>
      <c r="J15" s="72" t="str" cm="1">
        <f t="array" ref="J15" xml:space="preserve"> INDEX(聲母對照資料表[台羅拼音], MATCH(TRUE, EXACT($D15, 聲母碼),0))</f>
        <v>ts</v>
      </c>
      <c r="K15" s="72" t="str" cm="1">
        <f t="array" ref="K15" xml:space="preserve"> INDEX(聲母對照資料表[閩拼方案], MATCH(TRUE, EXACT($D15, 聲母碼),0))</f>
        <v>z</v>
      </c>
      <c r="L15" s="113" t="str" cm="1">
        <f t="array" ref="L15" xml:space="preserve"> INDEX(聲母對照資料表[注音二式], MATCH(TRUE, EXACT($D15, 聲母碼),0))</f>
        <v>z</v>
      </c>
      <c r="M15" s="112" t="s">
        <v>1027</v>
      </c>
      <c r="N15" s="73" t="s">
        <v>1586</v>
      </c>
      <c r="P15" s="234">
        <v>13</v>
      </c>
      <c r="Q15" s="95" t="s">
        <v>921</v>
      </c>
      <c r="R15" s="94" t="s">
        <v>921</v>
      </c>
      <c r="S15" s="96" t="s">
        <v>922</v>
      </c>
      <c r="T15" s="96" t="s">
        <v>946</v>
      </c>
      <c r="W15" s="70"/>
      <c r="X15" s="70"/>
      <c r="Y15" s="70"/>
      <c r="Z15" s="70"/>
    </row>
    <row r="16" spans="2:84" ht="57.75">
      <c r="B16" s="114" cm="1">
        <f t="array" ref="B16" xml:space="preserve"> ROW() - ROW($2:$2)</f>
        <v>14</v>
      </c>
      <c r="C16" s="212" t="s">
        <v>2239</v>
      </c>
      <c r="D16" s="212" t="s">
        <v>1587</v>
      </c>
      <c r="E16" s="216" t="s">
        <v>2259</v>
      </c>
      <c r="F16" s="132" t="s">
        <v>1667</v>
      </c>
      <c r="G16" s="132" t="str" cm="1">
        <f t="array" ref="G16" xml:space="preserve"> INDEX(廣韻聲母對照資料表[廣韻], MATCH(TRUE, EXACT($D16, 廣韻聲母對照資料表[台語音標]),0))</f>
        <v>清</v>
      </c>
      <c r="H16" s="209" t="str" cm="1">
        <f t="array" ref="H16" xml:space="preserve"> INDEX(聲母對照資料表[十五音], MATCH(TRUE, EXACT($D16, 聲母碼),0))</f>
        <v>出</v>
      </c>
      <c r="I16" s="74" t="str" cm="1">
        <f t="array" ref="I16" xml:space="preserve"> INDEX(聲母對照資料表[白話字], MATCH(TRUE, EXACT($D16, 聲母碼),0))</f>
        <v>chh</v>
      </c>
      <c r="J16" s="74" t="str" cm="1">
        <f t="array" ref="J16" xml:space="preserve"> INDEX(聲母對照資料表[台羅拼音], MATCH(TRUE, EXACT($D16, 聲母碼),0))</f>
        <v>tsh</v>
      </c>
      <c r="K16" s="74" t="str" cm="1">
        <f t="array" ref="K16" xml:space="preserve"> INDEX(聲母對照資料表[閩拼方案], MATCH(TRUE, EXACT($D16, 聲母碼),0))</f>
        <v>c</v>
      </c>
      <c r="L16" s="95" t="str" cm="1">
        <f t="array" ref="L16" xml:space="preserve"> INDEX(聲母對照資料表[注音二式], MATCH(TRUE, EXACT($D16, 聲母碼),0))</f>
        <v>c</v>
      </c>
      <c r="M16" s="94" t="s">
        <v>1073</v>
      </c>
      <c r="N16" s="75" t="s">
        <v>1493</v>
      </c>
      <c r="P16" s="234">
        <v>14</v>
      </c>
      <c r="Q16" s="95" t="s">
        <v>790</v>
      </c>
      <c r="R16" s="94" t="s">
        <v>790</v>
      </c>
      <c r="S16" s="96" t="s">
        <v>791</v>
      </c>
      <c r="T16" s="96" t="s">
        <v>821</v>
      </c>
      <c r="W16" s="70"/>
      <c r="X16" s="70"/>
      <c r="Y16" s="70"/>
      <c r="Z16" s="70"/>
    </row>
    <row r="17" spans="2:26" ht="57.75">
      <c r="B17" s="114" cm="1">
        <f t="array" ref="B17" xml:space="preserve"> ROW() - ROW($2:$2)</f>
        <v>15</v>
      </c>
      <c r="C17" s="212" t="s">
        <v>2240</v>
      </c>
      <c r="D17" s="212" t="s">
        <v>1509</v>
      </c>
      <c r="E17" s="216" t="s">
        <v>1502</v>
      </c>
      <c r="F17" s="135" t="s">
        <v>1669</v>
      </c>
      <c r="G17" s="137" t="str" cm="1">
        <f t="array" ref="G17" xml:space="preserve"> INDEX(廣韻聲母對照資料表[廣韻], MATCH(TRUE, EXACT($D17, 廣韻聲母對照資料表[台語音標]),0))</f>
        <v>日</v>
      </c>
      <c r="H17" s="209" t="str" cm="1">
        <f t="array" ref="H17" xml:space="preserve"> INDEX(聲母對照資料表[十五音], MATCH(TRUE, EXACT($D17, 聲母碼),0))</f>
        <v>入</v>
      </c>
      <c r="I17" s="74" t="str" cm="1">
        <f t="array" ref="I17" xml:space="preserve"> INDEX(聲母對照資料表[白話字], MATCH(TRUE, EXACT($D17, 聲母碼),0))</f>
        <v>j</v>
      </c>
      <c r="J17" s="74" t="str" cm="1">
        <f t="array" ref="J17" xml:space="preserve"> INDEX(聲母對照資料表[台羅拼音], MATCH(TRUE, EXACT($D17, 聲母碼),0))</f>
        <v>j</v>
      </c>
      <c r="K17" s="74" t="str" cm="1">
        <f t="array" ref="K17" xml:space="preserve"> INDEX(聲母對照資料表[閩拼方案], MATCH(TRUE, EXACT($D17, 聲母碼),0))</f>
        <v>zz</v>
      </c>
      <c r="L17" s="95" t="str" cm="1">
        <f t="array" ref="L17" xml:space="preserve"> INDEX(聲母對照資料表[注音二式], MATCH(TRUE, EXACT($D17, 聲母碼),0))</f>
        <v>zz</v>
      </c>
      <c r="M17" s="94" t="s">
        <v>2316</v>
      </c>
      <c r="N17" s="75" t="s">
        <v>1437</v>
      </c>
      <c r="P17" s="234">
        <v>15</v>
      </c>
      <c r="Q17" s="95" t="s">
        <v>889</v>
      </c>
      <c r="R17" s="94" t="s">
        <v>889</v>
      </c>
      <c r="S17" s="96" t="s">
        <v>1589</v>
      </c>
      <c r="T17" s="96" t="s">
        <v>1590</v>
      </c>
      <c r="W17" s="70"/>
      <c r="X17" s="70"/>
      <c r="Y17" s="70"/>
      <c r="Z17" s="70"/>
    </row>
    <row r="18" spans="2:26" ht="57.75">
      <c r="B18" s="115" cm="1">
        <f t="array" ref="B18" xml:space="preserve"> ROW() - ROW($2:$2)</f>
        <v>16</v>
      </c>
      <c r="C18" s="214" t="s">
        <v>1504</v>
      </c>
      <c r="D18" s="214" t="s">
        <v>1504</v>
      </c>
      <c r="E18" s="218" t="s">
        <v>2260</v>
      </c>
      <c r="F18" s="136" t="s">
        <v>1670</v>
      </c>
      <c r="G18" s="136" t="str" cm="1">
        <f t="array" ref="G18" xml:space="preserve"> INDEX(廣韻聲母對照資料表[廣韻], MATCH(TRUE, EXACT($D18, 廣韻聲母對照資料表[台語音標]),0))</f>
        <v>心</v>
      </c>
      <c r="H18" s="211" t="str" cm="1">
        <f t="array" ref="H18" xml:space="preserve"> INDEX(聲母對照資料表[十五音], MATCH(TRUE, EXACT($D18, 聲母碼),0))</f>
        <v>時</v>
      </c>
      <c r="I18" s="76" t="str" cm="1">
        <f t="array" ref="I18" xml:space="preserve"> INDEX(聲母對照資料表[白話字], MATCH(TRUE, EXACT($D18, 聲母碼),0))</f>
        <v>s</v>
      </c>
      <c r="J18" s="76" t="str" cm="1">
        <f t="array" ref="J18" xml:space="preserve"> INDEX(聲母對照資料表[台羅拼音], MATCH(TRUE, EXACT($D18, 聲母碼),0))</f>
        <v>s</v>
      </c>
      <c r="K18" s="76" t="str" cm="1">
        <f t="array" ref="K18" xml:space="preserve"> INDEX(聲母對照資料表[閩拼方案], MATCH(TRUE, EXACT($D18, 聲母碼),0))</f>
        <v>s</v>
      </c>
      <c r="L18" s="117" t="str" cm="1">
        <f t="array" ref="L18" xml:space="preserve"> INDEX(聲母對照資料表[注音二式], MATCH(TRUE, EXACT($D18, 聲母碼),0))</f>
        <v>s</v>
      </c>
      <c r="M18" s="116" t="s">
        <v>1047</v>
      </c>
      <c r="N18" s="77" t="s">
        <v>1481</v>
      </c>
      <c r="P18" s="234">
        <v>16</v>
      </c>
      <c r="Q18" s="95" t="s">
        <v>868</v>
      </c>
      <c r="R18" s="94" t="s">
        <v>1591</v>
      </c>
      <c r="S18" s="96" t="s">
        <v>869</v>
      </c>
      <c r="T18" s="96" t="s">
        <v>881</v>
      </c>
      <c r="W18" s="70"/>
      <c r="X18" s="70"/>
      <c r="Y18" s="70"/>
      <c r="Z18" s="70"/>
    </row>
    <row r="19" spans="2:26" ht="57.75">
      <c r="B19" s="79" cm="1">
        <f t="array" ref="B19" xml:space="preserve"> ROW() - ROW($2:$2)</f>
        <v>17</v>
      </c>
      <c r="C19" s="212" t="s">
        <v>2243</v>
      </c>
      <c r="D19" s="212" t="s">
        <v>1507</v>
      </c>
      <c r="E19" s="216" t="s">
        <v>2263</v>
      </c>
      <c r="F19" s="137" t="s">
        <v>1681</v>
      </c>
      <c r="G19" s="137" t="str" cm="1">
        <f t="array" ref="G19" xml:space="preserve"> INDEX(廣韻聲母對照資料表[廣韻], MATCH(TRUE, EXACT($D19, 廣韻聲母對照資料表[台語音標]),0))</f>
        <v>日</v>
      </c>
      <c r="H19" s="209" t="str" cm="1">
        <f t="array" ref="H19" xml:space="preserve"> INDEX(聲母對照資料表[十五音], MATCH(TRUE, EXACT($D19, 聲母碼),0))</f>
        <v>入</v>
      </c>
      <c r="I19" s="74" t="str" cm="1">
        <f t="array" ref="I19" xml:space="preserve"> INDEX(聲母對照資料表[白話字], MATCH(TRUE, EXACT($D19, 聲母碼),0))</f>
        <v>ji</v>
      </c>
      <c r="J19" s="74" t="str" cm="1">
        <f t="array" ref="J19" xml:space="preserve"> INDEX(聲母對照資料表[台羅拼音], MATCH(TRUE, EXACT($D19, 聲母碼),0))</f>
        <v>ji</v>
      </c>
      <c r="K19" s="74" t="str" cm="1">
        <f t="array" ref="K19" xml:space="preserve"> INDEX(聲母對照資料表[閩拼方案], MATCH(TRUE, EXACT($D19, 聲母碼),0))</f>
        <v>zzi</v>
      </c>
      <c r="L19" s="95" t="str" cm="1">
        <f t="array" ref="L19" xml:space="preserve"> INDEX(聲母對照資料表[注音二式], MATCH(TRUE, EXACT($D19, 聲母碼),0))</f>
        <v>jji</v>
      </c>
      <c r="M19" s="94" t="s">
        <v>1527</v>
      </c>
      <c r="N19" s="75" t="s">
        <v>1454</v>
      </c>
      <c r="Q19" s="70"/>
      <c r="R19" s="70"/>
      <c r="S19" s="70"/>
      <c r="T19" s="70"/>
      <c r="W19" s="70"/>
      <c r="X19" s="70"/>
      <c r="Y19" s="70"/>
      <c r="Z19" s="70"/>
    </row>
    <row r="20" spans="2:26" ht="57.75">
      <c r="B20" s="79" cm="1">
        <f t="array" ref="B20" xml:space="preserve"> ROW() - ROW($2:$2)</f>
        <v>18</v>
      </c>
      <c r="C20" s="212" t="s">
        <v>2241</v>
      </c>
      <c r="D20" s="212" t="s">
        <v>1506</v>
      </c>
      <c r="E20" s="216" t="s">
        <v>2261</v>
      </c>
      <c r="F20" s="132" t="s">
        <v>1678</v>
      </c>
      <c r="G20" s="132" t="str" cm="1">
        <f t="array" ref="G20" xml:space="preserve"> INDEX(廣韻聲母對照資料表[廣韻], MATCH(TRUE, EXACT($D20, 廣韻聲母對照資料表[台語音標]),0))</f>
        <v>清</v>
      </c>
      <c r="H20" s="209" t="str" cm="1">
        <f t="array" ref="H20" xml:space="preserve"> INDEX(聲母對照資料表[十五音], MATCH(TRUE, EXACT($D20, 聲母碼),0))</f>
        <v>曾</v>
      </c>
      <c r="I20" s="74" t="str" cm="1">
        <f t="array" ref="I20" xml:space="preserve"> INDEX(聲母對照資料表[白話字], MATCH(TRUE, EXACT($D20, 聲母碼),0))</f>
        <v>chi</v>
      </c>
      <c r="J20" s="74" t="str" cm="1">
        <f t="array" ref="J20" xml:space="preserve"> INDEX(聲母對照資料表[台羅拼音], MATCH(TRUE, EXACT($D20, 聲母碼),0))</f>
        <v>tsi</v>
      </c>
      <c r="K20" s="74" t="str" cm="1">
        <f t="array" ref="K20" xml:space="preserve"> INDEX(聲母對照資料表[閩拼方案], MATCH(TRUE, EXACT($D20, 聲母碼),0))</f>
        <v>zi</v>
      </c>
      <c r="L20" s="95" t="str" cm="1">
        <f t="array" ref="L20" xml:space="preserve"> INDEX(聲母對照資料表[注音二式], MATCH(TRUE, EXACT($D20, 聲母碼),0))</f>
        <v>ji</v>
      </c>
      <c r="M20" s="94" t="s">
        <v>1038</v>
      </c>
      <c r="N20" s="75" t="s">
        <v>1503</v>
      </c>
      <c r="Q20" s="70"/>
      <c r="R20" s="70"/>
      <c r="S20" s="70"/>
      <c r="T20" s="70"/>
      <c r="W20" s="70"/>
      <c r="X20" s="70"/>
      <c r="Y20" s="70"/>
      <c r="Z20" s="70"/>
    </row>
    <row r="21" spans="2:26" ht="57.75">
      <c r="B21" s="79" cm="1">
        <f t="array" ref="B21" xml:space="preserve"> ROW() - ROW($2:$2)</f>
        <v>19</v>
      </c>
      <c r="C21" s="212" t="s">
        <v>2242</v>
      </c>
      <c r="D21" s="212" t="s">
        <v>1511</v>
      </c>
      <c r="E21" s="216" t="s">
        <v>2262</v>
      </c>
      <c r="F21" s="132" t="s">
        <v>1679</v>
      </c>
      <c r="G21" s="132" t="str" cm="1">
        <f t="array" ref="G21" xml:space="preserve"> INDEX(廣韻聲母對照資料表[廣韻], MATCH(TRUE, EXACT($D21, 廣韻聲母對照資料表[台語音標]),0))</f>
        <v>昌</v>
      </c>
      <c r="H21" s="209" t="str" cm="1">
        <f t="array" ref="H21" xml:space="preserve"> INDEX(聲母對照資料表[十五音], MATCH(TRUE, EXACT($D21, 聲母碼),0))</f>
        <v>出</v>
      </c>
      <c r="I21" s="74" t="str" cm="1">
        <f t="array" ref="I21" xml:space="preserve"> INDEX(聲母對照資料表[白話字], MATCH(TRUE, EXACT($D21, 聲母碼),0))</f>
        <v>chhi</v>
      </c>
      <c r="J21" s="74" t="str" cm="1">
        <f t="array" ref="J21" xml:space="preserve"> INDEX(聲母對照資料表[台羅拼音], MATCH(TRUE, EXACT($D21, 聲母碼),0))</f>
        <v>tshi</v>
      </c>
      <c r="K21" s="74" t="str" cm="1">
        <f t="array" ref="K21" xml:space="preserve"> INDEX(聲母對照資料表[閩拼方案], MATCH(TRUE, EXACT($D21, 聲母碼),0))</f>
        <v>ci</v>
      </c>
      <c r="L21" s="95" t="str" cm="1">
        <f t="array" ref="L21" xml:space="preserve"> INDEX(聲母對照資料表[注音二式], MATCH(TRUE, EXACT($D21, 聲母碼),0))</f>
        <v>chi</v>
      </c>
      <c r="M21" s="94" t="s">
        <v>2317</v>
      </c>
      <c r="N21" s="75" t="s">
        <v>1543</v>
      </c>
      <c r="P21" s="81" t="s">
        <v>1549</v>
      </c>
      <c r="W21" s="70"/>
      <c r="X21" s="70"/>
      <c r="Y21" s="70"/>
      <c r="Z21" s="70"/>
    </row>
    <row r="22" spans="2:26" ht="58.5" thickBot="1">
      <c r="B22" s="122" cm="1">
        <f t="array" ref="B22" xml:space="preserve"> ROW() - ROW($2:$2)</f>
        <v>20</v>
      </c>
      <c r="C22" s="214" t="s">
        <v>1548</v>
      </c>
      <c r="D22" s="214" t="s">
        <v>1516</v>
      </c>
      <c r="E22" s="218" t="s">
        <v>2264</v>
      </c>
      <c r="F22" s="136" t="s">
        <v>1683</v>
      </c>
      <c r="G22" s="136" t="str" cm="1">
        <f t="array" ref="G22" xml:space="preserve"> INDEX(廣韻聲母對照資料表[廣韻], MATCH(TRUE, EXACT($D22, 廣韻聲母對照資料表[台語音標]),0))</f>
        <v>心</v>
      </c>
      <c r="H22" s="211" t="str" cm="1">
        <f t="array" ref="H22" xml:space="preserve"> INDEX(聲母對照資料表[十五音], MATCH(TRUE, EXACT($D22, 聲母碼),0))</f>
        <v>時</v>
      </c>
      <c r="I22" s="76" t="str" cm="1">
        <f t="array" ref="I22" xml:space="preserve"> INDEX(聲母對照資料表[白話字], MATCH(TRUE, EXACT($D22, 聲母碼),0))</f>
        <v>si</v>
      </c>
      <c r="J22" s="76" t="str" cm="1">
        <f t="array" ref="J22" xml:space="preserve"> INDEX(聲母對照資料表[台羅拼音], MATCH(TRUE, EXACT($D22, 聲母碼),0))</f>
        <v>si</v>
      </c>
      <c r="K22" s="76" t="str" cm="1">
        <f t="array" ref="K22" xml:space="preserve"> INDEX(聲母對照資料表[閩拼方案], MATCH(TRUE, EXACT($D22, 聲母碼),0))</f>
        <v>si</v>
      </c>
      <c r="L22" s="117" t="str" cm="1">
        <f t="array" ref="L22" xml:space="preserve"> INDEX(聲母對照資料表[注音二式], MATCH(TRUE, EXACT($D22, 聲母碼),0))</f>
        <v>shi</v>
      </c>
      <c r="M22" s="116" t="s">
        <v>2318</v>
      </c>
      <c r="N22" s="77" t="s">
        <v>1540</v>
      </c>
      <c r="P22" s="87" t="s">
        <v>1019</v>
      </c>
      <c r="Q22" s="90" t="s">
        <v>1553</v>
      </c>
      <c r="R22" s="89" t="s">
        <v>1552</v>
      </c>
      <c r="S22" s="88" t="s">
        <v>1554</v>
      </c>
      <c r="T22" s="88" t="s">
        <v>1555</v>
      </c>
      <c r="W22" s="70"/>
      <c r="X22" s="70"/>
      <c r="Y22" s="70"/>
      <c r="Z22" s="70"/>
    </row>
    <row r="23" spans="2:26" ht="58.5" thickTop="1">
      <c r="B23" s="114" cm="1">
        <f t="array" ref="B23" xml:space="preserve"> ROW() - ROW($2:$2)</f>
        <v>21</v>
      </c>
      <c r="C23" s="212" t="s">
        <v>1493</v>
      </c>
      <c r="D23" s="212" t="s">
        <v>1493</v>
      </c>
      <c r="E23" s="216" t="s">
        <v>2265</v>
      </c>
      <c r="F23" s="132" t="s">
        <v>1685</v>
      </c>
      <c r="G23" s="132" t="str" cm="1">
        <f t="array" ref="G23" xml:space="preserve"> INDEX(廣韻聲母對照資料表[廣韻], MATCH(TRUE, EXACT($D23, 廣韻聲母對照資料表[台語音標]),0))</f>
        <v>非</v>
      </c>
      <c r="H23" s="209" t="str" cm="1">
        <f t="array" ref="H23" xml:space="preserve"> INDEX(聲母對照資料表[十五音], MATCH(TRUE, EXACT($D23, 聲母碼),0))</f>
        <v>喜</v>
      </c>
      <c r="I23" s="74" t="str" cm="1">
        <f t="array" ref="I23" xml:space="preserve"> INDEX(聲母對照資料表[白話字], MATCH(TRUE, EXACT($D23, 聲母碼),0))</f>
        <v>h</v>
      </c>
      <c r="J23" s="74" t="str" cm="1">
        <f t="array" ref="J23" xml:space="preserve"> INDEX(聲母對照資料表[台羅拼音], MATCH(TRUE, EXACT($D23, 聲母碼),0))</f>
        <v>h</v>
      </c>
      <c r="K23" s="74" t="str" cm="1">
        <f t="array" ref="K23" xml:space="preserve"> INDEX(聲母對照資料表[閩拼方案], MATCH(TRUE, EXACT($D23, 聲母碼),0))</f>
        <v>h</v>
      </c>
      <c r="L23" s="95" t="str" cm="1">
        <f t="array" ref="L23" xml:space="preserve"> INDEX(聲母對照資料表[注音二式], MATCH(TRUE, EXACT($D23, 聲母碼),0))</f>
        <v>h</v>
      </c>
      <c r="M23" s="94" t="s">
        <v>1</v>
      </c>
      <c r="N23" s="75" t="s">
        <v>1592</v>
      </c>
      <c r="P23" s="234">
        <v>1</v>
      </c>
      <c r="Q23" s="99" t="s">
        <v>1594</v>
      </c>
      <c r="R23" s="98" t="s">
        <v>1593</v>
      </c>
      <c r="S23" s="96" t="s">
        <v>280</v>
      </c>
      <c r="T23" s="96"/>
      <c r="W23" s="70"/>
      <c r="X23" s="70"/>
      <c r="Y23" s="70"/>
      <c r="Z23" s="70"/>
    </row>
    <row r="24" spans="2:26" ht="57.75">
      <c r="B24" s="115" cm="1">
        <f t="array" ref="B24" xml:space="preserve"> ROW() - ROW($2:$2)</f>
        <v>22</v>
      </c>
      <c r="C24" s="214" t="s">
        <v>1687</v>
      </c>
      <c r="D24" s="214" t="s">
        <v>2189</v>
      </c>
      <c r="E24" s="218"/>
      <c r="F24" s="136" t="s">
        <v>1689</v>
      </c>
      <c r="G24" s="136" t="str" cm="1">
        <f t="array" ref="G24" xml:space="preserve"> INDEX(廣韻聲母對照資料表[廣韻], MATCH(TRUE, EXACT($D24, 廣韻聲母對照資料表[台語音標]),0))</f>
        <v>影</v>
      </c>
      <c r="H24" s="211" t="str" cm="1">
        <f t="array" ref="H24" xml:space="preserve"> INDEX(聲母對照資料表[十五音], MATCH(TRUE, EXACT($D24, 聲母碼),0))</f>
        <v>英</v>
      </c>
      <c r="I24" s="76" t="str" cm="1">
        <f t="array" ref="I24" xml:space="preserve"> INDEX(聲母對照資料表[白話字], MATCH(TRUE, EXACT($D24, 聲母碼),0))</f>
        <v>Ø</v>
      </c>
      <c r="J24" s="76" t="str" cm="1">
        <f t="array" ref="J24" xml:space="preserve"> INDEX(聲母對照資料表[台羅拼音], MATCH(TRUE, EXACT($D24, 聲母碼),0))</f>
        <v>Ø</v>
      </c>
      <c r="K24" s="76" t="str" cm="1">
        <f t="array" ref="K24" xml:space="preserve"> INDEX(聲母對照資料表[閩拼方案], MATCH(TRUE, EXACT($D24, 聲母碼),0))</f>
        <v>Ø</v>
      </c>
      <c r="L24" s="117" t="str" cm="1">
        <f t="array" ref="L24" xml:space="preserve"> INDEX(聲母對照資料表[注音二式], MATCH(TRUE, EXACT($D24, 聲母碼),0))</f>
        <v>Ø</v>
      </c>
      <c r="M24" s="116" t="s">
        <v>1396</v>
      </c>
      <c r="N24" s="77"/>
      <c r="P24" s="234">
        <v>2</v>
      </c>
      <c r="Q24" s="99" t="s">
        <v>2304</v>
      </c>
      <c r="R24" s="98" t="s">
        <v>1595</v>
      </c>
      <c r="S24" s="96" t="s">
        <v>1526</v>
      </c>
      <c r="T24" s="96"/>
      <c r="W24" s="70"/>
      <c r="X24" s="70"/>
      <c r="Y24" s="70"/>
      <c r="Z24" s="70"/>
    </row>
    <row r="25" spans="2:26" ht="57.75">
      <c r="B25" s="79" cm="1">
        <f t="array" ref="B25" xml:space="preserve"> ROW() - ROW($2:$2)</f>
        <v>23</v>
      </c>
      <c r="C25" s="212" t="s">
        <v>1528</v>
      </c>
      <c r="D25" s="212" t="s">
        <v>1528</v>
      </c>
      <c r="E25" s="216" t="s">
        <v>1557</v>
      </c>
      <c r="F25" s="132" t="str" cm="1">
        <f t="array" ref="F25" xml:space="preserve"> INDEX(韻母對照資料表[漢字例], MATCH(TRUE, EXACT($D25, 韻母對照資料表[台語音標]),0))</f>
        <v>些</v>
      </c>
      <c r="G25" s="132"/>
      <c r="H25" s="209" t="str" cm="1">
        <f t="array" ref="H25" xml:space="preserve"> INDEX(韻母對照資料表[十五音], MATCH(TRUE, EXACT($D25, 韻母對照資料表[台語音標]),0))</f>
        <v>膠</v>
      </c>
      <c r="I25" s="74" t="str" cm="1">
        <f t="array" ref="I25" xml:space="preserve"> INDEX(韻母對照資料表[白話字], MATCH(TRUE, EXACT($D25, 韻母對照資料表[台語音標]),0))</f>
        <v>a</v>
      </c>
      <c r="J25" s="74" t="str" cm="1">
        <f t="array" ref="J25" xml:space="preserve"> INDEX(韻母對照資料表[台羅拼音], MATCH(TRUE, EXACT($D25, 韻母對照資料表[台語音標]),0))</f>
        <v>a</v>
      </c>
      <c r="K25" s="74" t="str" cm="1">
        <f t="array" ref="K25" xml:space="preserve"> INDEX(韻母對照資料表[閩拼方案], MATCH(TRUE, EXACT($D25, 韻母對照資料表[台語音標]),0))</f>
        <v>a</v>
      </c>
      <c r="L25" s="95" t="str" cm="1">
        <f t="array" ref="L25" xml:space="preserve"> INDEX(韻母對照資料表[注音二式], MATCH(TRUE, EXACT($D25, 韻母對照資料表[台語音標]),0))</f>
        <v>a</v>
      </c>
      <c r="M25" s="94" t="s">
        <v>18</v>
      </c>
      <c r="N25" s="75" t="s">
        <v>1478</v>
      </c>
      <c r="P25" s="234">
        <v>3</v>
      </c>
      <c r="Q25" s="99" t="s">
        <v>1235</v>
      </c>
      <c r="R25" s="106" t="s">
        <v>1563</v>
      </c>
      <c r="S25" s="96" t="s">
        <v>37</v>
      </c>
      <c r="T25" s="96" t="str">
        <f xml:space="preserve"> LEFT(S25, IF(LEN(S25)=1, 1, LEN(S25)-1)) &amp; "ㆷ"</f>
        <v>ㆩㆷ</v>
      </c>
      <c r="W25" s="70"/>
      <c r="X25" s="70"/>
      <c r="Y25" s="70"/>
      <c r="Z25" s="70"/>
    </row>
    <row r="26" spans="2:26" ht="57.75">
      <c r="B26" s="79" cm="1">
        <f t="array" ref="B26" xml:space="preserve"> ROW() - ROW($2:$2)</f>
        <v>24</v>
      </c>
      <c r="C26" s="212" t="s">
        <v>1519</v>
      </c>
      <c r="D26" s="212" t="s">
        <v>1519</v>
      </c>
      <c r="E26" s="216" t="s">
        <v>1707</v>
      </c>
      <c r="F26" s="132" t="str" cm="1">
        <f t="array" ref="F26" xml:space="preserve"> INDEX(韻母對照資料表[漢字例], MATCH(TRUE, EXACT($D26, 韻母對照資料表[台語音標]),0))</f>
        <v>爾</v>
      </c>
      <c r="G26" s="132"/>
      <c r="H26" s="209" t="str" cm="1">
        <f t="array" ref="H26" xml:space="preserve"> INDEX(韻母對照資料表[十五音], MATCH(TRUE, EXACT($D26, 韻母對照資料表[台語音標]),0))</f>
        <v>居</v>
      </c>
      <c r="I26" s="74" t="str" cm="1">
        <f t="array" ref="I26" xml:space="preserve"> INDEX(韻母對照資料表[白話字], MATCH(TRUE, EXACT($D26, 韻母對照資料表[台語音標]),0))</f>
        <v>i</v>
      </c>
      <c r="J26" s="74" t="str" cm="1">
        <f t="array" ref="J26" xml:space="preserve"> INDEX(韻母對照資料表[台羅拼音], MATCH(TRUE, EXACT($D26, 韻母對照資料表[台語音標]),0))</f>
        <v>i</v>
      </c>
      <c r="K26" s="74" t="str" cm="1">
        <f t="array" ref="K26" xml:space="preserve"> INDEX(韻母對照資料表[閩拼方案], MATCH(TRUE, EXACT($D26, 韻母對照資料表[台語音標]),0))</f>
        <v>i</v>
      </c>
      <c r="L26" s="95" t="str" cm="1">
        <f t="array" ref="L26" xml:space="preserve"> INDEX(韻母對照資料表[注音二式], MATCH(TRUE, EXACT($D26, 韻母對照資料表[台語音標]),0))</f>
        <v>i</v>
      </c>
      <c r="M26" s="94" t="s">
        <v>260</v>
      </c>
      <c r="N26" s="75" t="s">
        <v>1523</v>
      </c>
      <c r="P26" s="234">
        <v>4</v>
      </c>
      <c r="Q26" s="99" t="s">
        <v>1376</v>
      </c>
      <c r="R26" s="98" t="s">
        <v>1597</v>
      </c>
      <c r="S26" s="96" t="s">
        <v>667</v>
      </c>
      <c r="T26" s="96" t="str">
        <f xml:space="preserve"> LEFT(S26, IF(LEN(S26)=1, 1, LEN(S26)-1)) &amp; "ㆷ"</f>
        <v>ㆧㆷ</v>
      </c>
      <c r="W26" s="70"/>
      <c r="X26" s="70"/>
      <c r="Y26" s="70"/>
      <c r="Z26" s="70"/>
    </row>
    <row r="27" spans="2:26" ht="57.75">
      <c r="B27" s="79" cm="1">
        <f t="array" ref="B27" xml:space="preserve"> ROW() - ROW($2:$2)</f>
        <v>25</v>
      </c>
      <c r="C27" s="212" t="s">
        <v>1524</v>
      </c>
      <c r="D27" s="212" t="s">
        <v>1524</v>
      </c>
      <c r="E27" s="216" t="s">
        <v>2270</v>
      </c>
      <c r="F27" s="132" t="str" cm="1">
        <f t="array" ref="F27" xml:space="preserve"> INDEX(韻母對照資料表[漢字例], MATCH(TRUE, EXACT($D27, 韻母對照資料表[台語音標]),0))</f>
        <v>夫</v>
      </c>
      <c r="G27" s="132"/>
      <c r="H27" s="209" t="str" cm="1">
        <f t="array" ref="H27" xml:space="preserve"> INDEX(韻母對照資料表[十五音], MATCH(TRUE, EXACT($D27, 韻母對照資料表[台語音標]),0))</f>
        <v>艍</v>
      </c>
      <c r="I27" s="74" t="str" cm="1">
        <f t="array" ref="I27" xml:space="preserve"> INDEX(韻母對照資料表[白話字], MATCH(TRUE, EXACT($D27, 韻母對照資料表[台語音標]),0))</f>
        <v>u</v>
      </c>
      <c r="J27" s="74" t="str" cm="1">
        <f t="array" ref="J27" xml:space="preserve"> INDEX(韻母對照資料表[台羅拼音], MATCH(TRUE, EXACT($D27, 韻母對照資料表[台語音標]),0))</f>
        <v>u</v>
      </c>
      <c r="K27" s="74" t="str" cm="1">
        <f t="array" ref="K27" xml:space="preserve"> INDEX(韻母對照資料表[閩拼方案], MATCH(TRUE, EXACT($D27, 韻母對照資料表[台語音標]),0))</f>
        <v>u</v>
      </c>
      <c r="L27" s="95" t="str" cm="1">
        <f t="array" ref="L27" xml:space="preserve"> INDEX(韻母對照資料表[注音二式], MATCH(TRUE, EXACT($D27, 韻母對照資料表[台語音標]),0))</f>
        <v>u</v>
      </c>
      <c r="M27" s="94" t="s">
        <v>732</v>
      </c>
      <c r="N27" s="75" t="s">
        <v>1527</v>
      </c>
      <c r="P27" s="234">
        <v>5</v>
      </c>
      <c r="Q27" s="99" t="s">
        <v>1261</v>
      </c>
      <c r="R27" s="98" t="s">
        <v>1599</v>
      </c>
      <c r="S27" s="96" t="s">
        <v>227</v>
      </c>
      <c r="T27" s="96" t="str">
        <f xml:space="preserve"> LEFT(S27, IF(LEN(S27)=1, 1, LEN(S27)-1)) &amp; "ㆷ"</f>
        <v>ㆥㆷ</v>
      </c>
      <c r="W27" s="70"/>
      <c r="X27" s="70"/>
      <c r="Y27" s="70"/>
      <c r="Z27" s="70"/>
    </row>
    <row r="28" spans="2:26" ht="57.75">
      <c r="B28" s="79" cm="1">
        <f t="array" ref="B28" xml:space="preserve"> ROW() - ROW($2:$2)</f>
        <v>26</v>
      </c>
      <c r="C28" s="212" t="s">
        <v>2244</v>
      </c>
      <c r="D28" s="212" t="s">
        <v>1533</v>
      </c>
      <c r="E28" s="216" t="s">
        <v>2266</v>
      </c>
      <c r="F28" s="137" t="str" cm="1">
        <f t="array" ref="F28" xml:space="preserve"> INDEX(韻母對照資料表[漢字例], MATCH(TRUE, EXACT($D28, 韻母對照資料表[台語音標]),0))</f>
        <v>會</v>
      </c>
      <c r="G28" s="137"/>
      <c r="H28" s="209" t="str" cm="1">
        <f t="array" ref="H28" xml:space="preserve"> INDEX(韻母對照資料表[十五音], MATCH(TRUE, EXACT($D28, 韻母對照資料表[台語音標]),0))</f>
        <v>伽</v>
      </c>
      <c r="I28" s="74" t="str" cm="1">
        <f t="array" ref="I28" xml:space="preserve"> INDEX(韻母對照資料表[白話字], MATCH(TRUE, EXACT($D28, 韻母對照資料表[台語音標]),0))</f>
        <v>e</v>
      </c>
      <c r="J28" s="74" t="str" cm="1">
        <f t="array" ref="J28" xml:space="preserve"> INDEX(韻母對照資料表[台羅拼音], MATCH(TRUE, EXACT($D28, 韻母對照資料表[台語音標]),0))</f>
        <v>e</v>
      </c>
      <c r="K28" s="74" t="str" cm="1">
        <f t="array" ref="K28" xml:space="preserve"> INDEX(韻母對照資料表[閩拼方案], MATCH(TRUE, EXACT($D28, 韻母對照資料表[台語音標]),0))</f>
        <v>e</v>
      </c>
      <c r="L28" s="95" t="str" cm="1">
        <f t="array" ref="L28" xml:space="preserve"> INDEX(韻母對照資料表[注音二式], MATCH(TRUE, EXACT($D28, 韻母對照資料表[台語音標]),0))</f>
        <v>e</v>
      </c>
      <c r="M28" s="94" t="s">
        <v>208</v>
      </c>
      <c r="N28" s="75" t="s">
        <v>1531</v>
      </c>
      <c r="P28" s="234">
        <v>6</v>
      </c>
      <c r="Q28" s="99" t="s">
        <v>1317</v>
      </c>
      <c r="R28" s="98" t="s">
        <v>1601</v>
      </c>
      <c r="S28" s="96" t="s">
        <v>168</v>
      </c>
      <c r="T28" s="96"/>
      <c r="W28" s="70"/>
      <c r="X28" s="70"/>
      <c r="Y28" s="70"/>
      <c r="Z28" s="70"/>
    </row>
    <row r="29" spans="2:26" ht="57.75">
      <c r="B29" s="79" cm="1">
        <f t="array" ref="B29" xml:space="preserve"> ROW() - ROW($2:$2)</f>
        <v>27</v>
      </c>
      <c r="C29" s="212" t="s">
        <v>1180</v>
      </c>
      <c r="D29" s="212" t="s">
        <v>1180</v>
      </c>
      <c r="E29" s="216" t="s">
        <v>1600</v>
      </c>
      <c r="F29" s="132" t="str" cm="1">
        <f t="array" ref="F29" xml:space="preserve"> INDEX(韻母對照資料表[漢字例], MATCH(TRUE, EXACT($D29, 韻母對照資料表[台語音標]),0))</f>
        <v>果</v>
      </c>
      <c r="G29" s="132"/>
      <c r="H29" s="209" t="str" cm="1">
        <f t="array" ref="H29" xml:space="preserve"> INDEX(韻母對照資料表[十五音], MATCH(TRUE, EXACT($D29, 韻母對照資料表[台語音標]),0))</f>
        <v>高</v>
      </c>
      <c r="I29" s="74" t="str" cm="1">
        <f t="array" ref="I29" xml:space="preserve"> INDEX(韻母對照資料表[白話字], MATCH(TRUE, EXACT($D29, 韻母對照資料表[台語音標]),0))</f>
        <v>o</v>
      </c>
      <c r="J29" s="74" t="str" cm="1">
        <f t="array" ref="J29" xml:space="preserve"> INDEX(韻母對照資料表[台羅拼音], MATCH(TRUE, EXACT($D29, 韻母對照資料表[台語音標]),0))</f>
        <v>o</v>
      </c>
      <c r="K29" s="74" t="str" cm="1">
        <f t="array" ref="K29" xml:space="preserve"> INDEX(韻母對照資料表[閩拼方案], MATCH(TRUE, EXACT($D29, 韻母對照資料表[台語音標]),0))</f>
        <v>o</v>
      </c>
      <c r="L29" s="95" t="str" cm="1">
        <f t="array" ref="L29" xml:space="preserve"> INDEX(韻母對照資料表[注音二式], MATCH(TRUE, EXACT($D29, 韻母對照資料表[台語音標]),0))</f>
        <v>or</v>
      </c>
      <c r="M29" s="94" t="s">
        <v>1180</v>
      </c>
      <c r="N29" s="75" t="s">
        <v>1180</v>
      </c>
      <c r="P29" s="234">
        <v>7</v>
      </c>
      <c r="Q29" s="99" t="s">
        <v>1371</v>
      </c>
      <c r="R29" s="98" t="s">
        <v>1602</v>
      </c>
      <c r="S29" s="96" t="s">
        <v>1369</v>
      </c>
      <c r="T29" s="96" t="str">
        <f xml:space="preserve"> LEFT(S29, IF(LEN(S29)=1, 1, LEN(S29)-1)) &amp; "ㆷ"</f>
        <v>ㆯㆷ</v>
      </c>
      <c r="W29" s="70"/>
      <c r="X29" s="70"/>
      <c r="Y29" s="70"/>
      <c r="Z29" s="70"/>
    </row>
    <row r="30" spans="2:26" ht="57.75">
      <c r="B30" s="122" cm="1">
        <f t="array" ref="B30" xml:space="preserve"> ROW() - ROW($2:$2)</f>
        <v>28</v>
      </c>
      <c r="C30" s="214" t="s">
        <v>2245</v>
      </c>
      <c r="D30" s="214" t="s">
        <v>2289</v>
      </c>
      <c r="E30" s="218" t="s">
        <v>1565</v>
      </c>
      <c r="F30" s="136" t="str" cm="1">
        <f t="array" ref="F30" xml:space="preserve"> INDEX(韻母對照資料表[漢字例], MATCH(TRUE, EXACT($D30, 韻母對照資料表[台語音標]),0))</f>
        <v>捕</v>
      </c>
      <c r="G30" s="136"/>
      <c r="H30" s="211" t="str" cm="1">
        <f t="array" ref="H30" xml:space="preserve"> INDEX(韻母對照資料表[十五音], MATCH(TRUE, EXACT($D30, 韻母對照資料表[台語音標]),0))</f>
        <v>沽</v>
      </c>
      <c r="I30" s="76" t="str" cm="1">
        <f t="array" ref="I30" xml:space="preserve"> INDEX(韻母對照資料表[白話字], MATCH(TRUE, EXACT($D30, 韻母對照資料表[台語音標]),0))</f>
        <v>o͘</v>
      </c>
      <c r="J30" s="76" t="str" cm="1">
        <f t="array" ref="J30" xml:space="preserve"> INDEX(韻母對照資料表[台羅拼音], MATCH(TRUE, EXACT($D30, 韻母對照資料表[台語音標]),0))</f>
        <v>oo</v>
      </c>
      <c r="K30" s="76" t="str" cm="1">
        <f t="array" ref="K30" xml:space="preserve"> INDEX(韻母對照資料表[閩拼方案], MATCH(TRUE, EXACT($D30, 韻母對照資料表[台語音標]),0))</f>
        <v>oo</v>
      </c>
      <c r="L30" s="117" t="str" cm="1">
        <f t="array" ref="L30" xml:space="preserve"> INDEX(韻母對照資料表[注音二式], MATCH(TRUE, EXACT($D30, 韻母對照資料表[台語音標]),0))</f>
        <v>oo</v>
      </c>
      <c r="M30" s="116" t="s">
        <v>1531</v>
      </c>
      <c r="N30" s="77" t="s">
        <v>1522</v>
      </c>
      <c r="P30" s="234">
        <v>8</v>
      </c>
      <c r="Q30" s="99" t="s">
        <v>1271</v>
      </c>
      <c r="R30" s="106" t="s">
        <v>1609</v>
      </c>
      <c r="S30" s="96" t="s">
        <v>938</v>
      </c>
      <c r="T30" s="96"/>
      <c r="W30" s="70"/>
      <c r="X30" s="70"/>
      <c r="Y30" s="70"/>
      <c r="Z30" s="70"/>
    </row>
    <row r="31" spans="2:26" ht="57.75">
      <c r="B31" s="79" cm="1">
        <f t="array" ref="B31" xml:space="preserve"> ROW() - ROW($2:$2)</f>
        <v>29</v>
      </c>
      <c r="C31" s="212" t="s">
        <v>1610</v>
      </c>
      <c r="D31" s="212" t="s">
        <v>1610</v>
      </c>
      <c r="E31" s="216" t="s">
        <v>2271</v>
      </c>
      <c r="F31" s="132" t="str" cm="1">
        <f t="array" ref="F31" xml:space="preserve"> INDEX(韻母對照資料表[漢字例], MATCH(TRUE, EXACT($D31, 韻母對照資料表[台語音標]),0))</f>
        <v>埃</v>
      </c>
      <c r="G31" s="132"/>
      <c r="H31" s="209" t="str" cm="1">
        <f t="array" ref="H31" xml:space="preserve"> INDEX(韻母對照資料表[十五音], MATCH(TRUE, EXACT($D31, 韻母對照資料表[台語音標]),0))</f>
        <v>皆</v>
      </c>
      <c r="I31" s="74" t="str" cm="1">
        <f t="array" ref="I31" xml:space="preserve"> INDEX(韻母對照資料表[白話字], MATCH(TRUE, EXACT($D31, 韻母對照資料表[台語音標]),0))</f>
        <v>ai</v>
      </c>
      <c r="J31" s="74" t="str" cm="1">
        <f t="array" ref="J31" xml:space="preserve"> INDEX(韻母對照資料表[台羅拼音], MATCH(TRUE, EXACT($D31, 韻母對照資料表[台語音標]),0))</f>
        <v>ai</v>
      </c>
      <c r="K31" s="74" t="str" cm="1">
        <f t="array" ref="K31" xml:space="preserve"> INDEX(韻母對照資料表[閩拼方案], MATCH(TRUE, EXACT($D31, 韻母對照資料表[台語音標]),0))</f>
        <v>ai</v>
      </c>
      <c r="L31" s="95" t="str" cm="1">
        <f t="array" ref="L31" xml:space="preserve"> INDEX(韻母對照資料表[注音二式], MATCH(TRUE, EXACT($D31, 韻母對照資料表[台語音標]),0))</f>
        <v>ai</v>
      </c>
      <c r="M31" s="94" t="s">
        <v>1485</v>
      </c>
      <c r="N31" s="75" t="s">
        <v>1470</v>
      </c>
      <c r="P31" s="234">
        <v>9</v>
      </c>
      <c r="Q31" s="99" t="s">
        <v>1349</v>
      </c>
      <c r="R31" s="98" t="s">
        <v>1613</v>
      </c>
      <c r="S31" s="123" t="s">
        <v>1347</v>
      </c>
      <c r="T31" s="123"/>
      <c r="W31" s="70"/>
      <c r="X31" s="70"/>
      <c r="Y31" s="70"/>
      <c r="Z31" s="70"/>
    </row>
    <row r="32" spans="2:26" ht="57.75">
      <c r="B32" s="79" cm="1">
        <f t="array" ref="B32" xml:space="preserve"> ROW() - ROW($2:$2)</f>
        <v>30</v>
      </c>
      <c r="C32" s="212" t="s">
        <v>1615</v>
      </c>
      <c r="D32" s="212" t="s">
        <v>1615</v>
      </c>
      <c r="E32" s="216" t="s">
        <v>2272</v>
      </c>
      <c r="F32" s="132" t="str" cm="1">
        <f t="array" ref="F32" xml:space="preserve"> INDEX(韻母對照資料表[漢字例], MATCH(TRUE, EXACT($D32, 韻母對照資料表[台語音標]),0))</f>
        <v>鬧</v>
      </c>
      <c r="G32" s="132"/>
      <c r="H32" s="209" t="str" cm="1">
        <f t="array" ref="H32" xml:space="preserve"> INDEX(韻母對照資料表[十五音], MATCH(TRUE, EXACT($D32, 韻母對照資料表[台語音標]),0))</f>
        <v>交</v>
      </c>
      <c r="I32" s="74" t="str" cm="1">
        <f t="array" ref="I32" xml:space="preserve"> INDEX(韻母對照資料表[白話字], MATCH(TRUE, EXACT($D32, 韻母對照資料表[台語音標]),0))</f>
        <v>au</v>
      </c>
      <c r="J32" s="74" t="str" cm="1">
        <f t="array" ref="J32" xml:space="preserve"> INDEX(韻母對照資料表[台羅拼音], MATCH(TRUE, EXACT($D32, 韻母對照資料表[台語音標]),0))</f>
        <v>au</v>
      </c>
      <c r="K32" s="74" t="str" cm="1">
        <f t="array" ref="K32" xml:space="preserve"> INDEX(韻母對照資料表[閩拼方案], MATCH(TRUE, EXACT($D32, 韻母對照資料表[台語音標]),0))</f>
        <v>ao</v>
      </c>
      <c r="L32" s="95" t="str" cm="1">
        <f t="array" ref="L32" xml:space="preserve"> INDEX(韻母對照資料表[注音二式], MATCH(TRUE, EXACT($D32, 韻母對照資料表[台語音標]),0))</f>
        <v>au</v>
      </c>
      <c r="M32" s="94" t="s">
        <v>1498</v>
      </c>
      <c r="N32" s="75" t="s">
        <v>1614</v>
      </c>
      <c r="P32" s="234">
        <v>10</v>
      </c>
      <c r="Q32" s="99" t="s">
        <v>1381</v>
      </c>
      <c r="R32" s="98" t="s">
        <v>1603</v>
      </c>
      <c r="S32" s="96" t="s">
        <v>622</v>
      </c>
      <c r="T32" s="96"/>
      <c r="W32" s="70"/>
      <c r="X32" s="70"/>
      <c r="Y32" s="70"/>
      <c r="Z32" s="70"/>
    </row>
    <row r="33" spans="2:26" ht="57.75">
      <c r="B33" s="79" cm="1">
        <f t="array" ref="B33" xml:space="preserve"> ROW() - ROW($2:$2)</f>
        <v>31</v>
      </c>
      <c r="C33" s="212" t="s">
        <v>1536</v>
      </c>
      <c r="D33" s="212" t="s">
        <v>1536</v>
      </c>
      <c r="E33" s="216" t="s">
        <v>2279</v>
      </c>
      <c r="F33" s="132" t="str" cm="1">
        <f t="array" ref="F33" xml:space="preserve"> INDEX(韻母對照資料表[漢字例], MATCH(TRUE, EXACT($D33, 韻母對照資料表[台語音標]),0))</f>
        <v>蘭</v>
      </c>
      <c r="G33" s="132"/>
      <c r="H33" s="209" t="str" cm="1">
        <f t="array" ref="H33" xml:space="preserve"> INDEX(韻母對照資料表[十五音], MATCH(TRUE, EXACT($D33, 韻母對照資料表[台語音標]),0))</f>
        <v>干</v>
      </c>
      <c r="I33" s="74" t="str" cm="1">
        <f t="array" ref="I33" xml:space="preserve"> INDEX(韻母對照資料表[白話字], MATCH(TRUE, EXACT($D33, 韻母對照資料表[台語音標]),0))</f>
        <v>an</v>
      </c>
      <c r="J33" s="74" t="str" cm="1">
        <f t="array" ref="J33" xml:space="preserve"> INDEX(韻母對照資料表[台羅拼音], MATCH(TRUE, EXACT($D33, 韻母對照資料表[台語音標]),0))</f>
        <v>an</v>
      </c>
      <c r="K33" s="74" t="str" cm="1">
        <f t="array" ref="K33" xml:space="preserve"> INDEX(韻母對照資料表[閩拼方案], MATCH(TRUE, EXACT($D33, 韻母對照資料表[台語音標]),0))</f>
        <v>an</v>
      </c>
      <c r="L33" s="95" t="str" cm="1">
        <f t="array" ref="L33" xml:space="preserve"> INDEX(韻母對照資料表[注音二式], MATCH(TRUE, EXACT($D33, 韻母對照資料表[台語音標]),0))</f>
        <v>an</v>
      </c>
      <c r="M33" s="94" t="s">
        <v>1537</v>
      </c>
      <c r="N33" s="75" t="s">
        <v>2</v>
      </c>
      <c r="P33" s="234">
        <v>11</v>
      </c>
      <c r="Q33" s="99" t="s">
        <v>1366</v>
      </c>
      <c r="R33" s="106" t="s">
        <v>1627</v>
      </c>
      <c r="S33" s="96" t="s">
        <v>694</v>
      </c>
      <c r="T33" s="96" t="str">
        <f xml:space="preserve"> LEFT(S33, IF(LEN(S33)=1, 1, LEN(S33)-1)) &amp; "ㆴ"</f>
        <v>ㆱㆴ</v>
      </c>
      <c r="W33" s="70"/>
      <c r="X33" s="70"/>
      <c r="Y33" s="70"/>
      <c r="Z33" s="70"/>
    </row>
    <row r="34" spans="2:26" ht="57.75">
      <c r="B34" s="79" cm="1">
        <f t="array" ref="B34" xml:space="preserve"> ROW() - ROW($2:$2)</f>
        <v>32</v>
      </c>
      <c r="C34" s="212" t="s">
        <v>1541</v>
      </c>
      <c r="D34" s="212" t="s">
        <v>1541</v>
      </c>
      <c r="E34" s="216" t="s">
        <v>1624</v>
      </c>
      <c r="F34" s="132" t="str" cm="1">
        <f t="array" ref="F34" xml:space="preserve"> INDEX(韻母對照資料表[漢字例], MATCH(TRUE, EXACT($D34, 韻母對照資料表[台語音標]),0))</f>
        <v>堪</v>
      </c>
      <c r="G34" s="132"/>
      <c r="H34" s="209" t="str" cm="1">
        <f t="array" ref="H34" xml:space="preserve"> INDEX(韻母對照資料表[十五音], MATCH(TRUE, EXACT($D34, 韻母對照資料表[台語音標]),0))</f>
        <v>甘</v>
      </c>
      <c r="I34" s="74" t="str" cm="1">
        <f t="array" ref="I34" xml:space="preserve"> INDEX(韻母對照資料表[白話字], MATCH(TRUE, EXACT($D34, 韻母對照資料表[台語音標]),0))</f>
        <v>am</v>
      </c>
      <c r="J34" s="74" t="str" cm="1">
        <f t="array" ref="J34" xml:space="preserve"> INDEX(韻母對照資料表[台羅拼音], MATCH(TRUE, EXACT($D34, 韻母對照資料表[台語音標]),0))</f>
        <v>am</v>
      </c>
      <c r="K34" s="74" t="str" cm="1">
        <f t="array" ref="K34" xml:space="preserve"> INDEX(韻母對照資料表[閩拼方案], MATCH(TRUE, EXACT($D34, 韻母對照資料表[台語音標]),0))</f>
        <v>am</v>
      </c>
      <c r="L34" s="95" t="str" cm="1">
        <f t="array" ref="L34" xml:space="preserve"> INDEX(韻母對照資料表[注音二式], MATCH(TRUE, EXACT($D34, 韻母對照資料表[台語音標]),0))</f>
        <v>am</v>
      </c>
      <c r="M34" s="94" t="s">
        <v>2319</v>
      </c>
      <c r="N34" s="75" t="s">
        <v>1499</v>
      </c>
      <c r="P34" s="234">
        <v>12</v>
      </c>
      <c r="Q34" s="99" t="s">
        <v>1211</v>
      </c>
      <c r="R34" s="98" t="s">
        <v>1632</v>
      </c>
      <c r="S34" s="96" t="s">
        <v>1631</v>
      </c>
      <c r="T34" s="96" t="str">
        <f xml:space="preserve"> LEFT(S34, IF(LEN(S34)=1, 1, LEN(S34)-1)) &amp; "ㆴ"</f>
        <v>ㄧㆴ</v>
      </c>
      <c r="W34" s="70"/>
      <c r="X34" s="70"/>
      <c r="Y34" s="70"/>
      <c r="Z34" s="70"/>
    </row>
    <row r="35" spans="2:26" ht="57.75">
      <c r="B35" s="122" cm="1">
        <f t="array" ref="B35" xml:space="preserve"> ROW() - ROW($2:$2)</f>
        <v>33</v>
      </c>
      <c r="C35" s="214" t="s">
        <v>94</v>
      </c>
      <c r="D35" s="214" t="s">
        <v>1626</v>
      </c>
      <c r="E35" s="218" t="s">
        <v>2280</v>
      </c>
      <c r="F35" s="136" t="str" cm="1">
        <f t="array" ref="F35" xml:space="preserve"> INDEX(韻母對照資料表[漢字例], MATCH(TRUE, EXACT($D35, 韻母對照資料表[台語音標]),0))</f>
        <v>邦</v>
      </c>
      <c r="G35" s="136"/>
      <c r="H35" s="211" t="str" cm="1">
        <f t="array" ref="H35" xml:space="preserve"> INDEX(韻母對照資料表[十五音], MATCH(TRUE, EXACT($D35, 韻母對照資料表[台語音標]),0))</f>
        <v>江</v>
      </c>
      <c r="I35" s="76" t="str" cm="1">
        <f t="array" ref="I35" xml:space="preserve"> INDEX(韻母對照資料表[白話字], MATCH(TRUE, EXACT($D35, 韻母對照資料表[台語音標]),0))</f>
        <v>ang</v>
      </c>
      <c r="J35" s="76" t="str" cm="1">
        <f t="array" ref="J35" xml:space="preserve"> INDEX(韻母對照資料表[台羅拼音], MATCH(TRUE, EXACT($D35, 韻母對照資料表[台語音標]),0))</f>
        <v>ang</v>
      </c>
      <c r="K35" s="76" t="str" cm="1">
        <f t="array" ref="K35" xml:space="preserve"> INDEX(韻母對照資料表[閩拼方案], MATCH(TRUE, EXACT($D35, 韻母對照資料表[台語音標]),0))</f>
        <v>ang</v>
      </c>
      <c r="L35" s="117" t="str" cm="1">
        <f t="array" ref="L35" xml:space="preserve"> INDEX(韻母對照資料表[注音二式], MATCH(TRUE, EXACT($D35, 韻母對照資料表[台語音標]),0))</f>
        <v>ang</v>
      </c>
      <c r="M35" s="116" t="s">
        <v>2320</v>
      </c>
      <c r="N35" s="77" t="s">
        <v>1625</v>
      </c>
      <c r="Q35" s="70"/>
      <c r="R35" s="70"/>
      <c r="S35" s="70"/>
      <c r="T35" s="70"/>
      <c r="W35" s="70"/>
      <c r="X35" s="70"/>
      <c r="Y35" s="70"/>
      <c r="Z35" s="70"/>
    </row>
    <row r="36" spans="2:26" ht="58.5" thickBot="1">
      <c r="B36" s="79" cm="1">
        <f t="array" ref="B36" xml:space="preserve"> ROW() - ROW($2:$2)</f>
        <v>34</v>
      </c>
      <c r="C36" s="212" t="s">
        <v>1721</v>
      </c>
      <c r="D36" s="212" t="s">
        <v>1721</v>
      </c>
      <c r="E36" s="216" t="s">
        <v>1723</v>
      </c>
      <c r="F36" s="132" t="str" cm="1">
        <f t="array" ref="F36" xml:space="preserve"> INDEX(韻母對照資料表[漢字例], MATCH(TRUE, EXACT($D36, 韻母對照資料表[台語音標]),0))</f>
        <v>花</v>
      </c>
      <c r="G36" s="132"/>
      <c r="H36" s="209" t="str" cm="1">
        <f t="array" ref="H36" xml:space="preserve"> INDEX(韻母對照資料表[十五音], MATCH(TRUE, EXACT($D36, 韻母對照資料表[台語音標]),0))</f>
        <v>瓜</v>
      </c>
      <c r="I36" s="74" t="str" cm="1">
        <f t="array" ref="I36" xml:space="preserve"> INDEX(韻母對照資料表[白話字], MATCH(TRUE, EXACT($D36, 韻母對照資料表[台語音標]),0))</f>
        <v>oa</v>
      </c>
      <c r="J36" s="74" t="str" cm="1">
        <f t="array" ref="J36" xml:space="preserve"> INDEX(韻母對照資料表[台羅拼音], MATCH(TRUE, EXACT($D36, 韻母對照資料表[台語音標]),0))</f>
        <v>ua</v>
      </c>
      <c r="K36" s="74" t="str" cm="1">
        <f t="array" ref="K36" xml:space="preserve"> INDEX(韻母對照資料表[閩拼方案], MATCH(TRUE, EXACT($D36, 韻母對照資料表[台語音標]),0))</f>
        <v>ua</v>
      </c>
      <c r="L36" s="95" t="str" cm="1">
        <f t="array" ref="L36" xml:space="preserve"> INDEX(韻母對照資料表[注音二式], MATCH(TRUE, EXACT($D36, 韻母對照資料表[台語音標]),0))</f>
        <v>ua</v>
      </c>
      <c r="M36" s="94" t="s">
        <v>1396</v>
      </c>
      <c r="N36" s="75"/>
      <c r="P36" s="87" t="s">
        <v>1019</v>
      </c>
      <c r="Q36" s="90" t="s">
        <v>1553</v>
      </c>
      <c r="R36" s="89" t="s">
        <v>1552</v>
      </c>
      <c r="S36" s="88" t="s">
        <v>1554</v>
      </c>
      <c r="T36" s="88" t="s">
        <v>1555</v>
      </c>
      <c r="W36" s="70"/>
      <c r="X36" s="70"/>
      <c r="Y36" s="70"/>
      <c r="Z36" s="70"/>
    </row>
    <row r="37" spans="2:26" ht="58.5" thickTop="1">
      <c r="B37" s="79" cm="1">
        <f t="array" ref="B37" xml:space="preserve"> ROW() - ROW($2:$2)</f>
        <v>35</v>
      </c>
      <c r="C37" s="212" t="s">
        <v>1722</v>
      </c>
      <c r="D37" s="212" t="s">
        <v>1722</v>
      </c>
      <c r="E37" s="216" t="s">
        <v>1589</v>
      </c>
      <c r="F37" s="132" t="str" cm="1">
        <f t="array" ref="F37" xml:space="preserve"> INDEX(韻母對照資料表[漢字例], MATCH(TRUE, EXACT($D37, 韻母對照資料表[台語音標]),0))</f>
        <v>話</v>
      </c>
      <c r="G37" s="132"/>
      <c r="H37" s="209" t="str" cm="1">
        <f t="array" ref="H37" xml:space="preserve"> INDEX(韻母對照資料表[十五音], MATCH(TRUE, EXACT($D37, 韻母對照資料表[台語音標]),0))</f>
        <v>檜</v>
      </c>
      <c r="I37" s="74" t="str" cm="1">
        <f t="array" ref="I37" xml:space="preserve"> INDEX(韻母對照資料表[白話字], MATCH(TRUE, EXACT($D37, 韻母對照資料表[台語音標]),0))</f>
        <v>oe</v>
      </c>
      <c r="J37" s="74" t="str" cm="1">
        <f t="array" ref="J37" xml:space="preserve"> INDEX(韻母對照資料表[台羅拼音], MATCH(TRUE, EXACT($D37, 韻母對照資料表[台語音標]),0))</f>
        <v>ue</v>
      </c>
      <c r="K37" s="74" t="str" cm="1">
        <f t="array" ref="K37" xml:space="preserve"> INDEX(韻母對照資料表[閩拼方案], MATCH(TRUE, EXACT($D37, 韻母對照資料表[台語音標]),0))</f>
        <v>ue</v>
      </c>
      <c r="L37" s="95" t="str" cm="1">
        <f t="array" ref="L37" xml:space="preserve"> INDEX(韻母對照資料表[注音二式], MATCH(TRUE, EXACT($D37, 韻母對照資料表[台語音標]),0))</f>
        <v>ue</v>
      </c>
      <c r="M37" s="94" t="s">
        <v>1396</v>
      </c>
      <c r="N37" s="75"/>
      <c r="P37" s="234">
        <v>1</v>
      </c>
      <c r="Q37" s="99" t="s">
        <v>1298</v>
      </c>
      <c r="R37" s="98" t="s">
        <v>1604</v>
      </c>
      <c r="S37" s="96" t="s">
        <v>407</v>
      </c>
      <c r="T37" s="96" t="s">
        <v>434</v>
      </c>
      <c r="W37" s="70"/>
      <c r="X37" s="70"/>
      <c r="Y37" s="70"/>
      <c r="Z37" s="70"/>
    </row>
    <row r="38" spans="2:26" ht="57.75">
      <c r="B38" s="79" cm="1">
        <f t="array" ref="B38" xml:space="preserve"> ROW() - ROW($2:$2)</f>
        <v>36</v>
      </c>
      <c r="C38" s="212" t="s">
        <v>868</v>
      </c>
      <c r="D38" s="212" t="s">
        <v>868</v>
      </c>
      <c r="E38" s="216" t="s">
        <v>869</v>
      </c>
      <c r="F38" s="132" t="s">
        <v>1138</v>
      </c>
      <c r="G38" s="132"/>
      <c r="H38" s="209" t="s">
        <v>1137</v>
      </c>
      <c r="I38" s="74" t="s">
        <v>1139</v>
      </c>
      <c r="J38" s="74" t="s">
        <v>868</v>
      </c>
      <c r="K38" s="74" t="s">
        <v>868</v>
      </c>
      <c r="L38" s="95" t="s">
        <v>868</v>
      </c>
      <c r="M38" s="94" t="s">
        <v>1396</v>
      </c>
      <c r="N38" s="75"/>
      <c r="P38" s="234">
        <v>2</v>
      </c>
      <c r="Q38" s="99" t="s">
        <v>1607</v>
      </c>
      <c r="R38" s="98" t="s">
        <v>1606</v>
      </c>
      <c r="S38" s="96" t="s">
        <v>536</v>
      </c>
      <c r="T38" s="96"/>
      <c r="W38" s="70"/>
      <c r="X38" s="70"/>
      <c r="Y38" s="70"/>
      <c r="Z38" s="70"/>
    </row>
    <row r="39" spans="2:26" ht="57.75">
      <c r="B39" s="122" cm="1">
        <f t="array" ref="B39" xml:space="preserve"> ROW() - ROW($2:$2)</f>
        <v>37</v>
      </c>
      <c r="C39" s="214" t="s">
        <v>2296</v>
      </c>
      <c r="D39" s="214" t="s">
        <v>2296</v>
      </c>
      <c r="E39" s="218" t="s">
        <v>1727</v>
      </c>
      <c r="F39" s="136" t="str" cm="1">
        <f t="array" ref="F39" xml:space="preserve"> INDEX(韻母對照資料表[漢字例], MATCH(TRUE, EXACT($D39, 韻母對照資料表[台語音標]),0))</f>
        <v>猿</v>
      </c>
      <c r="G39" s="136"/>
      <c r="H39" s="211" t="str" cm="1">
        <f t="array" ref="H39" xml:space="preserve"> INDEX(韻母對照資料表[十五音], MATCH(TRUE, EXACT($D39, 韻母對照資料表[台語音標]),0))</f>
        <v>觀</v>
      </c>
      <c r="I39" s="76" t="str" cm="1">
        <f t="array" ref="I39" xml:space="preserve"> INDEX(韻母對照資料表[白話字], MATCH(TRUE, EXACT($D39, 韻母對照資料表[台語音標]),0))</f>
        <v>oan</v>
      </c>
      <c r="J39" s="76" t="str" cm="1">
        <f t="array" ref="J39" xml:space="preserve"> INDEX(韻母對照資料表[台羅拼音], MATCH(TRUE, EXACT($D39, 韻母對照資料表[台語音標]),0))</f>
        <v>uan</v>
      </c>
      <c r="K39" s="76" t="str" cm="1">
        <f t="array" ref="K39" xml:space="preserve"> INDEX(韻母對照資料表[閩拼方案], MATCH(TRUE, EXACT($D39, 韻母對照資料表[台語音標]),0))</f>
        <v>uan</v>
      </c>
      <c r="L39" s="117" t="str" cm="1">
        <f t="array" ref="L39" xml:space="preserve"> INDEX(韻母對照資料表[注音二式], MATCH(TRUE, EXACT($D39, 韻母對照資料表[台語音標]),0))</f>
        <v>uan</v>
      </c>
      <c r="M39" s="116" t="s">
        <v>1396</v>
      </c>
      <c r="N39" s="77"/>
      <c r="P39" s="234">
        <v>3</v>
      </c>
      <c r="Q39" s="99" t="s">
        <v>1304</v>
      </c>
      <c r="R39" s="98" t="s">
        <v>1611</v>
      </c>
      <c r="S39" s="123" t="s">
        <v>809</v>
      </c>
      <c r="T39" s="123"/>
      <c r="W39" s="70"/>
      <c r="X39" s="70"/>
      <c r="Y39" s="70"/>
      <c r="Z39" s="70"/>
    </row>
    <row r="40" spans="2:26" ht="57.75">
      <c r="B40" s="79" cm="1">
        <f t="array" ref="B40" xml:space="preserve"> ROW() - ROW($2:$2)</f>
        <v>38</v>
      </c>
      <c r="C40" s="212" t="s">
        <v>2297</v>
      </c>
      <c r="D40" s="212" t="s">
        <v>1544</v>
      </c>
      <c r="E40" s="216" t="s">
        <v>1712</v>
      </c>
      <c r="F40" s="132" t="str" cm="1">
        <f t="array" ref="F40" xml:space="preserve"> INDEX(韻母對照資料表[漢字例], MATCH(TRUE, EXACT($D40, 韻母對照資料表[台語音標]),0))</f>
        <v>情</v>
      </c>
      <c r="G40" s="132"/>
      <c r="H40" s="209" t="str" cm="1">
        <f t="array" ref="H40" xml:space="preserve"> INDEX(韻母對照資料表[十五音], MATCH(TRUE, EXACT($D40, 韻母對照資料表[台語音標]),0))</f>
        <v>經</v>
      </c>
      <c r="I40" s="74" t="str" cm="1">
        <f t="array" ref="I40" xml:space="preserve"> INDEX(韻母對照資料表[白話字], MATCH(TRUE, EXACT($D40, 韻母對照資料表[台語音標]),0))</f>
        <v>eng</v>
      </c>
      <c r="J40" s="74" t="str" cm="1">
        <f t="array" ref="J40" xml:space="preserve"> INDEX(韻母對照資料表[台羅拼音], MATCH(TRUE, EXACT($D40, 韻母對照資料表[台語音標]),0))</f>
        <v>ing</v>
      </c>
      <c r="K40" s="74" t="str" cm="1">
        <f t="array" ref="K40" xml:space="preserve"> INDEX(韻母對照資料表[閩拼方案], MATCH(TRUE, EXACT($D40, 韻母對照資料表[台語音標]),0))</f>
        <v>ing</v>
      </c>
      <c r="L40" s="95" t="str" cm="1">
        <f t="array" ref="L40" xml:space="preserve"> INDEX(韻母對照資料表[注音二式], MATCH(TRUE, EXACT($D40, 韻母對照資料表[台語音標]),0))</f>
        <v>ing</v>
      </c>
      <c r="M40" s="94" t="s">
        <v>1396</v>
      </c>
      <c r="N40" s="75"/>
      <c r="P40" s="234">
        <v>4</v>
      </c>
      <c r="Q40" s="99" t="s">
        <v>1293</v>
      </c>
      <c r="R40" s="98" t="s">
        <v>1605</v>
      </c>
      <c r="S40" s="96" t="s">
        <v>559</v>
      </c>
      <c r="T40" s="96"/>
      <c r="W40" s="70"/>
      <c r="X40" s="70"/>
      <c r="Y40" s="70"/>
      <c r="Z40" s="70"/>
    </row>
    <row r="41" spans="2:26" ht="57.75">
      <c r="B41" s="79" cm="1">
        <f t="array" ref="B41" xml:space="preserve"> ROW() - ROW($2:$2)</f>
        <v>39</v>
      </c>
      <c r="C41" s="226" t="s">
        <v>1785</v>
      </c>
      <c r="D41" s="226" t="s">
        <v>1713</v>
      </c>
      <c r="E41" s="227" t="s">
        <v>2299</v>
      </c>
      <c r="F41" s="220" t="str" cm="1">
        <f t="array" ref="F41" xml:space="preserve"> INDEX(韻母對照資料表[漢字例], MATCH(TRUE, EXACT($D41, 韻母對照資料表[台語音標]),0))</f>
        <v>益</v>
      </c>
      <c r="G41" s="220"/>
      <c r="H41" s="209" t="str" cm="1">
        <f t="array" ref="H41" xml:space="preserve"> INDEX(韻母對照資料表[十五音], MATCH(TRUE, EXACT($D41, 韻母對照資料表[台語音標]),0))</f>
        <v>經</v>
      </c>
      <c r="I41" s="74" t="str" cm="1">
        <f t="array" ref="I41" xml:space="preserve"> INDEX(韻母對照資料表[白話字], MATCH(TRUE, EXACT($D41, 韻母對照資料表[台語音標]),0))</f>
        <v>ek</v>
      </c>
      <c r="J41" s="74" t="str" cm="1">
        <f t="array" ref="J41" xml:space="preserve"> INDEX(韻母對照資料表[台羅拼音], MATCH(TRUE, EXACT($D41, 韻母對照資料表[台語音標]),0))</f>
        <v>ik</v>
      </c>
      <c r="K41" s="74" t="str" cm="1">
        <f t="array" ref="K41" xml:space="preserve"> INDEX(韻母對照資料表[閩拼方案], MATCH(TRUE, EXACT($D41, 韻母對照資料表[台語音標]),0))</f>
        <v>ik</v>
      </c>
      <c r="L41" s="228" t="str" cm="1">
        <f t="array" ref="L41" xml:space="preserve"> INDEX(韻母對照資料表[注音二式], MATCH(TRUE, EXACT($D41, 韻母對照資料表[台語音標]),0))</f>
        <v>ik</v>
      </c>
      <c r="M41" s="94" t="s">
        <v>1396</v>
      </c>
      <c r="N41" s="75" t="s">
        <v>1447</v>
      </c>
      <c r="P41" s="234">
        <v>5</v>
      </c>
      <c r="Q41" s="99" t="s">
        <v>1617</v>
      </c>
      <c r="R41" s="98" t="s">
        <v>1616</v>
      </c>
      <c r="S41" s="123" t="s">
        <v>875</v>
      </c>
      <c r="T41" s="123" t="s">
        <v>887</v>
      </c>
      <c r="W41" s="70"/>
      <c r="X41" s="70"/>
      <c r="Y41" s="70"/>
      <c r="Z41" s="70"/>
    </row>
    <row r="42" spans="2:26" ht="57.75">
      <c r="B42" s="79" cm="1">
        <f t="array" ref="B42" xml:space="preserve"> ROW() - ROW($2:$2)</f>
        <v>40</v>
      </c>
      <c r="C42" s="231" t="s">
        <v>1714</v>
      </c>
      <c r="D42" s="231" t="s">
        <v>1145</v>
      </c>
      <c r="E42" s="227" t="s">
        <v>336</v>
      </c>
      <c r="F42" s="132" t="s">
        <v>1144</v>
      </c>
      <c r="G42" s="132"/>
      <c r="H42" s="209" t="s">
        <v>1143</v>
      </c>
      <c r="I42" s="74" t="s">
        <v>1146</v>
      </c>
      <c r="J42" s="74" t="s">
        <v>1145</v>
      </c>
      <c r="K42" s="74" t="s">
        <v>1145</v>
      </c>
      <c r="L42" s="228" t="s">
        <v>1145</v>
      </c>
      <c r="M42" s="94" t="s">
        <v>1396</v>
      </c>
      <c r="N42" s="75"/>
      <c r="Q42" s="70"/>
      <c r="R42" s="70"/>
      <c r="S42" s="70"/>
      <c r="T42" s="70"/>
      <c r="W42" s="70"/>
      <c r="X42" s="70"/>
      <c r="Y42" s="70"/>
      <c r="Z42" s="70"/>
    </row>
    <row r="43" spans="2:26" ht="58.5" thickBot="1">
      <c r="B43" s="122" cm="1">
        <f t="array" ref="B43" xml:space="preserve"> ROW() - ROW($2:$2)</f>
        <v>41</v>
      </c>
      <c r="C43" s="232" t="s">
        <v>1715</v>
      </c>
      <c r="D43" s="232" t="s">
        <v>2301</v>
      </c>
      <c r="E43" s="218" t="s">
        <v>2300</v>
      </c>
      <c r="F43" s="136" t="s">
        <v>2302</v>
      </c>
      <c r="G43" s="136"/>
      <c r="H43" s="211" t="s">
        <v>1143</v>
      </c>
      <c r="I43" s="76" t="s">
        <v>1150</v>
      </c>
      <c r="J43" s="76" t="s">
        <v>1149</v>
      </c>
      <c r="K43" s="76" t="s">
        <v>1149</v>
      </c>
      <c r="L43" s="208" t="s">
        <v>1845</v>
      </c>
      <c r="M43" s="116" t="s">
        <v>1396</v>
      </c>
      <c r="N43" s="77"/>
      <c r="P43" s="87" t="s">
        <v>1019</v>
      </c>
      <c r="Q43" s="90" t="s">
        <v>1553</v>
      </c>
      <c r="R43" s="89" t="s">
        <v>1552</v>
      </c>
      <c r="S43" s="88" t="s">
        <v>1554</v>
      </c>
      <c r="T43" s="88" t="s">
        <v>1555</v>
      </c>
      <c r="W43" s="70"/>
      <c r="X43" s="70"/>
      <c r="Y43" s="70"/>
      <c r="Z43" s="70"/>
    </row>
    <row r="44" spans="2:26" ht="58.5" thickTop="1">
      <c r="B44" s="79" cm="1">
        <f t="array" ref="B44" xml:space="preserve"> ROW() - ROW($2:$2)</f>
        <v>42</v>
      </c>
      <c r="C44" s="212" t="s">
        <v>1700</v>
      </c>
      <c r="D44" s="212" t="s">
        <v>2293</v>
      </c>
      <c r="E44" s="216" t="s">
        <v>1702</v>
      </c>
      <c r="F44" s="139" t="str" cm="1">
        <f t="array" ref="F44" xml:space="preserve"> INDEX(韻母對照資料表[漢字例], MATCH(TRUE, EXACT($D44, 韻母對照資料表[台語音標]),0))</f>
        <v>掀</v>
      </c>
      <c r="G44" s="139"/>
      <c r="H44" s="209" t="str" cm="1">
        <f t="array" ref="H44" xml:space="preserve"> INDEX(韻母對照資料表[十五音], MATCH(TRUE, EXACT($D44, 韻母對照資料表[台語音標]),0))</f>
        <v>堅</v>
      </c>
      <c r="I44" s="80" t="str" cm="1">
        <f t="array" ref="I44" xml:space="preserve"> INDEX(韻母對照資料表[白話字], MATCH(TRUE, EXACT($D44, 韻母對照資料表[台語音標]),0))</f>
        <v>ian</v>
      </c>
      <c r="J44" s="80" t="str" cm="1">
        <f t="array" ref="J44" xml:space="preserve"> INDEX(韻母對照資料表[台羅拼音], MATCH(TRUE, EXACT($D44, 韻母對照資料表[台語音標]),0))</f>
        <v>ian</v>
      </c>
      <c r="K44" s="80" t="str" cm="1">
        <f t="array" ref="K44" xml:space="preserve"> INDEX(韻母對照資料表[閩拼方案], MATCH(TRUE, EXACT($D44, 韻母對照資料表[台語音標]),0))</f>
        <v>ian</v>
      </c>
      <c r="L44" s="95" t="str" cm="1">
        <f t="array" ref="L44" xml:space="preserve"> INDEX(韻母對照資料表[注音二式], MATCH(TRUE, EXACT($D44, 韻母對照資料表[台語音標]),0))</f>
        <v>ian</v>
      </c>
      <c r="M44" s="94" t="s">
        <v>1396</v>
      </c>
      <c r="N44" s="75"/>
      <c r="P44" s="234">
        <v>1</v>
      </c>
      <c r="Q44" s="99" t="s">
        <v>306</v>
      </c>
      <c r="R44" s="98" t="s">
        <v>1621</v>
      </c>
      <c r="S44" s="96" t="s">
        <v>1620</v>
      </c>
      <c r="T44" s="96" t="str">
        <f xml:space="preserve"> LEFT(S44, IF(LEN(S44)=1, 1, LEN(S44)-1)) &amp; "ㆴ"</f>
        <v>ㄧㆴ</v>
      </c>
      <c r="W44" s="70"/>
      <c r="X44" s="70"/>
      <c r="Y44" s="70"/>
      <c r="Z44" s="70"/>
    </row>
    <row r="45" spans="2:26" ht="57.75">
      <c r="B45" s="79" cm="1">
        <f t="array" ref="B45" xml:space="preserve"> ROW() - ROW($2:$2)</f>
        <v>43</v>
      </c>
      <c r="C45" s="212" t="s">
        <v>1701</v>
      </c>
      <c r="D45" s="212" t="s">
        <v>2288</v>
      </c>
      <c r="E45" s="216" t="s">
        <v>1703</v>
      </c>
      <c r="F45" s="139" t="str" cm="1">
        <f t="array" ref="F45" xml:space="preserve"> INDEX(韻母對照資料表[漢字例], MATCH(TRUE, EXACT($D45, 韻母對照資料表[台語音標]),0))</f>
        <v>別</v>
      </c>
      <c r="G45" s="139"/>
      <c r="H45" s="209" t="str" cm="1">
        <f t="array" ref="H45" xml:space="preserve"> INDEX(韻母對照資料表[十五音], MATCH(TRUE, EXACT($D45, 韻母對照資料表[台語音標]),0))</f>
        <v>堅</v>
      </c>
      <c r="I45" s="80" t="str" cm="1">
        <f t="array" ref="I45" xml:space="preserve"> INDEX(韻母對照資料表[白話字], MATCH(TRUE, EXACT($D45, 韻母對照資料表[台語音標]),0))</f>
        <v>iat</v>
      </c>
      <c r="J45" s="80" t="str" cm="1">
        <f t="array" ref="J45" xml:space="preserve"> INDEX(韻母對照資料表[台羅拼音], MATCH(TRUE, EXACT($D45, 韻母對照資料表[台語音標]),0))</f>
        <v>iat</v>
      </c>
      <c r="K45" s="80" t="str" cm="1">
        <f t="array" ref="K45" xml:space="preserve"> INDEX(韻母對照資料表[閩拼方案], MATCH(TRUE, EXACT($D45, 韻母對照資料表[台語音標]),0))</f>
        <v>iat</v>
      </c>
      <c r="L45" s="95" t="str" cm="1">
        <f t="array" ref="L45" xml:space="preserve"> INDEX(韻母對照資料表[注音二式], MATCH(TRUE, EXACT($D45, 韻母對照資料表[台語音標]),0))</f>
        <v>iat</v>
      </c>
      <c r="M45" s="94" t="s">
        <v>1396</v>
      </c>
      <c r="N45" s="75"/>
      <c r="P45" s="234">
        <f>P44+1</f>
        <v>2</v>
      </c>
      <c r="Q45" s="99" t="s">
        <v>67</v>
      </c>
      <c r="R45" s="98" t="s">
        <v>1573</v>
      </c>
      <c r="S45" s="96" t="s">
        <v>1624</v>
      </c>
      <c r="T45" s="96" t="str">
        <f xml:space="preserve"> LEFT(S45, IF(LEN(S45)=1, 1, LEN(S45)-1)) &amp; "ㆴ"</f>
        <v>ㆰㆴ</v>
      </c>
      <c r="W45" s="70"/>
      <c r="X45" s="70"/>
      <c r="Y45" s="70"/>
      <c r="Z45" s="70"/>
    </row>
    <row r="46" spans="2:26" ht="57.75">
      <c r="B46" s="79" cm="1">
        <f t="array" ref="B46" xml:space="preserve"> ROW() - ROW($2:$2)</f>
        <v>44</v>
      </c>
      <c r="C46" s="212" t="s">
        <v>697</v>
      </c>
      <c r="D46" s="212" t="s">
        <v>1630</v>
      </c>
      <c r="E46" s="216" t="s">
        <v>2267</v>
      </c>
      <c r="F46" s="132" t="str" cm="1">
        <f t="array" ref="F46" xml:space="preserve"> INDEX(韻母對照資料表[漢字例], MATCH(TRUE, EXACT($D46, 韻母對照資料表[台語音標]),0))</f>
        <v>風</v>
      </c>
      <c r="G46" s="132"/>
      <c r="H46" s="209" t="str" cm="1">
        <f t="array" ref="H46" xml:space="preserve"> INDEX(韻母對照資料表[十五音], MATCH(TRUE, EXACT($D46, 韻母對照資料表[台語音標]),0))</f>
        <v>公</v>
      </c>
      <c r="I46" s="74" t="str" cm="1">
        <f t="array" ref="I46" xml:space="preserve"> INDEX(韻母對照資料表[白話字], MATCH(TRUE, EXACT($D46, 韻母對照資料表[台語音標]),0))</f>
        <v>ong</v>
      </c>
      <c r="J46" s="74" t="str" cm="1">
        <f t="array" ref="J46" xml:space="preserve"> INDEX(韻母對照資料表[台羅拼音], MATCH(TRUE, EXACT($D46, 韻母對照資料表[台語音標]),0))</f>
        <v>ong</v>
      </c>
      <c r="K46" s="74" t="str" cm="1">
        <f t="array" ref="K46" xml:space="preserve"> INDEX(韻母對照資料表[閩拼方案], MATCH(TRUE, EXACT($D46, 韻母對照資料表[台語音標]),0))</f>
        <v>ong</v>
      </c>
      <c r="L46" s="95" t="str" cm="1">
        <f t="array" ref="L46" xml:space="preserve"> INDEX(韻母對照資料表[注音二式], MATCH(TRUE, EXACT($D46, 韻母對照資料表[台語音標]),0))</f>
        <v>ong</v>
      </c>
      <c r="M46" s="94" t="s">
        <v>2321</v>
      </c>
      <c r="N46" s="75" t="s">
        <v>1628</v>
      </c>
      <c r="Q46" s="70"/>
      <c r="R46" s="70"/>
      <c r="S46" s="70"/>
      <c r="T46" s="70"/>
      <c r="W46" s="70"/>
      <c r="X46" s="70"/>
      <c r="Y46" s="70"/>
      <c r="Z46" s="70"/>
    </row>
    <row r="47" spans="2:26" ht="57.75">
      <c r="B47" s="79" cm="1">
        <f t="array" ref="B47" xml:space="preserve"> ROW() - ROW($2:$2)</f>
        <v>45</v>
      </c>
      <c r="C47" s="212" t="s">
        <v>1705</v>
      </c>
      <c r="D47" s="212" t="s">
        <v>1747</v>
      </c>
      <c r="E47" s="216" t="s">
        <v>2269</v>
      </c>
      <c r="F47" s="132" t="str" cm="1">
        <f t="array" ref="F47" xml:space="preserve"> INDEX(韻母對照資料表[漢字例], MATCH(TRUE, EXACT($D47, 韻母對照資料表[台語音標]),0))</f>
        <v>福</v>
      </c>
      <c r="G47" s="132"/>
      <c r="H47" s="209" t="str" cm="1">
        <f t="array" ref="H47" xml:space="preserve"> INDEX(韻母對照資料表[十五音], MATCH(TRUE, EXACT($D47, 韻母對照資料表[台語音標]),0))</f>
        <v>公</v>
      </c>
      <c r="I47" s="74" t="str" cm="1">
        <f t="array" ref="I47" xml:space="preserve"> INDEX(韻母對照資料表[白話字], MATCH(TRUE, EXACT($D47, 韻母對照資料表[台語音標]),0))</f>
        <v>ok</v>
      </c>
      <c r="J47" s="74" t="str" cm="1">
        <f t="array" ref="J47" xml:space="preserve"> INDEX(韻母對照資料表[台羅拼音], MATCH(TRUE, EXACT($D47, 韻母對照資料表[台語音標]),0))</f>
        <v>ok</v>
      </c>
      <c r="K47" s="74" t="str" cm="1">
        <f t="array" ref="K47" xml:space="preserve"> INDEX(韻母對照資料表[閩拼方案], MATCH(TRUE, EXACT($D47, 韻母對照資料表[台語音標]),0))</f>
        <v>ok</v>
      </c>
      <c r="L47" s="95" t="str" cm="1">
        <f t="array" ref="L47" xml:space="preserve"> INDEX(韻母對照資料表[注音二式], MATCH(TRUE, EXACT($D47, 韻母對照資料表[台語音標]),0))</f>
        <v>ok</v>
      </c>
      <c r="M47" s="94" t="s">
        <v>1396</v>
      </c>
      <c r="N47" s="75"/>
      <c r="P47" s="81" t="s">
        <v>1634</v>
      </c>
      <c r="W47" s="70"/>
      <c r="X47" s="70"/>
      <c r="Y47" s="70"/>
      <c r="Z47" s="70"/>
    </row>
    <row r="48" spans="2:26" ht="57.75">
      <c r="B48" s="79" cm="1">
        <f t="array" ref="B48" xml:space="preserve"> ROW() - ROW($2:$2)</f>
        <v>46</v>
      </c>
      <c r="C48" s="212" t="s">
        <v>693</v>
      </c>
      <c r="D48" s="212" t="s">
        <v>1542</v>
      </c>
      <c r="E48" s="216" t="s">
        <v>2278</v>
      </c>
      <c r="F48" s="132" t="str" cm="1">
        <f t="array" ref="F48" xml:space="preserve"> INDEX(韻母對照資料表[漢字例], MATCH(TRUE, EXACT($D48, 韻母對照資料表[台語音標]),0))</f>
        <v>丼</v>
      </c>
      <c r="G48" s="132"/>
      <c r="H48" s="209" t="str" cm="1">
        <f t="array" ref="H48" xml:space="preserve"> INDEX(韻母對照資料表[十五音], MATCH(TRUE, EXACT($D48, 韻母對照資料表[台語音標]),0))</f>
        <v>箴</v>
      </c>
      <c r="I48" s="74" t="str" cm="1">
        <f t="array" ref="I48" xml:space="preserve"> INDEX(韻母對照資料表[白話字], MATCH(TRUE, EXACT($D48, 韻母對照資料表[台語音標]),0))</f>
        <v>om</v>
      </c>
      <c r="J48" s="74" t="str" cm="1">
        <f t="array" ref="J48" xml:space="preserve"> INDEX(韻母對照資料表[台羅拼音], MATCH(TRUE, EXACT($D48, 韻母對照資料表[台語音標]),0))</f>
        <v>om</v>
      </c>
      <c r="K48" s="74" t="str" cm="1">
        <f t="array" ref="K48" xml:space="preserve"> INDEX(韻母對照資料表[閩拼方案], MATCH(TRUE, EXACT($D48, 韻母對照資料表[台語音標]),0))</f>
        <v>om</v>
      </c>
      <c r="L48" s="95" t="str" cm="1">
        <f t="array" ref="L48" xml:space="preserve"> INDEX(韻母對照資料表[注音二式], MATCH(TRUE, EXACT($D48, 韻母對照資料表[台語音標]),0))</f>
        <v>oom</v>
      </c>
      <c r="M48" s="94" t="s">
        <v>1579</v>
      </c>
      <c r="N48" s="75" t="s">
        <v>5</v>
      </c>
      <c r="P48" s="234">
        <v>1</v>
      </c>
      <c r="Q48" s="99" t="s">
        <v>1579</v>
      </c>
      <c r="R48" s="98" t="s">
        <v>8</v>
      </c>
      <c r="S48" s="96" t="s">
        <v>1622</v>
      </c>
      <c r="T48" s="96" t="str">
        <f t="shared" ref="T48:T53" si="2" xml:space="preserve"> LEFT(S48, IF(LEN(S48)=1, 1, LEN(S48)-1)) &amp; "ㆵ"</f>
        <v>ㄣㆵ</v>
      </c>
      <c r="W48" s="70"/>
      <c r="X48" s="70"/>
      <c r="Y48" s="70"/>
      <c r="Z48" s="70"/>
    </row>
    <row r="49" spans="2:26" ht="57.75">
      <c r="B49" s="79" cm="1">
        <f t="array" ref="B49" xml:space="preserve"> ROW() - ROW($2:$2)</f>
        <v>47</v>
      </c>
      <c r="C49" s="212" t="s">
        <v>1704</v>
      </c>
      <c r="D49" s="212" t="s">
        <v>1746</v>
      </c>
      <c r="E49" s="216" t="s">
        <v>2268</v>
      </c>
      <c r="F49" s="132" t="str" cm="1">
        <f t="array" ref="F49" xml:space="preserve"> INDEX(韻母對照資料表[漢字例], MATCH(TRUE, EXACT($D49, 韻母對照資料表[台語音標]),0))</f>
        <v>吷</v>
      </c>
      <c r="G49" s="132"/>
      <c r="H49" s="209" t="str" cm="1">
        <f t="array" ref="H49" xml:space="preserve"> INDEX(韻母對照資料表[十五音], MATCH(TRUE, EXACT($D49, 韻母對照資料表[台語音標]),0))</f>
        <v>箴</v>
      </c>
      <c r="I49" s="74" t="str" cm="1">
        <f t="array" ref="I49" xml:space="preserve"> INDEX(韻母對照資料表[白話字], MATCH(TRUE, EXACT($D49, 韻母對照資料表[台語音標]),0))</f>
        <v>op</v>
      </c>
      <c r="J49" s="74" t="str" cm="1">
        <f t="array" ref="J49" xml:space="preserve"> INDEX(韻母對照資料表[台羅拼音], MATCH(TRUE, EXACT($D49, 韻母對照資料表[台語音標]),0))</f>
        <v>op</v>
      </c>
      <c r="K49" s="74" t="str" cm="1">
        <f t="array" ref="K49" xml:space="preserve"> INDEX(韻母對照資料表[閩拼方案], MATCH(TRUE, EXACT($D49, 韻母對照資料表[台語音標]),0))</f>
        <v>op</v>
      </c>
      <c r="L49" s="95" t="str" cm="1">
        <f t="array" ref="L49" xml:space="preserve"> INDEX(韻母對照資料表[注音二式], MATCH(TRUE, EXACT($D49, 韻母對照資料表[台語音標]),0))</f>
        <v>oop</v>
      </c>
      <c r="M49" s="94" t="s">
        <v>1396</v>
      </c>
      <c r="N49" s="75"/>
      <c r="P49" s="234">
        <v>2</v>
      </c>
      <c r="Q49" s="99" t="s">
        <v>1635</v>
      </c>
      <c r="R49" s="98" t="s">
        <v>319</v>
      </c>
      <c r="S49" s="96" t="s">
        <v>320</v>
      </c>
      <c r="T49" s="96" t="str">
        <f t="shared" si="2"/>
        <v>ㄧㆵ</v>
      </c>
      <c r="W49" s="70"/>
      <c r="X49" s="70"/>
      <c r="Y49" s="70"/>
      <c r="Z49" s="70"/>
    </row>
    <row r="50" spans="2:26" ht="57.75">
      <c r="B50" s="79" cm="1">
        <f t="array" ref="B50" xml:space="preserve"> ROW() - ROW($2:$2)</f>
        <v>48</v>
      </c>
      <c r="C50" s="212" t="s">
        <v>1710</v>
      </c>
      <c r="D50" s="212" t="s">
        <v>1710</v>
      </c>
      <c r="E50" s="216" t="s">
        <v>1708</v>
      </c>
      <c r="F50" s="132" t="str" cm="1">
        <f t="array" ref="F50" xml:space="preserve"> INDEX(韻母對照資料表[漢字例], MATCH(TRUE, EXACT($D50, 韻母對照資料表[台語音標]),0))</f>
        <v>名</v>
      </c>
      <c r="G50" s="132"/>
      <c r="H50" s="209" t="str" cm="1">
        <f t="array" ref="H50" xml:space="preserve"> INDEX(韻母對照資料表[十五音], MATCH(TRUE, EXACT($D50, 韻母對照資料表[台語音標]),0))</f>
        <v>迦</v>
      </c>
      <c r="I50" s="74" t="str" cm="1">
        <f t="array" ref="I50" xml:space="preserve"> INDEX(韻母對照資料表[白話字], MATCH(TRUE, EXACT($D50, 韻母對照資料表[台語音標]),0))</f>
        <v>ia</v>
      </c>
      <c r="J50" s="74" t="str" cm="1">
        <f t="array" ref="J50" xml:space="preserve"> INDEX(韻母對照資料表[台羅拼音], MATCH(TRUE, EXACT($D50, 韻母對照資料表[台語音標]),0))</f>
        <v>ia</v>
      </c>
      <c r="K50" s="74" t="str" cm="1">
        <f t="array" ref="K50" xml:space="preserve"> INDEX(韻母對照資料表[閩拼方案], MATCH(TRUE, EXACT($D50, 韻母對照資料表[台語音標]),0))</f>
        <v>ia</v>
      </c>
      <c r="L50" s="95" t="str" cm="1">
        <f t="array" ref="L50" xml:space="preserve"> INDEX(韻母對照資料表[注音二式], MATCH(TRUE, EXACT($D50, 韻母對照資料表[台語音標]),0))</f>
        <v>ia</v>
      </c>
      <c r="M50" s="94" t="s">
        <v>1396</v>
      </c>
      <c r="N50" s="75"/>
      <c r="P50" s="234">
        <v>3</v>
      </c>
      <c r="Q50" s="99" t="s">
        <v>1636</v>
      </c>
      <c r="R50" s="106" t="s">
        <v>760</v>
      </c>
      <c r="S50" s="96" t="s">
        <v>761</v>
      </c>
      <c r="T50" s="96" t="str">
        <f t="shared" si="2"/>
        <v>ㄨㆵ</v>
      </c>
      <c r="W50" s="70"/>
      <c r="X50" s="70"/>
      <c r="Y50" s="70"/>
      <c r="Z50" s="70"/>
    </row>
    <row r="51" spans="2:26" ht="57.75">
      <c r="B51" s="79" cm="1">
        <f t="array" ref="B51" xml:space="preserve"> ROW() - ROW($2:$2)</f>
        <v>49</v>
      </c>
      <c r="C51" s="212" t="s">
        <v>1728</v>
      </c>
      <c r="D51" s="212" t="s">
        <v>1728</v>
      </c>
      <c r="E51" s="216" t="s">
        <v>1726</v>
      </c>
      <c r="F51" s="132" t="str" cm="1">
        <f t="array" ref="F51" xml:space="preserve"> INDEX(韻母對照資料表[漢字例], MATCH(TRUE, EXACT($D51, 韻母對照資料表[台語音標]),0))</f>
        <v>遙</v>
      </c>
      <c r="G51" s="132"/>
      <c r="H51" s="209" t="str" cm="1">
        <f t="array" ref="H51" xml:space="preserve"> INDEX(韻母對照資料表[十五音], MATCH(TRUE, EXACT($D51, 韻母對照資料表[台語音標]),0))</f>
        <v>嬌</v>
      </c>
      <c r="I51" s="74" t="str" cm="1">
        <f t="array" ref="I51" xml:space="preserve"> INDEX(韻母對照資料表[白話字], MATCH(TRUE, EXACT($D51, 韻母對照資料表[台語音標]),0))</f>
        <v>iau</v>
      </c>
      <c r="J51" s="74" t="str" cm="1">
        <f t="array" ref="J51" xml:space="preserve"> INDEX(韻母對照資料表[台羅拼音], MATCH(TRUE, EXACT($D51, 韻母對照資料表[台語音標]),0))</f>
        <v>iau</v>
      </c>
      <c r="K51" s="74" t="str" cm="1">
        <f t="array" ref="K51" xml:space="preserve"> INDEX(韻母對照資料表[閩拼方案], MATCH(TRUE, EXACT($D51, 韻母對照資料表[台語音標]),0))</f>
        <v>iao</v>
      </c>
      <c r="L51" s="95" t="str" cm="1">
        <f t="array" ref="L51" xml:space="preserve"> INDEX(韻母對照資料表[注音二式], MATCH(TRUE, EXACT($D51, 韻母對照資料表[台語音標]),0))</f>
        <v>iau</v>
      </c>
      <c r="M51" s="94" t="s">
        <v>1396</v>
      </c>
      <c r="N51" s="75"/>
      <c r="P51" s="234">
        <v>4</v>
      </c>
      <c r="Q51" s="99" t="s">
        <v>1574</v>
      </c>
      <c r="R51" s="98" t="s">
        <v>79</v>
      </c>
      <c r="S51" s="96" t="s">
        <v>80</v>
      </c>
      <c r="T51" s="96" t="str">
        <f t="shared" si="2"/>
        <v>ㄢㆵ</v>
      </c>
      <c r="W51" s="70"/>
      <c r="X51" s="70"/>
      <c r="Y51" s="70"/>
      <c r="Z51" s="70"/>
    </row>
    <row r="52" spans="2:26" ht="57.75">
      <c r="B52" s="79" cm="1">
        <f t="array" ref="B52" xml:space="preserve"> ROW() - ROW($2:$2)</f>
        <v>50</v>
      </c>
      <c r="C52" s="212" t="s">
        <v>1711</v>
      </c>
      <c r="D52" s="212" t="s">
        <v>1711</v>
      </c>
      <c r="E52" s="216" t="s">
        <v>1709</v>
      </c>
      <c r="F52" s="132" t="str" cm="1">
        <f t="array" ref="F52" xml:space="preserve"> INDEX(韻母對照資料表[漢字例], MATCH(TRUE, EXACT($D52, 韻母對照資料表[台語音標]),0))</f>
        <v>油</v>
      </c>
      <c r="G52" s="132"/>
      <c r="H52" s="209" t="str" cm="1">
        <f t="array" ref="H52" xml:space="preserve"> INDEX(韻母對照資料表[十五音], MATCH(TRUE, EXACT($D52, 韻母對照資料表[台語音標]),0))</f>
        <v>丩</v>
      </c>
      <c r="I52" s="74" t="str" cm="1">
        <f t="array" ref="I52" xml:space="preserve"> INDEX(韻母對照資料表[白話字], MATCH(TRUE, EXACT($D52, 韻母對照資料表[台語音標]),0))</f>
        <v>iu</v>
      </c>
      <c r="J52" s="74" t="str" cm="1">
        <f t="array" ref="J52" xml:space="preserve"> INDEX(韻母對照資料表[台羅拼音], MATCH(TRUE, EXACT($D52, 韻母對照資料表[台語音標]),0))</f>
        <v>iu</v>
      </c>
      <c r="K52" s="74" t="str" cm="1">
        <f t="array" ref="K52" xml:space="preserve"> INDEX(韻母對照資料表[閩拼方案], MATCH(TRUE, EXACT($D52, 韻母對照資料表[台語音標]),0))</f>
        <v>iu</v>
      </c>
      <c r="L52" s="95" t="str" cm="1">
        <f t="array" ref="L52" xml:space="preserve"> INDEX(韻母對照資料表[注音二式], MATCH(TRUE, EXACT($D52, 韻母對照資料表[台語音標]),0))</f>
        <v>iu</v>
      </c>
      <c r="M52" s="94" t="s">
        <v>1396</v>
      </c>
      <c r="N52" s="75"/>
      <c r="P52" s="234">
        <v>5</v>
      </c>
      <c r="Q52" s="99" t="s">
        <v>1637</v>
      </c>
      <c r="R52" s="98" t="s">
        <v>1112</v>
      </c>
      <c r="S52" s="96" t="s">
        <v>451</v>
      </c>
      <c r="T52" s="96" t="str">
        <f t="shared" si="2"/>
        <v>ㄧㆵ</v>
      </c>
      <c r="W52" s="70"/>
      <c r="X52" s="70"/>
      <c r="Y52" s="70"/>
      <c r="Z52" s="70"/>
    </row>
    <row r="53" spans="2:26" ht="57.75">
      <c r="B53" s="79" cm="1">
        <f t="array" ref="B53" xml:space="preserve"> ROW() - ROW($2:$2)</f>
        <v>51</v>
      </c>
      <c r="C53" s="212" t="s">
        <v>1743</v>
      </c>
      <c r="D53" s="212" t="s">
        <v>1716</v>
      </c>
      <c r="E53" s="216" t="s">
        <v>1720</v>
      </c>
      <c r="F53" s="132" t="str" cm="1">
        <f t="array" ref="F53" xml:space="preserve"> INDEX(韻母對照資料表[漢字例], MATCH(TRUE, EXACT($D53, 韻母對照資料表[台語音標]),0))</f>
        <v>少</v>
      </c>
      <c r="G53" s="132"/>
      <c r="H53" s="209" t="str" cm="1">
        <f t="array" ref="H53" xml:space="preserve"> INDEX(韻母對照資料表[十五音], MATCH(TRUE, EXACT($D53, 韻母對照資料表[台語音標]),0))</f>
        <v>茄</v>
      </c>
      <c r="I53" s="74" t="str" cm="1">
        <f t="array" ref="I53" xml:space="preserve"> INDEX(韻母對照資料表[白話字], MATCH(TRUE, EXACT($D53, 韻母對照資料表[台語音標]),0))</f>
        <v>io</v>
      </c>
      <c r="J53" s="74" t="str" cm="1">
        <f t="array" ref="J53" xml:space="preserve"> INDEX(韻母對照資料表[台羅拼音], MATCH(TRUE, EXACT($D53, 韻母對照資料表[台語音標]),0))</f>
        <v>io</v>
      </c>
      <c r="K53" s="74" t="str" cm="1">
        <f t="array" ref="K53" xml:space="preserve"> INDEX(韻母對照資料表[閩拼方案], MATCH(TRUE, EXACT($D53, 韻母對照資料表[台語音標]),0))</f>
        <v>io</v>
      </c>
      <c r="L53" s="95" t="str" cm="1">
        <f t="array" ref="L53" xml:space="preserve"> INDEX(韻母對照資料表[注音二式], MATCH(TRUE, EXACT($D53, 韻母對照資料表[台語音標]),0))</f>
        <v>ior</v>
      </c>
      <c r="M53" s="94" t="s">
        <v>1396</v>
      </c>
      <c r="N53" s="75"/>
      <c r="P53" s="234">
        <v>6</v>
      </c>
      <c r="Q53" s="99" t="s">
        <v>1638</v>
      </c>
      <c r="R53" s="98" t="s">
        <v>835</v>
      </c>
      <c r="S53" s="96" t="s">
        <v>836</v>
      </c>
      <c r="T53" s="96" t="str">
        <f t="shared" si="2"/>
        <v>ㄨㆵ</v>
      </c>
      <c r="W53" s="70"/>
      <c r="X53" s="70"/>
      <c r="Y53" s="70"/>
      <c r="Z53" s="70"/>
    </row>
    <row r="54" spans="2:26" ht="57.75">
      <c r="B54" s="79" cm="1">
        <f t="array" ref="B54" xml:space="preserve"> ROW() - ROW($2:$2)</f>
        <v>52</v>
      </c>
      <c r="C54" s="212" t="s">
        <v>1718</v>
      </c>
      <c r="D54" s="212" t="s">
        <v>1717</v>
      </c>
      <c r="E54" s="216" t="s">
        <v>1719</v>
      </c>
      <c r="F54" s="137" t="str" cm="1">
        <f t="array" ref="F54" xml:space="preserve"> INDEX(韻母對照資料表[漢字例], MATCH(TRUE, EXACT($D54, 韻母對照資料表[台語音標]),0))</f>
        <v>中</v>
      </c>
      <c r="G54" s="137"/>
      <c r="H54" s="209" t="str" cm="1">
        <f t="array" ref="H54" xml:space="preserve"> INDEX(韻母對照資料表[十五音], MATCH(TRUE, EXACT($D54, 韻母對照資料表[台語音標]),0))</f>
        <v>恭</v>
      </c>
      <c r="I54" s="74" t="str" cm="1">
        <f t="array" ref="I54" xml:space="preserve"> INDEX(韻母對照資料表[白話字], MATCH(TRUE, EXACT($D54, 韻母對照資料表[台語音標]),0))</f>
        <v>iong</v>
      </c>
      <c r="J54" s="74" t="str" cm="1">
        <f t="array" ref="J54" xml:space="preserve"> INDEX(韻母對照資料表[台羅拼音], MATCH(TRUE, EXACT($D54, 韻母對照資料表[台語音標]),0))</f>
        <v>iong</v>
      </c>
      <c r="K54" s="74" t="str" cm="1">
        <f t="array" ref="K54" xml:space="preserve"> INDEX(韻母對照資料表[閩拼方案], MATCH(TRUE, EXACT($D54, 韻母對照資料表[台語音標]),0))</f>
        <v>iong</v>
      </c>
      <c r="L54" s="95" t="str" cm="1">
        <f t="array" ref="L54" xml:space="preserve"> INDEX(韻母對照資料表[注音二式], MATCH(TRUE, EXACT($D54, 韻母對照資料表[台語音標]),0))</f>
        <v>iong</v>
      </c>
      <c r="M54" s="94" t="s">
        <v>1396</v>
      </c>
      <c r="N54" s="75"/>
      <c r="Q54" s="70"/>
      <c r="R54" s="70"/>
      <c r="S54" s="70"/>
      <c r="T54" s="70"/>
      <c r="W54" s="70"/>
      <c r="X54" s="70"/>
      <c r="Y54" s="70"/>
      <c r="Z54" s="70"/>
    </row>
    <row r="55" spans="2:26" ht="57.75">
      <c r="B55" s="122" cm="1">
        <f t="array" ref="B55" xml:space="preserve"> ROW() - ROW($2:$2)</f>
        <v>53</v>
      </c>
      <c r="C55" s="214" t="s">
        <v>1725</v>
      </c>
      <c r="D55" s="214" t="s">
        <v>1725</v>
      </c>
      <c r="E55" s="218" t="s">
        <v>1724</v>
      </c>
      <c r="F55" s="136" t="str" cm="1">
        <f t="array" ref="F55" xml:space="preserve"> INDEX(韻母對照資料表[漢字例], MATCH(TRUE, EXACT($D55, 韻母對照資料表[台語音標]),0))</f>
        <v>歸</v>
      </c>
      <c r="G55" s="136"/>
      <c r="H55" s="211" t="str" cm="1">
        <f t="array" ref="H55" xml:space="preserve"> INDEX(韻母對照資料表[十五音], MATCH(TRUE, EXACT($D55, 韻母對照資料表[台語音標]),0))</f>
        <v>規</v>
      </c>
      <c r="I55" s="76" t="str" cm="1">
        <f t="array" ref="I55" xml:space="preserve"> INDEX(韻母對照資料表[白話字], MATCH(TRUE, EXACT($D55, 韻母對照資料表[台語音標]),0))</f>
        <v>ui</v>
      </c>
      <c r="J55" s="76" t="str" cm="1">
        <f t="array" ref="J55" xml:space="preserve"> INDEX(韻母對照資料表[台羅拼音], MATCH(TRUE, EXACT($D55, 韻母對照資料表[台語音標]),0))</f>
        <v>ui</v>
      </c>
      <c r="K55" s="76" t="str" cm="1">
        <f t="array" ref="K55" xml:space="preserve"> INDEX(韻母對照資料表[閩拼方案], MATCH(TRUE, EXACT($D55, 韻母對照資料表[台語音標]),0))</f>
        <v>ui</v>
      </c>
      <c r="L55" s="117" t="str" cm="1">
        <f t="array" ref="L55" xml:space="preserve"> INDEX(韻母對照資料表[注音二式], MATCH(TRUE, EXACT($D55, 韻母對照資料表[台語音標]),0))</f>
        <v>ui</v>
      </c>
      <c r="M55" s="116" t="s">
        <v>1396</v>
      </c>
      <c r="N55" s="77"/>
      <c r="Q55" s="70"/>
      <c r="R55" s="70"/>
      <c r="S55" s="70"/>
      <c r="T55" s="70"/>
      <c r="W55" s="70"/>
      <c r="X55" s="70"/>
      <c r="Y55" s="70"/>
      <c r="Z55" s="70"/>
    </row>
    <row r="56" spans="2:26" ht="57.75">
      <c r="B56" s="79" cm="1">
        <f t="array" ref="B56" xml:space="preserve"> ROW() - ROW($2:$2)</f>
        <v>54</v>
      </c>
      <c r="C56" s="212" t="s">
        <v>2246</v>
      </c>
      <c r="D56" s="212" t="s">
        <v>1596</v>
      </c>
      <c r="E56" s="216" t="s">
        <v>1562</v>
      </c>
      <c r="F56" s="132" t="str" cm="1">
        <f t="array" ref="F56" xml:space="preserve"> INDEX(韻母對照資料表[漢字例], MATCH(TRUE, EXACT($D56, 韻母對照資料表[台語音標]),0))</f>
        <v>聽</v>
      </c>
      <c r="G56" s="132"/>
      <c r="H56" s="209" t="str" cm="1">
        <f t="array" ref="H56" xml:space="preserve"> INDEX(韻母對照資料表[十五音], MATCH(TRUE, EXACT($D56, 韻母對照資料表[台語音標]),0))</f>
        <v>監</v>
      </c>
      <c r="I56" s="74" t="str" cm="1">
        <f t="array" ref="I56" xml:space="preserve"> INDEX(韻母對照資料表[白話字], MATCH(TRUE, EXACT($D56, 韻母對照資料表[台語音標]),0))</f>
        <v>aⁿ</v>
      </c>
      <c r="J56" s="74" t="str" cm="1">
        <f t="array" ref="J56" xml:space="preserve"> INDEX(韻母對照資料表[台羅拼音], MATCH(TRUE, EXACT($D56, 韻母對照資料表[台語音標]),0))</f>
        <v>ann</v>
      </c>
      <c r="K56" s="74" t="str" cm="1">
        <f t="array" ref="K56" xml:space="preserve"> INDEX(韻母對照資料表[閩拼方案], MATCH(TRUE, EXACT($D56, 韻母對照資料表[台語音標]),0))</f>
        <v>na</v>
      </c>
      <c r="L56" s="95" t="str" cm="1">
        <f t="array" ref="L56" xml:space="preserve"> INDEX(韻母對照資料表[注音二式], MATCH(TRUE, EXACT($D56, 韻母對照資料表[台語音標]),0))</f>
        <v>ann</v>
      </c>
      <c r="M56" s="94" t="s">
        <v>1530</v>
      </c>
      <c r="N56" s="75" t="s">
        <v>260</v>
      </c>
      <c r="P56" s="81" t="s">
        <v>1639</v>
      </c>
      <c r="W56" s="70"/>
      <c r="X56" s="70"/>
      <c r="Y56" s="70"/>
      <c r="Z56" s="70"/>
    </row>
    <row r="57" spans="2:26" ht="58.5" thickBot="1">
      <c r="B57" s="79" cm="1">
        <f t="array" ref="B57" xml:space="preserve"> ROW() - ROW($2:$2)</f>
        <v>55</v>
      </c>
      <c r="C57" s="212" t="s">
        <v>1521</v>
      </c>
      <c r="D57" s="212" t="s">
        <v>1594</v>
      </c>
      <c r="E57" s="216" t="s">
        <v>2274</v>
      </c>
      <c r="F57" s="132" t="str" cm="1">
        <f t="array" ref="F57" xml:space="preserve"> INDEX(韻母對照資料表[漢字例], MATCH(TRUE, EXACT($D57, 韻母對照資料表[台語音標]),0))</f>
        <v>庚</v>
      </c>
      <c r="G57" s="132"/>
      <c r="H57" s="209" t="str" cm="1">
        <f t="array" ref="H57" xml:space="preserve"> INDEX(韻母對照資料表[十五音], MATCH(TRUE, EXACT($D57, 韻母對照資料表[台語音標]),0))</f>
        <v>梔</v>
      </c>
      <c r="I57" s="74" t="str" cm="1">
        <f t="array" ref="I57" xml:space="preserve"> INDEX(韻母對照資料表[白話字], MATCH(TRUE, EXACT($D57, 韻母對照資料表[台語音標]),0))</f>
        <v>iⁿ</v>
      </c>
      <c r="J57" s="74" t="str" cm="1">
        <f t="array" ref="J57" xml:space="preserve"> INDEX(韻母對照資料表[台羅拼音], MATCH(TRUE, EXACT($D57, 韻母對照資料表[台語音標]),0))</f>
        <v>inn</v>
      </c>
      <c r="K57" s="74" t="str" cm="1">
        <f t="array" ref="K57" xml:space="preserve"> INDEX(韻母對照資料表[閩拼方案], MATCH(TRUE, EXACT($D57, 韻母對照資料表[台語音標]),0))</f>
        <v>ni</v>
      </c>
      <c r="L57" s="95" t="str" cm="1">
        <f t="array" ref="L57" xml:space="preserve"> INDEX(韻母對照資料表[注音二式], MATCH(TRUE, EXACT($D57, 韻母對照資料表[台語音標]),0))</f>
        <v>inn</v>
      </c>
      <c r="M57" s="94" t="s">
        <v>1522</v>
      </c>
      <c r="N57" s="75" t="s">
        <v>1038</v>
      </c>
      <c r="P57" s="87" t="s">
        <v>1019</v>
      </c>
      <c r="Q57" s="90" t="s">
        <v>1553</v>
      </c>
      <c r="R57" s="89" t="s">
        <v>1552</v>
      </c>
      <c r="S57" s="88" t="s">
        <v>1554</v>
      </c>
      <c r="T57" s="88" t="s">
        <v>1555</v>
      </c>
      <c r="W57" s="70"/>
      <c r="X57" s="70"/>
      <c r="Y57" s="70"/>
      <c r="Z57" s="70"/>
    </row>
    <row r="58" spans="2:26" ht="58.5" thickTop="1">
      <c r="B58" s="79" cm="1">
        <f t="array" ref="B58" xml:space="preserve"> ROW() - ROW($2:$2)</f>
        <v>56</v>
      </c>
      <c r="C58" s="221" t="s">
        <v>2248</v>
      </c>
      <c r="D58" s="221" t="s">
        <v>1608</v>
      </c>
      <c r="E58" s="222" t="s">
        <v>1749</v>
      </c>
      <c r="F58" s="139" t="e" cm="1">
        <f t="array" ref="F58" xml:space="preserve"> INDEX(韻母對照資料表[漢字例], MATCH(TRUE, EXACT($D58, 韻母對照資料表[台語音標]),0))</f>
        <v>#N/A</v>
      </c>
      <c r="G58" s="139"/>
      <c r="H58" s="223" t="e" cm="1">
        <f t="array" ref="H58" xml:space="preserve"> INDEX(韻母對照資料表[十五音], MATCH(TRUE, EXACT($D58, 韻母對照資料表[台語音標]),0))</f>
        <v>#N/A</v>
      </c>
      <c r="I58" s="80" t="e" cm="1">
        <f t="array" ref="I58" xml:space="preserve"> INDEX(韻母對照資料表[白話字], MATCH(TRUE, EXACT($D58, 韻母對照資料表[台語音標]),0))</f>
        <v>#N/A</v>
      </c>
      <c r="J58" s="80" t="e" cm="1">
        <f t="array" ref="J58" xml:space="preserve"> INDEX(韻母對照資料表[台羅拼音], MATCH(TRUE, EXACT($D58, 韻母對照資料表[台語音標]),0))</f>
        <v>#N/A</v>
      </c>
      <c r="K58" s="80" t="e" cm="1">
        <f t="array" ref="K58" xml:space="preserve"> INDEX(韻母對照資料表[閩拼方案], MATCH(TRUE, EXACT($D58, 韻母對照資料表[台語音標]),0))</f>
        <v>#N/A</v>
      </c>
      <c r="L58" s="224" t="e" cm="1">
        <f t="array" ref="L58" xml:space="preserve"> INDEX(韻母對照資料表[注音二式], MATCH(TRUE, EXACT($D58, 韻母對照資料表[台語音標]),0))</f>
        <v>#N/A</v>
      </c>
      <c r="M58" s="105" t="s">
        <v>1523</v>
      </c>
      <c r="N58" s="225" t="s">
        <v>1455</v>
      </c>
      <c r="P58" s="79">
        <v>1</v>
      </c>
      <c r="Q58" s="99" t="s">
        <v>1206</v>
      </c>
      <c r="R58" s="98" t="s">
        <v>1578</v>
      </c>
      <c r="S58" s="96" t="s">
        <v>95</v>
      </c>
      <c r="T58" s="96" t="str">
        <f t="shared" ref="T58:T64" si="3" xml:space="preserve"> LEFT(S58, IF(LEN(S58)=1, 1, LEN(S58)-1)) &amp; "ㆻ"</f>
        <v>ㄤㆻ</v>
      </c>
      <c r="W58" s="70"/>
      <c r="X58" s="70"/>
      <c r="Y58" s="70"/>
      <c r="Z58" s="70"/>
    </row>
    <row r="59" spans="2:26" ht="57.75">
      <c r="B59" s="79" cm="1">
        <f t="array" ref="B59" xml:space="preserve"> ROW() - ROW($2:$2)</f>
        <v>57</v>
      </c>
      <c r="C59" s="212" t="s">
        <v>1694</v>
      </c>
      <c r="D59" s="212" t="s">
        <v>1538</v>
      </c>
      <c r="E59" s="216" t="s">
        <v>2273</v>
      </c>
      <c r="F59" s="132" t="str" cm="1">
        <f t="array" ref="F59" xml:space="preserve"> INDEX(韻母對照資料表[漢字例], MATCH(TRUE, EXACT($D59, 韻母對照資料表[台語音標]),0))</f>
        <v>爭</v>
      </c>
      <c r="G59" s="132"/>
      <c r="H59" s="209" t="str" cm="1">
        <f t="array" ref="H59" xml:space="preserve"> INDEX(韻母對照資料表[十五音], MATCH(TRUE, EXACT($D59, 韻母對照資料表[台語音標]),0))</f>
        <v>更</v>
      </c>
      <c r="I59" s="74" t="str" cm="1">
        <f t="array" ref="I59" xml:space="preserve"> INDEX(韻母對照資料表[白話字], MATCH(TRUE, EXACT($D59, 韻母對照資料表[台語音標]),0))</f>
        <v>eⁿ</v>
      </c>
      <c r="J59" s="74" t="str" cm="1">
        <f t="array" ref="J59" xml:space="preserve"> INDEX(韻母對照資料表[台羅拼音], MATCH(TRUE, EXACT($D59, 韻母對照資料表[台語音標]),0))</f>
        <v>enn</v>
      </c>
      <c r="K59" s="74" t="str" cm="1">
        <f t="array" ref="K59" xml:space="preserve"> INDEX(韻母對照資料表[閩拼方案], MATCH(TRUE, EXACT($D59, 韻母對照資料表[台語音標]),0))</f>
        <v>ne</v>
      </c>
      <c r="L59" s="95" t="str" cm="1">
        <f t="array" ref="L59" xml:space="preserve"> INDEX(韻母對照資料表[注音二式], MATCH(TRUE, EXACT($D59, 韻母對照資料表[台語音標]),0))</f>
        <v>enn</v>
      </c>
      <c r="M59" s="94" t="s">
        <v>1492</v>
      </c>
      <c r="N59" s="75" t="s">
        <v>1525</v>
      </c>
      <c r="P59" s="79">
        <f>P58+1</f>
        <v>2</v>
      </c>
      <c r="Q59" s="99"/>
      <c r="R59" s="98" t="s">
        <v>1640</v>
      </c>
      <c r="S59" s="96" t="s">
        <v>1633</v>
      </c>
      <c r="T59" s="96" t="str">
        <f t="shared" si="3"/>
        <v>ㄥㆻ</v>
      </c>
      <c r="W59" s="70"/>
      <c r="X59" s="70"/>
      <c r="Y59" s="70"/>
      <c r="Z59" s="70"/>
    </row>
    <row r="60" spans="2:26" ht="57.75">
      <c r="B60" s="122" cm="1">
        <f t="array" ref="B60" xml:space="preserve"> ROW() - ROW($2:$2)</f>
        <v>58</v>
      </c>
      <c r="C60" s="214" t="s">
        <v>1692</v>
      </c>
      <c r="D60" s="214" t="s">
        <v>1598</v>
      </c>
      <c r="E60" s="218" t="s">
        <v>2275</v>
      </c>
      <c r="F60" s="229" t="str" cm="1">
        <f t="array" ref="F60" xml:space="preserve"> INDEX(韻母對照資料表[漢字例], MATCH(TRUE, EXACT($D60, 韻母對照資料表[台語音標]),0))</f>
        <v>呼</v>
      </c>
      <c r="G60" s="229"/>
      <c r="H60" s="211" t="str" cm="1">
        <f t="array" ref="H60" xml:space="preserve"> INDEX(韻母對照資料表[十五音], MATCH(TRUE, EXACT($D60, 韻母對照資料表[台語音標]),0))</f>
        <v>扛</v>
      </c>
      <c r="I60" s="76" t="str" cm="1">
        <f t="array" ref="I60" xml:space="preserve"> INDEX(韻母對照資料表[白話字], MATCH(TRUE, EXACT($D60, 韻母對照資料表[台語音標]),0))</f>
        <v>on</v>
      </c>
      <c r="J60" s="76" t="str" cm="1">
        <f t="array" ref="J60" xml:space="preserve"> INDEX(韻母對照資料表[台羅拼音], MATCH(TRUE, EXACT($D60, 韻母對照資料表[台語音標]),0))</f>
        <v>onn</v>
      </c>
      <c r="K60" s="76" t="str" cm="1">
        <f t="array" ref="K60" xml:space="preserve"> INDEX(韻母對照資料表[閩拼方案], MATCH(TRUE, EXACT($D60, 韻母對照資料表[台語音標]),0))</f>
        <v>noo</v>
      </c>
      <c r="L60" s="117" t="str" cm="1">
        <f t="array" ref="L60" xml:space="preserve"> INDEX(韻母對照資料表[注音二式], MATCH(TRUE, EXACT($D60, 韻母對照資料表[台語音標]),0))</f>
        <v>ornn</v>
      </c>
      <c r="M60" s="116" t="s">
        <v>1532</v>
      </c>
      <c r="N60" s="77" t="s">
        <v>14</v>
      </c>
      <c r="P60" s="79">
        <f>P59+1</f>
        <v>3</v>
      </c>
      <c r="Q60" s="99" t="s">
        <v>1134</v>
      </c>
      <c r="R60" s="106" t="s">
        <v>1629</v>
      </c>
      <c r="S60" s="96" t="s">
        <v>698</v>
      </c>
      <c r="T60" s="96" t="str">
        <f t="shared" si="3"/>
        <v>ㆲㆻ</v>
      </c>
      <c r="W60" s="70"/>
      <c r="X60" s="70"/>
      <c r="Y60" s="70"/>
      <c r="Z60" s="70"/>
    </row>
    <row r="61" spans="2:26" ht="57.75">
      <c r="B61" s="79" cm="1">
        <f t="array" ref="B61" xml:space="preserve"> ROW() - ROW($2:$2)</f>
        <v>59</v>
      </c>
      <c r="C61" s="212" t="s">
        <v>2252</v>
      </c>
      <c r="D61" s="212" t="s">
        <v>1612</v>
      </c>
      <c r="E61" s="216" t="s">
        <v>2277</v>
      </c>
      <c r="F61" s="132" t="str" cm="1">
        <f t="array" ref="F61" xml:space="preserve"> INDEX(韻母對照資料表[漢字例], MATCH(TRUE, EXACT($D61, 韻母對照資料表[台語音標]),0))</f>
        <v>挨</v>
      </c>
      <c r="G61" s="132"/>
      <c r="H61" s="209" t="str" cm="1">
        <f t="array" ref="H61" xml:space="preserve"> INDEX(韻母對照資料表[十五音], MATCH(TRUE, EXACT($D61, 韻母對照資料表[台語音標]),0))</f>
        <v>閒</v>
      </c>
      <c r="I61" s="74" t="str" cm="1">
        <f t="array" ref="I61" xml:space="preserve"> INDEX(韻母對照資料表[白話字], MATCH(TRUE, EXACT($D61, 韻母對照資料表[台語音標]),0))</f>
        <v>aiⁿ</v>
      </c>
      <c r="J61" s="74" t="str" cm="1">
        <f t="array" ref="J61" xml:space="preserve"> INDEX(韻母對照資料表[台羅拼音], MATCH(TRUE, EXACT($D61, 韻母對照資料表[台語音標]),0))</f>
        <v>ainn</v>
      </c>
      <c r="K61" s="74" t="str" cm="1">
        <f t="array" ref="K61" xml:space="preserve"> INDEX(韻母對照資料表[閩拼方案], MATCH(TRUE, EXACT($D61, 韻母對照資料表[台語音標]),0))</f>
        <v>nai</v>
      </c>
      <c r="L61" s="95" t="str" cm="1">
        <f t="array" ref="L61" xml:space="preserve"> INDEX(韻母對照資料表[注音二式], MATCH(TRUE, EXACT($D61, 韻母對照資料表[台語音標]),0))</f>
        <v>ainn</v>
      </c>
      <c r="M61" s="94" t="s">
        <v>1534</v>
      </c>
      <c r="N61" s="75" t="s">
        <v>9</v>
      </c>
      <c r="P61" s="79">
        <f>P60+1</f>
        <v>4</v>
      </c>
      <c r="Q61" s="99" t="s">
        <v>1192</v>
      </c>
      <c r="R61" s="98" t="s">
        <v>1641</v>
      </c>
      <c r="S61" s="96" t="s">
        <v>467</v>
      </c>
      <c r="T61" s="96" t="str">
        <f t="shared" si="3"/>
        <v>ㄧㆻ</v>
      </c>
      <c r="W61" s="70"/>
      <c r="X61" s="70"/>
      <c r="Y61" s="70"/>
      <c r="Z61" s="70"/>
    </row>
    <row r="62" spans="2:26" ht="57.75">
      <c r="B62" s="122" cm="1">
        <f t="array" ref="B62" xml:space="preserve"> ROW() - ROW($2:$2)</f>
        <v>60</v>
      </c>
      <c r="C62" s="214" t="s">
        <v>2251</v>
      </c>
      <c r="D62" s="214" t="s">
        <v>1618</v>
      </c>
      <c r="E62" s="218" t="s">
        <v>2276</v>
      </c>
      <c r="F62" s="233" t="str" cm="1">
        <f t="array" ref="F62" xml:space="preserve"> INDEX(韻母對照資料表[漢字例], MATCH(TRUE, EXACT($D62, 韻母對照資料表[台語音標]),0))</f>
        <v>懸</v>
      </c>
      <c r="G62" s="233"/>
      <c r="H62" s="211" t="str" cm="1">
        <f t="array" ref="H62" xml:space="preserve"> INDEX(韻母對照資料表[十五音], MATCH(TRUE, EXACT($D62, 韻母對照資料表[台語音標]),0))</f>
        <v>爻</v>
      </c>
      <c r="I62" s="76" t="str" cm="1">
        <f t="array" ref="I62" xml:space="preserve"> INDEX(韻母對照資料表[白話字], MATCH(TRUE, EXACT($D62, 韻母對照資料表[台語音標]),0))</f>
        <v>auⁿ</v>
      </c>
      <c r="J62" s="76" t="str" cm="1">
        <f t="array" ref="J62" xml:space="preserve"> INDEX(韻母對照資料表[台羅拼音], MATCH(TRUE, EXACT($D62, 韻母對照資料表[台語音標]),0))</f>
        <v>aunn</v>
      </c>
      <c r="K62" s="76" t="str" cm="1">
        <f t="array" ref="K62" xml:space="preserve"> INDEX(韻母對照資料表[閩拼方案], MATCH(TRUE, EXACT($D62, 韻母對照資料表[台語音標]),0))</f>
        <v>nao</v>
      </c>
      <c r="L62" s="117" t="str" cm="1">
        <f t="array" ref="L62" xml:space="preserve"> INDEX(韻母對照資料表[注音二式], MATCH(TRUE, EXACT($D62, 韻母對照資料表[台語音標]),0))</f>
        <v>aunn</v>
      </c>
      <c r="M62" s="116" t="s">
        <v>1535</v>
      </c>
      <c r="N62" s="77" t="s">
        <v>1483</v>
      </c>
      <c r="P62" s="79">
        <f>P61+1</f>
        <v>5</v>
      </c>
      <c r="Q62" s="99" t="s">
        <v>1145</v>
      </c>
      <c r="R62" s="98" t="s">
        <v>1642</v>
      </c>
      <c r="S62" s="96" t="s">
        <v>336</v>
      </c>
      <c r="T62" s="96" t="str">
        <f t="shared" si="3"/>
        <v>ㄧㆻ</v>
      </c>
      <c r="W62" s="70"/>
      <c r="X62" s="70"/>
      <c r="Y62" s="70"/>
      <c r="Z62" s="70"/>
    </row>
    <row r="63" spans="2:26" ht="57.75">
      <c r="B63" s="79" cm="1">
        <f t="array" ref="B63" xml:space="preserve"> ROW() - ROW($2:$2)</f>
        <v>61</v>
      </c>
      <c r="C63" s="212" t="s">
        <v>2247</v>
      </c>
      <c r="D63" s="212" t="s">
        <v>1733</v>
      </c>
      <c r="E63" s="216" t="s">
        <v>1730</v>
      </c>
      <c r="F63" s="132" t="str" cm="1">
        <f t="array" ref="F63" xml:space="preserve"> INDEX(韻母對照資料表[漢字例], MATCH(TRUE, EXACT($D63, 韻母對照資料表[台語音標]),0))</f>
        <v>且</v>
      </c>
      <c r="G63" s="132"/>
      <c r="H63" s="209" t="str" cm="1">
        <f t="array" ref="H63" xml:space="preserve"> INDEX(韻母對照資料表[十五音], MATCH(TRUE, EXACT($D63, 韻母對照資料表[台語音標]),0))</f>
        <v>驚</v>
      </c>
      <c r="I63" s="74" t="str" cm="1">
        <f t="array" ref="I63" xml:space="preserve"> INDEX(韻母對照資料表[白話字], MATCH(TRUE, EXACT($D63, 韻母對照資料表[台語音標]),0))</f>
        <v>iaⁿ</v>
      </c>
      <c r="J63" s="74" t="str" cm="1">
        <f t="array" ref="J63" xml:space="preserve"> INDEX(韻母對照資料表[台羅拼音], MATCH(TRUE, EXACT($D63, 韻母對照資料表[台語音標]),0))</f>
        <v>iannh</v>
      </c>
      <c r="K63" s="74" t="str" cm="1">
        <f t="array" ref="K63" xml:space="preserve"> INDEX(韻母對照資料表[閩拼方案], MATCH(TRUE, EXACT($D63, 韻母對照資料表[台語音標]),0))</f>
        <v>nia</v>
      </c>
      <c r="L63" s="95" t="str" cm="1">
        <f t="array" ref="L63" xml:space="preserve"> INDEX(韻母對照資料表[注音二式], MATCH(TRUE, EXACT($D63, 韻母對照資料表[台語音標]),0))</f>
        <v>iann</v>
      </c>
      <c r="M63" s="94" t="s">
        <v>1396</v>
      </c>
      <c r="N63" s="75"/>
      <c r="P63" s="79">
        <f>P62+1</f>
        <v>6</v>
      </c>
      <c r="Q63" s="99" t="s">
        <v>1174</v>
      </c>
      <c r="R63" s="98" t="s">
        <v>1642</v>
      </c>
      <c r="S63" s="96" t="s">
        <v>579</v>
      </c>
      <c r="T63" s="96" t="str">
        <f t="shared" si="3"/>
        <v>ㄧㆻ</v>
      </c>
      <c r="W63" s="70"/>
      <c r="X63" s="70"/>
      <c r="Y63" s="70"/>
      <c r="Z63" s="70"/>
    </row>
    <row r="64" spans="2:26" ht="57.75">
      <c r="B64" s="79" cm="1">
        <f t="array" ref="B64" xml:space="preserve"> ROW() - ROW($2:$2)</f>
        <v>62</v>
      </c>
      <c r="C64" s="212" t="s">
        <v>2298</v>
      </c>
      <c r="D64" s="212" t="s">
        <v>1607</v>
      </c>
      <c r="E64" s="216" t="s">
        <v>1739</v>
      </c>
      <c r="F64" s="141" t="str" cm="1">
        <f t="array" ref="F64" xml:space="preserve"> INDEX(韻母對照資料表[漢字例], MATCH(TRUE, EXACT($D64, 韻母對照資料表[台語音標]),0))</f>
        <v>鳥</v>
      </c>
      <c r="G64" s="141"/>
      <c r="H64" s="209" t="str" cm="1">
        <f t="array" ref="H64" xml:space="preserve"> INDEX(韻母對照資料表[十五音], MATCH(TRUE, EXACT($D64, 韻母對照資料表[台語音標]),0))</f>
        <v>嘄</v>
      </c>
      <c r="I64" s="74" t="str" cm="1">
        <f t="array" ref="I64" xml:space="preserve"> INDEX(韻母對照資料表[白話字], MATCH(TRUE, EXACT($D64, 韻母對照資料表[台語音標]),0))</f>
        <v>iauⁿ</v>
      </c>
      <c r="J64" s="74" t="str" cm="1">
        <f t="array" ref="J64" xml:space="preserve"> INDEX(韻母對照資料表[台羅拼音], MATCH(TRUE, EXACT($D64, 韻母對照資料表[台語音標]),0))</f>
        <v>iaunn</v>
      </c>
      <c r="K64" s="74" t="str" cm="1">
        <f t="array" ref="K64" xml:space="preserve"> INDEX(韻母對照資料表[閩拼方案], MATCH(TRUE, EXACT($D64, 韻母對照資料表[台語音標]),0))</f>
        <v>niao</v>
      </c>
      <c r="L64" s="95" t="str" cm="1">
        <f t="array" ref="L64" xml:space="preserve"> INDEX(韻母對照資料表[注音二式], MATCH(TRUE, EXACT($D64, 韻母對照資料表[台語音標]),0))</f>
        <v>iaunn</v>
      </c>
      <c r="M64" s="94" t="s">
        <v>1396</v>
      </c>
      <c r="N64" s="75"/>
      <c r="P64" s="79">
        <v>7</v>
      </c>
      <c r="Q64" s="99" t="s">
        <v>1329</v>
      </c>
      <c r="R64" s="98" t="s">
        <v>1643</v>
      </c>
      <c r="S64" s="96" t="s">
        <v>851</v>
      </c>
      <c r="T64" s="96" t="str">
        <f t="shared" si="3"/>
        <v>ㄨㆻ</v>
      </c>
      <c r="W64" s="70"/>
      <c r="X64" s="70"/>
      <c r="Y64" s="70"/>
      <c r="Z64" s="70"/>
    </row>
    <row r="65" spans="2:26" ht="57.75">
      <c r="B65" s="79" cm="1">
        <f t="array" ref="B65" xml:space="preserve"> ROW() - ROW($2:$2)</f>
        <v>63</v>
      </c>
      <c r="C65" s="212" t="s">
        <v>1750</v>
      </c>
      <c r="D65" s="212" t="s">
        <v>1752</v>
      </c>
      <c r="E65" s="216" t="s">
        <v>1731</v>
      </c>
      <c r="F65" s="132" t="str" cm="1">
        <f t="array" ref="F65" xml:space="preserve"> INDEX(韻母對照資料表[漢字例], MATCH(TRUE, EXACT($D65, 韻母對照資料表[台語音標]),0))</f>
        <v>香</v>
      </c>
      <c r="G65" s="132"/>
      <c r="H65" s="209" t="str" cm="1">
        <f t="array" ref="H65" xml:space="preserve"> INDEX(韻母對照資料表[十五音], MATCH(TRUE, EXACT($D65, 韻母對照資料表[台語音標]),0))</f>
        <v>牛</v>
      </c>
      <c r="I65" s="74" t="str" cm="1">
        <f t="array" ref="I65" xml:space="preserve"> INDEX(韻母對照資料表[白話字], MATCH(TRUE, EXACT($D65, 韻母對照資料表[台語音標]),0))</f>
        <v>iuⁿ</v>
      </c>
      <c r="J65" s="74" t="str" cm="1">
        <f t="array" ref="J65" xml:space="preserve"> INDEX(韻母對照資料表[台羅拼音], MATCH(TRUE, EXACT($D65, 韻母對照資料表[台語音標]),0))</f>
        <v>iunn</v>
      </c>
      <c r="K65" s="74" t="str" cm="1">
        <f t="array" ref="K65" xml:space="preserve"> INDEX(韻母對照資料表[閩拼方案], MATCH(TRUE, EXACT($D65, 韻母對照資料表[台語音標]),0))</f>
        <v>niu</v>
      </c>
      <c r="L65" s="95" t="str" cm="1">
        <f t="array" ref="L65" xml:space="preserve"> INDEX(韻母對照資料表[注音二式], MATCH(TRUE, EXACT($D65, 韻母對照資料表[台語音標]),0))</f>
        <v>iunn</v>
      </c>
      <c r="M65" s="94" t="s">
        <v>1396</v>
      </c>
      <c r="N65" s="75" t="s">
        <v>1455</v>
      </c>
      <c r="W65" s="70"/>
      <c r="X65" s="70"/>
      <c r="Y65" s="70"/>
      <c r="Z65" s="70"/>
    </row>
    <row r="66" spans="2:26" ht="57.75">
      <c r="B66" s="79" cm="1">
        <f t="array" ref="B66" xml:space="preserve"> ROW() - ROW($2:$2)</f>
        <v>64</v>
      </c>
      <c r="C66" s="212" t="s">
        <v>2249</v>
      </c>
      <c r="D66" s="212" t="s">
        <v>1735</v>
      </c>
      <c r="E66" s="216" t="s">
        <v>1737</v>
      </c>
      <c r="F66" s="132" t="str" cm="1">
        <f t="array" ref="F66" xml:space="preserve"> INDEX(韻母對照資料表[漢字例], MATCH(TRUE, EXACT($D66, 韻母對照資料表[台語音標]),0))</f>
        <v>肝</v>
      </c>
      <c r="G66" s="132"/>
      <c r="H66" s="209" t="str" cm="1">
        <f t="array" ref="H66" xml:space="preserve"> INDEX(韻母對照資料表[十五音], MATCH(TRUE, EXACT($D66, 韻母對照資料表[台語音標]),0))</f>
        <v>官</v>
      </c>
      <c r="I66" s="74" t="str" cm="1">
        <f t="array" ref="I66" xml:space="preserve"> INDEX(韻母對照資料表[白話字], MATCH(TRUE, EXACT($D66, 韻母對照資料表[台語音標]),0))</f>
        <v>oaⁿ</v>
      </c>
      <c r="J66" s="74" t="str" cm="1">
        <f t="array" ref="J66" xml:space="preserve"> INDEX(韻母對照資料表[台羅拼音], MATCH(TRUE, EXACT($D66, 韻母對照資料表[台語音標]),0))</f>
        <v>uann</v>
      </c>
      <c r="K66" s="74" t="str" cm="1">
        <f t="array" ref="K66" xml:space="preserve"> INDEX(韻母對照資料表[閩拼方案], MATCH(TRUE, EXACT($D66, 韻母對照資料表[台語音標]),0))</f>
        <v>nua</v>
      </c>
      <c r="L66" s="95" t="str" cm="1">
        <f t="array" ref="L66" xml:space="preserve"> INDEX(韻母對照資料表[注音二式], MATCH(TRUE, EXACT($D66, 韻母對照資料表[台語音標]),0))</f>
        <v>uann</v>
      </c>
      <c r="M66" s="94" t="s">
        <v>1396</v>
      </c>
      <c r="N66" s="75"/>
      <c r="W66" s="70"/>
      <c r="X66" s="70"/>
      <c r="Y66" s="70"/>
      <c r="Z66" s="70"/>
    </row>
    <row r="67" spans="2:26" ht="57.75">
      <c r="B67" s="79" cm="1">
        <f t="array" ref="B67" xml:space="preserve"> ROW() - ROW($2:$2)</f>
        <v>65</v>
      </c>
      <c r="C67" s="212" t="s">
        <v>1741</v>
      </c>
      <c r="D67" s="212" t="s">
        <v>1867</v>
      </c>
      <c r="E67" s="216" t="s">
        <v>1740</v>
      </c>
      <c r="F67" s="132" t="str" cm="1">
        <f t="array" ref="F67" xml:space="preserve"> INDEX(韻母對照資料表[漢字例], MATCH(TRUE, EXACT($D67, 韻母對照資料表[台語音標]),0))</f>
        <v>檨</v>
      </c>
      <c r="G67" s="132"/>
      <c r="H67" s="209" t="str" cm="1">
        <f t="array" ref="H67" xml:space="preserve"> INDEX(韻母對照資料表[十五音], MATCH(TRUE, EXACT($D67, 韻母對照資料表[台語音標]),0))</f>
        <v>閂</v>
      </c>
      <c r="I67" s="74" t="str" cm="1">
        <f t="array" ref="I67" xml:space="preserve"> INDEX(韻母對照資料表[白話字], MATCH(TRUE, EXACT($D67, 韻母對照資料表[台語音標]),0))</f>
        <v>oaiⁿ</v>
      </c>
      <c r="J67" s="74" t="str" cm="1">
        <f t="array" ref="J67" xml:space="preserve"> INDEX(韻母對照資料表[台羅拼音], MATCH(TRUE, EXACT($D67, 韻母對照資料表[台語音標]),0))</f>
        <v>uainn</v>
      </c>
      <c r="K67" s="74" t="str" cm="1">
        <f t="array" ref="K67" xml:space="preserve"> INDEX(韻母對照資料表[閩拼方案], MATCH(TRUE, EXACT($D67, 韻母對照資料表[台語音標]),0))</f>
        <v>nuai</v>
      </c>
      <c r="L67" s="95" t="str" cm="1">
        <f t="array" ref="L67" xml:space="preserve"> INDEX(韻母對照資料表[注音二式], MATCH(TRUE, EXACT($D67, 韻母對照資料表[台語音標]),0))</f>
        <v>uainn</v>
      </c>
      <c r="M67" s="94" t="s">
        <v>1396</v>
      </c>
      <c r="N67" s="75"/>
      <c r="P67" s="81" t="s">
        <v>1644</v>
      </c>
      <c r="W67" s="70"/>
      <c r="X67" s="70"/>
      <c r="Y67" s="70"/>
      <c r="Z67" s="70"/>
    </row>
    <row r="68" spans="2:26" ht="58.5" thickBot="1">
      <c r="B68" s="122" cm="1">
        <f t="array" ref="B68" xml:space="preserve"> ROW() - ROW($2:$2)</f>
        <v>66</v>
      </c>
      <c r="C68" s="214" t="s">
        <v>2250</v>
      </c>
      <c r="D68" s="214" t="s">
        <v>1736</v>
      </c>
      <c r="E68" s="218" t="s">
        <v>1738</v>
      </c>
      <c r="F68" s="230" t="str" cm="1">
        <f t="array" ref="F68" xml:space="preserve"> INDEX(韻母對照資料表[漢字例], MATCH(TRUE, EXACT($D68, 韻母對照資料表[台語音標]),0))</f>
        <v>荒</v>
      </c>
      <c r="G68" s="230"/>
      <c r="H68" s="211" t="str" cm="1">
        <f t="array" ref="H68" xml:space="preserve"> INDEX(韻母對照資料表[十五音], MATCH(TRUE, EXACT($D68, 韻母對照資料表[台語音標]),0))</f>
        <v>褌</v>
      </c>
      <c r="I68" s="76" t="str" cm="1">
        <f t="array" ref="I68" xml:space="preserve"> INDEX(韻母對照資料表[白話字], MATCH(TRUE, EXACT($D68, 韻母對照資料表[台語音標]),0))</f>
        <v>uiⁿ</v>
      </c>
      <c r="J68" s="76" t="str" cm="1">
        <f t="array" ref="J68" xml:space="preserve"> INDEX(韻母對照資料表[台羅拼音], MATCH(TRUE, EXACT($D68, 韻母對照資料表[台語音標]),0))</f>
        <v>uinn</v>
      </c>
      <c r="K68" s="76" t="str" cm="1">
        <f t="array" ref="K68" xml:space="preserve"> INDEX(韻母對照資料表[閩拼方案], MATCH(TRUE, EXACT($D68, 韻母對照資料表[台語音標]),0))</f>
        <v>nui</v>
      </c>
      <c r="L68" s="117" t="str" cm="1">
        <f t="array" ref="L68" xml:space="preserve"> INDEX(韻母對照資料表[注音二式], MATCH(TRUE, EXACT($D68, 韻母對照資料表[台語音標]),0))</f>
        <v>uinn</v>
      </c>
      <c r="M68" s="116" t="s">
        <v>1396</v>
      </c>
      <c r="N68" s="77"/>
      <c r="P68" s="87" t="s">
        <v>1019</v>
      </c>
      <c r="Q68" s="90" t="s">
        <v>1553</v>
      </c>
      <c r="R68" s="89" t="s">
        <v>1552</v>
      </c>
      <c r="S68" s="88" t="s">
        <v>1554</v>
      </c>
      <c r="T68" s="88" t="s">
        <v>1555</v>
      </c>
      <c r="W68" s="70"/>
      <c r="X68" s="70"/>
      <c r="Y68" s="70"/>
      <c r="Z68" s="70"/>
    </row>
    <row r="69" spans="2:26" ht="58.5" thickTop="1">
      <c r="B69" s="79" cm="1">
        <f t="array" ref="B69" xml:space="preserve"> ROW() - ROW($2:$2)</f>
        <v>67</v>
      </c>
      <c r="C69" s="212" t="s">
        <v>1545</v>
      </c>
      <c r="D69" s="212" t="s">
        <v>1461</v>
      </c>
      <c r="E69" s="216" t="s">
        <v>1619</v>
      </c>
      <c r="F69" s="132" t="str" cm="1">
        <f t="array" ref="F69" xml:space="preserve"> INDEX(韻母對照資料表[漢字例], MATCH(TRUE, EXACT($D69, 韻母對照資料表[台語音標]),0))</f>
        <v>姆</v>
      </c>
      <c r="G69" s="132"/>
      <c r="H69" s="209" t="str" cm="1">
        <f t="array" ref="H69" xml:space="preserve"> INDEX(韻母對照資料表[十五音], MATCH(TRUE, EXACT($D69, 韻母對照資料表[台語音標]),0))</f>
        <v>姆</v>
      </c>
      <c r="I69" s="74" t="str" cm="1">
        <f t="array" ref="I69" xml:space="preserve"> INDEX(韻母對照資料表[白話字], MATCH(TRUE, EXACT($D69, 韻母對照資料表[台語音標]),0))</f>
        <v>m</v>
      </c>
      <c r="J69" s="74" t="str" cm="1">
        <f t="array" ref="J69" xml:space="preserve"> INDEX(韻母對照資料表[台羅拼音], MATCH(TRUE, EXACT($D69, 韻母對照資料表[台語音標]),0))</f>
        <v>m</v>
      </c>
      <c r="K69" s="74" t="str" cm="1">
        <f t="array" ref="K69" xml:space="preserve"> INDEX(韻母對照資料表[閩拼方案], MATCH(TRUE, EXACT($D69, 韻母對照資料表[台語音標]),0))</f>
        <v>m</v>
      </c>
      <c r="L69" s="95" t="str" cm="1">
        <f t="array" ref="L69" xml:space="preserve"> INDEX(韻母對照資料表[注音二式], MATCH(TRUE, EXACT($D69, 韻母對照資料表[台語音標]),0))</f>
        <v>m</v>
      </c>
      <c r="M69" s="94" t="s">
        <v>5</v>
      </c>
      <c r="N69" s="75" t="s">
        <v>1501</v>
      </c>
      <c r="P69" s="79">
        <v>1</v>
      </c>
      <c r="Q69" s="99" t="s">
        <v>5</v>
      </c>
      <c r="R69" s="98" t="s">
        <v>1645</v>
      </c>
      <c r="S69" s="96" t="s">
        <v>950</v>
      </c>
      <c r="T69" s="96" t="str">
        <f xml:space="preserve"> LEFT(S69, IF(LEN(S69)=1, 1, LEN(S69)-1)) &amp; "ㆷ"</f>
        <v>ㆬㆷ</v>
      </c>
      <c r="W69" s="70"/>
      <c r="X69" s="70"/>
      <c r="Y69" s="70"/>
      <c r="Z69" s="70"/>
    </row>
    <row r="70" spans="2:26" ht="57.75">
      <c r="B70" s="79" cm="1">
        <f t="array" ref="B70" xml:space="preserve"> ROW() - ROW($2:$2)</f>
        <v>68</v>
      </c>
      <c r="C70" s="212" t="s">
        <v>1481</v>
      </c>
      <c r="D70" s="212" t="s">
        <v>1623</v>
      </c>
      <c r="E70" s="216" t="s">
        <v>1539</v>
      </c>
      <c r="F70" s="132" t="str" cm="1">
        <f t="array" ref="F70" xml:space="preserve"> INDEX(韻母對照資料表[漢字例], MATCH(TRUE, EXACT($D70, 韻母對照資料表[台語音標]),0))</f>
        <v>恩</v>
      </c>
      <c r="G70" s="132"/>
      <c r="H70" s="209" t="str" cm="1">
        <f t="array" ref="H70" xml:space="preserve"> INDEX(韻母對照資料表[十五音], MATCH(TRUE, EXACT($D70, 韻母對照資料表[台語音標]),0))</f>
        <v>巾</v>
      </c>
      <c r="I70" s="74" t="str" cm="1">
        <f t="array" ref="I70" xml:space="preserve"> INDEX(韻母對照資料表[白話字], MATCH(TRUE, EXACT($D70, 韻母對照資料表[台語音標]),0))</f>
        <v>in</v>
      </c>
      <c r="J70" s="74" t="str" cm="1">
        <f t="array" ref="J70" xml:space="preserve"> INDEX(韻母對照資料表[台羅拼音], MATCH(TRUE, EXACT($D70, 韻母對照資料表[台語音標]),0))</f>
        <v>in</v>
      </c>
      <c r="K70" s="74" t="str" cm="1">
        <f t="array" ref="K70" xml:space="preserve"> INDEX(韻母對照資料表[閩拼方案], MATCH(TRUE, EXACT($D70, 韻母對照資料表[台語音標]),0))</f>
        <v>in</v>
      </c>
      <c r="L70" s="95" t="str" cm="1">
        <f t="array" ref="L70" xml:space="preserve"> INDEX(韻母對照資料表[注音二式], MATCH(TRUE, EXACT($D70, 韻母對照資料表[台語音標]),0))</f>
        <v>in</v>
      </c>
      <c r="M70" s="94" t="s">
        <v>1396</v>
      </c>
      <c r="N70" s="75" t="s">
        <v>1488</v>
      </c>
      <c r="P70" s="79">
        <f>P69+1</f>
        <v>2</v>
      </c>
      <c r="Q70" s="99" t="s">
        <v>1309</v>
      </c>
      <c r="R70" s="98" t="s">
        <v>1647</v>
      </c>
      <c r="S70" s="96" t="s">
        <v>1646</v>
      </c>
      <c r="T70" s="96" t="str">
        <f xml:space="preserve"> LEFT(S70, IF(LEN(S70)=1, 1, LEN(S70)-1)) &amp; "ㆷ"</f>
        <v>ㆭㆷ</v>
      </c>
      <c r="W70" s="70"/>
      <c r="X70" s="70"/>
      <c r="Y70" s="70"/>
      <c r="Z70" s="70"/>
    </row>
    <row r="71" spans="2:26" ht="57.75">
      <c r="B71" s="122" cm="1">
        <f t="array" ref="B71" xml:space="preserve"> ROW() - ROW($2:$2)</f>
        <v>69</v>
      </c>
      <c r="C71" s="214" t="s">
        <v>955</v>
      </c>
      <c r="D71" s="214" t="s">
        <v>1495</v>
      </c>
      <c r="E71" s="218" t="s">
        <v>1646</v>
      </c>
      <c r="F71" s="136" t="str" cm="1">
        <f t="array" ref="F71" xml:space="preserve"> INDEX(韻母對照資料表[漢字例], MATCH(TRUE, EXACT($D71, 韻母對照資料表[台語音標]),0))</f>
        <v>床</v>
      </c>
      <c r="G71" s="136"/>
      <c r="H71" s="211" t="str" cm="1">
        <f t="array" ref="H71" xml:space="preserve"> INDEX(韻母對照資料表[十五音], MATCH(TRUE, EXACT($D71, 韻母對照資料表[台語音標]),0))</f>
        <v>鋼</v>
      </c>
      <c r="I71" s="76" t="str" cm="1">
        <f t="array" ref="I71" xml:space="preserve"> INDEX(韻母對照資料表[白話字], MATCH(TRUE, EXACT($D71, 韻母對照資料表[台語音標]),0))</f>
        <v>ng</v>
      </c>
      <c r="J71" s="76" t="str" cm="1">
        <f t="array" ref="J71" xml:space="preserve"> INDEX(韻母對照資料表[台羅拼音], MATCH(TRUE, EXACT($D71, 韻母對照資料表[台語音標]),0))</f>
        <v>ng</v>
      </c>
      <c r="K71" s="76" t="str" cm="1">
        <f t="array" ref="K71" xml:space="preserve"> INDEX(韻母對照資料表[閩拼方案], MATCH(TRUE, EXACT($D71, 韻母對照資料表[台語音標]),0))</f>
        <v>ng</v>
      </c>
      <c r="L71" s="117" t="str" cm="1">
        <f t="array" ref="L71" xml:space="preserve"> INDEX(韻母對照資料表[注音二式], MATCH(TRUE, EXACT($D71, 韻母對照資料表[台語音標]),0))</f>
        <v>ng</v>
      </c>
      <c r="M71" s="116" t="s">
        <v>1477</v>
      </c>
      <c r="N71" s="77" t="s">
        <v>732</v>
      </c>
      <c r="W71" s="70"/>
      <c r="X71" s="70"/>
      <c r="Y71" s="70"/>
      <c r="Z71" s="70"/>
    </row>
    <row r="72" spans="2:26">
      <c r="B72" s="79" cm="1">
        <f t="array" ref="B72" xml:space="preserve"> ROW() - ROW($2:$2)</f>
        <v>70</v>
      </c>
      <c r="C72" s="95" t="s">
        <v>2368</v>
      </c>
      <c r="D72" s="95" t="s">
        <v>2337</v>
      </c>
      <c r="E72" s="216" t="s">
        <v>2281</v>
      </c>
      <c r="F72" s="124" t="s">
        <v>2343</v>
      </c>
      <c r="G72" s="124"/>
      <c r="H72" s="124"/>
      <c r="I72" s="74"/>
      <c r="J72" s="74"/>
      <c r="K72" s="74"/>
      <c r="L72" s="95"/>
      <c r="M72" s="94" t="s">
        <v>1592</v>
      </c>
      <c r="N72" s="75" t="s">
        <v>6</v>
      </c>
      <c r="W72" s="70"/>
      <c r="X72" s="70"/>
      <c r="Y72" s="70"/>
      <c r="Z72" s="70"/>
    </row>
    <row r="73" spans="2:26">
      <c r="B73" s="79" cm="1">
        <f t="array" ref="B73" xml:space="preserve"> ROW() - ROW($2:$2)</f>
        <v>71</v>
      </c>
      <c r="C73" s="95" t="s">
        <v>2369</v>
      </c>
      <c r="D73" s="95" t="s">
        <v>2338</v>
      </c>
      <c r="E73" s="216" t="s">
        <v>2282</v>
      </c>
      <c r="F73" s="124" t="s">
        <v>2341</v>
      </c>
      <c r="G73" s="124"/>
      <c r="H73" s="124"/>
      <c r="I73" s="74"/>
      <c r="J73" s="74"/>
      <c r="K73" s="74"/>
      <c r="L73" s="95"/>
      <c r="M73" s="94" t="s">
        <v>2322</v>
      </c>
      <c r="N73" s="75" t="s">
        <v>16</v>
      </c>
      <c r="W73" s="70"/>
      <c r="X73" s="70"/>
      <c r="Y73" s="70"/>
      <c r="Z73" s="70"/>
    </row>
    <row r="74" spans="2:26">
      <c r="B74" s="79" cm="1">
        <f t="array" ref="B74" xml:space="preserve"> ROW() - ROW($2:$2)</f>
        <v>72</v>
      </c>
      <c r="C74" s="95" t="s">
        <v>2370</v>
      </c>
      <c r="D74" s="95" t="s">
        <v>2339</v>
      </c>
      <c r="E74" s="216" t="s">
        <v>2283</v>
      </c>
      <c r="F74" s="124" t="s">
        <v>2340</v>
      </c>
      <c r="G74" s="124"/>
      <c r="H74" s="124"/>
      <c r="I74" s="74"/>
      <c r="J74" s="74"/>
      <c r="K74" s="74"/>
      <c r="L74" s="95"/>
      <c r="M74" s="94" t="s">
        <v>1446</v>
      </c>
      <c r="N74" s="75" t="s">
        <v>1027</v>
      </c>
      <c r="W74" s="70"/>
      <c r="X74" s="70"/>
      <c r="Y74" s="70"/>
      <c r="Z74" s="70"/>
    </row>
    <row r="75" spans="2:26">
      <c r="B75" s="79" cm="1">
        <f t="array" ref="B75" xml:space="preserve"> ROW() - ROW($2:$2)</f>
        <v>73</v>
      </c>
      <c r="C75" s="95" t="s">
        <v>1686</v>
      </c>
      <c r="D75" s="95" t="s">
        <v>1546</v>
      </c>
      <c r="E75" s="216" t="s">
        <v>1547</v>
      </c>
      <c r="F75" s="124" t="s">
        <v>2342</v>
      </c>
      <c r="G75" s="124"/>
      <c r="H75" s="124"/>
      <c r="I75" s="74"/>
      <c r="J75" s="74"/>
      <c r="K75" s="74"/>
      <c r="L75" s="95"/>
      <c r="M75" s="94" t="s">
        <v>2323</v>
      </c>
      <c r="N75" s="75" t="s">
        <v>1518</v>
      </c>
      <c r="W75" s="70"/>
      <c r="X75" s="70"/>
      <c r="Y75" s="70"/>
      <c r="Z75" s="70"/>
    </row>
    <row r="76" spans="2:26" ht="43.5">
      <c r="B76" s="121" cm="1">
        <f t="array" ref="B76" xml:space="preserve"> ROW() - ROW($2:$2)</f>
        <v>74</v>
      </c>
      <c r="C76" s="113" t="s">
        <v>2332</v>
      </c>
      <c r="D76" s="113">
        <v>1</v>
      </c>
      <c r="E76" s="217" t="s">
        <v>1455</v>
      </c>
      <c r="F76" s="133" t="s">
        <v>2292</v>
      </c>
      <c r="G76" s="125"/>
      <c r="H76" s="240" t="s">
        <v>1188</v>
      </c>
      <c r="I76" s="72">
        <v>1</v>
      </c>
      <c r="J76" s="72">
        <v>1</v>
      </c>
      <c r="K76" s="72">
        <v>1</v>
      </c>
      <c r="L76" s="113">
        <v>1</v>
      </c>
      <c r="M76" s="112">
        <v>1</v>
      </c>
      <c r="N76" s="73" t="s">
        <v>1513</v>
      </c>
      <c r="W76" s="70"/>
      <c r="X76" s="70"/>
      <c r="Y76" s="70"/>
      <c r="Z76" s="70"/>
    </row>
    <row r="77" spans="2:26" ht="43.5">
      <c r="B77" s="79" cm="1">
        <f t="array" ref="B77" xml:space="preserve"> ROW() - ROW($2:$2)</f>
        <v>75</v>
      </c>
      <c r="C77" s="95" t="s">
        <v>2333</v>
      </c>
      <c r="D77" s="95">
        <v>2</v>
      </c>
      <c r="E77" s="216" t="s">
        <v>1411</v>
      </c>
      <c r="F77" s="132" t="s">
        <v>2326</v>
      </c>
      <c r="G77" s="124"/>
      <c r="H77" s="241" t="s">
        <v>2324</v>
      </c>
      <c r="I77" s="74">
        <v>2</v>
      </c>
      <c r="J77" s="74">
        <v>2</v>
      </c>
      <c r="K77" s="74">
        <v>3</v>
      </c>
      <c r="L77" s="95">
        <v>2</v>
      </c>
      <c r="M77" s="94">
        <v>2</v>
      </c>
      <c r="N77" s="75" t="s">
        <v>1510</v>
      </c>
      <c r="W77" s="70"/>
      <c r="X77" s="70"/>
      <c r="Y77" s="70"/>
      <c r="Z77" s="70"/>
    </row>
    <row r="78" spans="2:26" ht="43.5">
      <c r="B78" s="79" cm="1">
        <f t="array" ref="B78" xml:space="preserve"> ROW() - ROW($2:$2)</f>
        <v>76</v>
      </c>
      <c r="C78" s="95" t="s">
        <v>2334</v>
      </c>
      <c r="D78" s="95">
        <v>3</v>
      </c>
      <c r="E78" s="216" t="s">
        <v>1406</v>
      </c>
      <c r="F78" s="132" t="s">
        <v>2331</v>
      </c>
      <c r="G78" s="124"/>
      <c r="H78" s="241" t="s">
        <v>1670</v>
      </c>
      <c r="I78" s="74">
        <v>3</v>
      </c>
      <c r="J78" s="74">
        <v>3</v>
      </c>
      <c r="K78" s="74">
        <v>5</v>
      </c>
      <c r="L78" s="95">
        <v>3</v>
      </c>
      <c r="M78" s="94">
        <v>3</v>
      </c>
      <c r="N78" s="75" t="s">
        <v>4</v>
      </c>
      <c r="W78" s="70"/>
      <c r="X78" s="70"/>
      <c r="Y78" s="70"/>
      <c r="Z78" s="70"/>
    </row>
    <row r="79" spans="2:26" ht="43.5">
      <c r="B79" s="79" cm="1">
        <f t="array" ref="B79" xml:space="preserve"> ROW() - ROW($2:$2)</f>
        <v>77</v>
      </c>
      <c r="C79" s="244" t="s">
        <v>2344</v>
      </c>
      <c r="D79" s="95">
        <v>4</v>
      </c>
      <c r="E79" s="216"/>
      <c r="F79" s="132" t="s">
        <v>2329</v>
      </c>
      <c r="G79" s="124"/>
      <c r="H79" s="241" t="s">
        <v>2330</v>
      </c>
      <c r="I79" s="74">
        <v>4</v>
      </c>
      <c r="J79" s="74">
        <v>4</v>
      </c>
      <c r="K79" s="74">
        <v>7</v>
      </c>
      <c r="L79" s="95">
        <v>4</v>
      </c>
      <c r="M79" s="94">
        <v>4</v>
      </c>
      <c r="N79" s="75"/>
      <c r="W79" s="70"/>
      <c r="X79" s="70"/>
      <c r="Y79" s="70"/>
      <c r="Z79" s="70"/>
    </row>
    <row r="80" spans="2:26" ht="43.5">
      <c r="B80" s="79" cm="1">
        <f t="array" ref="B80" xml:space="preserve"> ROW() - ROW($2:$2)</f>
        <v>78</v>
      </c>
      <c r="C80" s="95" t="s">
        <v>2335</v>
      </c>
      <c r="D80" s="95">
        <v>5</v>
      </c>
      <c r="E80" s="216" t="s">
        <v>1416</v>
      </c>
      <c r="F80" s="132" t="s">
        <v>2328</v>
      </c>
      <c r="G80" s="124"/>
      <c r="H80" s="241" t="s">
        <v>2325</v>
      </c>
      <c r="I80" s="74">
        <v>5</v>
      </c>
      <c r="J80" s="74">
        <v>5</v>
      </c>
      <c r="K80" s="74">
        <v>2</v>
      </c>
      <c r="L80" s="95">
        <v>5</v>
      </c>
      <c r="M80" s="94">
        <v>5</v>
      </c>
      <c r="N80" s="75" t="s">
        <v>1515</v>
      </c>
      <c r="W80" s="70"/>
      <c r="X80" s="70"/>
      <c r="Y80" s="70"/>
      <c r="Z80" s="70"/>
    </row>
    <row r="81" spans="2:26" ht="43.5">
      <c r="B81" s="79" cm="1">
        <f t="array" ref="B81" xml:space="preserve"> ROW() - ROW($2:$2)</f>
        <v>79</v>
      </c>
      <c r="C81" s="95" t="s">
        <v>2336</v>
      </c>
      <c r="D81" s="95">
        <v>7</v>
      </c>
      <c r="E81" s="216" t="s">
        <v>1401</v>
      </c>
      <c r="F81" s="132" t="s">
        <v>2327</v>
      </c>
      <c r="G81" s="124"/>
      <c r="H81" s="241" t="s">
        <v>1679</v>
      </c>
      <c r="I81" s="74">
        <v>7</v>
      </c>
      <c r="J81" s="74">
        <v>7</v>
      </c>
      <c r="K81" s="74">
        <v>6</v>
      </c>
      <c r="L81" s="95">
        <v>7</v>
      </c>
      <c r="M81" s="94">
        <v>7</v>
      </c>
      <c r="N81" s="75" t="s">
        <v>1520</v>
      </c>
      <c r="W81" s="70"/>
      <c r="X81" s="70"/>
      <c r="Y81" s="70"/>
      <c r="Z81" s="70"/>
    </row>
    <row r="82" spans="2:26" ht="43.5">
      <c r="B82" s="122" cm="1">
        <f t="array" ref="B82" xml:space="preserve"> ROW() - ROW($2:$2)</f>
        <v>80</v>
      </c>
      <c r="C82" s="243" t="s">
        <v>2345</v>
      </c>
      <c r="D82" s="117">
        <v>8</v>
      </c>
      <c r="E82" s="218" t="s">
        <v>1427</v>
      </c>
      <c r="F82" s="136" t="s">
        <v>1175</v>
      </c>
      <c r="G82" s="126"/>
      <c r="H82" s="242" t="s">
        <v>2206</v>
      </c>
      <c r="I82" s="76">
        <v>8</v>
      </c>
      <c r="J82" s="76">
        <v>8</v>
      </c>
      <c r="K82" s="76">
        <v>8</v>
      </c>
      <c r="L82" s="117">
        <v>8</v>
      </c>
      <c r="M82" s="116">
        <v>8</v>
      </c>
      <c r="N82" s="77"/>
      <c r="W82" s="70"/>
      <c r="X82" s="70"/>
      <c r="Y82" s="70"/>
      <c r="Z82" s="70"/>
    </row>
    <row r="83" spans="2:26">
      <c r="W83" s="70"/>
      <c r="X83" s="70"/>
      <c r="Y83" s="70"/>
      <c r="Z83" s="70"/>
    </row>
    <row r="84" spans="2:26">
      <c r="W84" s="70"/>
      <c r="X84" s="70"/>
      <c r="Y84" s="70"/>
      <c r="Z84" s="70"/>
    </row>
    <row r="85" spans="2:26">
      <c r="W85" s="70"/>
      <c r="X85" s="70"/>
      <c r="Y85" s="70"/>
      <c r="Z85" s="70"/>
    </row>
    <row r="86" spans="2:26">
      <c r="W86" s="70"/>
      <c r="X86" s="70"/>
      <c r="Y86" s="70"/>
      <c r="Z86" s="70"/>
    </row>
    <row r="87" spans="2:26">
      <c r="W87" s="70"/>
      <c r="X87" s="70"/>
      <c r="Y87" s="70"/>
      <c r="Z87" s="70"/>
    </row>
    <row r="88" spans="2:26">
      <c r="W88" s="70"/>
      <c r="X88" s="70"/>
      <c r="Y88" s="70"/>
      <c r="Z88" s="70"/>
    </row>
    <row r="89" spans="2:26">
      <c r="W89" s="70"/>
      <c r="X89" s="70"/>
      <c r="Y89" s="70"/>
      <c r="Z89" s="70"/>
    </row>
    <row r="90" spans="2:26">
      <c r="W90" s="70"/>
      <c r="X90" s="70"/>
      <c r="Y90" s="70"/>
      <c r="Z90" s="70"/>
    </row>
    <row r="91" spans="2:26">
      <c r="W91" s="70"/>
      <c r="X91" s="70"/>
      <c r="Y91" s="70"/>
      <c r="Z91" s="70"/>
    </row>
    <row r="92" spans="2:26">
      <c r="W92" s="70"/>
      <c r="X92" s="70"/>
      <c r="Y92" s="70"/>
      <c r="Z92" s="70"/>
    </row>
  </sheetData>
  <phoneticPr fontId="3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A9A95-A863-4AB2-86B6-32ABB8318D23}">
  <sheetPr>
    <tabColor rgb="FFFF0000"/>
  </sheetPr>
  <dimension ref="B1:CF92"/>
  <sheetViews>
    <sheetView showGridLines="0" zoomScale="60" zoomScaleNormal="60" workbookViewId="0">
      <selection activeCell="B2" sqref="B2:I78"/>
    </sheetView>
  </sheetViews>
  <sheetFormatPr defaultColWidth="13.625" defaultRowHeight="39" outlineLevelCol="1"/>
  <cols>
    <col min="1" max="1" width="8" style="70" customWidth="1"/>
    <col min="2" max="2" width="8.5" style="70" customWidth="1"/>
    <col min="3" max="5" width="16.25" style="71" customWidth="1"/>
    <col min="6" max="6" width="16.25" style="82" customWidth="1"/>
    <col min="7" max="7" width="14.5" style="215" bestFit="1" customWidth="1"/>
    <col min="8" max="8" width="16.25" style="71" customWidth="1" collapsed="1"/>
    <col min="9" max="9" width="16.25" style="71" customWidth="1"/>
    <col min="10" max="10" width="16.25" style="71" hidden="1" customWidth="1" outlineLevel="1"/>
    <col min="11" max="11" width="16.25" style="71" customWidth="1" collapsed="1"/>
    <col min="12" max="12" width="16.25" style="71" customWidth="1"/>
    <col min="13" max="14" width="16.25" style="69" customWidth="1"/>
    <col min="15" max="15" width="8" style="70" customWidth="1"/>
    <col min="16" max="16" width="8.5" style="70" customWidth="1"/>
    <col min="17" max="17" width="15.875" style="82" customWidth="1"/>
    <col min="18" max="18" width="15.875" style="69" customWidth="1"/>
    <col min="19" max="20" width="15.875" style="83" customWidth="1"/>
    <col min="21" max="21" width="8" style="70" customWidth="1"/>
    <col min="22" max="22" width="8.5" style="70" customWidth="1"/>
    <col min="23" max="24" width="15.875" style="83" customWidth="1"/>
    <col min="25" max="25" width="15.875" style="69" customWidth="1"/>
    <col min="26" max="26" width="15.875" style="82" customWidth="1"/>
    <col min="27" max="27" width="9.5" style="70" customWidth="1"/>
    <col min="28" max="28" width="10.625" style="70" customWidth="1"/>
    <col min="29" max="29" width="33.75" style="70" customWidth="1"/>
    <col min="30" max="16384" width="13.625" style="70"/>
  </cols>
  <sheetData>
    <row r="1" spans="2:84">
      <c r="B1" s="81" t="s">
        <v>1429</v>
      </c>
      <c r="J1" s="237"/>
      <c r="P1" s="81" t="s">
        <v>1549</v>
      </c>
      <c r="V1" s="81" t="s">
        <v>1550</v>
      </c>
    </row>
    <row r="2" spans="2:84" s="86" customFormat="1" ht="30.75" thickBot="1">
      <c r="B2" s="281" t="s">
        <v>1019</v>
      </c>
      <c r="C2" s="127" t="s">
        <v>1430</v>
      </c>
      <c r="D2" s="129" t="s">
        <v>1757</v>
      </c>
      <c r="E2" s="127" t="s">
        <v>1431</v>
      </c>
      <c r="F2" s="127" t="s">
        <v>1753</v>
      </c>
      <c r="G2" s="127" t="s">
        <v>3881</v>
      </c>
      <c r="H2" s="129" t="s">
        <v>2287</v>
      </c>
      <c r="I2" s="129" t="s">
        <v>978</v>
      </c>
      <c r="J2" s="238" t="s">
        <v>2305</v>
      </c>
      <c r="K2" s="129" t="s">
        <v>1756</v>
      </c>
      <c r="L2" s="129" t="s">
        <v>2284</v>
      </c>
      <c r="M2" s="130" t="s">
        <v>2314</v>
      </c>
      <c r="N2" s="131" t="s">
        <v>2315</v>
      </c>
      <c r="P2" s="87" t="s">
        <v>1019</v>
      </c>
      <c r="Q2" s="90" t="s">
        <v>1431</v>
      </c>
      <c r="R2" s="89" t="s">
        <v>2303</v>
      </c>
      <c r="S2" s="88" t="s">
        <v>1554</v>
      </c>
      <c r="T2" s="88" t="s">
        <v>1555</v>
      </c>
      <c r="V2" s="87" t="s">
        <v>1019</v>
      </c>
      <c r="W2" s="84" t="s">
        <v>1551</v>
      </c>
      <c r="X2" s="85" t="s">
        <v>1430</v>
      </c>
      <c r="Y2" s="89" t="s">
        <v>1552</v>
      </c>
      <c r="Z2" s="90" t="s">
        <v>1553</v>
      </c>
      <c r="AC2" s="91" t="s">
        <v>1019</v>
      </c>
      <c r="AD2" s="92">
        <v>1</v>
      </c>
      <c r="AE2" s="92">
        <f t="shared" ref="AE2:CF2" si="0">AD2+1</f>
        <v>2</v>
      </c>
      <c r="AF2" s="92">
        <f t="shared" si="0"/>
        <v>3</v>
      </c>
      <c r="AG2" s="92">
        <f t="shared" si="0"/>
        <v>4</v>
      </c>
      <c r="AH2" s="93">
        <f t="shared" si="0"/>
        <v>5</v>
      </c>
      <c r="AI2" s="93">
        <f t="shared" si="0"/>
        <v>6</v>
      </c>
      <c r="AJ2" s="93">
        <f t="shared" si="0"/>
        <v>7</v>
      </c>
      <c r="AK2" s="93">
        <f t="shared" si="0"/>
        <v>8</v>
      </c>
      <c r="AL2" s="92">
        <f t="shared" si="0"/>
        <v>9</v>
      </c>
      <c r="AM2" s="92">
        <f t="shared" si="0"/>
        <v>10</v>
      </c>
      <c r="AN2" s="92">
        <f t="shared" si="0"/>
        <v>11</v>
      </c>
      <c r="AO2" s="92">
        <f t="shared" si="0"/>
        <v>12</v>
      </c>
      <c r="AP2" s="93">
        <f t="shared" si="0"/>
        <v>13</v>
      </c>
      <c r="AQ2" s="93">
        <f t="shared" si="0"/>
        <v>14</v>
      </c>
      <c r="AR2" s="93">
        <f t="shared" si="0"/>
        <v>15</v>
      </c>
      <c r="AS2" s="93">
        <f t="shared" si="0"/>
        <v>16</v>
      </c>
      <c r="AT2" s="92">
        <f t="shared" si="0"/>
        <v>17</v>
      </c>
      <c r="AU2" s="92">
        <f t="shared" si="0"/>
        <v>18</v>
      </c>
      <c r="AV2" s="92">
        <f t="shared" si="0"/>
        <v>19</v>
      </c>
      <c r="AW2" s="92">
        <f t="shared" si="0"/>
        <v>20</v>
      </c>
      <c r="AX2" s="93">
        <f t="shared" si="0"/>
        <v>21</v>
      </c>
      <c r="AY2" s="92">
        <f t="shared" si="0"/>
        <v>22</v>
      </c>
      <c r="AZ2" s="92">
        <f t="shared" si="0"/>
        <v>23</v>
      </c>
      <c r="BA2" s="92">
        <f t="shared" si="0"/>
        <v>24</v>
      </c>
      <c r="BB2" s="92">
        <f t="shared" si="0"/>
        <v>25</v>
      </c>
      <c r="BC2" s="92">
        <f t="shared" si="0"/>
        <v>26</v>
      </c>
      <c r="BD2" s="92">
        <f t="shared" si="0"/>
        <v>27</v>
      </c>
      <c r="BE2" s="92">
        <f t="shared" si="0"/>
        <v>28</v>
      </c>
      <c r="BF2" s="92">
        <f t="shared" si="0"/>
        <v>29</v>
      </c>
      <c r="BG2" s="92">
        <f t="shared" si="0"/>
        <v>30</v>
      </c>
      <c r="BH2" s="92">
        <f t="shared" si="0"/>
        <v>31</v>
      </c>
      <c r="BI2" s="92">
        <f t="shared" si="0"/>
        <v>32</v>
      </c>
      <c r="BJ2" s="92">
        <f t="shared" si="0"/>
        <v>33</v>
      </c>
      <c r="BK2" s="92">
        <f t="shared" si="0"/>
        <v>34</v>
      </c>
      <c r="BL2" s="92">
        <f t="shared" si="0"/>
        <v>35</v>
      </c>
      <c r="BM2" s="92">
        <f t="shared" si="0"/>
        <v>36</v>
      </c>
      <c r="BN2" s="92">
        <f t="shared" si="0"/>
        <v>37</v>
      </c>
      <c r="BO2" s="92">
        <f t="shared" si="0"/>
        <v>38</v>
      </c>
      <c r="BP2" s="92">
        <f t="shared" si="0"/>
        <v>39</v>
      </c>
      <c r="BQ2" s="92">
        <f t="shared" si="0"/>
        <v>40</v>
      </c>
      <c r="BR2" s="92">
        <f t="shared" si="0"/>
        <v>41</v>
      </c>
      <c r="BS2" s="92">
        <f t="shared" si="0"/>
        <v>42</v>
      </c>
      <c r="BT2" s="92">
        <f t="shared" si="0"/>
        <v>43</v>
      </c>
      <c r="BU2" s="92">
        <f t="shared" si="0"/>
        <v>44</v>
      </c>
      <c r="BV2" s="92">
        <f t="shared" si="0"/>
        <v>45</v>
      </c>
      <c r="BW2" s="92">
        <f t="shared" si="0"/>
        <v>46</v>
      </c>
      <c r="BX2" s="92">
        <f t="shared" si="0"/>
        <v>47</v>
      </c>
      <c r="BY2" s="92">
        <f t="shared" si="0"/>
        <v>48</v>
      </c>
      <c r="BZ2" s="92">
        <f t="shared" si="0"/>
        <v>49</v>
      </c>
      <c r="CA2" s="92">
        <f t="shared" si="0"/>
        <v>50</v>
      </c>
      <c r="CB2" s="92">
        <f t="shared" si="0"/>
        <v>51</v>
      </c>
      <c r="CC2" s="92">
        <f t="shared" si="0"/>
        <v>52</v>
      </c>
      <c r="CD2" s="92">
        <f t="shared" si="0"/>
        <v>53</v>
      </c>
      <c r="CE2" s="92">
        <f t="shared" si="0"/>
        <v>54</v>
      </c>
      <c r="CF2" s="92">
        <f t="shared" si="0"/>
        <v>55</v>
      </c>
    </row>
    <row r="3" spans="2:84" ht="58.5" thickTop="1">
      <c r="B3" s="282" cm="1">
        <f t="array" ref="B3" xml:space="preserve"> ROW() - ROW($2:$2)</f>
        <v>1</v>
      </c>
      <c r="C3" s="212" t="s">
        <v>1437</v>
      </c>
      <c r="D3" s="74" t="str" cm="1">
        <f t="array" ref="D3" xml:space="preserve"> IFERROR( INDEX(聲母對照資料表[台羅拼音], MATCH(TRUE, EXACT($E3, 聲母碼),0)), "")</f>
        <v>b</v>
      </c>
      <c r="E3" s="212" t="s">
        <v>1437</v>
      </c>
      <c r="F3" s="95" t="str" cm="1">
        <f t="array" ref="F3" xml:space="preserve"> IFERROR( INDEX(聲母對照資料表[注音二式], MATCH(TRUE, EXACT($E3, 聲母碼),0)), "")</f>
        <v>bb</v>
      </c>
      <c r="G3" s="216" t="s">
        <v>2255</v>
      </c>
      <c r="H3" s="209" t="str" cm="1">
        <f t="array" ref="H3" xml:space="preserve"> IFERROR( INDEX(聲母對照資料表[十五音], MATCH(TRUE, EXACT($E3, 聲母碼),0)), "")</f>
        <v>門</v>
      </c>
      <c r="I3" s="132" t="s">
        <v>2436</v>
      </c>
      <c r="J3" s="139" t="str" cm="1">
        <f t="array" ref="J3" xml:space="preserve"> INDEX(廣韻聲母對照資料表[廣韻], MATCH(TRUE, EXACT($E3, 廣韻聲母對照資料表[台語音標]),0))</f>
        <v>明</v>
      </c>
      <c r="K3" s="74" t="str" cm="1">
        <f t="array" ref="K3" xml:space="preserve"> IFERROR( INDEX(聲母對照資料表[白話字], MATCH(TRUE, EXACT($E3, 聲母碼),0)), "")</f>
        <v>b</v>
      </c>
      <c r="L3" s="74" t="str" cm="1">
        <f t="array" ref="L3" xml:space="preserve"> IFERROR( INDEX(聲母對照資料表[閩拼方案], MATCH(TRUE, EXACT($E3, 聲母碼),0)), "")</f>
        <v>bb</v>
      </c>
      <c r="M3" s="105" t="str" cm="1">
        <f t="array" ref="M3" xml:space="preserve"> IFERROR( INDEX(韻母對照資料表[閩拼方案], MATCH(TRUE, EXACT($E3, 韻母對照資料表[台語音標]),0)), "")</f>
        <v/>
      </c>
      <c r="N3" s="75" t="str" cm="1">
        <f t="array" ref="N3" xml:space="preserve"> IFERROR( INDEX(韻母對照資料表[注音二式], MATCH(TRUE, EXACT($E3, 韻母對照資料表[台語音標]),0)), "")</f>
        <v/>
      </c>
      <c r="P3" s="234">
        <v>1</v>
      </c>
      <c r="Q3" s="95" t="s">
        <v>260</v>
      </c>
      <c r="R3" s="94" t="s">
        <v>260</v>
      </c>
      <c r="S3" s="96" t="s">
        <v>261</v>
      </c>
      <c r="T3" s="96" t="s">
        <v>1556</v>
      </c>
      <c r="V3" s="79">
        <v>1</v>
      </c>
      <c r="W3" s="96" t="s">
        <v>1557</v>
      </c>
      <c r="X3" s="97" t="s">
        <v>18</v>
      </c>
      <c r="Y3" s="98" t="s">
        <v>18</v>
      </c>
      <c r="Z3" s="99" t="s">
        <v>18</v>
      </c>
      <c r="AC3" s="100" t="s">
        <v>1551</v>
      </c>
      <c r="AD3" s="101" t="str" cm="1">
        <f t="array" aca="1" ref="AD3" ca="1" xml:space="preserve"> INDIRECT( ADDRESS( ROW($G$2) + AD$2, COLUMN($G$2)) )</f>
        <v>ㆠ</v>
      </c>
      <c r="AE3" s="101" t="str" cm="1">
        <f t="array" aca="1" ref="AE3" ca="1" xml:space="preserve"> INDIRECT( ADDRESS( ROW($G$2) + AE$2, COLUMN($G$2)) )</f>
        <v>ㄅ</v>
      </c>
      <c r="AF3" s="101" t="str" cm="1">
        <f t="array" aca="1" ref="AF3" ca="1" xml:space="preserve"> INDIRECT( ADDRESS( ROW($G$2) + AF$2, COLUMN($G$2)) )</f>
        <v>ㄆ</v>
      </c>
      <c r="AG3" s="101" t="str" cm="1">
        <f t="array" aca="1" ref="AG3" ca="1" xml:space="preserve"> INDIRECT( ADDRESS( ROW($G$2) + AG$2, COLUMN($G$2)) )</f>
        <v>ㄇ</v>
      </c>
      <c r="AH3" s="101" t="str" cm="1">
        <f t="array" aca="1" ref="AH3" ca="1" xml:space="preserve"> INDIRECT( ADDRESS( ROW($G$2) + AH$2, COLUMN($G$2)) )</f>
        <v>ㄉ</v>
      </c>
      <c r="AI3" s="101" t="str" cm="1">
        <f t="array" aca="1" ref="AI3" ca="1" xml:space="preserve"> INDIRECT( ADDRESS( ROW($G$2) + AI$2, COLUMN($G$2)) )</f>
        <v>ㄊ</v>
      </c>
      <c r="AJ3" s="101" t="str" cm="1">
        <f t="array" aca="1" ref="AJ3" ca="1" xml:space="preserve"> INDIRECT( ADDRESS( ROW($G$2) + AJ$2, COLUMN($G$2)) )</f>
        <v>ㄋ</v>
      </c>
      <c r="AK3" s="101" t="str" cm="1">
        <f t="array" aca="1" ref="AK3" ca="1" xml:space="preserve"> INDIRECT( ADDRESS( ROW($G$2) + AK$2, COLUMN($G$2)) )</f>
        <v>ㄌ</v>
      </c>
      <c r="AL3" s="101" t="str" cm="1">
        <f t="array" aca="1" ref="AL3" ca="1" xml:space="preserve"> INDIRECT( ADDRESS( ROW($G$2) + AL$2, COLUMN($G$2)) )</f>
        <v>ㆣ</v>
      </c>
      <c r="AM3" s="101" t="str" cm="1">
        <f t="array" aca="1" ref="AM3" ca="1" xml:space="preserve"> INDIRECT( ADDRESS( ROW($G$2) + AM$2, COLUMN($G$2)) )</f>
        <v>ㄍ</v>
      </c>
      <c r="AN3" s="101" t="str" cm="1">
        <f t="array" aca="1" ref="AN3" ca="1" xml:space="preserve"> INDIRECT( ADDRESS( ROW($G$2) + AN$2, COLUMN($G$2)) )</f>
        <v>ㄎ</v>
      </c>
      <c r="AO3" s="101" t="str" cm="1">
        <f t="array" aca="1" ref="AO3" ca="1" xml:space="preserve"> INDIRECT( ADDRESS( ROW($G$2) + AO$2, COLUMN($G$2)) )</f>
        <v>ㄫ</v>
      </c>
      <c r="AP3" s="101" t="str" cm="1">
        <f t="array" aca="1" ref="AP3" ca="1" xml:space="preserve"> INDIRECT( ADDRESS( ROW($G$2) + AP$2, COLUMN($G$2)) )</f>
        <v>ㆡ</v>
      </c>
      <c r="AQ3" s="101" t="str" cm="1">
        <f t="array" aca="1" ref="AQ3" ca="1" xml:space="preserve"> INDIRECT( ADDRESS( ROW($G$2) + AQ$2, COLUMN($G$2)) )</f>
        <v>ㄗ</v>
      </c>
      <c r="AR3" s="101" t="str" cm="1">
        <f t="array" aca="1" ref="AR3" ca="1" xml:space="preserve"> INDIRECT( ADDRESS( ROW($G$2) + AR$2, COLUMN($G$2)) )</f>
        <v>ㄘ</v>
      </c>
      <c r="AS3" s="101" t="str" cm="1">
        <f t="array" aca="1" ref="AS3" ca="1" xml:space="preserve"> INDIRECT( ADDRESS( ROW($G$2) + AS$2, COLUMN($G$2)) )</f>
        <v>ㄙ</v>
      </c>
      <c r="AT3" s="101" t="str" cm="1">
        <f t="array" aca="1" ref="AT3" ca="1" xml:space="preserve"> INDIRECT( ADDRESS( ROW($G$2) + AT$2, COLUMN($G$2)) )</f>
        <v>ㆢ</v>
      </c>
      <c r="AU3" s="101" t="str" cm="1">
        <f t="array" aca="1" ref="AU3" ca="1" xml:space="preserve"> INDIRECT( ADDRESS( ROW($G$2) + AU$2, COLUMN($G$2)) )</f>
        <v>ㄐ</v>
      </c>
      <c r="AV3" s="101" t="str" cm="1">
        <f t="array" aca="1" ref="AV3" ca="1" xml:space="preserve"> INDIRECT( ADDRESS( ROW($G$2) + AV$2, COLUMN($G$2)) )</f>
        <v>ㄑ</v>
      </c>
      <c r="AW3" s="101" t="str" cm="1">
        <f t="array" aca="1" ref="AW3" ca="1" xml:space="preserve"> INDIRECT( ADDRESS( ROW($G$2) + AW$2, COLUMN($G$2)) )</f>
        <v>ㄒ</v>
      </c>
      <c r="AX3" s="101" t="str" cm="1">
        <f t="array" aca="1" ref="AX3" ca="1" xml:space="preserve"> INDIRECT( ADDRESS( ROW($G$2) + AX$2, COLUMN($G$2)) )</f>
        <v>ㄏ</v>
      </c>
      <c r="AY3" s="101" t="str" cm="1">
        <f t="array" aca="1" ref="AY3" ca="1" xml:space="preserve"> INDIRECT( ADDRESS( ROW($G$2) + AY$2, COLUMN($G$2)) )</f>
        <v>Ø</v>
      </c>
      <c r="AZ3" s="101" t="str" cm="1">
        <f t="array" aca="1" ref="AZ3" ca="1" xml:space="preserve"> INDIRECT( ADDRESS( ROW($G$2) + AZ$2, COLUMN($G$2)) )</f>
        <v>ㄚ</v>
      </c>
      <c r="BA3" s="101" t="str" cm="1">
        <f t="array" aca="1" ref="BA3" ca="1" xml:space="preserve"> INDIRECT( ADDRESS( ROW($G$2) + BA$2, COLUMN($G$2)) )</f>
        <v>ㆩ</v>
      </c>
      <c r="BB3" s="101" t="str" cm="1">
        <f t="array" aca="1" ref="BB3" ca="1" xml:space="preserve"> INDIRECT( ADDRESS( ROW($G$2) + BB$2, COLUMN($G$2)) )</f>
        <v>ㆰ</v>
      </c>
      <c r="BC3" s="101" t="str" cm="1">
        <f t="array" aca="1" ref="BC3" ca="1" xml:space="preserve"> INDIRECT( ADDRESS( ROW($G$2) + BC$2, COLUMN($G$2)) )</f>
        <v>ㄢ</v>
      </c>
      <c r="BD3" s="101" t="str" cm="1">
        <f t="array" aca="1" ref="BD3" ca="1" xml:space="preserve"> INDIRECT( ADDRESS( ROW($G$2) + BD$2, COLUMN($G$2)) )</f>
        <v>ㄤ</v>
      </c>
      <c r="BE3" s="101" t="str" cm="1">
        <f t="array" aca="1" ref="BE3" ca="1" xml:space="preserve"> INDIRECT( ADDRESS( ROW($G$2) + BE$2, COLUMN($G$2)) )</f>
        <v>ㄞ</v>
      </c>
      <c r="BF3" s="101" t="str" cm="1">
        <f t="array" aca="1" ref="BF3" ca="1" xml:space="preserve"> INDIRECT( ADDRESS( ROW($G$2) + BF$2, COLUMN($G$2)) )</f>
        <v>ㆮ</v>
      </c>
      <c r="BG3" s="101" t="str" cm="1">
        <f t="array" aca="1" ref="BG3" ca="1" xml:space="preserve"> INDIRECT( ADDRESS( ROW($G$2) + BG$2, COLUMN($G$2)) )</f>
        <v>ㄠ</v>
      </c>
      <c r="BH3" s="101" t="str" cm="1">
        <f t="array" aca="1" ref="BH3" ca="1" xml:space="preserve"> INDIRECT( ADDRESS( ROW($G$2) + BH$2, COLUMN($G$2)) )</f>
        <v>ㆯ</v>
      </c>
      <c r="BI3" s="101" t="str" cm="1">
        <f t="array" aca="1" ref="BI3" ca="1" xml:space="preserve"> INDIRECT( ADDRESS( ROW($G$2) + BI$2, COLUMN($G$2)) )</f>
        <v>ㆤ</v>
      </c>
      <c r="BJ3" s="101" t="str" cm="1">
        <f t="array" aca="1" ref="BJ3" ca="1" xml:space="preserve"> INDIRECT( ADDRESS( ROW($G$2) + BJ$2, COLUMN($G$2)) )</f>
        <v>ㆥ</v>
      </c>
      <c r="BK3" s="101" t="str" cm="1">
        <f t="array" aca="1" ref="BK3" ca="1" xml:space="preserve"> INDIRECT( ADDRESS( ROW($G$2) + BK$2, COLUMN($G$2)) )</f>
        <v>ㄧ</v>
      </c>
      <c r="BL3" s="101" t="str" cm="1">
        <f t="array" aca="1" ref="BL3" ca="1" xml:space="preserve"> INDIRECT( ADDRESS( ROW($G$2) + BL$2, COLUMN($G$2)) )</f>
        <v>ㆪ</v>
      </c>
      <c r="BM3" s="101" t="str" cm="1">
        <f t="array" aca="1" ref="BM3" ca="1" xml:space="preserve"> INDIRECT( ADDRESS( ROW($G$2) + BM$2, COLUMN($G$2)) )</f>
        <v>ㄧㆬ</v>
      </c>
      <c r="BN3" s="101" t="str" cm="1">
        <f t="array" aca="1" ref="BN3" ca="1" xml:space="preserve"> INDIRECT( ADDRESS( ROW($G$2) + BN$2, COLUMN($G$2)) )</f>
        <v>ㄧㄣ</v>
      </c>
      <c r="BO3" s="101" t="str" cm="1">
        <f t="array" aca="1" ref="BO3" ca="1" xml:space="preserve"> INDIRECT( ADDRESS( ROW($G$2) + BO$2, COLUMN($G$2)) )</f>
        <v>ㄧㄥ</v>
      </c>
      <c r="BP3" s="101" t="str" cm="1">
        <f t="array" aca="1" ref="BP3" ca="1" xml:space="preserve"> INDIRECT( ADDRESS( ROW($G$2) + BP$2, COLUMN($G$2)) )</f>
        <v>ㄧㆻ</v>
      </c>
      <c r="BQ3" s="101" t="str" cm="1">
        <f t="array" aca="1" ref="BQ3" ca="1" xml:space="preserve"> INDIRECT( ADDRESS( ROW($G$2) + BQ$2, COLUMN($G$2)) )</f>
        <v>ㄧㄥ</v>
      </c>
      <c r="BR3" s="101" t="str" cm="1">
        <f t="array" aca="1" ref="BR3" ca="1" xml:space="preserve"> INDIRECT( ADDRESS( ROW($G$2) + BR$2, COLUMN($G$2)) )</f>
        <v>ㄧㆤㆻ</v>
      </c>
      <c r="BS3" s="101" t="str" cm="1">
        <f t="array" aca="1" ref="BS3" ca="1" xml:space="preserve"> INDIRECT( ADDRESS( ROW($G$2) + BS$2, COLUMN($G$2)) )</f>
        <v>ㄧㄚ</v>
      </c>
      <c r="BT3" s="101" t="str" cm="1">
        <f t="array" aca="1" ref="BT3" ca="1" xml:space="preserve"> INDIRECT( ADDRESS( ROW($G$2) + BT$2, COLUMN($G$2)) )</f>
        <v>ㄧㆩ</v>
      </c>
      <c r="BU3" s="101" t="str" cm="1">
        <f t="array" aca="1" ref="BU3" ca="1" xml:space="preserve"> INDIRECT( ADDRESS( ROW($G$2) + BU$2, COLUMN($G$2)) )</f>
        <v>ㄧㆰ</v>
      </c>
      <c r="BV3" s="101" t="str" cm="1">
        <f t="array" aca="1" ref="BV3" ca="1" xml:space="preserve"> INDIRECT( ADDRESS( ROW($G$2) + BV$2, COLUMN($G$2)) )</f>
        <v>ㄧㄢ</v>
      </c>
      <c r="BW3" s="101" t="str" cm="1">
        <f t="array" aca="1" ref="BW3" ca="1" xml:space="preserve"> INDIRECT( ADDRESS( ROW($G$2) + BW$2, COLUMN($G$2)) )</f>
        <v>ㄧㄚㆵ</v>
      </c>
      <c r="BX3" s="101" t="str" cm="1">
        <f t="array" aca="1" ref="BX3" ca="1" xml:space="preserve"> INDIRECT( ADDRESS( ROW($G$2) + BX$2, COLUMN($G$2)) )</f>
        <v>ㄧㄤ</v>
      </c>
      <c r="BY3" s="101" t="str" cm="1">
        <f t="array" aca="1" ref="BY3" ca="1" xml:space="preserve"> INDIRECT( ADDRESS( ROW($G$2) + BY$2, COLUMN($G$2)) )</f>
        <v>ㄧㄠ</v>
      </c>
      <c r="BZ3" s="101" t="str" cm="1">
        <f t="array" aca="1" ref="BZ3" ca="1" xml:space="preserve"> INDIRECT( ADDRESS( ROW($G$2) + BZ$2, COLUMN($G$2)) )</f>
        <v>ㄧㆯ</v>
      </c>
      <c r="CA3" s="101" t="str" cm="1">
        <f t="array" aca="1" ref="CA3" ca="1" xml:space="preserve"> INDIRECT( ADDRESS( ROW($G$2) + CA$2, COLUMN($G$2)) )</f>
        <v>ㄧㄜ</v>
      </c>
      <c r="CB3" s="101" t="str" cm="1">
        <f t="array" aca="1" ref="CB3" ca="1" xml:space="preserve"> INDIRECT( ADDRESS( ROW($G$2) + CB$2, COLUMN($G$2)) )</f>
        <v>ㄧㆦ</v>
      </c>
      <c r="CC3" s="101" t="str" cm="1">
        <f t="array" aca="1" ref="CC3" ca="1" xml:space="preserve"> INDIRECT( ADDRESS( ROW($G$2) + CC$2, COLUMN($G$2)) )</f>
        <v>ㄧㆧ</v>
      </c>
      <c r="CD3" s="101" t="str" cm="1">
        <f t="array" aca="1" ref="CD3" ca="1" xml:space="preserve"> INDIRECT( ADDRESS( ROW($G$2) + CD$2, COLUMN($G$2)) )</f>
        <v>ㄧㆲ</v>
      </c>
      <c r="CE3" s="101" t="str" cm="1">
        <f t="array" aca="1" ref="CE3" ca="1" xml:space="preserve"> INDIRECT( ADDRESS( ROW($G$2) + CE$2, COLUMN($G$2)) )</f>
        <v>ㄧㄨ</v>
      </c>
      <c r="CF3" s="101" t="str" cm="1">
        <f t="array" aca="1" ref="CF3" ca="1" xml:space="preserve"> INDIRECT( ADDRESS( ROW($G$2) + CF$2, COLUMN($G$2)) )</f>
        <v>ㄧㆫ</v>
      </c>
    </row>
    <row r="4" spans="2:84" ht="57.75">
      <c r="B4" s="282" cm="1">
        <f t="array" ref="B4" xml:space="preserve"> ROW() - ROW($2:$2)</f>
        <v>2</v>
      </c>
      <c r="C4" s="212" t="s">
        <v>2</v>
      </c>
      <c r="D4" s="74" t="str" cm="1">
        <f t="array" ref="D4" xml:space="preserve"> IFERROR( INDEX(聲母對照資料表[台羅拼音], MATCH(TRUE, EXACT($E4, 聲母碼),0)), "")</f>
        <v>p</v>
      </c>
      <c r="E4" s="212" t="s">
        <v>2</v>
      </c>
      <c r="F4" s="95" t="str" cm="1">
        <f t="array" ref="F4" xml:space="preserve"> IFERROR( INDEX(聲母對照資料表[注音二式], MATCH(TRUE, EXACT($E4, 聲母碼),0)), "")</f>
        <v>b</v>
      </c>
      <c r="G4" s="216" t="s">
        <v>1436</v>
      </c>
      <c r="H4" s="209" t="str" cm="1">
        <f t="array" ref="H4" xml:space="preserve"> IFERROR( INDEX(聲母對照資料表[十五音], MATCH(TRUE, EXACT($E4, 聲母碼),0)), "")</f>
        <v>邊</v>
      </c>
      <c r="I4" s="132" t="s">
        <v>1882</v>
      </c>
      <c r="J4" s="139" t="str" cm="1">
        <f t="array" ref="J4" xml:space="preserve"> INDEX(廣韻聲母對照資料表[廣韻], MATCH(TRUE, EXACT($E4, 廣韻聲母對照資料表[台語音標]),0))</f>
        <v>幫</v>
      </c>
      <c r="K4" s="74" t="str" cm="1">
        <f t="array" ref="K4" xml:space="preserve"> IFERROR( INDEX(聲母對照資料表[白話字], MATCH(TRUE, EXACT($E4, 聲母碼),0)), "")</f>
        <v>p</v>
      </c>
      <c r="L4" s="74" t="str" cm="1">
        <f t="array" ref="L4" xml:space="preserve"> IFERROR( INDEX(聲母對照資料表[閩拼方案], MATCH(TRUE, EXACT($E4, 聲母碼),0)), "")</f>
        <v>b</v>
      </c>
      <c r="M4" s="94" t="s">
        <v>4</v>
      </c>
      <c r="N4" s="75" t="s">
        <v>1438</v>
      </c>
      <c r="P4" s="234">
        <v>2</v>
      </c>
      <c r="Q4" s="95" t="s">
        <v>732</v>
      </c>
      <c r="R4" s="94" t="s">
        <v>732</v>
      </c>
      <c r="S4" s="96" t="s">
        <v>733</v>
      </c>
      <c r="T4" s="96" t="s">
        <v>1559</v>
      </c>
      <c r="V4" s="79">
        <f t="shared" ref="V4:V12" si="1">V3+1</f>
        <v>2</v>
      </c>
      <c r="W4" s="96" t="s">
        <v>1560</v>
      </c>
      <c r="X4" s="97" t="s">
        <v>1249</v>
      </c>
      <c r="Y4" s="98" t="s">
        <v>18</v>
      </c>
      <c r="Z4" s="99" t="s">
        <v>1250</v>
      </c>
      <c r="AC4" s="103" t="s">
        <v>1561</v>
      </c>
      <c r="AD4" s="104" t="str" cm="1">
        <f t="array" aca="1" ref="AD4" ca="1" xml:space="preserve"> INDIRECT( ADDRESS( ROW($E$2) + AD$2, COLUMN($E$2)) )</f>
        <v>b</v>
      </c>
      <c r="AE4" s="104" t="str" cm="1">
        <f t="array" aca="1" ref="AE4" ca="1" xml:space="preserve"> INDIRECT( ADDRESS( ROW($E$2) + AE$2, COLUMN($E$2)) )</f>
        <v>p</v>
      </c>
      <c r="AF4" s="104" t="str" cm="1">
        <f t="array" aca="1" ref="AF4" ca="1" xml:space="preserve"> INDIRECT( ADDRESS( ROW($E$2) + AF$2, COLUMN($E$2)) )</f>
        <v>ph</v>
      </c>
      <c r="AG4" s="104" t="str" cm="1">
        <f t="array" aca="1" ref="AG4" ca="1" xml:space="preserve"> INDIRECT( ADDRESS( ROW($E$2) + AG$2, COLUMN($E$2)) )</f>
        <v>m</v>
      </c>
      <c r="AH4" s="104" t="str" cm="1">
        <f t="array" aca="1" ref="AH4" ca="1" xml:space="preserve"> INDIRECT( ADDRESS( ROW($E$2) + AH$2, COLUMN($E$2)) )</f>
        <v>t</v>
      </c>
      <c r="AI4" s="104" t="str" cm="1">
        <f t="array" aca="1" ref="AI4" ca="1" xml:space="preserve"> INDIRECT( ADDRESS( ROW($E$2) + AI$2, COLUMN($E$2)) )</f>
        <v>th</v>
      </c>
      <c r="AJ4" s="104" t="str" cm="1">
        <f t="array" aca="1" ref="AJ4" ca="1" xml:space="preserve"> INDIRECT( ADDRESS( ROW($E$2) + AJ$2, COLUMN($E$2)) )</f>
        <v>n</v>
      </c>
      <c r="AK4" s="104" t="str" cm="1">
        <f t="array" aca="1" ref="AK4" ca="1" xml:space="preserve"> INDIRECT( ADDRESS( ROW($E$2) + AK$2, COLUMN($E$2)) )</f>
        <v>l</v>
      </c>
      <c r="AL4" s="104" t="str" cm="1">
        <f t="array" aca="1" ref="AL4" ca="1" xml:space="preserve"> INDIRECT( ADDRESS( ROW($E$2) + AL$2, COLUMN($E$2)) )</f>
        <v>g</v>
      </c>
      <c r="AM4" s="104" t="str" cm="1">
        <f t="array" aca="1" ref="AM4" ca="1" xml:space="preserve"> INDIRECT( ADDRESS( ROW($E$2) + AM$2, COLUMN($E$2)) )</f>
        <v>k</v>
      </c>
      <c r="AN4" s="104" t="str" cm="1">
        <f t="array" aca="1" ref="AN4" ca="1" xml:space="preserve"> INDIRECT( ADDRESS( ROW($E$2) + AN$2, COLUMN($E$2)) )</f>
        <v>kh</v>
      </c>
      <c r="AO4" s="104" t="str" cm="1">
        <f t="array" aca="1" ref="AO4" ca="1" xml:space="preserve"> INDIRECT( ADDRESS( ROW($E$2) + AO$2, COLUMN($E$2)) )</f>
        <v>ng</v>
      </c>
      <c r="AP4" s="104" t="str" cm="1">
        <f t="array" aca="1" ref="AP4" ca="1" xml:space="preserve"> INDIRECT( ADDRESS( ROW($E$2) + AP$2, COLUMN($E$2)) )</f>
        <v>j</v>
      </c>
      <c r="AQ4" s="104" t="str" cm="1">
        <f t="array" aca="1" ref="AQ4" ca="1" xml:space="preserve"> INDIRECT( ADDRESS( ROW($E$2) + AQ$2, COLUMN($E$2)) )</f>
        <v>z</v>
      </c>
      <c r="AR4" s="104" t="str" cm="1">
        <f t="array" aca="1" ref="AR4" ca="1" xml:space="preserve"> INDIRECT( ADDRESS( ROW($E$2) + AR$2, COLUMN($E$2)) )</f>
        <v>c</v>
      </c>
      <c r="AS4" s="104" t="str" cm="1">
        <f t="array" aca="1" ref="AS4" ca="1" xml:space="preserve"> INDIRECT( ADDRESS( ROW($E$2) + AS$2, COLUMN($E$2)) )</f>
        <v>s</v>
      </c>
      <c r="AT4" s="104" t="str" cm="1">
        <f t="array" aca="1" ref="AT4" ca="1" xml:space="preserve"> INDIRECT( ADDRESS( ROW($E$2) + AT$2, COLUMN($E$2)) )</f>
        <v>ji</v>
      </c>
      <c r="AU4" s="104" t="str" cm="1">
        <f t="array" aca="1" ref="AU4" ca="1" xml:space="preserve"> INDIRECT( ADDRESS( ROW($E$2) + AU$2, COLUMN($E$2)) )</f>
        <v>zi</v>
      </c>
      <c r="AV4" s="104" t="str" cm="1">
        <f t="array" aca="1" ref="AV4" ca="1" xml:space="preserve"> INDIRECT( ADDRESS( ROW($E$2) + AV$2, COLUMN($E$2)) )</f>
        <v>ci</v>
      </c>
      <c r="AW4" s="104" t="str" cm="1">
        <f t="array" aca="1" ref="AW4" ca="1" xml:space="preserve"> INDIRECT( ADDRESS( ROW($E$2) + AW$2, COLUMN($E$2)) )</f>
        <v>si</v>
      </c>
      <c r="AX4" s="104" t="str" cm="1">
        <f t="array" aca="1" ref="AX4" ca="1" xml:space="preserve"> INDIRECT( ADDRESS( ROW($E$2) + AX$2, COLUMN($E$2)) )</f>
        <v>h</v>
      </c>
      <c r="AY4" s="104" t="str" cm="1">
        <f t="array" aca="1" ref="AY4" ca="1" xml:space="preserve"> INDIRECT( ADDRESS( ROW($E$2) + AY$2, COLUMN($E$2)) )</f>
        <v>Ø</v>
      </c>
      <c r="AZ4" s="104" t="str" cm="1">
        <f t="array" aca="1" ref="AZ4" ca="1" xml:space="preserve"> INDIRECT( ADDRESS( ROW($E$2) + AZ$2, COLUMN($E$2)) )</f>
        <v>a</v>
      </c>
      <c r="BA4" s="104" t="str" cm="1">
        <f t="array" aca="1" ref="BA4" ca="1" xml:space="preserve"> INDIRECT( ADDRESS( ROW($E$2) + BA$2, COLUMN($E$2)) )</f>
        <v>ann</v>
      </c>
      <c r="BB4" s="104" t="str" cm="1">
        <f t="array" aca="1" ref="BB4" ca="1" xml:space="preserve"> INDIRECT( ADDRESS( ROW($E$2) + BB$2, COLUMN($E$2)) )</f>
        <v>am</v>
      </c>
      <c r="BC4" s="104" t="str" cm="1">
        <f t="array" aca="1" ref="BC4" ca="1" xml:space="preserve"> INDIRECT( ADDRESS( ROW($E$2) + BC$2, COLUMN($E$2)) )</f>
        <v>an</v>
      </c>
      <c r="BD4" s="104" t="str" cm="1">
        <f t="array" aca="1" ref="BD4" ca="1" xml:space="preserve"> INDIRECT( ADDRESS( ROW($E$2) + BD$2, COLUMN($E$2)) )</f>
        <v>ang</v>
      </c>
      <c r="BE4" s="104" t="str" cm="1">
        <f t="array" aca="1" ref="BE4" ca="1" xml:space="preserve"> INDIRECT( ADDRESS( ROW($E$2) + BE$2, COLUMN($E$2)) )</f>
        <v>ai</v>
      </c>
      <c r="BF4" s="104" t="str" cm="1">
        <f t="array" aca="1" ref="BF4" ca="1" xml:space="preserve"> INDIRECT( ADDRESS( ROW($E$2) + BF$2, COLUMN($E$2)) )</f>
        <v>ainn</v>
      </c>
      <c r="BG4" s="104" t="str" cm="1">
        <f t="array" aca="1" ref="BG4" ca="1" xml:space="preserve"> INDIRECT( ADDRESS( ROW($E$2) + BG$2, COLUMN($E$2)) )</f>
        <v>au</v>
      </c>
      <c r="BH4" s="104" t="str" cm="1">
        <f t="array" aca="1" ref="BH4" ca="1" xml:space="preserve"> INDIRECT( ADDRESS( ROW($E$2) + BH$2, COLUMN($E$2)) )</f>
        <v>aunn</v>
      </c>
      <c r="BI4" s="104" t="str" cm="1">
        <f t="array" aca="1" ref="BI4" ca="1" xml:space="preserve"> INDIRECT( ADDRESS( ROW($E$2) + BI$2, COLUMN($E$2)) )</f>
        <v>e</v>
      </c>
      <c r="BJ4" s="104" t="str" cm="1">
        <f t="array" aca="1" ref="BJ4" ca="1" xml:space="preserve"> INDIRECT( ADDRESS( ROW($E$2) + BJ$2, COLUMN($E$2)) )</f>
        <v>enn</v>
      </c>
      <c r="BK4" s="104" t="str" cm="1">
        <f t="array" aca="1" ref="BK4" ca="1" xml:space="preserve"> INDIRECT( ADDRESS( ROW($E$2) + BK$2, COLUMN($E$2)) )</f>
        <v>i</v>
      </c>
      <c r="BL4" s="104" t="str" cm="1">
        <f t="array" aca="1" ref="BL4" ca="1" xml:space="preserve"> INDIRECT( ADDRESS( ROW($E$2) + BL$2, COLUMN($E$2)) )</f>
        <v>inn</v>
      </c>
      <c r="BM4" s="104" t="str" cm="1">
        <f t="array" aca="1" ref="BM4" ca="1" xml:space="preserve"> INDIRECT( ADDRESS( ROW($E$2) + BM$2, COLUMN($E$2)) )</f>
        <v>im</v>
      </c>
      <c r="BN4" s="104" t="str" cm="1">
        <f t="array" aca="1" ref="BN4" ca="1" xml:space="preserve"> INDIRECT( ADDRESS( ROW($E$2) + BN$2, COLUMN($E$2)) )</f>
        <v>in</v>
      </c>
      <c r="BO4" s="104" t="str" cm="1">
        <f t="array" aca="1" ref="BO4" ca="1" xml:space="preserve"> INDIRECT( ADDRESS( ROW($E$2) + BO$2, COLUMN($E$2)) )</f>
        <v>ing</v>
      </c>
      <c r="BP4" s="104" t="str" cm="1">
        <f t="array" aca="1" ref="BP4" ca="1" xml:space="preserve"> INDIRECT( ADDRESS( ROW($E$2) + BP$2, COLUMN($E$2)) )</f>
        <v>ik</v>
      </c>
      <c r="BQ4" s="104" t="str" cm="1">
        <f t="array" aca="1" ref="BQ4" ca="1" xml:space="preserve"> INDIRECT( ADDRESS( ROW($E$2) + BQ$2, COLUMN($E$2)) )</f>
        <v>ing</v>
      </c>
      <c r="BR4" s="104" t="str" cm="1">
        <f t="array" aca="1" ref="BR4" ca="1" xml:space="preserve"> INDIRECT( ADDRESS( ROW($E$2) + BR$2, COLUMN($E$2)) )</f>
        <v>iek</v>
      </c>
      <c r="BS4" s="104" t="str" cm="1">
        <f t="array" aca="1" ref="BS4" ca="1" xml:space="preserve"> INDIRECT( ADDRESS( ROW($E$2) + BS$2, COLUMN($E$2)) )</f>
        <v>ia</v>
      </c>
      <c r="BT4" s="104" t="str" cm="1">
        <f t="array" aca="1" ref="BT4" ca="1" xml:space="preserve"> INDIRECT( ADDRESS( ROW($E$2) + BT$2, COLUMN($E$2)) )</f>
        <v>iann</v>
      </c>
      <c r="BU4" s="104" t="str" cm="1">
        <f t="array" aca="1" ref="BU4" ca="1" xml:space="preserve"> INDIRECT( ADDRESS( ROW($E$2) + BU$2, COLUMN($E$2)) )</f>
        <v>iam</v>
      </c>
      <c r="BV4" s="104" t="str" cm="1">
        <f t="array" aca="1" ref="BV4" ca="1" xml:space="preserve"> INDIRECT( ADDRESS( ROW($E$2) + BV$2, COLUMN($E$2)) )</f>
        <v>ian</v>
      </c>
      <c r="BW4" s="104" t="str" cm="1">
        <f t="array" aca="1" ref="BW4" ca="1" xml:space="preserve"> INDIRECT( ADDRESS( ROW($E$2) + BW$2, COLUMN($E$2)) )</f>
        <v>iat</v>
      </c>
      <c r="BX4" s="104" t="str" cm="1">
        <f t="array" aca="1" ref="BX4" ca="1" xml:space="preserve"> INDIRECT( ADDRESS( ROW($E$2) + BX$2, COLUMN($E$2)) )</f>
        <v>iang</v>
      </c>
      <c r="BY4" s="104" t="str" cm="1">
        <f t="array" aca="1" ref="BY4" ca="1" xml:space="preserve"> INDIRECT( ADDRESS( ROW($E$2) + BY$2, COLUMN($E$2)) )</f>
        <v>iau</v>
      </c>
      <c r="BZ4" s="104" t="str" cm="1">
        <f t="array" aca="1" ref="BZ4" ca="1" xml:space="preserve"> INDIRECT( ADDRESS( ROW($E$2) + BZ$2, COLUMN($E$2)) )</f>
        <v>iaunn</v>
      </c>
      <c r="CA4" s="104" t="str" cm="1">
        <f t="array" aca="1" ref="CA4" ca="1" xml:space="preserve"> INDIRECT( ADDRESS( ROW($E$2) + CA$2, COLUMN($E$2)) )</f>
        <v>io</v>
      </c>
      <c r="CB4" s="104" t="str" cm="1">
        <f t="array" aca="1" ref="CB4" ca="1" xml:space="preserve"> INDIRECT( ADDRESS( ROW($E$2) + CB$2, COLUMN($E$2)) )</f>
        <v>ioo</v>
      </c>
      <c r="CC4" s="104" t="str" cm="1">
        <f t="array" aca="1" ref="CC4" ca="1" xml:space="preserve"> INDIRECT( ADDRESS( ROW($E$2) + CC$2, COLUMN($E$2)) )</f>
        <v>ionn</v>
      </c>
      <c r="CD4" s="104" t="str" cm="1">
        <f t="array" aca="1" ref="CD4" ca="1" xml:space="preserve"> INDIRECT( ADDRESS( ROW($E$2) + CD$2, COLUMN($E$2)) )</f>
        <v>iong</v>
      </c>
      <c r="CE4" s="104" t="str" cm="1">
        <f t="array" aca="1" ref="CE4" ca="1" xml:space="preserve"> INDIRECT( ADDRESS( ROW($E$2) + CE$2, COLUMN($E$2)) )</f>
        <v>iu</v>
      </c>
      <c r="CF4" s="104" t="str" cm="1">
        <f t="array" aca="1" ref="CF4" ca="1" xml:space="preserve"> INDIRECT( ADDRESS( ROW($E$2) + CF$2, COLUMN($E$2)) )</f>
        <v>iunn</v>
      </c>
    </row>
    <row r="5" spans="2:84" ht="57.75">
      <c r="B5" s="282" cm="1">
        <f t="array" ref="B5" xml:space="preserve"> ROW() - ROW($2:$2)</f>
        <v>3</v>
      </c>
      <c r="C5" s="212" t="s">
        <v>1444</v>
      </c>
      <c r="D5" s="74" t="str" cm="1">
        <f t="array" ref="D5" xml:space="preserve"> IFERROR( INDEX(聲母對照資料表[台羅拼音], MATCH(TRUE, EXACT($E5, 聲母碼),0)), "")</f>
        <v>ph</v>
      </c>
      <c r="E5" s="212" t="s">
        <v>1558</v>
      </c>
      <c r="F5" s="95" t="str" cm="1">
        <f t="array" ref="F5" xml:space="preserve"> IFERROR( INDEX(聲母對照資料表[注音二式], MATCH(TRUE, EXACT($E5, 聲母碼),0)), "")</f>
        <v>p</v>
      </c>
      <c r="G5" s="216" t="s">
        <v>2254</v>
      </c>
      <c r="H5" s="209" t="str" cm="1">
        <f t="array" ref="H5" xml:space="preserve"> IFERROR( INDEX(聲母對照資料表[十五音], MATCH(TRUE, EXACT($E5, 聲母碼),0)), "")</f>
        <v>頗</v>
      </c>
      <c r="I5" s="132" t="s">
        <v>2435</v>
      </c>
      <c r="J5" s="139" t="str" cm="1">
        <f t="array" ref="J5" xml:space="preserve"> INDEX(廣韻聲母對照資料表[廣韻], MATCH(TRUE, EXACT($E5, 廣韻聲母對照資料表[台語音標]),0))</f>
        <v>滂</v>
      </c>
      <c r="K5" s="74" t="str" cm="1">
        <f t="array" ref="K5" xml:space="preserve"> IFERROR( INDEX(聲母對照資料表[白話字], MATCH(TRUE, EXACT($E5, 聲母碼),0)), "")</f>
        <v>ph</v>
      </c>
      <c r="L5" s="74" t="str" cm="1">
        <f t="array" ref="L5" xml:space="preserve"> IFERROR( INDEX(聲母對照資料表[閩拼方案], MATCH(TRUE, EXACT($E5, 聲母碼),0)), "")</f>
        <v>p</v>
      </c>
      <c r="M5" s="102" t="s">
        <v>2</v>
      </c>
      <c r="N5" s="75" t="s">
        <v>18</v>
      </c>
      <c r="P5" s="234">
        <v>3</v>
      </c>
      <c r="Q5" s="95" t="s">
        <v>18</v>
      </c>
      <c r="R5" s="105" t="s">
        <v>18</v>
      </c>
      <c r="S5" s="96" t="s">
        <v>19</v>
      </c>
      <c r="T5" s="96" t="s">
        <v>1560</v>
      </c>
      <c r="V5" s="79">
        <f t="shared" si="1"/>
        <v>3</v>
      </c>
      <c r="W5" s="96" t="s">
        <v>1562</v>
      </c>
      <c r="X5" s="97" t="s">
        <v>1529</v>
      </c>
      <c r="Y5" s="106" t="s">
        <v>1563</v>
      </c>
      <c r="Z5" s="99" t="s">
        <v>1235</v>
      </c>
      <c r="AC5" s="107" t="s">
        <v>1564</v>
      </c>
      <c r="AD5" s="108" t="str" cm="1">
        <f t="array" aca="1" ref="AD5" ca="1" xml:space="preserve"> INDIRECT( ADDRESS( ROW($M$2) + AD$2, COLUMN($M$2)) )</f>
        <v/>
      </c>
      <c r="AE5" s="108" t="str" cm="1">
        <f t="array" aca="1" ref="AE5" ca="1" xml:space="preserve"> INDIRECT( ADDRESS( ROW($M$2) + AE$2, COLUMN($M$2)) )</f>
        <v>b</v>
      </c>
      <c r="AF5" s="108" t="str" cm="1">
        <f t="array" aca="1" ref="AF5" ca="1" xml:space="preserve"> INDIRECT( ADDRESS( ROW($M$2) + AF$2, COLUMN($M$2)) )</f>
        <v>p</v>
      </c>
      <c r="AG5" s="108" t="str" cm="1">
        <f t="array" aca="1" ref="AG5" ca="1" xml:space="preserve"> INDIRECT( ADDRESS( ROW($M$2) + AG$2, COLUMN($M$2)) )</f>
        <v>m</v>
      </c>
      <c r="AH5" s="108" t="str" cm="1">
        <f t="array" aca="1" ref="AH5" ca="1" xml:space="preserve"> INDIRECT( ADDRESS( ROW($M$2) + AH$2, COLUMN($M$2)) )</f>
        <v>d</v>
      </c>
      <c r="AI5" s="108" t="str" cm="1">
        <f t="array" aca="1" ref="AI5" ca="1" xml:space="preserve"> INDIRECT( ADDRESS( ROW($M$2) + AI$2, COLUMN($M$2)) )</f>
        <v>t</v>
      </c>
      <c r="AJ5" s="108" t="str" cm="1">
        <f t="array" aca="1" ref="AJ5" ca="1" xml:space="preserve"> INDIRECT( ADDRESS( ROW($M$2) + AJ$2, COLUMN($M$2)) )</f>
        <v>n</v>
      </c>
      <c r="AK5" s="108" t="str" cm="1">
        <f t="array" aca="1" ref="AK5" ca="1" xml:space="preserve"> INDIRECT( ADDRESS( ROW($M$2) + AK$2, COLUMN($M$2)) )</f>
        <v>l</v>
      </c>
      <c r="AL5" s="108" t="str" cm="1">
        <f t="array" aca="1" ref="AL5" ca="1" xml:space="preserve"> INDIRECT( ADDRESS( ROW($M$2) + AL$2, COLUMN($M$2)) )</f>
        <v>G</v>
      </c>
      <c r="AM5" s="108" t="str" cm="1">
        <f t="array" aca="1" ref="AM5" ca="1" xml:space="preserve"> INDIRECT( ADDRESS( ROW($M$2) + AM$2, COLUMN($M$2)) )</f>
        <v>g</v>
      </c>
      <c r="AN5" s="108" t="str" cm="1">
        <f t="array" aca="1" ref="AN5" ca="1" xml:space="preserve"> INDIRECT( ADDRESS( ROW($M$2) + AN$2, COLUMN($M$2)) )</f>
        <v>k</v>
      </c>
      <c r="AO5" s="108" t="str" cm="1">
        <f t="array" aca="1" ref="AO5" ca="1" xml:space="preserve"> INDIRECT( ADDRESS( ROW($M$2) + AO$2, COLUMN($M$2)) )</f>
        <v>w</v>
      </c>
      <c r="AP5" s="108" t="str" cm="1">
        <f t="array" aca="1" ref="AP5" ca="1" xml:space="preserve"> INDIRECT( ADDRESS( ROW($M$2) + AP$2, COLUMN($M$2)) )</f>
        <v>Z</v>
      </c>
      <c r="AQ5" s="108" t="str" cm="1">
        <f t="array" aca="1" ref="AQ5" ca="1" xml:space="preserve"> INDIRECT( ADDRESS( ROW($M$2) + AQ$2, COLUMN($M$2)) )</f>
        <v>z</v>
      </c>
      <c r="AR5" s="108" t="str" cm="1">
        <f t="array" aca="1" ref="AR5" ca="1" xml:space="preserve"> INDIRECT( ADDRESS( ROW($M$2) + AR$2, COLUMN($M$2)) )</f>
        <v>c</v>
      </c>
      <c r="AS5" s="108" t="str" cm="1">
        <f t="array" aca="1" ref="AS5" ca="1" xml:space="preserve"> INDIRECT( ADDRESS( ROW($M$2) + AS$2, COLUMN($M$2)) )</f>
        <v>s</v>
      </c>
      <c r="AT5" s="108" t="str" cm="1">
        <f t="array" aca="1" ref="AT5" ca="1" xml:space="preserve"> INDIRECT( ADDRESS( ROW($M$2) + AT$2, COLUMN($M$2)) )</f>
        <v>J</v>
      </c>
      <c r="AU5" s="108" t="str" cm="1">
        <f t="array" aca="1" ref="AU5" ca="1" xml:space="preserve"> INDIRECT( ADDRESS( ROW($M$2) + AU$2, COLUMN($M$2)) )</f>
        <v>j</v>
      </c>
      <c r="AV5" s="108" t="str" cm="1">
        <f t="array" aca="1" ref="AV5" ca="1" xml:space="preserve"> INDIRECT( ADDRESS( ROW($M$2) + AV$2, COLUMN($M$2)) )</f>
        <v>C</v>
      </c>
      <c r="AW5" s="108" t="str" cm="1">
        <f t="array" aca="1" ref="AW5" ca="1" xml:space="preserve"> INDIRECT( ADDRESS( ROW($M$2) + AW$2, COLUMN($M$2)) )</f>
        <v>S</v>
      </c>
      <c r="AX5" s="108" t="str" cm="1">
        <f t="array" aca="1" ref="AX5" ca="1" xml:space="preserve"> INDIRECT( ADDRESS( ROW($M$2) + AX$2, COLUMN($M$2)) )</f>
        <v>h</v>
      </c>
      <c r="AY5" s="108" t="str" cm="1">
        <f t="array" aca="1" ref="AY5" ca="1" xml:space="preserve"> INDIRECT( ADDRESS( ROW($M$2) + AY$2, COLUMN($M$2)) )</f>
        <v/>
      </c>
      <c r="AZ5" s="108" t="str" cm="1">
        <f t="array" aca="1" ref="AZ5" ca="1" xml:space="preserve"> INDIRECT( ADDRESS( ROW($M$2) + AZ$2, COLUMN($M$2)) )</f>
        <v>a</v>
      </c>
      <c r="BA5" s="108" t="str" cm="1">
        <f t="array" aca="1" ref="BA5" ca="1" xml:space="preserve"> INDIRECT( ADDRESS( ROW($M$2) + BA$2, COLUMN($M$2)) )</f>
        <v>A</v>
      </c>
      <c r="BB5" s="108" t="str" cm="1">
        <f t="array" aca="1" ref="BB5" ca="1" xml:space="preserve"> INDIRECT( ADDRESS( ROW($M$2) + BB$2, COLUMN($M$2)) )</f>
        <v>V</v>
      </c>
      <c r="BC5" s="108" t="str" cm="1">
        <f t="array" aca="1" ref="BC5" ca="1" xml:space="preserve"> INDIRECT( ADDRESS( ROW($M$2) + BC$2, COLUMN($M$2)) )</f>
        <v>@</v>
      </c>
      <c r="BD5" s="108" t="str" cm="1">
        <f t="array" aca="1" ref="BD5" ca="1" xml:space="preserve"> INDIRECT( ADDRESS( ROW($M$2) + BD$2, COLUMN($M$2)) )</f>
        <v>P</v>
      </c>
      <c r="BE5" s="108" t="str" cm="1">
        <f t="array" aca="1" ref="BE5" ca="1" xml:space="preserve"> INDIRECT( ADDRESS( ROW($M$2) + BE$2, COLUMN($M$2)) )</f>
        <v>x</v>
      </c>
      <c r="BF5" s="108" t="str" cm="1">
        <f t="array" aca="1" ref="BF5" ca="1" xml:space="preserve"> INDIRECT( ADDRESS( ROW($M$2) + BF$2, COLUMN($M$2)) )</f>
        <v>X</v>
      </c>
      <c r="BG5" s="108" t="str" cm="1">
        <f t="array" aca="1" ref="BG5" ca="1" xml:space="preserve"> INDIRECT( ADDRESS( ROW($M$2) + BG$2, COLUMN($M$2)) )</f>
        <v>y</v>
      </c>
      <c r="BH5" s="108" t="str" cm="1">
        <f t="array" aca="1" ref="BH5" ca="1" xml:space="preserve"> INDIRECT( ADDRESS( ROW($M$2) + BH$2, COLUMN($M$2)) )</f>
        <v>Y</v>
      </c>
      <c r="BI5" s="108" t="str" cm="1">
        <f t="array" aca="1" ref="BI5" ca="1" xml:space="preserve"> INDIRECT( ADDRESS( ROW($M$2) + BI$2, COLUMN($M$2)) )</f>
        <v>e</v>
      </c>
      <c r="BJ5" s="108" t="str" cm="1">
        <f t="array" aca="1" ref="BJ5" ca="1" xml:space="preserve"> INDIRECT( ADDRESS( ROW($M$2) + BJ$2, COLUMN($M$2)) )</f>
        <v>E</v>
      </c>
      <c r="BK5" s="108" t="str" cm="1">
        <f t="array" aca="1" ref="BK5" ca="1" xml:space="preserve"> INDIRECT( ADDRESS( ROW($M$2) + BK$2, COLUMN($M$2)) )</f>
        <v>i</v>
      </c>
      <c r="BL5" s="108" t="str" cm="1">
        <f t="array" aca="1" ref="BL5" ca="1" xml:space="preserve"> INDIRECT( ADDRESS( ROW($M$2) + BL$2, COLUMN($M$2)) )</f>
        <v>I</v>
      </c>
      <c r="BM5" s="108" cm="1">
        <f t="array" aca="1" ref="BM5" ca="1" xml:space="preserve"> INDIRECT( ADDRESS( ROW($M$2) + BM$2, COLUMN($M$2)) )</f>
        <v>0</v>
      </c>
      <c r="BN5" s="108" cm="1">
        <f t="array" aca="1" ref="BN5" ca="1" xml:space="preserve"> INDIRECT( ADDRESS( ROW($M$2) + BN$2, COLUMN($M$2)) )</f>
        <v>0</v>
      </c>
      <c r="BO5" s="108" t="str" cm="1">
        <f t="array" aca="1" ref="BO5" ca="1" xml:space="preserve"> INDIRECT( ADDRESS( ROW($M$2) + BO$2, COLUMN($M$2)) )</f>
        <v/>
      </c>
      <c r="BP5" s="108" t="str" cm="1">
        <f t="array" aca="1" ref="BP5" ca="1" xml:space="preserve"> INDIRECT( ADDRESS( ROW($M$2) + BP$2, COLUMN($M$2)) )</f>
        <v/>
      </c>
      <c r="BQ5" s="108" t="str" cm="1">
        <f t="array" aca="1" ref="BQ5" ca="1" xml:space="preserve"> INDIRECT( ADDRESS( ROW($M$2) + BQ$2, COLUMN($M$2)) )</f>
        <v/>
      </c>
      <c r="BR5" s="108" t="str" cm="1">
        <f t="array" aca="1" ref="BR5" ca="1" xml:space="preserve"> INDIRECT( ADDRESS( ROW($M$2) + BR$2, COLUMN($M$2)) )</f>
        <v/>
      </c>
      <c r="BS5" s="108" t="str" cm="1">
        <f t="array" aca="1" ref="BS5" ca="1" xml:space="preserve"> INDIRECT( ADDRESS( ROW($M$2) + BS$2, COLUMN($M$2)) )</f>
        <v/>
      </c>
      <c r="BT5" s="108" t="str" cm="1">
        <f t="array" aca="1" ref="BT5" ca="1" xml:space="preserve"> INDIRECT( ADDRESS( ROW($M$2) + BT$2, COLUMN($M$2)) )</f>
        <v/>
      </c>
      <c r="BU5" s="108" cm="1">
        <f t="array" aca="1" ref="BU5" ca="1" xml:space="preserve"> INDIRECT( ADDRESS( ROW($M$2) + BU$2, COLUMN($M$2)) )</f>
        <v>0</v>
      </c>
      <c r="BV5" s="108" t="str" cm="1">
        <f t="array" aca="1" ref="BV5" ca="1" xml:space="preserve"> INDIRECT( ADDRESS( ROW($M$2) + BV$2, COLUMN($M$2)) )</f>
        <v/>
      </c>
      <c r="BW5" s="108" t="str" cm="1">
        <f t="array" aca="1" ref="BW5" ca="1" xml:space="preserve"> INDIRECT( ADDRESS( ROW($M$2) + BW$2, COLUMN($M$2)) )</f>
        <v/>
      </c>
      <c r="BX5" s="108" cm="1">
        <f t="array" aca="1" ref="BX5" ca="1" xml:space="preserve"> INDIRECT( ADDRESS( ROW($M$2) + BX$2, COLUMN($M$2)) )</f>
        <v>0</v>
      </c>
      <c r="BY5" s="108" t="str" cm="1">
        <f t="array" aca="1" ref="BY5" ca="1" xml:space="preserve"> INDIRECT( ADDRESS( ROW($M$2) + BY$2, COLUMN($M$2)) )</f>
        <v/>
      </c>
      <c r="BZ5" s="108" t="str" cm="1">
        <f t="array" aca="1" ref="BZ5" ca="1" xml:space="preserve"> INDIRECT( ADDRESS( ROW($M$2) + BZ$2, COLUMN($M$2)) )</f>
        <v/>
      </c>
      <c r="CA5" s="108" t="str" cm="1">
        <f t="array" aca="1" ref="CA5" ca="1" xml:space="preserve"> INDIRECT( ADDRESS( ROW($M$2) + CA$2, COLUMN($M$2)) )</f>
        <v/>
      </c>
      <c r="CB5" s="108" t="str" cm="1">
        <f t="array" aca="1" ref="CB5" ca="1" xml:space="preserve"> INDIRECT( ADDRESS( ROW($M$2) + CB$2, COLUMN($M$2)) )</f>
        <v>O</v>
      </c>
      <c r="CC5" s="108" t="str" cm="1">
        <f t="array" aca="1" ref="CC5" ca="1" xml:space="preserve"> INDIRECT( ADDRESS( ROW($M$2) + CC$2, COLUMN($M$2)) )</f>
        <v>Q</v>
      </c>
      <c r="CD5" s="108" t="str" cm="1">
        <f t="array" aca="1" ref="CD5" ca="1" xml:space="preserve"> INDIRECT( ADDRESS( ROW($M$2) + CD$2, COLUMN($M$2)) )</f>
        <v/>
      </c>
      <c r="CE5" s="108" t="str" cm="1">
        <f t="array" aca="1" ref="CE5" ca="1" xml:space="preserve"> INDIRECT( ADDRESS( ROW($M$2) + CE$2, COLUMN($M$2)) )</f>
        <v/>
      </c>
      <c r="CF5" s="108" t="str" cm="1">
        <f t="array" aca="1" ref="CF5" ca="1" xml:space="preserve"> INDIRECT( ADDRESS( ROW($M$2) + CF$2, COLUMN($M$2)) )</f>
        <v/>
      </c>
    </row>
    <row r="6" spans="2:84" ht="57.75">
      <c r="B6" s="282" cm="1">
        <f t="array" ref="B6" xml:space="preserve"> ROW() - ROW($2:$2)</f>
        <v>4</v>
      </c>
      <c r="C6" s="212" t="s">
        <v>1461</v>
      </c>
      <c r="D6" s="74" t="str" cm="1">
        <f t="array" ref="D6" xml:space="preserve"> IFERROR( INDEX(聲母對照資料表[台羅拼音], MATCH(TRUE, EXACT($E6, 聲母碼),0)), "")</f>
        <v>m</v>
      </c>
      <c r="E6" s="212" t="s">
        <v>1461</v>
      </c>
      <c r="F6" s="95" t="str" cm="1">
        <f t="array" ref="F6" xml:space="preserve"> IFERROR( INDEX(聲母對照資料表[注音二式], MATCH(TRUE, EXACT($E6, 聲母碼),0)), "")</f>
        <v>m</v>
      </c>
      <c r="G6" s="216" t="s">
        <v>2256</v>
      </c>
      <c r="H6" s="209" t="str" cm="1">
        <f t="array" ref="H6" xml:space="preserve"> IFERROR( INDEX(聲母對照資料表[十五音], MATCH(TRUE, EXACT($E6, 聲母碼),0)), "")</f>
        <v>毛</v>
      </c>
      <c r="I6" s="141" t="s">
        <v>1652</v>
      </c>
      <c r="J6" s="139" t="e" cm="1">
        <f t="array" ref="J6" xml:space="preserve"> INDEX(廣韻聲母對照資料表[廣韻], MATCH(TRUE, EXACT($E6, 廣韻聲母對照資料表[台語音標]),0))</f>
        <v>#N/A</v>
      </c>
      <c r="K6" s="74" t="str" cm="1">
        <f t="array" ref="K6" xml:space="preserve"> IFERROR( INDEX(聲母對照資料表[白話字], MATCH(TRUE, EXACT($E6, 聲母碼),0)), "")</f>
        <v>m</v>
      </c>
      <c r="L6" s="74" t="str" cm="1">
        <f t="array" ref="L6" xml:space="preserve"> IFERROR( INDEX(聲母對照資料表[閩拼方案], MATCH(TRUE, EXACT($E6, 聲母碼),0)), "")</f>
        <v>bbn</v>
      </c>
      <c r="M6" s="94" t="s">
        <v>5</v>
      </c>
      <c r="N6" s="75" t="s">
        <v>1469</v>
      </c>
      <c r="P6" s="234">
        <v>4</v>
      </c>
      <c r="Q6" s="95" t="s">
        <v>1159</v>
      </c>
      <c r="R6" s="94" t="s">
        <v>1180</v>
      </c>
      <c r="S6" s="96" t="s">
        <v>1565</v>
      </c>
      <c r="T6" s="96" t="s">
        <v>684</v>
      </c>
      <c r="V6" s="79">
        <f t="shared" si="1"/>
        <v>4</v>
      </c>
      <c r="W6" s="96" t="s">
        <v>1566</v>
      </c>
      <c r="X6" s="97" t="s">
        <v>1567</v>
      </c>
      <c r="Y6" s="106" t="s">
        <v>1563</v>
      </c>
      <c r="Z6" s="99" t="s">
        <v>1568</v>
      </c>
      <c r="AC6" s="109" t="s">
        <v>1569</v>
      </c>
      <c r="AD6" s="110" t="str" cm="1">
        <f t="array" aca="1" ref="AD6" ca="1" xml:space="preserve"> INDIRECT( ADDRESS( ROW($N$2) + AD$2, COLUMN($N$2)) )</f>
        <v/>
      </c>
      <c r="AE6" s="110" t="str" cm="1">
        <f t="array" aca="1" ref="AE6" ca="1" xml:space="preserve"> INDIRECT( ADDRESS( ROW($N$2) + AE$2, COLUMN($N$2)) )</f>
        <v>1</v>
      </c>
      <c r="AF6" s="110" t="str" cm="1">
        <f t="array" aca="1" ref="AF6" ca="1" xml:space="preserve"> INDIRECT( ADDRESS( ROW($N$2) + AF$2, COLUMN($N$2)) )</f>
        <v>a</v>
      </c>
      <c r="AG6" s="110" t="str" cm="1">
        <f t="array" aca="1" ref="AG6" ca="1" xml:space="preserve"> INDIRECT( ADDRESS( ROW($N$2) + AG$2, COLUMN($N$2)) )</f>
        <v>2</v>
      </c>
      <c r="AH6" s="110" t="str" cm="1">
        <f t="array" aca="1" ref="AH6" ca="1" xml:space="preserve"> INDIRECT( ADDRESS( ROW($N$2) + AH$2, COLUMN($N$2)) )</f>
        <v>w</v>
      </c>
      <c r="AI6" s="110" t="str" cm="1">
        <f t="array" aca="1" ref="AI6" ca="1" xml:space="preserve"> INDIRECT( ADDRESS( ROW($N$2) + AI$2, COLUMN($N$2)) )</f>
        <v>s</v>
      </c>
      <c r="AJ6" s="110" t="str" cm="1">
        <f t="array" aca="1" ref="AJ6" ca="1" xml:space="preserve"> INDIRECT( ADDRESS( ROW($N$2) + AJ$2, COLUMN($N$2)) )</f>
        <v>x</v>
      </c>
      <c r="AK6" s="110" t="str" cm="1">
        <f t="array" aca="1" ref="AK6" ca="1" xml:space="preserve"> INDIRECT( ADDRESS( ROW($N$2) + AK$2, COLUMN($N$2)) )</f>
        <v>e</v>
      </c>
      <c r="AL6" s="110" t="str" cm="1">
        <f t="array" aca="1" ref="AL6" ca="1" xml:space="preserve"> INDIRECT( ADDRESS( ROW($N$2) + AL$2, COLUMN($N$2)) )</f>
        <v>d</v>
      </c>
      <c r="AM6" s="110" t="str" cm="1">
        <f t="array" aca="1" ref="AM6" ca="1" xml:space="preserve"> INDIRECT( ADDRESS( ROW($N$2) + AM$2, COLUMN($N$2)) )</f>
        <v>E</v>
      </c>
      <c r="AN6" s="110" t="str" cm="1">
        <f t="array" aca="1" ref="AN6" ca="1" xml:space="preserve"> INDIRECT( ADDRESS( ROW($N$2) + AN$2, COLUMN($N$2)) )</f>
        <v>D</v>
      </c>
      <c r="AO6" s="110" t="str" cm="1">
        <f t="array" aca="1" ref="AO6" ca="1" xml:space="preserve"> INDIRECT( ADDRESS( ROW($N$2) + AO$2, COLUMN($N$2)) )</f>
        <v>c</v>
      </c>
      <c r="AP6" s="110" t="str" cm="1">
        <f t="array" aca="1" ref="AP6" ca="1" xml:space="preserve"> INDIRECT( ADDRESS( ROW($N$2) + AP$2, COLUMN($N$2)) )</f>
        <v>b</v>
      </c>
      <c r="AQ6" s="110" t="str" cm="1">
        <f t="array" aca="1" ref="AQ6" ca="1" xml:space="preserve"> INDIRECT( ADDRESS( ROW($N$2) + AQ$2, COLUMN($N$2)) )</f>
        <v>y</v>
      </c>
      <c r="AR6" s="110" t="str" cm="1">
        <f t="array" aca="1" ref="AR6" ca="1" xml:space="preserve"> INDIRECT( ADDRESS( ROW($N$2) + AR$2, COLUMN($N$2)) )</f>
        <v>h</v>
      </c>
      <c r="AS6" s="110" t="str" cm="1">
        <f t="array" aca="1" ref="AS6" ca="1" xml:space="preserve"> INDIRECT( ADDRESS( ROW($N$2) + AS$2, COLUMN($N$2)) )</f>
        <v>n</v>
      </c>
      <c r="AT6" s="110" t="str" cm="1">
        <f t="array" aca="1" ref="AT6" ca="1" xml:space="preserve"> INDIRECT( ADDRESS( ROW($N$2) + AT$2, COLUMN($N$2)) )</f>
        <v>B</v>
      </c>
      <c r="AU6" s="110" t="str" cm="1">
        <f t="array" aca="1" ref="AU6" ca="1" xml:space="preserve"> INDIRECT( ADDRESS( ROW($N$2) + AU$2, COLUMN($N$2)) )</f>
        <v>Y</v>
      </c>
      <c r="AV6" s="110" t="str" cm="1">
        <f t="array" aca="1" ref="AV6" ca="1" xml:space="preserve"> INDIRECT( ADDRESS( ROW($N$2) + AV$2, COLUMN($N$2)) )</f>
        <v>H</v>
      </c>
      <c r="AW6" s="110" t="str" cm="1">
        <f t="array" aca="1" ref="AW6" ca="1" xml:space="preserve"> INDIRECT( ADDRESS( ROW($N$2) + AW$2, COLUMN($N$2)) )</f>
        <v>N</v>
      </c>
      <c r="AX6" s="110" t="str" cm="1">
        <f t="array" aca="1" ref="AX6" ca="1" xml:space="preserve"> INDIRECT( ADDRESS( ROW($N$2) + AX$2, COLUMN($N$2)) )</f>
        <v>r</v>
      </c>
      <c r="AY6" s="110" cm="1">
        <f t="array" aca="1" ref="AY6" ca="1" xml:space="preserve"> INDIRECT( ADDRESS( ROW($N$2) + AY$2, COLUMN($N$2)) )</f>
        <v>0</v>
      </c>
      <c r="AZ6" s="110" t="str" cm="1">
        <f t="array" aca="1" ref="AZ6" ca="1" xml:space="preserve"> INDIRECT( ADDRESS( ROW($N$2) + AZ$2, COLUMN($N$2)) )</f>
        <v>*</v>
      </c>
      <c r="BA6" s="110" t="str" cm="1">
        <f t="array" aca="1" ref="BA6" ca="1" xml:space="preserve"> INDIRECT( ADDRESS( ROW($N$2) + BA$2, COLUMN($N$2)) )</f>
        <v>i</v>
      </c>
      <c r="BB6" s="110" t="str" cm="1">
        <f t="array" aca="1" ref="BB6" ca="1" xml:space="preserve"> INDIRECT( ADDRESS( ROW($N$2) + BB$2, COLUMN($N$2)) )</f>
        <v>&lt;</v>
      </c>
      <c r="BC6" s="110" t="str" cm="1">
        <f t="array" aca="1" ref="BC6" ca="1" xml:space="preserve"> INDIRECT( ADDRESS( ROW($N$2) + BC$2, COLUMN($N$2)) )</f>
        <v>p</v>
      </c>
      <c r="BD6" s="110" t="str" cm="1">
        <f t="array" aca="1" ref="BD6" ca="1" xml:space="preserve"> INDIRECT( ADDRESS( ROW($N$2) + BD$2, COLUMN($N$2)) )</f>
        <v>:</v>
      </c>
      <c r="BE6" s="110" t="str" cm="1">
        <f t="array" aca="1" ref="BE6" ca="1" xml:space="preserve"> INDIRECT( ADDRESS( ROW($N$2) + BE$2, COLUMN($N$2)) )</f>
        <v>(</v>
      </c>
      <c r="BF6" s="110" t="str" cm="1">
        <f t="array" aca="1" ref="BF6" ca="1" xml:space="preserve"> INDIRECT( ADDRESS( ROW($N$2) + BF$2, COLUMN($N$2)) )</f>
        <v>l</v>
      </c>
      <c r="BG6" s="110" t="str" cm="1">
        <f t="array" aca="1" ref="BG6" ca="1" xml:space="preserve"> INDIRECT( ADDRESS( ROW($N$2) + BG$2, COLUMN($N$2)) )</f>
        <v>L</v>
      </c>
      <c r="BH6" s="110" t="str" cm="1">
        <f t="array" aca="1" ref="BH6" ca="1" xml:space="preserve"> INDIRECT( ADDRESS( ROW($N$2) + BH$2, COLUMN($N$2)) )</f>
        <v>,</v>
      </c>
      <c r="BI6" s="110" t="str" cm="1">
        <f t="array" aca="1" ref="BI6" ca="1" xml:space="preserve"> INDIRECT( ADDRESS( ROW($N$2) + BI$2, COLUMN($N$2)) )</f>
        <v>O</v>
      </c>
      <c r="BJ6" s="110" t="str" cm="1">
        <f t="array" aca="1" ref="BJ6" ca="1" xml:space="preserve"> INDIRECT( ADDRESS( ROW($N$2) + BJ$2, COLUMN($N$2)) )</f>
        <v>9</v>
      </c>
      <c r="BK6" s="110" t="str" cm="1">
        <f t="array" aca="1" ref="BK6" ca="1" xml:space="preserve"> INDIRECT( ADDRESS( ROW($N$2) + BK$2, COLUMN($N$2)) )</f>
        <v>U</v>
      </c>
      <c r="BL6" s="110" t="str" cm="1">
        <f t="array" aca="1" ref="BL6" ca="1" xml:space="preserve"> INDIRECT( ADDRESS( ROW($N$2) + BL$2, COLUMN($N$2)) )</f>
        <v>j</v>
      </c>
      <c r="BM6" s="110" cm="1">
        <f t="array" aca="1" ref="BM6" ca="1" xml:space="preserve"> INDIRECT( ADDRESS( ROW($N$2) + BM$2, COLUMN($N$2)) )</f>
        <v>0</v>
      </c>
      <c r="BN6" s="110" cm="1">
        <f t="array" aca="1" ref="BN6" ca="1" xml:space="preserve"> INDIRECT( ADDRESS( ROW($N$2) + BN$2, COLUMN($N$2)) )</f>
        <v>0</v>
      </c>
      <c r="BO6" s="110" cm="1">
        <f t="array" aca="1" ref="BO6" ca="1" xml:space="preserve"> INDIRECT( ADDRESS( ROW($N$2) + BO$2, COLUMN($N$2)) )</f>
        <v>0</v>
      </c>
      <c r="BP6" s="110" t="str" cm="1">
        <f t="array" aca="1" ref="BP6" ca="1" xml:space="preserve"> INDIRECT( ADDRESS( ROW($N$2) + BP$2, COLUMN($N$2)) )</f>
        <v>-</v>
      </c>
      <c r="BQ6" s="110" cm="1">
        <f t="array" aca="1" ref="BQ6" ca="1" xml:space="preserve"> INDIRECT( ADDRESS( ROW($N$2) + BQ$2, COLUMN($N$2)) )</f>
        <v>0</v>
      </c>
      <c r="BR6" s="110" cm="1">
        <f t="array" aca="1" ref="BR6" ca="1" xml:space="preserve"> INDIRECT( ADDRESS( ROW($N$2) + BR$2, COLUMN($N$2)) )</f>
        <v>0</v>
      </c>
      <c r="BS6" s="110" cm="1">
        <f t="array" aca="1" ref="BS6" ca="1" xml:space="preserve"> INDIRECT( ADDRESS( ROW($N$2) + BS$2, COLUMN($N$2)) )</f>
        <v>0</v>
      </c>
      <c r="BT6" s="110" cm="1">
        <f t="array" aca="1" ref="BT6" ca="1" xml:space="preserve"> INDIRECT( ADDRESS( ROW($N$2) + BT$2, COLUMN($N$2)) )</f>
        <v>0</v>
      </c>
      <c r="BU6" s="110" cm="1">
        <f t="array" aca="1" ref="BU6" ca="1" xml:space="preserve"> INDIRECT( ADDRESS( ROW($N$2) + BU$2, COLUMN($N$2)) )</f>
        <v>0</v>
      </c>
      <c r="BV6" s="110" cm="1">
        <f t="array" aca="1" ref="BV6" ca="1" xml:space="preserve"> INDIRECT( ADDRESS( ROW($N$2) + BV$2, COLUMN($N$2)) )</f>
        <v>0</v>
      </c>
      <c r="BW6" s="110" cm="1">
        <f t="array" aca="1" ref="BW6" ca="1" xml:space="preserve"> INDIRECT( ADDRESS( ROW($N$2) + BW$2, COLUMN($N$2)) )</f>
        <v>0</v>
      </c>
      <c r="BX6" s="110" cm="1">
        <f t="array" aca="1" ref="BX6" ca="1" xml:space="preserve"> INDIRECT( ADDRESS( ROW($N$2) + BX$2, COLUMN($N$2)) )</f>
        <v>0</v>
      </c>
      <c r="BY6" s="110" cm="1">
        <f t="array" aca="1" ref="BY6" ca="1" xml:space="preserve"> INDIRECT( ADDRESS( ROW($N$2) + BY$2, COLUMN($N$2)) )</f>
        <v>0</v>
      </c>
      <c r="BZ6" s="110" cm="1">
        <f t="array" aca="1" ref="BZ6" ca="1" xml:space="preserve"> INDIRECT( ADDRESS( ROW($N$2) + BZ$2, COLUMN($N$2)) )</f>
        <v>0</v>
      </c>
      <c r="CA6" s="110" cm="1">
        <f t="array" aca="1" ref="CA6" ca="1" xml:space="preserve"> INDIRECT( ADDRESS( ROW($N$2) + CA$2, COLUMN($N$2)) )</f>
        <v>0</v>
      </c>
      <c r="CB6" s="110" t="str" cm="1">
        <f t="array" aca="1" ref="CB6" ca="1" xml:space="preserve"> INDIRECT( ADDRESS( ROW($N$2) + CB$2, COLUMN($N$2)) )</f>
        <v>I</v>
      </c>
      <c r="CC6" s="110" t="str" cm="1">
        <f t="array" aca="1" ref="CC6" ca="1" xml:space="preserve"> INDIRECT( ADDRESS( ROW($N$2) + CC$2, COLUMN($N$2)) )</f>
        <v>k</v>
      </c>
      <c r="CD6" s="110" cm="1">
        <f t="array" aca="1" ref="CD6" ca="1" xml:space="preserve"> INDIRECT( ADDRESS( ROW($N$2) + CD$2, COLUMN($N$2)) )</f>
        <v>0</v>
      </c>
      <c r="CE6" s="110" cm="1">
        <f t="array" aca="1" ref="CE6" ca="1" xml:space="preserve"> INDIRECT( ADDRESS( ROW($N$2) + CE$2, COLUMN($N$2)) )</f>
        <v>0</v>
      </c>
      <c r="CF6" s="110" t="str" cm="1">
        <f t="array" aca="1" ref="CF6" ca="1" xml:space="preserve"> INDIRECT( ADDRESS( ROW($N$2) + CF$2, COLUMN($N$2)) )</f>
        <v xml:space="preserve"> </v>
      </c>
    </row>
    <row r="7" spans="2:84" ht="57.75">
      <c r="B7" s="283" cm="1">
        <f t="array" ref="B7" xml:space="preserve"> ROW() - ROW($2:$2)</f>
        <v>5</v>
      </c>
      <c r="C7" s="213" t="s">
        <v>6</v>
      </c>
      <c r="D7" s="72" t="str" cm="1">
        <f t="array" ref="D7" xml:space="preserve"> IFERROR( INDEX(聲母對照資料表[台羅拼音], MATCH(TRUE, EXACT($E7, 聲母碼),0)), "")</f>
        <v>t</v>
      </c>
      <c r="E7" s="213" t="s">
        <v>6</v>
      </c>
      <c r="F7" s="113" t="str" cm="1">
        <f t="array" ref="F7" xml:space="preserve"> IFERROR( INDEX(聲母對照資料表[注音二式], MATCH(TRUE, EXACT($E7, 聲母碼),0)), "")</f>
        <v>d</v>
      </c>
      <c r="G7" s="217" t="s">
        <v>1468</v>
      </c>
      <c r="H7" s="210" t="str" cm="1">
        <f t="array" ref="H7" xml:space="preserve"> IFERROR( INDEX(聲母對照資料表[十五音], MATCH(TRUE, EXACT($E7, 聲母碼),0)), "")</f>
        <v>地</v>
      </c>
      <c r="I7" s="133" t="s">
        <v>1655</v>
      </c>
      <c r="J7" s="239" t="str" cm="1">
        <f t="array" ref="J7" xml:space="preserve"> INDEX(廣韻聲母對照資料表[廣韻], MATCH(TRUE, EXACT($E7, 廣韻聲母對照資料表[台語音標]),0))</f>
        <v>端</v>
      </c>
      <c r="K7" s="72" t="str" cm="1">
        <f t="array" ref="K7" xml:space="preserve"> IFERROR( INDEX(聲母對照資料表[白話字], MATCH(TRUE, EXACT($E7, 聲母碼),0)), "")</f>
        <v>t</v>
      </c>
      <c r="L7" s="72" t="str" cm="1">
        <f t="array" ref="L7" xml:space="preserve"> IFERROR( INDEX(聲母對照資料表[閩拼方案], MATCH(TRUE, EXACT($E7, 聲母碼),0)), "")</f>
        <v>d</v>
      </c>
      <c r="M7" s="112" t="s">
        <v>1007</v>
      </c>
      <c r="N7" s="73" t="s">
        <v>1477</v>
      </c>
      <c r="P7" s="234">
        <v>5</v>
      </c>
      <c r="Q7" s="95" t="s">
        <v>1180</v>
      </c>
      <c r="R7" s="94" t="s">
        <v>1180</v>
      </c>
      <c r="S7" s="96" t="s">
        <v>209</v>
      </c>
      <c r="T7" s="96" t="s">
        <v>239</v>
      </c>
      <c r="V7" s="79">
        <f t="shared" si="1"/>
        <v>5</v>
      </c>
      <c r="W7" s="96" t="s">
        <v>68</v>
      </c>
      <c r="X7" s="97" t="s">
        <v>1541</v>
      </c>
      <c r="Y7" s="106" t="s">
        <v>1570</v>
      </c>
      <c r="Z7" s="99" t="s">
        <v>1541</v>
      </c>
    </row>
    <row r="8" spans="2:84" ht="57.75">
      <c r="B8" s="282" cm="1">
        <f t="array" ref="B8" xml:space="preserve"> ROW() - ROW($2:$2)</f>
        <v>6</v>
      </c>
      <c r="C8" s="212" t="s">
        <v>7</v>
      </c>
      <c r="D8" s="74" t="str" cm="1">
        <f t="array" ref="D8" xml:space="preserve"> IFERROR( INDEX(聲母對照資料表[台羅拼音], MATCH(TRUE, EXACT($E8, 聲母碼),0)), "")</f>
        <v>th</v>
      </c>
      <c r="E8" s="212" t="s">
        <v>1017</v>
      </c>
      <c r="F8" s="95" t="str" cm="1">
        <f t="array" ref="F8" xml:space="preserve"> IFERROR( INDEX(聲母對照資料表[注音二式], MATCH(TRUE, EXACT($E8, 聲母碼),0)), "")</f>
        <v>t</v>
      </c>
      <c r="G8" s="216" t="s">
        <v>1476</v>
      </c>
      <c r="H8" s="209" t="str" cm="1">
        <f t="array" ref="H8" xml:space="preserve"> IFERROR( INDEX(聲母對照資料表[十五音], MATCH(TRUE, EXACT($E8, 聲母碼),0)), "")</f>
        <v>他</v>
      </c>
      <c r="I8" s="132" t="s">
        <v>1657</v>
      </c>
      <c r="J8" s="139" t="str" cm="1">
        <f t="array" ref="J8" xml:space="preserve"> INDEX(廣韻聲母對照資料表[廣韻], MATCH(TRUE, EXACT($E8, 廣韻聲母對照資料表[台語音標]),0))</f>
        <v>透</v>
      </c>
      <c r="K8" s="74" t="str" cm="1">
        <f t="array" ref="K8" xml:space="preserve"> IFERROR( INDEX(聲母對照資料表[白話字], MATCH(TRUE, EXACT($E8, 聲母碼),0)), "")</f>
        <v>th</v>
      </c>
      <c r="L8" s="74" t="str" cm="1">
        <f t="array" ref="L8" xml:space="preserve"> IFERROR( INDEX(聲母對照資料表[閩拼方案], MATCH(TRUE, EXACT($E8, 聲母碼),0)), "")</f>
        <v>t</v>
      </c>
      <c r="M8" s="94" t="s">
        <v>6</v>
      </c>
      <c r="N8" s="75" t="s">
        <v>1047</v>
      </c>
      <c r="P8" s="234">
        <v>6</v>
      </c>
      <c r="Q8" s="95" t="s">
        <v>208</v>
      </c>
      <c r="R8" s="94" t="s">
        <v>208</v>
      </c>
      <c r="S8" s="96" t="s">
        <v>1565</v>
      </c>
      <c r="T8" s="96" t="s">
        <v>684</v>
      </c>
      <c r="V8" s="79">
        <f t="shared" si="1"/>
        <v>6</v>
      </c>
      <c r="W8" s="96" t="s">
        <v>1571</v>
      </c>
      <c r="X8" s="97" t="s">
        <v>1572</v>
      </c>
      <c r="Y8" s="106" t="s">
        <v>1573</v>
      </c>
      <c r="Z8" s="99" t="s">
        <v>1198</v>
      </c>
    </row>
    <row r="9" spans="2:84" ht="57.75">
      <c r="B9" s="282" cm="1">
        <f t="array" ref="B9" xml:space="preserve"> ROW() - ROW($2:$2)</f>
        <v>7</v>
      </c>
      <c r="C9" s="212" t="s">
        <v>8</v>
      </c>
      <c r="D9" s="74" t="str" cm="1">
        <f t="array" ref="D9" xml:space="preserve"> IFERROR( INDEX(聲母對照資料表[台羅拼音], MATCH(TRUE, EXACT($E9, 聲母碼),0)), "")</f>
        <v>n</v>
      </c>
      <c r="E9" s="212" t="s">
        <v>8</v>
      </c>
      <c r="F9" s="95" t="str" cm="1">
        <f t="array" ref="F9" xml:space="preserve"> IFERROR( INDEX(聲母對照資料表[注音二式], MATCH(TRUE, EXACT($E9, 聲母碼),0)), "")</f>
        <v>n</v>
      </c>
      <c r="G9" s="216" t="s">
        <v>1482</v>
      </c>
      <c r="H9" s="209" t="str" cm="1">
        <f t="array" ref="H9" xml:space="preserve"> IFERROR( INDEX(聲母對照資料表[十五音], MATCH(TRUE, EXACT($E9, 聲母碼),0)), "")</f>
        <v>耐</v>
      </c>
      <c r="I9" s="132" t="s">
        <v>1659</v>
      </c>
      <c r="J9" s="139" t="e" cm="1">
        <f t="array" ref="J9" xml:space="preserve"> INDEX(廣韻聲母對照資料表[廣韻], MATCH(TRUE, EXACT($E9, 廣韻聲母對照資料表[台語音標]),0))</f>
        <v>#N/A</v>
      </c>
      <c r="K9" s="74" t="str" cm="1">
        <f t="array" ref="K9" xml:space="preserve"> IFERROR( INDEX(聲母對照資料表[白話字], MATCH(TRUE, EXACT($E9, 聲母碼),0)), "")</f>
        <v>n</v>
      </c>
      <c r="L9" s="74" t="str" cm="1">
        <f t="array" ref="L9" xml:space="preserve"> IFERROR( INDEX(聲母對照資料表[閩拼方案], MATCH(TRUE, EXACT($E9, 聲母碼),0)), "")</f>
        <v>ln</v>
      </c>
      <c r="M9" s="94" t="s">
        <v>8</v>
      </c>
      <c r="N9" s="75" t="s">
        <v>1485</v>
      </c>
      <c r="P9" s="234">
        <v>7</v>
      </c>
      <c r="Q9" s="95" t="s">
        <v>1185</v>
      </c>
      <c r="R9" s="94" t="s">
        <v>1522</v>
      </c>
      <c r="S9" s="96" t="s">
        <v>150</v>
      </c>
      <c r="T9" s="96" t="s">
        <v>176</v>
      </c>
      <c r="V9" s="79">
        <f t="shared" si="1"/>
        <v>7</v>
      </c>
      <c r="W9" s="96" t="s">
        <v>80</v>
      </c>
      <c r="X9" s="97" t="s">
        <v>79</v>
      </c>
      <c r="Y9" s="106" t="s">
        <v>1574</v>
      </c>
      <c r="Z9" s="99" t="s">
        <v>79</v>
      </c>
    </row>
    <row r="10" spans="2:84" ht="57.75">
      <c r="B10" s="284" cm="1">
        <f t="array" ref="B10" xml:space="preserve"> ROW() - ROW($2:$2)</f>
        <v>8</v>
      </c>
      <c r="C10" s="214" t="s">
        <v>9</v>
      </c>
      <c r="D10" s="76" t="str" cm="1">
        <f t="array" ref="D10" xml:space="preserve"> IFERROR( INDEX(聲母對照資料表[台羅拼音], MATCH(TRUE, EXACT($E10, 聲母碼),0)), "")</f>
        <v>l</v>
      </c>
      <c r="E10" s="214" t="s">
        <v>9</v>
      </c>
      <c r="F10" s="117" t="str" cm="1">
        <f t="array" ref="F10" xml:space="preserve"> IFERROR( INDEX(聲母對照資料表[注音二式], MATCH(TRUE, EXACT($E10, 聲母碼),0)), "")</f>
        <v>l</v>
      </c>
      <c r="G10" s="218" t="s">
        <v>1484</v>
      </c>
      <c r="H10" s="211" t="str" cm="1">
        <f t="array" ref="H10" xml:space="preserve"> IFERROR( INDEX(聲母對照資料表[十五音], MATCH(TRUE, EXACT($E10, 聲母碼),0)), "")</f>
        <v>柳</v>
      </c>
      <c r="I10" s="134" t="s">
        <v>1661</v>
      </c>
      <c r="J10" s="134" t="str" cm="1">
        <f t="array" ref="J10" xml:space="preserve"> INDEX(廣韻聲母對照資料表[廣韻], MATCH(TRUE, EXACT($E10, 廣韻聲母對照資料表[台語音標]),0))</f>
        <v>泥</v>
      </c>
      <c r="K10" s="76" t="str" cm="1">
        <f t="array" ref="K10" xml:space="preserve"> IFERROR( INDEX(聲母對照資料表[白話字], MATCH(TRUE, EXACT($E10, 聲母碼),0)), "")</f>
        <v>l</v>
      </c>
      <c r="L10" s="76" t="str" cm="1">
        <f t="array" ref="L10" xml:space="preserve"> IFERROR( INDEX(聲母對照資料表[閩拼方案], MATCH(TRUE, EXACT($E10, 聲母碼),0)), "")</f>
        <v>l</v>
      </c>
      <c r="M10" s="116" t="s">
        <v>9</v>
      </c>
      <c r="N10" s="77" t="s">
        <v>208</v>
      </c>
      <c r="P10" s="234">
        <v>8</v>
      </c>
      <c r="Q10" s="95" t="s">
        <v>180</v>
      </c>
      <c r="R10" s="94" t="s">
        <v>1523</v>
      </c>
      <c r="S10" s="96" t="s">
        <v>181</v>
      </c>
      <c r="T10" s="96" t="s">
        <v>199</v>
      </c>
      <c r="V10" s="79">
        <f t="shared" si="1"/>
        <v>8</v>
      </c>
      <c r="W10" s="96" t="s">
        <v>1571</v>
      </c>
      <c r="X10" s="97" t="s">
        <v>1575</v>
      </c>
      <c r="Y10" s="106" t="s">
        <v>1574</v>
      </c>
      <c r="Z10" s="99" t="s">
        <v>1131</v>
      </c>
    </row>
    <row r="11" spans="2:84" ht="57.75">
      <c r="B11" s="282" cm="1">
        <f t="array" ref="B11" xml:space="preserve"> ROW() - ROW($2:$2)</f>
        <v>9</v>
      </c>
      <c r="C11" s="212" t="s">
        <v>2238</v>
      </c>
      <c r="D11" s="74" t="str" cm="1">
        <f t="array" ref="D11" xml:space="preserve"> IFERROR( INDEX(聲母對照資料表[台羅拼音], MATCH(TRUE, EXACT($E11, 聲母碼),0)), "")</f>
        <v>g</v>
      </c>
      <c r="E11" s="212" t="s">
        <v>1487</v>
      </c>
      <c r="F11" s="95" t="str" cm="1">
        <f t="array" ref="F11" xml:space="preserve"> IFERROR( INDEX(聲母對照資料表[注音二式], MATCH(TRUE, EXACT($E11, 聲母碼),0)), "")</f>
        <v>gg</v>
      </c>
      <c r="G11" s="216" t="s">
        <v>2258</v>
      </c>
      <c r="H11" s="209" t="str" cm="1">
        <f t="array" ref="H11" xml:space="preserve"> IFERROR( INDEX(聲母對照資料表[十五音], MATCH(TRUE, EXACT($E11, 聲母碼),0)), "")</f>
        <v>語</v>
      </c>
      <c r="I11" s="132" t="s">
        <v>1897</v>
      </c>
      <c r="J11" s="132" t="str" cm="1">
        <f t="array" ref="J11" xml:space="preserve"> INDEX(廣韻聲母對照資料表[廣韻], MATCH(TRUE, EXACT($E11, 廣韻聲母對照資料表[台語音標]),0))</f>
        <v>疑</v>
      </c>
      <c r="K11" s="74" t="str" cm="1">
        <f t="array" ref="K11" xml:space="preserve"> IFERROR( INDEX(聲母對照資料表[白話字], MATCH(TRUE, EXACT($E11, 聲母碼),0)), "")</f>
        <v>g</v>
      </c>
      <c r="L11" s="74" t="str" cm="1">
        <f t="array" ref="L11" xml:space="preserve"> IFERROR( INDEX(聲母對照資料表[閩拼方案], MATCH(TRUE, EXACT($E11, 聲母碼),0)), "")</f>
        <v>gg</v>
      </c>
      <c r="M11" s="94" t="s">
        <v>1647</v>
      </c>
      <c r="N11" s="75" t="s">
        <v>1007</v>
      </c>
      <c r="P11" s="234">
        <v>9</v>
      </c>
      <c r="Q11" s="95" t="s">
        <v>604</v>
      </c>
      <c r="R11" s="94" t="s">
        <v>604</v>
      </c>
      <c r="S11" s="96" t="s">
        <v>605</v>
      </c>
      <c r="T11" s="96" t="s">
        <v>1576</v>
      </c>
      <c r="V11" s="79">
        <f t="shared" si="1"/>
        <v>9</v>
      </c>
      <c r="W11" s="96" t="s">
        <v>95</v>
      </c>
      <c r="X11" s="97" t="s">
        <v>1577</v>
      </c>
      <c r="Y11" s="106" t="s">
        <v>1578</v>
      </c>
      <c r="Z11" s="99" t="s">
        <v>1206</v>
      </c>
    </row>
    <row r="12" spans="2:84" ht="57.75">
      <c r="B12" s="282" cm="1">
        <f t="array" ref="B12" xml:space="preserve"> ROW() - ROW($2:$2)</f>
        <v>10</v>
      </c>
      <c r="C12" s="212" t="s">
        <v>14</v>
      </c>
      <c r="D12" s="74" t="str" cm="1">
        <f t="array" ref="D12" xml:space="preserve"> IFERROR( INDEX(聲母對照資料表[台羅拼音], MATCH(TRUE, EXACT($E12, 聲母碼),0)), "")</f>
        <v>k</v>
      </c>
      <c r="E12" s="212" t="s">
        <v>14</v>
      </c>
      <c r="F12" s="95" t="str" cm="1">
        <f t="array" ref="F12" xml:space="preserve"> IFERROR( INDEX(聲母對照資料表[注音二式], MATCH(TRUE, EXACT($E12, 聲母碼),0)), "")</f>
        <v>g</v>
      </c>
      <c r="G12" s="216" t="s">
        <v>1486</v>
      </c>
      <c r="H12" s="209" t="str" cm="1">
        <f t="array" ref="H12" xml:space="preserve"> IFERROR( INDEX(聲母對照資料表[十五音], MATCH(TRUE, EXACT($E12, 聲母碼),0)), "")</f>
        <v>求</v>
      </c>
      <c r="I12" s="132" t="s">
        <v>1745</v>
      </c>
      <c r="J12" s="132" t="str" cm="1">
        <f t="array" ref="J12" xml:space="preserve"> INDEX(廣韻聲母對照資料表[廣韻], MATCH(TRUE, EXACT($E12, 廣韻聲母對照資料表[台語音標]),0))</f>
        <v>見</v>
      </c>
      <c r="K12" s="74" t="str" cm="1">
        <f t="array" ref="K12" xml:space="preserve"> IFERROR( INDEX(聲母對照資料表[白話字], MATCH(TRUE, EXACT($E12, 聲母碼),0)), "")</f>
        <v>k</v>
      </c>
      <c r="L12" s="74" t="str" cm="1">
        <f t="array" ref="L12" xml:space="preserve"> IFERROR( INDEX(聲母對照資料表[閩拼方案], MATCH(TRUE, EXACT($E12, 聲母碼),0)), "")</f>
        <v>g</v>
      </c>
      <c r="M12" s="94" t="s">
        <v>16</v>
      </c>
      <c r="N12" s="75" t="s">
        <v>1492</v>
      </c>
      <c r="P12" s="234">
        <v>10</v>
      </c>
      <c r="Q12" s="95" t="s">
        <v>1222</v>
      </c>
      <c r="R12" s="94" t="s">
        <v>1222</v>
      </c>
      <c r="S12" s="96" t="s">
        <v>392</v>
      </c>
      <c r="T12" s="96" t="s">
        <v>419</v>
      </c>
      <c r="V12" s="79">
        <f t="shared" si="1"/>
        <v>10</v>
      </c>
      <c r="W12" s="96" t="s">
        <v>1581</v>
      </c>
      <c r="X12" s="97" t="s">
        <v>1582</v>
      </c>
      <c r="Y12" s="106" t="s">
        <v>1578</v>
      </c>
      <c r="Z12" s="99" t="s">
        <v>1583</v>
      </c>
    </row>
    <row r="13" spans="2:84" ht="57.75">
      <c r="B13" s="282" cm="1">
        <f t="array" ref="B13" xml:space="preserve"> ROW() - ROW($2:$2)</f>
        <v>11</v>
      </c>
      <c r="C13" s="212" t="s">
        <v>1489</v>
      </c>
      <c r="D13" s="74" t="str" cm="1">
        <f t="array" ref="D13" xml:space="preserve"> IFERROR( INDEX(聲母對照資料表[台羅拼音], MATCH(TRUE, EXACT($E13, 聲母碼),0)), "")</f>
        <v>kh</v>
      </c>
      <c r="E13" s="212" t="s">
        <v>1580</v>
      </c>
      <c r="F13" s="95" t="str" cm="1">
        <f t="array" ref="F13" xml:space="preserve"> IFERROR( INDEX(聲母對照資料表[注音二式], MATCH(TRUE, EXACT($E13, 聲母碼),0)), "")</f>
        <v>k</v>
      </c>
      <c r="G13" s="216" t="s">
        <v>2257</v>
      </c>
      <c r="H13" s="209" t="str" cm="1">
        <f t="array" ref="H13" xml:space="preserve"> IFERROR( INDEX(聲母對照資料表[十五音], MATCH(TRUE, EXACT($E13, 聲母碼),0)), "")</f>
        <v>去</v>
      </c>
      <c r="I13" s="132" t="s">
        <v>1885</v>
      </c>
      <c r="J13" s="132" t="str" cm="1">
        <f t="array" ref="J13" xml:space="preserve"> INDEX(廣韻聲母對照資料表[廣韻], MATCH(TRUE, EXACT($E13, 廣韻聲母對照資料表[台語音標]),0))</f>
        <v>溪</v>
      </c>
      <c r="K13" s="74" t="str" cm="1">
        <f t="array" ref="K13" xml:space="preserve"> IFERROR( INDEX(聲母對照資料表[白話字], MATCH(TRUE, EXACT($E13, 聲母碼),0)), "")</f>
        <v>kh</v>
      </c>
      <c r="L13" s="74" t="str" cm="1">
        <f t="array" ref="L13" xml:space="preserve"> IFERROR( INDEX(聲母對照資料表[閩拼方案], MATCH(TRUE, EXACT($E13, 聲母碼),0)), "")</f>
        <v>k</v>
      </c>
      <c r="M13" s="94" t="s">
        <v>14</v>
      </c>
      <c r="N13" s="75" t="s">
        <v>1579</v>
      </c>
      <c r="P13" s="234">
        <v>11</v>
      </c>
      <c r="Q13" s="95" t="s">
        <v>1277</v>
      </c>
      <c r="R13" s="94" t="s">
        <v>1277</v>
      </c>
      <c r="S13" s="96" t="s">
        <v>543</v>
      </c>
      <c r="T13" s="96" t="s">
        <v>568</v>
      </c>
      <c r="W13" s="70"/>
      <c r="X13" s="70"/>
      <c r="Y13" s="70"/>
      <c r="Z13" s="70"/>
    </row>
    <row r="14" spans="2:84" ht="57.75">
      <c r="B14" s="284" cm="1">
        <f t="array" ref="B14" xml:space="preserve"> ROW() - ROW($2:$2)</f>
        <v>12</v>
      </c>
      <c r="C14" s="214" t="s">
        <v>1744</v>
      </c>
      <c r="D14" s="76" t="str" cm="1">
        <f t="array" ref="D14" xml:space="preserve"> IFERROR( INDEX(聲母對照資料表[台羅拼音], MATCH(TRUE, EXACT($E14, 聲母碼),0)), "")</f>
        <v>ng</v>
      </c>
      <c r="E14" s="214" t="s">
        <v>1495</v>
      </c>
      <c r="F14" s="117" t="str" cm="1">
        <f t="array" ref="F14" xml:space="preserve"> IFERROR( INDEX(聲母對照資料表[注音二式], MATCH(TRUE, EXACT($E14, 聲母碼),0)), "")</f>
        <v>ng</v>
      </c>
      <c r="G14" s="218" t="s">
        <v>1496</v>
      </c>
      <c r="H14" s="211" t="str" cm="1">
        <f t="array" ref="H14" xml:space="preserve"> IFERROR( INDEX(聲母對照資料表[十五音], MATCH(TRUE, EXACT($E14, 聲母碼),0)), "")</f>
        <v>雅</v>
      </c>
      <c r="I14" s="140" t="s">
        <v>1665</v>
      </c>
      <c r="J14" s="136" t="e" cm="1">
        <f t="array" ref="J14" xml:space="preserve"> INDEX(廣韻聲母對照資料表[廣韻], MATCH(TRUE, EXACT($E14, 廣韻聲母對照資料表[台語音標]),0))</f>
        <v>#N/A</v>
      </c>
      <c r="K14" s="76" t="str" cm="1">
        <f t="array" ref="K14" xml:space="preserve"> IFERROR( INDEX(聲母對照資料表[白話字], MATCH(TRUE, EXACT($E14, 聲母碼),0)), "")</f>
        <v>ng</v>
      </c>
      <c r="L14" s="76" t="str" cm="1">
        <f t="array" ref="L14" xml:space="preserve"> IFERROR( INDEX(聲母對照資料表[閩拼方案], MATCH(TRUE, EXACT($E14, 聲母碼),0)), "")</f>
        <v>ggn</v>
      </c>
      <c r="M14" s="287" t="s">
        <v>1477</v>
      </c>
      <c r="N14" s="77" t="s">
        <v>1073</v>
      </c>
      <c r="P14" s="234">
        <v>12</v>
      </c>
      <c r="Q14" s="95" t="s">
        <v>1163</v>
      </c>
      <c r="R14" s="105" t="s">
        <v>1585</v>
      </c>
      <c r="S14" s="96" t="s">
        <v>517</v>
      </c>
      <c r="T14" s="96" t="s">
        <v>538</v>
      </c>
      <c r="W14" s="70"/>
      <c r="X14" s="70"/>
      <c r="Y14" s="70"/>
      <c r="Z14" s="70"/>
    </row>
    <row r="15" spans="2:84" ht="57.75">
      <c r="B15" s="282" cm="1">
        <f t="array" ref="B15" xml:space="preserve"> ROW() - ROW($2:$2)</f>
        <v>13</v>
      </c>
      <c r="C15" s="212" t="s">
        <v>2240</v>
      </c>
      <c r="D15" s="74" t="str" cm="1">
        <f t="array" ref="D15" xml:space="preserve"> IFERROR( INDEX(聲母對照資料表[台羅拼音], MATCH(TRUE, EXACT($E15, 聲母碼),0)), "")</f>
        <v>j</v>
      </c>
      <c r="E15" s="212" t="s">
        <v>1509</v>
      </c>
      <c r="F15" s="95" t="str" cm="1">
        <f t="array" ref="F15" xml:space="preserve"> IFERROR( INDEX(聲母對照資料表[注音二式], MATCH(TRUE, EXACT($E15, 聲母碼),0)), "")</f>
        <v>zz</v>
      </c>
      <c r="G15" s="216" t="s">
        <v>1502</v>
      </c>
      <c r="H15" s="209" t="str" cm="1">
        <f t="array" ref="H15" xml:space="preserve"> IFERROR( INDEX(聲母對照資料表[十五音], MATCH(TRUE, EXACT($E15, 聲母碼),0)), "")</f>
        <v>入</v>
      </c>
      <c r="I15" s="286" t="s">
        <v>1669</v>
      </c>
      <c r="J15" s="137" t="str" cm="1">
        <f t="array" ref="J15" xml:space="preserve"> INDEX(廣韻聲母對照資料表[廣韻], MATCH(TRUE, EXACT($E15, 廣韻聲母對照資料表[台語音標]),0))</f>
        <v>日</v>
      </c>
      <c r="K15" s="74" t="str" cm="1">
        <f t="array" ref="K15" xml:space="preserve"> IFERROR( INDEX(聲母對照資料表[白話字], MATCH(TRUE, EXACT($E15, 聲母碼),0)), "")</f>
        <v>j</v>
      </c>
      <c r="L15" s="74" t="str" cm="1">
        <f t="array" ref="L15" xml:space="preserve"> IFERROR( INDEX(聲母對照資料表[閩拼方案], MATCH(TRUE, EXACT($E15, 聲母碼),0)), "")</f>
        <v>zz</v>
      </c>
      <c r="M15" s="94" t="s">
        <v>2316</v>
      </c>
      <c r="N15" s="75" t="s">
        <v>1437</v>
      </c>
      <c r="P15" s="234">
        <v>13</v>
      </c>
      <c r="Q15" s="95" t="s">
        <v>921</v>
      </c>
      <c r="R15" s="94" t="s">
        <v>921</v>
      </c>
      <c r="S15" s="96" t="s">
        <v>922</v>
      </c>
      <c r="T15" s="96" t="s">
        <v>946</v>
      </c>
      <c r="W15" s="70"/>
      <c r="X15" s="70"/>
      <c r="Y15" s="70"/>
      <c r="Z15" s="70"/>
    </row>
    <row r="16" spans="2:84" ht="57.75">
      <c r="B16" s="282" cm="1">
        <f t="array" ref="B16" xml:space="preserve"> ROW() - ROW($2:$2)</f>
        <v>14</v>
      </c>
      <c r="C16" s="212" t="s">
        <v>1742</v>
      </c>
      <c r="D16" s="74" t="str" cm="1">
        <f t="array" ref="D16" xml:space="preserve"> IFERROR( INDEX(聲母對照資料表[台羅拼音], MATCH(TRUE, EXACT($E16, 聲母碼),0)), "")</f>
        <v>ts</v>
      </c>
      <c r="E16" s="212" t="s">
        <v>1028</v>
      </c>
      <c r="F16" s="95" t="str" cm="1">
        <f t="array" ref="F16" xml:space="preserve"> IFERROR( INDEX(聲母對照資料表[注音二式], MATCH(TRUE, EXACT($E16, 聲母碼),0)), "")</f>
        <v>z</v>
      </c>
      <c r="G16" s="216" t="s">
        <v>1497</v>
      </c>
      <c r="H16" s="209" t="str" cm="1">
        <f t="array" ref="H16" xml:space="preserve"> IFERROR( INDEX(聲母對照資料表[十五音], MATCH(TRUE, EXACT($E16, 聲母碼),0)), "")</f>
        <v>曾</v>
      </c>
      <c r="I16" s="132" t="s">
        <v>2310</v>
      </c>
      <c r="J16" s="132" t="str" cm="1">
        <f t="array" ref="J16" xml:space="preserve"> INDEX(廣韻聲母對照資料表[廣韻], MATCH(TRUE, EXACT($E16, 廣韻聲母對照資料表[台語音標]),0))</f>
        <v>精</v>
      </c>
      <c r="K16" s="74" t="str" cm="1">
        <f t="array" ref="K16" xml:space="preserve"> IFERROR( INDEX(聲母對照資料表[白話字], MATCH(TRUE, EXACT($E16, 聲母碼),0)), "")</f>
        <v>ch</v>
      </c>
      <c r="L16" s="74" t="str" cm="1">
        <f t="array" ref="L16" xml:space="preserve"> IFERROR( INDEX(聲母對照資料表[閩拼方案], MATCH(TRUE, EXACT($E16, 聲母碼),0)), "")</f>
        <v>z</v>
      </c>
      <c r="M16" s="94" t="s">
        <v>1027</v>
      </c>
      <c r="N16" s="75" t="s">
        <v>1586</v>
      </c>
      <c r="P16" s="234">
        <v>14</v>
      </c>
      <c r="Q16" s="95" t="s">
        <v>790</v>
      </c>
      <c r="R16" s="94" t="s">
        <v>790</v>
      </c>
      <c r="S16" s="96" t="s">
        <v>791</v>
      </c>
      <c r="T16" s="96" t="s">
        <v>821</v>
      </c>
      <c r="W16" s="70"/>
      <c r="X16" s="70"/>
      <c r="Y16" s="70"/>
      <c r="Z16" s="70"/>
    </row>
    <row r="17" spans="2:26" ht="57.75">
      <c r="B17" s="282" cm="1">
        <f t="array" ref="B17" xml:space="preserve"> ROW() - ROW($2:$2)</f>
        <v>15</v>
      </c>
      <c r="C17" s="212" t="s">
        <v>2239</v>
      </c>
      <c r="D17" s="74" t="str" cm="1">
        <f t="array" ref="D17" xml:space="preserve"> IFERROR( INDEX(聲母對照資料表[台羅拼音], MATCH(TRUE, EXACT($E17, 聲母碼),0)), "")</f>
        <v>tsh</v>
      </c>
      <c r="E17" s="212" t="s">
        <v>1587</v>
      </c>
      <c r="F17" s="95" t="str" cm="1">
        <f t="array" ref="F17" xml:space="preserve"> IFERROR( INDEX(聲母對照資料表[注音二式], MATCH(TRUE, EXACT($E17, 聲母碼),0)), "")</f>
        <v>c</v>
      </c>
      <c r="G17" s="216" t="s">
        <v>2259</v>
      </c>
      <c r="H17" s="209" t="str" cm="1">
        <f t="array" ref="H17" xml:space="preserve"> IFERROR( INDEX(聲母對照資料表[十五音], MATCH(TRUE, EXACT($E17, 聲母碼),0)), "")</f>
        <v>出</v>
      </c>
      <c r="I17" s="132" t="s">
        <v>2311</v>
      </c>
      <c r="J17" s="132" t="str" cm="1">
        <f t="array" ref="J17" xml:space="preserve"> INDEX(廣韻聲母對照資料表[廣韻], MATCH(TRUE, EXACT($E17, 廣韻聲母對照資料表[台語音標]),0))</f>
        <v>清</v>
      </c>
      <c r="K17" s="74" t="str" cm="1">
        <f t="array" ref="K17" xml:space="preserve"> IFERROR( INDEX(聲母對照資料表[白話字], MATCH(TRUE, EXACT($E17, 聲母碼),0)), "")</f>
        <v>chh</v>
      </c>
      <c r="L17" s="74" t="str" cm="1">
        <f t="array" ref="L17" xml:space="preserve"> IFERROR( INDEX(聲母對照資料表[閩拼方案], MATCH(TRUE, EXACT($E17, 聲母碼),0)), "")</f>
        <v>c</v>
      </c>
      <c r="M17" s="94" t="s">
        <v>1073</v>
      </c>
      <c r="N17" s="75" t="s">
        <v>1493</v>
      </c>
      <c r="P17" s="234">
        <v>15</v>
      </c>
      <c r="Q17" s="95" t="s">
        <v>889</v>
      </c>
      <c r="R17" s="94" t="s">
        <v>889</v>
      </c>
      <c r="S17" s="96" t="s">
        <v>1589</v>
      </c>
      <c r="T17" s="96" t="s">
        <v>1590</v>
      </c>
      <c r="W17" s="70"/>
      <c r="X17" s="70"/>
      <c r="Y17" s="70"/>
      <c r="Z17" s="70"/>
    </row>
    <row r="18" spans="2:26" ht="57.75">
      <c r="B18" s="284" cm="1">
        <f t="array" ref="B18" xml:space="preserve"> ROW() - ROW($2:$2)</f>
        <v>16</v>
      </c>
      <c r="C18" s="214" t="s">
        <v>1504</v>
      </c>
      <c r="D18" s="76" t="str" cm="1">
        <f t="array" ref="D18" xml:space="preserve"> IFERROR( INDEX(聲母對照資料表[台羅拼音], MATCH(TRUE, EXACT($E18, 聲母碼),0)), "")</f>
        <v>s</v>
      </c>
      <c r="E18" s="214" t="s">
        <v>1504</v>
      </c>
      <c r="F18" s="117" t="str" cm="1">
        <f t="array" ref="F18" xml:space="preserve"> IFERROR( INDEX(聲母對照資料表[注音二式], MATCH(TRUE, EXACT($E18, 聲母碼),0)), "")</f>
        <v>s</v>
      </c>
      <c r="G18" s="218" t="s">
        <v>2260</v>
      </c>
      <c r="H18" s="211" t="str" cm="1">
        <f t="array" ref="H18" xml:space="preserve"> IFERROR( INDEX(聲母對照資料表[十五音], MATCH(TRUE, EXACT($E18, 聲母碼),0)), "")</f>
        <v>時</v>
      </c>
      <c r="I18" s="136" t="s">
        <v>2437</v>
      </c>
      <c r="J18" s="136" t="str" cm="1">
        <f t="array" ref="J18" xml:space="preserve"> INDEX(廣韻聲母對照資料表[廣韻], MATCH(TRUE, EXACT($E18, 廣韻聲母對照資料表[台語音標]),0))</f>
        <v>心</v>
      </c>
      <c r="K18" s="76" t="str" cm="1">
        <f t="array" ref="K18" xml:space="preserve"> IFERROR( INDEX(聲母對照資料表[白話字], MATCH(TRUE, EXACT($E18, 聲母碼),0)), "")</f>
        <v>s</v>
      </c>
      <c r="L18" s="76" t="str" cm="1">
        <f t="array" ref="L18" xml:space="preserve"> IFERROR( INDEX(聲母對照資料表[閩拼方案], MATCH(TRUE, EXACT($E18, 聲母碼),0)), "")</f>
        <v>s</v>
      </c>
      <c r="M18" s="116" t="s">
        <v>1047</v>
      </c>
      <c r="N18" s="77" t="s">
        <v>1481</v>
      </c>
      <c r="P18" s="234">
        <v>16</v>
      </c>
      <c r="Q18" s="95" t="s">
        <v>868</v>
      </c>
      <c r="R18" s="94" t="s">
        <v>1591</v>
      </c>
      <c r="S18" s="96" t="s">
        <v>869</v>
      </c>
      <c r="T18" s="96" t="s">
        <v>881</v>
      </c>
      <c r="W18" s="70"/>
      <c r="X18" s="70"/>
      <c r="Y18" s="70"/>
      <c r="Z18" s="70"/>
    </row>
    <row r="19" spans="2:26" ht="57.75">
      <c r="B19" s="282" cm="1">
        <f t="array" ref="B19" xml:space="preserve"> ROW() - ROW($2:$2)</f>
        <v>17</v>
      </c>
      <c r="C19" s="212" t="s">
        <v>2243</v>
      </c>
      <c r="D19" s="74" t="str" cm="1">
        <f t="array" ref="D19" xml:space="preserve"> IFERROR( INDEX(聲母對照資料表[台羅拼音], MATCH(TRUE, EXACT($E19, 聲母碼),0)), "")</f>
        <v>ji</v>
      </c>
      <c r="E19" s="212" t="s">
        <v>1507</v>
      </c>
      <c r="F19" s="95" t="str" cm="1">
        <f t="array" ref="F19" xml:space="preserve"> IFERROR( INDEX(聲母對照資料表[注音二式], MATCH(TRUE, EXACT($E19, 聲母碼),0)), "")</f>
        <v>jji</v>
      </c>
      <c r="G19" s="216" t="s">
        <v>2263</v>
      </c>
      <c r="H19" s="209" t="str" cm="1">
        <f t="array" ref="H19" xml:space="preserve"> IFERROR( INDEX(聲母對照資料表[十五音], MATCH(TRUE, EXACT($E19, 聲母碼),0)), "")</f>
        <v>入</v>
      </c>
      <c r="I19" s="137" t="s">
        <v>1681</v>
      </c>
      <c r="J19" s="137" t="str" cm="1">
        <f t="array" ref="J19" xml:space="preserve"> INDEX(廣韻聲母對照資料表[廣韻], MATCH(TRUE, EXACT($E19, 廣韻聲母對照資料表[台語音標]),0))</f>
        <v>日</v>
      </c>
      <c r="K19" s="74" t="str" cm="1">
        <f t="array" ref="K19" xml:space="preserve"> IFERROR( INDEX(聲母對照資料表[白話字], MATCH(TRUE, EXACT($E19, 聲母碼),0)), "")</f>
        <v>ji</v>
      </c>
      <c r="L19" s="74" t="str" cm="1">
        <f t="array" ref="L19" xml:space="preserve"> IFERROR( INDEX(聲母對照資料表[閩拼方案], MATCH(TRUE, EXACT($E19, 聲母碼),0)), "")</f>
        <v>zzi</v>
      </c>
      <c r="M19" s="94" t="s">
        <v>1527</v>
      </c>
      <c r="N19" s="75" t="s">
        <v>1454</v>
      </c>
      <c r="Q19" s="70"/>
      <c r="R19" s="70"/>
      <c r="S19" s="70"/>
      <c r="T19" s="70"/>
      <c r="W19" s="70"/>
      <c r="X19" s="70"/>
      <c r="Y19" s="70"/>
      <c r="Z19" s="70"/>
    </row>
    <row r="20" spans="2:26" ht="57.75">
      <c r="B20" s="282" cm="1">
        <f t="array" ref="B20" xml:space="preserve"> ROW() - ROW($2:$2)</f>
        <v>18</v>
      </c>
      <c r="C20" s="212" t="s">
        <v>2241</v>
      </c>
      <c r="D20" s="74" t="str" cm="1">
        <f t="array" ref="D20" xml:space="preserve"> IFERROR( INDEX(聲母對照資料表[台羅拼音], MATCH(TRUE, EXACT($E20, 聲母碼),0)), "")</f>
        <v>tsi</v>
      </c>
      <c r="E20" s="212" t="s">
        <v>1506</v>
      </c>
      <c r="F20" s="95" t="str" cm="1">
        <f t="array" ref="F20" xml:space="preserve"> IFERROR( INDEX(聲母對照資料表[注音二式], MATCH(TRUE, EXACT($E20, 聲母碼),0)), "")</f>
        <v>ji</v>
      </c>
      <c r="G20" s="216" t="s">
        <v>2261</v>
      </c>
      <c r="H20" s="209" t="str" cm="1">
        <f t="array" ref="H20" xml:space="preserve"> IFERROR( INDEX(聲母對照資料表[十五音], MATCH(TRUE, EXACT($E20, 聲母碼),0)), "")</f>
        <v>曾</v>
      </c>
      <c r="I20" s="132" t="s">
        <v>1678</v>
      </c>
      <c r="J20" s="132" t="str" cm="1">
        <f t="array" ref="J20" xml:space="preserve"> INDEX(廣韻聲母對照資料表[廣韻], MATCH(TRUE, EXACT($E20, 廣韻聲母對照資料表[台語音標]),0))</f>
        <v>清</v>
      </c>
      <c r="K20" s="74" t="str" cm="1">
        <f t="array" ref="K20" xml:space="preserve"> IFERROR( INDEX(聲母對照資料表[白話字], MATCH(TRUE, EXACT($E20, 聲母碼),0)), "")</f>
        <v>chi</v>
      </c>
      <c r="L20" s="74" t="str" cm="1">
        <f t="array" ref="L20" xml:space="preserve"> IFERROR( INDEX(聲母對照資料表[閩拼方案], MATCH(TRUE, EXACT($E20, 聲母碼),0)), "")</f>
        <v>zi</v>
      </c>
      <c r="M20" s="94" t="s">
        <v>1038</v>
      </c>
      <c r="N20" s="75" t="s">
        <v>1503</v>
      </c>
      <c r="Q20" s="70"/>
      <c r="R20" s="70"/>
      <c r="S20" s="70"/>
      <c r="T20" s="70"/>
      <c r="W20" s="70"/>
      <c r="X20" s="70"/>
      <c r="Y20" s="70"/>
      <c r="Z20" s="70"/>
    </row>
    <row r="21" spans="2:26" ht="57.75">
      <c r="B21" s="282" cm="1">
        <f t="array" ref="B21" xml:space="preserve"> ROW() - ROW($2:$2)</f>
        <v>19</v>
      </c>
      <c r="C21" s="212" t="s">
        <v>2242</v>
      </c>
      <c r="D21" s="74" t="str" cm="1">
        <f t="array" ref="D21" xml:space="preserve"> IFERROR( INDEX(聲母對照資料表[台羅拼音], MATCH(TRUE, EXACT($E21, 聲母碼),0)), "")</f>
        <v>tshi</v>
      </c>
      <c r="E21" s="212" t="s">
        <v>1511</v>
      </c>
      <c r="F21" s="95" t="str" cm="1">
        <f t="array" ref="F21" xml:space="preserve"> IFERROR( INDEX(聲母對照資料表[注音二式], MATCH(TRUE, EXACT($E21, 聲母碼),0)), "")</f>
        <v>chi</v>
      </c>
      <c r="G21" s="216" t="s">
        <v>2262</v>
      </c>
      <c r="H21" s="209" t="str" cm="1">
        <f t="array" ref="H21" xml:space="preserve"> IFERROR( INDEX(聲母對照資料表[十五音], MATCH(TRUE, EXACT($E21, 聲母碼),0)), "")</f>
        <v>出</v>
      </c>
      <c r="I21" s="132" t="s">
        <v>2307</v>
      </c>
      <c r="J21" s="132" t="str" cm="1">
        <f t="array" ref="J21" xml:space="preserve"> INDEX(廣韻聲母對照資料表[廣韻], MATCH(TRUE, EXACT($E21, 廣韻聲母對照資料表[台語音標]),0))</f>
        <v>昌</v>
      </c>
      <c r="K21" s="74" t="str" cm="1">
        <f t="array" ref="K21" xml:space="preserve"> IFERROR( INDEX(聲母對照資料表[白話字], MATCH(TRUE, EXACT($E21, 聲母碼),0)), "")</f>
        <v>chhi</v>
      </c>
      <c r="L21" s="74" t="str" cm="1">
        <f t="array" ref="L21" xml:space="preserve"> IFERROR( INDEX(聲母對照資料表[閩拼方案], MATCH(TRUE, EXACT($E21, 聲母碼),0)), "")</f>
        <v>ci</v>
      </c>
      <c r="M21" s="94" t="s">
        <v>2317</v>
      </c>
      <c r="N21" s="75" t="s">
        <v>1543</v>
      </c>
      <c r="P21" s="81" t="s">
        <v>1549</v>
      </c>
      <c r="W21" s="70"/>
      <c r="X21" s="70"/>
      <c r="Y21" s="70"/>
      <c r="Z21" s="70"/>
    </row>
    <row r="22" spans="2:26" ht="58.5" thickBot="1">
      <c r="B22" s="284" cm="1">
        <f t="array" ref="B22" xml:space="preserve"> ROW() - ROW($2:$2)</f>
        <v>20</v>
      </c>
      <c r="C22" s="214" t="s">
        <v>1548</v>
      </c>
      <c r="D22" s="76" t="str" cm="1">
        <f t="array" ref="D22" xml:space="preserve"> IFERROR( INDEX(聲母對照資料表[台羅拼音], MATCH(TRUE, EXACT($E22, 聲母碼),0)), "")</f>
        <v>si</v>
      </c>
      <c r="E22" s="214" t="s">
        <v>1516</v>
      </c>
      <c r="F22" s="117" t="str" cm="1">
        <f t="array" ref="F22" xml:space="preserve"> IFERROR( INDEX(聲母對照資料表[注音二式], MATCH(TRUE, EXACT($E22, 聲母碼),0)), "")</f>
        <v>shi</v>
      </c>
      <c r="G22" s="218" t="s">
        <v>2264</v>
      </c>
      <c r="H22" s="211" t="str" cm="1">
        <f t="array" ref="H22" xml:space="preserve"> IFERROR( INDEX(聲母對照資料表[十五音], MATCH(TRUE, EXACT($E22, 聲母碼),0)), "")</f>
        <v>時</v>
      </c>
      <c r="I22" s="136" t="s">
        <v>1683</v>
      </c>
      <c r="J22" s="136" t="str" cm="1">
        <f t="array" ref="J22" xml:space="preserve"> INDEX(廣韻聲母對照資料表[廣韻], MATCH(TRUE, EXACT($E22, 廣韻聲母對照資料表[台語音標]),0))</f>
        <v>心</v>
      </c>
      <c r="K22" s="76" t="str" cm="1">
        <f t="array" ref="K22" xml:space="preserve"> IFERROR( INDEX(聲母對照資料表[白話字], MATCH(TRUE, EXACT($E22, 聲母碼),0)), "")</f>
        <v>si</v>
      </c>
      <c r="L22" s="76" t="str" cm="1">
        <f t="array" ref="L22" xml:space="preserve"> IFERROR( INDEX(聲母對照資料表[閩拼方案], MATCH(TRUE, EXACT($E22, 聲母碼),0)), "")</f>
        <v>si</v>
      </c>
      <c r="M22" s="116" t="s">
        <v>2318</v>
      </c>
      <c r="N22" s="77" t="s">
        <v>1540</v>
      </c>
      <c r="P22" s="87" t="s">
        <v>1019</v>
      </c>
      <c r="Q22" s="90" t="s">
        <v>1553</v>
      </c>
      <c r="R22" s="89" t="s">
        <v>1552</v>
      </c>
      <c r="S22" s="88" t="s">
        <v>1554</v>
      </c>
      <c r="T22" s="88" t="s">
        <v>1555</v>
      </c>
      <c r="W22" s="70"/>
      <c r="X22" s="70"/>
      <c r="Y22" s="70"/>
      <c r="Z22" s="70"/>
    </row>
    <row r="23" spans="2:26" ht="58.5" thickTop="1">
      <c r="B23" s="282" cm="1">
        <f t="array" ref="B23" xml:space="preserve"> ROW() - ROW($2:$2)</f>
        <v>21</v>
      </c>
      <c r="C23" s="212" t="s">
        <v>1493</v>
      </c>
      <c r="D23" s="74" t="str" cm="1">
        <f t="array" ref="D23" xml:space="preserve"> IFERROR( INDEX(聲母對照資料表[台羅拼音], MATCH(TRUE, EXACT($E23, 聲母碼),0)), "")</f>
        <v>h</v>
      </c>
      <c r="E23" s="212" t="s">
        <v>1493</v>
      </c>
      <c r="F23" s="95" t="str" cm="1">
        <f t="array" ref="F23" xml:space="preserve"> IFERROR( INDEX(聲母對照資料表[注音二式], MATCH(TRUE, EXACT($E23, 聲母碼),0)), "")</f>
        <v>h</v>
      </c>
      <c r="G23" s="216" t="s">
        <v>2265</v>
      </c>
      <c r="H23" s="209" t="str" cm="1">
        <f t="array" ref="H23" xml:space="preserve"> IFERROR( INDEX(聲母對照資料表[十五音], MATCH(TRUE, EXACT($E23, 聲母碼),0)), "")</f>
        <v>喜</v>
      </c>
      <c r="I23" s="132" t="s">
        <v>1685</v>
      </c>
      <c r="J23" s="132" t="str" cm="1">
        <f t="array" ref="J23" xml:space="preserve"> INDEX(廣韻聲母對照資料表[廣韻], MATCH(TRUE, EXACT($E23, 廣韻聲母對照資料表[台語音標]),0))</f>
        <v>非</v>
      </c>
      <c r="K23" s="74" t="str" cm="1">
        <f t="array" ref="K23" xml:space="preserve"> IFERROR( INDEX(聲母對照資料表[白話字], MATCH(TRUE, EXACT($E23, 聲母碼),0)), "")</f>
        <v>h</v>
      </c>
      <c r="L23" s="74" t="str" cm="1">
        <f t="array" ref="L23" xml:space="preserve"> IFERROR( INDEX(聲母對照資料表[閩拼方案], MATCH(TRUE, EXACT($E23, 聲母碼),0)), "")</f>
        <v>h</v>
      </c>
      <c r="M23" s="94" t="s">
        <v>1</v>
      </c>
      <c r="N23" s="75" t="s">
        <v>1592</v>
      </c>
      <c r="P23" s="234">
        <v>1</v>
      </c>
      <c r="Q23" s="99" t="s">
        <v>1594</v>
      </c>
      <c r="R23" s="98" t="s">
        <v>1593</v>
      </c>
      <c r="S23" s="96" t="s">
        <v>280</v>
      </c>
      <c r="T23" s="96"/>
      <c r="W23" s="70"/>
      <c r="X23" s="70"/>
      <c r="Y23" s="70"/>
      <c r="Z23" s="70"/>
    </row>
    <row r="24" spans="2:26" ht="57.75">
      <c r="B24" s="284" cm="1">
        <f t="array" ref="B24" xml:space="preserve"> ROW() - ROW($2:$2)</f>
        <v>22</v>
      </c>
      <c r="C24" s="214" t="s">
        <v>1687</v>
      </c>
      <c r="D24" s="275" t="str" cm="1">
        <f t="array" ref="D24" xml:space="preserve"> IFERROR( INDEX(聲母對照資料表[台羅拼音], MATCH(TRUE, EXACT($E24, 聲母碼),0)), "")</f>
        <v>Ø</v>
      </c>
      <c r="E24" s="214" t="s">
        <v>2189</v>
      </c>
      <c r="F24" s="279" t="str" cm="1">
        <f t="array" ref="F24" xml:space="preserve"> IFERROR( INDEX(聲母對照資料表[注音二式], MATCH(TRUE, EXACT($E24, 聲母碼),0)), "")</f>
        <v>Ø</v>
      </c>
      <c r="G24" s="280" t="s">
        <v>0</v>
      </c>
      <c r="H24" s="211" t="str" cm="1">
        <f t="array" ref="H24" xml:space="preserve"> IFERROR( INDEX(聲母對照資料表[十五音], MATCH(TRUE, EXACT($E24, 聲母碼),0)), "")</f>
        <v>英</v>
      </c>
      <c r="I24" s="136" t="s">
        <v>1689</v>
      </c>
      <c r="J24" s="136" t="str" cm="1">
        <f t="array" ref="J24" xml:space="preserve"> INDEX(廣韻聲母對照資料表[廣韻], MATCH(TRUE, EXACT($E24, 廣韻聲母對照資料表[台語音標]),0))</f>
        <v>影</v>
      </c>
      <c r="K24" s="275" t="str" cm="1">
        <f t="array" ref="K24" xml:space="preserve"> IFERROR( INDEX(聲母對照資料表[白話字], MATCH(TRUE, EXACT($E24, 聲母碼),0)), "")</f>
        <v>Ø</v>
      </c>
      <c r="L24" s="275" t="str" cm="1">
        <f t="array" ref="L24" xml:space="preserve"> IFERROR( INDEX(聲母對照資料表[閩拼方案], MATCH(TRUE, EXACT($E24, 聲母碼),0)), "")</f>
        <v>Ø</v>
      </c>
      <c r="M24" s="116" t="s">
        <v>1396</v>
      </c>
      <c r="N24" s="77"/>
      <c r="P24" s="234">
        <v>2</v>
      </c>
      <c r="Q24" s="99" t="s">
        <v>2304</v>
      </c>
      <c r="R24" s="98" t="s">
        <v>1595</v>
      </c>
      <c r="S24" s="96" t="s">
        <v>1526</v>
      </c>
      <c r="T24" s="96"/>
      <c r="W24" s="70"/>
      <c r="X24" s="70"/>
      <c r="Y24" s="70"/>
      <c r="Z24" s="70"/>
    </row>
    <row r="25" spans="2:26" ht="57.75">
      <c r="B25" s="282" cm="1">
        <f t="array" ref="B25" xml:space="preserve"> ROW() - ROW($2:$2)</f>
        <v>23</v>
      </c>
      <c r="C25" s="212" t="s">
        <v>1528</v>
      </c>
      <c r="D25" s="74" t="str" cm="1">
        <f t="array" ref="D25" xml:space="preserve"> IFERROR( INDEX(韻母對照資料表[台羅拼音], MATCH(TRUE, EXACT($E25, 韻母對照資料表[台語音標]),0)), "")</f>
        <v>a</v>
      </c>
      <c r="E25" s="212" t="s">
        <v>1528</v>
      </c>
      <c r="F25" s="95" t="str" cm="1">
        <f t="array" ref="F25" xml:space="preserve"> IFERROR( INDEX(韻母對照資料表[注音二式], MATCH(TRUE, EXACT($E25, 韻母對照資料表[台語音標]),0)), "")</f>
        <v>a</v>
      </c>
      <c r="G25" s="216" t="s">
        <v>1557</v>
      </c>
      <c r="H25" s="209" t="str" cm="1">
        <f t="array" ref="H25">IFERROR( INDEX(韻母對照資料表[十五音], MATCH(TRUE, EXACT($E25, 韻母對照資料表[台語音標]),0)), "")</f>
        <v>膠</v>
      </c>
      <c r="I25" s="132" t="str" cm="1">
        <f t="array" ref="I25" xml:space="preserve"> IFERROR( INDEX(韻母對照資料表[漢字例], MATCH(TRUE, EXACT($E25, 韻母對照資料表[台語音標]),0)), "")</f>
        <v>些</v>
      </c>
      <c r="J25" s="132"/>
      <c r="K25" s="74" t="str" cm="1">
        <f t="array" ref="K25" xml:space="preserve"> IFERROR( INDEX(韻母對照資料表[白話字], MATCH(TRUE, EXACT($E25, 韻母對照資料表[台語音標]),0)), "")</f>
        <v>a</v>
      </c>
      <c r="L25" s="74" t="str" cm="1">
        <f t="array" ref="L25">IFERROR( INDEX(韻母對照資料表[閩拼方案], MATCH(TRUE, EXACT($E25, 韻母對照資料表[台語音標]),0)), "")</f>
        <v>a</v>
      </c>
      <c r="M25" s="94" t="s">
        <v>18</v>
      </c>
      <c r="N25" s="75" t="s">
        <v>1478</v>
      </c>
      <c r="P25" s="234">
        <v>3</v>
      </c>
      <c r="Q25" s="99" t="s">
        <v>1235</v>
      </c>
      <c r="R25" s="106" t="s">
        <v>1563</v>
      </c>
      <c r="S25" s="96" t="s">
        <v>37</v>
      </c>
      <c r="T25" s="96" t="str">
        <f xml:space="preserve"> LEFT(S25, IF(LEN(S25)=1, 1, LEN(S25)-1)) &amp; "ㆷ"</f>
        <v>ㆩㆷ</v>
      </c>
      <c r="W25" s="70"/>
      <c r="X25" s="70"/>
      <c r="Y25" s="70"/>
      <c r="Z25" s="70"/>
    </row>
    <row r="26" spans="2:26" ht="57.75">
      <c r="B26" s="282" cm="1">
        <f t="array" ref="B26" xml:space="preserve"> ROW() - ROW($2:$2)</f>
        <v>24</v>
      </c>
      <c r="C26" s="212" t="s">
        <v>2246</v>
      </c>
      <c r="D26" s="74" t="str" cm="1">
        <f t="array" ref="D26" xml:space="preserve"> IFERROR( INDEX(韻母對照資料表[台羅拼音], MATCH(TRUE, EXACT($E26, 韻母對照資料表[台語音標]),0)), "")</f>
        <v>ann</v>
      </c>
      <c r="E26" s="212" t="s">
        <v>1596</v>
      </c>
      <c r="F26" s="95" t="str" cm="1">
        <f t="array" ref="F26" xml:space="preserve"> IFERROR( INDEX(韻母對照資料表[注音二式], MATCH(TRUE, EXACT($E26, 韻母對照資料表[台語音標]),0)), "")</f>
        <v>ann</v>
      </c>
      <c r="G26" s="216" t="s">
        <v>1562</v>
      </c>
      <c r="H26" s="209" t="str" cm="1">
        <f t="array" ref="H26">IFERROR( INDEX(韻母對照資料表[十五音], MATCH(TRUE, EXACT($E26, 韻母對照資料表[台語音標]),0)), "")</f>
        <v>監</v>
      </c>
      <c r="I26" s="132" t="str" cm="1">
        <f t="array" ref="I26" xml:space="preserve"> IFERROR( INDEX(韻母對照資料表[漢字例], MATCH(TRUE, EXACT($E26, 韻母對照資料表[台語音標]),0)), "")</f>
        <v>聽</v>
      </c>
      <c r="J26" s="132"/>
      <c r="K26" s="74" t="str" cm="1">
        <f t="array" ref="K26" xml:space="preserve"> IFERROR( INDEX(韻母對照資料表[白話字], MATCH(TRUE, EXACT($E26, 韻母對照資料表[台語音標]),0)), "")</f>
        <v>aⁿ</v>
      </c>
      <c r="L26" s="74" t="str" cm="1">
        <f t="array" ref="L26">IFERROR( INDEX(韻母對照資料表[閩拼方案], MATCH(TRUE, EXACT($E26, 韻母對照資料表[台語音標]),0)), "")</f>
        <v>na</v>
      </c>
      <c r="M26" s="94" t="s">
        <v>1530</v>
      </c>
      <c r="N26" s="75" t="s">
        <v>260</v>
      </c>
      <c r="P26" s="234">
        <v>4</v>
      </c>
      <c r="Q26" s="99" t="s">
        <v>1376</v>
      </c>
      <c r="R26" s="98" t="s">
        <v>1597</v>
      </c>
      <c r="S26" s="96" t="s">
        <v>667</v>
      </c>
      <c r="T26" s="96" t="str">
        <f xml:space="preserve"> LEFT(S26, IF(LEN(S26)=1, 1, LEN(S26)-1)) &amp; "ㆷ"</f>
        <v>ㆧㆷ</v>
      </c>
      <c r="W26" s="70"/>
      <c r="X26" s="70"/>
      <c r="Y26" s="70"/>
      <c r="Z26" s="70"/>
    </row>
    <row r="27" spans="2:26" ht="57.75">
      <c r="B27" s="282" cm="1">
        <f t="array" ref="B27" xml:space="preserve"> ROW() - ROW($2:$2)</f>
        <v>25</v>
      </c>
      <c r="C27" s="212" t="s">
        <v>1541</v>
      </c>
      <c r="D27" s="74" t="str" cm="1">
        <f t="array" ref="D27" xml:space="preserve"> IFERROR( INDEX(韻母對照資料表[台羅拼音], MATCH(TRUE, EXACT($E27, 韻母對照資料表[台語音標]),0)), "")</f>
        <v>am</v>
      </c>
      <c r="E27" s="212" t="s">
        <v>1541</v>
      </c>
      <c r="F27" s="95" t="str" cm="1">
        <f t="array" ref="F27" xml:space="preserve"> IFERROR( INDEX(韻母對照資料表[注音二式], MATCH(TRUE, EXACT($E27, 韻母對照資料表[台語音標]),0)), "")</f>
        <v>am</v>
      </c>
      <c r="G27" s="216" t="s">
        <v>1624</v>
      </c>
      <c r="H27" s="209" t="str" cm="1">
        <f t="array" ref="H27">IFERROR( INDEX(韻母對照資料表[十五音], MATCH(TRUE, EXACT($E27, 韻母對照資料表[台語音標]),0)), "")</f>
        <v>甘</v>
      </c>
      <c r="I27" s="132" t="str" cm="1">
        <f t="array" ref="I27" xml:space="preserve"> IFERROR( INDEX(韻母對照資料表[漢字例], MATCH(TRUE, EXACT($E27, 韻母對照資料表[台語音標]),0)), "")</f>
        <v>堪</v>
      </c>
      <c r="J27" s="132"/>
      <c r="K27" s="74" t="str" cm="1">
        <f t="array" ref="K27" xml:space="preserve"> IFERROR( INDEX(韻母對照資料表[白話字], MATCH(TRUE, EXACT($E27, 韻母對照資料表[台語音標]),0)), "")</f>
        <v>am</v>
      </c>
      <c r="L27" s="74" t="str" cm="1">
        <f t="array" ref="L27">IFERROR( INDEX(韻母對照資料表[閩拼方案], MATCH(TRUE, EXACT($E27, 韻母對照資料表[台語音標]),0)), "")</f>
        <v>am</v>
      </c>
      <c r="M27" s="94" t="s">
        <v>2319</v>
      </c>
      <c r="N27" s="75" t="s">
        <v>1499</v>
      </c>
      <c r="P27" s="234">
        <v>5</v>
      </c>
      <c r="Q27" s="99" t="s">
        <v>1261</v>
      </c>
      <c r="R27" s="98" t="s">
        <v>1599</v>
      </c>
      <c r="S27" s="96" t="s">
        <v>227</v>
      </c>
      <c r="T27" s="96" t="str">
        <f xml:space="preserve"> LEFT(S27, IF(LEN(S27)=1, 1, LEN(S27)-1)) &amp; "ㆷ"</f>
        <v>ㆥㆷ</v>
      </c>
      <c r="W27" s="70"/>
      <c r="X27" s="70"/>
      <c r="Y27" s="70"/>
      <c r="Z27" s="70"/>
    </row>
    <row r="28" spans="2:26" ht="57.75">
      <c r="B28" s="282" cm="1">
        <f t="array" ref="B28" xml:space="preserve"> ROW() - ROW($2:$2)</f>
        <v>26</v>
      </c>
      <c r="C28" s="212" t="s">
        <v>1536</v>
      </c>
      <c r="D28" s="74" t="str" cm="1">
        <f t="array" ref="D28" xml:space="preserve"> IFERROR( INDEX(韻母對照資料表[台羅拼音], MATCH(TRUE, EXACT($E28, 韻母對照資料表[台語音標]),0)), "")</f>
        <v>an</v>
      </c>
      <c r="E28" s="212" t="s">
        <v>1536</v>
      </c>
      <c r="F28" s="95" t="str" cm="1">
        <f t="array" ref="F28" xml:space="preserve"> IFERROR( INDEX(韻母對照資料表[注音二式], MATCH(TRUE, EXACT($E28, 韻母對照資料表[台語音標]),0)), "")</f>
        <v>an</v>
      </c>
      <c r="G28" s="216" t="s">
        <v>2279</v>
      </c>
      <c r="H28" s="209" t="str" cm="1">
        <f t="array" ref="H28">IFERROR( INDEX(韻母對照資料表[十五音], MATCH(TRUE, EXACT($E28, 韻母對照資料表[台語音標]),0)), "")</f>
        <v>干</v>
      </c>
      <c r="I28" s="132" t="str" cm="1">
        <f t="array" ref="I28" xml:space="preserve"> IFERROR( INDEX(韻母對照資料表[漢字例], MATCH(TRUE, EXACT($E28, 韻母對照資料表[台語音標]),0)), "")</f>
        <v>蘭</v>
      </c>
      <c r="J28" s="132"/>
      <c r="K28" s="74" t="str" cm="1">
        <f t="array" ref="K28" xml:space="preserve"> IFERROR( INDEX(韻母對照資料表[白話字], MATCH(TRUE, EXACT($E28, 韻母對照資料表[台語音標]),0)), "")</f>
        <v>an</v>
      </c>
      <c r="L28" s="74" t="str" cm="1">
        <f t="array" ref="L28">IFERROR( INDEX(韻母對照資料表[閩拼方案], MATCH(TRUE, EXACT($E28, 韻母對照資料表[台語音標]),0)), "")</f>
        <v>an</v>
      </c>
      <c r="M28" s="94" t="s">
        <v>1537</v>
      </c>
      <c r="N28" s="75" t="s">
        <v>2</v>
      </c>
      <c r="P28" s="234">
        <v>6</v>
      </c>
      <c r="Q28" s="99" t="s">
        <v>1317</v>
      </c>
      <c r="R28" s="98" t="s">
        <v>1601</v>
      </c>
      <c r="S28" s="96" t="s">
        <v>168</v>
      </c>
      <c r="T28" s="96"/>
      <c r="W28" s="70"/>
      <c r="X28" s="70"/>
      <c r="Y28" s="70"/>
      <c r="Z28" s="70"/>
    </row>
    <row r="29" spans="2:26" ht="57.75">
      <c r="B29" s="284" cm="1">
        <f t="array" ref="B29" xml:space="preserve"> ROW() - ROW($2:$2)</f>
        <v>27</v>
      </c>
      <c r="C29" s="214" t="s">
        <v>94</v>
      </c>
      <c r="D29" s="76" t="str" cm="1">
        <f t="array" ref="D29" xml:space="preserve"> IFERROR( INDEX(韻母對照資料表[台羅拼音], MATCH(TRUE, EXACT($E29, 韻母對照資料表[台語音標]),0)), "")</f>
        <v>ang</v>
      </c>
      <c r="E29" s="214" t="s">
        <v>1626</v>
      </c>
      <c r="F29" s="117" t="str" cm="1">
        <f t="array" ref="F29" xml:space="preserve"> IFERROR( INDEX(韻母對照資料表[注音二式], MATCH(TRUE, EXACT($E29, 韻母對照資料表[台語音標]),0)), "")</f>
        <v>ang</v>
      </c>
      <c r="G29" s="218" t="s">
        <v>2280</v>
      </c>
      <c r="H29" s="211" t="str" cm="1">
        <f t="array" ref="H29">IFERROR( INDEX(韻母對照資料表[十五音], MATCH(TRUE, EXACT($E29, 韻母對照資料表[台語音標]),0)), "")</f>
        <v>江</v>
      </c>
      <c r="I29" s="136" t="str" cm="1">
        <f t="array" ref="I29" xml:space="preserve"> IFERROR( INDEX(韻母對照資料表[漢字例], MATCH(TRUE, EXACT($E29, 韻母對照資料表[台語音標]),0)), "")</f>
        <v>邦</v>
      </c>
      <c r="J29" s="136"/>
      <c r="K29" s="76" t="str" cm="1">
        <f t="array" ref="K29" xml:space="preserve"> IFERROR( INDEX(韻母對照資料表[白話字], MATCH(TRUE, EXACT($E29, 韻母對照資料表[台語音標]),0)), "")</f>
        <v>ang</v>
      </c>
      <c r="L29" s="76" t="str" cm="1">
        <f t="array" ref="L29">IFERROR( INDEX(韻母對照資料表[閩拼方案], MATCH(TRUE, EXACT($E29, 韻母對照資料表[台語音標]),0)), "")</f>
        <v>ang</v>
      </c>
      <c r="M29" s="116" t="s">
        <v>2320</v>
      </c>
      <c r="N29" s="77" t="s">
        <v>1625</v>
      </c>
      <c r="P29" s="234">
        <v>7</v>
      </c>
      <c r="Q29" s="99" t="s">
        <v>1371</v>
      </c>
      <c r="R29" s="98" t="s">
        <v>1602</v>
      </c>
      <c r="S29" s="96" t="s">
        <v>1369</v>
      </c>
      <c r="T29" s="96" t="str">
        <f xml:space="preserve"> LEFT(S29, IF(LEN(S29)=1, 1, LEN(S29)-1)) &amp; "ㆷ"</f>
        <v>ㆯㆷ</v>
      </c>
      <c r="W29" s="70"/>
      <c r="X29" s="70"/>
      <c r="Y29" s="70"/>
      <c r="Z29" s="70"/>
    </row>
    <row r="30" spans="2:26" ht="57.75">
      <c r="B30" s="282" cm="1">
        <f t="array" ref="B30" xml:space="preserve"> ROW() - ROW($2:$2)</f>
        <v>28</v>
      </c>
      <c r="C30" s="212" t="s">
        <v>1610</v>
      </c>
      <c r="D30" s="74" t="str" cm="1">
        <f t="array" ref="D30" xml:space="preserve"> IFERROR( INDEX(韻母對照資料表[台羅拼音], MATCH(TRUE, EXACT($E30, 韻母對照資料表[台語音標]),0)), "")</f>
        <v>ai</v>
      </c>
      <c r="E30" s="212" t="s">
        <v>1610</v>
      </c>
      <c r="F30" s="95" t="str" cm="1">
        <f t="array" ref="F30" xml:space="preserve"> IFERROR( INDEX(韻母對照資料表[注音二式], MATCH(TRUE, EXACT($E30, 韻母對照資料表[台語音標]),0)), "")</f>
        <v>ai</v>
      </c>
      <c r="G30" s="216" t="s">
        <v>2271</v>
      </c>
      <c r="H30" s="209" t="str" cm="1">
        <f t="array" ref="H30">IFERROR( INDEX(韻母對照資料表[十五音], MATCH(TRUE, EXACT($E30, 韻母對照資料表[台語音標]),0)), "")</f>
        <v>皆</v>
      </c>
      <c r="I30" s="132" t="str" cm="1">
        <f t="array" ref="I30" xml:space="preserve"> IFERROR( INDEX(韻母對照資料表[漢字例], MATCH(TRUE, EXACT($E30, 韻母對照資料表[台語音標]),0)), "")</f>
        <v>埃</v>
      </c>
      <c r="J30" s="132"/>
      <c r="K30" s="74" t="str" cm="1">
        <f t="array" ref="K30" xml:space="preserve"> IFERROR( INDEX(韻母對照資料表[白話字], MATCH(TRUE, EXACT($E30, 韻母對照資料表[台語音標]),0)), "")</f>
        <v>ai</v>
      </c>
      <c r="L30" s="74" t="str" cm="1">
        <f t="array" ref="L30">IFERROR( INDEX(韻母對照資料表[閩拼方案], MATCH(TRUE, EXACT($E30, 韻母對照資料表[台語音標]),0)), "")</f>
        <v>ai</v>
      </c>
      <c r="M30" s="94" t="s">
        <v>1485</v>
      </c>
      <c r="N30" s="75" t="s">
        <v>1470</v>
      </c>
      <c r="P30" s="234">
        <v>8</v>
      </c>
      <c r="Q30" s="99" t="s">
        <v>1271</v>
      </c>
      <c r="R30" s="106" t="s">
        <v>1609</v>
      </c>
      <c r="S30" s="96" t="s">
        <v>938</v>
      </c>
      <c r="T30" s="96"/>
      <c r="W30" s="70"/>
      <c r="X30" s="70"/>
      <c r="Y30" s="70"/>
      <c r="Z30" s="70"/>
    </row>
    <row r="31" spans="2:26" ht="57.75">
      <c r="B31" s="284" cm="1">
        <f t="array" ref="B31" xml:space="preserve"> ROW() - ROW($2:$2)</f>
        <v>29</v>
      </c>
      <c r="C31" s="214" t="s">
        <v>2252</v>
      </c>
      <c r="D31" s="76" t="str" cm="1">
        <f t="array" ref="D31" xml:space="preserve"> IFERROR( INDEX(韻母對照資料表[台羅拼音], MATCH(TRUE, EXACT($E31, 韻母對照資料表[台語音標]),0)), "")</f>
        <v>ainn</v>
      </c>
      <c r="E31" s="214" t="s">
        <v>1612</v>
      </c>
      <c r="F31" s="117" t="str" cm="1">
        <f t="array" ref="F31" xml:space="preserve"> IFERROR( INDEX(韻母對照資料表[注音二式], MATCH(TRUE, EXACT($E31, 韻母對照資料表[台語音標]),0)), "")</f>
        <v>ainn</v>
      </c>
      <c r="G31" s="218" t="s">
        <v>2277</v>
      </c>
      <c r="H31" s="211" t="str" cm="1">
        <f t="array" ref="H31">IFERROR( INDEX(韻母對照資料表[十五音], MATCH(TRUE, EXACT($E31, 韻母對照資料表[台語音標]),0)), "")</f>
        <v>閒</v>
      </c>
      <c r="I31" s="136" t="str" cm="1">
        <f t="array" ref="I31" xml:space="preserve"> IFERROR( INDEX(韻母對照資料表[漢字例], MATCH(TRUE, EXACT($E31, 韻母對照資料表[台語音標]),0)), "")</f>
        <v>挨</v>
      </c>
      <c r="J31" s="136"/>
      <c r="K31" s="76" t="str" cm="1">
        <f t="array" ref="K31" xml:space="preserve"> IFERROR( INDEX(韻母對照資料表[白話字], MATCH(TRUE, EXACT($E31, 韻母對照資料表[台語音標]),0)), "")</f>
        <v>aiⁿ</v>
      </c>
      <c r="L31" s="76" t="str" cm="1">
        <f t="array" ref="L31">IFERROR( INDEX(韻母對照資料表[閩拼方案], MATCH(TRUE, EXACT($E31, 韻母對照資料表[台語音標]),0)), "")</f>
        <v>nai</v>
      </c>
      <c r="M31" s="116" t="s">
        <v>1534</v>
      </c>
      <c r="N31" s="77" t="s">
        <v>9</v>
      </c>
      <c r="P31" s="234">
        <v>9</v>
      </c>
      <c r="Q31" s="99" t="s">
        <v>1349</v>
      </c>
      <c r="R31" s="98" t="s">
        <v>1613</v>
      </c>
      <c r="S31" s="123" t="s">
        <v>1347</v>
      </c>
      <c r="T31" s="123"/>
      <c r="W31" s="70"/>
      <c r="X31" s="70"/>
      <c r="Y31" s="70"/>
      <c r="Z31" s="70"/>
    </row>
    <row r="32" spans="2:26" ht="57.75">
      <c r="B32" s="282" cm="1">
        <f t="array" ref="B32" xml:space="preserve"> ROW() - ROW($2:$2)</f>
        <v>30</v>
      </c>
      <c r="C32" s="212" t="s">
        <v>1615</v>
      </c>
      <c r="D32" s="74" t="str" cm="1">
        <f t="array" ref="D32" xml:space="preserve"> IFERROR( INDEX(韻母對照資料表[台羅拼音], MATCH(TRUE, EXACT($E32, 韻母對照資料表[台語音標]),0)), "")</f>
        <v>au</v>
      </c>
      <c r="E32" s="212" t="s">
        <v>1615</v>
      </c>
      <c r="F32" s="95" t="str" cm="1">
        <f t="array" ref="F32" xml:space="preserve"> IFERROR( INDEX(韻母對照資料表[注音二式], MATCH(TRUE, EXACT($E32, 韻母對照資料表[台語音標]),0)), "")</f>
        <v>au</v>
      </c>
      <c r="G32" s="216" t="s">
        <v>2272</v>
      </c>
      <c r="H32" s="209" t="str" cm="1">
        <f t="array" ref="H32">IFERROR( INDEX(韻母對照資料表[十五音], MATCH(TRUE, EXACT($E32, 韻母對照資料表[台語音標]),0)), "")</f>
        <v>交</v>
      </c>
      <c r="I32" s="132" t="str" cm="1">
        <f t="array" ref="I32" xml:space="preserve"> IFERROR( INDEX(韻母對照資料表[漢字例], MATCH(TRUE, EXACT($E32, 韻母對照資料表[台語音標]),0)), "")</f>
        <v>鬧</v>
      </c>
      <c r="J32" s="132"/>
      <c r="K32" s="74" t="str" cm="1">
        <f t="array" ref="K32" xml:space="preserve"> IFERROR( INDEX(韻母對照資料表[白話字], MATCH(TRUE, EXACT($E32, 韻母對照資料表[台語音標]),0)), "")</f>
        <v>au</v>
      </c>
      <c r="L32" s="74" t="str" cm="1">
        <f t="array" ref="L32">IFERROR( INDEX(韻母對照資料表[閩拼方案], MATCH(TRUE, EXACT($E32, 韻母對照資料表[台語音標]),0)), "")</f>
        <v>ao</v>
      </c>
      <c r="M32" s="94" t="s">
        <v>1498</v>
      </c>
      <c r="N32" s="75" t="s">
        <v>1614</v>
      </c>
      <c r="P32" s="234">
        <v>10</v>
      </c>
      <c r="Q32" s="99" t="s">
        <v>1381</v>
      </c>
      <c r="R32" s="98" t="s">
        <v>1603</v>
      </c>
      <c r="S32" s="96" t="s">
        <v>622</v>
      </c>
      <c r="T32" s="96"/>
      <c r="W32" s="70"/>
      <c r="X32" s="70"/>
      <c r="Y32" s="70"/>
      <c r="Z32" s="70"/>
    </row>
    <row r="33" spans="2:26" ht="57.75">
      <c r="B33" s="284" cm="1">
        <f t="array" ref="B33" xml:space="preserve"> ROW() - ROW($2:$2)</f>
        <v>31</v>
      </c>
      <c r="C33" s="214" t="s">
        <v>2251</v>
      </c>
      <c r="D33" s="76" t="str" cm="1">
        <f t="array" ref="D33" xml:space="preserve"> IFERROR( INDEX(韻母對照資料表[台羅拼音], MATCH(TRUE, EXACT($E33, 韻母對照資料表[台語音標]),0)), "")</f>
        <v>aunn</v>
      </c>
      <c r="E33" s="214" t="s">
        <v>1618</v>
      </c>
      <c r="F33" s="117" t="str" cm="1">
        <f t="array" ref="F33" xml:space="preserve"> IFERROR( INDEX(韻母對照資料表[注音二式], MATCH(TRUE, EXACT($E33, 韻母對照資料表[台語音標]),0)), "")</f>
        <v>aunn</v>
      </c>
      <c r="G33" s="218" t="s">
        <v>2276</v>
      </c>
      <c r="H33" s="211" t="str" cm="1">
        <f t="array" ref="H33">IFERROR( INDEX(韻母對照資料表[十五音], MATCH(TRUE, EXACT($E33, 韻母對照資料表[台語音標]),0)), "")</f>
        <v>爻</v>
      </c>
      <c r="I33" s="136" t="str" cm="1">
        <f t="array" ref="I33" xml:space="preserve"> IFERROR( INDEX(韻母對照資料表[漢字例], MATCH(TRUE, EXACT($E33, 韻母對照資料表[台語音標]),0)), "")</f>
        <v>懸</v>
      </c>
      <c r="J33" s="136"/>
      <c r="K33" s="76" t="str" cm="1">
        <f t="array" ref="K33" xml:space="preserve"> IFERROR( INDEX(韻母對照資料表[白話字], MATCH(TRUE, EXACT($E33, 韻母對照資料表[台語音標]),0)), "")</f>
        <v>auⁿ</v>
      </c>
      <c r="L33" s="76" t="str" cm="1">
        <f t="array" ref="L33">IFERROR( INDEX(韻母對照資料表[閩拼方案], MATCH(TRUE, EXACT($E33, 韻母對照資料表[台語音標]),0)), "")</f>
        <v>nao</v>
      </c>
      <c r="M33" s="116" t="s">
        <v>1535</v>
      </c>
      <c r="N33" s="77" t="s">
        <v>1483</v>
      </c>
      <c r="P33" s="234">
        <v>11</v>
      </c>
      <c r="Q33" s="99" t="s">
        <v>1366</v>
      </c>
      <c r="R33" s="106" t="s">
        <v>1627</v>
      </c>
      <c r="S33" s="96" t="s">
        <v>694</v>
      </c>
      <c r="T33" s="96" t="str">
        <f xml:space="preserve"> LEFT(S33, IF(LEN(S33)=1, 1, LEN(S33)-1)) &amp; "ㆴ"</f>
        <v>ㆱㆴ</v>
      </c>
      <c r="W33" s="70"/>
      <c r="X33" s="70"/>
      <c r="Y33" s="70"/>
      <c r="Z33" s="70"/>
    </row>
    <row r="34" spans="2:26" ht="57.75">
      <c r="B34" s="282" cm="1">
        <f t="array" ref="B34" xml:space="preserve"> ROW() - ROW($2:$2)</f>
        <v>32</v>
      </c>
      <c r="C34" s="212" t="s">
        <v>2244</v>
      </c>
      <c r="D34" s="74" t="str" cm="1">
        <f t="array" ref="D34" xml:space="preserve"> IFERROR( INDEX(韻母對照資料表[台羅拼音], MATCH(TRUE, EXACT($E34, 韻母對照資料表[台語音標]),0)), "")</f>
        <v>e</v>
      </c>
      <c r="E34" s="212" t="s">
        <v>1533</v>
      </c>
      <c r="F34" s="95" t="str" cm="1">
        <f t="array" ref="F34" xml:space="preserve"> IFERROR( INDEX(韻母對照資料表[注音二式], MATCH(TRUE, EXACT($E34, 韻母對照資料表[台語音標]),0)), "")</f>
        <v>e</v>
      </c>
      <c r="G34" s="216" t="s">
        <v>2266</v>
      </c>
      <c r="H34" s="209" t="str" cm="1">
        <f t="array" ref="H34">IFERROR( INDEX(韻母對照資料表[十五音], MATCH(TRUE, EXACT($E34, 韻母對照資料表[台語音標]),0)), "")</f>
        <v>伽</v>
      </c>
      <c r="I34" s="137" t="str" cm="1">
        <f t="array" ref="I34" xml:space="preserve"> IFERROR( INDEX(韻母對照資料表[漢字例], MATCH(TRUE, EXACT($E34, 韻母對照資料表[台語音標]),0)), "")</f>
        <v>會</v>
      </c>
      <c r="J34" s="137"/>
      <c r="K34" s="74" t="str" cm="1">
        <f t="array" ref="K34" xml:space="preserve"> IFERROR( INDEX(韻母對照資料表[白話字], MATCH(TRUE, EXACT($E34, 韻母對照資料表[台語音標]),0)), "")</f>
        <v>e</v>
      </c>
      <c r="L34" s="74" t="str" cm="1">
        <f t="array" ref="L34">IFERROR( INDEX(韻母對照資料表[閩拼方案], MATCH(TRUE, EXACT($E34, 韻母對照資料表[台語音標]),0)), "")</f>
        <v>e</v>
      </c>
      <c r="M34" s="94" t="s">
        <v>208</v>
      </c>
      <c r="N34" s="75" t="s">
        <v>1531</v>
      </c>
      <c r="P34" s="234">
        <v>12</v>
      </c>
      <c r="Q34" s="99" t="s">
        <v>1211</v>
      </c>
      <c r="R34" s="98" t="s">
        <v>1632</v>
      </c>
      <c r="S34" s="96" t="s">
        <v>1631</v>
      </c>
      <c r="T34" s="96" t="str">
        <f xml:space="preserve"> LEFT(S34, IF(LEN(S34)=1, 1, LEN(S34)-1)) &amp; "ㆴ"</f>
        <v>ㄧㆴ</v>
      </c>
      <c r="W34" s="70"/>
      <c r="X34" s="70"/>
      <c r="Y34" s="70"/>
      <c r="Z34" s="70"/>
    </row>
    <row r="35" spans="2:26" ht="57.75">
      <c r="B35" s="284" cm="1">
        <f t="array" ref="B35" xml:space="preserve"> ROW() - ROW($2:$2)</f>
        <v>33</v>
      </c>
      <c r="C35" s="214" t="s">
        <v>1694</v>
      </c>
      <c r="D35" s="76" t="str" cm="1">
        <f t="array" ref="D35" xml:space="preserve"> IFERROR( INDEX(韻母對照資料表[台羅拼音], MATCH(TRUE, EXACT($E35, 韻母對照資料表[台語音標]),0)), "")</f>
        <v>enn</v>
      </c>
      <c r="E35" s="214" t="s">
        <v>1538</v>
      </c>
      <c r="F35" s="117" t="str" cm="1">
        <f t="array" ref="F35" xml:space="preserve"> IFERROR( INDEX(韻母對照資料表[注音二式], MATCH(TRUE, EXACT($E35, 韻母對照資料表[台語音標]),0)), "")</f>
        <v>enn</v>
      </c>
      <c r="G35" s="218" t="s">
        <v>2273</v>
      </c>
      <c r="H35" s="211" t="str" cm="1">
        <f t="array" ref="H35">IFERROR( INDEX(韻母對照資料表[十五音], MATCH(TRUE, EXACT($E35, 韻母對照資料表[台語音標]),0)), "")</f>
        <v>更</v>
      </c>
      <c r="I35" s="136" t="str" cm="1">
        <f t="array" ref="I35" xml:space="preserve"> IFERROR( INDEX(韻母對照資料表[漢字例], MATCH(TRUE, EXACT($E35, 韻母對照資料表[台語音標]),0)), "")</f>
        <v>爭</v>
      </c>
      <c r="J35" s="136"/>
      <c r="K35" s="76" t="str" cm="1">
        <f t="array" ref="K35" xml:space="preserve"> IFERROR( INDEX(韻母對照資料表[白話字], MATCH(TRUE, EXACT($E35, 韻母對照資料表[台語音標]),0)), "")</f>
        <v>eⁿ</v>
      </c>
      <c r="L35" s="76" t="str" cm="1">
        <f t="array" ref="L35">IFERROR( INDEX(韻母對照資料表[閩拼方案], MATCH(TRUE, EXACT($E35, 韻母對照資料表[台語音標]),0)), "")</f>
        <v>ne</v>
      </c>
      <c r="M35" s="116" t="s">
        <v>1492</v>
      </c>
      <c r="N35" s="77" t="s">
        <v>1525</v>
      </c>
      <c r="Q35" s="70"/>
      <c r="R35" s="70"/>
      <c r="S35" s="70"/>
      <c r="T35" s="70"/>
      <c r="W35" s="70"/>
      <c r="X35" s="70"/>
      <c r="Y35" s="70"/>
      <c r="Z35" s="70"/>
    </row>
    <row r="36" spans="2:26" ht="58.5" thickBot="1">
      <c r="B36" s="282" cm="1">
        <f t="array" ref="B36" xml:space="preserve"> ROW() - ROW($2:$2)</f>
        <v>34</v>
      </c>
      <c r="C36" s="212" t="s">
        <v>1519</v>
      </c>
      <c r="D36" s="74" t="str" cm="1">
        <f t="array" ref="D36" xml:space="preserve"> IFERROR( INDEX(韻母對照資料表[台羅拼音], MATCH(TRUE, EXACT($E36, 韻母對照資料表[台語音標]),0)), "")</f>
        <v>i</v>
      </c>
      <c r="E36" s="212" t="s">
        <v>1519</v>
      </c>
      <c r="F36" s="95" t="str" cm="1">
        <f t="array" ref="F36" xml:space="preserve"> IFERROR( INDEX(韻母對照資料表[注音二式], MATCH(TRUE, EXACT($E36, 韻母對照資料表[台語音標]),0)), "")</f>
        <v>i</v>
      </c>
      <c r="G36" s="216" t="s">
        <v>1707</v>
      </c>
      <c r="H36" s="209" t="str" cm="1">
        <f t="array" ref="H36">IFERROR( INDEX(韻母對照資料表[十五音], MATCH(TRUE, EXACT($E36, 韻母對照資料表[台語音標]),0)), "")</f>
        <v>居</v>
      </c>
      <c r="I36" s="132" t="str" cm="1">
        <f t="array" ref="I36" xml:space="preserve"> IFERROR( INDEX(韻母對照資料表[漢字例], MATCH(TRUE, EXACT($E36, 韻母對照資料表[台語音標]),0)), "")</f>
        <v>爾</v>
      </c>
      <c r="J36" s="132"/>
      <c r="K36" s="74" t="str" cm="1">
        <f t="array" ref="K36" xml:space="preserve"> IFERROR( INDEX(韻母對照資料表[白話字], MATCH(TRUE, EXACT($E36, 韻母對照資料表[台語音標]),0)), "")</f>
        <v>i</v>
      </c>
      <c r="L36" s="74" t="str" cm="1">
        <f t="array" ref="L36">IFERROR( INDEX(韻母對照資料表[閩拼方案], MATCH(TRUE, EXACT($E36, 韻母對照資料表[台語音標]),0)), "")</f>
        <v>i</v>
      </c>
      <c r="M36" s="94" t="s">
        <v>260</v>
      </c>
      <c r="N36" s="75" t="s">
        <v>1523</v>
      </c>
      <c r="P36" s="87" t="s">
        <v>1019</v>
      </c>
      <c r="Q36" s="90" t="s">
        <v>1553</v>
      </c>
      <c r="R36" s="89" t="s">
        <v>1552</v>
      </c>
      <c r="S36" s="88" t="s">
        <v>1554</v>
      </c>
      <c r="T36" s="88" t="s">
        <v>1555</v>
      </c>
      <c r="W36" s="70"/>
      <c r="X36" s="70"/>
      <c r="Y36" s="70"/>
      <c r="Z36" s="70"/>
    </row>
    <row r="37" spans="2:26" ht="58.5" thickTop="1">
      <c r="B37" s="282" cm="1">
        <f t="array" ref="B37" xml:space="preserve"> ROW() - ROW($2:$2)</f>
        <v>35</v>
      </c>
      <c r="C37" s="212" t="s">
        <v>1521</v>
      </c>
      <c r="D37" s="74" t="str" cm="1">
        <f t="array" ref="D37" xml:space="preserve"> IFERROR( INDEX(韻母對照資料表[台羅拼音], MATCH(TRUE, EXACT($E37, 韻母對照資料表[台語音標]),0)), "")</f>
        <v>inn</v>
      </c>
      <c r="E37" s="212" t="s">
        <v>1594</v>
      </c>
      <c r="F37" s="95" t="str" cm="1">
        <f t="array" ref="F37" xml:space="preserve"> IFERROR( INDEX(韻母對照資料表[注音二式], MATCH(TRUE, EXACT($E37, 韻母對照資料表[台語音標]),0)), "")</f>
        <v>inn</v>
      </c>
      <c r="G37" s="216" t="s">
        <v>2274</v>
      </c>
      <c r="H37" s="209" t="str" cm="1">
        <f t="array" ref="H37">IFERROR( INDEX(韻母對照資料表[十五音], MATCH(TRUE, EXACT($E37, 韻母對照資料表[台語音標]),0)), "")</f>
        <v>梔</v>
      </c>
      <c r="I37" s="132" t="str" cm="1">
        <f t="array" ref="I37" xml:space="preserve"> IFERROR( INDEX(韻母對照資料表[漢字例], MATCH(TRUE, EXACT($E37, 韻母對照資料表[台語音標]),0)), "")</f>
        <v>庚</v>
      </c>
      <c r="J37" s="132"/>
      <c r="K37" s="74" t="str" cm="1">
        <f t="array" ref="K37" xml:space="preserve"> IFERROR( INDEX(韻母對照資料表[白話字], MATCH(TRUE, EXACT($E37, 韻母對照資料表[台語音標]),0)), "")</f>
        <v>iⁿ</v>
      </c>
      <c r="L37" s="74" t="str" cm="1">
        <f t="array" ref="L37">IFERROR( INDEX(韻母對照資料表[閩拼方案], MATCH(TRUE, EXACT($E37, 韻母對照資料表[台語音標]),0)), "")</f>
        <v>ni</v>
      </c>
      <c r="M37" s="94" t="s">
        <v>1522</v>
      </c>
      <c r="N37" s="75" t="s">
        <v>1038</v>
      </c>
      <c r="P37" s="234">
        <v>1</v>
      </c>
      <c r="Q37" s="99" t="s">
        <v>1298</v>
      </c>
      <c r="R37" s="98" t="s">
        <v>1604</v>
      </c>
      <c r="S37" s="96" t="s">
        <v>407</v>
      </c>
      <c r="T37" s="96" t="s">
        <v>434</v>
      </c>
      <c r="W37" s="70"/>
      <c r="X37" s="70"/>
      <c r="Y37" s="70"/>
      <c r="Z37" s="70"/>
    </row>
    <row r="38" spans="2:26" ht="57.75">
      <c r="B38" s="282" cm="1">
        <f t="array" ref="B38" xml:space="preserve"> ROW() - ROW($2:$2)</f>
        <v>36</v>
      </c>
      <c r="C38" s="212" t="s">
        <v>1780</v>
      </c>
      <c r="D38" s="74" t="str" cm="1">
        <f t="array" ref="D38" xml:space="preserve"> IFERROR( INDEX(韻母對照資料表[台羅拼音], MATCH(TRUE, EXACT($E38, 韻母對照資料表[台語音標]),0)), "")</f>
        <v>im</v>
      </c>
      <c r="E38" s="212" t="s">
        <v>1780</v>
      </c>
      <c r="F38" s="95" t="str" cm="1">
        <f t="array" ref="F38" xml:space="preserve"> IFERROR( INDEX(韻母對照資料表[注音二式], MATCH(TRUE, EXACT($E38, 韻母對照資料表[台語音標]),0)), "")</f>
        <v>im</v>
      </c>
      <c r="G38" s="216" t="s">
        <v>2419</v>
      </c>
      <c r="H38" s="209" t="str" cm="1">
        <f t="array" ref="H38">IFERROR( INDEX(韻母對照資料表[十五音], MATCH(TRUE, EXACT($E38, 韻母對照資料表[台語音標]),0)), "")</f>
        <v>金</v>
      </c>
      <c r="I38" s="132" t="str" cm="1">
        <f t="array" ref="I38" xml:space="preserve"> IFERROR( INDEX(韻母對照資料表[漢字例], MATCH(TRUE, EXACT($E38, 韻母對照資料表[台語音標]),0)), "")</f>
        <v>深</v>
      </c>
      <c r="J38" s="132"/>
      <c r="K38" s="74" t="str" cm="1">
        <f t="array" ref="K38" xml:space="preserve"> IFERROR( INDEX(韻母對照資料表[白話字], MATCH(TRUE, EXACT($E38, 韻母對照資料表[台語音標]),0)), "")</f>
        <v>im</v>
      </c>
      <c r="L38" s="74" t="str" cm="1">
        <f t="array" ref="L38">IFERROR( INDEX(韻母對照資料表[閩拼方案], MATCH(TRUE, EXACT($E38, 韻母對照資料表[台語音標]),0)), "")</f>
        <v>im</v>
      </c>
      <c r="M38" s="94"/>
      <c r="N38" s="75"/>
      <c r="P38" s="234">
        <v>2</v>
      </c>
      <c r="Q38" s="99" t="s">
        <v>1607</v>
      </c>
      <c r="R38" s="98" t="s">
        <v>1606</v>
      </c>
      <c r="S38" s="96" t="s">
        <v>536</v>
      </c>
      <c r="T38" s="96"/>
      <c r="W38" s="70"/>
      <c r="X38" s="70"/>
      <c r="Y38" s="70"/>
      <c r="Z38" s="70"/>
    </row>
    <row r="39" spans="2:26" ht="57.75">
      <c r="B39" s="282" cm="1">
        <f t="array" ref="B39" xml:space="preserve"> ROW() - ROW($2:$2)</f>
        <v>37</v>
      </c>
      <c r="C39" s="212" t="s">
        <v>1781</v>
      </c>
      <c r="D39" s="74" t="str" cm="1">
        <f t="array" ref="D39" xml:space="preserve"> IFERROR( INDEX(韻母對照資料表[台羅拼音], MATCH(TRUE, EXACT($E39, 韻母對照資料表[台語音標]),0)), "")</f>
        <v>in</v>
      </c>
      <c r="E39" s="212" t="s">
        <v>1781</v>
      </c>
      <c r="F39" s="95" t="str" cm="1">
        <f t="array" ref="F39" xml:space="preserve"> IFERROR( INDEX(韻母對照資料表[注音二式], MATCH(TRUE, EXACT($E39, 韻母對照資料表[台語音標]),0)), "")</f>
        <v>in</v>
      </c>
      <c r="G39" s="216" t="s">
        <v>2420</v>
      </c>
      <c r="H39" s="209" t="str" cm="1">
        <f t="array" ref="H39">IFERROR( INDEX(韻母對照資料表[十五音], MATCH(TRUE, EXACT($E39, 韻母對照資料表[台語音標]),0)), "")</f>
        <v>巾</v>
      </c>
      <c r="I39" s="132" t="str" cm="1">
        <f t="array" ref="I39" xml:space="preserve"> IFERROR( INDEX(韻母對照資料表[漢字例], MATCH(TRUE, EXACT($E39, 韻母對照資料表[台語音標]),0)), "")</f>
        <v>恩</v>
      </c>
      <c r="J39" s="132"/>
      <c r="K39" s="74" t="str" cm="1">
        <f t="array" ref="K39" xml:space="preserve"> IFERROR( INDEX(韻母對照資料表[白話字], MATCH(TRUE, EXACT($E39, 韻母對照資料表[台語音標]),0)), "")</f>
        <v>in</v>
      </c>
      <c r="L39" s="74" t="str" cm="1">
        <f t="array" ref="L39">IFERROR( INDEX(韻母對照資料表[閩拼方案], MATCH(TRUE, EXACT($E39, 韻母對照資料表[台語音標]),0)), "")</f>
        <v>in</v>
      </c>
      <c r="M39" s="94"/>
      <c r="N39" s="75"/>
      <c r="P39" s="234">
        <v>3</v>
      </c>
      <c r="Q39" s="99" t="s">
        <v>1304</v>
      </c>
      <c r="R39" s="98" t="s">
        <v>1611</v>
      </c>
      <c r="S39" s="123" t="s">
        <v>809</v>
      </c>
      <c r="T39" s="123"/>
      <c r="W39" s="70"/>
      <c r="X39" s="70"/>
      <c r="Y39" s="70"/>
      <c r="Z39" s="70"/>
    </row>
    <row r="40" spans="2:26" ht="57.75">
      <c r="B40" s="282" cm="1">
        <f t="array" ref="B40" xml:space="preserve"> ROW() - ROW($2:$2)</f>
        <v>38</v>
      </c>
      <c r="C40" s="212" t="s">
        <v>2297</v>
      </c>
      <c r="D40" s="74" t="str" cm="1">
        <f t="array" ref="D40" xml:space="preserve"> IFERROR( INDEX(韻母對照資料表[台羅拼音], MATCH(TRUE, EXACT($E40, 韻母對照資料表[台語音標]),0)), "")</f>
        <v>ing</v>
      </c>
      <c r="E40" s="212" t="s">
        <v>1544</v>
      </c>
      <c r="F40" s="277" t="str" cm="1">
        <f t="array" ref="F40" xml:space="preserve"> IFERROR( INDEX(韻母對照資料表[注音二式], MATCH(TRUE, EXACT($E40, 韻母對照資料表[台語音標]),0)), "")</f>
        <v>ing</v>
      </c>
      <c r="G40" s="216" t="s">
        <v>1712</v>
      </c>
      <c r="H40" s="209" t="str" cm="1">
        <f t="array" ref="H40">IFERROR( INDEX(韻母對照資料表[十五音], MATCH(TRUE, EXACT($E40, 韻母對照資料表[台語音標]),0)), "")</f>
        <v>經</v>
      </c>
      <c r="I40" s="132" t="str" cm="1">
        <f t="array" ref="I40" xml:space="preserve"> IFERROR( INDEX(韻母對照資料表[漢字例], MATCH(TRUE, EXACT($E40, 韻母對照資料表[台語音標]),0)), "")</f>
        <v>情</v>
      </c>
      <c r="J40" s="132"/>
      <c r="K40" s="74" t="str" cm="1">
        <f t="array" ref="K40" xml:space="preserve"> IFERROR( INDEX(韻母對照資料表[白話字], MATCH(TRUE, EXACT($E40, 韻母對照資料表[台語音標]),0)), "")</f>
        <v>eng</v>
      </c>
      <c r="L40" s="74" t="str" cm="1">
        <f t="array" ref="L40">IFERROR( INDEX(韻母對照資料表[閩拼方案], MATCH(TRUE, EXACT($E40, 韻母對照資料表[台語音標]),0)), "")</f>
        <v>ing</v>
      </c>
      <c r="M40" s="94" t="s">
        <v>1396</v>
      </c>
      <c r="N40" s="75"/>
      <c r="P40" s="234">
        <v>4</v>
      </c>
      <c r="Q40" s="99" t="s">
        <v>1293</v>
      </c>
      <c r="R40" s="98" t="s">
        <v>1605</v>
      </c>
      <c r="S40" s="96" t="s">
        <v>559</v>
      </c>
      <c r="T40" s="96"/>
      <c r="W40" s="70"/>
      <c r="X40" s="70"/>
      <c r="Y40" s="70"/>
      <c r="Z40" s="70"/>
    </row>
    <row r="41" spans="2:26" ht="57.75">
      <c r="B41" s="282" cm="1">
        <f t="array" ref="B41" xml:space="preserve"> ROW() - ROW($2:$2)</f>
        <v>39</v>
      </c>
      <c r="C41" s="226" t="s">
        <v>1785</v>
      </c>
      <c r="D41" s="74" t="str" cm="1">
        <f t="array" ref="D41" xml:space="preserve"> IFERROR( INDEX(韻母對照資料表[台羅拼音], MATCH(TRUE, EXACT($E41, 韻母對照資料表[台語音標]),0)), "")</f>
        <v>ik</v>
      </c>
      <c r="E41" s="226" t="s">
        <v>1713</v>
      </c>
      <c r="F41" s="278" t="str" cm="1">
        <f t="array" ref="F41" xml:space="preserve"> IFERROR( INDEX(韻母對照資料表[注音二式], MATCH(TRUE, EXACT($E41, 韻母對照資料表[台語音標]),0)), "")</f>
        <v>ik</v>
      </c>
      <c r="G41" s="227" t="s">
        <v>2299</v>
      </c>
      <c r="H41" s="209" t="str" cm="1">
        <f t="array" ref="H41">IFERROR( INDEX(韻母對照資料表[十五音], MATCH(TRUE, EXACT($E41, 韻母對照資料表[台語音標]),0)), "")</f>
        <v>經</v>
      </c>
      <c r="I41" s="220" t="str" cm="1">
        <f t="array" ref="I41" xml:space="preserve"> IFERROR( INDEX(韻母對照資料表[漢字例], MATCH(TRUE, EXACT($E41, 韻母對照資料表[台語音標]),0)), "")</f>
        <v>益</v>
      </c>
      <c r="J41" s="220"/>
      <c r="K41" s="74" t="str" cm="1">
        <f t="array" ref="K41" xml:space="preserve"> IFERROR( INDEX(韻母對照資料表[白話字], MATCH(TRUE, EXACT($E41, 韻母對照資料表[台語音標]),0)), "")</f>
        <v>ek</v>
      </c>
      <c r="L41" s="74" t="str" cm="1">
        <f t="array" ref="L41">IFERROR( INDEX(韻母對照資料表[閩拼方案], MATCH(TRUE, EXACT($E41, 韻母對照資料表[台語音標]),0)), "")</f>
        <v>ik</v>
      </c>
      <c r="M41" s="94" t="s">
        <v>1396</v>
      </c>
      <c r="N41" s="75" t="s">
        <v>1447</v>
      </c>
      <c r="P41" s="234">
        <v>5</v>
      </c>
      <c r="Q41" s="99" t="s">
        <v>1617</v>
      </c>
      <c r="R41" s="98" t="s">
        <v>1616</v>
      </c>
      <c r="S41" s="123" t="s">
        <v>875</v>
      </c>
      <c r="T41" s="123" t="s">
        <v>887</v>
      </c>
      <c r="W41" s="70"/>
      <c r="X41" s="70"/>
      <c r="Y41" s="70"/>
      <c r="Z41" s="70"/>
    </row>
    <row r="42" spans="2:26" ht="57.75">
      <c r="B42" s="282" cm="1">
        <f t="array" ref="B42" xml:space="preserve"> ROW() - ROW($2:$2)</f>
        <v>40</v>
      </c>
      <c r="C42" s="231" t="s">
        <v>1714</v>
      </c>
      <c r="D42" s="276" t="str" cm="1">
        <f t="array" ref="D42" xml:space="preserve"> IFERROR( INDEX(韻母對照資料表[台羅拼音], MATCH(TRUE, EXACT($E42, 韻母對照資料表[台語音標]),0)), "")</f>
        <v>ing</v>
      </c>
      <c r="E42" s="231" t="s">
        <v>1145</v>
      </c>
      <c r="F42" s="228" t="str" cm="1">
        <f t="array" ref="F42" xml:space="preserve"> IFERROR( INDEX(韻母對照資料表[注音二式], MATCH(TRUE, EXACT($E42, 韻母對照資料表[台語音標]),0)), "")</f>
        <v>ing</v>
      </c>
      <c r="G42" s="227" t="s">
        <v>336</v>
      </c>
      <c r="H42" s="209" t="str" cm="1">
        <f t="array" ref="H42">IFERROR( INDEX(韻母對照資料表[十五音], MATCH(TRUE, EXACT($E42, 韻母對照資料表[台語音標]),0)), "")</f>
        <v>經</v>
      </c>
      <c r="I42" s="132" t="str" cm="1">
        <f t="array" ref="I42" xml:space="preserve"> IFERROR( INDEX(韻母對照資料表[漢字例], MATCH(TRUE, EXACT($E42, 韻母對照資料表[台語音標]),0)), "")</f>
        <v>情</v>
      </c>
      <c r="J42" s="132"/>
      <c r="K42" s="276" t="str" cm="1">
        <f t="array" ref="K42" xml:space="preserve"> IFERROR( INDEX(韻母對照資料表[白話字], MATCH(TRUE, EXACT($E42, 韻母對照資料表[台語音標]),0)), "")</f>
        <v>eng</v>
      </c>
      <c r="L42" s="276" t="str" cm="1">
        <f t="array" ref="L42">IFERROR( INDEX(韻母對照資料表[閩拼方案], MATCH(TRUE, EXACT($E42, 韻母對照資料表[台語音標]),0)), "")</f>
        <v>ing</v>
      </c>
      <c r="M42" s="94" t="s">
        <v>1396</v>
      </c>
      <c r="N42" s="75"/>
      <c r="Q42" s="70"/>
      <c r="R42" s="70"/>
      <c r="S42" s="70"/>
      <c r="T42" s="70"/>
      <c r="W42" s="70"/>
      <c r="X42" s="70"/>
      <c r="Y42" s="70"/>
      <c r="Z42" s="70"/>
    </row>
    <row r="43" spans="2:26" ht="58.5" thickBot="1">
      <c r="B43" s="284" cm="1">
        <f t="array" ref="B43" xml:space="preserve"> ROW() - ROW($2:$2)</f>
        <v>41</v>
      </c>
      <c r="C43" s="232" t="s">
        <v>1715</v>
      </c>
      <c r="D43" s="275" t="str" cm="1">
        <f t="array" ref="D43" xml:space="preserve"> IFERROR( INDEX(韻母對照資料表[台羅拼音], MATCH(TRUE, EXACT($E43, 韻母對照資料表[台語音標]),0)), "")</f>
        <v/>
      </c>
      <c r="E43" s="232" t="s">
        <v>2301</v>
      </c>
      <c r="F43" s="208" t="s">
        <v>1845</v>
      </c>
      <c r="G43" s="218" t="s">
        <v>2300</v>
      </c>
      <c r="H43" s="211" t="s">
        <v>1143</v>
      </c>
      <c r="I43" s="136" t="s">
        <v>2302</v>
      </c>
      <c r="J43" s="136"/>
      <c r="K43" s="275" t="str" cm="1">
        <f t="array" ref="K43" xml:space="preserve"> IFERROR( INDEX(韻母對照資料表[白話字], MATCH(TRUE, EXACT($E43, 韻母對照資料表[台語音標]),0)), "")</f>
        <v/>
      </c>
      <c r="L43" s="275" t="str" cm="1">
        <f t="array" ref="L43">IFERROR( INDEX(韻母對照資料表[閩拼方案], MATCH(TRUE, EXACT($E43, 韻母對照資料表[台語音標]),0)), "")</f>
        <v/>
      </c>
      <c r="M43" s="116" t="s">
        <v>1396</v>
      </c>
      <c r="N43" s="77"/>
      <c r="P43" s="87" t="s">
        <v>1019</v>
      </c>
      <c r="Q43" s="90" t="s">
        <v>1553</v>
      </c>
      <c r="R43" s="89" t="s">
        <v>1552</v>
      </c>
      <c r="S43" s="88" t="s">
        <v>1554</v>
      </c>
      <c r="T43" s="88" t="s">
        <v>1555</v>
      </c>
      <c r="W43" s="70"/>
      <c r="X43" s="70"/>
      <c r="Y43" s="70"/>
      <c r="Z43" s="70"/>
    </row>
    <row r="44" spans="2:26" ht="58.5" thickTop="1">
      <c r="B44" s="282" cm="1">
        <f t="array" ref="B44" xml:space="preserve"> ROW() - ROW($2:$2)</f>
        <v>42</v>
      </c>
      <c r="C44" s="212" t="s">
        <v>1710</v>
      </c>
      <c r="D44" s="74" t="str" cm="1">
        <f t="array" ref="D44" xml:space="preserve"> IFERROR( INDEX(韻母對照資料表[台羅拼音], MATCH(TRUE, EXACT($E44, 韻母對照資料表[台語音標]),0)), "")</f>
        <v>ia</v>
      </c>
      <c r="E44" s="212" t="s">
        <v>1710</v>
      </c>
      <c r="F44" s="95" t="str" cm="1">
        <f t="array" ref="F44" xml:space="preserve"> IFERROR( INDEX(韻母對照資料表[注音二式], MATCH(TRUE, EXACT($E44, 韻母對照資料表[台語音標]),0)), "")</f>
        <v>ia</v>
      </c>
      <c r="G44" s="216" t="s">
        <v>1708</v>
      </c>
      <c r="H44" s="209" t="str" cm="1">
        <f t="array" ref="H44">IFERROR( INDEX(韻母對照資料表[十五音], MATCH(TRUE, EXACT($E44, 韻母對照資料表[台語音標]),0)), "")</f>
        <v>迦</v>
      </c>
      <c r="I44" s="132" t="str" cm="1">
        <f t="array" ref="I44" xml:space="preserve"> IFERROR( INDEX(韻母對照資料表[漢字例], MATCH(TRUE, EXACT($E44, 韻母對照資料表[台語音標]),0)), "")</f>
        <v>名</v>
      </c>
      <c r="J44" s="132"/>
      <c r="K44" s="74" t="str" cm="1">
        <f t="array" ref="K44" xml:space="preserve"> IFERROR( INDEX(韻母對照資料表[白話字], MATCH(TRUE, EXACT($E44, 韻母對照資料表[台語音標]),0)), "")</f>
        <v>ia</v>
      </c>
      <c r="L44" s="74" t="str" cm="1">
        <f t="array" ref="L44">IFERROR( INDEX(韻母對照資料表[閩拼方案], MATCH(TRUE, EXACT($E44, 韻母對照資料表[台語音標]),0)), "")</f>
        <v>ia</v>
      </c>
      <c r="M44" s="94" t="s">
        <v>1396</v>
      </c>
      <c r="N44" s="75"/>
      <c r="P44" s="234">
        <v>1</v>
      </c>
      <c r="Q44" s="99" t="s">
        <v>306</v>
      </c>
      <c r="R44" s="98" t="s">
        <v>1621</v>
      </c>
      <c r="S44" s="96" t="s">
        <v>1620</v>
      </c>
      <c r="T44" s="96" t="str">
        <f xml:space="preserve"> LEFT(S44, IF(LEN(S44)=1, 1, LEN(S44)-1)) &amp; "ㆴ"</f>
        <v>ㄧㆴ</v>
      </c>
      <c r="W44" s="70"/>
      <c r="X44" s="70"/>
      <c r="Y44" s="70"/>
      <c r="Z44" s="70"/>
    </row>
    <row r="45" spans="2:26" ht="57.75">
      <c r="B45" s="282" cm="1">
        <f t="array" ref="B45" xml:space="preserve"> ROW() - ROW($2:$2)</f>
        <v>43</v>
      </c>
      <c r="C45" s="212" t="s">
        <v>2247</v>
      </c>
      <c r="D45" s="74" t="str" cm="1">
        <f t="array" ref="D45" xml:space="preserve"> IFERROR( INDEX(韻母對照資料表[台羅拼音], MATCH(TRUE, EXACT($E45, 韻母對照資料表[台語音標]),0)), "")</f>
        <v>iannh</v>
      </c>
      <c r="E45" s="212" t="s">
        <v>1733</v>
      </c>
      <c r="F45" s="95" t="str" cm="1">
        <f t="array" ref="F45" xml:space="preserve"> IFERROR( INDEX(韻母對照資料表[注音二式], MATCH(TRUE, EXACT($E45, 韻母對照資料表[台語音標]),0)), "")</f>
        <v>iann</v>
      </c>
      <c r="G45" s="216" t="s">
        <v>1730</v>
      </c>
      <c r="H45" s="209" t="str" cm="1">
        <f t="array" ref="H45">IFERROR( INDEX(韻母對照資料表[十五音], MATCH(TRUE, EXACT($E45, 韻母對照資料表[台語音標]),0)), "")</f>
        <v>驚</v>
      </c>
      <c r="I45" s="132" t="str" cm="1">
        <f t="array" ref="I45" xml:space="preserve"> IFERROR( INDEX(韻母對照資料表[漢字例], MATCH(TRUE, EXACT($E45, 韻母對照資料表[台語音標]),0)), "")</f>
        <v>且</v>
      </c>
      <c r="J45" s="132"/>
      <c r="K45" s="74" t="str" cm="1">
        <f t="array" ref="K45" xml:space="preserve"> IFERROR( INDEX(韻母對照資料表[白話字], MATCH(TRUE, EXACT($E45, 韻母對照資料表[台語音標]),0)), "")</f>
        <v>iaⁿ</v>
      </c>
      <c r="L45" s="74" t="str" cm="1">
        <f t="array" ref="L45">IFERROR( INDEX(韻母對照資料表[閩拼方案], MATCH(TRUE, EXACT($E45, 韻母對照資料表[台語音標]),0)), "")</f>
        <v>nia</v>
      </c>
      <c r="M45" s="94" t="s">
        <v>1396</v>
      </c>
      <c r="N45" s="75"/>
      <c r="P45" s="234">
        <f>P44+1</f>
        <v>2</v>
      </c>
      <c r="Q45" s="99" t="s">
        <v>67</v>
      </c>
      <c r="R45" s="98" t="s">
        <v>1573</v>
      </c>
      <c r="S45" s="96" t="s">
        <v>1624</v>
      </c>
      <c r="T45" s="96" t="str">
        <f xml:space="preserve"> LEFT(S45, IF(LEN(S45)=1, 1, LEN(S45)-1)) &amp; "ㆴ"</f>
        <v>ㆰㆴ</v>
      </c>
      <c r="W45" s="70"/>
      <c r="X45" s="70"/>
      <c r="Y45" s="70"/>
      <c r="Z45" s="70"/>
    </row>
    <row r="46" spans="2:26" ht="57.75">
      <c r="B46" s="282" cm="1">
        <f t="array" ref="B46" xml:space="preserve"> ROW() - ROW($2:$2)</f>
        <v>44</v>
      </c>
      <c r="C46" s="212" t="s">
        <v>1790</v>
      </c>
      <c r="D46" s="74" t="str" cm="1">
        <f t="array" ref="D46" xml:space="preserve"> IFERROR( INDEX(韻母對照資料表[台羅拼音], MATCH(TRUE, EXACT($E46, 韻母對照資料表[台語音標]),0)), "")</f>
        <v>iam</v>
      </c>
      <c r="E46" s="212" t="s">
        <v>1790</v>
      </c>
      <c r="F46" s="95" t="str" cm="1">
        <f t="array" ref="F46" xml:space="preserve"> IFERROR( INDEX(韻母對照資料表[注音二式], MATCH(TRUE, EXACT($E46, 韻母對照資料表[台語音標]),0)), "")</f>
        <v>iam</v>
      </c>
      <c r="G46" s="216" t="s">
        <v>2421</v>
      </c>
      <c r="H46" s="209" t="str" cm="1">
        <f t="array" ref="H46">IFERROR( INDEX(韻母對照資料表[十五音], MATCH(TRUE, EXACT($E46, 韻母對照資料表[台語音標]),0)), "")</f>
        <v>兼</v>
      </c>
      <c r="I46" s="132" t="str" cm="1">
        <f t="array" ref="I46" xml:space="preserve"> IFERROR( INDEX(韻母對照資料表[漢字例], MATCH(TRUE, EXACT($E46, 韻母對照資料表[台語音標]),0)), "")</f>
        <v>尖</v>
      </c>
      <c r="J46" s="132"/>
      <c r="K46" s="74" t="str" cm="1">
        <f t="array" ref="K46" xml:space="preserve"> IFERROR( INDEX(韻母對照資料表[白話字], MATCH(TRUE, EXACT($E46, 韻母對照資料表[台語音標]),0)), "")</f>
        <v>iam</v>
      </c>
      <c r="L46" s="74" t="str" cm="1">
        <f t="array" ref="L46">IFERROR( INDEX(韻母對照資料表[閩拼方案], MATCH(TRUE, EXACT($E46, 韻母對照資料表[台語音標]),0)), "")</f>
        <v>iam</v>
      </c>
      <c r="M46" s="94"/>
      <c r="N46" s="75"/>
      <c r="Q46" s="70"/>
      <c r="R46" s="70"/>
      <c r="S46" s="70"/>
      <c r="T46" s="70"/>
      <c r="W46" s="70"/>
      <c r="X46" s="70"/>
      <c r="Y46" s="70"/>
      <c r="Z46" s="70"/>
    </row>
    <row r="47" spans="2:26" ht="57.75">
      <c r="B47" s="282" cm="1">
        <f t="array" ref="B47" xml:space="preserve"> ROW() - ROW($2:$2)</f>
        <v>45</v>
      </c>
      <c r="C47" s="212" t="s">
        <v>1700</v>
      </c>
      <c r="D47" s="74" t="str" cm="1">
        <f t="array" ref="D47" xml:space="preserve"> IFERROR( INDEX(韻母對照資料表[台羅拼音], MATCH(TRUE, EXACT($E47, 韻母對照資料表[台語音標]),0)), "")</f>
        <v>ian</v>
      </c>
      <c r="E47" s="212" t="s">
        <v>2293</v>
      </c>
      <c r="F47" s="95" t="str" cm="1">
        <f t="array" ref="F47" xml:space="preserve"> IFERROR( INDEX(韻母對照資料表[注音二式], MATCH(TRUE, EXACT($E47, 韻母對照資料表[台語音標]),0)), "")</f>
        <v>ian</v>
      </c>
      <c r="G47" s="216" t="s">
        <v>1702</v>
      </c>
      <c r="H47" s="209" t="str" cm="1">
        <f t="array" ref="H47">IFERROR( INDEX(韻母對照資料表[十五音], MATCH(TRUE, EXACT($E47, 韻母對照資料表[台語音標]),0)), "")</f>
        <v>堅</v>
      </c>
      <c r="I47" s="139" t="str" cm="1">
        <f t="array" ref="I47" xml:space="preserve"> IFERROR( INDEX(韻母對照資料表[漢字例], MATCH(TRUE, EXACT($E47, 韻母對照資料表[台語音標]),0)), "")</f>
        <v>掀</v>
      </c>
      <c r="J47" s="139"/>
      <c r="K47" s="74" t="str" cm="1">
        <f t="array" ref="K47" xml:space="preserve"> IFERROR( INDEX(韻母對照資料表[白話字], MATCH(TRUE, EXACT($E47, 韻母對照資料表[台語音標]),0)), "")</f>
        <v>ian</v>
      </c>
      <c r="L47" s="74" t="str" cm="1">
        <f t="array" ref="L47">IFERROR( INDEX(韻母對照資料表[閩拼方案], MATCH(TRUE, EXACT($E47, 韻母對照資料表[台語音標]),0)), "")</f>
        <v>ian</v>
      </c>
      <c r="M47" s="94" t="s">
        <v>1396</v>
      </c>
      <c r="N47" s="75"/>
      <c r="P47" s="81" t="s">
        <v>1634</v>
      </c>
      <c r="W47" s="70"/>
      <c r="X47" s="70"/>
      <c r="Y47" s="70"/>
      <c r="Z47" s="70"/>
    </row>
    <row r="48" spans="2:26" ht="57.75">
      <c r="B48" s="282" cm="1">
        <f t="array" ref="B48" xml:space="preserve"> ROW() - ROW($2:$2)</f>
        <v>46</v>
      </c>
      <c r="C48" s="212" t="s">
        <v>1701</v>
      </c>
      <c r="D48" s="80" t="str" cm="1">
        <f t="array" ref="D48" xml:space="preserve"> IFERROR( INDEX(韻母對照資料表[台羅拼音], MATCH(TRUE, EXACT($E48, 韻母對照資料表[台語音標]),0)), "")</f>
        <v>iat</v>
      </c>
      <c r="E48" s="212" t="s">
        <v>2288</v>
      </c>
      <c r="F48" s="95" t="str" cm="1">
        <f t="array" ref="F48" xml:space="preserve"> IFERROR( INDEX(韻母對照資料表[注音二式], MATCH(TRUE, EXACT($E48, 韻母對照資料表[台語音標]),0)), "")</f>
        <v>iat</v>
      </c>
      <c r="G48" s="216" t="s">
        <v>1703</v>
      </c>
      <c r="H48" s="209" t="str" cm="1">
        <f t="array" ref="H48">IFERROR( INDEX(韻母對照資料表[十五音], MATCH(TRUE, EXACT($E48, 韻母對照資料表[台語音標]),0)), "")</f>
        <v>堅</v>
      </c>
      <c r="I48" s="139" t="str" cm="1">
        <f t="array" ref="I48" xml:space="preserve"> IFERROR( INDEX(韻母對照資料表[漢字例], MATCH(TRUE, EXACT($E48, 韻母對照資料表[台語音標]),0)), "")</f>
        <v>別</v>
      </c>
      <c r="J48" s="139"/>
      <c r="K48" s="80" t="str" cm="1">
        <f t="array" ref="K48" xml:space="preserve"> IFERROR( INDEX(韻母對照資料表[白話字], MATCH(TRUE, EXACT($E48, 韻母對照資料表[台語音標]),0)), "")</f>
        <v>iat</v>
      </c>
      <c r="L48" s="80" t="str" cm="1">
        <f t="array" ref="L48">IFERROR( INDEX(韻母對照資料表[閩拼方案], MATCH(TRUE, EXACT($E48, 韻母對照資料表[台語音標]),0)), "")</f>
        <v>iat</v>
      </c>
      <c r="M48" s="94" t="s">
        <v>1396</v>
      </c>
      <c r="N48" s="75"/>
      <c r="P48" s="234">
        <v>1</v>
      </c>
      <c r="Q48" s="99" t="s">
        <v>1579</v>
      </c>
      <c r="R48" s="98" t="s">
        <v>8</v>
      </c>
      <c r="S48" s="96" t="s">
        <v>1622</v>
      </c>
      <c r="T48" s="96" t="str">
        <f t="shared" ref="T48:T53" si="2" xml:space="preserve"> LEFT(S48, IF(LEN(S48)=1, 1, LEN(S48)-1)) &amp; "ㆵ"</f>
        <v>ㄣㆵ</v>
      </c>
      <c r="W48" s="70"/>
      <c r="X48" s="70"/>
      <c r="Y48" s="70"/>
      <c r="Z48" s="70"/>
    </row>
    <row r="49" spans="2:26" ht="57.75">
      <c r="B49" s="284" cm="1">
        <f t="array" ref="B49" xml:space="preserve"> ROW() - ROW($2:$2)</f>
        <v>47</v>
      </c>
      <c r="C49" s="214" t="s">
        <v>1791</v>
      </c>
      <c r="D49" s="76" t="str" cm="1">
        <f t="array" ref="D49" xml:space="preserve"> IFERROR( INDEX(韻母對照資料表[台羅拼音], MATCH(TRUE, EXACT($E49, 韻母對照資料表[台語音標]),0)), "")</f>
        <v>iang</v>
      </c>
      <c r="E49" s="214" t="s">
        <v>1791</v>
      </c>
      <c r="F49" s="117" t="str" cm="1">
        <f t="array" ref="F49" xml:space="preserve"> IFERROR( INDEX(韻母對照資料表[注音二式], MATCH(TRUE, EXACT($E49, 韻母對照資料表[台語音標]),0)), "")</f>
        <v>iang</v>
      </c>
      <c r="G49" s="218" t="s">
        <v>2422</v>
      </c>
      <c r="H49" s="211" t="str" cm="1">
        <f t="array" ref="H49">IFERROR( INDEX(韻母對照資料表[十五音], MATCH(TRUE, EXACT($E49, 韻母對照資料表[台語音標]),0)), "")</f>
        <v>姜</v>
      </c>
      <c r="I49" s="260" t="str" cm="1">
        <f t="array" ref="I49" xml:space="preserve"> IFERROR( INDEX(韻母對照資料表[漢字例], MATCH(TRUE, EXACT($E49, 韻母對照資料表[台語音標]),0)), "")</f>
        <v>將</v>
      </c>
      <c r="J49" s="140"/>
      <c r="K49" s="76" t="str" cm="1">
        <f t="array" ref="K49" xml:space="preserve"> IFERROR( INDEX(韻母對照資料表[白話字], MATCH(TRUE, EXACT($E49, 韻母對照資料表[台語音標]),0)), "")</f>
        <v>iang</v>
      </c>
      <c r="L49" s="76" t="str" cm="1">
        <f t="array" ref="L49">IFERROR( INDEX(韻母對照資料表[閩拼方案], MATCH(TRUE, EXACT($E49, 韻母對照資料表[台語音標]),0)), "")</f>
        <v>iang</v>
      </c>
      <c r="M49" s="116"/>
      <c r="N49" s="77"/>
      <c r="P49" s="234">
        <v>2</v>
      </c>
      <c r="Q49" s="99" t="s">
        <v>1635</v>
      </c>
      <c r="R49" s="98" t="s">
        <v>319</v>
      </c>
      <c r="S49" s="96" t="s">
        <v>320</v>
      </c>
      <c r="T49" s="96" t="str">
        <f t="shared" si="2"/>
        <v>ㄧㆵ</v>
      </c>
      <c r="W49" s="70"/>
      <c r="X49" s="70"/>
      <c r="Y49" s="70"/>
      <c r="Z49" s="70"/>
    </row>
    <row r="50" spans="2:26" ht="57.75">
      <c r="B50" s="282" cm="1">
        <f t="array" ref="B50" xml:space="preserve"> ROW() - ROW($2:$2)</f>
        <v>48</v>
      </c>
      <c r="C50" s="212" t="s">
        <v>1728</v>
      </c>
      <c r="D50" s="74" t="str" cm="1">
        <f t="array" ref="D50" xml:space="preserve"> IFERROR( INDEX(韻母對照資料表[台羅拼音], MATCH(TRUE, EXACT($E50, 韻母對照資料表[台語音標]),0)), "")</f>
        <v>iau</v>
      </c>
      <c r="E50" s="212" t="s">
        <v>1728</v>
      </c>
      <c r="F50" s="95" t="str" cm="1">
        <f t="array" ref="F50" xml:space="preserve"> IFERROR( INDEX(韻母對照資料表[注音二式], MATCH(TRUE, EXACT($E50, 韻母對照資料表[台語音標]),0)), "")</f>
        <v>iau</v>
      </c>
      <c r="G50" s="216" t="s">
        <v>1726</v>
      </c>
      <c r="H50" s="209" t="str" cm="1">
        <f t="array" ref="H50">IFERROR( INDEX(韻母對照資料表[十五音], MATCH(TRUE, EXACT($E50, 韻母對照資料表[台語音標]),0)), "")</f>
        <v>嬌</v>
      </c>
      <c r="I50" s="132" t="str" cm="1">
        <f t="array" ref="I50" xml:space="preserve"> IFERROR( INDEX(韻母對照資料表[漢字例], MATCH(TRUE, EXACT($E50, 韻母對照資料表[台語音標]),0)), "")</f>
        <v>遙</v>
      </c>
      <c r="J50" s="132"/>
      <c r="K50" s="74" t="str" cm="1">
        <f t="array" ref="K50" xml:space="preserve"> IFERROR( INDEX(韻母對照資料表[白話字], MATCH(TRUE, EXACT($E50, 韻母對照資料表[台語音標]),0)), "")</f>
        <v>iau</v>
      </c>
      <c r="L50" s="74" t="str" cm="1">
        <f t="array" ref="L50">IFERROR( INDEX(韻母對照資料表[閩拼方案], MATCH(TRUE, EXACT($E50, 韻母對照資料表[台語音標]),0)), "")</f>
        <v>iao</v>
      </c>
      <c r="M50" s="94" t="s">
        <v>1396</v>
      </c>
      <c r="N50" s="75"/>
      <c r="P50" s="234">
        <v>3</v>
      </c>
      <c r="Q50" s="99" t="s">
        <v>1636</v>
      </c>
      <c r="R50" s="106" t="s">
        <v>760</v>
      </c>
      <c r="S50" s="96" t="s">
        <v>761</v>
      </c>
      <c r="T50" s="96" t="str">
        <f t="shared" si="2"/>
        <v>ㄨㆵ</v>
      </c>
      <c r="W50" s="70"/>
      <c r="X50" s="70"/>
      <c r="Y50" s="70"/>
      <c r="Z50" s="70"/>
    </row>
    <row r="51" spans="2:26" ht="57.75">
      <c r="B51" s="284" cm="1">
        <f t="array" ref="B51" xml:space="preserve"> ROW() - ROW($2:$2)</f>
        <v>49</v>
      </c>
      <c r="C51" s="214" t="s">
        <v>2298</v>
      </c>
      <c r="D51" s="76" t="str" cm="1">
        <f t="array" ref="D51" xml:space="preserve"> IFERROR( INDEX(韻母對照資料表[台羅拼音], MATCH(TRUE, EXACT($E51, 韻母對照資料表[台語音標]),0)), "")</f>
        <v>iaunn</v>
      </c>
      <c r="E51" s="214" t="s">
        <v>1607</v>
      </c>
      <c r="F51" s="117" t="str" cm="1">
        <f t="array" ref="F51" xml:space="preserve"> IFERROR( INDEX(韻母對照資料表[注音二式], MATCH(TRUE, EXACT($E51, 韻母對照資料表[台語音標]),0)), "")</f>
        <v>iaunn</v>
      </c>
      <c r="G51" s="218" t="s">
        <v>1739</v>
      </c>
      <c r="H51" s="211" t="str" cm="1">
        <f t="array" ref="H51">IFERROR( INDEX(韻母對照資料表[十五音], MATCH(TRUE, EXACT($E51, 韻母對照資料表[台語音標]),0)), "")</f>
        <v>嘄</v>
      </c>
      <c r="I51" s="230" t="str" cm="1">
        <f t="array" ref="I51" xml:space="preserve"> IFERROR( INDEX(韻母對照資料表[漢字例], MATCH(TRUE, EXACT($E51, 韻母對照資料表[台語音標]),0)), "")</f>
        <v>鳥</v>
      </c>
      <c r="J51" s="230"/>
      <c r="K51" s="76" t="str" cm="1">
        <f t="array" ref="K51" xml:space="preserve"> IFERROR( INDEX(韻母對照資料表[白話字], MATCH(TRUE, EXACT($E51, 韻母對照資料表[台語音標]),0)), "")</f>
        <v>iauⁿ</v>
      </c>
      <c r="L51" s="76" t="str" cm="1">
        <f t="array" ref="L51">IFERROR( INDEX(韻母對照資料表[閩拼方案], MATCH(TRUE, EXACT($E51, 韻母對照資料表[台語音標]),0)), "")</f>
        <v>niao</v>
      </c>
      <c r="M51" s="116" t="s">
        <v>1396</v>
      </c>
      <c r="N51" s="77"/>
      <c r="P51" s="234">
        <v>4</v>
      </c>
      <c r="Q51" s="99" t="s">
        <v>1574</v>
      </c>
      <c r="R51" s="98" t="s">
        <v>79</v>
      </c>
      <c r="S51" s="96" t="s">
        <v>80</v>
      </c>
      <c r="T51" s="96" t="str">
        <f t="shared" si="2"/>
        <v>ㄢㆵ</v>
      </c>
      <c r="W51" s="70"/>
      <c r="X51" s="70"/>
      <c r="Y51" s="70"/>
      <c r="Z51" s="70"/>
    </row>
    <row r="52" spans="2:26" ht="57.75">
      <c r="B52" s="285" cm="1">
        <f t="array" ref="B52" xml:space="preserve"> ROW() - ROW($2:$2)</f>
        <v>50</v>
      </c>
      <c r="C52" s="254" t="s">
        <v>1743</v>
      </c>
      <c r="D52" s="118" t="str" cm="1">
        <f t="array" ref="D52" xml:space="preserve"> IFERROR( INDEX(韻母對照資料表[台羅拼音], MATCH(TRUE, EXACT($E52, 韻母對照資料表[台語音標]),0)), "")</f>
        <v>io</v>
      </c>
      <c r="E52" s="254" t="s">
        <v>1716</v>
      </c>
      <c r="F52" s="120" t="str" cm="1">
        <f t="array" ref="F52" xml:space="preserve"> IFERROR( INDEX(韻母對照資料表[注音二式], MATCH(TRUE, EXACT($E52, 韻母對照資料表[台語音標]),0)), "")</f>
        <v>ior</v>
      </c>
      <c r="G52" s="255" t="s">
        <v>1720</v>
      </c>
      <c r="H52" s="219" t="str" cm="1">
        <f t="array" ref="H52">IFERROR( INDEX(韻母對照資料表[十五音], MATCH(TRUE, EXACT($E52, 韻母對照資料表[台語音標]),0)), "")</f>
        <v>茄</v>
      </c>
      <c r="I52" s="138" t="str" cm="1">
        <f t="array" ref="I52" xml:space="preserve"> IFERROR( INDEX(韻母對照資料表[漢字例], MATCH(TRUE, EXACT($E52, 韻母對照資料表[台語音標]),0)), "")</f>
        <v>少</v>
      </c>
      <c r="J52" s="138"/>
      <c r="K52" s="118" t="str" cm="1">
        <f t="array" ref="K52" xml:space="preserve"> IFERROR( INDEX(韻母對照資料表[白話字], MATCH(TRUE, EXACT($E52, 韻母對照資料表[台語音標]),0)), "")</f>
        <v>io</v>
      </c>
      <c r="L52" s="118" t="str" cm="1">
        <f t="array" ref="L52">IFERROR( INDEX(韻母對照資料表[閩拼方案], MATCH(TRUE, EXACT($E52, 韻母對照資料表[台語音標]),0)), "")</f>
        <v>io</v>
      </c>
      <c r="M52" s="119" t="s">
        <v>1396</v>
      </c>
      <c r="N52" s="78"/>
      <c r="P52" s="234">
        <v>5</v>
      </c>
      <c r="Q52" s="99" t="s">
        <v>1637</v>
      </c>
      <c r="R52" s="98" t="s">
        <v>1112</v>
      </c>
      <c r="S52" s="96" t="s">
        <v>451</v>
      </c>
      <c r="T52" s="96" t="str">
        <f t="shared" si="2"/>
        <v>ㄧㆵ</v>
      </c>
      <c r="W52" s="70"/>
      <c r="X52" s="70"/>
      <c r="Y52" s="70"/>
      <c r="Z52" s="70"/>
    </row>
    <row r="53" spans="2:26" ht="57.75">
      <c r="B53" s="282" cm="1">
        <f t="array" ref="B53" xml:space="preserve"> ROW() - ROW($2:$2)</f>
        <v>51</v>
      </c>
      <c r="C53" s="212" t="s">
        <v>2425</v>
      </c>
      <c r="D53" s="74" t="s">
        <v>1798</v>
      </c>
      <c r="E53" s="212" t="s">
        <v>1798</v>
      </c>
      <c r="F53" s="95" t="s">
        <v>1159</v>
      </c>
      <c r="G53" s="216" t="s">
        <v>2426</v>
      </c>
      <c r="H53" s="268" t="str" cm="1">
        <f t="array" ref="H53">IFERROR( INDEX(韻母對照資料表[十五音], MATCH(TRUE, EXACT($E53, 韻母對照資料表[台語音標]),0)), "")</f>
        <v/>
      </c>
      <c r="I53" s="256" t="s">
        <v>2428</v>
      </c>
      <c r="J53" s="132"/>
      <c r="K53" s="74" t="s">
        <v>2432</v>
      </c>
      <c r="L53" s="74" t="s">
        <v>1159</v>
      </c>
      <c r="M53" s="94" t="s">
        <v>1531</v>
      </c>
      <c r="N53" s="75" t="s">
        <v>1522</v>
      </c>
      <c r="P53" s="234">
        <v>6</v>
      </c>
      <c r="Q53" s="99" t="s">
        <v>1638</v>
      </c>
      <c r="R53" s="98" t="s">
        <v>835</v>
      </c>
      <c r="S53" s="96" t="s">
        <v>836</v>
      </c>
      <c r="T53" s="96" t="str">
        <f t="shared" si="2"/>
        <v>ㄨㆵ</v>
      </c>
      <c r="W53" s="70"/>
      <c r="X53" s="70"/>
      <c r="Y53" s="70"/>
      <c r="Z53" s="70"/>
    </row>
    <row r="54" spans="2:26" ht="57.75">
      <c r="B54" s="282" cm="1">
        <f t="array" ref="B54" xml:space="preserve"> ROW() - ROW($2:$2)</f>
        <v>52</v>
      </c>
      <c r="C54" s="212" t="s">
        <v>2134</v>
      </c>
      <c r="D54" s="74" t="str" cm="1">
        <f t="array" ref="D54" xml:space="preserve"> IFERROR( INDEX(韻母對照資料表[台羅拼音], MATCH(TRUE, EXACT($E54, 韻母對照資料表[台語音標]),0)), "")</f>
        <v>ionn</v>
      </c>
      <c r="E54" s="212" t="s">
        <v>1859</v>
      </c>
      <c r="F54" s="95" t="str" cm="1">
        <f t="array" ref="F54" xml:space="preserve"> IFERROR( INDEX(韻母對照資料表[注音二式], MATCH(TRUE, EXACT($E54, 韻母對照資料表[台語音標]),0)), "")</f>
        <v>ioonn</v>
      </c>
      <c r="G54" s="216" t="s">
        <v>2427</v>
      </c>
      <c r="H54" s="209" t="str" cm="1">
        <f t="array" ref="H54">IFERROR( INDEX(韻母對照資料表[十五音], MATCH(TRUE, EXACT($E54, 韻母對照資料表[台語音標]),0)), "")</f>
        <v>薑</v>
      </c>
      <c r="I54" s="263" t="str" cm="1">
        <f t="array" ref="I54" xml:space="preserve"> IFERROR( INDEX(韻母對照資料表[漢字例], MATCH(TRUE, EXACT($E54, 韻母對照資料表[台語音標]),0)), "")</f>
        <v>腔</v>
      </c>
      <c r="J54" s="132"/>
      <c r="K54" s="74" t="str" cm="1">
        <f t="array" ref="K54" xml:space="preserve"> IFERROR( INDEX(韻母對照資料表[白話字], MATCH(TRUE, EXACT($E54, 韻母對照資料表[台語音標]),0)), "")</f>
        <v>ioⁿ</v>
      </c>
      <c r="L54" s="74" t="str" cm="1">
        <f t="array" ref="L54">IFERROR( INDEX(韻母對照資料表[閩拼方案], MATCH(TRUE, EXACT($E54, 韻母對照資料表[台語音標]),0)), "")</f>
        <v>nioo</v>
      </c>
      <c r="M54" s="94" t="s">
        <v>1532</v>
      </c>
      <c r="N54" s="75" t="s">
        <v>14</v>
      </c>
      <c r="Q54" s="70"/>
      <c r="R54" s="70"/>
      <c r="S54" s="70"/>
      <c r="T54" s="70"/>
      <c r="W54" s="70"/>
      <c r="X54" s="70"/>
      <c r="Y54" s="70"/>
      <c r="Z54" s="70"/>
    </row>
    <row r="55" spans="2:26" ht="57.75">
      <c r="B55" s="284" cm="1">
        <f t="array" ref="B55" xml:space="preserve"> ROW() - ROW($2:$2)</f>
        <v>53</v>
      </c>
      <c r="C55" s="214" t="s">
        <v>1718</v>
      </c>
      <c r="D55" s="76" t="str" cm="1">
        <f t="array" ref="D55" xml:space="preserve"> IFERROR( INDEX(韻母對照資料表[台羅拼音], MATCH(TRUE, EXACT($E55, 韻母對照資料表[台語音標]),0)), "")</f>
        <v>iong</v>
      </c>
      <c r="E55" s="214" t="s">
        <v>1717</v>
      </c>
      <c r="F55" s="117" t="str" cm="1">
        <f t="array" ref="F55" xml:space="preserve"> IFERROR( INDEX(韻母對照資料表[注音二式], MATCH(TRUE, EXACT($E55, 韻母對照資料表[台語音標]),0)), "")</f>
        <v>iong</v>
      </c>
      <c r="G55" s="218" t="s">
        <v>1719</v>
      </c>
      <c r="H55" s="211" t="str" cm="1">
        <f t="array" ref="H55">IFERROR( INDEX(韻母對照資料表[十五音], MATCH(TRUE, EXACT($E55, 韻母對照資料表[台語音標]),0)), "")</f>
        <v>恭</v>
      </c>
      <c r="I55" s="134" t="str" cm="1">
        <f t="array" ref="I55" xml:space="preserve"> IFERROR( INDEX(韻母對照資料表[漢字例], MATCH(TRUE, EXACT($E55, 韻母對照資料表[台語音標]),0)), "")</f>
        <v>中</v>
      </c>
      <c r="J55" s="134"/>
      <c r="K55" s="76" t="str" cm="1">
        <f t="array" ref="K55" xml:space="preserve"> IFERROR( INDEX(韻母對照資料表[白話字], MATCH(TRUE, EXACT($E55, 韻母對照資料表[台語音標]),0)), "")</f>
        <v>iong</v>
      </c>
      <c r="L55" s="76" t="str" cm="1">
        <f t="array" ref="L55">IFERROR( INDEX(韻母對照資料表[閩拼方案], MATCH(TRUE, EXACT($E55, 韻母對照資料表[台語音標]),0)), "")</f>
        <v>iong</v>
      </c>
      <c r="M55" s="116" t="s">
        <v>1396</v>
      </c>
      <c r="N55" s="77"/>
      <c r="Q55" s="70"/>
      <c r="R55" s="70"/>
      <c r="S55" s="70"/>
      <c r="T55" s="70"/>
      <c r="W55" s="70"/>
      <c r="X55" s="70"/>
      <c r="Y55" s="70"/>
      <c r="Z55" s="70"/>
    </row>
    <row r="56" spans="2:26" ht="57.75">
      <c r="B56" s="282" cm="1">
        <f t="array" ref="B56" xml:space="preserve"> ROW() - ROW($2:$2)</f>
        <v>54</v>
      </c>
      <c r="C56" s="212" t="s">
        <v>1711</v>
      </c>
      <c r="D56" s="74" t="str" cm="1">
        <f t="array" ref="D56" xml:space="preserve"> IFERROR( INDEX(韻母對照資料表[台羅拼音], MATCH(TRUE, EXACT($E56, 韻母對照資料表[台語音標]),0)), "")</f>
        <v>iu</v>
      </c>
      <c r="E56" s="212" t="s">
        <v>1711</v>
      </c>
      <c r="F56" s="95" t="str" cm="1">
        <f t="array" ref="F56" xml:space="preserve"> IFERROR( INDEX(韻母對照資料表[注音二式], MATCH(TRUE, EXACT($E56, 韻母對照資料表[台語音標]),0)), "")</f>
        <v>iu</v>
      </c>
      <c r="G56" s="216" t="s">
        <v>1709</v>
      </c>
      <c r="H56" s="209" t="str" cm="1">
        <f t="array" ref="H56">IFERROR( INDEX(韻母對照資料表[十五音], MATCH(TRUE, EXACT($E56, 韻母對照資料表[台語音標]),0)), "")</f>
        <v>丩</v>
      </c>
      <c r="I56" s="132" t="str" cm="1">
        <f t="array" ref="I56" xml:space="preserve"> IFERROR( INDEX(韻母對照資料表[漢字例], MATCH(TRUE, EXACT($E56, 韻母對照資料表[台語音標]),0)), "")</f>
        <v>油</v>
      </c>
      <c r="J56" s="132"/>
      <c r="K56" s="74" t="str" cm="1">
        <f t="array" ref="K56" xml:space="preserve"> IFERROR( INDEX(韻母對照資料表[白話字], MATCH(TRUE, EXACT($E56, 韻母對照資料表[台語音標]),0)), "")</f>
        <v>iu</v>
      </c>
      <c r="L56" s="74" t="str" cm="1">
        <f t="array" ref="L56">IFERROR( INDEX(韻母對照資料表[閩拼方案], MATCH(TRUE, EXACT($E56, 韻母對照資料表[台語音標]),0)), "")</f>
        <v>iu</v>
      </c>
      <c r="M56" s="94" t="s">
        <v>1396</v>
      </c>
      <c r="N56" s="75"/>
      <c r="P56" s="81" t="s">
        <v>1639</v>
      </c>
      <c r="W56" s="70"/>
      <c r="X56" s="70"/>
      <c r="Y56" s="70"/>
      <c r="Z56" s="70"/>
    </row>
    <row r="57" spans="2:26" ht="58.5" thickBot="1">
      <c r="B57" s="284" cm="1">
        <f t="array" ref="B57" xml:space="preserve"> ROW() - ROW($2:$2)</f>
        <v>55</v>
      </c>
      <c r="C57" s="214" t="s">
        <v>1750</v>
      </c>
      <c r="D57" s="76" t="str" cm="1">
        <f t="array" ref="D57" xml:space="preserve"> IFERROR( INDEX(韻母對照資料表[台羅拼音], MATCH(TRUE, EXACT($E57, 韻母對照資料表[台語音標]),0)), "")</f>
        <v>iunn</v>
      </c>
      <c r="E57" s="214" t="s">
        <v>1752</v>
      </c>
      <c r="F57" s="117" t="str" cm="1">
        <f t="array" ref="F57" xml:space="preserve"> IFERROR( INDEX(韻母對照資料表[注音二式], MATCH(TRUE, EXACT($E57, 韻母對照資料表[台語音標]),0)), "")</f>
        <v>iunn</v>
      </c>
      <c r="G57" s="218" t="s">
        <v>1731</v>
      </c>
      <c r="H57" s="211" t="str" cm="1">
        <f t="array" ref="H57">IFERROR( INDEX(韻母對照資料表[十五音], MATCH(TRUE, EXACT($E57, 韻母對照資料表[台語音標]),0)), "")</f>
        <v>牛</v>
      </c>
      <c r="I57" s="136" t="str" cm="1">
        <f t="array" ref="I57" xml:space="preserve"> IFERROR( INDEX(韻母對照資料表[漢字例], MATCH(TRUE, EXACT($E57, 韻母對照資料表[台語音標]),0)), "")</f>
        <v>香</v>
      </c>
      <c r="J57" s="136"/>
      <c r="K57" s="76" t="str" cm="1">
        <f t="array" ref="K57" xml:space="preserve"> IFERROR( INDEX(韻母對照資料表[白話字], MATCH(TRUE, EXACT($E57, 韻母對照資料表[台語音標]),0)), "")</f>
        <v>iuⁿ</v>
      </c>
      <c r="L57" s="76" t="str" cm="1">
        <f t="array" ref="L57">IFERROR( INDEX(韻母對照資料表[閩拼方案], MATCH(TRUE, EXACT($E57, 韻母對照資料表[台語音標]),0)), "")</f>
        <v>niu</v>
      </c>
      <c r="M57" s="116" t="s">
        <v>1396</v>
      </c>
      <c r="N57" s="77" t="s">
        <v>1455</v>
      </c>
      <c r="P57" s="87" t="s">
        <v>1019</v>
      </c>
      <c r="Q57" s="90" t="s">
        <v>1553</v>
      </c>
      <c r="R57" s="89" t="s">
        <v>1552</v>
      </c>
      <c r="S57" s="88" t="s">
        <v>1554</v>
      </c>
      <c r="T57" s="88" t="s">
        <v>1555</v>
      </c>
      <c r="W57" s="70"/>
      <c r="X57" s="70"/>
      <c r="Y57" s="70"/>
      <c r="Z57" s="70"/>
    </row>
    <row r="58" spans="2:26" ht="58.5" thickTop="1">
      <c r="B58" s="285" cm="1">
        <f t="array" ref="B58" xml:space="preserve"> ROW() - ROW($2:$2)</f>
        <v>56</v>
      </c>
      <c r="C58" s="254" t="s">
        <v>1180</v>
      </c>
      <c r="D58" s="118" t="str" cm="1">
        <f t="array" ref="D58" xml:space="preserve"> IFERROR( INDEX(韻母對照資料表[台羅拼音], MATCH(TRUE, EXACT($E58, 韻母對照資料表[台語音標]),0)), "")</f>
        <v>o</v>
      </c>
      <c r="E58" s="254" t="s">
        <v>1180</v>
      </c>
      <c r="F58" s="120" t="str" cm="1">
        <f t="array" ref="F58" xml:space="preserve"> IFERROR( INDEX(韻母對照資料表[注音二式], MATCH(TRUE, EXACT($E58, 韻母對照資料表[台語音標]),0)), "")</f>
        <v>or</v>
      </c>
      <c r="G58" s="255" t="s">
        <v>1600</v>
      </c>
      <c r="H58" s="219" t="str" cm="1">
        <f t="array" ref="H58">IFERROR( INDEX(韻母對照資料表[十五音], MATCH(TRUE, EXACT($E58, 韻母對照資料表[台語音標]),0)), "")</f>
        <v>高</v>
      </c>
      <c r="I58" s="138" t="str" cm="1">
        <f t="array" ref="I58" xml:space="preserve"> IFERROR( INDEX(韻母對照資料表[漢字例], MATCH(TRUE, EXACT($E58, 韻母對照資料表[台語音標]),0)), "")</f>
        <v>果</v>
      </c>
      <c r="J58" s="138"/>
      <c r="K58" s="118" t="str" cm="1">
        <f t="array" ref="K58" xml:space="preserve"> IFERROR( INDEX(韻母對照資料表[白話字], MATCH(TRUE, EXACT($E58, 韻母對照資料表[台語音標]),0)), "")</f>
        <v>o</v>
      </c>
      <c r="L58" s="118" t="str" cm="1">
        <f t="array" ref="L58">IFERROR( INDEX(韻母對照資料表[閩拼方案], MATCH(TRUE, EXACT($E58, 韻母對照資料表[台語音標]),0)), "")</f>
        <v>o</v>
      </c>
      <c r="M58" s="119" t="s">
        <v>1180</v>
      </c>
      <c r="N58" s="78" t="s">
        <v>1180</v>
      </c>
      <c r="P58" s="79">
        <v>1</v>
      </c>
      <c r="Q58" s="99" t="s">
        <v>1206</v>
      </c>
      <c r="R58" s="98" t="s">
        <v>1578</v>
      </c>
      <c r="S58" s="96" t="s">
        <v>95</v>
      </c>
      <c r="T58" s="96" t="str">
        <f t="shared" ref="T58:T64" si="3" xml:space="preserve"> LEFT(S58, IF(LEN(S58)=1, 1, LEN(S58)-1)) &amp; "ㆻ"</f>
        <v>ㄤㆻ</v>
      </c>
      <c r="W58" s="70"/>
      <c r="X58" s="70"/>
      <c r="Y58" s="70"/>
      <c r="Z58" s="70"/>
    </row>
    <row r="59" spans="2:26" ht="57.75">
      <c r="B59" s="282" cm="1">
        <f t="array" ref="B59" xml:space="preserve"> ROW() - ROW($2:$2)</f>
        <v>57</v>
      </c>
      <c r="C59" s="212" t="s">
        <v>2245</v>
      </c>
      <c r="D59" s="74" t="str" cm="1">
        <f t="array" ref="D59" xml:space="preserve"> IFERROR( INDEX(韻母對照資料表[台羅拼音], MATCH(TRUE, EXACT($E59, 韻母對照資料表[台語音標]),0)), "")</f>
        <v>oo</v>
      </c>
      <c r="E59" s="212" t="s">
        <v>2289</v>
      </c>
      <c r="F59" s="95" t="str" cm="1">
        <f t="array" ref="F59" xml:space="preserve"> IFERROR( INDEX(韻母對照資料表[注音二式], MATCH(TRUE, EXACT($E59, 韻母對照資料表[台語音標]),0)), "")</f>
        <v>oo</v>
      </c>
      <c r="G59" s="216" t="s">
        <v>1565</v>
      </c>
      <c r="H59" s="209" t="str" cm="1">
        <f t="array" ref="H59">IFERROR( INDEX(韻母對照資料表[十五音], MATCH(TRUE, EXACT($E59, 韻母對照資料表[台語音標]),0)), "")</f>
        <v>沽</v>
      </c>
      <c r="I59" s="132" t="str" cm="1">
        <f t="array" ref="I59" xml:space="preserve"> IFERROR( INDEX(韻母對照資料表[漢字例], MATCH(TRUE, EXACT($E59, 韻母對照資料表[台語音標]),0)), "")</f>
        <v>捕</v>
      </c>
      <c r="J59" s="132"/>
      <c r="K59" s="74" t="str" cm="1">
        <f t="array" ref="K59" xml:space="preserve"> IFERROR( INDEX(韻母對照資料表[白話字], MATCH(TRUE, EXACT($E59, 韻母對照資料表[台語音標]),0)), "")</f>
        <v>o͘</v>
      </c>
      <c r="L59" s="74" t="str" cm="1">
        <f t="array" ref="L59">IFERROR( INDEX(韻母對照資料表[閩拼方案], MATCH(TRUE, EXACT($E59, 韻母對照資料表[台語音標]),0)), "")</f>
        <v>oo</v>
      </c>
      <c r="M59" s="94" t="s">
        <v>1531</v>
      </c>
      <c r="N59" s="75" t="s">
        <v>1522</v>
      </c>
      <c r="P59" s="79">
        <f>P58+1</f>
        <v>2</v>
      </c>
      <c r="Q59" s="99"/>
      <c r="R59" s="98" t="s">
        <v>1640</v>
      </c>
      <c r="S59" s="96" t="s">
        <v>1633</v>
      </c>
      <c r="T59" s="96" t="str">
        <f t="shared" si="3"/>
        <v>ㄥㆻ</v>
      </c>
      <c r="W59" s="70"/>
      <c r="X59" s="70"/>
      <c r="Y59" s="70"/>
      <c r="Z59" s="70"/>
    </row>
    <row r="60" spans="2:26" ht="57.75">
      <c r="B60" s="282" cm="1">
        <f t="array" ref="B60" xml:space="preserve"> ROW() - ROW($2:$2)</f>
        <v>58</v>
      </c>
      <c r="C60" s="212" t="s">
        <v>1692</v>
      </c>
      <c r="D60" s="74" t="str" cm="1">
        <f t="array" ref="D60" xml:space="preserve"> IFERROR( INDEX(韻母對照資料表[台羅拼音], MATCH(TRUE, EXACT($E60, 韻母對照資料表[台語音標]),0)), "")</f>
        <v>onn</v>
      </c>
      <c r="E60" s="212" t="s">
        <v>1598</v>
      </c>
      <c r="F60" s="95" t="str" cm="1">
        <f t="array" ref="F60" xml:space="preserve"> IFERROR( INDEX(韻母對照資料表[注音二式], MATCH(TRUE, EXACT($E60, 韻母對照資料表[台語音標]),0)), "")</f>
        <v>ornn</v>
      </c>
      <c r="G60" s="216" t="s">
        <v>2275</v>
      </c>
      <c r="H60" s="209" t="str" cm="1">
        <f t="array" ref="H60">IFERROR( INDEX(韻母對照資料表[十五音], MATCH(TRUE, EXACT($E60, 韻母對照資料表[台語音標]),0)), "")</f>
        <v>扛</v>
      </c>
      <c r="I60" s="135" t="str" cm="1">
        <f t="array" ref="I60" xml:space="preserve"> IFERROR( INDEX(韻母對照資料表[漢字例], MATCH(TRUE, EXACT($E60, 韻母對照資料表[台語音標]),0)), "")</f>
        <v>呼</v>
      </c>
      <c r="J60" s="135"/>
      <c r="K60" s="74" t="str" cm="1">
        <f t="array" ref="K60" xml:space="preserve"> IFERROR( INDEX(韻母對照資料表[白話字], MATCH(TRUE, EXACT($E60, 韻母對照資料表[台語音標]),0)), "")</f>
        <v>on</v>
      </c>
      <c r="L60" s="74" t="str" cm="1">
        <f t="array" ref="L60">IFERROR( INDEX(韻母對照資料表[閩拼方案], MATCH(TRUE, EXACT($E60, 韻母對照資料表[台語音標]),0)), "")</f>
        <v>noo</v>
      </c>
      <c r="M60" s="94" t="s">
        <v>1532</v>
      </c>
      <c r="N60" s="75" t="s">
        <v>14</v>
      </c>
      <c r="P60" s="79">
        <f>P59+1</f>
        <v>3</v>
      </c>
      <c r="Q60" s="99" t="s">
        <v>1134</v>
      </c>
      <c r="R60" s="106" t="s">
        <v>1629</v>
      </c>
      <c r="S60" s="96" t="s">
        <v>698</v>
      </c>
      <c r="T60" s="96" t="str">
        <f t="shared" si="3"/>
        <v>ㆲㆻ</v>
      </c>
      <c r="W60" s="70"/>
      <c r="X60" s="70"/>
      <c r="Y60" s="70"/>
      <c r="Z60" s="70"/>
    </row>
    <row r="61" spans="2:26" ht="57.75">
      <c r="B61" s="282" cm="1">
        <f t="array" ref="B61" xml:space="preserve"> ROW() - ROW($2:$2)</f>
        <v>59</v>
      </c>
      <c r="C61" s="212" t="s">
        <v>693</v>
      </c>
      <c r="D61" s="74" t="str" cm="1">
        <f t="array" ref="D61" xml:space="preserve"> IFERROR( INDEX(韻母對照資料表[台羅拼音], MATCH(TRUE, EXACT($E61, 韻母對照資料表[台語音標]),0)), "")</f>
        <v>om</v>
      </c>
      <c r="E61" s="212" t="s">
        <v>1542</v>
      </c>
      <c r="F61" s="95" t="str" cm="1">
        <f t="array" ref="F61" xml:space="preserve"> IFERROR( INDEX(韻母對照資料表[注音二式], MATCH(TRUE, EXACT($E61, 韻母對照資料表[台語音標]),0)), "")</f>
        <v>oom</v>
      </c>
      <c r="G61" s="216" t="s">
        <v>2278</v>
      </c>
      <c r="H61" s="209" t="str" cm="1">
        <f t="array" ref="H61">IFERROR( INDEX(韻母對照資料表[十五音], MATCH(TRUE, EXACT($E61, 韻母對照資料表[台語音標]),0)), "")</f>
        <v>箴</v>
      </c>
      <c r="I61" s="256" t="str" cm="1">
        <f t="array" ref="I61" xml:space="preserve"> IFERROR( INDEX(韻母對照資料表[漢字例], MATCH(TRUE, EXACT($E61, 韻母對照資料表[台語音標]),0)), "")</f>
        <v>丼</v>
      </c>
      <c r="J61" s="132"/>
      <c r="K61" s="74" t="str" cm="1">
        <f t="array" ref="K61" xml:space="preserve"> IFERROR( INDEX(韻母對照資料表[白話字], MATCH(TRUE, EXACT($E61, 韻母對照資料表[台語音標]),0)), "")</f>
        <v>om</v>
      </c>
      <c r="L61" s="74" t="str" cm="1">
        <f t="array" ref="L61">IFERROR( INDEX(韻母對照資料表[閩拼方案], MATCH(TRUE, EXACT($E61, 韻母對照資料表[台語音標]),0)), "")</f>
        <v>om</v>
      </c>
      <c r="M61" s="94" t="s">
        <v>1579</v>
      </c>
      <c r="N61" s="75" t="s">
        <v>5</v>
      </c>
      <c r="P61" s="79">
        <f>P60+1</f>
        <v>4</v>
      </c>
      <c r="Q61" s="99" t="s">
        <v>1192</v>
      </c>
      <c r="R61" s="98" t="s">
        <v>1641</v>
      </c>
      <c r="S61" s="96" t="s">
        <v>467</v>
      </c>
      <c r="T61" s="96" t="str">
        <f t="shared" si="3"/>
        <v>ㄧㆻ</v>
      </c>
      <c r="W61" s="70"/>
      <c r="X61" s="70"/>
      <c r="Y61" s="70"/>
      <c r="Z61" s="70"/>
    </row>
    <row r="62" spans="2:26" ht="57.75">
      <c r="B62" s="282" cm="1">
        <f t="array" ref="B62" xml:space="preserve"> ROW() - ROW($2:$2)</f>
        <v>60</v>
      </c>
      <c r="C62" s="212" t="s">
        <v>1704</v>
      </c>
      <c r="D62" s="74" t="str" cm="1">
        <f t="array" ref="D62" xml:space="preserve"> IFERROR( INDEX(韻母對照資料表[台羅拼音], MATCH(TRUE, EXACT($E62, 韻母對照資料表[台語音標]),0)), "")</f>
        <v>op</v>
      </c>
      <c r="E62" s="212" t="s">
        <v>1746</v>
      </c>
      <c r="F62" s="95" t="str" cm="1">
        <f t="array" ref="F62" xml:space="preserve"> IFERROR( INDEX(韻母對照資料表[注音二式], MATCH(TRUE, EXACT($E62, 韻母對照資料表[台語音標]),0)), "")</f>
        <v>oop</v>
      </c>
      <c r="G62" s="216" t="s">
        <v>2268</v>
      </c>
      <c r="H62" s="209" t="str" cm="1">
        <f t="array" ref="H62">IFERROR( INDEX(韻母對照資料表[十五音], MATCH(TRUE, EXACT($E62, 韻母對照資料表[台語音標]),0)), "")</f>
        <v>箴</v>
      </c>
      <c r="I62" s="132" t="str" cm="1">
        <f t="array" ref="I62" xml:space="preserve"> IFERROR( INDEX(韻母對照資料表[漢字例], MATCH(TRUE, EXACT($E62, 韻母對照資料表[台語音標]),0)), "")</f>
        <v>吷</v>
      </c>
      <c r="J62" s="132"/>
      <c r="K62" s="74" t="str" cm="1">
        <f t="array" ref="K62" xml:space="preserve"> IFERROR( INDEX(韻母對照資料表[白話字], MATCH(TRUE, EXACT($E62, 韻母對照資料表[台語音標]),0)), "")</f>
        <v>op</v>
      </c>
      <c r="L62" s="74" t="str" cm="1">
        <f t="array" ref="L62">IFERROR( INDEX(韻母對照資料表[閩拼方案], MATCH(TRUE, EXACT($E62, 韻母對照資料表[台語音標]),0)), "")</f>
        <v>op</v>
      </c>
      <c r="M62" s="94" t="s">
        <v>1396</v>
      </c>
      <c r="N62" s="75"/>
      <c r="P62" s="79">
        <f>P61+1</f>
        <v>5</v>
      </c>
      <c r="Q62" s="99" t="s">
        <v>1145</v>
      </c>
      <c r="R62" s="98" t="s">
        <v>1642</v>
      </c>
      <c r="S62" s="96" t="s">
        <v>336</v>
      </c>
      <c r="T62" s="96" t="str">
        <f t="shared" si="3"/>
        <v>ㄧㆻ</v>
      </c>
      <c r="W62" s="70"/>
      <c r="X62" s="70"/>
      <c r="Y62" s="70"/>
      <c r="Z62" s="70"/>
    </row>
    <row r="63" spans="2:26" ht="57.75">
      <c r="B63" s="282" cm="1">
        <f t="array" ref="B63" xml:space="preserve"> ROW() - ROW($2:$2)</f>
        <v>61</v>
      </c>
      <c r="C63" s="212" t="s">
        <v>697</v>
      </c>
      <c r="D63" s="74" t="str" cm="1">
        <f t="array" ref="D63" xml:space="preserve"> IFERROR( INDEX(韻母對照資料表[台羅拼音], MATCH(TRUE, EXACT($E63, 韻母對照資料表[台語音標]),0)), "")</f>
        <v>ong</v>
      </c>
      <c r="E63" s="212" t="s">
        <v>1630</v>
      </c>
      <c r="F63" s="95" t="str" cm="1">
        <f t="array" ref="F63" xml:space="preserve"> IFERROR( INDEX(韻母對照資料表[注音二式], MATCH(TRUE, EXACT($E63, 韻母對照資料表[台語音標]),0)), "")</f>
        <v>ong</v>
      </c>
      <c r="G63" s="216" t="s">
        <v>2267</v>
      </c>
      <c r="H63" s="209" t="str" cm="1">
        <f t="array" ref="H63">IFERROR( INDEX(韻母對照資料表[十五音], MATCH(TRUE, EXACT($E63, 韻母對照資料表[台語音標]),0)), "")</f>
        <v>公</v>
      </c>
      <c r="I63" s="132" t="str" cm="1">
        <f t="array" ref="I63" xml:space="preserve"> IFERROR( INDEX(韻母對照資料表[漢字例], MATCH(TRUE, EXACT($E63, 韻母對照資料表[台語音標]),0)), "")</f>
        <v>風</v>
      </c>
      <c r="J63" s="132"/>
      <c r="K63" s="74" t="str" cm="1">
        <f t="array" ref="K63" xml:space="preserve"> IFERROR( INDEX(韻母對照資料表[白話字], MATCH(TRUE, EXACT($E63, 韻母對照資料表[台語音標]),0)), "")</f>
        <v>ong</v>
      </c>
      <c r="L63" s="74" t="str" cm="1">
        <f t="array" ref="L63">IFERROR( INDEX(韻母對照資料表[閩拼方案], MATCH(TRUE, EXACT($E63, 韻母對照資料表[台語音標]),0)), "")</f>
        <v>ong</v>
      </c>
      <c r="M63" s="94" t="s">
        <v>2321</v>
      </c>
      <c r="N63" s="75" t="s">
        <v>1628</v>
      </c>
      <c r="P63" s="79">
        <f>P62+1</f>
        <v>6</v>
      </c>
      <c r="Q63" s="99" t="s">
        <v>1174</v>
      </c>
      <c r="R63" s="98" t="s">
        <v>1642</v>
      </c>
      <c r="S63" s="96" t="s">
        <v>579</v>
      </c>
      <c r="T63" s="96" t="str">
        <f t="shared" si="3"/>
        <v>ㄧㆻ</v>
      </c>
      <c r="W63" s="70"/>
      <c r="X63" s="70"/>
      <c r="Y63" s="70"/>
      <c r="Z63" s="70"/>
    </row>
    <row r="64" spans="2:26" ht="57.75">
      <c r="B64" s="284" cm="1">
        <f t="array" ref="B64" xml:space="preserve"> ROW() - ROW($2:$2)</f>
        <v>62</v>
      </c>
      <c r="C64" s="214" t="s">
        <v>1705</v>
      </c>
      <c r="D64" s="76" t="str" cm="1">
        <f t="array" ref="D64" xml:space="preserve"> IFERROR( INDEX(韻母對照資料表[台羅拼音], MATCH(TRUE, EXACT($E64, 韻母對照資料表[台語音標]),0)), "")</f>
        <v>ok</v>
      </c>
      <c r="E64" s="214" t="s">
        <v>1747</v>
      </c>
      <c r="F64" s="117" t="str" cm="1">
        <f t="array" ref="F64" xml:space="preserve"> IFERROR( INDEX(韻母對照資料表[注音二式], MATCH(TRUE, EXACT($E64, 韻母對照資料表[台語音標]),0)), "")</f>
        <v>ok</v>
      </c>
      <c r="G64" s="218" t="s">
        <v>2269</v>
      </c>
      <c r="H64" s="211" t="str" cm="1">
        <f t="array" ref="H64">IFERROR( INDEX(韻母對照資料表[十五音], MATCH(TRUE, EXACT($E64, 韻母對照資料表[台語音標]),0)), "")</f>
        <v>公</v>
      </c>
      <c r="I64" s="136" t="str" cm="1">
        <f t="array" ref="I64" xml:space="preserve"> IFERROR( INDEX(韻母對照資料表[漢字例], MATCH(TRUE, EXACT($E64, 韻母對照資料表[台語音標]),0)), "")</f>
        <v>福</v>
      </c>
      <c r="J64" s="136"/>
      <c r="K64" s="76" t="str" cm="1">
        <f t="array" ref="K64" xml:space="preserve"> IFERROR( INDEX(韻母對照資料表[白話字], MATCH(TRUE, EXACT($E64, 韻母對照資料表[台語音標]),0)), "")</f>
        <v>ok</v>
      </c>
      <c r="L64" s="76" t="str" cm="1">
        <f t="array" ref="L64">IFERROR( INDEX(韻母對照資料表[閩拼方案], MATCH(TRUE, EXACT($E64, 韻母對照資料表[台語音標]),0)), "")</f>
        <v>ok</v>
      </c>
      <c r="M64" s="116" t="s">
        <v>1396</v>
      </c>
      <c r="N64" s="77"/>
      <c r="P64" s="79">
        <v>7</v>
      </c>
      <c r="Q64" s="99" t="s">
        <v>1329</v>
      </c>
      <c r="R64" s="98" t="s">
        <v>1643</v>
      </c>
      <c r="S64" s="96" t="s">
        <v>851</v>
      </c>
      <c r="T64" s="96" t="str">
        <f t="shared" si="3"/>
        <v>ㄨㆻ</v>
      </c>
      <c r="W64" s="70"/>
      <c r="X64" s="70"/>
      <c r="Y64" s="70"/>
      <c r="Z64" s="70"/>
    </row>
    <row r="65" spans="2:26" ht="57.75">
      <c r="B65" s="282" cm="1">
        <f t="array" ref="B65" xml:space="preserve"> ROW() - ROW($2:$2)</f>
        <v>63</v>
      </c>
      <c r="C65" s="212" t="s">
        <v>1524</v>
      </c>
      <c r="D65" s="74" t="str" cm="1">
        <f t="array" ref="D65" xml:space="preserve"> IFERROR( INDEX(韻母對照資料表[台羅拼音], MATCH(TRUE, EXACT($E65, 韻母對照資料表[台語音標]),0)), "")</f>
        <v>u</v>
      </c>
      <c r="E65" s="212" t="s">
        <v>1524</v>
      </c>
      <c r="F65" s="95" t="str" cm="1">
        <f t="array" ref="F65" xml:space="preserve"> IFERROR( INDEX(韻母對照資料表[注音二式], MATCH(TRUE, EXACT($E65, 韻母對照資料表[台語音標]),0)), "")</f>
        <v>u</v>
      </c>
      <c r="G65" s="216" t="s">
        <v>2270</v>
      </c>
      <c r="H65" s="209" t="str" cm="1">
        <f t="array" ref="H65">IFERROR( INDEX(韻母對照資料表[十五音], MATCH(TRUE, EXACT($E65, 韻母對照資料表[台語音標]),0)), "")</f>
        <v>艍</v>
      </c>
      <c r="I65" s="132" t="str" cm="1">
        <f t="array" ref="I65" xml:space="preserve"> IFERROR( INDEX(韻母對照資料表[漢字例], MATCH(TRUE, EXACT($E65, 韻母對照資料表[台語音標]),0)), "")</f>
        <v>夫</v>
      </c>
      <c r="J65" s="132"/>
      <c r="K65" s="74" t="str" cm="1">
        <f t="array" ref="K65" xml:space="preserve"> IFERROR( INDEX(韻母對照資料表[白話字], MATCH(TRUE, EXACT($E65, 韻母對照資料表[台語音標]),0)), "")</f>
        <v>u</v>
      </c>
      <c r="L65" s="74" t="str" cm="1">
        <f t="array" ref="L65">IFERROR( INDEX(韻母對照資料表[閩拼方案], MATCH(TRUE, EXACT($E65, 韻母對照資料表[台語音標]),0)), "")</f>
        <v>u</v>
      </c>
      <c r="M65" s="94" t="s">
        <v>732</v>
      </c>
      <c r="N65" s="75" t="s">
        <v>1843</v>
      </c>
      <c r="W65" s="70"/>
      <c r="X65" s="70"/>
      <c r="Y65" s="70"/>
      <c r="Z65" s="70"/>
    </row>
    <row r="66" spans="2:26" ht="57.75">
      <c r="B66" s="282" cm="1">
        <f t="array" ref="B66" xml:space="preserve"> ROW() - ROW($2:$2)</f>
        <v>64</v>
      </c>
      <c r="C66" s="221" t="s">
        <v>2248</v>
      </c>
      <c r="D66" s="271" t="str" cm="1">
        <f t="array" ref="D66" xml:space="preserve"> IFERROR( INDEX(韻母對照資料表[台羅拼音], MATCH(TRUE, EXACT($E66, 韻母對照資料表[台語音標]),0)), "")</f>
        <v/>
      </c>
      <c r="E66" s="221" t="s">
        <v>1608</v>
      </c>
      <c r="F66" s="272" t="str" cm="1">
        <f t="array" ref="F66" xml:space="preserve"> IFERROR( INDEX(韻母對照資料表[注音二式], MATCH(TRUE, EXACT($E66, 韻母對照資料表[台語音標]),0)), "")</f>
        <v/>
      </c>
      <c r="G66" s="222" t="s">
        <v>1749</v>
      </c>
      <c r="H66" s="269" t="str" cm="1">
        <f t="array" ref="H66">IFERROR( INDEX(韻母對照資料表[十五音], MATCH(TRUE, EXACT($E66, 韻母對照資料表[台語音標]),0)), "")</f>
        <v/>
      </c>
      <c r="I66" s="270" t="str" cm="1">
        <f t="array" ref="I66" xml:space="preserve"> IFERROR( INDEX(韻母對照資料表[漢字例], MATCH(TRUE, EXACT($E66, 韻母對照資料表[台語音標]),0)), "")</f>
        <v/>
      </c>
      <c r="J66" s="270"/>
      <c r="K66" s="271" t="str" cm="1">
        <f t="array" ref="K66" xml:space="preserve"> IFERROR( INDEX(韻母對照資料表[白話字], MATCH(TRUE, EXACT($E66, 韻母對照資料表[台語音標]),0)), "")</f>
        <v/>
      </c>
      <c r="L66" s="271" t="str" cm="1">
        <f t="array" ref="L66">IFERROR( INDEX(韻母對照資料表[閩拼方案], MATCH(TRUE, EXACT($E66, 韻母對照資料表[台語音標]),0)), "")</f>
        <v/>
      </c>
      <c r="M66" s="105" t="s">
        <v>1523</v>
      </c>
      <c r="N66" s="225" t="s">
        <v>2433</v>
      </c>
      <c r="W66" s="70"/>
      <c r="X66" s="70"/>
      <c r="Y66" s="70"/>
      <c r="Z66" s="70"/>
    </row>
    <row r="67" spans="2:26" ht="57.75">
      <c r="B67" s="284" cm="1">
        <f t="array" ref="B67" xml:space="preserve"> ROW() - ROW($2:$2)</f>
        <v>65</v>
      </c>
      <c r="C67" s="214" t="s">
        <v>1819</v>
      </c>
      <c r="D67" s="76" t="str" cm="1">
        <f t="array" ref="D67" xml:space="preserve"> IFERROR( INDEX(韻母對照資料表[台羅拼音], MATCH(TRUE, EXACT($E67, 韻母對照資料表[台語音標]),0)), "")</f>
        <v>un</v>
      </c>
      <c r="E67" s="214" t="s">
        <v>1819</v>
      </c>
      <c r="F67" s="117" t="str" cm="1">
        <f t="array" ref="F67" xml:space="preserve"> IFERROR( INDEX(韻母對照資料表[注音二式], MATCH(TRUE, EXACT($E67, 韻母對照資料表[台語音標]),0)), "")</f>
        <v>un</v>
      </c>
      <c r="G67" s="218" t="s">
        <v>2430</v>
      </c>
      <c r="H67" s="211" t="str" cm="1">
        <f t="array" ref="H67">IFERROR( INDEX(韻母對照資料表[十五音], MATCH(TRUE, EXACT($E67, 韻母對照資料表[台語音標]),0)), "")</f>
        <v>君</v>
      </c>
      <c r="I67" s="136" t="str" cm="1">
        <f t="array" ref="I67" xml:space="preserve"> IFERROR( INDEX(韻母對照資料表[漢字例], MATCH(TRUE, EXACT($E67, 韻母對照資料表[台語音標]),0)), "")</f>
        <v>汾</v>
      </c>
      <c r="J67" s="136"/>
      <c r="K67" s="76" t="str" cm="1">
        <f t="array" ref="K67" xml:space="preserve"> IFERROR( INDEX(韻母對照資料表[白話字], MATCH(TRUE, EXACT($E67, 韻母對照資料表[台語音標]),0)), "")</f>
        <v>un</v>
      </c>
      <c r="L67" s="76" t="str" cm="1">
        <f t="array" ref="L67">IFERROR( INDEX(韻母對照資料表[閩拼方案], MATCH(TRUE, EXACT($E67, 韻母對照資料表[台語音標]),0)), "")</f>
        <v>un</v>
      </c>
      <c r="M67" s="116"/>
      <c r="N67" s="77"/>
      <c r="P67" s="81" t="s">
        <v>1644</v>
      </c>
      <c r="W67" s="70"/>
      <c r="X67" s="70"/>
      <c r="Y67" s="70"/>
      <c r="Z67" s="70"/>
    </row>
    <row r="68" spans="2:26" ht="58.5" thickBot="1">
      <c r="B68" s="282" cm="1">
        <f t="array" ref="B68" xml:space="preserve"> ROW() - ROW($2:$2)</f>
        <v>66</v>
      </c>
      <c r="C68" s="212" t="s">
        <v>1721</v>
      </c>
      <c r="D68" s="74" t="str" cm="1">
        <f t="array" ref="D68" xml:space="preserve"> IFERROR( INDEX(韻母對照資料表[台羅拼音], MATCH(TRUE, EXACT($E68, 韻母對照資料表[台語音標]),0)), "")</f>
        <v>ua</v>
      </c>
      <c r="E68" s="212" t="s">
        <v>1721</v>
      </c>
      <c r="F68" s="95" t="str" cm="1">
        <f t="array" ref="F68" xml:space="preserve"> IFERROR( INDEX(韻母對照資料表[注音二式], MATCH(TRUE, EXACT($E68, 韻母對照資料表[台語音標]),0)), "")</f>
        <v>ua</v>
      </c>
      <c r="G68" s="216" t="s">
        <v>1723</v>
      </c>
      <c r="H68" s="209" t="str" cm="1">
        <f t="array" ref="H68">IFERROR( INDEX(韻母對照資料表[十五音], MATCH(TRUE, EXACT($E68, 韻母對照資料表[台語音標]),0)), "")</f>
        <v>瓜</v>
      </c>
      <c r="I68" s="132" t="str" cm="1">
        <f t="array" ref="I68" xml:space="preserve"> IFERROR( INDEX(韻母對照資料表[漢字例], MATCH(TRUE, EXACT($E68, 韻母對照資料表[台語音標]),0)), "")</f>
        <v>花</v>
      </c>
      <c r="J68" s="132"/>
      <c r="K68" s="74" t="str" cm="1">
        <f t="array" ref="K68" xml:space="preserve"> IFERROR( INDEX(韻母對照資料表[白話字], MATCH(TRUE, EXACT($E68, 韻母對照資料表[台語音標]),0)), "")</f>
        <v>oa</v>
      </c>
      <c r="L68" s="74" t="str" cm="1">
        <f t="array" ref="L68">IFERROR( INDEX(韻母對照資料表[閩拼方案], MATCH(TRUE, EXACT($E68, 韻母對照資料表[台語音標]),0)), "")</f>
        <v>ua</v>
      </c>
      <c r="M68" s="94" t="s">
        <v>1396</v>
      </c>
      <c r="N68" s="75"/>
      <c r="P68" s="87" t="s">
        <v>1019</v>
      </c>
      <c r="Q68" s="90" t="s">
        <v>1553</v>
      </c>
      <c r="R68" s="89" t="s">
        <v>1552</v>
      </c>
      <c r="S68" s="88" t="s">
        <v>1554</v>
      </c>
      <c r="T68" s="88" t="s">
        <v>1555</v>
      </c>
      <c r="W68" s="70"/>
      <c r="X68" s="70"/>
      <c r="Y68" s="70"/>
      <c r="Z68" s="70"/>
    </row>
    <row r="69" spans="2:26" ht="58.5" thickTop="1">
      <c r="B69" s="282" cm="1">
        <f t="array" ref="B69" xml:space="preserve"> ROW() - ROW($2:$2)</f>
        <v>67</v>
      </c>
      <c r="C69" s="212" t="s">
        <v>2249</v>
      </c>
      <c r="D69" s="74" t="str" cm="1">
        <f t="array" ref="D69" xml:space="preserve"> IFERROR( INDEX(韻母對照資料表[台羅拼音], MATCH(TRUE, EXACT($E69, 韻母對照資料表[台語音標]),0)), "")</f>
        <v>uann</v>
      </c>
      <c r="E69" s="212" t="s">
        <v>1735</v>
      </c>
      <c r="F69" s="95" t="str" cm="1">
        <f t="array" ref="F69" xml:space="preserve"> IFERROR( INDEX(韻母對照資料表[注音二式], MATCH(TRUE, EXACT($E69, 韻母對照資料表[台語音標]),0)), "")</f>
        <v>uann</v>
      </c>
      <c r="G69" s="216" t="s">
        <v>1737</v>
      </c>
      <c r="H69" s="209" t="str" cm="1">
        <f t="array" ref="H69">IFERROR( INDEX(韻母對照資料表[十五音], MATCH(TRUE, EXACT($E69, 韻母對照資料表[台語音標]),0)), "")</f>
        <v>官</v>
      </c>
      <c r="I69" s="132" t="str" cm="1">
        <f t="array" ref="I69" xml:space="preserve"> IFERROR( INDEX(韻母對照資料表[漢字例], MATCH(TRUE, EXACT($E69, 韻母對照資料表[台語音標]),0)), "")</f>
        <v>肝</v>
      </c>
      <c r="J69" s="132"/>
      <c r="K69" s="74" t="str" cm="1">
        <f t="array" ref="K69" xml:space="preserve"> IFERROR( INDEX(韻母對照資料表[白話字], MATCH(TRUE, EXACT($E69, 韻母對照資料表[台語音標]),0)), "")</f>
        <v>oaⁿ</v>
      </c>
      <c r="L69" s="74" t="str" cm="1">
        <f t="array" ref="L69">IFERROR( INDEX(韻母對照資料表[閩拼方案], MATCH(TRUE, EXACT($E69, 韻母對照資料表[台語音標]),0)), "")</f>
        <v>nua</v>
      </c>
      <c r="M69" s="94" t="s">
        <v>1396</v>
      </c>
      <c r="N69" s="75"/>
      <c r="P69" s="79">
        <v>1</v>
      </c>
      <c r="Q69" s="99" t="s">
        <v>5</v>
      </c>
      <c r="R69" s="98" t="s">
        <v>1645</v>
      </c>
      <c r="S69" s="96" t="s">
        <v>950</v>
      </c>
      <c r="T69" s="96" t="str">
        <f xml:space="preserve"> LEFT(S69, IF(LEN(S69)=1, 1, LEN(S69)-1)) &amp; "ㆷ"</f>
        <v>ㆬㆷ</v>
      </c>
      <c r="W69" s="70"/>
      <c r="X69" s="70"/>
      <c r="Y69" s="70"/>
      <c r="Z69" s="70"/>
    </row>
    <row r="70" spans="2:26" ht="57.75">
      <c r="B70" s="284" cm="1">
        <f t="array" ref="B70" xml:space="preserve"> ROW() - ROW($2:$2)</f>
        <v>68</v>
      </c>
      <c r="C70" s="214" t="s">
        <v>1824</v>
      </c>
      <c r="D70" s="76" t="str" cm="1">
        <f t="array" ref="D70" xml:space="preserve"> IFERROR( INDEX(韻母對照資料表[台羅拼音], MATCH(TRUE, EXACT($E70, 韻母對照資料表[台語音標]),0)), "")</f>
        <v>uan</v>
      </c>
      <c r="E70" s="214" t="s">
        <v>1824</v>
      </c>
      <c r="F70" s="117" t="str" cm="1">
        <f t="array" ref="F70" xml:space="preserve"> IFERROR( INDEX(韻母對照資料表[注音二式], MATCH(TRUE, EXACT($E70, 韻母對照資料表[台語音標]),0)), "")</f>
        <v>uan</v>
      </c>
      <c r="G70" s="218" t="s">
        <v>2431</v>
      </c>
      <c r="H70" s="211" t="str" cm="1">
        <f t="array" ref="H70">IFERROR( INDEX(韻母對照資料表[十五音], MATCH(TRUE, EXACT($E70, 韻母對照資料表[台語音標]),0)), "")</f>
        <v>觀</v>
      </c>
      <c r="I70" s="136" t="str" cm="1">
        <f t="array" ref="I70" xml:space="preserve"> IFERROR( INDEX(韻母對照資料表[漢字例], MATCH(TRUE, EXACT($E70, 韻母對照資料表[台語音標]),0)), "")</f>
        <v>猿</v>
      </c>
      <c r="J70" s="136"/>
      <c r="K70" s="76" t="str" cm="1">
        <f t="array" ref="K70" xml:space="preserve"> IFERROR( INDEX(韻母對照資料表[白話字], MATCH(TRUE, EXACT($E70, 韻母對照資料表[台語音標]),0)), "")</f>
        <v>oan</v>
      </c>
      <c r="L70" s="76" t="str" cm="1">
        <f t="array" ref="L70">IFERROR( INDEX(韻母對照資料表[閩拼方案], MATCH(TRUE, EXACT($E70, 韻母對照資料表[台語音標]),0)), "")</f>
        <v>uan</v>
      </c>
      <c r="M70" s="116"/>
      <c r="N70" s="77"/>
      <c r="P70" s="79">
        <f>P69+1</f>
        <v>2</v>
      </c>
      <c r="Q70" s="99" t="s">
        <v>1309</v>
      </c>
      <c r="R70" s="98" t="s">
        <v>1647</v>
      </c>
      <c r="S70" s="96" t="s">
        <v>1646</v>
      </c>
      <c r="T70" s="96" t="str">
        <f xml:space="preserve"> LEFT(S70, IF(LEN(S70)=1, 1, LEN(S70)-1)) &amp; "ㆷ"</f>
        <v>ㆭㆷ</v>
      </c>
      <c r="W70" s="70"/>
      <c r="X70" s="70"/>
      <c r="Y70" s="70"/>
      <c r="Z70" s="70"/>
    </row>
    <row r="71" spans="2:26" ht="57.75">
      <c r="B71" s="282" cm="1">
        <f t="array" ref="B71" xml:space="preserve"> ROW() - ROW($2:$2)</f>
        <v>69</v>
      </c>
      <c r="C71" s="212" t="s">
        <v>1729</v>
      </c>
      <c r="D71" s="74" t="str" cm="1">
        <f t="array" ref="D71" xml:space="preserve"> IFERROR( INDEX(韻母對照資料表[台羅拼音], MATCH(TRUE, EXACT($E71, 韻母對照資料表[台語音標]),0)), "")</f>
        <v>uai</v>
      </c>
      <c r="E71" s="212" t="s">
        <v>1729</v>
      </c>
      <c r="F71" s="95" t="str" cm="1">
        <f t="array" ref="F71" xml:space="preserve"> IFERROR( INDEX(韻母對照資料表[注音二式], MATCH(TRUE, EXACT($E71, 韻母對照資料表[台語音標]),0)), "")</f>
        <v>uai</v>
      </c>
      <c r="G71" s="216" t="s">
        <v>1727</v>
      </c>
      <c r="H71" s="209" t="str" cm="1">
        <f t="array" ref="H71">IFERROR( INDEX(韻母對照資料表[十五音], MATCH(TRUE, EXACT($E71, 韻母對照資料表[台語音標]),0)), "")</f>
        <v>乖</v>
      </c>
      <c r="I71" s="132" t="str" cm="1">
        <f t="array" ref="I71" xml:space="preserve"> IFERROR( INDEX(韻母對照資料表[漢字例], MATCH(TRUE, EXACT($E71, 韻母對照資料表[台語音標]),0)), "")</f>
        <v>怪</v>
      </c>
      <c r="J71" s="132"/>
      <c r="K71" s="74" t="str" cm="1">
        <f t="array" ref="K71" xml:space="preserve"> IFERROR( INDEX(韻母對照資料表[白話字], MATCH(TRUE, EXACT($E71, 韻母對照資料表[台語音標]),0)), "")</f>
        <v>oai</v>
      </c>
      <c r="L71" s="74" t="str" cm="1">
        <f t="array" ref="L71">IFERROR( INDEX(韻母對照資料表[閩拼方案], MATCH(TRUE, EXACT($E71, 韻母對照資料表[台語音標]),0)), "")</f>
        <v>uai</v>
      </c>
      <c r="M71" s="94" t="s">
        <v>1396</v>
      </c>
      <c r="N71" s="75"/>
      <c r="W71" s="70"/>
      <c r="X71" s="70"/>
      <c r="Y71" s="70"/>
      <c r="Z71" s="70"/>
    </row>
    <row r="72" spans="2:26" ht="57.75">
      <c r="B72" s="284" cm="1">
        <f t="array" ref="B72" xml:space="preserve"> ROW() - ROW($2:$2)</f>
        <v>70</v>
      </c>
      <c r="C72" s="214" t="s">
        <v>1741</v>
      </c>
      <c r="D72" s="76" t="str" cm="1">
        <f t="array" ref="D72" xml:space="preserve"> IFERROR( INDEX(韻母對照資料表[台羅拼音], MATCH(TRUE, EXACT($E72, 韻母對照資料表[台語音標]),0)), "")</f>
        <v>uainn</v>
      </c>
      <c r="E72" s="214" t="s">
        <v>1867</v>
      </c>
      <c r="F72" s="117" t="str" cm="1">
        <f t="array" ref="F72" xml:space="preserve"> IFERROR( INDEX(韻母對照資料表[注音二式], MATCH(TRUE, EXACT($E72, 韻母對照資料表[台語音標]),0)), "")</f>
        <v>uainn</v>
      </c>
      <c r="G72" s="218" t="s">
        <v>1740</v>
      </c>
      <c r="H72" s="211" t="str" cm="1">
        <f t="array" ref="H72">IFERROR( INDEX(韻母對照資料表[十五音], MATCH(TRUE, EXACT($E72, 韻母對照資料表[台語音標]),0)), "")</f>
        <v>閂</v>
      </c>
      <c r="I72" s="136" t="str" cm="1">
        <f t="array" ref="I72" xml:space="preserve"> IFERROR( INDEX(韻母對照資料表[漢字例], MATCH(TRUE, EXACT($E72, 韻母對照資料表[台語音標]),0)), "")</f>
        <v>檨</v>
      </c>
      <c r="J72" s="136"/>
      <c r="K72" s="76" t="str" cm="1">
        <f t="array" ref="K72" xml:space="preserve"> IFERROR( INDEX(韻母對照資料表[白話字], MATCH(TRUE, EXACT($E72, 韻母對照資料表[台語音標]),0)), "")</f>
        <v>oaiⁿ</v>
      </c>
      <c r="L72" s="76" t="str" cm="1">
        <f t="array" ref="L72">IFERROR( INDEX(韻母對照資料表[閩拼方案], MATCH(TRUE, EXACT($E72, 韻母對照資料表[台語音標]),0)), "")</f>
        <v>nuai</v>
      </c>
      <c r="M72" s="116" t="s">
        <v>1396</v>
      </c>
      <c r="N72" s="77"/>
      <c r="W72" s="70"/>
      <c r="X72" s="70"/>
      <c r="Y72" s="70"/>
      <c r="Z72" s="70"/>
    </row>
    <row r="73" spans="2:26" ht="57.75">
      <c r="B73" s="285" cm="1">
        <f t="array" ref="B73" xml:space="preserve"> ROW() - ROW($2:$2)</f>
        <v>71</v>
      </c>
      <c r="C73" s="254" t="s">
        <v>1722</v>
      </c>
      <c r="D73" s="118" t="str" cm="1">
        <f t="array" ref="D73" xml:space="preserve"> IFERROR( INDEX(韻母對照資料表[台羅拼音], MATCH(TRUE, EXACT($E73, 韻母對照資料表[台語音標]),0)), "")</f>
        <v>ue</v>
      </c>
      <c r="E73" s="254" t="s">
        <v>1722</v>
      </c>
      <c r="F73" s="120" t="str" cm="1">
        <f t="array" ref="F73" xml:space="preserve"> IFERROR( INDEX(韻母對照資料表[注音二式], MATCH(TRUE, EXACT($E73, 韻母對照資料表[台語音標]),0)), "")</f>
        <v>ue</v>
      </c>
      <c r="G73" s="255" t="s">
        <v>1589</v>
      </c>
      <c r="H73" s="219" t="str" cm="1">
        <f t="array" ref="H73">IFERROR( INDEX(韻母對照資料表[十五音], MATCH(TRUE, EXACT($E73, 韻母對照資料表[台語音標]),0)), "")</f>
        <v>檜</v>
      </c>
      <c r="I73" s="138" t="str" cm="1">
        <f t="array" ref="I73" xml:space="preserve"> IFERROR( INDEX(韻母對照資料表[漢字例], MATCH(TRUE, EXACT($E73, 韻母對照資料表[台語音標]),0)), "")</f>
        <v>話</v>
      </c>
      <c r="J73" s="138"/>
      <c r="K73" s="118" t="str" cm="1">
        <f t="array" ref="K73" xml:space="preserve"> IFERROR( INDEX(韻母對照資料表[白話字], MATCH(TRUE, EXACT($E73, 韻母對照資料表[台語音標]),0)), "")</f>
        <v>oe</v>
      </c>
      <c r="L73" s="118" t="str" cm="1">
        <f t="array" ref="L73">IFERROR( INDEX(韻母對照資料表[閩拼方案], MATCH(TRUE, EXACT($E73, 韻母對照資料表[台語音標]),0)), "")</f>
        <v>ue</v>
      </c>
      <c r="M73" s="119" t="s">
        <v>1396</v>
      </c>
      <c r="N73" s="78"/>
      <c r="W73" s="70"/>
      <c r="X73" s="70"/>
      <c r="Y73" s="70"/>
      <c r="Z73" s="70"/>
    </row>
    <row r="74" spans="2:26" ht="57.75">
      <c r="B74" s="282" cm="1">
        <f t="array" ref="B74" xml:space="preserve"> ROW() - ROW($2:$2)</f>
        <v>72</v>
      </c>
      <c r="C74" s="212" t="s">
        <v>1725</v>
      </c>
      <c r="D74" s="74" t="str" cm="1">
        <f t="array" ref="D74" xml:space="preserve"> IFERROR( INDEX(韻母對照資料表[台羅拼音], MATCH(TRUE, EXACT($E74, 韻母對照資料表[台語音標]),0)), "")</f>
        <v>ui</v>
      </c>
      <c r="E74" s="212" t="s">
        <v>1725</v>
      </c>
      <c r="F74" s="95" t="str" cm="1">
        <f t="array" ref="F74" xml:space="preserve"> IFERROR( INDEX(韻母對照資料表[注音二式], MATCH(TRUE, EXACT($E74, 韻母對照資料表[台語音標]),0)), "")</f>
        <v>ui</v>
      </c>
      <c r="G74" s="216" t="s">
        <v>1724</v>
      </c>
      <c r="H74" s="209" t="str" cm="1">
        <f t="array" ref="H74">IFERROR( INDEX(韻母對照資料表[十五音], MATCH(TRUE, EXACT($E74, 韻母對照資料表[台語音標]),0)), "")</f>
        <v>規</v>
      </c>
      <c r="I74" s="132" t="str" cm="1">
        <f t="array" ref="I74" xml:space="preserve"> IFERROR( INDEX(韻母對照資料表[漢字例], MATCH(TRUE, EXACT($E74, 韻母對照資料表[台語音標]),0)), "")</f>
        <v>歸</v>
      </c>
      <c r="J74" s="132"/>
      <c r="K74" s="74" t="str" cm="1">
        <f t="array" ref="K74" xml:space="preserve"> IFERROR( INDEX(韻母對照資料表[白話字], MATCH(TRUE, EXACT($E74, 韻母對照資料表[台語音標]),0)), "")</f>
        <v>ui</v>
      </c>
      <c r="L74" s="74" t="str" cm="1">
        <f t="array" ref="L74">IFERROR( INDEX(韻母對照資料表[閩拼方案], MATCH(TRUE, EXACT($E74, 韻母對照資料表[台語音標]),0)), "")</f>
        <v>ui</v>
      </c>
      <c r="M74" s="94" t="s">
        <v>1396</v>
      </c>
      <c r="N74" s="75"/>
      <c r="W74" s="70"/>
      <c r="X74" s="70"/>
      <c r="Y74" s="70"/>
      <c r="Z74" s="70"/>
    </row>
    <row r="75" spans="2:26" ht="57.75">
      <c r="B75" s="284" cm="1">
        <f t="array" ref="B75" xml:space="preserve"> ROW() - ROW($2:$2)</f>
        <v>73</v>
      </c>
      <c r="C75" s="214" t="s">
        <v>2250</v>
      </c>
      <c r="D75" s="76" t="str" cm="1">
        <f t="array" ref="D75" xml:space="preserve"> IFERROR( INDEX(韻母對照資料表[台羅拼音], MATCH(TRUE, EXACT($E75, 韻母對照資料表[台語音標]),0)), "")</f>
        <v>uinn</v>
      </c>
      <c r="E75" s="214" t="s">
        <v>1736</v>
      </c>
      <c r="F75" s="117" t="str" cm="1">
        <f t="array" ref="F75" xml:space="preserve"> IFERROR( INDEX(韻母對照資料表[注音二式], MATCH(TRUE, EXACT($E75, 韻母對照資料表[台語音標]),0)), "")</f>
        <v>uinn</v>
      </c>
      <c r="G75" s="218" t="s">
        <v>1738</v>
      </c>
      <c r="H75" s="211" t="str" cm="1">
        <f t="array" ref="H75">IFERROR( INDEX(韻母對照資料表[十五音], MATCH(TRUE, EXACT($E75, 韻母對照資料表[台語音標]),0)), "")</f>
        <v>褌</v>
      </c>
      <c r="I75" s="230" t="str" cm="1">
        <f t="array" ref="I75" xml:space="preserve"> IFERROR( INDEX(韻母對照資料表[漢字例], MATCH(TRUE, EXACT($E75, 韻母對照資料表[台語音標]),0)), "")</f>
        <v>荒</v>
      </c>
      <c r="J75" s="230"/>
      <c r="K75" s="76" t="str" cm="1">
        <f t="array" ref="K75" xml:space="preserve"> IFERROR( INDEX(韻母對照資料表[白話字], MATCH(TRUE, EXACT($E75, 韻母對照資料表[台語音標]),0)), "")</f>
        <v>uiⁿ</v>
      </c>
      <c r="L75" s="76" t="str" cm="1">
        <f t="array" ref="L75">IFERROR( INDEX(韻母對照資料表[閩拼方案], MATCH(TRUE, EXACT($E75, 韻母對照資料表[台語音標]),0)), "")</f>
        <v>nui</v>
      </c>
      <c r="M75" s="116" t="s">
        <v>1396</v>
      </c>
      <c r="N75" s="77"/>
      <c r="W75" s="70"/>
      <c r="X75" s="70"/>
      <c r="Y75" s="70"/>
      <c r="Z75" s="70"/>
    </row>
    <row r="76" spans="2:26" ht="57.75">
      <c r="B76" s="282" cm="1">
        <f t="array" ref="B76" xml:space="preserve"> ROW() - ROW($2:$2)</f>
        <v>74</v>
      </c>
      <c r="C76" s="212" t="s">
        <v>1545</v>
      </c>
      <c r="D76" s="74" t="str" cm="1">
        <f t="array" ref="D76" xml:space="preserve"> IFERROR( INDEX(韻母對照資料表[台羅拼音], MATCH(TRUE, EXACT($E76, 韻母對照資料表[台語音標]),0)), "")</f>
        <v>m</v>
      </c>
      <c r="E76" s="212" t="s">
        <v>1461</v>
      </c>
      <c r="F76" s="95" t="str" cm="1">
        <f t="array" ref="F76" xml:space="preserve"> IFERROR( INDEX(韻母對照資料表[注音二式], MATCH(TRUE, EXACT($E76, 韻母對照資料表[台語音標]),0)), "")</f>
        <v>m</v>
      </c>
      <c r="G76" s="216" t="s">
        <v>1619</v>
      </c>
      <c r="H76" s="209" t="str" cm="1">
        <f t="array" ref="H76">IFERROR( INDEX(韻母對照資料表[十五音], MATCH(TRUE, EXACT($E76, 韻母對照資料表[台語音標]),0)), "")</f>
        <v>姆</v>
      </c>
      <c r="I76" s="132" t="str" cm="1">
        <f t="array" ref="I76" xml:space="preserve"> IFERROR( INDEX(韻母對照資料表[漢字例], MATCH(TRUE, EXACT($E76, 韻母對照資料表[台語音標]),0)), "")</f>
        <v>姆</v>
      </c>
      <c r="J76" s="132"/>
      <c r="K76" s="74" t="str" cm="1">
        <f t="array" ref="K76" xml:space="preserve"> IFERROR( INDEX(韻母對照資料表[白話字], MATCH(TRUE, EXACT($E76, 韻母對照資料表[台語音標]),0)), "")</f>
        <v>m</v>
      </c>
      <c r="L76" s="74" t="str" cm="1">
        <f t="array" ref="L76">IFERROR( INDEX(韻母對照資料表[閩拼方案], MATCH(TRUE, EXACT($E76, 韻母對照資料表[台語音標]),0)), "")</f>
        <v>m</v>
      </c>
      <c r="M76" s="94" t="s">
        <v>5</v>
      </c>
      <c r="N76" s="75" t="s">
        <v>1501</v>
      </c>
      <c r="W76" s="70"/>
      <c r="X76" s="70"/>
      <c r="Y76" s="70"/>
      <c r="Z76" s="70"/>
    </row>
    <row r="77" spans="2:26" ht="57.75">
      <c r="B77" s="282" cm="1">
        <f t="array" ref="B77" xml:space="preserve"> ROW() - ROW($2:$2)</f>
        <v>75</v>
      </c>
      <c r="C77" s="212" t="s">
        <v>1481</v>
      </c>
      <c r="D77" s="74" t="s">
        <v>1091</v>
      </c>
      <c r="E77" s="212" t="s">
        <v>1481</v>
      </c>
      <c r="F77" s="273" t="s">
        <v>1091</v>
      </c>
      <c r="G77" s="216" t="s">
        <v>1539</v>
      </c>
      <c r="H77" s="268" t="str" cm="1">
        <f t="array" ref="H77">IFERROR( INDEX(韻母對照資料表[十五音], MATCH(TRUE, EXACT($E77, 韻母對照資料表[台語音標]),0)), "")</f>
        <v/>
      </c>
      <c r="I77" s="139" t="s">
        <v>2434</v>
      </c>
      <c r="J77" s="132"/>
      <c r="K77" s="74" t="s">
        <v>1091</v>
      </c>
      <c r="L77" s="74" t="s">
        <v>1091</v>
      </c>
      <c r="M77" s="274" t="s">
        <v>1091</v>
      </c>
      <c r="N77" s="75" t="s">
        <v>1488</v>
      </c>
      <c r="W77" s="70"/>
      <c r="X77" s="70"/>
      <c r="Y77" s="70"/>
      <c r="Z77" s="70"/>
    </row>
    <row r="78" spans="2:26" ht="57.75">
      <c r="B78" s="284" cm="1">
        <f t="array" ref="B78" xml:space="preserve"> ROW() - ROW($2:$2)</f>
        <v>76</v>
      </c>
      <c r="C78" s="214" t="s">
        <v>955</v>
      </c>
      <c r="D78" s="76" t="str" cm="1">
        <f t="array" ref="D78" xml:space="preserve"> IFERROR( INDEX(韻母對照資料表[台羅拼音], MATCH(TRUE, EXACT($E78, 韻母對照資料表[台語音標]),0)), "")</f>
        <v>ng</v>
      </c>
      <c r="E78" s="214" t="s">
        <v>1495</v>
      </c>
      <c r="F78" s="117" t="str" cm="1">
        <f t="array" ref="F78" xml:space="preserve"> IFERROR( INDEX(韻母對照資料表[注音二式], MATCH(TRUE, EXACT($E78, 韻母對照資料表[台語音標]),0)), "")</f>
        <v>ng</v>
      </c>
      <c r="G78" s="218" t="s">
        <v>1646</v>
      </c>
      <c r="H78" s="211" t="str" cm="1">
        <f t="array" ref="H78">IFERROR( INDEX(韻母對照資料表[十五音], MATCH(TRUE, EXACT($E78, 韻母對照資料表[台語音標]),0)), "")</f>
        <v>鋼</v>
      </c>
      <c r="I78" s="136" t="str" cm="1">
        <f t="array" ref="I78" xml:space="preserve"> IFERROR( INDEX(韻母對照資料表[漢字例], MATCH(TRUE, EXACT($E78, 韻母對照資料表[台語音標]),0)), "")</f>
        <v>床</v>
      </c>
      <c r="J78" s="136"/>
      <c r="K78" s="76" t="str" cm="1">
        <f t="array" ref="K78" xml:space="preserve"> IFERROR( INDEX(韻母對照資料表[白話字], MATCH(TRUE, EXACT($E78, 韻母對照資料表[台語音標]),0)), "")</f>
        <v>ng</v>
      </c>
      <c r="L78" s="76" t="str" cm="1">
        <f t="array" ref="L78">IFERROR( INDEX(韻母對照資料表[閩拼方案], MATCH(TRUE, EXACT($E78, 韻母對照資料表[台語音標]),0)), "")</f>
        <v>ng</v>
      </c>
      <c r="M78" s="116" t="s">
        <v>1477</v>
      </c>
      <c r="N78" s="77" t="s">
        <v>732</v>
      </c>
      <c r="W78" s="70"/>
      <c r="X78" s="70"/>
      <c r="Y78" s="70"/>
      <c r="Z78" s="70"/>
    </row>
    <row r="79" spans="2:26">
      <c r="B79" s="282" cm="1">
        <f t="array" ref="B79" xml:space="preserve"> ROW() - ROW($2:$2)</f>
        <v>77</v>
      </c>
      <c r="C79" s="95" t="s">
        <v>2368</v>
      </c>
      <c r="D79" s="74"/>
      <c r="E79" s="95" t="s">
        <v>2337</v>
      </c>
      <c r="F79" s="95"/>
      <c r="G79" s="216" t="s">
        <v>2281</v>
      </c>
      <c r="H79" s="124"/>
      <c r="I79" s="124" t="s">
        <v>2343</v>
      </c>
      <c r="J79" s="124"/>
      <c r="K79" s="74"/>
      <c r="L79" s="74"/>
      <c r="M79" s="94" t="s">
        <v>1592</v>
      </c>
      <c r="N79" s="75" t="s">
        <v>6</v>
      </c>
      <c r="W79" s="70"/>
      <c r="X79" s="70"/>
      <c r="Y79" s="70"/>
      <c r="Z79" s="70"/>
    </row>
    <row r="80" spans="2:26">
      <c r="B80" s="282" cm="1">
        <f t="array" ref="B80" xml:space="preserve"> ROW() - ROW($2:$2)</f>
        <v>78</v>
      </c>
      <c r="C80" s="95" t="s">
        <v>2369</v>
      </c>
      <c r="D80" s="74"/>
      <c r="E80" s="95" t="s">
        <v>2338</v>
      </c>
      <c r="F80" s="95"/>
      <c r="G80" s="216" t="s">
        <v>2282</v>
      </c>
      <c r="H80" s="124"/>
      <c r="I80" s="124" t="s">
        <v>2341</v>
      </c>
      <c r="J80" s="124"/>
      <c r="K80" s="74"/>
      <c r="L80" s="74"/>
      <c r="M80" s="94" t="s">
        <v>2322</v>
      </c>
      <c r="N80" s="75" t="s">
        <v>16</v>
      </c>
      <c r="W80" s="70"/>
      <c r="X80" s="70"/>
      <c r="Y80" s="70"/>
      <c r="Z80" s="70"/>
    </row>
    <row r="81" spans="2:26">
      <c r="B81" s="282" cm="1">
        <f t="array" ref="B81" xml:space="preserve"> ROW() - ROW($2:$2)</f>
        <v>79</v>
      </c>
      <c r="C81" s="95" t="s">
        <v>2370</v>
      </c>
      <c r="D81" s="74"/>
      <c r="E81" s="95" t="s">
        <v>2339</v>
      </c>
      <c r="F81" s="95"/>
      <c r="G81" s="216" t="s">
        <v>2283</v>
      </c>
      <c r="H81" s="124"/>
      <c r="I81" s="124" t="s">
        <v>2340</v>
      </c>
      <c r="J81" s="124"/>
      <c r="K81" s="74"/>
      <c r="L81" s="74"/>
      <c r="M81" s="94" t="s">
        <v>1446</v>
      </c>
      <c r="N81" s="75" t="s">
        <v>1027</v>
      </c>
      <c r="W81" s="70"/>
      <c r="X81" s="70"/>
      <c r="Y81" s="70"/>
      <c r="Z81" s="70"/>
    </row>
    <row r="82" spans="2:26">
      <c r="B82" s="282" cm="1">
        <f t="array" ref="B82" xml:space="preserve"> ROW() - ROW($2:$2)</f>
        <v>80</v>
      </c>
      <c r="C82" s="95" t="s">
        <v>1686</v>
      </c>
      <c r="D82" s="74"/>
      <c r="E82" s="95" t="s">
        <v>1546</v>
      </c>
      <c r="F82" s="95"/>
      <c r="G82" s="216" t="s">
        <v>1547</v>
      </c>
      <c r="H82" s="124"/>
      <c r="I82" s="124" t="s">
        <v>2342</v>
      </c>
      <c r="J82" s="124"/>
      <c r="K82" s="74"/>
      <c r="L82" s="74"/>
      <c r="M82" s="94" t="s">
        <v>2323</v>
      </c>
      <c r="N82" s="75" t="s">
        <v>1518</v>
      </c>
      <c r="W82" s="70"/>
      <c r="X82" s="70"/>
      <c r="Y82" s="70"/>
      <c r="Z82" s="70"/>
    </row>
    <row r="83" spans="2:26" ht="43.5">
      <c r="B83" s="283" cm="1">
        <f t="array" ref="B83" xml:space="preserve"> ROW() - ROW($2:$2)</f>
        <v>81</v>
      </c>
      <c r="C83" s="113" t="s">
        <v>2332</v>
      </c>
      <c r="D83" s="72">
        <v>1</v>
      </c>
      <c r="E83" s="113">
        <v>1</v>
      </c>
      <c r="F83" s="113">
        <v>1</v>
      </c>
      <c r="G83" s="217" t="s">
        <v>1455</v>
      </c>
      <c r="H83" s="240" t="s">
        <v>1188</v>
      </c>
      <c r="I83" s="133" t="s">
        <v>2292</v>
      </c>
      <c r="J83" s="125"/>
      <c r="K83" s="72">
        <v>1</v>
      </c>
      <c r="L83" s="72">
        <v>1</v>
      </c>
      <c r="M83" s="112">
        <v>1</v>
      </c>
      <c r="N83" s="73" t="s">
        <v>1513</v>
      </c>
      <c r="W83" s="70"/>
      <c r="X83" s="70"/>
      <c r="Y83" s="70"/>
      <c r="Z83" s="70"/>
    </row>
    <row r="84" spans="2:26" ht="43.5">
      <c r="B84" s="282" cm="1">
        <f t="array" ref="B84" xml:space="preserve"> ROW() - ROW($2:$2)</f>
        <v>82</v>
      </c>
      <c r="C84" s="95" t="s">
        <v>2333</v>
      </c>
      <c r="D84" s="74">
        <v>2</v>
      </c>
      <c r="E84" s="95">
        <v>2</v>
      </c>
      <c r="F84" s="95">
        <v>2</v>
      </c>
      <c r="G84" s="216" t="s">
        <v>1411</v>
      </c>
      <c r="H84" s="241" t="s">
        <v>2324</v>
      </c>
      <c r="I84" s="132" t="s">
        <v>2326</v>
      </c>
      <c r="J84" s="124"/>
      <c r="K84" s="74">
        <v>2</v>
      </c>
      <c r="L84" s="74">
        <v>3</v>
      </c>
      <c r="M84" s="94">
        <v>2</v>
      </c>
      <c r="N84" s="75" t="s">
        <v>1510</v>
      </c>
      <c r="W84" s="70"/>
      <c r="X84" s="70"/>
      <c r="Y84" s="70"/>
      <c r="Z84" s="70"/>
    </row>
    <row r="85" spans="2:26" ht="43.5">
      <c r="B85" s="282" cm="1">
        <f t="array" ref="B85" xml:space="preserve"> ROW() - ROW($2:$2)</f>
        <v>83</v>
      </c>
      <c r="C85" s="95" t="s">
        <v>2334</v>
      </c>
      <c r="D85" s="74">
        <v>3</v>
      </c>
      <c r="E85" s="95">
        <v>3</v>
      </c>
      <c r="F85" s="95">
        <v>3</v>
      </c>
      <c r="G85" s="216" t="s">
        <v>1406</v>
      </c>
      <c r="H85" s="241" t="s">
        <v>1670</v>
      </c>
      <c r="I85" s="132" t="s">
        <v>2331</v>
      </c>
      <c r="J85" s="124"/>
      <c r="K85" s="74">
        <v>3</v>
      </c>
      <c r="L85" s="74">
        <v>5</v>
      </c>
      <c r="M85" s="94">
        <v>3</v>
      </c>
      <c r="N85" s="75" t="s">
        <v>4</v>
      </c>
      <c r="W85" s="70"/>
      <c r="X85" s="70"/>
      <c r="Y85" s="70"/>
      <c r="Z85" s="70"/>
    </row>
    <row r="86" spans="2:26" ht="43.5">
      <c r="B86" s="282" cm="1">
        <f t="array" ref="B86" xml:space="preserve"> ROW() - ROW($2:$2)</f>
        <v>84</v>
      </c>
      <c r="C86" s="244" t="s">
        <v>2344</v>
      </c>
      <c r="D86" s="74">
        <v>4</v>
      </c>
      <c r="E86" s="95">
        <v>4</v>
      </c>
      <c r="F86" s="95">
        <v>4</v>
      </c>
      <c r="G86" s="216"/>
      <c r="H86" s="241" t="s">
        <v>2330</v>
      </c>
      <c r="I86" s="132" t="s">
        <v>2329</v>
      </c>
      <c r="J86" s="124"/>
      <c r="K86" s="74">
        <v>4</v>
      </c>
      <c r="L86" s="74">
        <v>7</v>
      </c>
      <c r="M86" s="94">
        <v>4</v>
      </c>
      <c r="N86" s="75"/>
      <c r="W86" s="70"/>
      <c r="X86" s="70"/>
      <c r="Y86" s="70"/>
      <c r="Z86" s="70"/>
    </row>
    <row r="87" spans="2:26" ht="43.5">
      <c r="B87" s="282" cm="1">
        <f t="array" ref="B87" xml:space="preserve"> ROW() - ROW($2:$2)</f>
        <v>85</v>
      </c>
      <c r="C87" s="95" t="s">
        <v>2335</v>
      </c>
      <c r="D87" s="74">
        <v>5</v>
      </c>
      <c r="E87" s="95">
        <v>5</v>
      </c>
      <c r="F87" s="95">
        <v>5</v>
      </c>
      <c r="G87" s="216" t="s">
        <v>1416</v>
      </c>
      <c r="H87" s="241" t="s">
        <v>2325</v>
      </c>
      <c r="I87" s="132" t="s">
        <v>2328</v>
      </c>
      <c r="J87" s="124"/>
      <c r="K87" s="74">
        <v>5</v>
      </c>
      <c r="L87" s="74">
        <v>2</v>
      </c>
      <c r="M87" s="94">
        <v>5</v>
      </c>
      <c r="N87" s="75" t="s">
        <v>1515</v>
      </c>
      <c r="W87" s="70"/>
      <c r="X87" s="70"/>
      <c r="Y87" s="70"/>
      <c r="Z87" s="70"/>
    </row>
    <row r="88" spans="2:26" ht="43.5">
      <c r="B88" s="282" cm="1">
        <f t="array" ref="B88" xml:space="preserve"> ROW() - ROW($2:$2)</f>
        <v>86</v>
      </c>
      <c r="C88" s="95" t="s">
        <v>2336</v>
      </c>
      <c r="D88" s="74">
        <v>7</v>
      </c>
      <c r="E88" s="95">
        <v>7</v>
      </c>
      <c r="F88" s="95">
        <v>7</v>
      </c>
      <c r="G88" s="216" t="s">
        <v>1401</v>
      </c>
      <c r="H88" s="241" t="s">
        <v>1679</v>
      </c>
      <c r="I88" s="132" t="s">
        <v>2327</v>
      </c>
      <c r="J88" s="124"/>
      <c r="K88" s="74">
        <v>7</v>
      </c>
      <c r="L88" s="74">
        <v>6</v>
      </c>
      <c r="M88" s="94">
        <v>7</v>
      </c>
      <c r="N88" s="75" t="s">
        <v>1520</v>
      </c>
      <c r="W88" s="70"/>
      <c r="X88" s="70"/>
      <c r="Y88" s="70"/>
      <c r="Z88" s="70"/>
    </row>
    <row r="89" spans="2:26" ht="43.5">
      <c r="B89" s="284" cm="1">
        <f t="array" ref="B89" xml:space="preserve"> ROW() - ROW($2:$2)</f>
        <v>87</v>
      </c>
      <c r="C89" s="243" t="s">
        <v>2345</v>
      </c>
      <c r="D89" s="76">
        <v>8</v>
      </c>
      <c r="E89" s="117">
        <v>8</v>
      </c>
      <c r="F89" s="117">
        <v>8</v>
      </c>
      <c r="G89" s="218" t="s">
        <v>1427</v>
      </c>
      <c r="H89" s="242" t="s">
        <v>2206</v>
      </c>
      <c r="I89" s="136" t="s">
        <v>1175</v>
      </c>
      <c r="J89" s="126"/>
      <c r="K89" s="76">
        <v>8</v>
      </c>
      <c r="L89" s="76">
        <v>8</v>
      </c>
      <c r="M89" s="116">
        <v>8</v>
      </c>
      <c r="N89" s="77"/>
      <c r="W89" s="70"/>
      <c r="X89" s="70"/>
      <c r="Y89" s="70"/>
      <c r="Z89" s="70"/>
    </row>
    <row r="90" spans="2:26">
      <c r="W90" s="70"/>
      <c r="X90" s="70"/>
      <c r="Y90" s="70"/>
      <c r="Z90" s="70"/>
    </row>
    <row r="91" spans="2:26">
      <c r="W91" s="70"/>
      <c r="X91" s="70"/>
      <c r="Y91" s="70"/>
      <c r="Z91" s="70"/>
    </row>
    <row r="92" spans="2:26">
      <c r="W92" s="70"/>
      <c r="X92" s="70"/>
      <c r="Y92" s="70"/>
      <c r="Z92" s="70"/>
    </row>
  </sheetData>
  <phoneticPr fontId="3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6DCA-7580-4533-89A5-751359CFC28C}">
  <sheetPr>
    <tabColor rgb="FF92D050"/>
  </sheetPr>
  <dimension ref="B2:T89"/>
  <sheetViews>
    <sheetView showGridLines="0" workbookViewId="0">
      <selection activeCell="C12" sqref="C12"/>
    </sheetView>
  </sheetViews>
  <sheetFormatPr defaultColWidth="16.125" defaultRowHeight="25.5"/>
  <cols>
    <col min="1" max="1" width="6.375" style="3" customWidth="1"/>
    <col min="2" max="20" width="11.625" style="3" customWidth="1"/>
    <col min="21" max="16384" width="16.125" style="3"/>
  </cols>
  <sheetData>
    <row r="2" spans="2:20">
      <c r="B2" s="1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</row>
    <row r="3" spans="2:20">
      <c r="B3" s="1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  <c r="K3" s="4" t="s">
        <v>27</v>
      </c>
      <c r="L3" s="4" t="s">
        <v>28</v>
      </c>
      <c r="M3" s="4" t="s">
        <v>29</v>
      </c>
      <c r="N3" s="4" t="s">
        <v>30</v>
      </c>
      <c r="O3" s="4"/>
      <c r="P3" s="4" t="s">
        <v>31</v>
      </c>
      <c r="Q3" s="4" t="s">
        <v>32</v>
      </c>
      <c r="R3" s="4" t="s">
        <v>33</v>
      </c>
      <c r="S3" s="4" t="s">
        <v>34</v>
      </c>
      <c r="T3" s="4" t="s">
        <v>35</v>
      </c>
    </row>
    <row r="4" spans="2:20">
      <c r="B4" s="1" t="s">
        <v>36</v>
      </c>
      <c r="C4" s="4" t="s">
        <v>37</v>
      </c>
      <c r="D4" s="4" t="s">
        <v>38</v>
      </c>
      <c r="E4" s="4"/>
      <c r="F4" s="4" t="s">
        <v>39</v>
      </c>
      <c r="G4" s="4"/>
      <c r="H4" s="4"/>
      <c r="I4" s="4" t="s">
        <v>40</v>
      </c>
      <c r="J4" s="4" t="s">
        <v>41</v>
      </c>
      <c r="K4" s="4"/>
      <c r="L4" s="4"/>
      <c r="M4" s="4" t="s">
        <v>42</v>
      </c>
      <c r="N4" s="4" t="s">
        <v>43</v>
      </c>
      <c r="O4" s="4"/>
      <c r="P4" s="4" t="s">
        <v>44</v>
      </c>
      <c r="Q4" s="4" t="s">
        <v>45</v>
      </c>
      <c r="R4" s="4" t="s">
        <v>46</v>
      </c>
      <c r="S4" s="4"/>
      <c r="T4" s="4"/>
    </row>
    <row r="5" spans="2:20">
      <c r="B5" s="1" t="s">
        <v>47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53</v>
      </c>
      <c r="I5" s="4" t="s">
        <v>54</v>
      </c>
      <c r="J5" s="4" t="s">
        <v>55</v>
      </c>
      <c r="K5" s="4" t="s">
        <v>56</v>
      </c>
      <c r="L5" s="4" t="s">
        <v>57</v>
      </c>
      <c r="M5" s="4" t="s">
        <v>58</v>
      </c>
      <c r="N5" s="4" t="s">
        <v>59</v>
      </c>
      <c r="O5" s="4"/>
      <c r="P5" s="4" t="s">
        <v>60</v>
      </c>
      <c r="Q5" s="4" t="s">
        <v>61</v>
      </c>
      <c r="R5" s="4" t="s">
        <v>62</v>
      </c>
      <c r="S5" s="4"/>
      <c r="T5" s="4"/>
    </row>
    <row r="6" spans="2:20">
      <c r="B6" s="1" t="s">
        <v>63</v>
      </c>
      <c r="C6" s="4" t="s">
        <v>64</v>
      </c>
      <c r="D6" s="4" t="s">
        <v>65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 t="s">
        <v>66</v>
      </c>
      <c r="Q6" s="4"/>
      <c r="R6" s="4"/>
      <c r="S6" s="4"/>
      <c r="T6" s="4"/>
    </row>
    <row r="7" spans="2:20">
      <c r="B7" s="1" t="s">
        <v>67</v>
      </c>
      <c r="C7" s="4" t="s">
        <v>68</v>
      </c>
      <c r="D7" s="4" t="s">
        <v>69</v>
      </c>
      <c r="E7" s="4"/>
      <c r="F7" s="4"/>
      <c r="G7" s="4"/>
      <c r="H7" s="4"/>
      <c r="I7" s="4" t="s">
        <v>70</v>
      </c>
      <c r="J7" s="4" t="s">
        <v>71</v>
      </c>
      <c r="K7" s="4"/>
      <c r="L7" s="4" t="s">
        <v>72</v>
      </c>
      <c r="M7" s="4" t="s">
        <v>73</v>
      </c>
      <c r="N7" s="4" t="s">
        <v>74</v>
      </c>
      <c r="O7" s="4"/>
      <c r="P7" s="4" t="s">
        <v>75</v>
      </c>
      <c r="Q7" s="4" t="s">
        <v>76</v>
      </c>
      <c r="R7" s="4" t="s">
        <v>77</v>
      </c>
      <c r="S7" s="4" t="s">
        <v>78</v>
      </c>
      <c r="T7" s="4"/>
    </row>
    <row r="8" spans="2:20">
      <c r="B8" s="1" t="s">
        <v>79</v>
      </c>
      <c r="C8" s="4" t="s">
        <v>80</v>
      </c>
      <c r="D8" s="4" t="s">
        <v>81</v>
      </c>
      <c r="E8" s="4" t="s">
        <v>82</v>
      </c>
      <c r="F8" s="4" t="s">
        <v>83</v>
      </c>
      <c r="G8" s="4" t="s">
        <v>84</v>
      </c>
      <c r="H8" s="4"/>
      <c r="I8" s="4" t="s">
        <v>85</v>
      </c>
      <c r="J8" s="4" t="s">
        <v>86</v>
      </c>
      <c r="K8" s="4"/>
      <c r="L8" s="4" t="s">
        <v>87</v>
      </c>
      <c r="M8" s="4" t="s">
        <v>88</v>
      </c>
      <c r="N8" s="4" t="s">
        <v>89</v>
      </c>
      <c r="O8" s="4"/>
      <c r="P8" s="4" t="s">
        <v>90</v>
      </c>
      <c r="Q8" s="4" t="s">
        <v>91</v>
      </c>
      <c r="R8" s="4" t="s">
        <v>92</v>
      </c>
      <c r="S8" s="4" t="s">
        <v>93</v>
      </c>
      <c r="T8" s="4"/>
    </row>
    <row r="9" spans="2:20">
      <c r="B9" s="1" t="s">
        <v>94</v>
      </c>
      <c r="C9" s="4" t="s">
        <v>95</v>
      </c>
      <c r="D9" s="4" t="s">
        <v>96</v>
      </c>
      <c r="E9" s="4" t="s">
        <v>97</v>
      </c>
      <c r="F9" s="4" t="s">
        <v>98</v>
      </c>
      <c r="G9" s="4" t="s">
        <v>99</v>
      </c>
      <c r="H9" s="4"/>
      <c r="I9" s="4" t="s">
        <v>100</v>
      </c>
      <c r="J9" s="4" t="s">
        <v>101</v>
      </c>
      <c r="K9" s="4"/>
      <c r="L9" s="4" t="s">
        <v>102</v>
      </c>
      <c r="M9" s="4" t="s">
        <v>103</v>
      </c>
      <c r="N9" s="4" t="s">
        <v>104</v>
      </c>
      <c r="O9" s="4"/>
      <c r="P9" s="4" t="s">
        <v>105</v>
      </c>
      <c r="Q9" s="4" t="s">
        <v>106</v>
      </c>
      <c r="R9" s="4" t="s">
        <v>107</v>
      </c>
      <c r="S9" s="4" t="s">
        <v>108</v>
      </c>
      <c r="T9" s="4"/>
    </row>
    <row r="10" spans="2:20">
      <c r="B10" s="1" t="s">
        <v>109</v>
      </c>
      <c r="C10" s="4" t="s">
        <v>110</v>
      </c>
      <c r="D10" s="4" t="s">
        <v>111</v>
      </c>
      <c r="E10" s="4"/>
      <c r="F10" s="4"/>
      <c r="G10" s="4"/>
      <c r="H10" s="4"/>
      <c r="I10" s="4" t="s">
        <v>112</v>
      </c>
      <c r="J10" s="4" t="s">
        <v>113</v>
      </c>
      <c r="K10" s="4"/>
      <c r="L10" s="4" t="s">
        <v>114</v>
      </c>
      <c r="M10" s="4" t="s">
        <v>115</v>
      </c>
      <c r="N10" s="4" t="s">
        <v>116</v>
      </c>
      <c r="O10" s="4"/>
      <c r="P10" s="4" t="s">
        <v>117</v>
      </c>
      <c r="Q10" s="4" t="s">
        <v>118</v>
      </c>
      <c r="R10" s="4" t="s">
        <v>119</v>
      </c>
      <c r="S10" s="4"/>
      <c r="T10" s="4"/>
    </row>
    <row r="11" spans="2:20">
      <c r="B11" s="1" t="s">
        <v>120</v>
      </c>
      <c r="C11" s="4" t="s">
        <v>121</v>
      </c>
      <c r="D11" s="4" t="s">
        <v>122</v>
      </c>
      <c r="E11" s="4" t="s">
        <v>123</v>
      </c>
      <c r="F11" s="4" t="s">
        <v>124</v>
      </c>
      <c r="G11" s="4" t="s">
        <v>125</v>
      </c>
      <c r="H11" s="4"/>
      <c r="I11" s="4" t="s">
        <v>126</v>
      </c>
      <c r="J11" s="4" t="s">
        <v>127</v>
      </c>
      <c r="K11" s="4"/>
      <c r="L11" s="4" t="s">
        <v>128</v>
      </c>
      <c r="M11" s="4" t="s">
        <v>129</v>
      </c>
      <c r="N11" s="4" t="s">
        <v>130</v>
      </c>
      <c r="O11" s="4"/>
      <c r="P11" s="4" t="s">
        <v>131</v>
      </c>
      <c r="Q11" s="4" t="s">
        <v>132</v>
      </c>
      <c r="R11" s="4" t="s">
        <v>133</v>
      </c>
      <c r="S11" s="4"/>
      <c r="T11" s="4"/>
    </row>
    <row r="12" spans="2:20">
      <c r="B12" s="1" t="s">
        <v>134</v>
      </c>
      <c r="C12" s="4" t="s">
        <v>135</v>
      </c>
      <c r="D12" s="4" t="s">
        <v>136</v>
      </c>
      <c r="E12" s="4" t="s">
        <v>137</v>
      </c>
      <c r="F12" s="4" t="s">
        <v>138</v>
      </c>
      <c r="G12" s="4" t="s">
        <v>139</v>
      </c>
      <c r="H12" s="4"/>
      <c r="I12" s="4" t="s">
        <v>140</v>
      </c>
      <c r="J12" s="4" t="s">
        <v>141</v>
      </c>
      <c r="K12" s="4"/>
      <c r="L12" s="4" t="s">
        <v>142</v>
      </c>
      <c r="M12" s="4" t="s">
        <v>143</v>
      </c>
      <c r="N12" s="4" t="s">
        <v>144</v>
      </c>
      <c r="O12" s="4"/>
      <c r="P12" s="4" t="s">
        <v>145</v>
      </c>
      <c r="Q12" s="4" t="s">
        <v>146</v>
      </c>
      <c r="R12" s="4" t="s">
        <v>147</v>
      </c>
      <c r="S12" s="4" t="s">
        <v>148</v>
      </c>
      <c r="T12" s="4"/>
    </row>
    <row r="13" spans="2:20">
      <c r="B13" s="1" t="s">
        <v>149</v>
      </c>
      <c r="C13" s="4" t="s">
        <v>150</v>
      </c>
      <c r="D13" s="4" t="s">
        <v>151</v>
      </c>
      <c r="E13" s="4" t="s">
        <v>152</v>
      </c>
      <c r="F13" s="4" t="s">
        <v>153</v>
      </c>
      <c r="G13" s="4" t="s">
        <v>154</v>
      </c>
      <c r="H13" s="4" t="s">
        <v>155</v>
      </c>
      <c r="I13" s="4" t="s">
        <v>156</v>
      </c>
      <c r="J13" s="4" t="s">
        <v>157</v>
      </c>
      <c r="K13" s="4" t="s">
        <v>158</v>
      </c>
      <c r="L13" s="4" t="s">
        <v>159</v>
      </c>
      <c r="M13" s="4" t="s">
        <v>160</v>
      </c>
      <c r="N13" s="4" t="s">
        <v>161</v>
      </c>
      <c r="O13" s="4"/>
      <c r="P13" s="4" t="s">
        <v>162</v>
      </c>
      <c r="Q13" s="4" t="s">
        <v>163</v>
      </c>
      <c r="R13" s="4" t="s">
        <v>164</v>
      </c>
      <c r="S13" s="4" t="s">
        <v>165</v>
      </c>
      <c r="T13" s="4" t="s">
        <v>166</v>
      </c>
    </row>
    <row r="14" spans="2:20">
      <c r="B14" s="1" t="s">
        <v>167</v>
      </c>
      <c r="C14" s="4" t="s">
        <v>168</v>
      </c>
      <c r="D14" s="4" t="s">
        <v>169</v>
      </c>
      <c r="E14" s="4"/>
      <c r="F14" s="4" t="s">
        <v>170</v>
      </c>
      <c r="G14" s="4"/>
      <c r="H14" s="4"/>
      <c r="I14" s="4" t="s">
        <v>171</v>
      </c>
      <c r="J14" s="4"/>
      <c r="K14" s="4"/>
      <c r="L14" s="4"/>
      <c r="M14" s="4" t="s">
        <v>172</v>
      </c>
      <c r="N14" s="4"/>
      <c r="O14" s="4"/>
      <c r="P14" s="4"/>
      <c r="Q14" s="4" t="s">
        <v>173</v>
      </c>
      <c r="R14" s="4" t="s">
        <v>174</v>
      </c>
      <c r="S14" s="4"/>
      <c r="T14" s="4"/>
    </row>
    <row r="15" spans="2:20">
      <c r="B15" s="1" t="s">
        <v>175</v>
      </c>
      <c r="C15" s="4" t="s">
        <v>176</v>
      </c>
      <c r="D15" s="4" t="s">
        <v>177</v>
      </c>
      <c r="E15" s="4"/>
      <c r="F15" s="4"/>
      <c r="G15" s="4"/>
      <c r="H15" s="4"/>
      <c r="I15" s="4"/>
      <c r="J15" s="4"/>
      <c r="K15" s="4"/>
      <c r="L15" s="4" t="s">
        <v>178</v>
      </c>
      <c r="M15" s="4"/>
      <c r="N15" s="4"/>
      <c r="O15" s="4"/>
      <c r="P15" s="4" t="s">
        <v>179</v>
      </c>
      <c r="Q15" s="4"/>
      <c r="R15" s="4"/>
      <c r="S15" s="4"/>
      <c r="T15" s="4"/>
    </row>
    <row r="16" spans="2:20">
      <c r="B16" s="1" t="s">
        <v>180</v>
      </c>
      <c r="C16" s="4" t="s">
        <v>181</v>
      </c>
      <c r="D16" s="4" t="s">
        <v>182</v>
      </c>
      <c r="E16" s="4" t="s">
        <v>183</v>
      </c>
      <c r="F16" s="4" t="s">
        <v>184</v>
      </c>
      <c r="G16" s="4" t="s">
        <v>185</v>
      </c>
      <c r="H16" s="4" t="s">
        <v>186</v>
      </c>
      <c r="I16" s="4" t="s">
        <v>187</v>
      </c>
      <c r="J16" s="4" t="s">
        <v>188</v>
      </c>
      <c r="K16" s="4" t="s">
        <v>189</v>
      </c>
      <c r="L16" s="4" t="s">
        <v>190</v>
      </c>
      <c r="M16" s="4" t="s">
        <v>191</v>
      </c>
      <c r="N16" s="4" t="s">
        <v>192</v>
      </c>
      <c r="O16" s="4"/>
      <c r="P16" s="4" t="s">
        <v>193</v>
      </c>
      <c r="Q16" s="4" t="s">
        <v>194</v>
      </c>
      <c r="R16" s="4" t="s">
        <v>195</v>
      </c>
      <c r="S16" s="4" t="s">
        <v>196</v>
      </c>
      <c r="T16" s="4" t="s">
        <v>197</v>
      </c>
    </row>
    <row r="17" spans="2:20">
      <c r="B17" s="1" t="s">
        <v>198</v>
      </c>
      <c r="C17" s="4" t="s">
        <v>199</v>
      </c>
      <c r="D17" s="4"/>
      <c r="E17" s="4"/>
      <c r="F17" s="4" t="s">
        <v>200</v>
      </c>
      <c r="G17" s="4"/>
      <c r="H17" s="4" t="s">
        <v>201</v>
      </c>
      <c r="I17" s="4" t="s">
        <v>202</v>
      </c>
      <c r="J17" s="4"/>
      <c r="K17" s="4" t="s">
        <v>203</v>
      </c>
      <c r="L17" s="4" t="s">
        <v>204</v>
      </c>
      <c r="M17" s="4"/>
      <c r="N17" s="4" t="s">
        <v>205</v>
      </c>
      <c r="O17" s="4"/>
      <c r="P17" s="4"/>
      <c r="Q17" s="4" t="s">
        <v>206</v>
      </c>
      <c r="R17" s="4"/>
      <c r="S17" s="4"/>
      <c r="T17" s="4" t="s">
        <v>207</v>
      </c>
    </row>
    <row r="18" spans="2:20">
      <c r="B18" s="1" t="s">
        <v>208</v>
      </c>
      <c r="C18" s="5" t="s">
        <v>209</v>
      </c>
      <c r="D18" s="5" t="s">
        <v>210</v>
      </c>
      <c r="E18" s="5" t="s">
        <v>211</v>
      </c>
      <c r="F18" s="5" t="s">
        <v>212</v>
      </c>
      <c r="G18" s="5" t="s">
        <v>213</v>
      </c>
      <c r="H18" s="5" t="s">
        <v>214</v>
      </c>
      <c r="I18" s="5" t="s">
        <v>215</v>
      </c>
      <c r="J18" s="5" t="s">
        <v>216</v>
      </c>
      <c r="K18" s="5" t="s">
        <v>217</v>
      </c>
      <c r="L18" s="5" t="s">
        <v>218</v>
      </c>
      <c r="M18" s="5" t="s">
        <v>219</v>
      </c>
      <c r="N18" s="5" t="s">
        <v>220</v>
      </c>
      <c r="O18" s="5"/>
      <c r="P18" s="5" t="s">
        <v>221</v>
      </c>
      <c r="Q18" s="5" t="s">
        <v>222</v>
      </c>
      <c r="R18" s="5" t="s">
        <v>223</v>
      </c>
      <c r="S18" s="5" t="s">
        <v>224</v>
      </c>
      <c r="T18" s="5" t="s">
        <v>225</v>
      </c>
    </row>
    <row r="19" spans="2:20">
      <c r="B19" s="1" t="s">
        <v>226</v>
      </c>
      <c r="C19" s="5" t="s">
        <v>227</v>
      </c>
      <c r="D19" s="5" t="s">
        <v>228</v>
      </c>
      <c r="E19" s="5" t="s">
        <v>229</v>
      </c>
      <c r="F19" s="5" t="s">
        <v>230</v>
      </c>
      <c r="G19" s="5"/>
      <c r="H19" s="5"/>
      <c r="I19" s="5" t="s">
        <v>231</v>
      </c>
      <c r="J19" s="5" t="s">
        <v>232</v>
      </c>
      <c r="K19" s="5"/>
      <c r="L19" s="5"/>
      <c r="M19" s="5" t="s">
        <v>233</v>
      </c>
      <c r="N19" s="5" t="s">
        <v>234</v>
      </c>
      <c r="O19" s="5"/>
      <c r="P19" s="5" t="s">
        <v>235</v>
      </c>
      <c r="Q19" s="5" t="s">
        <v>236</v>
      </c>
      <c r="R19" s="5" t="s">
        <v>237</v>
      </c>
      <c r="S19" s="5"/>
      <c r="T19" s="5"/>
    </row>
    <row r="20" spans="2:20">
      <c r="B20" s="1" t="s">
        <v>238</v>
      </c>
      <c r="C20" s="5" t="s">
        <v>239</v>
      </c>
      <c r="D20" s="5" t="s">
        <v>240</v>
      </c>
      <c r="E20" s="5" t="s">
        <v>241</v>
      </c>
      <c r="F20" s="5" t="s">
        <v>242</v>
      </c>
      <c r="G20" s="5" t="s">
        <v>243</v>
      </c>
      <c r="H20" s="5" t="s">
        <v>244</v>
      </c>
      <c r="I20" s="5" t="s">
        <v>245</v>
      </c>
      <c r="J20" s="5" t="s">
        <v>246</v>
      </c>
      <c r="K20" s="5" t="s">
        <v>247</v>
      </c>
      <c r="L20" s="5" t="s">
        <v>248</v>
      </c>
      <c r="M20" s="5" t="s">
        <v>249</v>
      </c>
      <c r="N20" s="5" t="s">
        <v>250</v>
      </c>
      <c r="O20" s="5"/>
      <c r="P20" s="5" t="s">
        <v>251</v>
      </c>
      <c r="Q20" s="5" t="s">
        <v>252</v>
      </c>
      <c r="R20" s="5" t="s">
        <v>253</v>
      </c>
      <c r="S20" s="5" t="s">
        <v>254</v>
      </c>
      <c r="T20" s="5" t="s">
        <v>255</v>
      </c>
    </row>
    <row r="21" spans="2:20">
      <c r="B21" s="1" t="s">
        <v>256</v>
      </c>
      <c r="C21" s="5" t="s">
        <v>257</v>
      </c>
      <c r="D21" s="5" t="s">
        <v>258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 t="s">
        <v>259</v>
      </c>
      <c r="S21" s="5"/>
      <c r="T21" s="5"/>
    </row>
    <row r="22" spans="2:20">
      <c r="B22" s="1" t="s">
        <v>260</v>
      </c>
      <c r="C22" s="4" t="s">
        <v>261</v>
      </c>
      <c r="D22" s="4" t="s">
        <v>262</v>
      </c>
      <c r="E22" s="4" t="s">
        <v>263</v>
      </c>
      <c r="F22" s="4" t="s">
        <v>264</v>
      </c>
      <c r="G22" s="4" t="s">
        <v>265</v>
      </c>
      <c r="H22" s="4" t="s">
        <v>266</v>
      </c>
      <c r="I22" s="4" t="s">
        <v>267</v>
      </c>
      <c r="J22" s="4" t="s">
        <v>268</v>
      </c>
      <c r="K22" s="4" t="s">
        <v>269</v>
      </c>
      <c r="L22" s="4" t="s">
        <v>270</v>
      </c>
      <c r="M22" s="4" t="s">
        <v>271</v>
      </c>
      <c r="N22" s="4" t="s">
        <v>272</v>
      </c>
      <c r="O22" s="4" t="s">
        <v>273</v>
      </c>
      <c r="P22" s="4" t="s">
        <v>274</v>
      </c>
      <c r="Q22" s="4" t="s">
        <v>275</v>
      </c>
      <c r="R22" s="4" t="s">
        <v>276</v>
      </c>
      <c r="S22" s="4" t="s">
        <v>277</v>
      </c>
      <c r="T22" s="4" t="s">
        <v>278</v>
      </c>
    </row>
    <row r="23" spans="2:20">
      <c r="B23" s="1" t="s">
        <v>279</v>
      </c>
      <c r="C23" s="4" t="s">
        <v>280</v>
      </c>
      <c r="D23" s="4" t="s">
        <v>281</v>
      </c>
      <c r="E23" s="4" t="s">
        <v>282</v>
      </c>
      <c r="F23" s="4" t="s">
        <v>283</v>
      </c>
      <c r="G23" s="4"/>
      <c r="H23" s="4"/>
      <c r="I23" s="4" t="s">
        <v>284</v>
      </c>
      <c r="J23" s="4" t="s">
        <v>285</v>
      </c>
      <c r="K23" s="4"/>
      <c r="L23" s="4"/>
      <c r="M23" s="4" t="s">
        <v>286</v>
      </c>
      <c r="N23" s="4" t="s">
        <v>287</v>
      </c>
      <c r="O23" s="4"/>
      <c r="P23" s="4" t="s">
        <v>288</v>
      </c>
      <c r="Q23" s="4" t="s">
        <v>289</v>
      </c>
      <c r="R23" s="4" t="s">
        <v>290</v>
      </c>
      <c r="S23" s="4"/>
      <c r="T23" s="4"/>
    </row>
    <row r="24" spans="2:20">
      <c r="B24" s="1" t="s">
        <v>291</v>
      </c>
      <c r="C24" s="4" t="s">
        <v>292</v>
      </c>
      <c r="D24" s="4"/>
      <c r="E24" s="4" t="s">
        <v>293</v>
      </c>
      <c r="F24" s="4" t="s">
        <v>294</v>
      </c>
      <c r="G24" s="4" t="s">
        <v>295</v>
      </c>
      <c r="H24" s="4" t="s">
        <v>296</v>
      </c>
      <c r="I24" s="4" t="s">
        <v>297</v>
      </c>
      <c r="J24" s="4" t="s">
        <v>298</v>
      </c>
      <c r="K24" s="4" t="s">
        <v>299</v>
      </c>
      <c r="L24" s="4" t="s">
        <v>300</v>
      </c>
      <c r="M24" s="4" t="s">
        <v>301</v>
      </c>
      <c r="N24" s="4" t="s">
        <v>302</v>
      </c>
      <c r="O24" s="4"/>
      <c r="P24" s="4" t="s">
        <v>303</v>
      </c>
      <c r="Q24" s="4" t="s">
        <v>304</v>
      </c>
      <c r="R24" s="4" t="s">
        <v>305</v>
      </c>
      <c r="S24" s="4"/>
      <c r="T24" s="4"/>
    </row>
    <row r="25" spans="2:20">
      <c r="B25" s="1" t="s">
        <v>306</v>
      </c>
      <c r="C25" s="4" t="s">
        <v>307</v>
      </c>
      <c r="D25" s="4" t="s">
        <v>308</v>
      </c>
      <c r="E25" s="4"/>
      <c r="F25" s="4"/>
      <c r="G25" s="4"/>
      <c r="H25" s="4"/>
      <c r="I25" s="4" t="s">
        <v>309</v>
      </c>
      <c r="J25" s="4" t="s">
        <v>310</v>
      </c>
      <c r="K25" s="4"/>
      <c r="L25" s="4" t="s">
        <v>311</v>
      </c>
      <c r="M25" s="4" t="s">
        <v>312</v>
      </c>
      <c r="N25" s="4" t="s">
        <v>313</v>
      </c>
      <c r="O25" s="4" t="s">
        <v>314</v>
      </c>
      <c r="P25" s="4" t="s">
        <v>315</v>
      </c>
      <c r="Q25" s="4" t="s">
        <v>316</v>
      </c>
      <c r="R25" s="4" t="s">
        <v>317</v>
      </c>
      <c r="S25" s="4" t="s">
        <v>318</v>
      </c>
      <c r="T25" s="4"/>
    </row>
    <row r="26" spans="2:20">
      <c r="B26" s="1" t="s">
        <v>319</v>
      </c>
      <c r="C26" s="4" t="s">
        <v>320</v>
      </c>
      <c r="D26" s="4" t="s">
        <v>321</v>
      </c>
      <c r="E26" s="4" t="s">
        <v>322</v>
      </c>
      <c r="F26" s="4" t="s">
        <v>323</v>
      </c>
      <c r="G26" s="4" t="s">
        <v>324</v>
      </c>
      <c r="H26" s="4"/>
      <c r="I26" s="4" t="s">
        <v>325</v>
      </c>
      <c r="J26" s="4" t="s">
        <v>326</v>
      </c>
      <c r="K26" s="4"/>
      <c r="L26" s="4" t="s">
        <v>327</v>
      </c>
      <c r="M26" s="4" t="s">
        <v>328</v>
      </c>
      <c r="N26" s="4" t="s">
        <v>329</v>
      </c>
      <c r="O26" s="4" t="s">
        <v>330</v>
      </c>
      <c r="P26" s="4" t="s">
        <v>331</v>
      </c>
      <c r="Q26" s="4" t="s">
        <v>332</v>
      </c>
      <c r="R26" s="4" t="s">
        <v>333</v>
      </c>
      <c r="S26" s="4" t="s">
        <v>334</v>
      </c>
      <c r="T26" s="4"/>
    </row>
    <row r="27" spans="2:20">
      <c r="B27" s="1" t="s">
        <v>335</v>
      </c>
      <c r="C27" s="4" t="s">
        <v>336</v>
      </c>
      <c r="D27" s="4" t="s">
        <v>337</v>
      </c>
      <c r="E27" s="4" t="s">
        <v>338</v>
      </c>
      <c r="F27" s="4" t="s">
        <v>339</v>
      </c>
      <c r="G27" s="4" t="s">
        <v>340</v>
      </c>
      <c r="H27" s="4"/>
      <c r="I27" s="4" t="s">
        <v>341</v>
      </c>
      <c r="J27" s="4" t="s">
        <v>342</v>
      </c>
      <c r="K27" s="4"/>
      <c r="L27" s="4" t="s">
        <v>343</v>
      </c>
      <c r="M27" s="4" t="s">
        <v>344</v>
      </c>
      <c r="N27" s="4" t="s">
        <v>345</v>
      </c>
      <c r="O27" s="4"/>
      <c r="P27" s="4" t="s">
        <v>346</v>
      </c>
      <c r="Q27" s="4" t="s">
        <v>347</v>
      </c>
      <c r="R27" s="4" t="s">
        <v>348</v>
      </c>
      <c r="S27" s="4" t="s">
        <v>349</v>
      </c>
      <c r="T27" s="4"/>
    </row>
    <row r="28" spans="2:20">
      <c r="B28" s="1" t="s">
        <v>350</v>
      </c>
      <c r="C28" s="4" t="s">
        <v>351</v>
      </c>
      <c r="D28" s="4" t="s">
        <v>352</v>
      </c>
      <c r="E28" s="4"/>
      <c r="F28" s="4"/>
      <c r="G28" s="4"/>
      <c r="H28" s="4"/>
      <c r="I28" s="4"/>
      <c r="J28" s="4"/>
      <c r="K28" s="4"/>
      <c r="L28" s="4" t="s">
        <v>353</v>
      </c>
      <c r="M28" s="4" t="s">
        <v>354</v>
      </c>
      <c r="N28" s="4" t="s">
        <v>355</v>
      </c>
      <c r="O28" s="4" t="s">
        <v>356</v>
      </c>
      <c r="P28" s="4" t="s">
        <v>357</v>
      </c>
      <c r="Q28" s="4" t="s">
        <v>358</v>
      </c>
      <c r="R28" s="4" t="s">
        <v>359</v>
      </c>
      <c r="S28" s="4"/>
      <c r="T28" s="4"/>
    </row>
    <row r="29" spans="2:20">
      <c r="B29" s="1" t="s">
        <v>360</v>
      </c>
      <c r="C29" s="4" t="s">
        <v>361</v>
      </c>
      <c r="D29" s="4" t="s">
        <v>362</v>
      </c>
      <c r="E29" s="4" t="s">
        <v>363</v>
      </c>
      <c r="F29" s="4" t="s">
        <v>364</v>
      </c>
      <c r="G29" s="4" t="s">
        <v>365</v>
      </c>
      <c r="H29" s="4"/>
      <c r="I29" s="4" t="s">
        <v>366</v>
      </c>
      <c r="J29" s="4" t="s">
        <v>367</v>
      </c>
      <c r="K29" s="4"/>
      <c r="L29" s="4" t="s">
        <v>368</v>
      </c>
      <c r="M29" s="4" t="s">
        <v>369</v>
      </c>
      <c r="N29" s="4" t="s">
        <v>370</v>
      </c>
      <c r="O29" s="4" t="s">
        <v>371</v>
      </c>
      <c r="P29" s="4" t="s">
        <v>372</v>
      </c>
      <c r="Q29" s="4" t="s">
        <v>373</v>
      </c>
      <c r="R29" s="4" t="s">
        <v>374</v>
      </c>
      <c r="S29" s="4"/>
      <c r="T29" s="4"/>
    </row>
    <row r="30" spans="2:20">
      <c r="B30" s="1" t="s">
        <v>375</v>
      </c>
      <c r="C30" s="4" t="s">
        <v>376</v>
      </c>
      <c r="D30" s="4" t="s">
        <v>377</v>
      </c>
      <c r="E30" s="4" t="s">
        <v>378</v>
      </c>
      <c r="F30" s="4" t="s">
        <v>379</v>
      </c>
      <c r="G30" s="4" t="s">
        <v>380</v>
      </c>
      <c r="H30" s="4"/>
      <c r="I30" s="4" t="s">
        <v>381</v>
      </c>
      <c r="J30" s="4" t="s">
        <v>382</v>
      </c>
      <c r="K30" s="4"/>
      <c r="L30" s="4" t="s">
        <v>383</v>
      </c>
      <c r="M30" s="4" t="s">
        <v>384</v>
      </c>
      <c r="N30" s="4" t="s">
        <v>385</v>
      </c>
      <c r="O30" s="4" t="s">
        <v>386</v>
      </c>
      <c r="P30" s="4" t="s">
        <v>387</v>
      </c>
      <c r="Q30" s="4" t="s">
        <v>388</v>
      </c>
      <c r="R30" s="4" t="s">
        <v>389</v>
      </c>
      <c r="S30" s="4" t="s">
        <v>390</v>
      </c>
      <c r="T30" s="4"/>
    </row>
    <row r="31" spans="2:20">
      <c r="B31" s="1" t="s">
        <v>391</v>
      </c>
      <c r="C31" s="4" t="s">
        <v>392</v>
      </c>
      <c r="D31" s="4" t="s">
        <v>393</v>
      </c>
      <c r="E31" s="4"/>
      <c r="F31" s="4"/>
      <c r="G31" s="4"/>
      <c r="H31" s="4" t="s">
        <v>394</v>
      </c>
      <c r="I31" s="4" t="s">
        <v>395</v>
      </c>
      <c r="J31" s="4"/>
      <c r="K31" s="4" t="s">
        <v>396</v>
      </c>
      <c r="L31" s="4" t="s">
        <v>397</v>
      </c>
      <c r="M31" s="4" t="s">
        <v>398</v>
      </c>
      <c r="N31" s="4" t="s">
        <v>399</v>
      </c>
      <c r="O31" s="4" t="s">
        <v>400</v>
      </c>
      <c r="P31" s="4" t="s">
        <v>401</v>
      </c>
      <c r="Q31" s="4" t="s">
        <v>402</v>
      </c>
      <c r="R31" s="4" t="s">
        <v>403</v>
      </c>
      <c r="S31" s="4" t="s">
        <v>404</v>
      </c>
      <c r="T31" s="4" t="s">
        <v>405</v>
      </c>
    </row>
    <row r="32" spans="2:20">
      <c r="B32" s="1" t="s">
        <v>406</v>
      </c>
      <c r="C32" s="4" t="s">
        <v>407</v>
      </c>
      <c r="D32" s="4" t="s">
        <v>408</v>
      </c>
      <c r="E32" s="4" t="s">
        <v>409</v>
      </c>
      <c r="F32" s="4" t="s">
        <v>410</v>
      </c>
      <c r="G32" s="4"/>
      <c r="H32" s="4"/>
      <c r="I32" s="4" t="s">
        <v>411</v>
      </c>
      <c r="J32" s="4" t="s">
        <v>412</v>
      </c>
      <c r="K32" s="4"/>
      <c r="L32" s="4"/>
      <c r="M32" s="4" t="s">
        <v>413</v>
      </c>
      <c r="N32" s="4" t="s">
        <v>414</v>
      </c>
      <c r="O32" s="4"/>
      <c r="P32" s="4" t="s">
        <v>415</v>
      </c>
      <c r="Q32" s="4" t="s">
        <v>416</v>
      </c>
      <c r="R32" s="4" t="s">
        <v>417</v>
      </c>
      <c r="S32" s="4"/>
      <c r="T32" s="4"/>
    </row>
    <row r="33" spans="2:20">
      <c r="B33" s="1" t="s">
        <v>418</v>
      </c>
      <c r="C33" s="4" t="s">
        <v>419</v>
      </c>
      <c r="D33" s="4" t="s">
        <v>420</v>
      </c>
      <c r="E33" s="4" t="s">
        <v>421</v>
      </c>
      <c r="F33" s="4" t="s">
        <v>422</v>
      </c>
      <c r="G33" s="4"/>
      <c r="H33" s="4"/>
      <c r="I33" s="4" t="s">
        <v>423</v>
      </c>
      <c r="J33" s="4" t="s">
        <v>424</v>
      </c>
      <c r="K33" s="4"/>
      <c r="L33" s="4" t="s">
        <v>425</v>
      </c>
      <c r="M33" s="4" t="s">
        <v>426</v>
      </c>
      <c r="N33" s="4" t="s">
        <v>427</v>
      </c>
      <c r="O33" s="4" t="s">
        <v>428</v>
      </c>
      <c r="P33" s="4" t="s">
        <v>429</v>
      </c>
      <c r="Q33" s="4" t="s">
        <v>430</v>
      </c>
      <c r="R33" s="4" t="s">
        <v>431</v>
      </c>
      <c r="S33" s="4" t="s">
        <v>432</v>
      </c>
      <c r="T33" s="4"/>
    </row>
    <row r="34" spans="2:20">
      <c r="B34" s="1" t="s">
        <v>433</v>
      </c>
      <c r="C34" s="4" t="s">
        <v>434</v>
      </c>
      <c r="D34" s="4" t="s">
        <v>435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 t="s">
        <v>436</v>
      </c>
      <c r="Q34" s="4"/>
      <c r="R34" s="4"/>
      <c r="S34" s="4"/>
      <c r="T34" s="4"/>
    </row>
    <row r="35" spans="2:20">
      <c r="B35" s="1" t="s">
        <v>437</v>
      </c>
      <c r="C35" s="4" t="s">
        <v>438</v>
      </c>
      <c r="D35" s="4" t="s">
        <v>439</v>
      </c>
      <c r="E35" s="4"/>
      <c r="F35" s="4"/>
      <c r="G35" s="4"/>
      <c r="H35" s="4"/>
      <c r="I35" s="4" t="s">
        <v>440</v>
      </c>
      <c r="J35" s="4" t="s">
        <v>441</v>
      </c>
      <c r="K35" s="4"/>
      <c r="L35" s="4" t="s">
        <v>442</v>
      </c>
      <c r="M35" s="4" t="s">
        <v>443</v>
      </c>
      <c r="N35" s="4" t="s">
        <v>444</v>
      </c>
      <c r="O35" s="4" t="s">
        <v>445</v>
      </c>
      <c r="P35" s="4" t="s">
        <v>446</v>
      </c>
      <c r="Q35" s="4" t="s">
        <v>447</v>
      </c>
      <c r="R35" s="4" t="s">
        <v>448</v>
      </c>
      <c r="S35" s="4" t="s">
        <v>449</v>
      </c>
      <c r="T35" s="4"/>
    </row>
    <row r="36" spans="2:20">
      <c r="B36" s="1" t="s">
        <v>450</v>
      </c>
      <c r="C36" s="4" t="s">
        <v>451</v>
      </c>
      <c r="D36" s="4" t="s">
        <v>452</v>
      </c>
      <c r="E36" s="4" t="s">
        <v>453</v>
      </c>
      <c r="F36" s="4" t="s">
        <v>454</v>
      </c>
      <c r="G36" s="4" t="s">
        <v>455</v>
      </c>
      <c r="H36" s="4"/>
      <c r="I36" s="4" t="s">
        <v>456</v>
      </c>
      <c r="J36" s="4" t="s">
        <v>457</v>
      </c>
      <c r="K36" s="4"/>
      <c r="L36" s="4" t="s">
        <v>458</v>
      </c>
      <c r="M36" s="4" t="s">
        <v>459</v>
      </c>
      <c r="N36" s="4" t="s">
        <v>460</v>
      </c>
      <c r="O36" s="4" t="s">
        <v>461</v>
      </c>
      <c r="P36" s="4" t="s">
        <v>462</v>
      </c>
      <c r="Q36" s="4" t="s">
        <v>463</v>
      </c>
      <c r="R36" s="4" t="s">
        <v>464</v>
      </c>
      <c r="S36" s="4" t="s">
        <v>465</v>
      </c>
      <c r="T36" s="4"/>
    </row>
    <row r="37" spans="2:20">
      <c r="B37" s="1" t="s">
        <v>437</v>
      </c>
      <c r="C37" s="5" t="s">
        <v>467</v>
      </c>
      <c r="D37" s="5" t="s">
        <v>468</v>
      </c>
      <c r="E37" s="5" t="s">
        <v>2419</v>
      </c>
      <c r="F37" s="5" t="s">
        <v>470</v>
      </c>
      <c r="G37" s="5"/>
      <c r="H37" s="5"/>
      <c r="I37" s="5"/>
      <c r="J37" s="5"/>
      <c r="K37" s="5"/>
      <c r="L37" s="5" t="s">
        <v>471</v>
      </c>
      <c r="M37" s="5" t="s">
        <v>472</v>
      </c>
      <c r="N37" s="5" t="s">
        <v>473</v>
      </c>
      <c r="O37" s="5" t="s">
        <v>474</v>
      </c>
      <c r="P37" s="5" t="s">
        <v>475</v>
      </c>
      <c r="Q37" s="5" t="s">
        <v>476</v>
      </c>
      <c r="R37" s="5" t="s">
        <v>477</v>
      </c>
      <c r="S37" s="5" t="s">
        <v>478</v>
      </c>
      <c r="T37" s="5"/>
    </row>
    <row r="38" spans="2:20">
      <c r="B38" s="1" t="s">
        <v>450</v>
      </c>
      <c r="C38" s="5" t="s">
        <v>480</v>
      </c>
      <c r="D38" s="5" t="s">
        <v>481</v>
      </c>
      <c r="E38" s="5" t="s">
        <v>2420</v>
      </c>
      <c r="F38" s="5"/>
      <c r="G38" s="5"/>
      <c r="H38" s="5"/>
      <c r="I38" s="5" t="s">
        <v>482</v>
      </c>
      <c r="J38" s="5" t="s">
        <v>483</v>
      </c>
      <c r="K38" s="5"/>
      <c r="L38" s="5" t="s">
        <v>484</v>
      </c>
      <c r="M38" s="5" t="s">
        <v>485</v>
      </c>
      <c r="N38" s="5" t="s">
        <v>486</v>
      </c>
      <c r="O38" s="5" t="s">
        <v>487</v>
      </c>
      <c r="P38" s="5" t="s">
        <v>488</v>
      </c>
      <c r="Q38" s="5" t="s">
        <v>489</v>
      </c>
      <c r="R38" s="5" t="s">
        <v>490</v>
      </c>
      <c r="S38" s="5" t="s">
        <v>491</v>
      </c>
      <c r="T38" s="5"/>
    </row>
    <row r="39" spans="2:20">
      <c r="B39" s="1" t="s">
        <v>567</v>
      </c>
      <c r="C39" s="5" t="s">
        <v>568</v>
      </c>
      <c r="D39" s="5" t="s">
        <v>569</v>
      </c>
      <c r="E39" s="5"/>
      <c r="F39" s="5"/>
      <c r="G39" s="5"/>
      <c r="H39" s="5"/>
      <c r="I39" s="5" t="s">
        <v>570</v>
      </c>
      <c r="J39" s="5"/>
      <c r="K39" s="5"/>
      <c r="L39" s="5" t="s">
        <v>571</v>
      </c>
      <c r="M39" s="5" t="s">
        <v>572</v>
      </c>
      <c r="N39" s="5" t="s">
        <v>573</v>
      </c>
      <c r="O39" s="5" t="s">
        <v>503</v>
      </c>
      <c r="P39" s="5" t="s">
        <v>504</v>
      </c>
      <c r="Q39" s="5" t="s">
        <v>505</v>
      </c>
      <c r="R39" s="5" t="s">
        <v>506</v>
      </c>
      <c r="S39" s="5" t="s">
        <v>507</v>
      </c>
      <c r="T39" s="5"/>
    </row>
    <row r="40" spans="2:20">
      <c r="B40" s="1" t="s">
        <v>578</v>
      </c>
      <c r="C40" s="5" t="s">
        <v>579</v>
      </c>
      <c r="D40" s="5" t="s">
        <v>580</v>
      </c>
      <c r="E40" s="5"/>
      <c r="F40" s="5"/>
      <c r="G40" s="5"/>
      <c r="H40" s="5"/>
      <c r="I40" s="5" t="s">
        <v>581</v>
      </c>
      <c r="J40" s="5" t="s">
        <v>582</v>
      </c>
      <c r="K40" s="5"/>
      <c r="L40" s="5" t="s">
        <v>583</v>
      </c>
      <c r="M40" s="5" t="s">
        <v>584</v>
      </c>
      <c r="N40" s="5" t="s">
        <v>585</v>
      </c>
      <c r="O40" s="5"/>
      <c r="P40" s="5" t="s">
        <v>514</v>
      </c>
      <c r="Q40" s="5"/>
      <c r="R40" s="5" t="s">
        <v>515</v>
      </c>
      <c r="S40" s="5"/>
      <c r="T40" s="5"/>
    </row>
    <row r="41" spans="2:20">
      <c r="B41" s="1" t="s">
        <v>591</v>
      </c>
      <c r="C41" s="5" t="s">
        <v>592</v>
      </c>
      <c r="D41" s="5" t="s">
        <v>593</v>
      </c>
      <c r="E41" s="5"/>
      <c r="F41" s="5"/>
      <c r="G41" s="5"/>
      <c r="H41" s="5"/>
      <c r="I41" s="5" t="s">
        <v>594</v>
      </c>
      <c r="J41" s="5" t="s">
        <v>595</v>
      </c>
      <c r="K41" s="5"/>
      <c r="L41" s="5" t="s">
        <v>596</v>
      </c>
      <c r="M41" s="5" t="s">
        <v>597</v>
      </c>
      <c r="N41" s="5" t="s">
        <v>598</v>
      </c>
      <c r="O41" s="5" t="s">
        <v>529</v>
      </c>
      <c r="P41" s="5" t="s">
        <v>530</v>
      </c>
      <c r="Q41" s="5" t="s">
        <v>531</v>
      </c>
      <c r="R41" s="5" t="s">
        <v>532</v>
      </c>
      <c r="S41" s="5" t="s">
        <v>533</v>
      </c>
      <c r="T41" s="5" t="s">
        <v>534</v>
      </c>
    </row>
    <row r="42" spans="2:20">
      <c r="B42" s="1" t="s">
        <v>604</v>
      </c>
      <c r="C42" s="5" t="s">
        <v>605</v>
      </c>
      <c r="D42" s="5" t="s">
        <v>606</v>
      </c>
      <c r="E42" s="5" t="s">
        <v>607</v>
      </c>
      <c r="F42" s="5"/>
      <c r="G42" s="5" t="s">
        <v>608</v>
      </c>
      <c r="H42" s="5"/>
      <c r="I42" s="5" t="s">
        <v>609</v>
      </c>
      <c r="J42" s="5" t="s">
        <v>610</v>
      </c>
      <c r="K42" s="5" t="s">
        <v>611</v>
      </c>
      <c r="L42" s="5" t="s">
        <v>612</v>
      </c>
      <c r="M42" s="5" t="s">
        <v>613</v>
      </c>
      <c r="N42" s="5" t="s">
        <v>614</v>
      </c>
      <c r="O42" s="5"/>
      <c r="P42" s="5"/>
      <c r="Q42" s="5"/>
      <c r="R42" s="5"/>
      <c r="S42" s="5"/>
      <c r="T42" s="5"/>
    </row>
    <row r="43" spans="2:20">
      <c r="B43" s="1" t="s">
        <v>683</v>
      </c>
      <c r="C43" s="4" t="s">
        <v>684</v>
      </c>
      <c r="D43" s="4" t="s">
        <v>685</v>
      </c>
      <c r="E43" s="4"/>
      <c r="F43" s="4"/>
      <c r="G43" s="4"/>
      <c r="H43" s="4" t="s">
        <v>686</v>
      </c>
      <c r="I43" s="4" t="s">
        <v>687</v>
      </c>
      <c r="J43" s="4"/>
      <c r="K43" s="4"/>
      <c r="L43" s="4" t="s">
        <v>688</v>
      </c>
      <c r="M43" s="4"/>
      <c r="N43" s="4"/>
      <c r="O43" s="5"/>
      <c r="P43" s="5"/>
      <c r="Q43" s="5"/>
      <c r="R43" s="5" t="s">
        <v>540</v>
      </c>
      <c r="S43" s="5"/>
      <c r="T43" s="5" t="s">
        <v>541</v>
      </c>
    </row>
    <row r="44" spans="2:20">
      <c r="B44" s="1" t="s">
        <v>776</v>
      </c>
      <c r="C44" s="5" t="s">
        <v>777</v>
      </c>
      <c r="D44" s="5" t="s">
        <v>778</v>
      </c>
      <c r="E44" s="5" t="s">
        <v>779</v>
      </c>
      <c r="F44" s="5" t="s">
        <v>780</v>
      </c>
      <c r="G44" s="5" t="s">
        <v>781</v>
      </c>
      <c r="H44" s="5"/>
      <c r="I44" s="5" t="s">
        <v>782</v>
      </c>
      <c r="J44" s="5" t="s">
        <v>783</v>
      </c>
      <c r="K44" s="5"/>
      <c r="L44" s="5" t="s">
        <v>784</v>
      </c>
      <c r="M44" s="5" t="s">
        <v>785</v>
      </c>
      <c r="N44" s="5" t="s">
        <v>786</v>
      </c>
      <c r="O44" s="5" t="s">
        <v>553</v>
      </c>
      <c r="P44" s="5" t="s">
        <v>554</v>
      </c>
      <c r="Q44" s="5" t="s">
        <v>555</v>
      </c>
      <c r="R44" s="5" t="s">
        <v>556</v>
      </c>
      <c r="S44" s="5" t="s">
        <v>557</v>
      </c>
      <c r="T44" s="5"/>
    </row>
    <row r="45" spans="2:20">
      <c r="B45" s="1" t="s">
        <v>776</v>
      </c>
      <c r="C45" s="5" t="s">
        <v>1790</v>
      </c>
      <c r="D45" s="5" t="s">
        <v>1790</v>
      </c>
      <c r="E45" s="5" t="s">
        <v>2421</v>
      </c>
      <c r="F45" s="5" t="s">
        <v>2423</v>
      </c>
      <c r="G45" s="5"/>
      <c r="H45" s="5"/>
      <c r="I45" s="5" t="s">
        <v>1790</v>
      </c>
      <c r="J45" s="5" t="s">
        <v>1790</v>
      </c>
      <c r="K45" s="5" t="s">
        <v>1790</v>
      </c>
      <c r="L45" s="5" t="s">
        <v>1790</v>
      </c>
      <c r="M45" s="5"/>
      <c r="N45" s="5"/>
      <c r="O45" s="5"/>
      <c r="P45" s="5" t="s">
        <v>564</v>
      </c>
      <c r="Q45" s="5" t="s">
        <v>565</v>
      </c>
      <c r="R45" s="5" t="s">
        <v>566</v>
      </c>
      <c r="S45" s="5"/>
      <c r="T45" s="5"/>
    </row>
    <row r="46" spans="2:20">
      <c r="B46" s="1" t="s">
        <v>621</v>
      </c>
      <c r="C46" s="5" t="s">
        <v>622</v>
      </c>
      <c r="D46" s="5" t="s">
        <v>623</v>
      </c>
      <c r="E46" s="5"/>
      <c r="F46" s="5"/>
      <c r="G46" s="5"/>
      <c r="H46" s="5"/>
      <c r="I46" s="5" t="s">
        <v>2424</v>
      </c>
      <c r="J46" s="5"/>
      <c r="K46" s="5"/>
      <c r="L46" s="5"/>
      <c r="M46" s="5" t="s">
        <v>625</v>
      </c>
      <c r="N46" s="5" t="s">
        <v>626</v>
      </c>
      <c r="O46" s="5"/>
      <c r="P46" s="5" t="s">
        <v>574</v>
      </c>
      <c r="Q46" s="5" t="s">
        <v>575</v>
      </c>
      <c r="R46" s="5" t="s">
        <v>576</v>
      </c>
      <c r="S46" s="5" t="s">
        <v>577</v>
      </c>
      <c r="T46" s="5"/>
    </row>
    <row r="47" spans="2:20" ht="43.5">
      <c r="B47" s="1" t="s">
        <v>621</v>
      </c>
      <c r="C47" s="5" t="s">
        <v>1791</v>
      </c>
      <c r="D47" s="5" t="s">
        <v>1791</v>
      </c>
      <c r="E47" s="5" t="s">
        <v>2422</v>
      </c>
      <c r="F47" s="257" t="s">
        <v>1191</v>
      </c>
      <c r="G47" s="5"/>
      <c r="H47" s="5"/>
      <c r="I47" s="5" t="s">
        <v>1791</v>
      </c>
      <c r="J47" s="5" t="s">
        <v>1791</v>
      </c>
      <c r="K47" s="5" t="s">
        <v>1791</v>
      </c>
      <c r="L47" s="5" t="s">
        <v>1791</v>
      </c>
      <c r="M47" s="5"/>
      <c r="N47" s="5"/>
      <c r="O47" s="5" t="s">
        <v>586</v>
      </c>
      <c r="P47" s="5" t="s">
        <v>587</v>
      </c>
      <c r="Q47" s="5" t="s">
        <v>588</v>
      </c>
      <c r="R47" s="5" t="s">
        <v>589</v>
      </c>
      <c r="S47" s="5" t="s">
        <v>590</v>
      </c>
      <c r="T47" s="5"/>
    </row>
    <row r="48" spans="2:20">
      <c r="B48" s="1" t="s">
        <v>690</v>
      </c>
      <c r="C48" s="4" t="s">
        <v>691</v>
      </c>
      <c r="D48" s="4" t="s">
        <v>692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5" t="s">
        <v>599</v>
      </c>
      <c r="P48" s="5" t="s">
        <v>600</v>
      </c>
      <c r="Q48" s="5" t="s">
        <v>601</v>
      </c>
      <c r="R48" s="5" t="s">
        <v>602</v>
      </c>
      <c r="S48" s="5" t="s">
        <v>603</v>
      </c>
      <c r="T48" s="5"/>
    </row>
    <row r="49" spans="2:20">
      <c r="B49" s="1" t="s">
        <v>790</v>
      </c>
      <c r="C49" s="5" t="s">
        <v>791</v>
      </c>
      <c r="D49" s="5" t="s">
        <v>792</v>
      </c>
      <c r="E49" s="5" t="s">
        <v>793</v>
      </c>
      <c r="F49" s="5" t="s">
        <v>794</v>
      </c>
      <c r="G49" s="5" t="s">
        <v>795</v>
      </c>
      <c r="H49" s="5" t="s">
        <v>796</v>
      </c>
      <c r="I49" s="5" t="s">
        <v>797</v>
      </c>
      <c r="J49" s="5" t="s">
        <v>798</v>
      </c>
      <c r="K49" s="5" t="s">
        <v>799</v>
      </c>
      <c r="L49" s="5" t="s">
        <v>800</v>
      </c>
      <c r="M49" s="5" t="s">
        <v>801</v>
      </c>
      <c r="N49" s="5" t="s">
        <v>802</v>
      </c>
      <c r="O49" s="5" t="s">
        <v>615</v>
      </c>
      <c r="P49" s="5" t="s">
        <v>616</v>
      </c>
      <c r="Q49" s="5" t="s">
        <v>617</v>
      </c>
      <c r="R49" s="5" t="s">
        <v>618</v>
      </c>
      <c r="S49" s="5" t="s">
        <v>619</v>
      </c>
      <c r="T49" s="5" t="s">
        <v>620</v>
      </c>
    </row>
    <row r="50" spans="2:20">
      <c r="B50" s="1" t="s">
        <v>697</v>
      </c>
      <c r="C50" s="4" t="s">
        <v>698</v>
      </c>
      <c r="D50" s="4" t="s">
        <v>699</v>
      </c>
      <c r="E50" s="4" t="s">
        <v>1720</v>
      </c>
      <c r="F50" s="4" t="s">
        <v>701</v>
      </c>
      <c r="G50" s="4" t="s">
        <v>702</v>
      </c>
      <c r="H50" s="4"/>
      <c r="I50" s="4" t="s">
        <v>703</v>
      </c>
      <c r="J50" s="4" t="s">
        <v>704</v>
      </c>
      <c r="K50" s="4"/>
      <c r="L50" s="4" t="s">
        <v>705</v>
      </c>
      <c r="M50" s="4" t="s">
        <v>706</v>
      </c>
      <c r="N50" s="4" t="s">
        <v>707</v>
      </c>
      <c r="O50" s="5"/>
      <c r="P50" s="5" t="s">
        <v>627</v>
      </c>
      <c r="Q50" s="5" t="s">
        <v>628</v>
      </c>
      <c r="R50" s="5" t="s">
        <v>629</v>
      </c>
      <c r="S50" s="5"/>
      <c r="T50" s="5"/>
    </row>
    <row r="51" spans="2:20" ht="43.5">
      <c r="B51" s="258" t="s">
        <v>690</v>
      </c>
      <c r="C51" s="261" t="s">
        <v>2425</v>
      </c>
      <c r="D51" s="261" t="s">
        <v>1798</v>
      </c>
      <c r="E51" s="261" t="s">
        <v>2426</v>
      </c>
      <c r="F51" s="262" t="s">
        <v>2428</v>
      </c>
      <c r="G51" s="261"/>
      <c r="H51" s="261"/>
      <c r="I51" s="261" t="s">
        <v>523</v>
      </c>
      <c r="J51" s="261" t="s">
        <v>524</v>
      </c>
      <c r="K51" s="261" t="s">
        <v>525</v>
      </c>
      <c r="L51" s="261" t="s">
        <v>526</v>
      </c>
      <c r="M51" s="261" t="s">
        <v>527</v>
      </c>
      <c r="N51" s="261" t="s">
        <v>528</v>
      </c>
      <c r="O51" s="5"/>
      <c r="P51" s="5"/>
      <c r="Q51" s="5"/>
      <c r="R51" s="5"/>
      <c r="S51" s="5"/>
      <c r="T51" s="5"/>
    </row>
    <row r="52" spans="2:20" ht="43.5">
      <c r="B52" s="258" t="s">
        <v>690</v>
      </c>
      <c r="C52" s="261" t="s">
        <v>2134</v>
      </c>
      <c r="D52" s="261" t="s">
        <v>1860</v>
      </c>
      <c r="E52" s="261" t="s">
        <v>2427</v>
      </c>
      <c r="F52" s="264" t="s">
        <v>2429</v>
      </c>
      <c r="G52" s="261"/>
      <c r="H52" s="259"/>
      <c r="I52" s="261" t="s">
        <v>753</v>
      </c>
      <c r="J52" s="261" t="s">
        <v>754</v>
      </c>
      <c r="K52" s="261"/>
      <c r="L52" s="261" t="s">
        <v>755</v>
      </c>
      <c r="M52" s="261" t="s">
        <v>756</v>
      </c>
      <c r="N52" s="261" t="s">
        <v>757</v>
      </c>
      <c r="O52" s="4"/>
      <c r="P52" s="4" t="s">
        <v>644</v>
      </c>
      <c r="Q52" s="4" t="s">
        <v>645</v>
      </c>
      <c r="R52" s="4" t="s">
        <v>646</v>
      </c>
      <c r="S52" s="4" t="s">
        <v>647</v>
      </c>
      <c r="T52" s="4"/>
    </row>
    <row r="53" spans="2:20">
      <c r="B53" s="1" t="s">
        <v>712</v>
      </c>
      <c r="C53" s="4" t="s">
        <v>713</v>
      </c>
      <c r="D53" s="4" t="s">
        <v>714</v>
      </c>
      <c r="E53" s="4"/>
      <c r="F53" s="4"/>
      <c r="G53" s="4"/>
      <c r="H53" s="4"/>
      <c r="I53" s="4"/>
      <c r="J53" s="4"/>
      <c r="K53" s="4"/>
      <c r="L53" s="4" t="s">
        <v>715</v>
      </c>
      <c r="M53" s="4"/>
      <c r="N53" s="4"/>
      <c r="O53" s="4"/>
      <c r="P53" s="4" t="s">
        <v>661</v>
      </c>
      <c r="Q53" s="4" t="s">
        <v>662</v>
      </c>
      <c r="R53" s="4" t="s">
        <v>663</v>
      </c>
      <c r="S53" s="4" t="s">
        <v>664</v>
      </c>
      <c r="T53" s="4" t="s">
        <v>665</v>
      </c>
    </row>
    <row r="54" spans="2:20">
      <c r="B54" s="1" t="s">
        <v>693</v>
      </c>
      <c r="C54" s="4" t="s">
        <v>694</v>
      </c>
      <c r="D54" s="4"/>
      <c r="E54" s="4"/>
      <c r="F54" s="4"/>
      <c r="G54" s="4"/>
      <c r="H54" s="4"/>
      <c r="I54" s="4" t="s">
        <v>695</v>
      </c>
      <c r="J54" s="4"/>
      <c r="K54" s="4"/>
      <c r="L54" s="4"/>
      <c r="M54" s="4"/>
      <c r="N54" s="4"/>
      <c r="O54" s="4"/>
      <c r="P54" s="4"/>
      <c r="Q54" s="4" t="s">
        <v>669</v>
      </c>
      <c r="R54" s="4"/>
      <c r="S54" s="4"/>
      <c r="T54" s="4"/>
    </row>
    <row r="55" spans="2:20">
      <c r="B55" s="1" t="s">
        <v>808</v>
      </c>
      <c r="C55" s="5" t="s">
        <v>809</v>
      </c>
      <c r="D55" s="5" t="s">
        <v>810</v>
      </c>
      <c r="E55" s="5" t="s">
        <v>811</v>
      </c>
      <c r="F55" s="5" t="s">
        <v>812</v>
      </c>
      <c r="G55" s="5"/>
      <c r="H55" s="5"/>
      <c r="I55" s="5" t="s">
        <v>813</v>
      </c>
      <c r="J55" s="5" t="s">
        <v>814</v>
      </c>
      <c r="K55" s="5"/>
      <c r="L55" s="5"/>
      <c r="M55" s="5" t="s">
        <v>815</v>
      </c>
      <c r="N55" s="5" t="s">
        <v>816</v>
      </c>
      <c r="O55" s="4"/>
      <c r="P55" s="4" t="s">
        <v>681</v>
      </c>
      <c r="Q55" s="4" t="s">
        <v>682</v>
      </c>
      <c r="R55" s="4"/>
      <c r="S55" s="4"/>
      <c r="T55" s="4"/>
    </row>
    <row r="56" spans="2:20">
      <c r="B56" s="1" t="s">
        <v>508</v>
      </c>
      <c r="C56" s="5" t="s">
        <v>509</v>
      </c>
      <c r="D56" s="5"/>
      <c r="E56" s="5" t="s">
        <v>510</v>
      </c>
      <c r="F56" s="5" t="s">
        <v>511</v>
      </c>
      <c r="G56" s="5"/>
      <c r="H56" s="5"/>
      <c r="I56" s="5" t="s">
        <v>512</v>
      </c>
      <c r="J56" s="5"/>
      <c r="K56" s="5"/>
      <c r="L56" s="5"/>
      <c r="M56" s="5"/>
      <c r="N56" s="5" t="s">
        <v>513</v>
      </c>
      <c r="O56" s="4"/>
      <c r="P56" s="4"/>
      <c r="Q56" s="4" t="s">
        <v>689</v>
      </c>
      <c r="R56" s="4"/>
      <c r="S56" s="4"/>
      <c r="T56" s="4"/>
    </row>
    <row r="57" spans="2:20">
      <c r="B57" s="266" t="s">
        <v>516</v>
      </c>
      <c r="C57" s="267" t="s">
        <v>517</v>
      </c>
      <c r="D57" s="267" t="s">
        <v>518</v>
      </c>
      <c r="E57" s="267" t="s">
        <v>519</v>
      </c>
      <c r="F57" s="267" t="s">
        <v>520</v>
      </c>
      <c r="G57" s="267" t="s">
        <v>521</v>
      </c>
      <c r="H57" s="267" t="s">
        <v>522</v>
      </c>
      <c r="I57" s="267" t="s">
        <v>523</v>
      </c>
      <c r="J57" s="267" t="s">
        <v>524</v>
      </c>
      <c r="K57" s="267" t="s">
        <v>525</v>
      </c>
      <c r="L57" s="267" t="s">
        <v>526</v>
      </c>
      <c r="M57" s="267" t="s">
        <v>527</v>
      </c>
      <c r="N57" s="267" t="s">
        <v>528</v>
      </c>
      <c r="O57" s="265"/>
      <c r="P57" s="4"/>
      <c r="Q57" s="4"/>
      <c r="R57" s="4"/>
      <c r="S57" s="4"/>
      <c r="T57" s="4"/>
    </row>
    <row r="58" spans="2:20">
      <c r="B58" s="266" t="s">
        <v>748</v>
      </c>
      <c r="C58" s="267" t="s">
        <v>749</v>
      </c>
      <c r="D58" s="267"/>
      <c r="E58" s="267" t="s">
        <v>750</v>
      </c>
      <c r="F58" s="267" t="s">
        <v>751</v>
      </c>
      <c r="G58" s="267" t="s">
        <v>752</v>
      </c>
      <c r="H58" s="267"/>
      <c r="I58" s="267" t="s">
        <v>753</v>
      </c>
      <c r="J58" s="267" t="s">
        <v>754</v>
      </c>
      <c r="K58" s="267"/>
      <c r="L58" s="267" t="s">
        <v>755</v>
      </c>
      <c r="M58" s="267" t="s">
        <v>756</v>
      </c>
      <c r="N58" s="267" t="s">
        <v>757</v>
      </c>
      <c r="O58" s="265"/>
      <c r="P58" s="4" t="s">
        <v>696</v>
      </c>
      <c r="Q58" s="4"/>
      <c r="R58" s="4"/>
      <c r="S58" s="4"/>
      <c r="T58" s="4"/>
    </row>
    <row r="59" spans="2:20">
      <c r="B59" s="258" t="s">
        <v>666</v>
      </c>
      <c r="C59" s="261" t="s">
        <v>667</v>
      </c>
      <c r="D59" s="261" t="s">
        <v>668</v>
      </c>
      <c r="E59" s="261"/>
      <c r="F59" s="261"/>
      <c r="G59" s="261"/>
      <c r="H59" s="261"/>
      <c r="I59" s="261"/>
      <c r="J59" s="261"/>
      <c r="K59" s="261"/>
      <c r="L59" s="261"/>
      <c r="M59" s="261"/>
      <c r="N59" s="261"/>
      <c r="O59" s="4"/>
      <c r="P59" s="4" t="s">
        <v>708</v>
      </c>
      <c r="Q59" s="4" t="s">
        <v>709</v>
      </c>
      <c r="R59" s="4" t="s">
        <v>710</v>
      </c>
      <c r="S59" s="4" t="s">
        <v>711</v>
      </c>
      <c r="T59" s="4"/>
    </row>
    <row r="60" spans="2:20">
      <c r="B60" s="1" t="s">
        <v>633</v>
      </c>
      <c r="C60" s="4" t="s">
        <v>634</v>
      </c>
      <c r="D60" s="4" t="s">
        <v>635</v>
      </c>
      <c r="E60" s="4" t="s">
        <v>636</v>
      </c>
      <c r="F60" s="4" t="s">
        <v>637</v>
      </c>
      <c r="G60" s="4" t="s">
        <v>638</v>
      </c>
      <c r="H60" s="4"/>
      <c r="I60" s="4" t="s">
        <v>639</v>
      </c>
      <c r="J60" s="4" t="s">
        <v>640</v>
      </c>
      <c r="K60" s="4"/>
      <c r="L60" s="4" t="s">
        <v>641</v>
      </c>
      <c r="M60" s="4" t="s">
        <v>642</v>
      </c>
      <c r="N60" s="4" t="s">
        <v>643</v>
      </c>
      <c r="O60" s="4"/>
      <c r="P60" s="4"/>
      <c r="Q60" s="4" t="s">
        <v>716</v>
      </c>
      <c r="R60" s="4"/>
      <c r="S60" s="4"/>
      <c r="T60" s="4"/>
    </row>
    <row r="61" spans="2:20">
      <c r="B61" s="258" t="s">
        <v>492</v>
      </c>
      <c r="C61" s="259" t="s">
        <v>493</v>
      </c>
      <c r="D61" s="259" t="s">
        <v>494</v>
      </c>
      <c r="E61" s="259" t="s">
        <v>495</v>
      </c>
      <c r="F61" s="259" t="s">
        <v>496</v>
      </c>
      <c r="G61" s="259" t="s">
        <v>497</v>
      </c>
      <c r="H61" s="259"/>
      <c r="I61" s="259" t="s">
        <v>498</v>
      </c>
      <c r="J61" s="259" t="s">
        <v>499</v>
      </c>
      <c r="K61" s="259"/>
      <c r="L61" s="259" t="s">
        <v>500</v>
      </c>
      <c r="M61" s="259" t="s">
        <v>501</v>
      </c>
      <c r="N61" s="259" t="s">
        <v>502</v>
      </c>
      <c r="O61" s="4"/>
      <c r="P61" s="4" t="s">
        <v>728</v>
      </c>
      <c r="Q61" s="4" t="s">
        <v>729</v>
      </c>
      <c r="R61" s="4" t="s">
        <v>730</v>
      </c>
      <c r="S61" s="4" t="s">
        <v>731</v>
      </c>
      <c r="T61" s="4"/>
    </row>
    <row r="62" spans="2:20">
      <c r="B62" s="258" t="s">
        <v>492</v>
      </c>
      <c r="C62" s="259" t="s">
        <v>1819</v>
      </c>
      <c r="D62" s="259" t="s">
        <v>1819</v>
      </c>
      <c r="E62" s="259" t="s">
        <v>2430</v>
      </c>
      <c r="F62" s="259" t="s">
        <v>2327</v>
      </c>
      <c r="G62" s="259"/>
      <c r="H62" s="5"/>
      <c r="I62" s="259"/>
      <c r="J62" s="259"/>
      <c r="K62" s="259"/>
      <c r="L62" s="259"/>
      <c r="M62" s="259"/>
      <c r="N62" s="259"/>
      <c r="O62" s="5" t="s">
        <v>743</v>
      </c>
      <c r="P62" s="5" t="s">
        <v>744</v>
      </c>
      <c r="Q62" s="5" t="s">
        <v>745</v>
      </c>
      <c r="R62" s="5" t="s">
        <v>746</v>
      </c>
      <c r="S62" s="5" t="s">
        <v>747</v>
      </c>
      <c r="T62" s="5"/>
    </row>
    <row r="63" spans="2:20">
      <c r="B63" s="1" t="s">
        <v>535</v>
      </c>
      <c r="C63" s="5" t="s">
        <v>536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 t="s">
        <v>758</v>
      </c>
      <c r="Q63" s="5"/>
      <c r="R63" s="5" t="s">
        <v>759</v>
      </c>
      <c r="S63" s="5"/>
      <c r="T63" s="5"/>
    </row>
    <row r="64" spans="2:20">
      <c r="B64" s="1" t="s">
        <v>537</v>
      </c>
      <c r="C64" s="5" t="s">
        <v>538</v>
      </c>
      <c r="D64" s="5" t="s">
        <v>539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 t="s">
        <v>771</v>
      </c>
      <c r="P64" s="5" t="s">
        <v>772</v>
      </c>
      <c r="Q64" s="5" t="s">
        <v>773</v>
      </c>
      <c r="R64" s="5" t="s">
        <v>774</v>
      </c>
      <c r="S64" s="5" t="s">
        <v>775</v>
      </c>
      <c r="T64" s="5"/>
    </row>
    <row r="65" spans="2:20">
      <c r="B65" s="1" t="s">
        <v>542</v>
      </c>
      <c r="C65" s="5" t="s">
        <v>543</v>
      </c>
      <c r="D65" s="5" t="s">
        <v>544</v>
      </c>
      <c r="E65" s="5" t="s">
        <v>545</v>
      </c>
      <c r="F65" s="5" t="s">
        <v>546</v>
      </c>
      <c r="G65" s="5" t="s">
        <v>547</v>
      </c>
      <c r="H65" s="5"/>
      <c r="I65" s="5" t="s">
        <v>548</v>
      </c>
      <c r="J65" s="5" t="s">
        <v>549</v>
      </c>
      <c r="K65" s="5"/>
      <c r="L65" s="5" t="s">
        <v>550</v>
      </c>
      <c r="M65" s="5" t="s">
        <v>551</v>
      </c>
      <c r="N65" s="5" t="s">
        <v>552</v>
      </c>
      <c r="O65" s="5"/>
      <c r="P65" s="5" t="s">
        <v>787</v>
      </c>
      <c r="Q65" s="5" t="s">
        <v>788</v>
      </c>
      <c r="R65" s="5" t="s">
        <v>789</v>
      </c>
      <c r="S65" s="5"/>
      <c r="T65" s="5"/>
    </row>
    <row r="66" spans="2:20">
      <c r="B66" s="1" t="s">
        <v>558</v>
      </c>
      <c r="C66" s="5" t="s">
        <v>559</v>
      </c>
      <c r="D66" s="5" t="s">
        <v>560</v>
      </c>
      <c r="E66" s="5"/>
      <c r="F66" s="5"/>
      <c r="G66" s="5"/>
      <c r="H66" s="5"/>
      <c r="I66" s="5" t="s">
        <v>561</v>
      </c>
      <c r="J66" s="5"/>
      <c r="K66" s="5"/>
      <c r="L66" s="5"/>
      <c r="M66" s="5" t="s">
        <v>562</v>
      </c>
      <c r="N66" s="5" t="s">
        <v>563</v>
      </c>
      <c r="O66" s="5" t="s">
        <v>803</v>
      </c>
      <c r="P66" s="5" t="s">
        <v>804</v>
      </c>
      <c r="Q66" s="5" t="s">
        <v>805</v>
      </c>
      <c r="R66" s="5" t="s">
        <v>806</v>
      </c>
      <c r="S66" s="5" t="s">
        <v>807</v>
      </c>
      <c r="T66" s="5"/>
    </row>
    <row r="67" spans="2:20">
      <c r="B67" s="1" t="s">
        <v>630</v>
      </c>
      <c r="C67" s="5" t="s">
        <v>631</v>
      </c>
      <c r="D67" s="5" t="s">
        <v>632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 t="s">
        <v>817</v>
      </c>
      <c r="Q67" s="5" t="s">
        <v>818</v>
      </c>
      <c r="R67" s="5" t="s">
        <v>819</v>
      </c>
      <c r="S67" s="5"/>
      <c r="T67" s="5"/>
    </row>
    <row r="68" spans="2:20">
      <c r="B68" s="1" t="s">
        <v>648</v>
      </c>
      <c r="C68" s="4" t="s">
        <v>649</v>
      </c>
      <c r="D68" s="4" t="s">
        <v>650</v>
      </c>
      <c r="E68" s="4" t="s">
        <v>651</v>
      </c>
      <c r="F68" s="4" t="s">
        <v>652</v>
      </c>
      <c r="G68" s="4" t="s">
        <v>653</v>
      </c>
      <c r="H68" s="4" t="s">
        <v>654</v>
      </c>
      <c r="I68" s="4" t="s">
        <v>655</v>
      </c>
      <c r="J68" s="4" t="s">
        <v>656</v>
      </c>
      <c r="K68" s="4" t="s">
        <v>657</v>
      </c>
      <c r="L68" s="4" t="s">
        <v>658</v>
      </c>
      <c r="M68" s="4" t="s">
        <v>659</v>
      </c>
      <c r="N68" s="4" t="s">
        <v>660</v>
      </c>
      <c r="O68" s="5" t="s">
        <v>831</v>
      </c>
      <c r="P68" s="5" t="s">
        <v>832</v>
      </c>
      <c r="Q68" s="5" t="s">
        <v>833</v>
      </c>
      <c r="R68" s="5" t="s">
        <v>834</v>
      </c>
      <c r="S68" s="5"/>
      <c r="T68" s="5"/>
    </row>
    <row r="69" spans="2:20">
      <c r="B69" s="1" t="s">
        <v>670</v>
      </c>
      <c r="C69" s="4" t="s">
        <v>671</v>
      </c>
      <c r="D69" s="4" t="s">
        <v>672</v>
      </c>
      <c r="E69" s="4" t="s">
        <v>673</v>
      </c>
      <c r="F69" s="4" t="s">
        <v>674</v>
      </c>
      <c r="G69" s="4" t="s">
        <v>675</v>
      </c>
      <c r="H69" s="4"/>
      <c r="I69" s="4" t="s">
        <v>676</v>
      </c>
      <c r="J69" s="4" t="s">
        <v>677</v>
      </c>
      <c r="K69" s="4"/>
      <c r="L69" s="4" t="s">
        <v>678</v>
      </c>
      <c r="M69" s="4" t="s">
        <v>679</v>
      </c>
      <c r="N69" s="4" t="s">
        <v>680</v>
      </c>
      <c r="O69" s="5"/>
      <c r="P69" s="5" t="s">
        <v>846</v>
      </c>
      <c r="Q69" s="5" t="s">
        <v>847</v>
      </c>
      <c r="R69" s="5" t="s">
        <v>848</v>
      </c>
      <c r="S69" s="5" t="s">
        <v>849</v>
      </c>
      <c r="T69" s="5"/>
    </row>
    <row r="70" spans="2:20">
      <c r="B70" s="1" t="s">
        <v>717</v>
      </c>
      <c r="C70" s="4" t="s">
        <v>718</v>
      </c>
      <c r="D70" s="4" t="s">
        <v>719</v>
      </c>
      <c r="E70" s="4" t="s">
        <v>720</v>
      </c>
      <c r="F70" s="4" t="s">
        <v>721</v>
      </c>
      <c r="G70" s="4" t="s">
        <v>722</v>
      </c>
      <c r="H70" s="4"/>
      <c r="I70" s="4" t="s">
        <v>723</v>
      </c>
      <c r="J70" s="4" t="s">
        <v>724</v>
      </c>
      <c r="K70" s="4"/>
      <c r="L70" s="4" t="s">
        <v>725</v>
      </c>
      <c r="M70" s="4" t="s">
        <v>726</v>
      </c>
      <c r="N70" s="4" t="s">
        <v>727</v>
      </c>
      <c r="O70" s="5"/>
      <c r="P70" s="5"/>
      <c r="Q70" s="5"/>
      <c r="R70" s="5"/>
      <c r="S70" s="5"/>
      <c r="T70" s="5"/>
    </row>
    <row r="71" spans="2:20">
      <c r="B71" s="1" t="s">
        <v>732</v>
      </c>
      <c r="C71" s="5" t="s">
        <v>733</v>
      </c>
      <c r="D71" s="5" t="s">
        <v>734</v>
      </c>
      <c r="E71" s="5" t="s">
        <v>735</v>
      </c>
      <c r="F71" s="5" t="s">
        <v>736</v>
      </c>
      <c r="G71" s="5" t="s">
        <v>737</v>
      </c>
      <c r="H71" s="5"/>
      <c r="I71" s="5" t="s">
        <v>738</v>
      </c>
      <c r="J71" s="5" t="s">
        <v>739</v>
      </c>
      <c r="K71" s="5"/>
      <c r="L71" s="5" t="s">
        <v>740</v>
      </c>
      <c r="M71" s="5" t="s">
        <v>741</v>
      </c>
      <c r="N71" s="5" t="s">
        <v>742</v>
      </c>
      <c r="O71" s="5"/>
      <c r="P71" s="5" t="s">
        <v>864</v>
      </c>
      <c r="Q71" s="5" t="s">
        <v>865</v>
      </c>
      <c r="R71" s="5" t="s">
        <v>866</v>
      </c>
      <c r="S71" s="5" t="s">
        <v>867</v>
      </c>
      <c r="T71" s="5"/>
    </row>
    <row r="72" spans="2:20">
      <c r="B72" s="1" t="s">
        <v>760</v>
      </c>
      <c r="C72" s="5" t="s">
        <v>761</v>
      </c>
      <c r="D72" s="5" t="s">
        <v>762</v>
      </c>
      <c r="E72" s="5" t="s">
        <v>763</v>
      </c>
      <c r="F72" s="5" t="s">
        <v>764</v>
      </c>
      <c r="G72" s="5" t="s">
        <v>765</v>
      </c>
      <c r="H72" s="5"/>
      <c r="I72" s="5" t="s">
        <v>766</v>
      </c>
      <c r="J72" s="5" t="s">
        <v>767</v>
      </c>
      <c r="K72" s="5"/>
      <c r="L72" s="5" t="s">
        <v>768</v>
      </c>
      <c r="M72" s="5" t="s">
        <v>769</v>
      </c>
      <c r="N72" s="5" t="s">
        <v>770</v>
      </c>
      <c r="O72" s="5"/>
      <c r="P72" s="5" t="s">
        <v>871</v>
      </c>
      <c r="Q72" s="5" t="s">
        <v>872</v>
      </c>
      <c r="R72" s="5" t="s">
        <v>873</v>
      </c>
      <c r="S72" s="5"/>
      <c r="T72" s="5"/>
    </row>
    <row r="73" spans="2:20">
      <c r="B73" s="1" t="s">
        <v>820</v>
      </c>
      <c r="C73" s="5" t="s">
        <v>821</v>
      </c>
      <c r="D73" s="5" t="s">
        <v>822</v>
      </c>
      <c r="E73" s="5" t="s">
        <v>823</v>
      </c>
      <c r="F73" s="5" t="s">
        <v>824</v>
      </c>
      <c r="G73" s="5" t="s">
        <v>825</v>
      </c>
      <c r="H73" s="5"/>
      <c r="I73" s="5" t="s">
        <v>826</v>
      </c>
      <c r="J73" s="5" t="s">
        <v>827</v>
      </c>
      <c r="K73" s="5"/>
      <c r="L73" s="5" t="s">
        <v>828</v>
      </c>
      <c r="M73" s="5" t="s">
        <v>829</v>
      </c>
      <c r="N73" s="5" t="s">
        <v>830</v>
      </c>
      <c r="O73" s="5"/>
      <c r="P73" s="5" t="s">
        <v>878</v>
      </c>
      <c r="Q73" s="5" t="s">
        <v>879</v>
      </c>
      <c r="R73" s="5"/>
      <c r="S73" s="5"/>
      <c r="T73" s="5"/>
    </row>
    <row r="74" spans="2:20">
      <c r="B74" s="1" t="s">
        <v>835</v>
      </c>
      <c r="C74" s="5" t="s">
        <v>836</v>
      </c>
      <c r="D74" s="5" t="s">
        <v>837</v>
      </c>
      <c r="E74" s="5" t="s">
        <v>838</v>
      </c>
      <c r="F74" s="5" t="s">
        <v>839</v>
      </c>
      <c r="G74" s="5" t="s">
        <v>840</v>
      </c>
      <c r="H74" s="5"/>
      <c r="I74" s="5" t="s">
        <v>841</v>
      </c>
      <c r="J74" s="5" t="s">
        <v>842</v>
      </c>
      <c r="K74" s="5"/>
      <c r="L74" s="5" t="s">
        <v>843</v>
      </c>
      <c r="M74" s="5" t="s">
        <v>844</v>
      </c>
      <c r="N74" s="5" t="s">
        <v>845</v>
      </c>
      <c r="O74" s="5"/>
      <c r="P74" s="5"/>
      <c r="Q74" s="5" t="s">
        <v>885</v>
      </c>
      <c r="R74" s="5"/>
      <c r="S74" s="5"/>
      <c r="T74" s="5"/>
    </row>
    <row r="75" spans="2:20">
      <c r="B75" s="1" t="s">
        <v>850</v>
      </c>
      <c r="C75" s="5" t="s">
        <v>851</v>
      </c>
      <c r="D75" s="5" t="s">
        <v>852</v>
      </c>
      <c r="E75" s="5"/>
      <c r="F75" s="5"/>
      <c r="G75" s="5"/>
      <c r="H75" s="5"/>
      <c r="I75" s="5"/>
      <c r="J75" s="5"/>
      <c r="K75" s="5"/>
      <c r="L75" s="5"/>
      <c r="M75" s="5"/>
      <c r="N75" s="5" t="s">
        <v>853</v>
      </c>
      <c r="O75" s="5"/>
      <c r="P75" s="5"/>
      <c r="Q75" s="5" t="s">
        <v>888</v>
      </c>
      <c r="R75" s="5"/>
      <c r="S75" s="5"/>
      <c r="T75" s="5"/>
    </row>
    <row r="76" spans="2:20">
      <c r="B76" s="1" t="s">
        <v>854</v>
      </c>
      <c r="C76" s="5" t="s">
        <v>855</v>
      </c>
      <c r="D76" s="5" t="s">
        <v>856</v>
      </c>
      <c r="E76" s="5" t="s">
        <v>857</v>
      </c>
      <c r="F76" s="5" t="s">
        <v>858</v>
      </c>
      <c r="G76" s="5" t="s">
        <v>859</v>
      </c>
      <c r="H76" s="5"/>
      <c r="I76" s="5" t="s">
        <v>860</v>
      </c>
      <c r="J76" s="5" t="s">
        <v>861</v>
      </c>
      <c r="K76" s="5"/>
      <c r="L76" s="5" t="s">
        <v>862</v>
      </c>
      <c r="M76" s="5" t="s">
        <v>863</v>
      </c>
      <c r="N76" s="5"/>
      <c r="O76" s="5" t="s">
        <v>901</v>
      </c>
      <c r="P76" s="5" t="s">
        <v>902</v>
      </c>
      <c r="Q76" s="5" t="s">
        <v>903</v>
      </c>
      <c r="R76" s="5" t="s">
        <v>904</v>
      </c>
      <c r="S76" s="5" t="s">
        <v>905</v>
      </c>
      <c r="T76" s="5"/>
    </row>
    <row r="77" spans="2:20">
      <c r="B77" s="1" t="s">
        <v>868</v>
      </c>
      <c r="C77" s="5" t="s">
        <v>869</v>
      </c>
      <c r="D77" s="5" t="s">
        <v>870</v>
      </c>
      <c r="E77" s="5" t="s">
        <v>1539</v>
      </c>
      <c r="F77" s="5"/>
      <c r="G77" s="5"/>
      <c r="H77" s="5"/>
      <c r="I77" s="5"/>
      <c r="J77" s="5"/>
      <c r="K77" s="5"/>
      <c r="L77" s="5"/>
      <c r="M77" s="5"/>
      <c r="N77" s="5"/>
      <c r="O77" s="4"/>
      <c r="P77" s="4" t="s">
        <v>916</v>
      </c>
      <c r="Q77" s="4" t="s">
        <v>917</v>
      </c>
      <c r="R77" s="4" t="s">
        <v>918</v>
      </c>
      <c r="S77" s="4" t="s">
        <v>919</v>
      </c>
      <c r="T77" s="4" t="s">
        <v>920</v>
      </c>
    </row>
    <row r="78" spans="2:20">
      <c r="B78" s="1" t="s">
        <v>874</v>
      </c>
      <c r="C78" s="5" t="s">
        <v>875</v>
      </c>
      <c r="D78" s="5" t="s">
        <v>876</v>
      </c>
      <c r="E78" s="5"/>
      <c r="F78" s="5"/>
      <c r="G78" s="5"/>
      <c r="H78" s="5"/>
      <c r="I78" s="5"/>
      <c r="J78" s="5"/>
      <c r="K78" s="5"/>
      <c r="L78" s="5"/>
      <c r="M78" s="5" t="s">
        <v>877</v>
      </c>
      <c r="N78" s="5"/>
      <c r="O78" s="4"/>
      <c r="P78" s="4" t="s">
        <v>933</v>
      </c>
      <c r="Q78" s="4" t="s">
        <v>934</v>
      </c>
      <c r="R78" s="4" t="s">
        <v>935</v>
      </c>
      <c r="S78" s="4" t="s">
        <v>936</v>
      </c>
      <c r="T78" s="4"/>
    </row>
    <row r="79" spans="2:20">
      <c r="B79" s="1" t="s">
        <v>880</v>
      </c>
      <c r="C79" s="5" t="s">
        <v>881</v>
      </c>
      <c r="D79" s="5"/>
      <c r="E79" s="5"/>
      <c r="F79" s="5"/>
      <c r="G79" s="5" t="s">
        <v>882</v>
      </c>
      <c r="H79" s="5"/>
      <c r="I79" s="5"/>
      <c r="J79" s="5"/>
      <c r="K79" s="5"/>
      <c r="L79" s="5" t="s">
        <v>883</v>
      </c>
      <c r="M79" s="5"/>
      <c r="N79" s="5" t="s">
        <v>884</v>
      </c>
      <c r="O79" s="4"/>
      <c r="P79" s="4" t="s">
        <v>943</v>
      </c>
      <c r="Q79" s="4" t="s">
        <v>944</v>
      </c>
      <c r="R79" s="4"/>
      <c r="S79" s="4"/>
      <c r="T79" s="4"/>
    </row>
    <row r="80" spans="2:20">
      <c r="B80" s="1" t="s">
        <v>886</v>
      </c>
      <c r="C80" s="5" t="s">
        <v>887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4"/>
      <c r="P80" s="4"/>
      <c r="Q80" s="4" t="s">
        <v>948</v>
      </c>
      <c r="R80" s="4"/>
      <c r="S80" s="4"/>
      <c r="T80" s="4"/>
    </row>
    <row r="81" spans="2:20">
      <c r="B81" s="1" t="s">
        <v>889</v>
      </c>
      <c r="C81" s="5" t="s">
        <v>890</v>
      </c>
      <c r="D81" s="5" t="s">
        <v>891</v>
      </c>
      <c r="E81" s="5" t="s">
        <v>892</v>
      </c>
      <c r="F81" s="5" t="s">
        <v>893</v>
      </c>
      <c r="G81" s="5" t="s">
        <v>894</v>
      </c>
      <c r="H81" s="5" t="s">
        <v>895</v>
      </c>
      <c r="I81" s="5" t="s">
        <v>896</v>
      </c>
      <c r="J81" s="5" t="s">
        <v>897</v>
      </c>
      <c r="K81" s="5"/>
      <c r="L81" s="5" t="s">
        <v>898</v>
      </c>
      <c r="M81" s="5" t="s">
        <v>899</v>
      </c>
      <c r="N81" s="5" t="s">
        <v>900</v>
      </c>
      <c r="O81" s="5"/>
      <c r="P81" s="5"/>
      <c r="Q81" s="5"/>
      <c r="R81" s="5"/>
      <c r="S81" s="5"/>
      <c r="T81" s="5"/>
    </row>
    <row r="82" spans="2:20">
      <c r="B82" s="1" t="s">
        <v>906</v>
      </c>
      <c r="C82" s="4" t="s">
        <v>907</v>
      </c>
      <c r="D82" s="4" t="s">
        <v>908</v>
      </c>
      <c r="E82" s="4" t="s">
        <v>909</v>
      </c>
      <c r="F82" s="4" t="s">
        <v>910</v>
      </c>
      <c r="G82" s="4" t="s">
        <v>911</v>
      </c>
      <c r="H82" s="4"/>
      <c r="I82" s="4"/>
      <c r="J82" s="4" t="s">
        <v>912</v>
      </c>
      <c r="K82" s="4"/>
      <c r="L82" s="4" t="s">
        <v>913</v>
      </c>
      <c r="M82" s="4" t="s">
        <v>914</v>
      </c>
      <c r="N82" s="4" t="s">
        <v>915</v>
      </c>
      <c r="O82" s="5"/>
      <c r="P82" s="5"/>
      <c r="Q82" s="5"/>
      <c r="R82" s="5"/>
      <c r="S82" s="5"/>
      <c r="T82" s="5"/>
    </row>
    <row r="83" spans="2:20">
      <c r="B83" s="1" t="s">
        <v>921</v>
      </c>
      <c r="C83" s="4" t="s">
        <v>922</v>
      </c>
      <c r="D83" s="4" t="s">
        <v>923</v>
      </c>
      <c r="E83" s="4" t="s">
        <v>924</v>
      </c>
      <c r="F83" s="4" t="s">
        <v>925</v>
      </c>
      <c r="G83" s="4" t="s">
        <v>926</v>
      </c>
      <c r="H83" s="4" t="s">
        <v>927</v>
      </c>
      <c r="I83" s="4" t="s">
        <v>928</v>
      </c>
      <c r="J83" s="4" t="s">
        <v>929</v>
      </c>
      <c r="K83" s="4"/>
      <c r="L83" s="4" t="s">
        <v>930</v>
      </c>
      <c r="M83" s="4" t="s">
        <v>931</v>
      </c>
      <c r="N83" s="4" t="s">
        <v>932</v>
      </c>
      <c r="O83" s="5"/>
      <c r="P83" s="5" t="s">
        <v>965</v>
      </c>
      <c r="Q83" s="5" t="s">
        <v>966</v>
      </c>
      <c r="R83" s="5" t="s">
        <v>967</v>
      </c>
      <c r="S83" s="5"/>
      <c r="T83" s="5"/>
    </row>
    <row r="84" spans="2:20">
      <c r="B84" s="1" t="s">
        <v>937</v>
      </c>
      <c r="C84" s="4" t="s">
        <v>938</v>
      </c>
      <c r="D84" s="4" t="s">
        <v>939</v>
      </c>
      <c r="E84" s="4" t="s">
        <v>940</v>
      </c>
      <c r="F84" s="4"/>
      <c r="G84" s="4"/>
      <c r="H84" s="4"/>
      <c r="I84" s="4"/>
      <c r="J84" s="4"/>
      <c r="K84" s="4"/>
      <c r="L84" s="4"/>
      <c r="M84" s="4" t="s">
        <v>941</v>
      </c>
      <c r="N84" s="4" t="s">
        <v>942</v>
      </c>
      <c r="O84" s="5"/>
      <c r="P84" s="5" t="s">
        <v>974</v>
      </c>
      <c r="Q84" s="5"/>
      <c r="R84" s="5" t="s">
        <v>975</v>
      </c>
      <c r="S84" s="5"/>
      <c r="T84" s="5"/>
    </row>
    <row r="85" spans="2:20">
      <c r="B85" s="1" t="s">
        <v>945</v>
      </c>
      <c r="C85" s="4" t="s">
        <v>946</v>
      </c>
      <c r="D85" s="4" t="s">
        <v>947</v>
      </c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2:20">
      <c r="B86" s="1" t="s">
        <v>949</v>
      </c>
      <c r="C86" s="5" t="s">
        <v>950</v>
      </c>
      <c r="D86" s="5" t="s">
        <v>951</v>
      </c>
      <c r="E86" s="5"/>
      <c r="F86" s="5"/>
      <c r="G86" s="5"/>
      <c r="H86" s="5"/>
      <c r="I86" s="5"/>
      <c r="J86" s="5"/>
      <c r="K86" s="5"/>
      <c r="L86" s="5"/>
      <c r="M86" s="5"/>
      <c r="N86" s="5"/>
    </row>
    <row r="87" spans="2:20">
      <c r="B87" s="1" t="s">
        <v>952</v>
      </c>
      <c r="C87" s="5" t="s">
        <v>953</v>
      </c>
      <c r="D87" s="5" t="s">
        <v>954</v>
      </c>
      <c r="E87" s="5"/>
      <c r="F87" s="5"/>
      <c r="G87" s="5"/>
      <c r="H87" s="5"/>
      <c r="I87" s="5"/>
      <c r="J87" s="5"/>
      <c r="K87" s="5"/>
      <c r="L87" s="5"/>
      <c r="M87" s="5"/>
      <c r="N87" s="5"/>
    </row>
    <row r="88" spans="2:20">
      <c r="B88" s="1" t="s">
        <v>955</v>
      </c>
      <c r="C88" s="5" t="s">
        <v>956</v>
      </c>
      <c r="D88" s="5" t="s">
        <v>957</v>
      </c>
      <c r="E88" s="5" t="s">
        <v>958</v>
      </c>
      <c r="F88" s="5"/>
      <c r="G88" s="5"/>
      <c r="H88" s="5" t="s">
        <v>959</v>
      </c>
      <c r="I88" s="5" t="s">
        <v>960</v>
      </c>
      <c r="J88" s="5" t="s">
        <v>961</v>
      </c>
      <c r="K88" s="5" t="s">
        <v>962</v>
      </c>
      <c r="L88" s="5"/>
      <c r="M88" s="5" t="s">
        <v>963</v>
      </c>
      <c r="N88" s="5" t="s">
        <v>964</v>
      </c>
    </row>
    <row r="89" spans="2:20">
      <c r="B89" s="1" t="s">
        <v>968</v>
      </c>
      <c r="C89" s="5" t="s">
        <v>969</v>
      </c>
      <c r="D89" s="5" t="s">
        <v>970</v>
      </c>
      <c r="E89" s="5"/>
      <c r="F89" s="5" t="s">
        <v>971</v>
      </c>
      <c r="G89" s="5"/>
      <c r="H89" s="5" t="s">
        <v>972</v>
      </c>
      <c r="I89" s="5"/>
      <c r="J89" s="5"/>
      <c r="K89" s="5"/>
      <c r="L89" s="5"/>
      <c r="M89" s="5"/>
      <c r="N89" s="5" t="s">
        <v>973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25A72-A192-4611-80AE-6A7470A066F9}">
  <dimension ref="A1:R49"/>
  <sheetViews>
    <sheetView workbookViewId="0">
      <pane ySplit="1" topLeftCell="A19" activePane="bottomLeft" state="frozen"/>
      <selection activeCell="C12" sqref="C12"/>
      <selection pane="bottomLeft" activeCell="C12" sqref="C12"/>
    </sheetView>
  </sheetViews>
  <sheetFormatPr defaultRowHeight="33"/>
  <cols>
    <col min="1" max="1" width="16.5" style="146" bestFit="1" customWidth="1"/>
    <col min="2" max="2" width="15.375" style="36" customWidth="1"/>
    <col min="3" max="3" width="15.375" style="148" customWidth="1"/>
    <col min="4" max="4" width="15.375" style="196" customWidth="1"/>
    <col min="5" max="5" width="15.375" style="147" customWidth="1"/>
    <col min="6" max="6" width="15.375" style="38" customWidth="1"/>
    <col min="8" max="9" width="8.75" customWidth="1"/>
    <col min="10" max="11" width="8.75" style="36" customWidth="1"/>
    <col min="12" max="12" width="8.75" style="147" customWidth="1"/>
    <col min="13" max="16" width="9" style="36"/>
    <col min="17" max="17" width="23.25" style="146" customWidth="1"/>
    <col min="18" max="18" width="9" style="36"/>
    <col min="19" max="19" width="9" style="146"/>
    <col min="20" max="20" width="26" style="146" customWidth="1"/>
    <col min="21" max="21" width="9" style="146"/>
    <col min="22" max="22" width="5.375" style="146" bestFit="1" customWidth="1"/>
    <col min="23" max="23" width="22.75" style="146" bestFit="1" customWidth="1"/>
    <col min="24" max="16384" width="9" style="146"/>
  </cols>
  <sheetData>
    <row r="1" spans="1:18" s="155" customFormat="1" ht="30">
      <c r="A1" s="153" t="s">
        <v>1880</v>
      </c>
      <c r="B1" s="153" t="s">
        <v>1905</v>
      </c>
      <c r="C1" s="153" t="s">
        <v>1906</v>
      </c>
      <c r="D1" s="198" t="s">
        <v>2188</v>
      </c>
      <c r="E1" s="154" t="s">
        <v>1907</v>
      </c>
      <c r="F1" s="153" t="s">
        <v>1908</v>
      </c>
    </row>
    <row r="2" spans="1:18">
      <c r="A2" s="146">
        <v>1</v>
      </c>
      <c r="B2" s="150" t="s">
        <v>9</v>
      </c>
      <c r="C2" s="149" t="s">
        <v>9</v>
      </c>
      <c r="D2" s="196" t="s">
        <v>1484</v>
      </c>
      <c r="E2" s="196" t="s">
        <v>986</v>
      </c>
      <c r="F2" s="147" t="s">
        <v>1658</v>
      </c>
      <c r="G2" s="146"/>
      <c r="H2" s="146"/>
      <c r="I2" s="146"/>
      <c r="J2" s="146"/>
      <c r="K2" s="146"/>
      <c r="L2" s="146"/>
      <c r="M2" s="146"/>
      <c r="N2" s="146"/>
      <c r="O2" s="146"/>
      <c r="P2" s="146"/>
      <c r="R2" s="146"/>
    </row>
    <row r="3" spans="1:18">
      <c r="A3" s="146">
        <v>2</v>
      </c>
      <c r="B3" s="150" t="s">
        <v>9</v>
      </c>
      <c r="C3" s="149" t="s">
        <v>9</v>
      </c>
      <c r="D3" s="196" t="s">
        <v>1484</v>
      </c>
      <c r="E3" s="196" t="s">
        <v>986</v>
      </c>
      <c r="F3" s="147" t="s">
        <v>1881</v>
      </c>
      <c r="G3" s="146"/>
      <c r="H3" s="146"/>
      <c r="I3" s="146"/>
      <c r="J3" s="146"/>
      <c r="K3" s="146"/>
      <c r="L3" s="146"/>
      <c r="M3" s="146"/>
      <c r="N3" s="146"/>
      <c r="O3" s="146"/>
      <c r="P3" s="146"/>
      <c r="R3" s="146"/>
    </row>
    <row r="4" spans="1:18">
      <c r="A4" s="146">
        <v>3</v>
      </c>
      <c r="B4" s="150" t="s">
        <v>9</v>
      </c>
      <c r="C4" s="149" t="s">
        <v>9</v>
      </c>
      <c r="D4" s="196" t="s">
        <v>1484</v>
      </c>
      <c r="E4" s="196" t="s">
        <v>986</v>
      </c>
      <c r="F4" s="147" t="s">
        <v>1660</v>
      </c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6"/>
    </row>
    <row r="5" spans="1:18">
      <c r="A5" s="146">
        <v>4</v>
      </c>
      <c r="B5" s="150" t="s">
        <v>2</v>
      </c>
      <c r="C5" s="149" t="s">
        <v>2</v>
      </c>
      <c r="D5" s="196" t="s">
        <v>1436</v>
      </c>
      <c r="E5" s="196" t="s">
        <v>991</v>
      </c>
      <c r="F5" s="147" t="s">
        <v>1882</v>
      </c>
      <c r="G5" s="146"/>
      <c r="H5" s="146"/>
      <c r="I5" s="146"/>
      <c r="J5" s="146"/>
      <c r="K5" s="146"/>
      <c r="L5" s="146"/>
      <c r="M5" s="146"/>
      <c r="N5" s="146"/>
      <c r="O5" s="146"/>
      <c r="P5" s="146"/>
      <c r="R5" s="146"/>
    </row>
    <row r="6" spans="1:18">
      <c r="A6" s="146">
        <v>5</v>
      </c>
      <c r="B6" s="150" t="s">
        <v>2</v>
      </c>
      <c r="C6" s="149" t="s">
        <v>2</v>
      </c>
      <c r="D6" s="196" t="s">
        <v>1436</v>
      </c>
      <c r="E6" s="196" t="s">
        <v>991</v>
      </c>
      <c r="F6" s="147" t="s">
        <v>1883</v>
      </c>
      <c r="G6" s="146"/>
      <c r="H6" s="146"/>
      <c r="I6" s="146"/>
      <c r="J6" s="146"/>
      <c r="K6" s="146"/>
      <c r="L6" s="146"/>
      <c r="M6" s="146"/>
      <c r="N6" s="146"/>
      <c r="O6" s="146"/>
      <c r="P6" s="146"/>
      <c r="R6" s="146"/>
    </row>
    <row r="7" spans="1:18">
      <c r="A7" s="146">
        <v>6</v>
      </c>
      <c r="B7" s="150" t="s">
        <v>14</v>
      </c>
      <c r="C7" s="149" t="s">
        <v>14</v>
      </c>
      <c r="D7" s="196" t="s">
        <v>1486</v>
      </c>
      <c r="E7" s="196" t="s">
        <v>995</v>
      </c>
      <c r="F7" s="147" t="s">
        <v>1745</v>
      </c>
      <c r="G7" s="146"/>
      <c r="H7" s="146"/>
      <c r="I7" s="146"/>
      <c r="J7" s="146"/>
      <c r="K7" s="146"/>
      <c r="L7" s="146"/>
      <c r="M7" s="146"/>
      <c r="N7" s="146"/>
      <c r="O7" s="146"/>
      <c r="P7" s="146"/>
      <c r="R7" s="146"/>
    </row>
    <row r="8" spans="1:18">
      <c r="A8" s="146">
        <v>7</v>
      </c>
      <c r="B8" s="150" t="s">
        <v>14</v>
      </c>
      <c r="C8" s="149" t="s">
        <v>14</v>
      </c>
      <c r="D8" s="196" t="s">
        <v>1486</v>
      </c>
      <c r="E8" s="196" t="s">
        <v>995</v>
      </c>
      <c r="F8" s="147" t="s">
        <v>1884</v>
      </c>
      <c r="G8" s="146"/>
      <c r="H8" s="146"/>
      <c r="I8" s="146"/>
      <c r="J8" s="146"/>
      <c r="K8" s="146"/>
      <c r="L8" s="146"/>
      <c r="M8" s="146"/>
      <c r="N8" s="146"/>
      <c r="O8" s="146"/>
      <c r="P8" s="146"/>
      <c r="R8" s="146"/>
    </row>
    <row r="9" spans="1:18">
      <c r="A9" s="146">
        <v>8</v>
      </c>
      <c r="B9" s="150" t="s">
        <v>15</v>
      </c>
      <c r="C9" s="149" t="s">
        <v>1002</v>
      </c>
      <c r="D9" s="196" t="s">
        <v>1490</v>
      </c>
      <c r="E9" s="196" t="s">
        <v>999</v>
      </c>
      <c r="F9" s="147" t="s">
        <v>1885</v>
      </c>
      <c r="G9" s="146"/>
      <c r="H9" s="146"/>
      <c r="I9" s="146"/>
      <c r="J9" s="146"/>
      <c r="K9" s="146"/>
      <c r="L9" s="146"/>
      <c r="M9" s="146"/>
      <c r="N9" s="146"/>
      <c r="O9" s="146"/>
      <c r="P9" s="146"/>
      <c r="R9" s="146"/>
    </row>
    <row r="10" spans="1:18">
      <c r="A10" s="146">
        <v>9</v>
      </c>
      <c r="B10" s="150" t="s">
        <v>6</v>
      </c>
      <c r="C10" s="149" t="s">
        <v>6</v>
      </c>
      <c r="D10" s="196" t="s">
        <v>1468</v>
      </c>
      <c r="E10" s="196" t="s">
        <v>1004</v>
      </c>
      <c r="F10" s="147" t="s">
        <v>1654</v>
      </c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R10" s="146"/>
    </row>
    <row r="11" spans="1:18">
      <c r="A11" s="146">
        <v>10</v>
      </c>
      <c r="B11" s="150" t="s">
        <v>6</v>
      </c>
      <c r="C11" s="149" t="s">
        <v>6</v>
      </c>
      <c r="D11" s="196" t="s">
        <v>1468</v>
      </c>
      <c r="E11" s="196" t="s">
        <v>1004</v>
      </c>
      <c r="F11" s="147" t="s">
        <v>1886</v>
      </c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R11" s="146"/>
    </row>
    <row r="12" spans="1:18">
      <c r="A12" s="146">
        <v>11</v>
      </c>
      <c r="B12" s="150" t="s">
        <v>6</v>
      </c>
      <c r="C12" s="149" t="s">
        <v>6</v>
      </c>
      <c r="D12" s="196" t="s">
        <v>1468</v>
      </c>
      <c r="E12" s="196" t="s">
        <v>1004</v>
      </c>
      <c r="F12" s="147" t="s">
        <v>1887</v>
      </c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R12" s="146"/>
    </row>
    <row r="13" spans="1:18">
      <c r="A13" s="146">
        <v>12</v>
      </c>
      <c r="B13" s="150" t="s">
        <v>6</v>
      </c>
      <c r="C13" s="149" t="s">
        <v>6</v>
      </c>
      <c r="D13" s="196" t="s">
        <v>1468</v>
      </c>
      <c r="E13" s="196" t="s">
        <v>1004</v>
      </c>
      <c r="F13" s="147" t="s">
        <v>1888</v>
      </c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R13" s="146"/>
    </row>
    <row r="14" spans="1:18">
      <c r="A14" s="146">
        <v>13</v>
      </c>
      <c r="B14" s="150" t="s">
        <v>3</v>
      </c>
      <c r="C14" s="149" t="s">
        <v>1012</v>
      </c>
      <c r="D14" s="196" t="s">
        <v>1445</v>
      </c>
      <c r="E14" s="196" t="s">
        <v>1009</v>
      </c>
      <c r="F14" s="147" t="s">
        <v>1889</v>
      </c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R14" s="146"/>
    </row>
    <row r="15" spans="1:18">
      <c r="A15" s="146">
        <v>14</v>
      </c>
      <c r="B15" s="150" t="s">
        <v>7</v>
      </c>
      <c r="C15" s="149" t="s">
        <v>1017</v>
      </c>
      <c r="D15" s="196" t="s">
        <v>1476</v>
      </c>
      <c r="E15" s="196" t="s">
        <v>1014</v>
      </c>
      <c r="F15" s="147" t="s">
        <v>1656</v>
      </c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R15" s="146"/>
    </row>
    <row r="16" spans="1:18">
      <c r="A16" s="146">
        <v>15</v>
      </c>
      <c r="B16" s="150" t="s">
        <v>7</v>
      </c>
      <c r="C16" s="149" t="s">
        <v>1017</v>
      </c>
      <c r="D16" s="196" t="s">
        <v>1476</v>
      </c>
      <c r="E16" s="196" t="s">
        <v>1014</v>
      </c>
      <c r="F16" s="147" t="s">
        <v>1890</v>
      </c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R16" s="146"/>
    </row>
    <row r="17" spans="1:18">
      <c r="A17" s="146">
        <v>16</v>
      </c>
      <c r="B17" s="150" t="s">
        <v>1023</v>
      </c>
      <c r="C17" s="149" t="s">
        <v>1027</v>
      </c>
      <c r="D17" s="196" t="s">
        <v>1497</v>
      </c>
      <c r="E17" s="196" t="s">
        <v>1020</v>
      </c>
      <c r="F17" s="147" t="s">
        <v>1677</v>
      </c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R17" s="146"/>
    </row>
    <row r="18" spans="1:18">
      <c r="A18" s="146">
        <v>17</v>
      </c>
      <c r="B18" s="150" t="s">
        <v>1023</v>
      </c>
      <c r="C18" s="149" t="s">
        <v>1027</v>
      </c>
      <c r="D18" s="196" t="s">
        <v>1497</v>
      </c>
      <c r="E18" s="196" t="s">
        <v>1020</v>
      </c>
      <c r="F18" s="147" t="s">
        <v>1891</v>
      </c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R18" s="146"/>
    </row>
    <row r="19" spans="1:18">
      <c r="A19" s="146">
        <v>18</v>
      </c>
      <c r="B19" s="150" t="s">
        <v>1023</v>
      </c>
      <c r="C19" s="149" t="s">
        <v>1027</v>
      </c>
      <c r="D19" s="196" t="s">
        <v>1497</v>
      </c>
      <c r="E19" s="196" t="s">
        <v>1020</v>
      </c>
      <c r="F19" s="147" t="s">
        <v>1892</v>
      </c>
      <c r="G19" s="146"/>
      <c r="H19" s="146">
        <v>1</v>
      </c>
      <c r="I19" s="146">
        <v>2</v>
      </c>
      <c r="J19" s="146">
        <v>3</v>
      </c>
      <c r="K19" s="146">
        <v>4</v>
      </c>
      <c r="L19" s="146">
        <v>5</v>
      </c>
      <c r="M19" s="146"/>
      <c r="N19" s="146"/>
      <c r="O19" s="146"/>
      <c r="P19" s="146"/>
      <c r="R19" s="146"/>
    </row>
    <row r="20" spans="1:18">
      <c r="A20" s="146">
        <v>19</v>
      </c>
      <c r="B20" s="150" t="s">
        <v>1023</v>
      </c>
      <c r="C20" s="149" t="s">
        <v>1027</v>
      </c>
      <c r="D20" s="196" t="s">
        <v>1497</v>
      </c>
      <c r="E20" s="196" t="s">
        <v>1020</v>
      </c>
      <c r="F20" s="147" t="s">
        <v>1933</v>
      </c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R20" s="146"/>
    </row>
    <row r="21" spans="1:18">
      <c r="A21" s="146">
        <v>20</v>
      </c>
      <c r="B21" s="150" t="s">
        <v>1023</v>
      </c>
      <c r="C21" s="149" t="s">
        <v>1027</v>
      </c>
      <c r="D21" s="196" t="s">
        <v>1497</v>
      </c>
      <c r="E21" s="196" t="s">
        <v>1020</v>
      </c>
      <c r="F21" s="147" t="s">
        <v>1931</v>
      </c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R21" s="146"/>
    </row>
    <row r="22" spans="1:18">
      <c r="A22" s="146">
        <v>21</v>
      </c>
      <c r="B22" s="150" t="s">
        <v>1069</v>
      </c>
      <c r="C22" s="149" t="s">
        <v>1073</v>
      </c>
      <c r="D22" s="196" t="s">
        <v>1500</v>
      </c>
      <c r="E22" s="196" t="s">
        <v>1066</v>
      </c>
      <c r="F22" s="147" t="s">
        <v>1898</v>
      </c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R22" s="146"/>
    </row>
    <row r="23" spans="1:18">
      <c r="A23" s="146">
        <v>22</v>
      </c>
      <c r="B23" s="150" t="s">
        <v>1069</v>
      </c>
      <c r="C23" s="235" t="s">
        <v>1073</v>
      </c>
      <c r="D23" s="196" t="s">
        <v>1500</v>
      </c>
      <c r="E23" s="196" t="s">
        <v>1066</v>
      </c>
      <c r="F23" s="236" t="s">
        <v>1899</v>
      </c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R23" s="146"/>
    </row>
    <row r="24" spans="1:18">
      <c r="A24" s="146">
        <v>23</v>
      </c>
      <c r="B24" s="150" t="s">
        <v>1069</v>
      </c>
      <c r="C24" s="235" t="s">
        <v>1073</v>
      </c>
      <c r="D24" s="196" t="s">
        <v>1500</v>
      </c>
      <c r="E24" s="196" t="s">
        <v>1066</v>
      </c>
      <c r="F24" s="236" t="s">
        <v>1932</v>
      </c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R24" s="146"/>
    </row>
    <row r="25" spans="1:18">
      <c r="A25" s="146">
        <v>24</v>
      </c>
      <c r="B25" s="150" t="s">
        <v>1037</v>
      </c>
      <c r="C25" s="151" t="s">
        <v>1038</v>
      </c>
      <c r="D25" s="197" t="s">
        <v>1588</v>
      </c>
      <c r="E25" s="197" t="s">
        <v>1035</v>
      </c>
      <c r="F25" s="147" t="s">
        <v>1680</v>
      </c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R25" s="146"/>
    </row>
    <row r="26" spans="1:18">
      <c r="A26" s="146">
        <v>25</v>
      </c>
      <c r="B26" s="150" t="s">
        <v>1047</v>
      </c>
      <c r="C26" s="149" t="s">
        <v>1047</v>
      </c>
      <c r="D26" s="196" t="s">
        <v>1505</v>
      </c>
      <c r="E26" s="196" t="s">
        <v>1045</v>
      </c>
      <c r="F26" s="147" t="s">
        <v>1682</v>
      </c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R26" s="146"/>
    </row>
    <row r="27" spans="1:18">
      <c r="A27" s="146">
        <v>26</v>
      </c>
      <c r="B27" s="150" t="s">
        <v>1047</v>
      </c>
      <c r="C27" s="149" t="s">
        <v>1047</v>
      </c>
      <c r="D27" s="196" t="s">
        <v>1505</v>
      </c>
      <c r="E27" s="196" t="s">
        <v>1045</v>
      </c>
      <c r="F27" s="147" t="s">
        <v>1893</v>
      </c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R27" s="146"/>
    </row>
    <row r="28" spans="1:18">
      <c r="A28" s="146">
        <v>27</v>
      </c>
      <c r="B28" s="150" t="s">
        <v>1047</v>
      </c>
      <c r="C28" s="149" t="s">
        <v>1047</v>
      </c>
      <c r="D28" s="196" t="s">
        <v>1505</v>
      </c>
      <c r="E28" s="196" t="s">
        <v>1045</v>
      </c>
      <c r="F28" s="147" t="s">
        <v>2312</v>
      </c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R28" s="146"/>
    </row>
    <row r="29" spans="1:18">
      <c r="A29" s="146">
        <v>28</v>
      </c>
      <c r="B29" s="150" t="s">
        <v>1047</v>
      </c>
      <c r="C29" s="149" t="s">
        <v>1047</v>
      </c>
      <c r="D29" s="196" t="s">
        <v>1505</v>
      </c>
      <c r="E29" s="196" t="s">
        <v>1045</v>
      </c>
      <c r="F29" s="147" t="s">
        <v>2313</v>
      </c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R29" s="146"/>
    </row>
    <row r="30" spans="1:18">
      <c r="A30" s="146">
        <v>29</v>
      </c>
      <c r="B30" s="150" t="s">
        <v>1047</v>
      </c>
      <c r="C30" s="149" t="s">
        <v>1047</v>
      </c>
      <c r="D30" s="196" t="s">
        <v>1505</v>
      </c>
      <c r="E30" s="196" t="s">
        <v>1045</v>
      </c>
      <c r="F30" s="147" t="s">
        <v>1934</v>
      </c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R30" s="146"/>
    </row>
    <row r="31" spans="1:18">
      <c r="A31" s="146">
        <v>30</v>
      </c>
      <c r="B31" s="150" t="s">
        <v>1047</v>
      </c>
      <c r="C31" s="149" t="s">
        <v>1047</v>
      </c>
      <c r="D31" s="196" t="s">
        <v>1505</v>
      </c>
      <c r="E31" s="196" t="s">
        <v>1045</v>
      </c>
      <c r="F31" s="147" t="s">
        <v>1894</v>
      </c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R31" s="146"/>
    </row>
    <row r="32" spans="1:18">
      <c r="A32" s="146">
        <v>31</v>
      </c>
      <c r="B32" s="150" t="s">
        <v>1042</v>
      </c>
      <c r="C32" s="235" t="s">
        <v>1675</v>
      </c>
      <c r="D32" s="196" t="s">
        <v>1514</v>
      </c>
      <c r="E32" s="196" t="s">
        <v>1035</v>
      </c>
      <c r="F32" s="236" t="s">
        <v>1681</v>
      </c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R32" s="146"/>
    </row>
    <row r="33" spans="1:18">
      <c r="A33" s="146">
        <v>32</v>
      </c>
      <c r="B33" s="150" t="s">
        <v>1030</v>
      </c>
      <c r="C33" s="235" t="s">
        <v>2286</v>
      </c>
      <c r="D33" s="196" t="s">
        <v>1508</v>
      </c>
      <c r="E33" s="196" t="s">
        <v>1020</v>
      </c>
      <c r="F33" s="236" t="s">
        <v>2307</v>
      </c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R33" s="146"/>
    </row>
    <row r="34" spans="1:18">
      <c r="A34" s="146">
        <v>33</v>
      </c>
      <c r="B34" s="150" t="s">
        <v>1076</v>
      </c>
      <c r="C34" s="235" t="s">
        <v>1754</v>
      </c>
      <c r="D34" s="196" t="s">
        <v>1512</v>
      </c>
      <c r="E34" s="196" t="s">
        <v>1066</v>
      </c>
      <c r="F34" s="236" t="s">
        <v>2308</v>
      </c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R34" s="146"/>
    </row>
    <row r="35" spans="1:18">
      <c r="A35" s="146">
        <v>34</v>
      </c>
      <c r="B35" s="150" t="s">
        <v>1049</v>
      </c>
      <c r="C35" s="235" t="s">
        <v>1676</v>
      </c>
      <c r="D35" s="196" t="s">
        <v>1517</v>
      </c>
      <c r="E35" s="196" t="s">
        <v>1045</v>
      </c>
      <c r="F35" s="236" t="s">
        <v>1683</v>
      </c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R35" s="146"/>
    </row>
    <row r="36" spans="1:18">
      <c r="A36" s="146">
        <v>35</v>
      </c>
      <c r="B36" s="150" t="s">
        <v>1686</v>
      </c>
      <c r="C36" s="149" t="s">
        <v>0</v>
      </c>
      <c r="D36" s="196" t="s">
        <v>0</v>
      </c>
      <c r="E36" s="196" t="s">
        <v>1051</v>
      </c>
      <c r="F36" s="147" t="s">
        <v>1688</v>
      </c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R36" s="146"/>
    </row>
    <row r="37" spans="1:18">
      <c r="A37" s="146">
        <v>36</v>
      </c>
      <c r="B37" s="150" t="s">
        <v>1686</v>
      </c>
      <c r="C37" s="151" t="s">
        <v>0</v>
      </c>
      <c r="D37" s="197" t="s">
        <v>0</v>
      </c>
      <c r="E37" s="197" t="s">
        <v>1051</v>
      </c>
      <c r="F37" s="152" t="s">
        <v>1052</v>
      </c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R37" s="146"/>
    </row>
    <row r="38" spans="1:18">
      <c r="A38" s="146">
        <v>37</v>
      </c>
      <c r="B38" s="150" t="s">
        <v>1686</v>
      </c>
      <c r="C38" s="149" t="s">
        <v>0</v>
      </c>
      <c r="D38" s="196" t="s">
        <v>0</v>
      </c>
      <c r="E38" s="196" t="s">
        <v>1051</v>
      </c>
      <c r="F38" s="147" t="s">
        <v>1895</v>
      </c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R38" s="146"/>
    </row>
    <row r="39" spans="1:18">
      <c r="A39" s="146">
        <v>38</v>
      </c>
      <c r="B39" s="150" t="s">
        <v>4</v>
      </c>
      <c r="C39" s="149" t="s">
        <v>4</v>
      </c>
      <c r="D39" s="196" t="s">
        <v>1453</v>
      </c>
      <c r="E39" s="196" t="s">
        <v>1053</v>
      </c>
      <c r="F39" s="147" t="s">
        <v>1651</v>
      </c>
      <c r="G39" s="146"/>
      <c r="M39" s="146"/>
      <c r="N39" s="146"/>
      <c r="O39" s="146"/>
      <c r="P39" s="146"/>
      <c r="R39" s="146"/>
    </row>
    <row r="40" spans="1:18">
      <c r="A40" s="146">
        <v>39</v>
      </c>
      <c r="B40" s="150" t="s">
        <v>4</v>
      </c>
      <c r="C40" s="149" t="s">
        <v>4</v>
      </c>
      <c r="D40" s="196" t="s">
        <v>1453</v>
      </c>
      <c r="E40" s="196" t="s">
        <v>1053</v>
      </c>
      <c r="F40" s="147" t="s">
        <v>1896</v>
      </c>
      <c r="G40" s="146"/>
      <c r="M40" s="146"/>
      <c r="N40" s="146"/>
      <c r="O40" s="146"/>
      <c r="P40" s="146"/>
      <c r="R40" s="146"/>
    </row>
    <row r="41" spans="1:18">
      <c r="A41" s="146">
        <v>40</v>
      </c>
      <c r="B41" s="150" t="s">
        <v>1062</v>
      </c>
      <c r="C41" s="149" t="s">
        <v>16</v>
      </c>
      <c r="D41" s="196" t="s">
        <v>1491</v>
      </c>
      <c r="E41" s="196" t="s">
        <v>1059</v>
      </c>
      <c r="F41" s="147" t="s">
        <v>1897</v>
      </c>
      <c r="G41" s="146"/>
      <c r="M41" s="146"/>
      <c r="N41" s="146"/>
      <c r="O41" s="146"/>
      <c r="P41" s="146"/>
      <c r="R41" s="146"/>
    </row>
    <row r="42" spans="1:18">
      <c r="A42" s="146">
        <v>41</v>
      </c>
      <c r="B42" s="150" t="s">
        <v>1023</v>
      </c>
      <c r="C42" s="149" t="s">
        <v>1028</v>
      </c>
      <c r="D42" s="196" t="s">
        <v>1497</v>
      </c>
      <c r="E42" s="196" t="s">
        <v>2306</v>
      </c>
      <c r="F42" s="147" t="s">
        <v>1678</v>
      </c>
      <c r="G42" s="146"/>
      <c r="M42" s="146"/>
      <c r="N42" s="146"/>
      <c r="O42" s="146"/>
      <c r="P42" s="146"/>
      <c r="R42" s="146"/>
    </row>
    <row r="43" spans="1:18">
      <c r="A43" s="146">
        <v>42</v>
      </c>
      <c r="B43" s="150" t="s">
        <v>1069</v>
      </c>
      <c r="C43" s="149" t="s">
        <v>1074</v>
      </c>
      <c r="D43" s="196" t="s">
        <v>1500</v>
      </c>
      <c r="E43" s="196" t="s">
        <v>2191</v>
      </c>
      <c r="F43" s="147" t="s">
        <v>1899</v>
      </c>
      <c r="G43" s="146"/>
      <c r="M43" s="146"/>
      <c r="N43" s="146"/>
      <c r="O43" s="146"/>
      <c r="P43" s="146"/>
      <c r="R43" s="146"/>
    </row>
    <row r="44" spans="1:18">
      <c r="A44" s="146">
        <v>43</v>
      </c>
      <c r="B44" s="150" t="s">
        <v>1069</v>
      </c>
      <c r="C44" s="149" t="s">
        <v>1074</v>
      </c>
      <c r="D44" s="196" t="s">
        <v>1500</v>
      </c>
      <c r="E44" s="196" t="s">
        <v>2191</v>
      </c>
      <c r="F44" s="147" t="s">
        <v>1900</v>
      </c>
      <c r="G44" s="146"/>
      <c r="M44" s="146"/>
      <c r="N44" s="146"/>
      <c r="O44" s="146"/>
      <c r="P44" s="146"/>
      <c r="R44" s="146"/>
    </row>
    <row r="45" spans="1:18">
      <c r="A45" s="146">
        <v>44</v>
      </c>
      <c r="B45" s="150" t="s">
        <v>1</v>
      </c>
      <c r="C45" s="149" t="s">
        <v>1</v>
      </c>
      <c r="D45" s="196" t="s">
        <v>1494</v>
      </c>
      <c r="E45" s="196" t="s">
        <v>1080</v>
      </c>
      <c r="F45" s="147" t="s">
        <v>1901</v>
      </c>
      <c r="G45" s="146"/>
      <c r="M45" s="146"/>
      <c r="N45" s="146"/>
      <c r="O45" s="146"/>
      <c r="P45" s="146"/>
      <c r="R45" s="146"/>
    </row>
    <row r="46" spans="1:18">
      <c r="A46" s="146">
        <v>45</v>
      </c>
      <c r="B46" s="150" t="s">
        <v>1</v>
      </c>
      <c r="C46" s="149" t="s">
        <v>1</v>
      </c>
      <c r="D46" s="196" t="s">
        <v>1494</v>
      </c>
      <c r="E46" s="196" t="s">
        <v>1080</v>
      </c>
      <c r="F46" s="147" t="s">
        <v>1902</v>
      </c>
      <c r="G46" s="146"/>
      <c r="M46" s="146"/>
      <c r="N46" s="146"/>
      <c r="O46" s="146"/>
      <c r="P46" s="146"/>
      <c r="R46" s="146"/>
    </row>
    <row r="47" spans="1:18">
      <c r="A47" s="146">
        <v>46</v>
      </c>
      <c r="B47" s="150" t="s">
        <v>1</v>
      </c>
      <c r="C47" s="149" t="s">
        <v>1</v>
      </c>
      <c r="D47" s="196" t="s">
        <v>1494</v>
      </c>
      <c r="E47" s="196" t="s">
        <v>1080</v>
      </c>
      <c r="F47" s="147" t="s">
        <v>1903</v>
      </c>
      <c r="G47" s="146"/>
      <c r="M47" s="146"/>
      <c r="N47" s="146"/>
      <c r="O47" s="146"/>
      <c r="P47" s="146"/>
      <c r="R47" s="146"/>
    </row>
    <row r="48" spans="1:18">
      <c r="A48" s="146">
        <v>47</v>
      </c>
      <c r="B48" s="150" t="s">
        <v>1</v>
      </c>
      <c r="C48" s="151" t="s">
        <v>1</v>
      </c>
      <c r="D48" s="197" t="s">
        <v>1494</v>
      </c>
      <c r="E48" s="197" t="s">
        <v>1080</v>
      </c>
      <c r="F48" s="147" t="s">
        <v>1684</v>
      </c>
    </row>
    <row r="49" spans="1:6">
      <c r="A49" s="146">
        <v>48</v>
      </c>
      <c r="B49" s="150" t="s">
        <v>1</v>
      </c>
      <c r="C49" s="151" t="s">
        <v>1</v>
      </c>
      <c r="D49" s="197" t="s">
        <v>1494</v>
      </c>
      <c r="E49" s="197" t="s">
        <v>1080</v>
      </c>
      <c r="F49" s="152" t="s">
        <v>1904</v>
      </c>
    </row>
  </sheetData>
  <sortState xmlns:xlrd2="http://schemas.microsoft.com/office/spreadsheetml/2017/richdata2" ref="H20:L33">
    <sortCondition ref="K20:K33"/>
  </sortState>
  <phoneticPr fontId="3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F117D-1A1B-4314-A6DB-9AAAA292BD1F}">
  <dimension ref="A1:L141"/>
  <sheetViews>
    <sheetView workbookViewId="0">
      <pane ySplit="1" topLeftCell="A2" activePane="bottomLeft" state="frozen"/>
      <selection activeCell="C12" sqref="C12"/>
      <selection pane="bottomLeft" activeCell="C12" sqref="C12"/>
    </sheetView>
  </sheetViews>
  <sheetFormatPr defaultRowHeight="25.5"/>
  <cols>
    <col min="1" max="1" width="11.5" style="175" bestFit="1" customWidth="1"/>
    <col min="2" max="2" width="19.875" style="38" bestFit="1" customWidth="1"/>
    <col min="3" max="3" width="18.5" style="36" customWidth="1"/>
    <col min="4" max="4" width="19.125" style="175" customWidth="1"/>
    <col min="5" max="5" width="17.375" style="175" customWidth="1"/>
    <col min="6" max="6" width="17.375" style="167" customWidth="1"/>
    <col min="7" max="7" width="14.75" style="167" customWidth="1"/>
    <col min="9" max="9" width="22.25" style="36" customWidth="1"/>
    <col min="10" max="10" width="19.125" style="175" customWidth="1"/>
    <col min="11" max="11" width="20.25" style="175" customWidth="1"/>
    <col min="12" max="12" width="9" style="36"/>
    <col min="13" max="16384" width="9" style="175"/>
  </cols>
  <sheetData>
    <row r="1" spans="1:12" s="167" customFormat="1">
      <c r="A1" s="165" t="s">
        <v>1952</v>
      </c>
      <c r="B1" s="165" t="s">
        <v>1953</v>
      </c>
      <c r="C1" s="165" t="s">
        <v>2107</v>
      </c>
      <c r="D1" s="166" t="s">
        <v>2108</v>
      </c>
      <c r="E1" s="165" t="s">
        <v>2105</v>
      </c>
      <c r="F1" s="166" t="s">
        <v>2106</v>
      </c>
      <c r="G1" s="165" t="s">
        <v>1954</v>
      </c>
    </row>
    <row r="2" spans="1:12" ht="30">
      <c r="A2" s="168">
        <v>1</v>
      </c>
      <c r="B2" s="169">
        <v>1</v>
      </c>
      <c r="C2" s="174" t="s">
        <v>760</v>
      </c>
      <c r="D2" s="173" t="s">
        <v>760</v>
      </c>
      <c r="E2" s="170" t="s">
        <v>1955</v>
      </c>
      <c r="F2" s="171" t="s">
        <v>1106</v>
      </c>
      <c r="G2" s="172" t="s">
        <v>1956</v>
      </c>
      <c r="H2" s="175"/>
      <c r="L2" s="175"/>
    </row>
    <row r="3" spans="1:12" ht="30">
      <c r="A3" s="168">
        <v>2</v>
      </c>
      <c r="B3" s="169">
        <v>2</v>
      </c>
      <c r="C3" s="174" t="s">
        <v>776</v>
      </c>
      <c r="D3" s="173" t="s">
        <v>1110</v>
      </c>
      <c r="E3" s="170" t="s">
        <v>1957</v>
      </c>
      <c r="F3" s="171" t="s">
        <v>1106</v>
      </c>
      <c r="G3" s="172" t="s">
        <v>1958</v>
      </c>
      <c r="H3" s="175"/>
      <c r="L3" s="175"/>
    </row>
    <row r="4" spans="1:12" ht="30">
      <c r="A4" s="168">
        <v>3</v>
      </c>
      <c r="B4" s="169">
        <v>1</v>
      </c>
      <c r="C4" s="174" t="s">
        <v>760</v>
      </c>
      <c r="D4" s="173" t="s">
        <v>760</v>
      </c>
      <c r="E4" s="170" t="s">
        <v>1959</v>
      </c>
      <c r="F4" s="171" t="s">
        <v>1106</v>
      </c>
      <c r="G4" s="172" t="s">
        <v>1956</v>
      </c>
      <c r="H4" s="175"/>
      <c r="L4" s="175"/>
    </row>
    <row r="5" spans="1:12" ht="30">
      <c r="A5" s="168">
        <v>4</v>
      </c>
      <c r="B5" s="169">
        <v>2</v>
      </c>
      <c r="C5" s="174" t="s">
        <v>776</v>
      </c>
      <c r="D5" s="173" t="s">
        <v>1110</v>
      </c>
      <c r="E5" s="170" t="s">
        <v>1960</v>
      </c>
      <c r="F5" s="171" t="s">
        <v>1106</v>
      </c>
      <c r="G5" s="172" t="s">
        <v>1958</v>
      </c>
      <c r="H5" s="175"/>
      <c r="L5" s="175"/>
    </row>
    <row r="6" spans="1:12" ht="30">
      <c r="A6" s="168">
        <v>5</v>
      </c>
      <c r="B6" s="169">
        <v>1</v>
      </c>
      <c r="C6" s="174" t="s">
        <v>760</v>
      </c>
      <c r="D6" s="173" t="s">
        <v>760</v>
      </c>
      <c r="E6" s="170" t="s">
        <v>1961</v>
      </c>
      <c r="F6" s="171" t="s">
        <v>1106</v>
      </c>
      <c r="G6" s="172" t="s">
        <v>1956</v>
      </c>
      <c r="H6" s="175"/>
      <c r="L6" s="175"/>
    </row>
    <row r="7" spans="1:12" ht="30">
      <c r="A7" s="168">
        <v>6</v>
      </c>
      <c r="B7" s="169">
        <v>2</v>
      </c>
      <c r="C7" s="174" t="s">
        <v>776</v>
      </c>
      <c r="D7" s="173" t="s">
        <v>1110</v>
      </c>
      <c r="E7" s="170" t="s">
        <v>1962</v>
      </c>
      <c r="F7" s="171" t="s">
        <v>1106</v>
      </c>
      <c r="G7" s="172" t="s">
        <v>1958</v>
      </c>
      <c r="H7" s="175"/>
      <c r="L7" s="175"/>
    </row>
    <row r="8" spans="1:12" ht="30">
      <c r="A8" s="168">
        <v>7</v>
      </c>
      <c r="B8" s="169">
        <v>1</v>
      </c>
      <c r="C8" s="174" t="s">
        <v>760</v>
      </c>
      <c r="D8" s="173" t="s">
        <v>1964</v>
      </c>
      <c r="E8" s="170" t="s">
        <v>1963</v>
      </c>
      <c r="F8" s="171" t="s">
        <v>1106</v>
      </c>
      <c r="G8" s="172" t="s">
        <v>1956</v>
      </c>
      <c r="H8" s="175"/>
      <c r="L8" s="175"/>
    </row>
    <row r="9" spans="1:12" ht="30">
      <c r="A9" s="168">
        <v>8</v>
      </c>
      <c r="B9" s="169">
        <v>2</v>
      </c>
      <c r="C9" s="174" t="s">
        <v>776</v>
      </c>
      <c r="D9" s="173" t="s">
        <v>1966</v>
      </c>
      <c r="E9" s="170" t="s">
        <v>1965</v>
      </c>
      <c r="F9" s="171" t="s">
        <v>1106</v>
      </c>
      <c r="G9" s="172" t="s">
        <v>1958</v>
      </c>
      <c r="H9" s="175"/>
      <c r="L9" s="175"/>
    </row>
    <row r="10" spans="1:12" ht="30">
      <c r="A10" s="168">
        <v>9</v>
      </c>
      <c r="B10" s="169">
        <v>3</v>
      </c>
      <c r="C10" s="174" t="s">
        <v>1112</v>
      </c>
      <c r="D10" s="173" t="s">
        <v>1112</v>
      </c>
      <c r="E10" s="170" t="s">
        <v>1967</v>
      </c>
      <c r="F10" s="171" t="s">
        <v>1111</v>
      </c>
      <c r="G10" s="172" t="s">
        <v>1956</v>
      </c>
      <c r="H10" s="175"/>
      <c r="L10" s="175"/>
    </row>
    <row r="11" spans="1:12" ht="30">
      <c r="A11" s="168">
        <v>10</v>
      </c>
      <c r="B11" s="169">
        <v>4</v>
      </c>
      <c r="C11" s="174" t="s">
        <v>1113</v>
      </c>
      <c r="D11" s="173" t="s">
        <v>1114</v>
      </c>
      <c r="E11" s="170" t="s">
        <v>1968</v>
      </c>
      <c r="F11" s="171" t="s">
        <v>1111</v>
      </c>
      <c r="G11" s="172" t="s">
        <v>1958</v>
      </c>
      <c r="H11" s="175"/>
      <c r="L11" s="175"/>
    </row>
    <row r="12" spans="1:12" ht="30">
      <c r="A12" s="168">
        <v>11</v>
      </c>
      <c r="B12" s="169">
        <v>3</v>
      </c>
      <c r="C12" s="174" t="s">
        <v>1112</v>
      </c>
      <c r="D12" s="173" t="s">
        <v>1112</v>
      </c>
      <c r="E12" s="170" t="s">
        <v>1969</v>
      </c>
      <c r="F12" s="171" t="s">
        <v>1111</v>
      </c>
      <c r="G12" s="172" t="s">
        <v>1956</v>
      </c>
      <c r="H12" s="175"/>
      <c r="L12" s="175"/>
    </row>
    <row r="13" spans="1:12" ht="30">
      <c r="A13" s="168">
        <v>12</v>
      </c>
      <c r="B13" s="169">
        <v>4</v>
      </c>
      <c r="C13" s="174" t="s">
        <v>1113</v>
      </c>
      <c r="D13" s="173" t="s">
        <v>1114</v>
      </c>
      <c r="E13" s="170" t="s">
        <v>1970</v>
      </c>
      <c r="F13" s="171" t="s">
        <v>1111</v>
      </c>
      <c r="G13" s="172" t="s">
        <v>1958</v>
      </c>
      <c r="H13" s="175"/>
      <c r="L13" s="175"/>
    </row>
    <row r="14" spans="1:12" ht="30">
      <c r="A14" s="168">
        <v>13</v>
      </c>
      <c r="B14" s="169">
        <v>3</v>
      </c>
      <c r="C14" s="174" t="s">
        <v>1112</v>
      </c>
      <c r="D14" s="173" t="s">
        <v>1112</v>
      </c>
      <c r="E14" s="170" t="s">
        <v>1971</v>
      </c>
      <c r="F14" s="171" t="s">
        <v>1111</v>
      </c>
      <c r="G14" s="172" t="s">
        <v>1956</v>
      </c>
      <c r="H14" s="175"/>
      <c r="L14" s="175"/>
    </row>
    <row r="15" spans="1:12" ht="30">
      <c r="A15" s="168">
        <v>14</v>
      </c>
      <c r="B15" s="169">
        <v>4</v>
      </c>
      <c r="C15" s="174" t="s">
        <v>1113</v>
      </c>
      <c r="D15" s="173" t="s">
        <v>1114</v>
      </c>
      <c r="E15" s="170" t="s">
        <v>1972</v>
      </c>
      <c r="F15" s="171" t="s">
        <v>1111</v>
      </c>
      <c r="G15" s="172" t="s">
        <v>1958</v>
      </c>
      <c r="H15" s="175"/>
      <c r="L15" s="175"/>
    </row>
    <row r="16" spans="1:12" ht="30">
      <c r="A16" s="168">
        <v>15</v>
      </c>
      <c r="B16" s="169">
        <v>3</v>
      </c>
      <c r="C16" s="174" t="s">
        <v>1112</v>
      </c>
      <c r="D16" s="173" t="s">
        <v>1112</v>
      </c>
      <c r="E16" s="170" t="s">
        <v>1973</v>
      </c>
      <c r="F16" s="171" t="s">
        <v>1111</v>
      </c>
      <c r="G16" s="172" t="s">
        <v>1956</v>
      </c>
      <c r="H16" s="175"/>
      <c r="L16" s="175"/>
    </row>
    <row r="17" spans="1:12" ht="30">
      <c r="A17" s="168">
        <v>16</v>
      </c>
      <c r="B17" s="169">
        <v>4</v>
      </c>
      <c r="C17" s="174" t="s">
        <v>1113</v>
      </c>
      <c r="D17" s="173" t="s">
        <v>1114</v>
      </c>
      <c r="E17" s="170" t="s">
        <v>1974</v>
      </c>
      <c r="F17" s="171" t="s">
        <v>1111</v>
      </c>
      <c r="G17" s="172" t="s">
        <v>1958</v>
      </c>
      <c r="H17" s="175"/>
      <c r="L17" s="175"/>
    </row>
    <row r="18" spans="1:12" ht="30">
      <c r="A18" s="168">
        <v>17</v>
      </c>
      <c r="B18" s="169">
        <v>5</v>
      </c>
      <c r="C18" s="174" t="s">
        <v>306</v>
      </c>
      <c r="D18" s="173" t="s">
        <v>306</v>
      </c>
      <c r="E18" s="170" t="s">
        <v>1975</v>
      </c>
      <c r="F18" s="171" t="s">
        <v>1115</v>
      </c>
      <c r="G18" s="172" t="s">
        <v>1956</v>
      </c>
      <c r="H18" s="175"/>
      <c r="L18" s="175"/>
    </row>
    <row r="19" spans="1:12" ht="30">
      <c r="A19" s="168">
        <v>18</v>
      </c>
      <c r="B19" s="169">
        <v>6</v>
      </c>
      <c r="C19" s="174" t="s">
        <v>350</v>
      </c>
      <c r="D19" s="173" t="s">
        <v>1118</v>
      </c>
      <c r="E19" s="170" t="s">
        <v>1976</v>
      </c>
      <c r="F19" s="171" t="s">
        <v>1115</v>
      </c>
      <c r="G19" s="172" t="s">
        <v>1958</v>
      </c>
      <c r="H19" s="175"/>
      <c r="L19" s="175"/>
    </row>
    <row r="20" spans="1:12" ht="30">
      <c r="A20" s="168">
        <v>19</v>
      </c>
      <c r="B20" s="169">
        <v>7</v>
      </c>
      <c r="C20" s="174" t="s">
        <v>921</v>
      </c>
      <c r="D20" s="173" t="s">
        <v>921</v>
      </c>
      <c r="E20" s="170" t="s">
        <v>1977</v>
      </c>
      <c r="F20" s="171" t="s">
        <v>1119</v>
      </c>
      <c r="G20" s="172" t="s">
        <v>1956</v>
      </c>
      <c r="H20" s="175"/>
      <c r="L20" s="175"/>
    </row>
    <row r="21" spans="1:12" ht="30">
      <c r="A21" s="168">
        <v>20</v>
      </c>
      <c r="B21" s="169">
        <v>7</v>
      </c>
      <c r="C21" s="174" t="s">
        <v>921</v>
      </c>
      <c r="D21" s="173" t="s">
        <v>921</v>
      </c>
      <c r="E21" s="170" t="s">
        <v>1978</v>
      </c>
      <c r="F21" s="171" t="s">
        <v>1119</v>
      </c>
      <c r="G21" s="172" t="s">
        <v>1956</v>
      </c>
      <c r="H21" s="175"/>
      <c r="L21" s="175"/>
    </row>
    <row r="22" spans="1:12" ht="30">
      <c r="A22" s="168">
        <v>21</v>
      </c>
      <c r="B22" s="169">
        <v>7</v>
      </c>
      <c r="C22" s="174" t="s">
        <v>921</v>
      </c>
      <c r="D22" s="173" t="s">
        <v>921</v>
      </c>
      <c r="E22" s="170" t="s">
        <v>1979</v>
      </c>
      <c r="F22" s="171" t="s">
        <v>1119</v>
      </c>
      <c r="G22" s="172" t="s">
        <v>1956</v>
      </c>
      <c r="H22" s="175"/>
      <c r="L22" s="175"/>
    </row>
    <row r="23" spans="1:12" ht="30">
      <c r="A23" s="168">
        <v>22</v>
      </c>
      <c r="B23" s="169">
        <v>11</v>
      </c>
      <c r="C23" s="174" t="s">
        <v>79</v>
      </c>
      <c r="D23" s="173" t="s">
        <v>79</v>
      </c>
      <c r="E23" s="170" t="s">
        <v>1980</v>
      </c>
      <c r="F23" s="171" t="s">
        <v>1129</v>
      </c>
      <c r="G23" s="172" t="s">
        <v>1956</v>
      </c>
      <c r="H23" s="175"/>
      <c r="L23" s="175"/>
    </row>
    <row r="24" spans="1:12" ht="30">
      <c r="A24" s="168">
        <v>23</v>
      </c>
      <c r="B24" s="169">
        <v>12</v>
      </c>
      <c r="C24" s="174" t="s">
        <v>120</v>
      </c>
      <c r="D24" s="173" t="s">
        <v>1131</v>
      </c>
      <c r="E24" s="170" t="s">
        <v>1981</v>
      </c>
      <c r="F24" s="171" t="s">
        <v>1129</v>
      </c>
      <c r="G24" s="172" t="s">
        <v>1958</v>
      </c>
      <c r="H24" s="175"/>
      <c r="L24" s="175"/>
    </row>
    <row r="25" spans="1:12" ht="30">
      <c r="A25" s="168">
        <v>24</v>
      </c>
      <c r="B25" s="169">
        <v>11</v>
      </c>
      <c r="C25" s="174" t="s">
        <v>79</v>
      </c>
      <c r="D25" s="173" t="s">
        <v>79</v>
      </c>
      <c r="E25" s="170" t="s">
        <v>1982</v>
      </c>
      <c r="F25" s="171" t="s">
        <v>1129</v>
      </c>
      <c r="G25" s="172" t="s">
        <v>1956</v>
      </c>
      <c r="H25" s="175"/>
      <c r="L25" s="175"/>
    </row>
    <row r="26" spans="1:12" ht="30">
      <c r="A26" s="168">
        <v>25</v>
      </c>
      <c r="B26" s="169">
        <v>12</v>
      </c>
      <c r="C26" s="174" t="s">
        <v>120</v>
      </c>
      <c r="D26" s="173" t="s">
        <v>1131</v>
      </c>
      <c r="E26" s="170" t="s">
        <v>1983</v>
      </c>
      <c r="F26" s="171" t="s">
        <v>1129</v>
      </c>
      <c r="G26" s="172" t="s">
        <v>1958</v>
      </c>
      <c r="H26" s="175"/>
      <c r="L26" s="175"/>
    </row>
    <row r="27" spans="1:12" ht="30">
      <c r="A27" s="168">
        <v>26</v>
      </c>
      <c r="B27" s="169">
        <v>11</v>
      </c>
      <c r="C27" s="174" t="s">
        <v>79</v>
      </c>
      <c r="D27" s="173" t="s">
        <v>79</v>
      </c>
      <c r="E27" s="170" t="s">
        <v>1984</v>
      </c>
      <c r="F27" s="171" t="s">
        <v>1129</v>
      </c>
      <c r="G27" s="172" t="s">
        <v>1956</v>
      </c>
      <c r="H27" s="175"/>
      <c r="L27" s="175"/>
    </row>
    <row r="28" spans="1:12" ht="30">
      <c r="A28" s="168">
        <v>27</v>
      </c>
      <c r="B28" s="169">
        <v>12</v>
      </c>
      <c r="C28" s="174" t="s">
        <v>120</v>
      </c>
      <c r="D28" s="173" t="s">
        <v>1131</v>
      </c>
      <c r="E28" s="170" t="s">
        <v>1985</v>
      </c>
      <c r="F28" s="171" t="s">
        <v>1129</v>
      </c>
      <c r="G28" s="172" t="s">
        <v>1958</v>
      </c>
      <c r="H28" s="175"/>
      <c r="L28" s="175"/>
    </row>
    <row r="29" spans="1:12" ht="30">
      <c r="A29" s="168">
        <v>28</v>
      </c>
      <c r="B29" s="169">
        <v>13</v>
      </c>
      <c r="C29" s="174" t="s">
        <v>697</v>
      </c>
      <c r="D29" s="173" t="s">
        <v>1134</v>
      </c>
      <c r="E29" s="170" t="s">
        <v>1986</v>
      </c>
      <c r="F29" s="171" t="s">
        <v>1132</v>
      </c>
      <c r="G29" s="172" t="s">
        <v>1956</v>
      </c>
      <c r="H29" s="175"/>
      <c r="L29" s="175"/>
    </row>
    <row r="30" spans="1:12" ht="30">
      <c r="A30" s="168">
        <v>29</v>
      </c>
      <c r="B30" s="169">
        <v>14</v>
      </c>
      <c r="C30" s="174" t="s">
        <v>717</v>
      </c>
      <c r="D30" s="173" t="s">
        <v>1136</v>
      </c>
      <c r="E30" s="170" t="s">
        <v>1987</v>
      </c>
      <c r="F30" s="171" t="s">
        <v>1132</v>
      </c>
      <c r="G30" s="172" t="s">
        <v>1958</v>
      </c>
      <c r="H30" s="175"/>
      <c r="L30" s="175"/>
    </row>
    <row r="31" spans="1:12" ht="30">
      <c r="A31" s="168">
        <v>30</v>
      </c>
      <c r="B31" s="169">
        <v>13</v>
      </c>
      <c r="C31" s="174" t="s">
        <v>697</v>
      </c>
      <c r="D31" s="173" t="s">
        <v>1134</v>
      </c>
      <c r="E31" s="170" t="s">
        <v>1988</v>
      </c>
      <c r="F31" s="171" t="s">
        <v>1132</v>
      </c>
      <c r="G31" s="172" t="s">
        <v>1956</v>
      </c>
      <c r="H31" s="175"/>
      <c r="L31" s="175"/>
    </row>
    <row r="32" spans="1:12" ht="30">
      <c r="A32" s="168">
        <v>31</v>
      </c>
      <c r="B32" s="169">
        <v>14</v>
      </c>
      <c r="C32" s="174" t="s">
        <v>717</v>
      </c>
      <c r="D32" s="173" t="s">
        <v>1136</v>
      </c>
      <c r="E32" s="170" t="s">
        <v>1989</v>
      </c>
      <c r="F32" s="171" t="s">
        <v>1132</v>
      </c>
      <c r="G32" s="172" t="s">
        <v>1958</v>
      </c>
      <c r="H32" s="175"/>
      <c r="L32" s="175"/>
    </row>
    <row r="33" spans="1:12" ht="30">
      <c r="A33" s="168">
        <v>32</v>
      </c>
      <c r="B33" s="169">
        <v>13</v>
      </c>
      <c r="C33" s="174" t="s">
        <v>697</v>
      </c>
      <c r="D33" s="173" t="s">
        <v>1134</v>
      </c>
      <c r="E33" s="170" t="s">
        <v>1990</v>
      </c>
      <c r="F33" s="171" t="s">
        <v>1132</v>
      </c>
      <c r="G33" s="172" t="s">
        <v>1956</v>
      </c>
      <c r="H33" s="175"/>
      <c r="L33" s="175"/>
    </row>
    <row r="34" spans="1:12" ht="30">
      <c r="A34" s="168">
        <v>33</v>
      </c>
      <c r="B34" s="169">
        <v>14</v>
      </c>
      <c r="C34" s="174" t="s">
        <v>717</v>
      </c>
      <c r="D34" s="173" t="s">
        <v>1136</v>
      </c>
      <c r="E34" s="170" t="s">
        <v>1991</v>
      </c>
      <c r="F34" s="171" t="s">
        <v>1132</v>
      </c>
      <c r="G34" s="172" t="s">
        <v>1958</v>
      </c>
      <c r="H34" s="175"/>
      <c r="L34" s="175"/>
    </row>
    <row r="35" spans="1:12" ht="30">
      <c r="A35" s="168">
        <v>34</v>
      </c>
      <c r="B35" s="169">
        <v>13</v>
      </c>
      <c r="C35" s="174" t="s">
        <v>697</v>
      </c>
      <c r="D35" s="173" t="s">
        <v>1134</v>
      </c>
      <c r="E35" s="170" t="s">
        <v>1992</v>
      </c>
      <c r="F35" s="171" t="s">
        <v>1132</v>
      </c>
      <c r="G35" s="172" t="s">
        <v>1956</v>
      </c>
      <c r="H35" s="175"/>
      <c r="L35" s="175"/>
    </row>
    <row r="36" spans="1:12" ht="30">
      <c r="A36" s="168">
        <v>35</v>
      </c>
      <c r="B36" s="169">
        <v>14</v>
      </c>
      <c r="C36" s="174" t="s">
        <v>717</v>
      </c>
      <c r="D36" s="173" t="s">
        <v>1136</v>
      </c>
      <c r="E36" s="170" t="s">
        <v>1993</v>
      </c>
      <c r="F36" s="171" t="s">
        <v>1132</v>
      </c>
      <c r="G36" s="172" t="s">
        <v>1958</v>
      </c>
      <c r="H36" s="175"/>
      <c r="L36" s="175"/>
    </row>
    <row r="37" spans="1:12" ht="30">
      <c r="A37" s="168">
        <v>36</v>
      </c>
      <c r="B37" s="169">
        <v>13</v>
      </c>
      <c r="C37" s="174" t="s">
        <v>697</v>
      </c>
      <c r="D37" s="173" t="s">
        <v>1134</v>
      </c>
      <c r="E37" s="170" t="s">
        <v>1994</v>
      </c>
      <c r="F37" s="171" t="s">
        <v>1132</v>
      </c>
      <c r="G37" s="172" t="s">
        <v>1956</v>
      </c>
      <c r="H37" s="175"/>
      <c r="L37" s="175"/>
    </row>
    <row r="38" spans="1:12" ht="30">
      <c r="A38" s="168">
        <v>37</v>
      </c>
      <c r="B38" s="169">
        <v>14</v>
      </c>
      <c r="C38" s="174" t="s">
        <v>717</v>
      </c>
      <c r="D38" s="173" t="s">
        <v>1136</v>
      </c>
      <c r="E38" s="170" t="s">
        <v>1995</v>
      </c>
      <c r="F38" s="171" t="s">
        <v>1132</v>
      </c>
      <c r="G38" s="172" t="s">
        <v>1958</v>
      </c>
      <c r="H38" s="175"/>
      <c r="L38" s="175"/>
    </row>
    <row r="39" spans="1:12" ht="30">
      <c r="A39" s="168">
        <v>38</v>
      </c>
      <c r="B39" s="169">
        <v>13</v>
      </c>
      <c r="C39" s="174" t="s">
        <v>697</v>
      </c>
      <c r="D39" s="173" t="s">
        <v>1134</v>
      </c>
      <c r="E39" s="170" t="s">
        <v>1996</v>
      </c>
      <c r="F39" s="171" t="s">
        <v>1132</v>
      </c>
      <c r="G39" s="172" t="s">
        <v>1956</v>
      </c>
      <c r="H39" s="175"/>
      <c r="L39" s="175"/>
    </row>
    <row r="40" spans="1:12" ht="30">
      <c r="A40" s="168">
        <v>39</v>
      </c>
      <c r="B40" s="169">
        <v>14</v>
      </c>
      <c r="C40" s="174" t="s">
        <v>717</v>
      </c>
      <c r="D40" s="173" t="s">
        <v>1136</v>
      </c>
      <c r="E40" s="170" t="s">
        <v>1997</v>
      </c>
      <c r="F40" s="171" t="s">
        <v>1132</v>
      </c>
      <c r="G40" s="172" t="s">
        <v>1958</v>
      </c>
      <c r="H40" s="175"/>
      <c r="L40" s="175"/>
    </row>
    <row r="41" spans="1:12" ht="30">
      <c r="A41" s="168">
        <v>40</v>
      </c>
      <c r="B41" s="169">
        <v>13</v>
      </c>
      <c r="C41" s="174" t="s">
        <v>697</v>
      </c>
      <c r="D41" s="173" t="s">
        <v>1134</v>
      </c>
      <c r="E41" s="170" t="s">
        <v>1998</v>
      </c>
      <c r="F41" s="171" t="s">
        <v>1132</v>
      </c>
      <c r="G41" s="172" t="s">
        <v>1956</v>
      </c>
      <c r="H41" s="175"/>
      <c r="L41" s="175"/>
    </row>
    <row r="42" spans="1:12" ht="30">
      <c r="A42" s="168">
        <v>41</v>
      </c>
      <c r="B42" s="169">
        <v>14</v>
      </c>
      <c r="C42" s="174" t="s">
        <v>717</v>
      </c>
      <c r="D42" s="173" t="s">
        <v>1136</v>
      </c>
      <c r="E42" s="170" t="s">
        <v>1999</v>
      </c>
      <c r="F42" s="171" t="s">
        <v>1132</v>
      </c>
      <c r="G42" s="172" t="s">
        <v>1958</v>
      </c>
      <c r="H42" s="175"/>
      <c r="L42" s="175"/>
    </row>
    <row r="43" spans="1:12" ht="30">
      <c r="A43" s="168">
        <v>42</v>
      </c>
      <c r="B43" s="169">
        <v>15</v>
      </c>
      <c r="C43" s="174" t="s">
        <v>868</v>
      </c>
      <c r="D43" s="173" t="s">
        <v>2001</v>
      </c>
      <c r="E43" s="170" t="s">
        <v>2000</v>
      </c>
      <c r="F43" s="171" t="s">
        <v>1137</v>
      </c>
      <c r="G43" s="172" t="s">
        <v>1956</v>
      </c>
      <c r="H43" s="175"/>
      <c r="L43" s="175"/>
    </row>
    <row r="44" spans="1:12" ht="30">
      <c r="A44" s="168">
        <v>43</v>
      </c>
      <c r="B44" s="169">
        <v>15</v>
      </c>
      <c r="C44" s="174" t="s">
        <v>868</v>
      </c>
      <c r="D44" s="173" t="s">
        <v>868</v>
      </c>
      <c r="E44" s="170" t="s">
        <v>2002</v>
      </c>
      <c r="F44" s="171" t="s">
        <v>1137</v>
      </c>
      <c r="G44" s="172" t="s">
        <v>1956</v>
      </c>
      <c r="H44" s="175"/>
      <c r="L44" s="175"/>
    </row>
    <row r="45" spans="1:12" ht="30">
      <c r="A45" s="168">
        <v>44</v>
      </c>
      <c r="B45" s="169">
        <v>15</v>
      </c>
      <c r="C45" s="174" t="s">
        <v>868</v>
      </c>
      <c r="D45" s="173" t="s">
        <v>868</v>
      </c>
      <c r="E45" s="170" t="s">
        <v>2003</v>
      </c>
      <c r="F45" s="171" t="s">
        <v>1137</v>
      </c>
      <c r="G45" s="172" t="s">
        <v>1956</v>
      </c>
      <c r="H45" s="175"/>
      <c r="L45" s="175"/>
    </row>
    <row r="46" spans="1:12" ht="30">
      <c r="A46" s="168">
        <v>45</v>
      </c>
      <c r="B46" s="169">
        <v>17</v>
      </c>
      <c r="C46" s="174" t="s">
        <v>2109</v>
      </c>
      <c r="D46" s="173" t="s">
        <v>2005</v>
      </c>
      <c r="E46" s="170" t="s">
        <v>2004</v>
      </c>
      <c r="F46" s="171" t="s">
        <v>1143</v>
      </c>
      <c r="G46" s="172" t="s">
        <v>1956</v>
      </c>
      <c r="H46" s="175"/>
      <c r="L46" s="175"/>
    </row>
    <row r="47" spans="1:12" ht="30">
      <c r="A47" s="168">
        <v>46</v>
      </c>
      <c r="B47" s="169">
        <v>18</v>
      </c>
      <c r="C47" s="174" t="s">
        <v>1148</v>
      </c>
      <c r="D47" s="173" t="s">
        <v>2007</v>
      </c>
      <c r="E47" s="170" t="s">
        <v>2006</v>
      </c>
      <c r="F47" s="171" t="s">
        <v>1143</v>
      </c>
      <c r="G47" s="172" t="s">
        <v>1958</v>
      </c>
      <c r="H47" s="175"/>
      <c r="L47" s="175"/>
    </row>
    <row r="48" spans="1:12" ht="30">
      <c r="A48" s="168">
        <v>47</v>
      </c>
      <c r="B48" s="169">
        <v>17</v>
      </c>
      <c r="C48" s="174" t="s">
        <v>2109</v>
      </c>
      <c r="D48" s="173" t="s">
        <v>2005</v>
      </c>
      <c r="E48" s="170" t="s">
        <v>2008</v>
      </c>
      <c r="F48" s="171" t="s">
        <v>1143</v>
      </c>
      <c r="G48" s="172" t="s">
        <v>1956</v>
      </c>
      <c r="H48" s="175"/>
      <c r="L48" s="175"/>
    </row>
    <row r="49" spans="1:12" ht="30">
      <c r="A49" s="168">
        <v>48</v>
      </c>
      <c r="B49" s="169">
        <v>18</v>
      </c>
      <c r="C49" s="174" t="s">
        <v>1148</v>
      </c>
      <c r="D49" s="173" t="s">
        <v>2007</v>
      </c>
      <c r="E49" s="170" t="s">
        <v>2009</v>
      </c>
      <c r="F49" s="171" t="s">
        <v>1143</v>
      </c>
      <c r="G49" s="172" t="s">
        <v>1958</v>
      </c>
      <c r="H49" s="175"/>
      <c r="L49" s="175"/>
    </row>
    <row r="50" spans="1:12" ht="30">
      <c r="A50" s="168">
        <v>49</v>
      </c>
      <c r="B50" s="169">
        <v>17</v>
      </c>
      <c r="C50" s="174" t="s">
        <v>2109</v>
      </c>
      <c r="D50" s="173" t="s">
        <v>2005</v>
      </c>
      <c r="E50" s="170" t="s">
        <v>2010</v>
      </c>
      <c r="F50" s="171" t="s">
        <v>1143</v>
      </c>
      <c r="G50" s="172" t="s">
        <v>1956</v>
      </c>
      <c r="H50" s="175"/>
      <c r="L50" s="175"/>
    </row>
    <row r="51" spans="1:12" ht="30">
      <c r="A51" s="168">
        <v>50</v>
      </c>
      <c r="B51" s="169">
        <v>18</v>
      </c>
      <c r="C51" s="174" t="s">
        <v>1148</v>
      </c>
      <c r="D51" s="173" t="s">
        <v>2007</v>
      </c>
      <c r="E51" s="170" t="s">
        <v>2011</v>
      </c>
      <c r="F51" s="171" t="s">
        <v>1143</v>
      </c>
      <c r="G51" s="172" t="s">
        <v>1958</v>
      </c>
      <c r="H51" s="175"/>
      <c r="L51" s="175"/>
    </row>
    <row r="52" spans="1:12" ht="30">
      <c r="A52" s="168">
        <v>51</v>
      </c>
      <c r="B52" s="169">
        <v>17</v>
      </c>
      <c r="C52" s="174" t="s">
        <v>2109</v>
      </c>
      <c r="D52" s="173" t="s">
        <v>2005</v>
      </c>
      <c r="E52" s="170" t="s">
        <v>2012</v>
      </c>
      <c r="F52" s="171" t="s">
        <v>1143</v>
      </c>
      <c r="G52" s="172" t="s">
        <v>1956</v>
      </c>
      <c r="H52" s="175"/>
      <c r="L52" s="175"/>
    </row>
    <row r="53" spans="1:12" ht="30">
      <c r="A53" s="168">
        <v>52</v>
      </c>
      <c r="B53" s="169">
        <v>18</v>
      </c>
      <c r="C53" s="174" t="s">
        <v>1148</v>
      </c>
      <c r="D53" s="173" t="s">
        <v>2007</v>
      </c>
      <c r="E53" s="170" t="s">
        <v>2013</v>
      </c>
      <c r="F53" s="171" t="s">
        <v>1143</v>
      </c>
      <c r="G53" s="172" t="s">
        <v>1958</v>
      </c>
      <c r="H53" s="175"/>
      <c r="L53" s="175"/>
    </row>
    <row r="54" spans="1:12" ht="30">
      <c r="A54" s="168">
        <v>53</v>
      </c>
      <c r="B54" s="169">
        <v>17</v>
      </c>
      <c r="C54" s="174" t="s">
        <v>2109</v>
      </c>
      <c r="D54" s="173" t="s">
        <v>2005</v>
      </c>
      <c r="E54" s="170" t="s">
        <v>2014</v>
      </c>
      <c r="F54" s="171" t="s">
        <v>1143</v>
      </c>
      <c r="G54" s="172" t="s">
        <v>1956</v>
      </c>
      <c r="H54" s="175"/>
      <c r="L54" s="175"/>
    </row>
    <row r="55" spans="1:12" ht="30">
      <c r="A55" s="168">
        <v>54</v>
      </c>
      <c r="B55" s="169">
        <v>18</v>
      </c>
      <c r="C55" s="174" t="s">
        <v>1148</v>
      </c>
      <c r="D55" s="173" t="s">
        <v>2007</v>
      </c>
      <c r="E55" s="170" t="s">
        <v>2015</v>
      </c>
      <c r="F55" s="171" t="s">
        <v>1143</v>
      </c>
      <c r="G55" s="172" t="s">
        <v>1958</v>
      </c>
      <c r="H55" s="175"/>
      <c r="L55" s="175"/>
    </row>
    <row r="56" spans="1:12" ht="30">
      <c r="A56" s="168">
        <v>55</v>
      </c>
      <c r="B56" s="169">
        <v>17</v>
      </c>
      <c r="C56" s="174" t="s">
        <v>2109</v>
      </c>
      <c r="D56" s="173" t="s">
        <v>2005</v>
      </c>
      <c r="E56" s="170" t="s">
        <v>2016</v>
      </c>
      <c r="F56" s="171" t="s">
        <v>1143</v>
      </c>
      <c r="G56" s="172" t="s">
        <v>1956</v>
      </c>
      <c r="H56" s="175"/>
      <c r="L56" s="175"/>
    </row>
    <row r="57" spans="1:12" ht="30">
      <c r="A57" s="168">
        <v>56</v>
      </c>
      <c r="B57" s="169">
        <v>18</v>
      </c>
      <c r="C57" s="174" t="s">
        <v>1148</v>
      </c>
      <c r="D57" s="173" t="s">
        <v>2007</v>
      </c>
      <c r="E57" s="170" t="s">
        <v>2017</v>
      </c>
      <c r="F57" s="171" t="s">
        <v>1143</v>
      </c>
      <c r="G57" s="172" t="s">
        <v>1958</v>
      </c>
      <c r="H57" s="175"/>
      <c r="L57" s="175"/>
    </row>
    <row r="58" spans="1:12" ht="30">
      <c r="A58" s="168">
        <v>57</v>
      </c>
      <c r="B58" s="169">
        <v>17</v>
      </c>
      <c r="C58" s="174" t="s">
        <v>2109</v>
      </c>
      <c r="D58" s="173" t="s">
        <v>2005</v>
      </c>
      <c r="E58" s="170" t="s">
        <v>2018</v>
      </c>
      <c r="F58" s="171" t="s">
        <v>1143</v>
      </c>
      <c r="G58" s="172" t="s">
        <v>1956</v>
      </c>
      <c r="H58" s="175"/>
      <c r="L58" s="175"/>
    </row>
    <row r="59" spans="1:12" ht="30">
      <c r="A59" s="168">
        <v>58</v>
      </c>
      <c r="B59" s="169">
        <v>18</v>
      </c>
      <c r="C59" s="174" t="s">
        <v>1148</v>
      </c>
      <c r="D59" s="173" t="s">
        <v>2007</v>
      </c>
      <c r="E59" s="170" t="s">
        <v>2019</v>
      </c>
      <c r="F59" s="171" t="s">
        <v>1143</v>
      </c>
      <c r="G59" s="172" t="s">
        <v>1958</v>
      </c>
      <c r="H59" s="175"/>
      <c r="L59" s="175"/>
    </row>
    <row r="60" spans="1:12" ht="30">
      <c r="A60" s="168">
        <v>59</v>
      </c>
      <c r="B60" s="169">
        <v>17</v>
      </c>
      <c r="C60" s="174" t="s">
        <v>2109</v>
      </c>
      <c r="D60" s="173" t="s">
        <v>2005</v>
      </c>
      <c r="E60" s="170" t="s">
        <v>2020</v>
      </c>
      <c r="F60" s="171" t="s">
        <v>1143</v>
      </c>
      <c r="G60" s="172" t="s">
        <v>1956</v>
      </c>
      <c r="H60" s="175"/>
      <c r="L60" s="175"/>
    </row>
    <row r="61" spans="1:12" ht="30">
      <c r="A61" s="168">
        <v>60</v>
      </c>
      <c r="B61" s="169">
        <v>18</v>
      </c>
      <c r="C61" s="174" t="s">
        <v>1148</v>
      </c>
      <c r="D61" s="173" t="s">
        <v>2007</v>
      </c>
      <c r="E61" s="170" t="s">
        <v>2021</v>
      </c>
      <c r="F61" s="171" t="s">
        <v>1143</v>
      </c>
      <c r="G61" s="172" t="s">
        <v>1958</v>
      </c>
      <c r="H61" s="175"/>
      <c r="L61" s="175"/>
    </row>
    <row r="62" spans="1:12" ht="30">
      <c r="A62" s="168">
        <v>61</v>
      </c>
      <c r="B62" s="169">
        <v>17</v>
      </c>
      <c r="C62" s="174" t="s">
        <v>2109</v>
      </c>
      <c r="D62" s="173" t="s">
        <v>2005</v>
      </c>
      <c r="E62" s="170" t="s">
        <v>2022</v>
      </c>
      <c r="F62" s="171" t="s">
        <v>1143</v>
      </c>
      <c r="G62" s="172" t="s">
        <v>1956</v>
      </c>
      <c r="H62" s="175"/>
      <c r="L62" s="175"/>
    </row>
    <row r="63" spans="1:12" ht="30">
      <c r="A63" s="168">
        <v>62</v>
      </c>
      <c r="B63" s="169">
        <v>18</v>
      </c>
      <c r="C63" s="174" t="s">
        <v>1148</v>
      </c>
      <c r="D63" s="173" t="s">
        <v>2007</v>
      </c>
      <c r="E63" s="170" t="s">
        <v>2023</v>
      </c>
      <c r="F63" s="171" t="s">
        <v>1143</v>
      </c>
      <c r="G63" s="172" t="s">
        <v>1958</v>
      </c>
      <c r="H63" s="175"/>
      <c r="L63" s="175"/>
    </row>
    <row r="64" spans="1:12" ht="30">
      <c r="A64" s="168">
        <v>63</v>
      </c>
      <c r="B64" s="169">
        <v>17</v>
      </c>
      <c r="C64" s="174" t="s">
        <v>2109</v>
      </c>
      <c r="D64" s="173" t="s">
        <v>2005</v>
      </c>
      <c r="E64" s="170" t="s">
        <v>2024</v>
      </c>
      <c r="F64" s="171" t="s">
        <v>1143</v>
      </c>
      <c r="G64" s="172" t="s">
        <v>1956</v>
      </c>
      <c r="H64" s="175"/>
      <c r="L64" s="175"/>
    </row>
    <row r="65" spans="1:12" ht="30">
      <c r="A65" s="168">
        <v>64</v>
      </c>
      <c r="B65" s="169">
        <v>18</v>
      </c>
      <c r="C65" s="174" t="s">
        <v>1148</v>
      </c>
      <c r="D65" s="173" t="s">
        <v>2007</v>
      </c>
      <c r="E65" s="170" t="s">
        <v>2025</v>
      </c>
      <c r="F65" s="171" t="s">
        <v>1143</v>
      </c>
      <c r="G65" s="172" t="s">
        <v>1958</v>
      </c>
      <c r="H65" s="175"/>
      <c r="L65" s="175"/>
    </row>
    <row r="66" spans="1:12" ht="30">
      <c r="A66" s="168">
        <v>65</v>
      </c>
      <c r="B66" s="169">
        <v>19</v>
      </c>
      <c r="C66" s="174" t="s">
        <v>835</v>
      </c>
      <c r="D66" s="173" t="s">
        <v>835</v>
      </c>
      <c r="E66" s="170" t="s">
        <v>2026</v>
      </c>
      <c r="F66" s="171" t="s">
        <v>1151</v>
      </c>
      <c r="G66" s="172" t="s">
        <v>1956</v>
      </c>
      <c r="H66" s="175"/>
      <c r="L66" s="175"/>
    </row>
    <row r="67" spans="1:12" ht="30">
      <c r="A67" s="168">
        <v>66</v>
      </c>
      <c r="B67" s="169">
        <v>20</v>
      </c>
      <c r="C67" s="174" t="s">
        <v>854</v>
      </c>
      <c r="D67" s="173" t="s">
        <v>1155</v>
      </c>
      <c r="E67" s="170" t="s">
        <v>2027</v>
      </c>
      <c r="F67" s="171" t="s">
        <v>1151</v>
      </c>
      <c r="G67" s="172" t="s">
        <v>1958</v>
      </c>
      <c r="H67" s="175"/>
      <c r="L67" s="175"/>
    </row>
    <row r="68" spans="1:12" ht="30">
      <c r="A68" s="168">
        <v>67</v>
      </c>
      <c r="B68" s="169">
        <v>19</v>
      </c>
      <c r="C68" s="174" t="s">
        <v>835</v>
      </c>
      <c r="D68" s="173" t="s">
        <v>835</v>
      </c>
      <c r="E68" s="170" t="s">
        <v>2028</v>
      </c>
      <c r="F68" s="171" t="s">
        <v>1151</v>
      </c>
      <c r="G68" s="172" t="s">
        <v>1956</v>
      </c>
      <c r="H68" s="175"/>
      <c r="L68" s="175"/>
    </row>
    <row r="69" spans="1:12" ht="30">
      <c r="A69" s="168">
        <v>68</v>
      </c>
      <c r="B69" s="169">
        <v>20</v>
      </c>
      <c r="C69" s="174" t="s">
        <v>854</v>
      </c>
      <c r="D69" s="173" t="s">
        <v>1155</v>
      </c>
      <c r="E69" s="170" t="s">
        <v>2029</v>
      </c>
      <c r="F69" s="171" t="s">
        <v>1151</v>
      </c>
      <c r="G69" s="172" t="s">
        <v>1958</v>
      </c>
      <c r="H69" s="175"/>
      <c r="L69" s="175"/>
    </row>
    <row r="70" spans="1:12" ht="30">
      <c r="A70" s="168">
        <v>69</v>
      </c>
      <c r="B70" s="169">
        <v>19</v>
      </c>
      <c r="C70" s="174" t="s">
        <v>835</v>
      </c>
      <c r="D70" s="173" t="s">
        <v>835</v>
      </c>
      <c r="E70" s="170" t="s">
        <v>2030</v>
      </c>
      <c r="F70" s="171" t="s">
        <v>1151</v>
      </c>
      <c r="G70" s="172" t="s">
        <v>1956</v>
      </c>
      <c r="H70" s="175"/>
      <c r="L70" s="175"/>
    </row>
    <row r="71" spans="1:12" ht="30">
      <c r="A71" s="168">
        <v>70</v>
      </c>
      <c r="B71" s="169">
        <v>20</v>
      </c>
      <c r="C71" s="174" t="s">
        <v>854</v>
      </c>
      <c r="D71" s="173" t="s">
        <v>1155</v>
      </c>
      <c r="E71" s="170" t="s">
        <v>2031</v>
      </c>
      <c r="F71" s="171" t="s">
        <v>1151</v>
      </c>
      <c r="G71" s="172" t="s">
        <v>1958</v>
      </c>
      <c r="H71" s="175"/>
      <c r="L71" s="175"/>
    </row>
    <row r="72" spans="1:12" ht="30">
      <c r="A72" s="168">
        <v>71</v>
      </c>
      <c r="B72" s="169">
        <v>19</v>
      </c>
      <c r="C72" s="174" t="s">
        <v>835</v>
      </c>
      <c r="D72" s="173" t="s">
        <v>835</v>
      </c>
      <c r="E72" s="170" t="s">
        <v>2032</v>
      </c>
      <c r="F72" s="171" t="s">
        <v>1151</v>
      </c>
      <c r="G72" s="172" t="s">
        <v>1956</v>
      </c>
      <c r="H72" s="175"/>
      <c r="L72" s="175"/>
    </row>
    <row r="73" spans="1:12" ht="30">
      <c r="A73" s="168">
        <v>72</v>
      </c>
      <c r="B73" s="169">
        <v>20</v>
      </c>
      <c r="C73" s="174" t="s">
        <v>854</v>
      </c>
      <c r="D73" s="173" t="s">
        <v>1155</v>
      </c>
      <c r="E73" s="170" t="s">
        <v>2033</v>
      </c>
      <c r="F73" s="171" t="s">
        <v>1151</v>
      </c>
      <c r="G73" s="172" t="s">
        <v>1958</v>
      </c>
      <c r="H73" s="175"/>
      <c r="L73" s="175"/>
    </row>
    <row r="74" spans="1:12" ht="30">
      <c r="A74" s="168">
        <v>73</v>
      </c>
      <c r="B74" s="169">
        <v>19</v>
      </c>
      <c r="C74" s="174" t="s">
        <v>835</v>
      </c>
      <c r="D74" s="173" t="s">
        <v>835</v>
      </c>
      <c r="E74" s="170" t="s">
        <v>2034</v>
      </c>
      <c r="F74" s="171" t="s">
        <v>1151</v>
      </c>
      <c r="G74" s="172" t="s">
        <v>1956</v>
      </c>
      <c r="H74" s="175"/>
      <c r="L74" s="175"/>
    </row>
    <row r="75" spans="1:12" ht="30">
      <c r="A75" s="168">
        <v>74</v>
      </c>
      <c r="B75" s="169">
        <v>20</v>
      </c>
      <c r="C75" s="174" t="s">
        <v>854</v>
      </c>
      <c r="D75" s="173" t="s">
        <v>1155</v>
      </c>
      <c r="E75" s="170" t="s">
        <v>2035</v>
      </c>
      <c r="F75" s="171" t="s">
        <v>1151</v>
      </c>
      <c r="G75" s="172" t="s">
        <v>1958</v>
      </c>
      <c r="H75" s="175"/>
      <c r="L75" s="175"/>
    </row>
    <row r="76" spans="1:12" ht="30">
      <c r="A76" s="168">
        <v>75</v>
      </c>
      <c r="B76" s="169">
        <v>19</v>
      </c>
      <c r="C76" s="174" t="s">
        <v>835</v>
      </c>
      <c r="D76" s="173" t="s">
        <v>835</v>
      </c>
      <c r="E76" s="170" t="s">
        <v>2036</v>
      </c>
      <c r="F76" s="171" t="s">
        <v>1151</v>
      </c>
      <c r="G76" s="172" t="s">
        <v>1956</v>
      </c>
      <c r="H76" s="175"/>
      <c r="L76" s="175"/>
    </row>
    <row r="77" spans="1:12" ht="30">
      <c r="A77" s="168">
        <v>76</v>
      </c>
      <c r="B77" s="169">
        <v>20</v>
      </c>
      <c r="C77" s="174" t="s">
        <v>854</v>
      </c>
      <c r="D77" s="173" t="s">
        <v>1155</v>
      </c>
      <c r="E77" s="170" t="s">
        <v>2037</v>
      </c>
      <c r="F77" s="171" t="s">
        <v>1151</v>
      </c>
      <c r="G77" s="172" t="s">
        <v>1958</v>
      </c>
      <c r="H77" s="175"/>
      <c r="L77" s="175"/>
    </row>
    <row r="78" spans="1:12" ht="30">
      <c r="A78" s="168">
        <v>77</v>
      </c>
      <c r="B78" s="169">
        <v>21</v>
      </c>
      <c r="C78" s="174" t="s">
        <v>1691</v>
      </c>
      <c r="D78" s="173" t="s">
        <v>1159</v>
      </c>
      <c r="E78" s="170" t="s">
        <v>2038</v>
      </c>
      <c r="F78" s="171" t="s">
        <v>1157</v>
      </c>
      <c r="G78" s="172" t="s">
        <v>1956</v>
      </c>
      <c r="H78" s="175"/>
      <c r="L78" s="175"/>
    </row>
    <row r="79" spans="1:12" ht="30">
      <c r="A79" s="168">
        <v>78</v>
      </c>
      <c r="B79" s="169">
        <v>23</v>
      </c>
      <c r="C79" s="174" t="s">
        <v>1163</v>
      </c>
      <c r="D79" s="173" t="s">
        <v>1163</v>
      </c>
      <c r="E79" s="170" t="s">
        <v>2039</v>
      </c>
      <c r="F79" s="171" t="s">
        <v>1161</v>
      </c>
      <c r="G79" s="172" t="s">
        <v>1956</v>
      </c>
      <c r="H79" s="175"/>
      <c r="L79" s="175"/>
    </row>
    <row r="80" spans="1:12" ht="30">
      <c r="A80" s="168">
        <v>79</v>
      </c>
      <c r="B80" s="169">
        <v>23</v>
      </c>
      <c r="C80" s="174" t="s">
        <v>1163</v>
      </c>
      <c r="D80" s="173" t="s">
        <v>1163</v>
      </c>
      <c r="E80" s="170" t="s">
        <v>2040</v>
      </c>
      <c r="F80" s="171" t="s">
        <v>1161</v>
      </c>
      <c r="G80" s="172" t="s">
        <v>1956</v>
      </c>
      <c r="H80" s="175"/>
      <c r="L80" s="175"/>
    </row>
    <row r="81" spans="1:12" ht="30">
      <c r="A81" s="168">
        <v>80</v>
      </c>
      <c r="B81" s="169">
        <v>27</v>
      </c>
      <c r="C81" s="174" t="s">
        <v>1718</v>
      </c>
      <c r="D81" s="173" t="s">
        <v>1174</v>
      </c>
      <c r="E81" s="170" t="s">
        <v>2041</v>
      </c>
      <c r="F81" s="171" t="s">
        <v>1172</v>
      </c>
      <c r="G81" s="172" t="s">
        <v>1956</v>
      </c>
      <c r="H81" s="175"/>
      <c r="L81" s="175"/>
    </row>
    <row r="82" spans="1:12" ht="30">
      <c r="A82" s="168">
        <v>81</v>
      </c>
      <c r="B82" s="169">
        <v>28</v>
      </c>
      <c r="C82" s="174" t="s">
        <v>2110</v>
      </c>
      <c r="D82" s="173" t="s">
        <v>1176</v>
      </c>
      <c r="E82" s="170" t="s">
        <v>2042</v>
      </c>
      <c r="F82" s="171" t="s">
        <v>1172</v>
      </c>
      <c r="G82" s="172" t="s">
        <v>1958</v>
      </c>
      <c r="H82" s="175"/>
      <c r="L82" s="175"/>
    </row>
    <row r="83" spans="1:12" ht="30">
      <c r="A83" s="168">
        <v>82</v>
      </c>
      <c r="B83" s="169">
        <v>27</v>
      </c>
      <c r="C83" s="174" t="s">
        <v>1718</v>
      </c>
      <c r="D83" s="173" t="s">
        <v>1174</v>
      </c>
      <c r="E83" s="170" t="s">
        <v>2043</v>
      </c>
      <c r="F83" s="171" t="s">
        <v>1172</v>
      </c>
      <c r="G83" s="172" t="s">
        <v>1956</v>
      </c>
      <c r="H83" s="175"/>
      <c r="L83" s="175"/>
    </row>
    <row r="84" spans="1:12" ht="30">
      <c r="A84" s="168">
        <v>83</v>
      </c>
      <c r="B84" s="169">
        <v>28</v>
      </c>
      <c r="C84" s="174" t="s">
        <v>2110</v>
      </c>
      <c r="D84" s="173" t="s">
        <v>1176</v>
      </c>
      <c r="E84" s="170" t="s">
        <v>2044</v>
      </c>
      <c r="F84" s="171" t="s">
        <v>1172</v>
      </c>
      <c r="G84" s="172" t="s">
        <v>1958</v>
      </c>
      <c r="H84" s="175"/>
      <c r="L84" s="175"/>
    </row>
    <row r="85" spans="1:12" ht="30">
      <c r="A85" s="168">
        <v>84</v>
      </c>
      <c r="B85" s="169">
        <v>27</v>
      </c>
      <c r="C85" s="174" t="s">
        <v>1718</v>
      </c>
      <c r="D85" s="173" t="s">
        <v>1174</v>
      </c>
      <c r="E85" s="170" t="s">
        <v>2045</v>
      </c>
      <c r="F85" s="171" t="s">
        <v>1172</v>
      </c>
      <c r="G85" s="172" t="s">
        <v>1956</v>
      </c>
      <c r="H85" s="175"/>
      <c r="L85" s="175"/>
    </row>
    <row r="86" spans="1:12" ht="30">
      <c r="A86" s="168">
        <v>85</v>
      </c>
      <c r="B86" s="169">
        <v>28</v>
      </c>
      <c r="C86" s="174" t="s">
        <v>2110</v>
      </c>
      <c r="D86" s="173" t="s">
        <v>1176</v>
      </c>
      <c r="E86" s="170" t="s">
        <v>2046</v>
      </c>
      <c r="F86" s="171" t="s">
        <v>1172</v>
      </c>
      <c r="G86" s="172" t="s">
        <v>1958</v>
      </c>
      <c r="H86" s="175"/>
      <c r="L86" s="175"/>
    </row>
    <row r="87" spans="1:12" ht="30">
      <c r="A87" s="168">
        <v>86</v>
      </c>
      <c r="B87" s="169">
        <v>29</v>
      </c>
      <c r="C87" s="174" t="s">
        <v>1180</v>
      </c>
      <c r="D87" s="173" t="s">
        <v>1180</v>
      </c>
      <c r="E87" s="170" t="s">
        <v>2047</v>
      </c>
      <c r="F87" s="171" t="s">
        <v>1177</v>
      </c>
      <c r="G87" s="172" t="s">
        <v>1956</v>
      </c>
      <c r="H87" s="175"/>
      <c r="L87" s="175"/>
    </row>
    <row r="88" spans="1:12" ht="30">
      <c r="A88" s="168">
        <v>87</v>
      </c>
      <c r="B88" s="169">
        <v>29</v>
      </c>
      <c r="C88" s="174" t="s">
        <v>1180</v>
      </c>
      <c r="D88" s="173" t="s">
        <v>1180</v>
      </c>
      <c r="E88" s="170" t="s">
        <v>2048</v>
      </c>
      <c r="F88" s="171" t="s">
        <v>1177</v>
      </c>
      <c r="G88" s="172" t="s">
        <v>1956</v>
      </c>
      <c r="H88" s="175"/>
      <c r="L88" s="175"/>
    </row>
    <row r="89" spans="1:12" ht="30">
      <c r="A89" s="168">
        <v>88</v>
      </c>
      <c r="B89" s="169">
        <v>29</v>
      </c>
      <c r="C89" s="174" t="s">
        <v>1180</v>
      </c>
      <c r="D89" s="173" t="s">
        <v>1180</v>
      </c>
      <c r="E89" s="170" t="s">
        <v>2049</v>
      </c>
      <c r="F89" s="171" t="s">
        <v>1177</v>
      </c>
      <c r="G89" s="172" t="s">
        <v>1956</v>
      </c>
      <c r="H89" s="175"/>
      <c r="L89" s="175"/>
    </row>
    <row r="90" spans="1:12" ht="30">
      <c r="A90" s="168">
        <v>89</v>
      </c>
      <c r="B90" s="169">
        <v>31</v>
      </c>
      <c r="C90" s="174" t="s">
        <v>1185</v>
      </c>
      <c r="D90" s="173" t="s">
        <v>1185</v>
      </c>
      <c r="E90" s="170" t="s">
        <v>2050</v>
      </c>
      <c r="F90" s="171" t="s">
        <v>1183</v>
      </c>
      <c r="G90" s="172" t="s">
        <v>1956</v>
      </c>
      <c r="H90" s="175"/>
      <c r="L90" s="175"/>
    </row>
    <row r="91" spans="1:12" ht="30">
      <c r="A91" s="168">
        <v>90</v>
      </c>
      <c r="B91" s="169">
        <v>31</v>
      </c>
      <c r="C91" s="174" t="s">
        <v>1185</v>
      </c>
      <c r="D91" s="173" t="s">
        <v>1185</v>
      </c>
      <c r="E91" s="170" t="s">
        <v>2051</v>
      </c>
      <c r="F91" s="171" t="s">
        <v>1183</v>
      </c>
      <c r="G91" s="172" t="s">
        <v>1956</v>
      </c>
      <c r="H91" s="175"/>
      <c r="L91" s="175"/>
    </row>
    <row r="92" spans="1:12" ht="30">
      <c r="A92" s="168">
        <v>91</v>
      </c>
      <c r="B92" s="169">
        <v>31</v>
      </c>
      <c r="C92" s="174" t="s">
        <v>1185</v>
      </c>
      <c r="D92" s="173" t="s">
        <v>1185</v>
      </c>
      <c r="E92" s="170" t="s">
        <v>2052</v>
      </c>
      <c r="F92" s="171" t="s">
        <v>1183</v>
      </c>
      <c r="G92" s="172" t="s">
        <v>1956</v>
      </c>
      <c r="H92" s="175"/>
      <c r="L92" s="175"/>
    </row>
    <row r="93" spans="1:12" ht="30">
      <c r="A93" s="168">
        <v>92</v>
      </c>
      <c r="B93" s="169">
        <v>31</v>
      </c>
      <c r="C93" s="174" t="s">
        <v>1185</v>
      </c>
      <c r="D93" s="173" t="s">
        <v>1185</v>
      </c>
      <c r="E93" s="170" t="s">
        <v>2053</v>
      </c>
      <c r="F93" s="171" t="s">
        <v>1183</v>
      </c>
      <c r="G93" s="172" t="s">
        <v>1956</v>
      </c>
      <c r="H93" s="175"/>
      <c r="L93" s="175"/>
    </row>
    <row r="94" spans="1:12" ht="30">
      <c r="A94" s="168">
        <v>93</v>
      </c>
      <c r="B94" s="169">
        <v>31</v>
      </c>
      <c r="C94" s="174" t="s">
        <v>1185</v>
      </c>
      <c r="D94" s="173" t="s">
        <v>1185</v>
      </c>
      <c r="E94" s="170" t="s">
        <v>2054</v>
      </c>
      <c r="F94" s="171" t="s">
        <v>1183</v>
      </c>
      <c r="G94" s="172" t="s">
        <v>1956</v>
      </c>
      <c r="H94" s="175"/>
      <c r="L94" s="175"/>
    </row>
    <row r="95" spans="1:12" ht="30">
      <c r="A95" s="168">
        <v>94</v>
      </c>
      <c r="B95" s="169">
        <v>33</v>
      </c>
      <c r="C95" s="174" t="s">
        <v>319</v>
      </c>
      <c r="D95" s="173" t="s">
        <v>319</v>
      </c>
      <c r="E95" s="170" t="s">
        <v>2055</v>
      </c>
      <c r="F95" s="171" t="s">
        <v>1186</v>
      </c>
      <c r="G95" s="172" t="s">
        <v>1956</v>
      </c>
      <c r="H95" s="175"/>
      <c r="L95" s="175"/>
    </row>
    <row r="96" spans="1:12" ht="30">
      <c r="A96" s="168">
        <v>95</v>
      </c>
      <c r="B96" s="169">
        <v>34</v>
      </c>
      <c r="C96" s="174" t="s">
        <v>360</v>
      </c>
      <c r="D96" s="173" t="s">
        <v>1189</v>
      </c>
      <c r="E96" s="170" t="s">
        <v>2056</v>
      </c>
      <c r="F96" s="171" t="s">
        <v>1186</v>
      </c>
      <c r="G96" s="172" t="s">
        <v>1958</v>
      </c>
      <c r="H96" s="175"/>
      <c r="L96" s="175"/>
    </row>
    <row r="97" spans="1:12" ht="30">
      <c r="A97" s="168">
        <v>96</v>
      </c>
      <c r="B97" s="169">
        <v>33</v>
      </c>
      <c r="C97" s="174" t="s">
        <v>319</v>
      </c>
      <c r="D97" s="173" t="s">
        <v>2058</v>
      </c>
      <c r="E97" s="170" t="s">
        <v>2057</v>
      </c>
      <c r="F97" s="171" t="s">
        <v>1186</v>
      </c>
      <c r="G97" s="172" t="s">
        <v>1956</v>
      </c>
      <c r="H97" s="175"/>
      <c r="L97" s="175"/>
    </row>
    <row r="98" spans="1:12" ht="30">
      <c r="A98" s="168">
        <v>97</v>
      </c>
      <c r="B98" s="169">
        <v>34</v>
      </c>
      <c r="C98" s="174" t="s">
        <v>360</v>
      </c>
      <c r="D98" s="173" t="s">
        <v>2060</v>
      </c>
      <c r="E98" s="170" t="s">
        <v>2059</v>
      </c>
      <c r="F98" s="171" t="s">
        <v>1186</v>
      </c>
      <c r="G98" s="172" t="s">
        <v>1958</v>
      </c>
      <c r="H98" s="175"/>
      <c r="L98" s="175"/>
    </row>
    <row r="99" spans="1:12" ht="30">
      <c r="A99" s="168">
        <v>98</v>
      </c>
      <c r="B99" s="169">
        <v>33</v>
      </c>
      <c r="C99" s="174" t="s">
        <v>319</v>
      </c>
      <c r="D99" s="173" t="s">
        <v>319</v>
      </c>
      <c r="E99" s="170" t="s">
        <v>2061</v>
      </c>
      <c r="F99" s="171" t="s">
        <v>1186</v>
      </c>
      <c r="G99" s="172" t="s">
        <v>1956</v>
      </c>
      <c r="H99" s="175"/>
      <c r="L99" s="175"/>
    </row>
    <row r="100" spans="1:12" ht="30">
      <c r="A100" s="168">
        <v>99</v>
      </c>
      <c r="B100" s="169">
        <v>34</v>
      </c>
      <c r="C100" s="174" t="s">
        <v>360</v>
      </c>
      <c r="D100" s="173" t="s">
        <v>1189</v>
      </c>
      <c r="E100" s="170" t="s">
        <v>2062</v>
      </c>
      <c r="F100" s="171" t="s">
        <v>1186</v>
      </c>
      <c r="G100" s="172" t="s">
        <v>1958</v>
      </c>
      <c r="H100" s="175"/>
      <c r="L100" s="175"/>
    </row>
    <row r="101" spans="1:12" ht="30">
      <c r="A101" s="168">
        <v>100</v>
      </c>
      <c r="B101" s="169">
        <v>37</v>
      </c>
      <c r="C101" s="174" t="s">
        <v>67</v>
      </c>
      <c r="D101" s="173" t="s">
        <v>67</v>
      </c>
      <c r="E101" s="170" t="s">
        <v>2063</v>
      </c>
      <c r="F101" s="171" t="s">
        <v>1196</v>
      </c>
      <c r="G101" s="172" t="s">
        <v>1956</v>
      </c>
      <c r="H101" s="175"/>
      <c r="L101" s="175"/>
    </row>
    <row r="102" spans="1:12" ht="30">
      <c r="A102" s="168">
        <v>101</v>
      </c>
      <c r="B102" s="169">
        <v>38</v>
      </c>
      <c r="C102" s="174" t="s">
        <v>109</v>
      </c>
      <c r="D102" s="173" t="s">
        <v>1198</v>
      </c>
      <c r="E102" s="170" t="s">
        <v>2064</v>
      </c>
      <c r="F102" s="171" t="s">
        <v>1196</v>
      </c>
      <c r="G102" s="172" t="s">
        <v>1958</v>
      </c>
      <c r="H102" s="175"/>
      <c r="L102" s="175"/>
    </row>
    <row r="103" spans="1:12" ht="30">
      <c r="A103" s="168">
        <v>102</v>
      </c>
      <c r="B103" s="169">
        <v>37</v>
      </c>
      <c r="C103" s="174" t="s">
        <v>67</v>
      </c>
      <c r="D103" s="173" t="s">
        <v>67</v>
      </c>
      <c r="E103" s="170" t="s">
        <v>2065</v>
      </c>
      <c r="F103" s="171" t="s">
        <v>1196</v>
      </c>
      <c r="G103" s="172" t="s">
        <v>1956</v>
      </c>
      <c r="H103" s="175"/>
      <c r="L103" s="175"/>
    </row>
    <row r="104" spans="1:12" ht="30">
      <c r="A104" s="168">
        <v>103</v>
      </c>
      <c r="B104" s="169">
        <v>38</v>
      </c>
      <c r="C104" s="174" t="s">
        <v>109</v>
      </c>
      <c r="D104" s="173" t="s">
        <v>1198</v>
      </c>
      <c r="E104" s="170" t="s">
        <v>2066</v>
      </c>
      <c r="F104" s="171" t="s">
        <v>1196</v>
      </c>
      <c r="G104" s="172" t="s">
        <v>1958</v>
      </c>
      <c r="H104" s="175"/>
      <c r="L104" s="175"/>
    </row>
    <row r="105" spans="1:12" ht="30">
      <c r="A105" s="168">
        <v>104</v>
      </c>
      <c r="B105" s="169">
        <v>37</v>
      </c>
      <c r="C105" s="174" t="s">
        <v>67</v>
      </c>
      <c r="D105" s="173" t="s">
        <v>67</v>
      </c>
      <c r="E105" s="170" t="s">
        <v>2067</v>
      </c>
      <c r="F105" s="171" t="s">
        <v>1196</v>
      </c>
      <c r="G105" s="172" t="s">
        <v>1956</v>
      </c>
      <c r="H105" s="175"/>
      <c r="L105" s="175"/>
    </row>
    <row r="106" spans="1:12" ht="30">
      <c r="A106" s="168">
        <v>105</v>
      </c>
      <c r="B106" s="169">
        <v>38</v>
      </c>
      <c r="C106" s="174" t="s">
        <v>109</v>
      </c>
      <c r="D106" s="173" t="s">
        <v>1198</v>
      </c>
      <c r="E106" s="170" t="s">
        <v>2068</v>
      </c>
      <c r="F106" s="171" t="s">
        <v>1196</v>
      </c>
      <c r="G106" s="172" t="s">
        <v>1958</v>
      </c>
      <c r="H106" s="175"/>
      <c r="L106" s="175"/>
    </row>
    <row r="107" spans="1:12" ht="30">
      <c r="A107" s="168">
        <v>106</v>
      </c>
      <c r="B107" s="169">
        <v>37</v>
      </c>
      <c r="C107" s="174" t="s">
        <v>67</v>
      </c>
      <c r="D107" s="173" t="s">
        <v>67</v>
      </c>
      <c r="E107" s="170" t="s">
        <v>2069</v>
      </c>
      <c r="F107" s="171" t="s">
        <v>1196</v>
      </c>
      <c r="G107" s="172" t="s">
        <v>1956</v>
      </c>
      <c r="H107" s="175"/>
      <c r="L107" s="175"/>
    </row>
    <row r="108" spans="1:12" ht="30">
      <c r="A108" s="168">
        <v>107</v>
      </c>
      <c r="B108" s="169">
        <v>38</v>
      </c>
      <c r="C108" s="174" t="s">
        <v>109</v>
      </c>
      <c r="D108" s="173" t="s">
        <v>1198</v>
      </c>
      <c r="E108" s="170" t="s">
        <v>2070</v>
      </c>
      <c r="F108" s="171" t="s">
        <v>1196</v>
      </c>
      <c r="G108" s="172" t="s">
        <v>1958</v>
      </c>
      <c r="H108" s="175"/>
      <c r="L108" s="175"/>
    </row>
    <row r="109" spans="1:12" ht="30">
      <c r="A109" s="168">
        <v>108</v>
      </c>
      <c r="B109" s="169">
        <v>39</v>
      </c>
      <c r="C109" s="174" t="s">
        <v>790</v>
      </c>
      <c r="D109" s="173" t="s">
        <v>790</v>
      </c>
      <c r="E109" s="170" t="s">
        <v>2071</v>
      </c>
      <c r="F109" s="171" t="s">
        <v>1199</v>
      </c>
      <c r="G109" s="172" t="s">
        <v>1956</v>
      </c>
      <c r="H109" s="175"/>
      <c r="L109" s="175"/>
    </row>
    <row r="110" spans="1:12" ht="30">
      <c r="A110" s="168">
        <v>109</v>
      </c>
      <c r="B110" s="169">
        <v>39</v>
      </c>
      <c r="C110" s="174" t="s">
        <v>790</v>
      </c>
      <c r="D110" s="173" t="s">
        <v>790</v>
      </c>
      <c r="E110" s="170" t="s">
        <v>2000</v>
      </c>
      <c r="F110" s="171" t="s">
        <v>1199</v>
      </c>
      <c r="G110" s="172" t="s">
        <v>1956</v>
      </c>
      <c r="H110" s="175"/>
      <c r="L110" s="175"/>
    </row>
    <row r="111" spans="1:12" ht="30">
      <c r="A111" s="168">
        <v>110</v>
      </c>
      <c r="B111" s="169">
        <v>39</v>
      </c>
      <c r="C111" s="174" t="s">
        <v>790</v>
      </c>
      <c r="D111" s="173" t="s">
        <v>790</v>
      </c>
      <c r="E111" s="170" t="s">
        <v>2072</v>
      </c>
      <c r="F111" s="171" t="s">
        <v>1199</v>
      </c>
      <c r="G111" s="172" t="s">
        <v>1956</v>
      </c>
      <c r="H111" s="175"/>
      <c r="L111" s="175"/>
    </row>
    <row r="112" spans="1:12" ht="30">
      <c r="A112" s="168">
        <v>111</v>
      </c>
      <c r="B112" s="169">
        <v>41</v>
      </c>
      <c r="C112" s="174" t="s">
        <v>94</v>
      </c>
      <c r="D112" s="173" t="s">
        <v>1206</v>
      </c>
      <c r="E112" s="170" t="s">
        <v>2073</v>
      </c>
      <c r="F112" s="171" t="s">
        <v>1205</v>
      </c>
      <c r="G112" s="172" t="s">
        <v>1956</v>
      </c>
      <c r="H112" s="175"/>
      <c r="L112" s="175"/>
    </row>
    <row r="113" spans="1:12" ht="30">
      <c r="A113" s="168">
        <v>112</v>
      </c>
      <c r="B113" s="169">
        <v>42</v>
      </c>
      <c r="C113" s="174" t="s">
        <v>134</v>
      </c>
      <c r="D113" s="173" t="s">
        <v>1208</v>
      </c>
      <c r="E113" s="170" t="s">
        <v>2074</v>
      </c>
      <c r="F113" s="171" t="s">
        <v>1205</v>
      </c>
      <c r="G113" s="172" t="s">
        <v>1958</v>
      </c>
      <c r="H113" s="175"/>
      <c r="L113" s="175"/>
    </row>
    <row r="114" spans="1:12" ht="30">
      <c r="A114" s="168">
        <v>113</v>
      </c>
      <c r="B114" s="169">
        <v>43</v>
      </c>
      <c r="C114" s="174" t="s">
        <v>1211</v>
      </c>
      <c r="D114" s="173" t="s">
        <v>1211</v>
      </c>
      <c r="E114" s="170" t="s">
        <v>2075</v>
      </c>
      <c r="F114" s="171" t="s">
        <v>1209</v>
      </c>
      <c r="G114" s="172" t="s">
        <v>1956</v>
      </c>
      <c r="H114" s="175"/>
      <c r="L114" s="175"/>
    </row>
    <row r="115" spans="1:12" ht="30">
      <c r="A115" s="168">
        <v>114</v>
      </c>
      <c r="B115" s="169">
        <v>44</v>
      </c>
      <c r="C115" s="174" t="s">
        <v>1213</v>
      </c>
      <c r="D115" s="173" t="s">
        <v>1214</v>
      </c>
      <c r="E115" s="170" t="s">
        <v>2076</v>
      </c>
      <c r="F115" s="171" t="s">
        <v>1209</v>
      </c>
      <c r="G115" s="172" t="s">
        <v>1958</v>
      </c>
      <c r="H115" s="175"/>
      <c r="L115" s="175"/>
    </row>
    <row r="116" spans="1:12" ht="30">
      <c r="A116" s="168">
        <v>115</v>
      </c>
      <c r="B116" s="169">
        <v>43</v>
      </c>
      <c r="C116" s="174" t="s">
        <v>1211</v>
      </c>
      <c r="D116" s="173" t="s">
        <v>1211</v>
      </c>
      <c r="E116" s="170" t="s">
        <v>2077</v>
      </c>
      <c r="F116" s="171" t="s">
        <v>1209</v>
      </c>
      <c r="G116" s="172" t="s">
        <v>1956</v>
      </c>
      <c r="H116" s="175"/>
      <c r="L116" s="175"/>
    </row>
    <row r="117" spans="1:12" ht="30">
      <c r="A117" s="168">
        <v>116</v>
      </c>
      <c r="B117" s="169">
        <v>44</v>
      </c>
      <c r="C117" s="174" t="s">
        <v>1213</v>
      </c>
      <c r="D117" s="173" t="s">
        <v>1214</v>
      </c>
      <c r="E117" s="170" t="s">
        <v>2078</v>
      </c>
      <c r="F117" s="171" t="s">
        <v>1209</v>
      </c>
      <c r="G117" s="172" t="s">
        <v>1958</v>
      </c>
      <c r="H117" s="175"/>
      <c r="L117" s="175"/>
    </row>
    <row r="118" spans="1:12" ht="30">
      <c r="A118" s="168">
        <v>117</v>
      </c>
      <c r="B118" s="169">
        <v>43</v>
      </c>
      <c r="C118" s="174" t="s">
        <v>1211</v>
      </c>
      <c r="D118" s="173" t="s">
        <v>1211</v>
      </c>
      <c r="E118" s="170" t="s">
        <v>2079</v>
      </c>
      <c r="F118" s="171" t="s">
        <v>1209</v>
      </c>
      <c r="G118" s="172" t="s">
        <v>1956</v>
      </c>
      <c r="H118" s="175"/>
      <c r="L118" s="175"/>
    </row>
    <row r="119" spans="1:12" ht="30">
      <c r="A119" s="168">
        <v>118</v>
      </c>
      <c r="B119" s="169">
        <v>44</v>
      </c>
      <c r="C119" s="174" t="s">
        <v>1213</v>
      </c>
      <c r="D119" s="173" t="s">
        <v>1214</v>
      </c>
      <c r="E119" s="170" t="s">
        <v>2080</v>
      </c>
      <c r="F119" s="171" t="s">
        <v>1209</v>
      </c>
      <c r="G119" s="172" t="s">
        <v>1958</v>
      </c>
      <c r="H119" s="175"/>
      <c r="L119" s="175"/>
    </row>
    <row r="120" spans="1:12" ht="30">
      <c r="A120" s="168">
        <v>119</v>
      </c>
      <c r="B120" s="169">
        <v>45</v>
      </c>
      <c r="C120" s="174" t="s">
        <v>180</v>
      </c>
      <c r="D120" s="173" t="s">
        <v>180</v>
      </c>
      <c r="E120" s="170" t="s">
        <v>2081</v>
      </c>
      <c r="F120" s="171" t="s">
        <v>1215</v>
      </c>
      <c r="G120" s="172" t="s">
        <v>1956</v>
      </c>
      <c r="H120" s="175"/>
      <c r="L120" s="175"/>
    </row>
    <row r="121" spans="1:12" ht="30">
      <c r="A121" s="168">
        <v>120</v>
      </c>
      <c r="B121" s="169">
        <v>47</v>
      </c>
      <c r="C121" s="174" t="s">
        <v>1222</v>
      </c>
      <c r="D121" s="173" t="s">
        <v>1222</v>
      </c>
      <c r="E121" s="170" t="s">
        <v>2082</v>
      </c>
      <c r="F121" s="171" t="s">
        <v>1221</v>
      </c>
      <c r="G121" s="172" t="s">
        <v>1956</v>
      </c>
      <c r="H121" s="175"/>
      <c r="L121" s="175"/>
    </row>
    <row r="122" spans="1:12" ht="30">
      <c r="A122" s="168">
        <v>121</v>
      </c>
      <c r="B122" s="169">
        <v>47</v>
      </c>
      <c r="C122" s="174" t="s">
        <v>1222</v>
      </c>
      <c r="D122" s="173" t="s">
        <v>1222</v>
      </c>
      <c r="E122" s="170" t="s">
        <v>2083</v>
      </c>
      <c r="F122" s="171" t="s">
        <v>1221</v>
      </c>
      <c r="G122" s="172" t="s">
        <v>1956</v>
      </c>
      <c r="H122" s="175"/>
      <c r="L122" s="175"/>
    </row>
    <row r="123" spans="1:12" ht="30">
      <c r="A123" s="168">
        <v>122</v>
      </c>
      <c r="B123" s="169">
        <v>47</v>
      </c>
      <c r="C123" s="174" t="s">
        <v>1222</v>
      </c>
      <c r="D123" s="173" t="s">
        <v>1222</v>
      </c>
      <c r="E123" s="170" t="s">
        <v>2084</v>
      </c>
      <c r="F123" s="171" t="s">
        <v>1221</v>
      </c>
      <c r="G123" s="172" t="s">
        <v>1956</v>
      </c>
      <c r="H123" s="175"/>
      <c r="L123" s="175"/>
    </row>
    <row r="124" spans="1:12" ht="30">
      <c r="A124" s="168">
        <v>123</v>
      </c>
      <c r="B124" s="169">
        <v>49</v>
      </c>
      <c r="C124" s="174" t="s">
        <v>889</v>
      </c>
      <c r="D124" s="173" t="s">
        <v>889</v>
      </c>
      <c r="E124" s="170" t="s">
        <v>2085</v>
      </c>
      <c r="F124" s="171" t="s">
        <v>1225</v>
      </c>
      <c r="G124" s="172" t="s">
        <v>1956</v>
      </c>
      <c r="H124" s="175"/>
      <c r="L124" s="175"/>
    </row>
    <row r="125" spans="1:12" ht="30">
      <c r="A125" s="168">
        <v>124</v>
      </c>
      <c r="B125" s="169">
        <v>49</v>
      </c>
      <c r="C125" s="174" t="s">
        <v>889</v>
      </c>
      <c r="D125" s="173" t="s">
        <v>889</v>
      </c>
      <c r="E125" s="170" t="s">
        <v>2086</v>
      </c>
      <c r="F125" s="171" t="s">
        <v>1225</v>
      </c>
      <c r="G125" s="172" t="s">
        <v>1956</v>
      </c>
      <c r="H125" s="175"/>
      <c r="L125" s="175"/>
    </row>
    <row r="126" spans="1:12" ht="30">
      <c r="A126" s="168">
        <v>125</v>
      </c>
      <c r="B126" s="169">
        <v>49</v>
      </c>
      <c r="C126" s="174" t="s">
        <v>889</v>
      </c>
      <c r="D126" s="173" t="s">
        <v>889</v>
      </c>
      <c r="E126" s="170" t="s">
        <v>2087</v>
      </c>
      <c r="F126" s="171" t="s">
        <v>1225</v>
      </c>
      <c r="G126" s="172" t="s">
        <v>1956</v>
      </c>
      <c r="H126" s="175"/>
      <c r="L126" s="175"/>
    </row>
    <row r="127" spans="1:12" ht="30">
      <c r="A127" s="168">
        <v>126</v>
      </c>
      <c r="B127" s="169">
        <v>49</v>
      </c>
      <c r="C127" s="174" t="s">
        <v>889</v>
      </c>
      <c r="D127" s="173" t="s">
        <v>889</v>
      </c>
      <c r="E127" s="170" t="s">
        <v>2054</v>
      </c>
      <c r="F127" s="171" t="s">
        <v>1225</v>
      </c>
      <c r="G127" s="172" t="s">
        <v>1956</v>
      </c>
      <c r="H127" s="175"/>
      <c r="L127" s="175"/>
    </row>
    <row r="128" spans="1:12" ht="30">
      <c r="A128" s="168">
        <v>127</v>
      </c>
      <c r="B128" s="169">
        <v>49</v>
      </c>
      <c r="C128" s="174" t="s">
        <v>889</v>
      </c>
      <c r="D128" s="173" t="s">
        <v>889</v>
      </c>
      <c r="E128" s="170" t="s">
        <v>2088</v>
      </c>
      <c r="F128" s="171" t="s">
        <v>1225</v>
      </c>
      <c r="G128" s="172" t="s">
        <v>1956</v>
      </c>
      <c r="H128" s="175"/>
      <c r="L128" s="175"/>
    </row>
    <row r="129" spans="1:12" ht="30">
      <c r="A129" s="168">
        <v>128</v>
      </c>
      <c r="B129" s="169">
        <v>53</v>
      </c>
      <c r="C129" s="174" t="s">
        <v>732</v>
      </c>
      <c r="D129" s="173" t="s">
        <v>732</v>
      </c>
      <c r="E129" s="170" t="s">
        <v>2089</v>
      </c>
      <c r="F129" s="171" t="s">
        <v>1243</v>
      </c>
      <c r="G129" s="172" t="s">
        <v>1956</v>
      </c>
      <c r="H129" s="175"/>
      <c r="L129" s="175"/>
    </row>
    <row r="130" spans="1:12" ht="30">
      <c r="A130" s="168">
        <v>129</v>
      </c>
      <c r="B130" s="169">
        <v>55</v>
      </c>
      <c r="C130" s="174" t="s">
        <v>18</v>
      </c>
      <c r="D130" s="173" t="s">
        <v>18</v>
      </c>
      <c r="E130" s="170" t="s">
        <v>2090</v>
      </c>
      <c r="F130" s="171" t="s">
        <v>1247</v>
      </c>
      <c r="G130" s="172" t="s">
        <v>1956</v>
      </c>
      <c r="H130" s="175"/>
      <c r="L130" s="175"/>
    </row>
    <row r="131" spans="1:12" ht="30">
      <c r="A131" s="168">
        <v>130</v>
      </c>
      <c r="B131" s="169">
        <v>57</v>
      </c>
      <c r="C131" s="174" t="s">
        <v>260</v>
      </c>
      <c r="D131" s="173" t="s">
        <v>260</v>
      </c>
      <c r="E131" s="170" t="s">
        <v>2091</v>
      </c>
      <c r="F131" s="171" t="s">
        <v>1251</v>
      </c>
      <c r="G131" s="172" t="s">
        <v>1956</v>
      </c>
      <c r="H131" s="175"/>
      <c r="L131" s="175"/>
    </row>
    <row r="132" spans="1:12" ht="30">
      <c r="A132" s="168">
        <v>131</v>
      </c>
      <c r="B132" s="169">
        <v>57</v>
      </c>
      <c r="C132" s="174" t="s">
        <v>260</v>
      </c>
      <c r="D132" s="173" t="s">
        <v>260</v>
      </c>
      <c r="E132" s="170" t="s">
        <v>2092</v>
      </c>
      <c r="F132" s="171" t="s">
        <v>1251</v>
      </c>
      <c r="G132" s="172" t="s">
        <v>1956</v>
      </c>
      <c r="H132" s="175"/>
      <c r="L132" s="175"/>
    </row>
    <row r="133" spans="1:12" ht="30">
      <c r="A133" s="168">
        <v>132</v>
      </c>
      <c r="B133" s="169">
        <v>57</v>
      </c>
      <c r="C133" s="174" t="s">
        <v>260</v>
      </c>
      <c r="D133" s="173" t="s">
        <v>260</v>
      </c>
      <c r="E133" s="170" t="s">
        <v>2093</v>
      </c>
      <c r="F133" s="171" t="s">
        <v>1251</v>
      </c>
      <c r="G133" s="172" t="s">
        <v>1956</v>
      </c>
      <c r="H133" s="175"/>
      <c r="L133" s="175"/>
    </row>
    <row r="134" spans="1:12" ht="30">
      <c r="A134" s="168">
        <v>133</v>
      </c>
      <c r="B134" s="169">
        <v>57</v>
      </c>
      <c r="C134" s="174" t="s">
        <v>260</v>
      </c>
      <c r="D134" s="173" t="s">
        <v>260</v>
      </c>
      <c r="E134" s="170" t="s">
        <v>2094</v>
      </c>
      <c r="F134" s="171" t="s">
        <v>1251</v>
      </c>
      <c r="G134" s="172" t="s">
        <v>1956</v>
      </c>
      <c r="H134" s="175"/>
      <c r="L134" s="175"/>
    </row>
    <row r="135" spans="1:12" ht="30">
      <c r="A135" s="168">
        <v>134</v>
      </c>
      <c r="B135" s="169">
        <v>53</v>
      </c>
      <c r="C135" s="174" t="s">
        <v>732</v>
      </c>
      <c r="D135" s="173" t="s">
        <v>2096</v>
      </c>
      <c r="E135" s="170" t="s">
        <v>2095</v>
      </c>
      <c r="F135" s="171" t="s">
        <v>1251</v>
      </c>
      <c r="G135" s="172" t="s">
        <v>1956</v>
      </c>
      <c r="H135" s="175"/>
      <c r="L135" s="175"/>
    </row>
    <row r="136" spans="1:12" ht="30">
      <c r="A136" s="168">
        <v>135</v>
      </c>
      <c r="B136" s="169">
        <v>59</v>
      </c>
      <c r="C136" s="174" t="s">
        <v>604</v>
      </c>
      <c r="D136" s="173" t="s">
        <v>604</v>
      </c>
      <c r="E136" s="170" t="s">
        <v>2097</v>
      </c>
      <c r="F136" s="171" t="s">
        <v>1256</v>
      </c>
      <c r="G136" s="172" t="s">
        <v>1956</v>
      </c>
      <c r="H136" s="175"/>
      <c r="L136" s="175"/>
    </row>
    <row r="137" spans="1:12" ht="30">
      <c r="A137" s="168">
        <v>136</v>
      </c>
      <c r="B137" s="169">
        <v>59</v>
      </c>
      <c r="C137" s="174" t="s">
        <v>604</v>
      </c>
      <c r="D137" s="173" t="s">
        <v>604</v>
      </c>
      <c r="E137" s="170" t="s">
        <v>2098</v>
      </c>
      <c r="F137" s="171" t="s">
        <v>1256</v>
      </c>
      <c r="G137" s="172" t="s">
        <v>1956</v>
      </c>
      <c r="H137" s="175"/>
      <c r="L137" s="175"/>
    </row>
    <row r="138" spans="1:12" ht="30">
      <c r="A138" s="168">
        <v>137</v>
      </c>
      <c r="B138" s="169">
        <v>59</v>
      </c>
      <c r="C138" s="174" t="s">
        <v>604</v>
      </c>
      <c r="D138" s="173" t="s">
        <v>2099</v>
      </c>
      <c r="E138" s="170" t="s">
        <v>2098</v>
      </c>
      <c r="F138" s="171" t="s">
        <v>1256</v>
      </c>
      <c r="G138" s="172" t="s">
        <v>1956</v>
      </c>
      <c r="H138" s="175"/>
      <c r="L138" s="175"/>
    </row>
    <row r="139" spans="1:12" ht="30">
      <c r="A139" s="168">
        <v>138</v>
      </c>
      <c r="B139" s="169">
        <v>21</v>
      </c>
      <c r="C139" s="174" t="s">
        <v>1691</v>
      </c>
      <c r="D139" s="173" t="s">
        <v>2102</v>
      </c>
      <c r="E139" s="170" t="s">
        <v>2100</v>
      </c>
      <c r="F139" s="171" t="s">
        <v>2101</v>
      </c>
      <c r="G139" s="172" t="s">
        <v>1956</v>
      </c>
      <c r="H139" s="175"/>
      <c r="L139" s="175"/>
    </row>
    <row r="140" spans="1:12" ht="30">
      <c r="A140" s="168">
        <v>139</v>
      </c>
      <c r="B140" s="169">
        <v>77</v>
      </c>
      <c r="C140" s="174" t="s">
        <v>208</v>
      </c>
      <c r="D140" s="173" t="s">
        <v>208</v>
      </c>
      <c r="E140" s="170" t="s">
        <v>2103</v>
      </c>
      <c r="F140" s="171" t="s">
        <v>1310</v>
      </c>
      <c r="G140" s="172" t="s">
        <v>1956</v>
      </c>
      <c r="H140" s="175"/>
      <c r="L140" s="175"/>
    </row>
    <row r="141" spans="1:12" ht="30">
      <c r="A141" s="168">
        <v>140</v>
      </c>
      <c r="B141" s="169">
        <v>77</v>
      </c>
      <c r="C141" s="174" t="s">
        <v>208</v>
      </c>
      <c r="D141" s="173" t="s">
        <v>208</v>
      </c>
      <c r="E141" s="170" t="s">
        <v>2104</v>
      </c>
      <c r="F141" s="171" t="s">
        <v>1310</v>
      </c>
      <c r="G141" s="172" t="s">
        <v>1956</v>
      </c>
      <c r="H141" s="175"/>
      <c r="L141" s="175"/>
    </row>
  </sheetData>
  <phoneticPr fontId="3" type="noConversion"/>
  <conditionalFormatting sqref="D2:D141">
    <cfRule type="expression" dxfId="2" priority="17">
      <formula>$D2 &lt;&gt; #REF!</formula>
    </cfRule>
  </conditionalFormatting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B868-B6EB-4669-A79C-D9899AB69AF6}">
  <sheetPr>
    <tabColor rgb="FF00B0F0"/>
  </sheetPr>
  <dimension ref="B1:P104"/>
  <sheetViews>
    <sheetView workbookViewId="0">
      <pane ySplit="4" topLeftCell="A5" activePane="bottomLeft" state="frozen"/>
      <selection activeCell="C12" sqref="C12"/>
      <selection pane="bottomLeft" activeCell="C12" sqref="C12"/>
    </sheetView>
  </sheetViews>
  <sheetFormatPr defaultColWidth="14.75" defaultRowHeight="16.5" outlineLevelRow="1" outlineLevelCol="1"/>
  <cols>
    <col min="1" max="1" width="2.125" style="181" customWidth="1"/>
    <col min="2" max="2" width="10.625" style="178" customWidth="1"/>
    <col min="3" max="4" width="16.625" style="179" customWidth="1"/>
    <col min="5" max="5" width="16.625" customWidth="1"/>
    <col min="6" max="8" width="16.625" style="180" customWidth="1"/>
    <col min="9" max="9" width="16.625" customWidth="1"/>
    <col min="11" max="11" width="16.625" style="180" customWidth="1"/>
    <col min="12" max="12" width="16.625" customWidth="1"/>
    <col min="13" max="13" width="0" hidden="1" customWidth="1" outlineLevel="1"/>
    <col min="14" max="14" width="18" style="181" hidden="1" customWidth="1" outlineLevel="1"/>
    <col min="15" max="15" width="13.875" style="181" customWidth="1" collapsed="1"/>
    <col min="16" max="16" width="13.25" style="178" customWidth="1"/>
    <col min="17" max="17" width="39.5" style="181" customWidth="1"/>
    <col min="18" max="16384" width="14.75" style="181"/>
  </cols>
  <sheetData>
    <row r="1" spans="2:16" ht="12.75">
      <c r="E1" s="180"/>
      <c r="F1" s="181"/>
      <c r="I1" s="180"/>
      <c r="J1" s="181"/>
      <c r="K1" s="178"/>
      <c r="L1" s="181"/>
      <c r="M1" s="181"/>
      <c r="P1" s="181"/>
    </row>
    <row r="2" spans="2:16" s="177" customFormat="1" ht="23.25" outlineLevel="1">
      <c r="B2" s="176" cm="1">
        <f t="array" ref="B2">COLUMN()-COLUMN(($A:$A))</f>
        <v>1</v>
      </c>
      <c r="C2" s="176" cm="1">
        <f t="array" ref="C2">COLUMN()-COLUMN(($A:$A))</f>
        <v>2</v>
      </c>
      <c r="D2" s="176" cm="1">
        <f t="array" ref="D2">COLUMN()-COLUMN(($A:$A))</f>
        <v>3</v>
      </c>
      <c r="E2" s="176" cm="1">
        <f t="array" ref="E2">COLUMN()-COLUMN(($A:$A))</f>
        <v>4</v>
      </c>
      <c r="F2" s="176" cm="1">
        <f t="array" ref="F2">COLUMN()-COLUMN(($A:$A))</f>
        <v>5</v>
      </c>
      <c r="G2" s="176" cm="1">
        <f t="array" ref="G2">COLUMN()-COLUMN(($A:$A))</f>
        <v>6</v>
      </c>
      <c r="H2" s="176" cm="1">
        <f t="array" ref="H2">COLUMN()-COLUMN(($A:$A))</f>
        <v>7</v>
      </c>
      <c r="I2" s="176" cm="1">
        <f t="array" ref="I2">COLUMN()-COLUMN(($A:$A))</f>
        <v>8</v>
      </c>
      <c r="J2" s="176" cm="1">
        <f t="array" ref="J2">COLUMN()-COLUMN(($A:$A))</f>
        <v>9</v>
      </c>
      <c r="K2" s="176" cm="1">
        <f t="array" ref="K2">COLUMN()-COLUMN(($A:$A))</f>
        <v>10</v>
      </c>
    </row>
    <row r="3" spans="2:16" ht="12.75">
      <c r="E3" s="180"/>
      <c r="F3" s="181"/>
      <c r="I3" s="180"/>
      <c r="J3" s="181"/>
      <c r="K3" s="178"/>
      <c r="L3" s="181"/>
      <c r="M3" s="181"/>
      <c r="P3" s="181"/>
    </row>
    <row r="4" spans="2:16" s="185" customFormat="1" ht="27" customHeight="1">
      <c r="B4" s="182" t="s">
        <v>1098</v>
      </c>
      <c r="C4" s="183" t="s">
        <v>1100</v>
      </c>
      <c r="D4" s="183" t="s">
        <v>1101</v>
      </c>
      <c r="E4" s="183" t="s">
        <v>979</v>
      </c>
      <c r="F4" s="183" t="s">
        <v>977</v>
      </c>
      <c r="G4" s="183" t="s">
        <v>1102</v>
      </c>
      <c r="H4" s="183" t="s">
        <v>2187</v>
      </c>
      <c r="I4" s="183" t="s">
        <v>983</v>
      </c>
      <c r="J4" s="183" t="s">
        <v>1099</v>
      </c>
      <c r="K4" s="184" t="s">
        <v>2111</v>
      </c>
    </row>
    <row r="5" spans="2:16" ht="39">
      <c r="B5" s="186">
        <v>1</v>
      </c>
      <c r="C5" s="187" t="s">
        <v>760</v>
      </c>
      <c r="D5" s="187" t="s">
        <v>760</v>
      </c>
      <c r="E5" s="188" t="s">
        <v>761</v>
      </c>
      <c r="F5" s="189" t="s">
        <v>1106</v>
      </c>
      <c r="G5" s="187" t="s">
        <v>760</v>
      </c>
      <c r="H5" s="187" t="s">
        <v>760</v>
      </c>
      <c r="I5" s="187" t="s">
        <v>760</v>
      </c>
      <c r="J5" s="189" t="s">
        <v>1956</v>
      </c>
      <c r="K5" s="190">
        <v>1</v>
      </c>
      <c r="L5" s="181"/>
      <c r="M5" s="181"/>
      <c r="P5" s="181"/>
    </row>
    <row r="6" spans="2:16" ht="39">
      <c r="B6" s="186">
        <v>2</v>
      </c>
      <c r="C6" s="187" t="s">
        <v>776</v>
      </c>
      <c r="D6" s="187" t="s">
        <v>1110</v>
      </c>
      <c r="E6" s="188" t="s">
        <v>777</v>
      </c>
      <c r="F6" s="189" t="s">
        <v>1106</v>
      </c>
      <c r="G6" s="187" t="s">
        <v>1110</v>
      </c>
      <c r="H6" s="187" t="s">
        <v>1110</v>
      </c>
      <c r="I6" s="187" t="s">
        <v>1110</v>
      </c>
      <c r="J6" s="189" t="s">
        <v>1958</v>
      </c>
      <c r="K6" s="190">
        <v>1</v>
      </c>
      <c r="L6" s="181"/>
      <c r="M6" s="181"/>
      <c r="P6" s="181"/>
    </row>
    <row r="7" spans="2:16" ht="39">
      <c r="B7" s="186">
        <v>3</v>
      </c>
      <c r="C7" s="187" t="s">
        <v>1112</v>
      </c>
      <c r="D7" s="187" t="s">
        <v>1112</v>
      </c>
      <c r="E7" s="188" t="s">
        <v>451</v>
      </c>
      <c r="F7" s="189" t="s">
        <v>1111</v>
      </c>
      <c r="G7" s="187" t="s">
        <v>1112</v>
      </c>
      <c r="H7" s="187" t="s">
        <v>1112</v>
      </c>
      <c r="I7" s="187" t="s">
        <v>1112</v>
      </c>
      <c r="J7" s="189" t="s">
        <v>1956</v>
      </c>
      <c r="K7" s="190">
        <v>2</v>
      </c>
      <c r="L7" s="181"/>
      <c r="M7" s="181"/>
      <c r="P7" s="181"/>
    </row>
    <row r="8" spans="2:16" ht="39">
      <c r="B8" s="186">
        <v>4</v>
      </c>
      <c r="C8" s="187" t="s">
        <v>1113</v>
      </c>
      <c r="D8" s="187" t="s">
        <v>1114</v>
      </c>
      <c r="E8" s="188" t="s">
        <v>493</v>
      </c>
      <c r="F8" s="189" t="s">
        <v>1111</v>
      </c>
      <c r="G8" s="187" t="s">
        <v>1114</v>
      </c>
      <c r="H8" s="187" t="s">
        <v>1114</v>
      </c>
      <c r="I8" s="187" t="s">
        <v>1114</v>
      </c>
      <c r="J8" s="189" t="s">
        <v>1958</v>
      </c>
      <c r="K8" s="190">
        <v>2</v>
      </c>
      <c r="L8" s="181"/>
      <c r="M8" s="181"/>
      <c r="P8" s="181"/>
    </row>
    <row r="9" spans="2:16" ht="39">
      <c r="B9" s="186">
        <v>5</v>
      </c>
      <c r="C9" s="187" t="s">
        <v>306</v>
      </c>
      <c r="D9" s="187" t="s">
        <v>306</v>
      </c>
      <c r="E9" s="188" t="s">
        <v>307</v>
      </c>
      <c r="F9" s="189" t="s">
        <v>1115</v>
      </c>
      <c r="G9" s="187" t="s">
        <v>306</v>
      </c>
      <c r="H9" s="187" t="s">
        <v>306</v>
      </c>
      <c r="I9" s="187" t="s">
        <v>306</v>
      </c>
      <c r="J9" s="189" t="s">
        <v>1956</v>
      </c>
      <c r="K9" s="190">
        <v>3</v>
      </c>
      <c r="L9" s="181"/>
      <c r="M9" s="181"/>
      <c r="P9" s="181"/>
    </row>
    <row r="10" spans="2:16" ht="39">
      <c r="B10" s="186">
        <v>6</v>
      </c>
      <c r="C10" s="187" t="s">
        <v>350</v>
      </c>
      <c r="D10" s="187" t="s">
        <v>1118</v>
      </c>
      <c r="E10" s="188" t="s">
        <v>351</v>
      </c>
      <c r="F10" s="189" t="s">
        <v>1115</v>
      </c>
      <c r="G10" s="187" t="s">
        <v>1118</v>
      </c>
      <c r="H10" s="187" t="s">
        <v>1118</v>
      </c>
      <c r="I10" s="187" t="s">
        <v>1118</v>
      </c>
      <c r="J10" s="189" t="s">
        <v>1958</v>
      </c>
      <c r="K10" s="190">
        <v>3</v>
      </c>
      <c r="L10" s="181"/>
      <c r="M10" s="181"/>
      <c r="P10" s="181"/>
    </row>
    <row r="11" spans="2:16" ht="39">
      <c r="B11" s="186">
        <v>7</v>
      </c>
      <c r="C11" s="187" t="s">
        <v>921</v>
      </c>
      <c r="D11" s="187" t="s">
        <v>921</v>
      </c>
      <c r="E11" s="188" t="s">
        <v>922</v>
      </c>
      <c r="F11" s="189" t="s">
        <v>1119</v>
      </c>
      <c r="G11" s="187" t="s">
        <v>921</v>
      </c>
      <c r="H11" s="187" t="s">
        <v>921</v>
      </c>
      <c r="I11" s="187" t="s">
        <v>921</v>
      </c>
      <c r="J11" s="189" t="s">
        <v>1956</v>
      </c>
      <c r="K11" s="190">
        <v>4</v>
      </c>
      <c r="L11" s="181"/>
      <c r="M11" s="181"/>
      <c r="P11" s="181"/>
    </row>
    <row r="12" spans="2:16" ht="39">
      <c r="B12" s="186">
        <v>8</v>
      </c>
      <c r="C12" s="187" t="s">
        <v>2112</v>
      </c>
      <c r="D12" s="187" t="s">
        <v>1835</v>
      </c>
      <c r="E12" s="188" t="s">
        <v>946</v>
      </c>
      <c r="F12" s="189" t="s">
        <v>1119</v>
      </c>
      <c r="G12" s="187" t="s">
        <v>1835</v>
      </c>
      <c r="H12" s="187" t="s">
        <v>1835</v>
      </c>
      <c r="I12" s="187" t="s">
        <v>1835</v>
      </c>
      <c r="J12" s="189" t="s">
        <v>1958</v>
      </c>
      <c r="K12" s="190">
        <v>4</v>
      </c>
      <c r="L12" s="181"/>
      <c r="M12" s="181"/>
      <c r="P12" s="181"/>
    </row>
    <row r="13" spans="2:16" ht="39">
      <c r="B13" s="186">
        <v>9</v>
      </c>
      <c r="C13" s="187" t="s">
        <v>1846</v>
      </c>
      <c r="D13" s="187" t="s">
        <v>1124</v>
      </c>
      <c r="E13" s="188" t="s">
        <v>1123</v>
      </c>
      <c r="F13" s="189" t="s">
        <v>1121</v>
      </c>
      <c r="G13" s="187" t="s">
        <v>1124</v>
      </c>
      <c r="H13" s="187" t="s">
        <v>1124</v>
      </c>
      <c r="I13" s="187" t="s">
        <v>208</v>
      </c>
      <c r="J13" s="189" t="s">
        <v>1956</v>
      </c>
      <c r="K13" s="190">
        <v>5</v>
      </c>
      <c r="L13" s="181"/>
      <c r="M13" s="181"/>
      <c r="P13" s="181"/>
    </row>
    <row r="14" spans="2:16" ht="39">
      <c r="B14" s="186">
        <v>10</v>
      </c>
      <c r="C14" s="187" t="s">
        <v>2113</v>
      </c>
      <c r="D14" s="187" t="s">
        <v>1128</v>
      </c>
      <c r="E14" s="188" t="s">
        <v>1127</v>
      </c>
      <c r="F14" s="189" t="s">
        <v>1121</v>
      </c>
      <c r="G14" s="187" t="s">
        <v>1128</v>
      </c>
      <c r="H14" s="187" t="s">
        <v>1313</v>
      </c>
      <c r="I14" s="187" t="s">
        <v>1313</v>
      </c>
      <c r="J14" s="189" t="s">
        <v>1958</v>
      </c>
      <c r="K14" s="190">
        <v>5</v>
      </c>
      <c r="L14" s="181"/>
      <c r="M14" s="181"/>
      <c r="P14" s="181"/>
    </row>
    <row r="15" spans="2:16" ht="39">
      <c r="B15" s="186">
        <v>11</v>
      </c>
      <c r="C15" s="187" t="s">
        <v>79</v>
      </c>
      <c r="D15" s="187" t="s">
        <v>79</v>
      </c>
      <c r="E15" s="188" t="s">
        <v>80</v>
      </c>
      <c r="F15" s="189" t="s">
        <v>1129</v>
      </c>
      <c r="G15" s="187" t="s">
        <v>79</v>
      </c>
      <c r="H15" s="187" t="s">
        <v>79</v>
      </c>
      <c r="I15" s="187" t="s">
        <v>79</v>
      </c>
      <c r="J15" s="189" t="s">
        <v>1956</v>
      </c>
      <c r="K15" s="190">
        <v>6</v>
      </c>
      <c r="L15" s="181"/>
      <c r="M15" s="181"/>
      <c r="P15" s="181"/>
    </row>
    <row r="16" spans="2:16" ht="39">
      <c r="B16" s="186">
        <v>12</v>
      </c>
      <c r="C16" s="187" t="s">
        <v>120</v>
      </c>
      <c r="D16" s="187" t="s">
        <v>1131</v>
      </c>
      <c r="E16" s="188" t="s">
        <v>121</v>
      </c>
      <c r="F16" s="189" t="s">
        <v>1129</v>
      </c>
      <c r="G16" s="187" t="s">
        <v>1131</v>
      </c>
      <c r="H16" s="187" t="s">
        <v>1198</v>
      </c>
      <c r="I16" s="187" t="s">
        <v>1131</v>
      </c>
      <c r="J16" s="189" t="s">
        <v>1958</v>
      </c>
      <c r="K16" s="190">
        <v>6</v>
      </c>
      <c r="L16" s="181"/>
      <c r="M16" s="181"/>
      <c r="P16" s="181"/>
    </row>
    <row r="17" spans="2:16" ht="39">
      <c r="B17" s="186">
        <v>13</v>
      </c>
      <c r="C17" s="187" t="s">
        <v>697</v>
      </c>
      <c r="D17" s="187" t="s">
        <v>1134</v>
      </c>
      <c r="E17" s="188" t="s">
        <v>698</v>
      </c>
      <c r="F17" s="189" t="s">
        <v>1132</v>
      </c>
      <c r="G17" s="187" t="s">
        <v>1134</v>
      </c>
      <c r="H17" s="187" t="s">
        <v>1134</v>
      </c>
      <c r="I17" s="187" t="s">
        <v>1134</v>
      </c>
      <c r="J17" s="189" t="s">
        <v>1956</v>
      </c>
      <c r="K17" s="190">
        <v>7</v>
      </c>
      <c r="L17" s="181"/>
      <c r="M17" s="181"/>
      <c r="P17" s="181"/>
    </row>
    <row r="18" spans="2:16" ht="39">
      <c r="B18" s="186">
        <v>14</v>
      </c>
      <c r="C18" s="187" t="s">
        <v>717</v>
      </c>
      <c r="D18" s="187" t="s">
        <v>1136</v>
      </c>
      <c r="E18" s="188" t="s">
        <v>718</v>
      </c>
      <c r="F18" s="189" t="s">
        <v>1132</v>
      </c>
      <c r="G18" s="187" t="s">
        <v>1136</v>
      </c>
      <c r="H18" s="187" t="s">
        <v>1136</v>
      </c>
      <c r="I18" s="187" t="s">
        <v>1136</v>
      </c>
      <c r="J18" s="189" t="s">
        <v>1958</v>
      </c>
      <c r="K18" s="190">
        <v>7</v>
      </c>
      <c r="L18" s="181"/>
      <c r="M18" s="181"/>
      <c r="P18" s="181"/>
    </row>
    <row r="19" spans="2:16" ht="39">
      <c r="B19" s="186">
        <v>15</v>
      </c>
      <c r="C19" s="187" t="s">
        <v>868</v>
      </c>
      <c r="D19" s="187" t="s">
        <v>868</v>
      </c>
      <c r="E19" s="188" t="s">
        <v>869</v>
      </c>
      <c r="F19" s="189" t="s">
        <v>1137</v>
      </c>
      <c r="G19" s="187" t="s">
        <v>1139</v>
      </c>
      <c r="H19" s="187" t="s">
        <v>868</v>
      </c>
      <c r="I19" s="187" t="s">
        <v>868</v>
      </c>
      <c r="J19" s="189" t="s">
        <v>1956</v>
      </c>
      <c r="K19" s="190">
        <v>8</v>
      </c>
      <c r="L19" s="181"/>
      <c r="M19" s="181"/>
      <c r="P19" s="181"/>
    </row>
    <row r="20" spans="2:16" ht="39">
      <c r="B20" s="186">
        <v>16</v>
      </c>
      <c r="C20" s="187" t="s">
        <v>1140</v>
      </c>
      <c r="D20" s="187" t="s">
        <v>1141</v>
      </c>
      <c r="E20" s="188" t="s">
        <v>881</v>
      </c>
      <c r="F20" s="189" t="s">
        <v>1137</v>
      </c>
      <c r="G20" s="187" t="s">
        <v>1142</v>
      </c>
      <c r="H20" s="187" t="s">
        <v>1141</v>
      </c>
      <c r="I20" s="187" t="s">
        <v>1141</v>
      </c>
      <c r="J20" s="189" t="s">
        <v>1958</v>
      </c>
      <c r="K20" s="190">
        <v>8</v>
      </c>
      <c r="L20" s="181"/>
      <c r="M20" s="181"/>
      <c r="P20" s="181"/>
    </row>
    <row r="21" spans="2:16" ht="39">
      <c r="B21" s="186">
        <v>17</v>
      </c>
      <c r="C21" s="187" t="s">
        <v>2109</v>
      </c>
      <c r="D21" s="187" t="s">
        <v>1145</v>
      </c>
      <c r="E21" s="188" t="s">
        <v>336</v>
      </c>
      <c r="F21" s="189" t="s">
        <v>1143</v>
      </c>
      <c r="G21" s="187" t="s">
        <v>1146</v>
      </c>
      <c r="H21" s="187" t="s">
        <v>1145</v>
      </c>
      <c r="I21" s="187" t="s">
        <v>1145</v>
      </c>
      <c r="J21" s="189" t="s">
        <v>1956</v>
      </c>
      <c r="K21" s="190">
        <v>9</v>
      </c>
      <c r="L21" s="181"/>
      <c r="M21" s="181"/>
      <c r="P21" s="181"/>
    </row>
    <row r="22" spans="2:16" ht="39">
      <c r="B22" s="186">
        <v>18</v>
      </c>
      <c r="C22" s="187" t="s">
        <v>1148</v>
      </c>
      <c r="D22" s="187" t="s">
        <v>1149</v>
      </c>
      <c r="E22" s="188" t="s">
        <v>376</v>
      </c>
      <c r="F22" s="189" t="s">
        <v>1143</v>
      </c>
      <c r="G22" s="187" t="s">
        <v>1150</v>
      </c>
      <c r="H22" s="187" t="s">
        <v>1149</v>
      </c>
      <c r="I22" s="187" t="s">
        <v>1149</v>
      </c>
      <c r="J22" s="189" t="s">
        <v>1958</v>
      </c>
      <c r="K22" s="190">
        <v>9</v>
      </c>
      <c r="L22" s="181"/>
      <c r="M22" s="181"/>
      <c r="P22" s="181"/>
    </row>
    <row r="23" spans="2:16" ht="39">
      <c r="B23" s="186">
        <v>19</v>
      </c>
      <c r="C23" s="187" t="s">
        <v>835</v>
      </c>
      <c r="D23" s="187" t="s">
        <v>835</v>
      </c>
      <c r="E23" s="188" t="s">
        <v>836</v>
      </c>
      <c r="F23" s="189" t="s">
        <v>1151</v>
      </c>
      <c r="G23" s="187" t="s">
        <v>1153</v>
      </c>
      <c r="H23" s="187" t="s">
        <v>835</v>
      </c>
      <c r="I23" s="187" t="s">
        <v>835</v>
      </c>
      <c r="J23" s="189" t="s">
        <v>1956</v>
      </c>
      <c r="K23" s="190">
        <v>10</v>
      </c>
      <c r="L23" s="181"/>
      <c r="M23" s="181"/>
      <c r="P23" s="181"/>
    </row>
    <row r="24" spans="2:16" ht="39">
      <c r="B24" s="186">
        <v>20</v>
      </c>
      <c r="C24" s="187" t="s">
        <v>854</v>
      </c>
      <c r="D24" s="187" t="s">
        <v>1155</v>
      </c>
      <c r="E24" s="188" t="s">
        <v>855</v>
      </c>
      <c r="F24" s="189" t="s">
        <v>1151</v>
      </c>
      <c r="G24" s="187" t="s">
        <v>1156</v>
      </c>
      <c r="H24" s="187" t="s">
        <v>1155</v>
      </c>
      <c r="I24" s="187" t="s">
        <v>1155</v>
      </c>
      <c r="J24" s="189" t="s">
        <v>1958</v>
      </c>
      <c r="K24" s="190">
        <v>10</v>
      </c>
      <c r="L24" s="181"/>
      <c r="M24" s="181"/>
      <c r="P24" s="181"/>
    </row>
    <row r="25" spans="2:16" ht="39">
      <c r="B25" s="186">
        <v>21</v>
      </c>
      <c r="C25" s="187" t="s">
        <v>1691</v>
      </c>
      <c r="D25" s="187" t="s">
        <v>1159</v>
      </c>
      <c r="E25" s="188" t="s">
        <v>649</v>
      </c>
      <c r="F25" s="189" t="s">
        <v>1157</v>
      </c>
      <c r="G25" s="187" t="s">
        <v>1160</v>
      </c>
      <c r="H25" s="187" t="s">
        <v>1159</v>
      </c>
      <c r="I25" s="187" t="s">
        <v>1159</v>
      </c>
      <c r="J25" s="189" t="s">
        <v>1956</v>
      </c>
      <c r="K25" s="190">
        <v>11</v>
      </c>
      <c r="L25" s="181"/>
      <c r="M25" s="181"/>
      <c r="P25" s="181"/>
    </row>
    <row r="26" spans="2:16" ht="39">
      <c r="B26" s="186">
        <v>22</v>
      </c>
      <c r="C26" s="187" t="s">
        <v>2114</v>
      </c>
      <c r="D26" s="187" t="s">
        <v>1810</v>
      </c>
      <c r="E26" s="188" t="s">
        <v>684</v>
      </c>
      <c r="F26" s="189" t="s">
        <v>1157</v>
      </c>
      <c r="G26" s="187" t="s">
        <v>2115</v>
      </c>
      <c r="H26" s="187" t="s">
        <v>1810</v>
      </c>
      <c r="I26" s="187" t="s">
        <v>1810</v>
      </c>
      <c r="J26" s="189" t="s">
        <v>1958</v>
      </c>
      <c r="K26" s="190">
        <v>11</v>
      </c>
      <c r="L26" s="181"/>
      <c r="M26" s="181"/>
      <c r="P26" s="181"/>
    </row>
    <row r="27" spans="2:16" ht="39">
      <c r="B27" s="186">
        <v>23</v>
      </c>
      <c r="C27" s="187" t="s">
        <v>1163</v>
      </c>
      <c r="D27" s="187" t="s">
        <v>1163</v>
      </c>
      <c r="E27" s="188" t="s">
        <v>517</v>
      </c>
      <c r="F27" s="189" t="s">
        <v>1161</v>
      </c>
      <c r="G27" s="187" t="s">
        <v>1163</v>
      </c>
      <c r="H27" s="187" t="s">
        <v>1163</v>
      </c>
      <c r="I27" s="187" t="s">
        <v>1164</v>
      </c>
      <c r="J27" s="189" t="s">
        <v>1956</v>
      </c>
      <c r="K27" s="190">
        <v>12</v>
      </c>
      <c r="L27" s="181"/>
      <c r="M27" s="181"/>
      <c r="P27" s="181"/>
    </row>
    <row r="28" spans="2:16" ht="39">
      <c r="B28" s="186">
        <v>24</v>
      </c>
      <c r="C28" s="187" t="s">
        <v>1165</v>
      </c>
      <c r="D28" s="187" t="s">
        <v>1166</v>
      </c>
      <c r="E28" s="188" t="s">
        <v>538</v>
      </c>
      <c r="F28" s="189" t="s">
        <v>1161</v>
      </c>
      <c r="G28" s="187" t="s">
        <v>1166</v>
      </c>
      <c r="H28" s="187" t="s">
        <v>1166</v>
      </c>
      <c r="I28" s="187" t="s">
        <v>1167</v>
      </c>
      <c r="J28" s="189" t="s">
        <v>1958</v>
      </c>
      <c r="K28" s="190">
        <v>12</v>
      </c>
      <c r="L28" s="181"/>
      <c r="M28" s="181"/>
      <c r="P28" s="181"/>
    </row>
    <row r="29" spans="2:16" ht="39">
      <c r="B29" s="186">
        <v>25</v>
      </c>
      <c r="C29" s="187" t="s">
        <v>1171</v>
      </c>
      <c r="D29" s="187" t="s">
        <v>1171</v>
      </c>
      <c r="E29" s="188" t="s">
        <v>2116</v>
      </c>
      <c r="F29" s="189" t="s">
        <v>1168</v>
      </c>
      <c r="G29" s="187" t="s">
        <v>1171</v>
      </c>
      <c r="H29" s="187" t="s">
        <v>1171</v>
      </c>
      <c r="I29" s="187" t="s">
        <v>208</v>
      </c>
      <c r="J29" s="189" t="s">
        <v>1956</v>
      </c>
      <c r="K29" s="190">
        <v>13</v>
      </c>
      <c r="L29" s="181"/>
      <c r="M29" s="181"/>
      <c r="P29" s="181"/>
    </row>
    <row r="30" spans="2:16" ht="39">
      <c r="B30" s="186">
        <v>26</v>
      </c>
      <c r="C30" s="187" t="s">
        <v>2118</v>
      </c>
      <c r="D30" s="187" t="s">
        <v>2117</v>
      </c>
      <c r="E30" s="188" t="s">
        <v>2119</v>
      </c>
      <c r="F30" s="189" t="s">
        <v>1168</v>
      </c>
      <c r="G30" s="187" t="s">
        <v>2117</v>
      </c>
      <c r="H30" s="187" t="s">
        <v>2117</v>
      </c>
      <c r="I30" s="187" t="s">
        <v>1313</v>
      </c>
      <c r="J30" s="189" t="s">
        <v>1958</v>
      </c>
      <c r="K30" s="190">
        <v>13</v>
      </c>
      <c r="L30" s="181"/>
      <c r="M30" s="181"/>
      <c r="P30" s="181"/>
    </row>
    <row r="31" spans="2:16" ht="39">
      <c r="B31" s="186">
        <v>27</v>
      </c>
      <c r="C31" s="187" t="s">
        <v>1718</v>
      </c>
      <c r="D31" s="187" t="s">
        <v>1174</v>
      </c>
      <c r="E31" s="188" t="s">
        <v>579</v>
      </c>
      <c r="F31" s="189" t="s">
        <v>1172</v>
      </c>
      <c r="G31" s="187" t="s">
        <v>1174</v>
      </c>
      <c r="H31" s="187" t="s">
        <v>1174</v>
      </c>
      <c r="I31" s="187" t="s">
        <v>1174</v>
      </c>
      <c r="J31" s="189" t="s">
        <v>1956</v>
      </c>
      <c r="K31" s="190">
        <v>14</v>
      </c>
      <c r="L31" s="181"/>
      <c r="M31" s="181"/>
      <c r="P31" s="181"/>
    </row>
    <row r="32" spans="2:16" ht="39">
      <c r="B32" s="186">
        <v>28</v>
      </c>
      <c r="C32" s="187" t="s">
        <v>2110</v>
      </c>
      <c r="D32" s="187" t="s">
        <v>1176</v>
      </c>
      <c r="E32" s="188" t="s">
        <v>592</v>
      </c>
      <c r="F32" s="189" t="s">
        <v>1172</v>
      </c>
      <c r="G32" s="187" t="s">
        <v>1176</v>
      </c>
      <c r="H32" s="187" t="s">
        <v>1176</v>
      </c>
      <c r="I32" s="187" t="s">
        <v>1176</v>
      </c>
      <c r="J32" s="189" t="s">
        <v>1958</v>
      </c>
      <c r="K32" s="190">
        <v>14</v>
      </c>
      <c r="L32" s="181"/>
      <c r="M32" s="181"/>
      <c r="P32" s="181"/>
    </row>
    <row r="33" spans="2:16" ht="39">
      <c r="B33" s="186">
        <v>29</v>
      </c>
      <c r="C33" s="187" t="s">
        <v>1180</v>
      </c>
      <c r="D33" s="187" t="s">
        <v>1180</v>
      </c>
      <c r="E33" s="188" t="s">
        <v>634</v>
      </c>
      <c r="F33" s="189" t="s">
        <v>1177</v>
      </c>
      <c r="G33" s="187" t="s">
        <v>1180</v>
      </c>
      <c r="H33" s="187" t="s">
        <v>1180</v>
      </c>
      <c r="I33" s="187" t="s">
        <v>1180</v>
      </c>
      <c r="J33" s="189" t="s">
        <v>1956</v>
      </c>
      <c r="K33" s="190">
        <v>15</v>
      </c>
      <c r="L33" s="181"/>
      <c r="M33" s="181"/>
      <c r="P33" s="181"/>
    </row>
    <row r="34" spans="2:16" ht="39">
      <c r="B34" s="186">
        <v>30</v>
      </c>
      <c r="C34" s="187" t="s">
        <v>1812</v>
      </c>
      <c r="D34" s="187" t="s">
        <v>1182</v>
      </c>
      <c r="E34" s="188" t="s">
        <v>671</v>
      </c>
      <c r="F34" s="189" t="s">
        <v>1177</v>
      </c>
      <c r="G34" s="187" t="s">
        <v>1182</v>
      </c>
      <c r="H34" s="187" t="s">
        <v>1182</v>
      </c>
      <c r="I34" s="187" t="s">
        <v>1182</v>
      </c>
      <c r="J34" s="189" t="s">
        <v>1958</v>
      </c>
      <c r="K34" s="190">
        <v>15</v>
      </c>
      <c r="L34" s="181"/>
      <c r="M34" s="181"/>
      <c r="P34" s="181"/>
    </row>
    <row r="35" spans="2:16" ht="39">
      <c r="B35" s="186">
        <v>31</v>
      </c>
      <c r="C35" s="187" t="s">
        <v>1185</v>
      </c>
      <c r="D35" s="187" t="s">
        <v>1185</v>
      </c>
      <c r="E35" s="188" t="s">
        <v>150</v>
      </c>
      <c r="F35" s="189" t="s">
        <v>1183</v>
      </c>
      <c r="G35" s="187" t="s">
        <v>1185</v>
      </c>
      <c r="H35" s="187" t="s">
        <v>1185</v>
      </c>
      <c r="I35" s="187" t="s">
        <v>1185</v>
      </c>
      <c r="J35" s="189" t="s">
        <v>1956</v>
      </c>
      <c r="K35" s="190">
        <v>16</v>
      </c>
      <c r="L35" s="181"/>
      <c r="M35" s="181"/>
      <c r="P35" s="181"/>
    </row>
    <row r="36" spans="2:16" ht="39">
      <c r="B36" s="186">
        <v>32</v>
      </c>
      <c r="C36" s="187" t="s">
        <v>2120</v>
      </c>
      <c r="D36" s="187" t="s">
        <v>1769</v>
      </c>
      <c r="E36" s="188" t="s">
        <v>176</v>
      </c>
      <c r="F36" s="189" t="s">
        <v>1183</v>
      </c>
      <c r="G36" s="187" t="s">
        <v>1769</v>
      </c>
      <c r="H36" s="187" t="s">
        <v>1769</v>
      </c>
      <c r="I36" s="187" t="s">
        <v>1769</v>
      </c>
      <c r="J36" s="189" t="s">
        <v>1958</v>
      </c>
      <c r="K36" s="190">
        <v>16</v>
      </c>
      <c r="L36" s="181"/>
      <c r="M36" s="181"/>
      <c r="P36" s="181"/>
    </row>
    <row r="37" spans="2:16" ht="39">
      <c r="B37" s="186">
        <v>33</v>
      </c>
      <c r="C37" s="187" t="s">
        <v>319</v>
      </c>
      <c r="D37" s="187" t="s">
        <v>319</v>
      </c>
      <c r="E37" s="188" t="s">
        <v>320</v>
      </c>
      <c r="F37" s="189" t="s">
        <v>1186</v>
      </c>
      <c r="G37" s="187" t="s">
        <v>319</v>
      </c>
      <c r="H37" s="187" t="s">
        <v>319</v>
      </c>
      <c r="I37" s="187" t="s">
        <v>319</v>
      </c>
      <c r="J37" s="189" t="s">
        <v>1956</v>
      </c>
      <c r="K37" s="190">
        <v>17</v>
      </c>
      <c r="L37" s="181"/>
      <c r="M37" s="181"/>
      <c r="P37" s="181"/>
    </row>
    <row r="38" spans="2:16" ht="39">
      <c r="B38" s="186">
        <v>34</v>
      </c>
      <c r="C38" s="187" t="s">
        <v>360</v>
      </c>
      <c r="D38" s="187" t="s">
        <v>1189</v>
      </c>
      <c r="E38" s="188" t="s">
        <v>361</v>
      </c>
      <c r="F38" s="189" t="s">
        <v>1186</v>
      </c>
      <c r="G38" s="187" t="s">
        <v>1189</v>
      </c>
      <c r="H38" s="187" t="s">
        <v>1189</v>
      </c>
      <c r="I38" s="187" t="s">
        <v>1189</v>
      </c>
      <c r="J38" s="189" t="s">
        <v>1958</v>
      </c>
      <c r="K38" s="190">
        <v>17</v>
      </c>
      <c r="L38" s="181"/>
      <c r="M38" s="181"/>
      <c r="P38" s="181"/>
    </row>
    <row r="39" spans="2:16" ht="39">
      <c r="B39" s="186">
        <v>35</v>
      </c>
      <c r="C39" s="187" t="s">
        <v>2121</v>
      </c>
      <c r="D39" s="187" t="s">
        <v>1192</v>
      </c>
      <c r="E39" s="188" t="s">
        <v>467</v>
      </c>
      <c r="F39" s="189" t="s">
        <v>1190</v>
      </c>
      <c r="G39" s="187" t="s">
        <v>1192</v>
      </c>
      <c r="H39" s="187" t="s">
        <v>1192</v>
      </c>
      <c r="I39" s="187" t="s">
        <v>1192</v>
      </c>
      <c r="J39" s="189" t="s">
        <v>1956</v>
      </c>
      <c r="K39" s="190">
        <v>18</v>
      </c>
      <c r="L39" s="181"/>
      <c r="M39" s="181"/>
      <c r="P39" s="181"/>
    </row>
    <row r="40" spans="2:16" ht="39">
      <c r="B40" s="186">
        <v>36</v>
      </c>
      <c r="C40" s="187" t="s">
        <v>1194</v>
      </c>
      <c r="D40" s="187" t="s">
        <v>1195</v>
      </c>
      <c r="E40" s="188" t="s">
        <v>509</v>
      </c>
      <c r="F40" s="189" t="s">
        <v>1190</v>
      </c>
      <c r="G40" s="187" t="s">
        <v>1195</v>
      </c>
      <c r="H40" s="187" t="s">
        <v>1195</v>
      </c>
      <c r="I40" s="187" t="s">
        <v>1195</v>
      </c>
      <c r="J40" s="189" t="s">
        <v>1958</v>
      </c>
      <c r="K40" s="190">
        <v>18</v>
      </c>
      <c r="L40" s="181"/>
      <c r="M40" s="181"/>
      <c r="P40" s="181"/>
    </row>
    <row r="41" spans="2:16" ht="39">
      <c r="B41" s="186">
        <v>37</v>
      </c>
      <c r="C41" s="187" t="s">
        <v>67</v>
      </c>
      <c r="D41" s="187" t="s">
        <v>67</v>
      </c>
      <c r="E41" s="188" t="s">
        <v>68</v>
      </c>
      <c r="F41" s="189" t="s">
        <v>1196</v>
      </c>
      <c r="G41" s="187" t="s">
        <v>67</v>
      </c>
      <c r="H41" s="187" t="s">
        <v>67</v>
      </c>
      <c r="I41" s="187" t="s">
        <v>67</v>
      </c>
      <c r="J41" s="189" t="s">
        <v>1956</v>
      </c>
      <c r="K41" s="190">
        <v>19</v>
      </c>
      <c r="L41" s="181"/>
      <c r="M41" s="181"/>
      <c r="P41" s="181"/>
    </row>
    <row r="42" spans="2:16" ht="39">
      <c r="B42" s="186">
        <v>38</v>
      </c>
      <c r="C42" s="187" t="s">
        <v>109</v>
      </c>
      <c r="D42" s="187" t="s">
        <v>1198</v>
      </c>
      <c r="E42" s="188" t="s">
        <v>110</v>
      </c>
      <c r="F42" s="189" t="s">
        <v>1196</v>
      </c>
      <c r="G42" s="187" t="s">
        <v>1198</v>
      </c>
      <c r="H42" s="187" t="s">
        <v>1198</v>
      </c>
      <c r="I42" s="187" t="s">
        <v>1198</v>
      </c>
      <c r="J42" s="189" t="s">
        <v>1958</v>
      </c>
      <c r="K42" s="190">
        <v>19</v>
      </c>
      <c r="L42" s="181"/>
      <c r="M42" s="181"/>
      <c r="P42" s="181"/>
    </row>
    <row r="43" spans="2:16" ht="39">
      <c r="B43" s="186">
        <v>39</v>
      </c>
      <c r="C43" s="187" t="s">
        <v>790</v>
      </c>
      <c r="D43" s="187" t="s">
        <v>790</v>
      </c>
      <c r="E43" s="188" t="s">
        <v>791</v>
      </c>
      <c r="F43" s="189" t="s">
        <v>1199</v>
      </c>
      <c r="G43" s="187" t="s">
        <v>1201</v>
      </c>
      <c r="H43" s="187" t="s">
        <v>790</v>
      </c>
      <c r="I43" s="187" t="s">
        <v>790</v>
      </c>
      <c r="J43" s="189" t="s">
        <v>1956</v>
      </c>
      <c r="K43" s="190">
        <v>20</v>
      </c>
      <c r="L43" s="181"/>
      <c r="M43" s="181"/>
      <c r="P43" s="181"/>
    </row>
    <row r="44" spans="2:16" ht="39">
      <c r="B44" s="186">
        <v>40</v>
      </c>
      <c r="C44" s="187" t="s">
        <v>1202</v>
      </c>
      <c r="D44" s="187" t="s">
        <v>1203</v>
      </c>
      <c r="E44" s="188" t="s">
        <v>821</v>
      </c>
      <c r="F44" s="189" t="s">
        <v>1199</v>
      </c>
      <c r="G44" s="187" t="s">
        <v>1204</v>
      </c>
      <c r="H44" s="187" t="s">
        <v>1203</v>
      </c>
      <c r="I44" s="187" t="s">
        <v>1203</v>
      </c>
      <c r="J44" s="189" t="s">
        <v>1958</v>
      </c>
      <c r="K44" s="190">
        <v>20</v>
      </c>
      <c r="L44" s="181"/>
      <c r="M44" s="181"/>
      <c r="P44" s="181"/>
    </row>
    <row r="45" spans="2:16" ht="39">
      <c r="B45" s="186">
        <v>41</v>
      </c>
      <c r="C45" s="187" t="s">
        <v>94</v>
      </c>
      <c r="D45" s="187" t="s">
        <v>1206</v>
      </c>
      <c r="E45" s="188" t="s">
        <v>95</v>
      </c>
      <c r="F45" s="189" t="s">
        <v>1205</v>
      </c>
      <c r="G45" s="187" t="s">
        <v>1206</v>
      </c>
      <c r="H45" s="187" t="s">
        <v>1206</v>
      </c>
      <c r="I45" s="187" t="s">
        <v>1206</v>
      </c>
      <c r="J45" s="189" t="s">
        <v>1956</v>
      </c>
      <c r="K45" s="190">
        <v>21</v>
      </c>
      <c r="L45" s="181"/>
      <c r="M45" s="181"/>
      <c r="P45" s="181"/>
    </row>
    <row r="46" spans="2:16" ht="39">
      <c r="B46" s="186">
        <v>42</v>
      </c>
      <c r="C46" s="187" t="s">
        <v>134</v>
      </c>
      <c r="D46" s="187" t="s">
        <v>1208</v>
      </c>
      <c r="E46" s="188" t="s">
        <v>135</v>
      </c>
      <c r="F46" s="189" t="s">
        <v>1205</v>
      </c>
      <c r="G46" s="187" t="s">
        <v>1208</v>
      </c>
      <c r="H46" s="187" t="s">
        <v>1208</v>
      </c>
      <c r="I46" s="187" t="s">
        <v>1208</v>
      </c>
      <c r="J46" s="189" t="s">
        <v>1958</v>
      </c>
      <c r="K46" s="190">
        <v>21</v>
      </c>
      <c r="L46" s="181"/>
      <c r="M46" s="181"/>
      <c r="P46" s="181"/>
    </row>
    <row r="47" spans="2:16" ht="39">
      <c r="B47" s="186">
        <v>43</v>
      </c>
      <c r="C47" s="187" t="s">
        <v>1211</v>
      </c>
      <c r="D47" s="187" t="s">
        <v>1211</v>
      </c>
      <c r="E47" s="188" t="s">
        <v>438</v>
      </c>
      <c r="F47" s="189" t="s">
        <v>1209</v>
      </c>
      <c r="G47" s="187" t="s">
        <v>1211</v>
      </c>
      <c r="H47" s="187" t="s">
        <v>1211</v>
      </c>
      <c r="I47" s="187" t="s">
        <v>1211</v>
      </c>
      <c r="J47" s="189" t="s">
        <v>1956</v>
      </c>
      <c r="K47" s="190">
        <v>22</v>
      </c>
      <c r="L47" s="181"/>
      <c r="M47" s="181"/>
      <c r="P47" s="181"/>
    </row>
    <row r="48" spans="2:16" ht="39">
      <c r="B48" s="186">
        <v>44</v>
      </c>
      <c r="C48" s="187" t="s">
        <v>1213</v>
      </c>
      <c r="D48" s="187" t="s">
        <v>1214</v>
      </c>
      <c r="E48" s="188" t="s">
        <v>480</v>
      </c>
      <c r="F48" s="189" t="s">
        <v>1209</v>
      </c>
      <c r="G48" s="187" t="s">
        <v>1214</v>
      </c>
      <c r="H48" s="187" t="s">
        <v>1214</v>
      </c>
      <c r="I48" s="187" t="s">
        <v>1214</v>
      </c>
      <c r="J48" s="189" t="s">
        <v>1958</v>
      </c>
      <c r="K48" s="190">
        <v>22</v>
      </c>
      <c r="L48" s="181"/>
      <c r="M48" s="181"/>
      <c r="P48" s="181"/>
    </row>
    <row r="49" spans="2:16" ht="39">
      <c r="B49" s="186">
        <v>45</v>
      </c>
      <c r="C49" s="187" t="s">
        <v>180</v>
      </c>
      <c r="D49" s="187" t="s">
        <v>180</v>
      </c>
      <c r="E49" s="188" t="s">
        <v>181</v>
      </c>
      <c r="F49" s="189" t="s">
        <v>1215</v>
      </c>
      <c r="G49" s="187" t="s">
        <v>180</v>
      </c>
      <c r="H49" s="187" t="s">
        <v>180</v>
      </c>
      <c r="I49" s="187" t="s">
        <v>1217</v>
      </c>
      <c r="J49" s="189" t="s">
        <v>1956</v>
      </c>
      <c r="K49" s="190">
        <v>23</v>
      </c>
      <c r="L49" s="181"/>
      <c r="M49" s="181"/>
      <c r="P49" s="181"/>
    </row>
    <row r="50" spans="2:16" ht="39">
      <c r="B50" s="186">
        <v>46</v>
      </c>
      <c r="C50" s="187" t="s">
        <v>1218</v>
      </c>
      <c r="D50" s="187" t="s">
        <v>1219</v>
      </c>
      <c r="E50" s="188" t="s">
        <v>199</v>
      </c>
      <c r="F50" s="189" t="s">
        <v>1215</v>
      </c>
      <c r="G50" s="187" t="s">
        <v>1219</v>
      </c>
      <c r="H50" s="187" t="s">
        <v>1219</v>
      </c>
      <c r="I50" s="187" t="s">
        <v>1220</v>
      </c>
      <c r="J50" s="189" t="s">
        <v>1958</v>
      </c>
      <c r="K50" s="190">
        <v>23</v>
      </c>
      <c r="L50" s="181"/>
      <c r="M50" s="181"/>
      <c r="P50" s="181"/>
    </row>
    <row r="51" spans="2:16" ht="39">
      <c r="B51" s="186">
        <v>47</v>
      </c>
      <c r="C51" s="187" t="s">
        <v>1222</v>
      </c>
      <c r="D51" s="187" t="s">
        <v>1222</v>
      </c>
      <c r="E51" s="188" t="s">
        <v>392</v>
      </c>
      <c r="F51" s="189" t="s">
        <v>1221</v>
      </c>
      <c r="G51" s="187" t="s">
        <v>1222</v>
      </c>
      <c r="H51" s="187" t="s">
        <v>1222</v>
      </c>
      <c r="I51" s="187" t="s">
        <v>1222</v>
      </c>
      <c r="J51" s="189" t="s">
        <v>1956</v>
      </c>
      <c r="K51" s="190">
        <v>24</v>
      </c>
      <c r="L51" s="181"/>
      <c r="M51" s="181"/>
      <c r="P51" s="181"/>
    </row>
    <row r="52" spans="2:16" ht="39">
      <c r="B52" s="186">
        <v>48</v>
      </c>
      <c r="C52" s="187" t="s">
        <v>1223</v>
      </c>
      <c r="D52" s="187" t="s">
        <v>1224</v>
      </c>
      <c r="E52" s="188" t="s">
        <v>419</v>
      </c>
      <c r="F52" s="189" t="s">
        <v>1221</v>
      </c>
      <c r="G52" s="187" t="s">
        <v>1224</v>
      </c>
      <c r="H52" s="187" t="s">
        <v>1224</v>
      </c>
      <c r="I52" s="187" t="s">
        <v>1224</v>
      </c>
      <c r="J52" s="189" t="s">
        <v>1958</v>
      </c>
      <c r="K52" s="190">
        <v>24</v>
      </c>
      <c r="L52" s="181"/>
      <c r="M52" s="181"/>
      <c r="P52" s="181"/>
    </row>
    <row r="53" spans="2:16" ht="39">
      <c r="B53" s="186">
        <v>49</v>
      </c>
      <c r="C53" s="187" t="s">
        <v>889</v>
      </c>
      <c r="D53" s="187" t="s">
        <v>889</v>
      </c>
      <c r="E53" s="188" t="s">
        <v>890</v>
      </c>
      <c r="F53" s="189" t="s">
        <v>1225</v>
      </c>
      <c r="G53" s="187" t="s">
        <v>1228</v>
      </c>
      <c r="H53" s="187" t="s">
        <v>889</v>
      </c>
      <c r="I53" s="187" t="s">
        <v>889</v>
      </c>
      <c r="J53" s="189" t="s">
        <v>1956</v>
      </c>
      <c r="K53" s="190">
        <v>25</v>
      </c>
      <c r="L53" s="181"/>
      <c r="M53" s="181"/>
      <c r="P53" s="181"/>
    </row>
    <row r="54" spans="2:16" ht="39">
      <c r="B54" s="186">
        <v>50</v>
      </c>
      <c r="C54" s="187" t="s">
        <v>2122</v>
      </c>
      <c r="D54" s="187" t="s">
        <v>1230</v>
      </c>
      <c r="E54" s="188" t="s">
        <v>907</v>
      </c>
      <c r="F54" s="189" t="s">
        <v>1225</v>
      </c>
      <c r="G54" s="187" t="s">
        <v>1231</v>
      </c>
      <c r="H54" s="187" t="s">
        <v>1230</v>
      </c>
      <c r="I54" s="187" t="s">
        <v>1230</v>
      </c>
      <c r="J54" s="189" t="s">
        <v>1958</v>
      </c>
      <c r="K54" s="190">
        <v>25</v>
      </c>
      <c r="L54" s="181"/>
      <c r="M54" s="181"/>
      <c r="P54" s="181"/>
    </row>
    <row r="55" spans="2:16" ht="39">
      <c r="B55" s="186">
        <v>51</v>
      </c>
      <c r="C55" s="187" t="s">
        <v>36</v>
      </c>
      <c r="D55" s="187" t="s">
        <v>1235</v>
      </c>
      <c r="E55" s="188" t="s">
        <v>37</v>
      </c>
      <c r="F55" s="189" t="s">
        <v>1232</v>
      </c>
      <c r="G55" s="187" t="s">
        <v>1690</v>
      </c>
      <c r="H55" s="187" t="s">
        <v>1235</v>
      </c>
      <c r="I55" s="187" t="s">
        <v>1237</v>
      </c>
      <c r="J55" s="189" t="s">
        <v>1956</v>
      </c>
      <c r="K55" s="190">
        <v>26</v>
      </c>
      <c r="L55" s="181"/>
      <c r="M55" s="181"/>
      <c r="P55" s="181"/>
    </row>
    <row r="56" spans="2:16" ht="39">
      <c r="B56" s="186">
        <v>52</v>
      </c>
      <c r="C56" s="187" t="s">
        <v>1238</v>
      </c>
      <c r="D56" s="187" t="s">
        <v>1240</v>
      </c>
      <c r="E56" s="188" t="s">
        <v>64</v>
      </c>
      <c r="F56" s="189" t="s">
        <v>1232</v>
      </c>
      <c r="G56" s="187" t="s">
        <v>2123</v>
      </c>
      <c r="H56" s="187" t="s">
        <v>1240</v>
      </c>
      <c r="I56" s="187" t="s">
        <v>1242</v>
      </c>
      <c r="J56" s="189" t="s">
        <v>1958</v>
      </c>
      <c r="K56" s="190">
        <v>26</v>
      </c>
      <c r="L56" s="181"/>
      <c r="M56" s="181"/>
      <c r="P56" s="181"/>
    </row>
    <row r="57" spans="2:16" ht="39">
      <c r="B57" s="186">
        <v>53</v>
      </c>
      <c r="C57" s="187" t="s">
        <v>732</v>
      </c>
      <c r="D57" s="187" t="s">
        <v>732</v>
      </c>
      <c r="E57" s="188" t="s">
        <v>733</v>
      </c>
      <c r="F57" s="189" t="s">
        <v>1243</v>
      </c>
      <c r="G57" s="187" t="s">
        <v>732</v>
      </c>
      <c r="H57" s="187" t="s">
        <v>732</v>
      </c>
      <c r="I57" s="187" t="s">
        <v>732</v>
      </c>
      <c r="J57" s="189" t="s">
        <v>1956</v>
      </c>
      <c r="K57" s="190">
        <v>27</v>
      </c>
      <c r="L57" s="181"/>
      <c r="M57" s="181"/>
      <c r="P57" s="181"/>
    </row>
    <row r="58" spans="2:16" ht="39">
      <c r="B58" s="186">
        <v>54</v>
      </c>
      <c r="C58" s="187" t="s">
        <v>1245</v>
      </c>
      <c r="D58" s="187" t="s">
        <v>1246</v>
      </c>
      <c r="E58" s="188" t="s">
        <v>749</v>
      </c>
      <c r="F58" s="189" t="s">
        <v>1243</v>
      </c>
      <c r="G58" s="187" t="s">
        <v>1246</v>
      </c>
      <c r="H58" s="187" t="s">
        <v>1246</v>
      </c>
      <c r="I58" s="187" t="s">
        <v>1246</v>
      </c>
      <c r="J58" s="189" t="s">
        <v>1958</v>
      </c>
      <c r="K58" s="190">
        <v>27</v>
      </c>
      <c r="L58" s="181"/>
      <c r="M58" s="181"/>
      <c r="P58" s="181"/>
    </row>
    <row r="59" spans="2:16" ht="39">
      <c r="B59" s="186">
        <v>55</v>
      </c>
      <c r="C59" s="187" t="s">
        <v>18</v>
      </c>
      <c r="D59" s="187" t="s">
        <v>18</v>
      </c>
      <c r="E59" s="188" t="s">
        <v>19</v>
      </c>
      <c r="F59" s="189" t="s">
        <v>1247</v>
      </c>
      <c r="G59" s="187" t="s">
        <v>18</v>
      </c>
      <c r="H59" s="187" t="s">
        <v>18</v>
      </c>
      <c r="I59" s="187" t="s">
        <v>18</v>
      </c>
      <c r="J59" s="189" t="s">
        <v>1956</v>
      </c>
      <c r="K59" s="190">
        <v>28</v>
      </c>
      <c r="L59" s="181"/>
      <c r="M59" s="181"/>
      <c r="P59" s="181"/>
    </row>
    <row r="60" spans="2:16" ht="39">
      <c r="B60" s="186">
        <v>56</v>
      </c>
      <c r="C60" s="187" t="s">
        <v>1249</v>
      </c>
      <c r="D60" s="187" t="s">
        <v>1250</v>
      </c>
      <c r="E60" s="188" t="s">
        <v>48</v>
      </c>
      <c r="F60" s="189" t="s">
        <v>1247</v>
      </c>
      <c r="G60" s="187" t="s">
        <v>1250</v>
      </c>
      <c r="H60" s="187" t="s">
        <v>1250</v>
      </c>
      <c r="I60" s="187" t="s">
        <v>1250</v>
      </c>
      <c r="J60" s="189" t="s">
        <v>1958</v>
      </c>
      <c r="K60" s="190">
        <v>28</v>
      </c>
      <c r="L60" s="181"/>
      <c r="M60" s="181"/>
      <c r="P60" s="181"/>
    </row>
    <row r="61" spans="2:16" ht="39">
      <c r="B61" s="186">
        <v>57</v>
      </c>
      <c r="C61" s="187" t="s">
        <v>260</v>
      </c>
      <c r="D61" s="187" t="s">
        <v>260</v>
      </c>
      <c r="E61" s="188" t="s">
        <v>261</v>
      </c>
      <c r="F61" s="189" t="s">
        <v>1251</v>
      </c>
      <c r="G61" s="187" t="s">
        <v>260</v>
      </c>
      <c r="H61" s="187" t="s">
        <v>260</v>
      </c>
      <c r="I61" s="187" t="s">
        <v>260</v>
      </c>
      <c r="J61" s="189" t="s">
        <v>1956</v>
      </c>
      <c r="K61" s="190">
        <v>29</v>
      </c>
      <c r="L61" s="181"/>
      <c r="M61" s="181"/>
      <c r="P61" s="181"/>
    </row>
    <row r="62" spans="2:16" ht="39">
      <c r="B62" s="186">
        <v>58</v>
      </c>
      <c r="C62" s="187" t="s">
        <v>1254</v>
      </c>
      <c r="D62" s="187" t="s">
        <v>1255</v>
      </c>
      <c r="E62" s="188" t="s">
        <v>292</v>
      </c>
      <c r="F62" s="189" t="s">
        <v>1251</v>
      </c>
      <c r="G62" s="187" t="s">
        <v>1255</v>
      </c>
      <c r="H62" s="187" t="s">
        <v>1255</v>
      </c>
      <c r="I62" s="187" t="s">
        <v>1255</v>
      </c>
      <c r="J62" s="189" t="s">
        <v>1958</v>
      </c>
      <c r="K62" s="190">
        <v>29</v>
      </c>
      <c r="L62" s="181"/>
      <c r="M62" s="181"/>
      <c r="P62" s="181"/>
    </row>
    <row r="63" spans="2:16" ht="39">
      <c r="B63" s="186">
        <v>59</v>
      </c>
      <c r="C63" s="187" t="s">
        <v>604</v>
      </c>
      <c r="D63" s="187" t="s">
        <v>604</v>
      </c>
      <c r="E63" s="188" t="s">
        <v>605</v>
      </c>
      <c r="F63" s="189" t="s">
        <v>1256</v>
      </c>
      <c r="G63" s="187" t="s">
        <v>604</v>
      </c>
      <c r="H63" s="187" t="s">
        <v>604</v>
      </c>
      <c r="I63" s="187" t="s">
        <v>604</v>
      </c>
      <c r="J63" s="189" t="s">
        <v>1956</v>
      </c>
      <c r="K63" s="190">
        <v>30</v>
      </c>
      <c r="L63" s="181"/>
      <c r="M63" s="181"/>
      <c r="P63" s="181"/>
    </row>
    <row r="64" spans="2:16" ht="39">
      <c r="B64" s="186">
        <v>60</v>
      </c>
      <c r="C64" s="187" t="s">
        <v>2124</v>
      </c>
      <c r="D64" s="187" t="s">
        <v>1804</v>
      </c>
      <c r="E64" s="188" t="s">
        <v>1576</v>
      </c>
      <c r="F64" s="189" t="s">
        <v>1256</v>
      </c>
      <c r="G64" s="187" t="s">
        <v>1804</v>
      </c>
      <c r="H64" s="187" t="s">
        <v>1804</v>
      </c>
      <c r="I64" s="187" t="s">
        <v>1804</v>
      </c>
      <c r="J64" s="189" t="s">
        <v>1958</v>
      </c>
      <c r="K64" s="190">
        <v>30</v>
      </c>
      <c r="L64" s="181"/>
      <c r="M64" s="181"/>
      <c r="P64" s="181"/>
    </row>
    <row r="65" spans="2:16" ht="39">
      <c r="B65" s="186">
        <v>61</v>
      </c>
      <c r="C65" s="187" t="s">
        <v>1694</v>
      </c>
      <c r="D65" s="187" t="s">
        <v>1261</v>
      </c>
      <c r="E65" s="188" t="s">
        <v>227</v>
      </c>
      <c r="F65" s="189" t="s">
        <v>1258</v>
      </c>
      <c r="G65" s="187" t="s">
        <v>1695</v>
      </c>
      <c r="H65" s="187" t="s">
        <v>1261</v>
      </c>
      <c r="I65" s="187" t="s">
        <v>1263</v>
      </c>
      <c r="J65" s="189" t="s">
        <v>1956</v>
      </c>
      <c r="K65" s="190">
        <v>31</v>
      </c>
      <c r="L65" s="181"/>
      <c r="M65" s="181"/>
      <c r="P65" s="181"/>
    </row>
    <row r="66" spans="2:16" ht="39">
      <c r="B66" s="186">
        <v>62</v>
      </c>
      <c r="C66" s="187" t="s">
        <v>2125</v>
      </c>
      <c r="D66" s="187" t="s">
        <v>1266</v>
      </c>
      <c r="E66" s="188" t="s">
        <v>257</v>
      </c>
      <c r="F66" s="189" t="s">
        <v>1258</v>
      </c>
      <c r="G66" s="187" t="s">
        <v>2126</v>
      </c>
      <c r="H66" s="187" t="s">
        <v>1266</v>
      </c>
      <c r="I66" s="187" t="s">
        <v>1268</v>
      </c>
      <c r="J66" s="189" t="s">
        <v>1958</v>
      </c>
      <c r="K66" s="190">
        <v>31</v>
      </c>
      <c r="L66" s="181"/>
      <c r="M66" s="181"/>
      <c r="P66" s="181"/>
    </row>
    <row r="67" spans="2:16" ht="39">
      <c r="B67" s="186">
        <v>63</v>
      </c>
      <c r="C67" s="187" t="s">
        <v>937</v>
      </c>
      <c r="D67" s="187" t="s">
        <v>1271</v>
      </c>
      <c r="E67" s="188" t="s">
        <v>938</v>
      </c>
      <c r="F67" s="189" t="s">
        <v>1269</v>
      </c>
      <c r="G67" s="187" t="s">
        <v>1734</v>
      </c>
      <c r="H67" s="187" t="s">
        <v>1271</v>
      </c>
      <c r="I67" s="187" t="s">
        <v>1273</v>
      </c>
      <c r="J67" s="189" t="s">
        <v>1956</v>
      </c>
      <c r="K67" s="190">
        <v>32</v>
      </c>
      <c r="L67" s="181"/>
      <c r="M67" s="181"/>
      <c r="P67" s="181"/>
    </row>
    <row r="68" spans="2:16" ht="39">
      <c r="B68" s="186">
        <v>64</v>
      </c>
      <c r="C68" s="187" t="s">
        <v>2128</v>
      </c>
      <c r="D68" s="187" t="s">
        <v>2127</v>
      </c>
      <c r="E68" s="188" t="s">
        <v>2131</v>
      </c>
      <c r="F68" s="189" t="s">
        <v>1269</v>
      </c>
      <c r="G68" s="187" t="s">
        <v>2129</v>
      </c>
      <c r="H68" s="187" t="s">
        <v>2127</v>
      </c>
      <c r="I68" s="187" t="s">
        <v>2130</v>
      </c>
      <c r="J68" s="189" t="s">
        <v>1958</v>
      </c>
      <c r="K68" s="190">
        <v>32</v>
      </c>
      <c r="L68" s="181"/>
      <c r="M68" s="181"/>
      <c r="P68" s="181"/>
    </row>
    <row r="69" spans="2:16" ht="39">
      <c r="B69" s="186">
        <v>65</v>
      </c>
      <c r="C69" s="187" t="s">
        <v>1277</v>
      </c>
      <c r="D69" s="187" t="s">
        <v>1277</v>
      </c>
      <c r="E69" s="188" t="s">
        <v>543</v>
      </c>
      <c r="F69" s="189" t="s">
        <v>1274</v>
      </c>
      <c r="G69" s="187" t="s">
        <v>1277</v>
      </c>
      <c r="H69" s="187" t="s">
        <v>1277</v>
      </c>
      <c r="I69" s="187" t="s">
        <v>1277</v>
      </c>
      <c r="J69" s="189" t="s">
        <v>1956</v>
      </c>
      <c r="K69" s="190">
        <v>33</v>
      </c>
      <c r="L69" s="181"/>
      <c r="M69" s="181"/>
      <c r="P69" s="181"/>
    </row>
    <row r="70" spans="2:16" ht="39">
      <c r="B70" s="186">
        <v>66</v>
      </c>
      <c r="C70" s="187" t="s">
        <v>2132</v>
      </c>
      <c r="D70" s="187" t="s">
        <v>1279</v>
      </c>
      <c r="E70" s="188" t="s">
        <v>568</v>
      </c>
      <c r="F70" s="189" t="s">
        <v>1274</v>
      </c>
      <c r="G70" s="187" t="s">
        <v>1279</v>
      </c>
      <c r="H70" s="187" t="s">
        <v>1279</v>
      </c>
      <c r="I70" s="187" t="s">
        <v>1279</v>
      </c>
      <c r="J70" s="189" t="s">
        <v>1958</v>
      </c>
      <c r="K70" s="190">
        <v>33</v>
      </c>
      <c r="L70" s="181"/>
      <c r="M70" s="181"/>
      <c r="P70" s="181"/>
    </row>
    <row r="71" spans="2:16" ht="39">
      <c r="B71" s="186">
        <v>67</v>
      </c>
      <c r="C71" s="187" t="s">
        <v>279</v>
      </c>
      <c r="D71" s="187" t="s">
        <v>1282</v>
      </c>
      <c r="E71" s="188" t="s">
        <v>280</v>
      </c>
      <c r="F71" s="189" t="s">
        <v>1280</v>
      </c>
      <c r="G71" s="187" t="s">
        <v>1696</v>
      </c>
      <c r="H71" s="187" t="s">
        <v>1282</v>
      </c>
      <c r="I71" s="187" t="s">
        <v>1284</v>
      </c>
      <c r="J71" s="189" t="s">
        <v>1956</v>
      </c>
      <c r="K71" s="190">
        <v>34</v>
      </c>
      <c r="L71" s="181"/>
      <c r="M71" s="181"/>
      <c r="P71" s="181"/>
    </row>
    <row r="72" spans="2:16" ht="39">
      <c r="B72" s="186">
        <v>68</v>
      </c>
      <c r="C72" s="187" t="s">
        <v>1286</v>
      </c>
      <c r="D72" s="187" t="s">
        <v>1288</v>
      </c>
      <c r="E72" s="188" t="s">
        <v>280</v>
      </c>
      <c r="F72" s="189" t="s">
        <v>1280</v>
      </c>
      <c r="G72" s="187" t="s">
        <v>2133</v>
      </c>
      <c r="H72" s="187" t="s">
        <v>1288</v>
      </c>
      <c r="I72" s="187" t="s">
        <v>1290</v>
      </c>
      <c r="J72" s="189" t="s">
        <v>1958</v>
      </c>
      <c r="K72" s="190">
        <v>34</v>
      </c>
      <c r="L72" s="181"/>
      <c r="M72" s="181"/>
      <c r="P72" s="181"/>
    </row>
    <row r="73" spans="2:16" ht="39">
      <c r="B73" s="186">
        <v>69</v>
      </c>
      <c r="C73" s="187" t="s">
        <v>2134</v>
      </c>
      <c r="D73" s="187" t="s">
        <v>1293</v>
      </c>
      <c r="E73" s="188" t="s">
        <v>559</v>
      </c>
      <c r="F73" s="189" t="s">
        <v>1291</v>
      </c>
      <c r="G73" s="187" t="s">
        <v>2135</v>
      </c>
      <c r="H73" s="187" t="s">
        <v>1293</v>
      </c>
      <c r="I73" s="187" t="s">
        <v>1295</v>
      </c>
      <c r="J73" s="189" t="s">
        <v>1956</v>
      </c>
      <c r="K73" s="190">
        <v>35</v>
      </c>
      <c r="L73" s="181"/>
      <c r="M73" s="181"/>
      <c r="P73" s="181"/>
    </row>
    <row r="74" spans="2:16" ht="39">
      <c r="B74" s="186">
        <v>70</v>
      </c>
      <c r="C74" s="187" t="s">
        <v>2137</v>
      </c>
      <c r="D74" s="187" t="s">
        <v>2136</v>
      </c>
      <c r="E74" s="188" t="s">
        <v>2140</v>
      </c>
      <c r="F74" s="189" t="s">
        <v>1291</v>
      </c>
      <c r="G74" s="187" t="s">
        <v>2138</v>
      </c>
      <c r="H74" s="187" t="s">
        <v>2136</v>
      </c>
      <c r="I74" s="187" t="s">
        <v>2139</v>
      </c>
      <c r="J74" s="189" t="s">
        <v>1958</v>
      </c>
      <c r="K74" s="190">
        <v>35</v>
      </c>
      <c r="L74" s="181"/>
      <c r="M74" s="181"/>
      <c r="P74" s="181"/>
    </row>
    <row r="75" spans="2:16" ht="39">
      <c r="B75" s="186">
        <v>71</v>
      </c>
      <c r="C75" s="187" t="s">
        <v>406</v>
      </c>
      <c r="D75" s="187" t="s">
        <v>1298</v>
      </c>
      <c r="E75" s="188" t="s">
        <v>407</v>
      </c>
      <c r="F75" s="189" t="s">
        <v>1296</v>
      </c>
      <c r="G75" s="187" t="s">
        <v>1732</v>
      </c>
      <c r="H75" s="187" t="s">
        <v>1298</v>
      </c>
      <c r="I75" s="187" t="s">
        <v>1301</v>
      </c>
      <c r="J75" s="189" t="s">
        <v>1956</v>
      </c>
      <c r="K75" s="190">
        <v>36</v>
      </c>
      <c r="L75" s="181"/>
      <c r="M75" s="181"/>
      <c r="P75" s="181"/>
    </row>
    <row r="76" spans="2:16" ht="39">
      <c r="B76" s="186">
        <v>72</v>
      </c>
      <c r="C76" s="187" t="s">
        <v>2141</v>
      </c>
      <c r="D76" s="187" t="s">
        <v>1299</v>
      </c>
      <c r="E76" s="188" t="s">
        <v>434</v>
      </c>
      <c r="F76" s="189" t="s">
        <v>1296</v>
      </c>
      <c r="G76" s="187" t="s">
        <v>2142</v>
      </c>
      <c r="H76" s="187" t="s">
        <v>1299</v>
      </c>
      <c r="I76" s="187" t="s">
        <v>2143</v>
      </c>
      <c r="J76" s="189" t="s">
        <v>1958</v>
      </c>
      <c r="K76" s="190">
        <v>36</v>
      </c>
      <c r="L76" s="181"/>
      <c r="M76" s="181"/>
      <c r="P76" s="181"/>
    </row>
    <row r="77" spans="2:16" ht="39">
      <c r="B77" s="186">
        <v>73</v>
      </c>
      <c r="C77" s="187" t="s">
        <v>808</v>
      </c>
      <c r="D77" s="187" t="s">
        <v>1304</v>
      </c>
      <c r="E77" s="188" t="s">
        <v>809</v>
      </c>
      <c r="F77" s="189" t="s">
        <v>1302</v>
      </c>
      <c r="G77" s="187" t="s">
        <v>2144</v>
      </c>
      <c r="H77" s="187" t="s">
        <v>1304</v>
      </c>
      <c r="I77" s="187" t="s">
        <v>1306</v>
      </c>
      <c r="J77" s="189" t="s">
        <v>1956</v>
      </c>
      <c r="K77" s="190">
        <v>37</v>
      </c>
      <c r="L77" s="181"/>
      <c r="M77" s="181"/>
      <c r="P77" s="181"/>
    </row>
    <row r="78" spans="2:16" ht="39">
      <c r="B78" s="186">
        <v>74</v>
      </c>
      <c r="C78" s="187" t="s">
        <v>2146</v>
      </c>
      <c r="D78" s="187" t="s">
        <v>2145</v>
      </c>
      <c r="E78" s="188" t="s">
        <v>2149</v>
      </c>
      <c r="F78" s="189" t="s">
        <v>1302</v>
      </c>
      <c r="G78" s="187" t="s">
        <v>2147</v>
      </c>
      <c r="H78" s="187" t="s">
        <v>2145</v>
      </c>
      <c r="I78" s="187" t="s">
        <v>2148</v>
      </c>
      <c r="J78" s="189" t="s">
        <v>1958</v>
      </c>
      <c r="K78" s="190">
        <v>37</v>
      </c>
      <c r="L78" s="181"/>
      <c r="M78" s="181"/>
      <c r="P78" s="181"/>
    </row>
    <row r="79" spans="2:16" ht="39">
      <c r="B79" s="186">
        <v>75</v>
      </c>
      <c r="C79" s="187" t="s">
        <v>17</v>
      </c>
      <c r="D79" s="187" t="s">
        <v>1309</v>
      </c>
      <c r="E79" s="188" t="s">
        <v>956</v>
      </c>
      <c r="F79" s="189" t="s">
        <v>1307</v>
      </c>
      <c r="G79" s="187" t="s">
        <v>1309</v>
      </c>
      <c r="H79" s="187" t="s">
        <v>1309</v>
      </c>
      <c r="I79" s="187" t="s">
        <v>1309</v>
      </c>
      <c r="J79" s="189" t="s">
        <v>1956</v>
      </c>
      <c r="K79" s="190">
        <v>38</v>
      </c>
      <c r="L79" s="181"/>
      <c r="M79" s="181"/>
      <c r="P79" s="181"/>
    </row>
    <row r="80" spans="2:16" ht="39">
      <c r="B80" s="186">
        <v>76</v>
      </c>
      <c r="C80" s="187" t="s">
        <v>2150</v>
      </c>
      <c r="D80" s="187" t="s">
        <v>1839</v>
      </c>
      <c r="E80" s="188" t="s">
        <v>969</v>
      </c>
      <c r="F80" s="189" t="s">
        <v>1307</v>
      </c>
      <c r="G80" s="187" t="s">
        <v>1839</v>
      </c>
      <c r="H80" s="187" t="s">
        <v>1839</v>
      </c>
      <c r="I80" s="187" t="s">
        <v>1839</v>
      </c>
      <c r="J80" s="189" t="s">
        <v>1958</v>
      </c>
      <c r="K80" s="190">
        <v>38</v>
      </c>
      <c r="L80" s="181"/>
      <c r="M80" s="181"/>
      <c r="P80" s="181"/>
    </row>
    <row r="81" spans="2:16" ht="39">
      <c r="B81" s="186">
        <v>77</v>
      </c>
      <c r="C81" s="187" t="s">
        <v>208</v>
      </c>
      <c r="D81" s="187" t="s">
        <v>208</v>
      </c>
      <c r="E81" s="188" t="s">
        <v>209</v>
      </c>
      <c r="F81" s="189" t="s">
        <v>1310</v>
      </c>
      <c r="G81" s="187" t="s">
        <v>208</v>
      </c>
      <c r="H81" s="187" t="s">
        <v>208</v>
      </c>
      <c r="I81" s="187" t="s">
        <v>208</v>
      </c>
      <c r="J81" s="189" t="s">
        <v>1956</v>
      </c>
      <c r="K81" s="190">
        <v>39</v>
      </c>
      <c r="L81" s="181"/>
      <c r="M81" s="181"/>
      <c r="P81" s="181"/>
    </row>
    <row r="82" spans="2:16" ht="39">
      <c r="B82" s="186">
        <v>78</v>
      </c>
      <c r="C82" s="187" t="s">
        <v>1312</v>
      </c>
      <c r="D82" s="187" t="s">
        <v>1313</v>
      </c>
      <c r="E82" s="188" t="s">
        <v>239</v>
      </c>
      <c r="F82" s="189" t="s">
        <v>1310</v>
      </c>
      <c r="G82" s="187" t="s">
        <v>1313</v>
      </c>
      <c r="H82" s="187" t="s">
        <v>1313</v>
      </c>
      <c r="I82" s="187" t="s">
        <v>1313</v>
      </c>
      <c r="J82" s="189" t="s">
        <v>1958</v>
      </c>
      <c r="K82" s="190">
        <v>39</v>
      </c>
      <c r="L82" s="181"/>
      <c r="M82" s="181"/>
      <c r="P82" s="181"/>
    </row>
    <row r="83" spans="2:16" ht="39">
      <c r="B83" s="186">
        <v>79</v>
      </c>
      <c r="C83" s="187" t="s">
        <v>2151</v>
      </c>
      <c r="D83" s="187" t="s">
        <v>1317</v>
      </c>
      <c r="E83" s="188" t="s">
        <v>168</v>
      </c>
      <c r="F83" s="189" t="s">
        <v>1314</v>
      </c>
      <c r="G83" s="187" t="s">
        <v>1697</v>
      </c>
      <c r="H83" s="187" t="s">
        <v>1317</v>
      </c>
      <c r="I83" s="187" t="s">
        <v>1319</v>
      </c>
      <c r="J83" s="189" t="s">
        <v>1956</v>
      </c>
      <c r="K83" s="190">
        <v>40</v>
      </c>
      <c r="L83" s="181"/>
      <c r="M83" s="181"/>
      <c r="P83" s="181"/>
    </row>
    <row r="84" spans="2:16" ht="39">
      <c r="B84" s="186">
        <v>80</v>
      </c>
      <c r="C84" s="187" t="s">
        <v>2153</v>
      </c>
      <c r="D84" s="187" t="s">
        <v>2152</v>
      </c>
      <c r="E84" s="188" t="s">
        <v>2156</v>
      </c>
      <c r="F84" s="189" t="s">
        <v>1314</v>
      </c>
      <c r="G84" s="187" t="s">
        <v>2154</v>
      </c>
      <c r="H84" s="187" t="s">
        <v>2152</v>
      </c>
      <c r="I84" s="187" t="s">
        <v>2155</v>
      </c>
      <c r="J84" s="189" t="s">
        <v>1958</v>
      </c>
      <c r="K84" s="190">
        <v>40</v>
      </c>
      <c r="L84" s="181"/>
      <c r="M84" s="181"/>
      <c r="P84" s="181"/>
    </row>
    <row r="85" spans="2:16" ht="39">
      <c r="B85" s="186">
        <v>81</v>
      </c>
      <c r="C85" s="187" t="s">
        <v>2157</v>
      </c>
      <c r="D85" s="187" t="s">
        <v>1322</v>
      </c>
      <c r="E85" s="188" t="s">
        <v>667</v>
      </c>
      <c r="F85" s="189" t="s">
        <v>1320</v>
      </c>
      <c r="G85" s="187" t="s">
        <v>1693</v>
      </c>
      <c r="H85" s="187" t="s">
        <v>1376</v>
      </c>
      <c r="I85" s="187" t="s">
        <v>1325</v>
      </c>
      <c r="J85" s="189" t="s">
        <v>1956</v>
      </c>
      <c r="K85" s="190">
        <v>41</v>
      </c>
      <c r="L85" s="181"/>
      <c r="M85" s="181"/>
      <c r="P85" s="181"/>
    </row>
    <row r="86" spans="2:16" ht="39">
      <c r="B86" s="186">
        <v>82</v>
      </c>
      <c r="C86" s="187" t="s">
        <v>2159</v>
      </c>
      <c r="D86" s="187" t="s">
        <v>2158</v>
      </c>
      <c r="E86" s="188" t="s">
        <v>691</v>
      </c>
      <c r="F86" s="189" t="s">
        <v>1320</v>
      </c>
      <c r="G86" s="187" t="s">
        <v>2160</v>
      </c>
      <c r="H86" s="187" t="s">
        <v>1377</v>
      </c>
      <c r="I86" s="187" t="s">
        <v>2161</v>
      </c>
      <c r="J86" s="189" t="s">
        <v>1958</v>
      </c>
      <c r="K86" s="190">
        <v>41</v>
      </c>
      <c r="L86" s="181"/>
      <c r="M86" s="181"/>
      <c r="P86" s="181"/>
    </row>
    <row r="87" spans="2:16" ht="39">
      <c r="B87" s="186">
        <v>83</v>
      </c>
      <c r="C87" s="187" t="s">
        <v>5</v>
      </c>
      <c r="D87" s="187" t="s">
        <v>5</v>
      </c>
      <c r="E87" s="188" t="s">
        <v>950</v>
      </c>
      <c r="F87" s="189" t="s">
        <v>1326</v>
      </c>
      <c r="G87" s="187" t="s">
        <v>5</v>
      </c>
      <c r="H87" s="187" t="s">
        <v>5</v>
      </c>
      <c r="I87" s="187" t="s">
        <v>5</v>
      </c>
      <c r="J87" s="189" t="s">
        <v>1956</v>
      </c>
      <c r="K87" s="190">
        <v>42</v>
      </c>
      <c r="L87" s="181"/>
      <c r="M87" s="181"/>
      <c r="P87" s="181"/>
    </row>
    <row r="88" spans="2:16" ht="39">
      <c r="B88" s="186">
        <v>84</v>
      </c>
      <c r="C88" s="187" t="s">
        <v>1837</v>
      </c>
      <c r="D88" s="187" t="s">
        <v>1837</v>
      </c>
      <c r="E88" s="188" t="s">
        <v>953</v>
      </c>
      <c r="F88" s="189" t="s">
        <v>1326</v>
      </c>
      <c r="G88" s="187" t="s">
        <v>1837</v>
      </c>
      <c r="H88" s="187" t="s">
        <v>1837</v>
      </c>
      <c r="I88" s="187" t="s">
        <v>1837</v>
      </c>
      <c r="J88" s="189" t="s">
        <v>1958</v>
      </c>
      <c r="K88" s="190">
        <v>42</v>
      </c>
      <c r="L88" s="181"/>
      <c r="M88" s="181"/>
      <c r="P88" s="181"/>
    </row>
    <row r="89" spans="2:16" ht="39">
      <c r="B89" s="186">
        <v>85</v>
      </c>
      <c r="C89" s="187" t="s">
        <v>850</v>
      </c>
      <c r="D89" s="187" t="s">
        <v>1329</v>
      </c>
      <c r="E89" s="188" t="s">
        <v>851</v>
      </c>
      <c r="F89" s="189" t="s">
        <v>1327</v>
      </c>
      <c r="G89" s="187" t="s">
        <v>1330</v>
      </c>
      <c r="H89" s="187" t="s">
        <v>1329</v>
      </c>
      <c r="I89" s="187" t="s">
        <v>1329</v>
      </c>
      <c r="J89" s="189" t="s">
        <v>1956</v>
      </c>
      <c r="K89" s="190">
        <v>43</v>
      </c>
      <c r="L89" s="181"/>
      <c r="M89" s="181"/>
      <c r="P89" s="181"/>
    </row>
    <row r="90" spans="2:16" ht="39">
      <c r="B90" s="186">
        <v>86</v>
      </c>
      <c r="C90" s="187" t="s">
        <v>1332</v>
      </c>
      <c r="D90" s="187" t="s">
        <v>1333</v>
      </c>
      <c r="E90" s="188" t="s">
        <v>1331</v>
      </c>
      <c r="F90" s="189" t="s">
        <v>1327</v>
      </c>
      <c r="G90" s="187" t="s">
        <v>1334</v>
      </c>
      <c r="H90" s="187" t="s">
        <v>1333</v>
      </c>
      <c r="I90" s="187" t="s">
        <v>1333</v>
      </c>
      <c r="J90" s="189" t="s">
        <v>1958</v>
      </c>
      <c r="K90" s="190">
        <v>43</v>
      </c>
      <c r="L90" s="181"/>
      <c r="M90" s="181"/>
      <c r="P90" s="181"/>
    </row>
    <row r="91" spans="2:16" ht="39">
      <c r="B91" s="186">
        <v>87</v>
      </c>
      <c r="C91" s="187" t="s">
        <v>874</v>
      </c>
      <c r="D91" s="187" t="s">
        <v>1338</v>
      </c>
      <c r="E91" s="188" t="s">
        <v>875</v>
      </c>
      <c r="F91" s="189" t="s">
        <v>1335</v>
      </c>
      <c r="G91" s="187" t="s">
        <v>2162</v>
      </c>
      <c r="H91" s="187" t="s">
        <v>1338</v>
      </c>
      <c r="I91" s="187" t="s">
        <v>1340</v>
      </c>
      <c r="J91" s="189" t="s">
        <v>1956</v>
      </c>
      <c r="K91" s="190">
        <v>44</v>
      </c>
      <c r="L91" s="181"/>
      <c r="M91" s="181"/>
      <c r="P91" s="181"/>
    </row>
    <row r="92" spans="2:16" ht="39">
      <c r="B92" s="186">
        <v>88</v>
      </c>
      <c r="C92" s="187" t="s">
        <v>2163</v>
      </c>
      <c r="D92" s="187" t="s">
        <v>1343</v>
      </c>
      <c r="E92" s="188" t="s">
        <v>887</v>
      </c>
      <c r="F92" s="189" t="s">
        <v>1335</v>
      </c>
      <c r="G92" s="187" t="s">
        <v>2164</v>
      </c>
      <c r="H92" s="187" t="s">
        <v>1343</v>
      </c>
      <c r="I92" s="187" t="s">
        <v>1345</v>
      </c>
      <c r="J92" s="189" t="s">
        <v>1958</v>
      </c>
      <c r="K92" s="190">
        <v>44</v>
      </c>
      <c r="L92" s="181"/>
      <c r="M92" s="181"/>
      <c r="P92" s="181"/>
    </row>
    <row r="93" spans="2:16" ht="39">
      <c r="B93" s="186">
        <v>89</v>
      </c>
      <c r="C93" s="187" t="s">
        <v>2165</v>
      </c>
      <c r="D93" s="187" t="s">
        <v>1349</v>
      </c>
      <c r="E93" s="188" t="s">
        <v>1347</v>
      </c>
      <c r="F93" s="189" t="s">
        <v>1346</v>
      </c>
      <c r="G93" s="187" t="s">
        <v>2166</v>
      </c>
      <c r="H93" s="187" t="s">
        <v>1349</v>
      </c>
      <c r="I93" s="187" t="s">
        <v>1351</v>
      </c>
      <c r="J93" s="189" t="s">
        <v>1956</v>
      </c>
      <c r="K93" s="190">
        <v>45</v>
      </c>
      <c r="L93" s="181"/>
      <c r="M93" s="181"/>
      <c r="P93" s="181"/>
    </row>
    <row r="94" spans="2:16" ht="39">
      <c r="B94" s="186">
        <v>90</v>
      </c>
      <c r="C94" s="187" t="s">
        <v>2168</v>
      </c>
      <c r="D94" s="187" t="s">
        <v>2167</v>
      </c>
      <c r="E94" s="188" t="s">
        <v>2171</v>
      </c>
      <c r="F94" s="189" t="s">
        <v>1346</v>
      </c>
      <c r="G94" s="187" t="s">
        <v>2169</v>
      </c>
      <c r="H94" s="187" t="s">
        <v>2167</v>
      </c>
      <c r="I94" s="187" t="s">
        <v>2170</v>
      </c>
      <c r="J94" s="189" t="s">
        <v>1958</v>
      </c>
      <c r="K94" s="190">
        <v>45</v>
      </c>
      <c r="L94" s="181"/>
      <c r="M94" s="181"/>
      <c r="P94" s="181"/>
    </row>
    <row r="95" spans="2:16" ht="39">
      <c r="B95" s="186">
        <v>91</v>
      </c>
      <c r="C95" s="187" t="s">
        <v>2172</v>
      </c>
      <c r="D95" s="187" t="s">
        <v>1356</v>
      </c>
      <c r="E95" s="188" t="s">
        <v>536</v>
      </c>
      <c r="F95" s="189" t="s">
        <v>1353</v>
      </c>
      <c r="G95" s="187" t="s">
        <v>1748</v>
      </c>
      <c r="H95" s="187" t="s">
        <v>1356</v>
      </c>
      <c r="I95" s="187" t="s">
        <v>1358</v>
      </c>
      <c r="J95" s="189" t="s">
        <v>1956</v>
      </c>
      <c r="K95" s="190">
        <v>46</v>
      </c>
      <c r="L95" s="181"/>
      <c r="M95" s="181"/>
      <c r="P95" s="181"/>
    </row>
    <row r="96" spans="2:16" ht="39">
      <c r="B96" s="186">
        <v>92</v>
      </c>
      <c r="C96" s="187" t="s">
        <v>2173</v>
      </c>
      <c r="D96" s="187" t="s">
        <v>1362</v>
      </c>
      <c r="E96" s="188" t="s">
        <v>1359</v>
      </c>
      <c r="F96" s="189" t="s">
        <v>1353</v>
      </c>
      <c r="G96" s="187" t="s">
        <v>2174</v>
      </c>
      <c r="H96" s="187" t="s">
        <v>1362</v>
      </c>
      <c r="I96" s="187" t="s">
        <v>1364</v>
      </c>
      <c r="J96" s="189" t="s">
        <v>1958</v>
      </c>
      <c r="K96" s="190">
        <v>46</v>
      </c>
      <c r="L96" s="181"/>
      <c r="M96" s="181"/>
      <c r="P96" s="181"/>
    </row>
    <row r="97" spans="2:16" ht="39">
      <c r="B97" s="186">
        <v>93</v>
      </c>
      <c r="C97" s="187" t="s">
        <v>693</v>
      </c>
      <c r="D97" s="187" t="s">
        <v>1366</v>
      </c>
      <c r="E97" s="188" t="s">
        <v>694</v>
      </c>
      <c r="F97" s="189" t="s">
        <v>1365</v>
      </c>
      <c r="G97" s="187" t="s">
        <v>1366</v>
      </c>
      <c r="H97" s="187" t="s">
        <v>1366</v>
      </c>
      <c r="I97" s="187" t="s">
        <v>1366</v>
      </c>
      <c r="J97" s="189" t="s">
        <v>1956</v>
      </c>
      <c r="K97" s="190">
        <v>47</v>
      </c>
      <c r="L97" s="181"/>
      <c r="M97" s="181"/>
      <c r="P97" s="181"/>
    </row>
    <row r="98" spans="2:16" ht="39">
      <c r="B98" s="186">
        <v>94</v>
      </c>
      <c r="C98" s="187" t="s">
        <v>712</v>
      </c>
      <c r="D98" s="187" t="s">
        <v>1367</v>
      </c>
      <c r="E98" s="188" t="s">
        <v>713</v>
      </c>
      <c r="F98" s="189" t="s">
        <v>1365</v>
      </c>
      <c r="G98" s="187" t="s">
        <v>1367</v>
      </c>
      <c r="H98" s="187" t="s">
        <v>1367</v>
      </c>
      <c r="I98" s="187" t="s">
        <v>1367</v>
      </c>
      <c r="J98" s="189" t="s">
        <v>1958</v>
      </c>
      <c r="K98" s="190">
        <v>47</v>
      </c>
      <c r="L98" s="181"/>
      <c r="M98" s="181"/>
      <c r="P98" s="181"/>
    </row>
    <row r="99" spans="2:16" ht="39">
      <c r="B99" s="186">
        <v>95</v>
      </c>
      <c r="C99" s="187" t="s">
        <v>1698</v>
      </c>
      <c r="D99" s="187" t="s">
        <v>1371</v>
      </c>
      <c r="E99" s="188" t="s">
        <v>1369</v>
      </c>
      <c r="F99" s="189" t="s">
        <v>1368</v>
      </c>
      <c r="G99" s="187" t="s">
        <v>1699</v>
      </c>
      <c r="H99" s="187" t="s">
        <v>1371</v>
      </c>
      <c r="I99" s="187" t="s">
        <v>1373</v>
      </c>
      <c r="J99" s="189" t="s">
        <v>1956</v>
      </c>
      <c r="K99" s="190">
        <v>48</v>
      </c>
      <c r="L99" s="181"/>
      <c r="M99" s="181"/>
      <c r="P99" s="181"/>
    </row>
    <row r="100" spans="2:16" ht="39">
      <c r="B100" s="186">
        <v>96</v>
      </c>
      <c r="C100" s="187" t="s">
        <v>2176</v>
      </c>
      <c r="D100" s="187" t="s">
        <v>2175</v>
      </c>
      <c r="E100" s="188" t="s">
        <v>2179</v>
      </c>
      <c r="F100" s="189" t="s">
        <v>1368</v>
      </c>
      <c r="G100" s="187" t="s">
        <v>2177</v>
      </c>
      <c r="H100" s="187" t="s">
        <v>2175</v>
      </c>
      <c r="I100" s="187" t="s">
        <v>2178</v>
      </c>
      <c r="J100" s="189" t="s">
        <v>1958</v>
      </c>
      <c r="K100" s="190">
        <v>48</v>
      </c>
      <c r="L100" s="181"/>
      <c r="M100" s="181"/>
      <c r="P100" s="181"/>
    </row>
    <row r="101" spans="2:16" ht="39">
      <c r="B101" s="186">
        <v>97</v>
      </c>
      <c r="C101" s="187" t="s">
        <v>666</v>
      </c>
      <c r="D101" s="187" t="s">
        <v>1376</v>
      </c>
      <c r="E101" s="188" t="s">
        <v>667</v>
      </c>
      <c r="F101" s="189" t="s">
        <v>1374</v>
      </c>
      <c r="G101" s="187" t="s">
        <v>1693</v>
      </c>
      <c r="H101" s="187" t="s">
        <v>1376</v>
      </c>
      <c r="I101" s="187" t="s">
        <v>2180</v>
      </c>
      <c r="J101" s="189" t="s">
        <v>1956</v>
      </c>
      <c r="K101" s="190">
        <v>49</v>
      </c>
      <c r="L101" s="181"/>
      <c r="M101" s="181"/>
      <c r="P101" s="181"/>
    </row>
    <row r="102" spans="2:16" ht="39">
      <c r="B102" s="186">
        <v>98</v>
      </c>
      <c r="C102" s="187" t="s">
        <v>2181</v>
      </c>
      <c r="D102" s="187" t="s">
        <v>1377</v>
      </c>
      <c r="E102" s="188" t="s">
        <v>691</v>
      </c>
      <c r="F102" s="189" t="s">
        <v>1374</v>
      </c>
      <c r="G102" s="187" t="s">
        <v>2160</v>
      </c>
      <c r="H102" s="187" t="s">
        <v>1377</v>
      </c>
      <c r="I102" s="187" t="s">
        <v>2182</v>
      </c>
      <c r="J102" s="189" t="s">
        <v>1958</v>
      </c>
      <c r="K102" s="190">
        <v>49</v>
      </c>
      <c r="L102" s="181"/>
      <c r="M102" s="181"/>
      <c r="P102" s="181"/>
    </row>
    <row r="103" spans="2:16" ht="39">
      <c r="B103" s="186">
        <v>99</v>
      </c>
      <c r="C103" s="187" t="s">
        <v>621</v>
      </c>
      <c r="D103" s="187" t="s">
        <v>1381</v>
      </c>
      <c r="E103" s="188" t="s">
        <v>622</v>
      </c>
      <c r="F103" s="189" t="s">
        <v>1378</v>
      </c>
      <c r="G103" s="187" t="s">
        <v>1751</v>
      </c>
      <c r="H103" s="187" t="s">
        <v>1381</v>
      </c>
      <c r="I103" s="187" t="s">
        <v>1383</v>
      </c>
      <c r="J103" s="189" t="s">
        <v>1956</v>
      </c>
      <c r="K103" s="190">
        <v>50</v>
      </c>
      <c r="L103" s="181"/>
      <c r="M103" s="181"/>
      <c r="P103" s="181"/>
    </row>
    <row r="104" spans="2:16" ht="39">
      <c r="B104" s="191">
        <v>100</v>
      </c>
      <c r="C104" s="192" t="s">
        <v>2184</v>
      </c>
      <c r="D104" s="192" t="s">
        <v>2183</v>
      </c>
      <c r="E104" s="193" t="s">
        <v>631</v>
      </c>
      <c r="F104" s="194" t="s">
        <v>1378</v>
      </c>
      <c r="G104" s="192" t="s">
        <v>2185</v>
      </c>
      <c r="H104" s="192" t="s">
        <v>2183</v>
      </c>
      <c r="I104" s="192" t="s">
        <v>2186</v>
      </c>
      <c r="J104" s="194" t="s">
        <v>1958</v>
      </c>
      <c r="K104" s="195">
        <v>50</v>
      </c>
      <c r="L104" s="181"/>
      <c r="M104" s="181"/>
      <c r="P104" s="181"/>
    </row>
  </sheetData>
  <phoneticPr fontId="3" type="noConversion"/>
  <conditionalFormatting sqref="E5:F104 J5:K104">
    <cfRule type="expression" dxfId="1" priority="1">
      <formula>$J5="舒聲"</formula>
    </cfRule>
    <cfRule type="expression" dxfId="0" priority="2">
      <formula>$J5="促聲"</formula>
    </cfRule>
  </conditionalFormatting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F89F-CD15-4ECD-A1DC-3032FB089B9D}">
  <dimension ref="A1:K15"/>
  <sheetViews>
    <sheetView tabSelected="1" zoomScale="95" zoomScaleNormal="95" workbookViewId="0">
      <selection activeCell="M4" sqref="M4"/>
    </sheetView>
  </sheetViews>
  <sheetFormatPr defaultRowHeight="25.5"/>
  <cols>
    <col min="1" max="16384" width="9" style="36"/>
  </cols>
  <sheetData>
    <row r="1" spans="1:11" ht="26.25" thickBot="1">
      <c r="A1" s="156"/>
      <c r="B1" s="157" t="s">
        <v>1909</v>
      </c>
      <c r="C1" s="157" t="s">
        <v>1910</v>
      </c>
      <c r="D1" s="157" t="s">
        <v>1911</v>
      </c>
      <c r="E1" s="157" t="s">
        <v>1912</v>
      </c>
      <c r="F1" s="157" t="s">
        <v>1898</v>
      </c>
      <c r="G1" s="157" t="s">
        <v>1913</v>
      </c>
      <c r="I1" s="36" t="s">
        <v>1914</v>
      </c>
    </row>
    <row r="2" spans="1:11" ht="26.25" thickBot="1">
      <c r="A2" s="157" t="s">
        <v>1915</v>
      </c>
      <c r="B2" s="156" t="s">
        <v>1745</v>
      </c>
      <c r="C2" s="156" t="s">
        <v>1885</v>
      </c>
      <c r="D2" s="156" t="s">
        <v>1916</v>
      </c>
      <c r="E2" s="156" t="s">
        <v>1897</v>
      </c>
      <c r="F2" s="156"/>
      <c r="G2" s="158"/>
    </row>
    <row r="3" spans="1:11" ht="26.25" thickBot="1">
      <c r="A3" s="157" t="s">
        <v>1917</v>
      </c>
      <c r="B3" s="156" t="s">
        <v>1654</v>
      </c>
      <c r="C3" s="156" t="s">
        <v>1656</v>
      </c>
      <c r="D3" s="156" t="s">
        <v>1886</v>
      </c>
      <c r="E3" s="156" t="s">
        <v>1658</v>
      </c>
      <c r="F3" s="156"/>
      <c r="G3" s="156"/>
      <c r="I3" s="442" t="s">
        <v>1918</v>
      </c>
      <c r="J3" s="159" t="s">
        <v>1439</v>
      </c>
      <c r="K3" s="160" t="s">
        <v>1919</v>
      </c>
    </row>
    <row r="4" spans="1:11" ht="26.25" thickBot="1">
      <c r="A4" s="157" t="s">
        <v>1920</v>
      </c>
      <c r="B4" s="156" t="s">
        <v>1887</v>
      </c>
      <c r="C4" s="156" t="s">
        <v>1890</v>
      </c>
      <c r="D4" s="156" t="s">
        <v>1888</v>
      </c>
      <c r="E4" s="156" t="s">
        <v>1881</v>
      </c>
      <c r="F4" s="156"/>
      <c r="G4" s="156"/>
      <c r="I4" s="443"/>
      <c r="J4" s="159" t="s">
        <v>1448</v>
      </c>
      <c r="K4" s="160" t="s">
        <v>1921</v>
      </c>
    </row>
    <row r="5" spans="1:11" ht="26.25" thickBot="1">
      <c r="A5" s="157" t="s">
        <v>1922</v>
      </c>
      <c r="B5" s="156" t="s">
        <v>1882</v>
      </c>
      <c r="C5" s="156" t="s">
        <v>1889</v>
      </c>
      <c r="D5" s="156" t="s">
        <v>1883</v>
      </c>
      <c r="E5" s="156" t="s">
        <v>1651</v>
      </c>
      <c r="F5" s="156"/>
      <c r="G5" s="156"/>
      <c r="I5" s="443"/>
      <c r="J5" s="159" t="s">
        <v>1471</v>
      </c>
      <c r="K5" s="160" t="s">
        <v>1923</v>
      </c>
    </row>
    <row r="6" spans="1:11" ht="26.25" thickBot="1">
      <c r="A6" s="157" t="s">
        <v>1924</v>
      </c>
      <c r="B6" s="156" t="s">
        <v>1901</v>
      </c>
      <c r="C6" s="156" t="s">
        <v>1902</v>
      </c>
      <c r="D6" s="156" t="s">
        <v>1903</v>
      </c>
      <c r="E6" s="156" t="s">
        <v>1896</v>
      </c>
      <c r="F6" s="156"/>
      <c r="G6" s="156"/>
      <c r="I6" s="443"/>
      <c r="J6" s="159" t="s">
        <v>1925</v>
      </c>
      <c r="K6" s="160" t="s">
        <v>1926</v>
      </c>
    </row>
    <row r="7" spans="1:11" ht="26.25" thickBot="1">
      <c r="A7" s="157" t="s">
        <v>1927</v>
      </c>
      <c r="B7" s="156" t="s">
        <v>1677</v>
      </c>
      <c r="C7" s="156" t="s">
        <v>1898</v>
      </c>
      <c r="D7" s="156" t="s">
        <v>1891</v>
      </c>
      <c r="E7" s="156"/>
      <c r="F7" s="156" t="s">
        <v>1682</v>
      </c>
      <c r="G7" s="156" t="s">
        <v>1893</v>
      </c>
      <c r="I7" s="444"/>
      <c r="J7" s="159" t="s">
        <v>1928</v>
      </c>
      <c r="K7" s="160" t="s">
        <v>1929</v>
      </c>
    </row>
    <row r="8" spans="1:11" ht="26.25" thickBot="1">
      <c r="A8" s="157" t="s">
        <v>1930</v>
      </c>
      <c r="B8" s="156" t="s">
        <v>1931</v>
      </c>
      <c r="C8" s="156" t="s">
        <v>1932</v>
      </c>
      <c r="D8" s="156" t="s">
        <v>1933</v>
      </c>
      <c r="E8" s="156"/>
      <c r="F8" s="156" t="s">
        <v>1934</v>
      </c>
      <c r="G8" s="156" t="s">
        <v>1894</v>
      </c>
      <c r="I8" s="445" t="s">
        <v>1935</v>
      </c>
      <c r="J8" s="446"/>
      <c r="K8" s="160" t="s">
        <v>1936</v>
      </c>
    </row>
    <row r="9" spans="1:11" ht="26.25" thickBot="1">
      <c r="A9" s="157" t="s">
        <v>1479</v>
      </c>
      <c r="B9" s="156" t="s">
        <v>1688</v>
      </c>
      <c r="C9" s="156"/>
      <c r="D9" s="156"/>
      <c r="E9" s="156" t="s">
        <v>1937</v>
      </c>
      <c r="F9" s="156" t="s">
        <v>1684</v>
      </c>
      <c r="G9" s="156" t="s">
        <v>1904</v>
      </c>
      <c r="I9" s="442" t="s">
        <v>1938</v>
      </c>
      <c r="J9" s="159" t="s">
        <v>1939</v>
      </c>
      <c r="K9" s="160" t="s">
        <v>1940</v>
      </c>
    </row>
    <row r="10" spans="1:11" ht="26.25" thickBot="1">
      <c r="A10" s="157" t="s">
        <v>1941</v>
      </c>
      <c r="B10" s="156"/>
      <c r="C10" s="156"/>
      <c r="D10" s="156"/>
      <c r="E10" s="156" t="s">
        <v>1660</v>
      </c>
      <c r="F10" s="156"/>
      <c r="G10" s="156"/>
      <c r="I10" s="443"/>
      <c r="J10" s="159" t="s">
        <v>1942</v>
      </c>
      <c r="K10" s="160" t="s">
        <v>1943</v>
      </c>
    </row>
    <row r="11" spans="1:11" ht="26.25" thickBot="1">
      <c r="A11" s="157" t="s">
        <v>1944</v>
      </c>
      <c r="B11" s="156"/>
      <c r="C11" s="156"/>
      <c r="D11" s="156"/>
      <c r="E11" s="156" t="s">
        <v>1680</v>
      </c>
      <c r="F11" s="156"/>
      <c r="G11" s="156"/>
      <c r="I11" s="443"/>
      <c r="J11" s="159" t="s">
        <v>1945</v>
      </c>
      <c r="K11" s="160" t="s">
        <v>1946</v>
      </c>
    </row>
    <row r="12" spans="1:11" ht="26.25" thickBot="1">
      <c r="I12" s="444"/>
      <c r="J12" s="159" t="s">
        <v>1947</v>
      </c>
      <c r="K12" s="160" t="s">
        <v>1948</v>
      </c>
    </row>
    <row r="13" spans="1:11" ht="47.25" customHeight="1">
      <c r="A13" s="161" t="s">
        <v>1949</v>
      </c>
      <c r="B13" s="162"/>
      <c r="C13" s="162"/>
      <c r="D13" s="162"/>
      <c r="E13" s="162"/>
      <c r="F13" s="162"/>
      <c r="G13" s="162"/>
    </row>
    <row r="15" spans="1:11" ht="42">
      <c r="A15" s="163" t="s">
        <v>1950</v>
      </c>
      <c r="B15" s="164" t="s">
        <v>1951</v>
      </c>
    </row>
  </sheetData>
  <mergeCells count="3">
    <mergeCell ref="I3:I7"/>
    <mergeCell ref="I8:J8"/>
    <mergeCell ref="I9:I12"/>
  </mergeCells>
  <phoneticPr fontId="3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9F3A-6D7F-4717-B4F6-35D1C8F89F70}">
  <dimension ref="B2:H8"/>
  <sheetViews>
    <sheetView workbookViewId="0">
      <selection activeCell="B1" sqref="B1:B1048576"/>
    </sheetView>
  </sheetViews>
  <sheetFormatPr defaultRowHeight="16.5"/>
  <sheetData>
    <row r="2" spans="2:8">
      <c r="B2" t="s">
        <v>2371</v>
      </c>
      <c r="C2" t="s">
        <v>2372</v>
      </c>
      <c r="D2" t="s">
        <v>1432</v>
      </c>
      <c r="E2" t="s">
        <v>1433</v>
      </c>
      <c r="F2" t="s">
        <v>1434</v>
      </c>
      <c r="G2" t="s">
        <v>1435</v>
      </c>
    </row>
    <row r="3" spans="2:8">
      <c r="B3" t="s">
        <v>1439</v>
      </c>
      <c r="C3" t="s">
        <v>1440</v>
      </c>
      <c r="D3" t="s">
        <v>1441</v>
      </c>
      <c r="E3" t="s">
        <v>1442</v>
      </c>
      <c r="F3" t="s">
        <v>1443</v>
      </c>
    </row>
    <row r="4" spans="2:8">
      <c r="B4" t="s">
        <v>1448</v>
      </c>
      <c r="C4" t="s">
        <v>1449</v>
      </c>
      <c r="D4" t="s">
        <v>1450</v>
      </c>
      <c r="F4" t="s">
        <v>1451</v>
      </c>
      <c r="H4" t="s">
        <v>1452</v>
      </c>
    </row>
    <row r="5" spans="2:8">
      <c r="B5" t="s">
        <v>1456</v>
      </c>
      <c r="C5" t="s">
        <v>1457</v>
      </c>
      <c r="D5" t="s">
        <v>1458</v>
      </c>
      <c r="E5" t="s">
        <v>1459</v>
      </c>
      <c r="G5" t="s">
        <v>1460</v>
      </c>
    </row>
    <row r="6" spans="2:8">
      <c r="B6" t="s">
        <v>1463</v>
      </c>
      <c r="C6" t="s">
        <v>1464</v>
      </c>
      <c r="D6" t="s">
        <v>1465</v>
      </c>
      <c r="E6" t="s">
        <v>1466</v>
      </c>
      <c r="G6" t="s">
        <v>1467</v>
      </c>
    </row>
    <row r="7" spans="2:8">
      <c r="B7" t="s">
        <v>1471</v>
      </c>
      <c r="C7" t="s">
        <v>1472</v>
      </c>
      <c r="D7" t="s">
        <v>1473</v>
      </c>
      <c r="E7" t="s">
        <v>1474</v>
      </c>
      <c r="F7" t="s">
        <v>1475</v>
      </c>
    </row>
    <row r="8" spans="2:8">
      <c r="B8" t="s">
        <v>1479</v>
      </c>
      <c r="G8" t="s">
        <v>1480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19</vt:i4>
      </vt:variant>
      <vt:variant>
        <vt:lpstr>具名範圍</vt:lpstr>
      </vt:variant>
      <vt:variant>
        <vt:i4>4</vt:i4>
      </vt:variant>
    </vt:vector>
  </HeadingPairs>
  <TitlesOfParts>
    <vt:vector size="23" baseType="lpstr">
      <vt:lpstr>聲母與韻母清單【台語注音二式】 (2)</vt:lpstr>
      <vt:lpstr>聲母</vt:lpstr>
      <vt:lpstr>韻母</vt:lpstr>
      <vt:lpstr>聲母列表</vt:lpstr>
      <vt:lpstr>聲母列表 (2)</vt:lpstr>
      <vt:lpstr>韻母列表</vt:lpstr>
      <vt:lpstr>十五音聲母對照表</vt:lpstr>
      <vt:lpstr>台羅音節表</vt:lpstr>
      <vt:lpstr>十五音韻母對照表</vt:lpstr>
      <vt:lpstr>聲調對照表</vt:lpstr>
      <vt:lpstr>台語注音二式-音節表</vt:lpstr>
      <vt:lpstr>台語注音二式編碼表</vt:lpstr>
      <vt:lpstr>聲母與韻母清單【台語注音二式】</vt:lpstr>
      <vt:lpstr>方音符號-音節表</vt:lpstr>
      <vt:lpstr>廣韻聲母對照表</vt:lpstr>
      <vt:lpstr>廣韻韻母對照表</vt:lpstr>
      <vt:lpstr>廣韻韻母清單</vt:lpstr>
      <vt:lpstr>36字母表</vt:lpstr>
      <vt:lpstr>工作表7</vt:lpstr>
      <vt:lpstr>廣韻韻母清單!_FilterDatabase</vt:lpstr>
      <vt:lpstr>聲母!聲母碼</vt:lpstr>
      <vt:lpstr>聲母碼</vt:lpstr>
      <vt:lpstr>廣韻韻母清單!韻母對照表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2025-10-07T14:41:34Z</dcterms:created>
  <dcterms:modified xsi:type="dcterms:W3CDTF">2026-09-16T15:18:32Z</dcterms:modified>
</cp:coreProperties>
</file>