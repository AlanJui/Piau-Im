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Documents\"/>
    </mc:Choice>
  </mc:AlternateContent>
  <xr:revisionPtr revIDLastSave="0" documentId="13_ncr:1_{087B2D14-9C45-4C0D-A8B4-DA1AAF0E1727}" xr6:coauthVersionLast="47" xr6:coauthVersionMax="47" xr10:uidLastSave="{00000000-0000-0000-0000-000000000000}"/>
  <bookViews>
    <workbookView xWindow="-120" yWindow="-120" windowWidth="29040" windowHeight="15720" activeTab="2" autoFilterDateGrouping="0" xr2:uid="{00000000-000D-0000-FFFF-FFFF00000000}"/>
  </bookViews>
  <sheets>
    <sheet name="拚音聲調對照表" sheetId="1" r:id="rId1"/>
    <sheet name="聲調符號表" sheetId="4" r:id="rId2"/>
    <sheet name="閩拚聲調符號表" sheetId="12" r:id="rId3"/>
    <sheet name="注音聲調表（閩拚）" sheetId="9" r:id="rId4"/>
    <sheet name="閩拚拚音聲調表【溫韻】" sheetId="10" r:id="rId5"/>
    <sheet name="閩拚注音聲調表【東韻】" sheetId="11" r:id="rId6"/>
    <sheet name="注音聲調表（台語音標）" sheetId="8" r:id="rId7"/>
    <sheet name="聲調對照表（台語音標）" sheetId="7" r:id="rId8"/>
    <sheet name="拚音聲調表 (台語音標)" sheetId="5" r:id="rId9"/>
    <sheet name="聲調對照表（閩拚） (2)" sheetId="6" r:id="rId10"/>
    <sheet name="聲調對照表 (3)" sheetId="3" r:id="rId11"/>
    <sheet name="聲調對照表 (2)" sheetId="2" r:id="rId12"/>
  </sheets>
  <externalReferences>
    <externalReference r:id="rId13"/>
    <externalReference r:id="rId14"/>
  </externalReferences>
  <definedNames>
    <definedName name="十五音韻母">'[1]十五音-韻母'!$C$5:$C$54</definedName>
    <definedName name="十五音韻母對照表">'[1]十五音-韻母'!$B$5:$R$54</definedName>
    <definedName name="台羅韻母八音反切">'[1]台羅-韻母八音反切'!$R$5:$Y$54</definedName>
    <definedName name="白話字韻母八音反切">'[1]白話字-韻母八音反切'!$R$5:$Y$54</definedName>
    <definedName name="閩拼韻母八音反切">'[1]閩拼-韻母八音反切'!$R$5:$Y$54</definedName>
    <definedName name="聲母碼表">[1]聲母碼!$D$6:$K$22</definedName>
    <definedName name="韻母對照表">[1]韻母對照表!$B$6:$K$105</definedName>
    <definedName name="韻母碼表">[1]韻母碼!$F$5:$M$78</definedName>
    <definedName name="顯示注音輸入">[2]env!$C$10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F5" i="1"/>
  <c r="AF6" i="1"/>
  <c r="AF7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" i="1"/>
  <c r="X24" i="1"/>
  <c r="Y24" i="1"/>
  <c r="AB24" i="1" s="1"/>
  <c r="AC24" i="1" s="1"/>
  <c r="AD24" i="1" s="1"/>
  <c r="AA24" i="1"/>
  <c r="X25" i="1"/>
  <c r="Y25" i="1"/>
  <c r="AA25" i="1"/>
  <c r="AB25" i="1"/>
  <c r="AC25" i="1" s="1"/>
  <c r="X26" i="1"/>
  <c r="Y26" i="1"/>
  <c r="AB26" i="1" s="1"/>
  <c r="AC26" i="1" s="1"/>
  <c r="AD26" i="1" s="1"/>
  <c r="AA26" i="1"/>
  <c r="X27" i="1"/>
  <c r="Y27" i="1"/>
  <c r="AB27" i="1" s="1"/>
  <c r="AC27" i="1" s="1"/>
  <c r="AA27" i="1"/>
  <c r="X28" i="1"/>
  <c r="Y28" i="1"/>
  <c r="AB28" i="1" s="1"/>
  <c r="AC28" i="1" s="1"/>
  <c r="AD28" i="1" s="1"/>
  <c r="AA28" i="1"/>
  <c r="X29" i="1"/>
  <c r="Y29" i="1"/>
  <c r="AB29" i="1" s="1"/>
  <c r="AC29" i="1" s="1"/>
  <c r="AA29" i="1"/>
  <c r="X30" i="1"/>
  <c r="Y30" i="1"/>
  <c r="AB30" i="1" s="1"/>
  <c r="AC30" i="1" s="1"/>
  <c r="AD30" i="1" s="1"/>
  <c r="AA30" i="1"/>
  <c r="X12" i="1"/>
  <c r="Y12" i="1"/>
  <c r="AB12" i="1" s="1"/>
  <c r="AC12" i="1" s="1"/>
  <c r="AD12" i="1" s="1"/>
  <c r="AA12" i="1"/>
  <c r="X13" i="1"/>
  <c r="Y13" i="1"/>
  <c r="AB13" i="1" s="1"/>
  <c r="AC13" i="1" s="1"/>
  <c r="AD13" i="1" s="1"/>
  <c r="AA13" i="1"/>
  <c r="X14" i="1"/>
  <c r="Y14" i="1"/>
  <c r="AB14" i="1" s="1"/>
  <c r="AC14" i="1" s="1"/>
  <c r="AD14" i="1" s="1"/>
  <c r="AA14" i="1"/>
  <c r="X15" i="1"/>
  <c r="Y15" i="1"/>
  <c r="AB15" i="1" s="1"/>
  <c r="AC15" i="1" s="1"/>
  <c r="AD15" i="1" s="1"/>
  <c r="AA15" i="1"/>
  <c r="X16" i="1"/>
  <c r="Y16" i="1"/>
  <c r="AB16" i="1" s="1"/>
  <c r="AC16" i="1" s="1"/>
  <c r="AD16" i="1" s="1"/>
  <c r="AA16" i="1"/>
  <c r="X17" i="1"/>
  <c r="Y17" i="1"/>
  <c r="AA17" i="1"/>
  <c r="AB17" i="1"/>
  <c r="AC17" i="1" s="1"/>
  <c r="AD17" i="1" s="1"/>
  <c r="X18" i="1"/>
  <c r="Y18" i="1"/>
  <c r="AB18" i="1" s="1"/>
  <c r="AC18" i="1" s="1"/>
  <c r="AD18" i="1" s="1"/>
  <c r="AA18" i="1"/>
  <c r="X19" i="1"/>
  <c r="Y19" i="1"/>
  <c r="AB19" i="1" s="1"/>
  <c r="AC19" i="1" s="1"/>
  <c r="AD19" i="1" s="1"/>
  <c r="AA19" i="1"/>
  <c r="X20" i="1"/>
  <c r="Y20" i="1"/>
  <c r="AB20" i="1" s="1"/>
  <c r="AC20" i="1" s="1"/>
  <c r="AD20" i="1" s="1"/>
  <c r="AA20" i="1"/>
  <c r="X21" i="1"/>
  <c r="Y21" i="1"/>
  <c r="AA21" i="1"/>
  <c r="AB21" i="1"/>
  <c r="AC21" i="1" s="1"/>
  <c r="AD21" i="1" s="1"/>
  <c r="X22" i="1"/>
  <c r="Y22" i="1"/>
  <c r="AB22" i="1" s="1"/>
  <c r="AC22" i="1" s="1"/>
  <c r="AD22" i="1" s="1"/>
  <c r="AA22" i="1"/>
  <c r="X23" i="1"/>
  <c r="Y23" i="1"/>
  <c r="AB23" i="1" s="1"/>
  <c r="AC23" i="1" s="1"/>
  <c r="AA23" i="1"/>
  <c r="AA4" i="1"/>
  <c r="X4" i="1"/>
  <c r="Y4" i="1"/>
  <c r="AB4" i="1" s="1"/>
  <c r="AC4" i="1" s="1"/>
  <c r="AD4" i="1" s="1"/>
  <c r="AA5" i="1"/>
  <c r="X5" i="1"/>
  <c r="Y5" i="1"/>
  <c r="AB5" i="1" s="1"/>
  <c r="AC5" i="1" s="1"/>
  <c r="AD5" i="1" s="1"/>
  <c r="AA6" i="1"/>
  <c r="X6" i="1"/>
  <c r="Y6" i="1"/>
  <c r="AB6" i="1" s="1"/>
  <c r="AC6" i="1" s="1"/>
  <c r="AD6" i="1" s="1"/>
  <c r="AA7" i="1"/>
  <c r="X7" i="1"/>
  <c r="Y7" i="1"/>
  <c r="AB7" i="1" s="1"/>
  <c r="AC7" i="1" s="1"/>
  <c r="AA8" i="1"/>
  <c r="X8" i="1"/>
  <c r="Y8" i="1"/>
  <c r="AB8" i="1" s="1"/>
  <c r="AC8" i="1" s="1"/>
  <c r="AD8" i="1" s="1"/>
  <c r="AF8" i="1" s="1"/>
  <c r="AA9" i="1"/>
  <c r="X9" i="1"/>
  <c r="Y9" i="1"/>
  <c r="AB9" i="1" s="1"/>
  <c r="AC9" i="1" s="1"/>
  <c r="AD9" i="1" s="1"/>
  <c r="AF9" i="1" s="1"/>
  <c r="AA10" i="1"/>
  <c r="X10" i="1"/>
  <c r="Y10" i="1"/>
  <c r="AB10" i="1" s="1"/>
  <c r="AC10" i="1" s="1"/>
  <c r="AD10" i="1" s="1"/>
  <c r="AA11" i="1"/>
  <c r="X11" i="1"/>
  <c r="Y11" i="1"/>
  <c r="AB11" i="1" s="1"/>
  <c r="AC11" i="1" s="1"/>
  <c r="AD11" i="1" s="1"/>
  <c r="X3" i="1"/>
  <c r="Y3" i="1"/>
  <c r="AB3" i="1" s="1"/>
  <c r="AC3" i="1" s="1"/>
  <c r="AA3" i="1"/>
  <c r="P9" i="1"/>
  <c r="P8" i="1"/>
  <c r="P11" i="1"/>
  <c r="P10" i="1"/>
  <c r="P5" i="1"/>
  <c r="P4" i="1"/>
  <c r="P6" i="1"/>
  <c r="P3" i="1"/>
  <c r="N11" i="1"/>
  <c r="N10" i="1"/>
  <c r="N9" i="1"/>
  <c r="N8" i="1"/>
  <c r="N6" i="1"/>
  <c r="N5" i="1"/>
  <c r="N4" i="1"/>
  <c r="M11" i="1"/>
  <c r="M10" i="1"/>
  <c r="M9" i="1"/>
  <c r="M8" i="1"/>
  <c r="M7" i="1"/>
  <c r="M6" i="1"/>
  <c r="M5" i="1"/>
  <c r="M4" i="1"/>
  <c r="M3" i="1"/>
  <c r="L3" i="1"/>
  <c r="L11" i="1"/>
  <c r="L10" i="1"/>
  <c r="L9" i="1"/>
  <c r="L8" i="1"/>
  <c r="L6" i="1"/>
  <c r="L5" i="1"/>
  <c r="L4" i="1"/>
  <c r="J3" i="1"/>
  <c r="J11" i="1"/>
  <c r="J10" i="1"/>
  <c r="J5" i="1"/>
  <c r="J6" i="1"/>
  <c r="J8" i="1"/>
  <c r="J9" i="1"/>
  <c r="J4" i="1"/>
  <c r="N14" i="12"/>
  <c r="N15" i="12"/>
  <c r="N16" i="12"/>
  <c r="N17" i="12"/>
  <c r="N18" i="12"/>
  <c r="N19" i="12"/>
  <c r="N13" i="12"/>
  <c r="K18" i="12"/>
  <c r="H17" i="12"/>
  <c r="D16" i="12"/>
  <c r="K14" i="12"/>
  <c r="H13" i="12"/>
  <c r="T19" i="12"/>
  <c r="S19" i="12"/>
  <c r="R19" i="12"/>
  <c r="Q19" i="12"/>
  <c r="T18" i="12"/>
  <c r="S18" i="12"/>
  <c r="R18" i="12"/>
  <c r="Q18" i="12"/>
  <c r="T17" i="12"/>
  <c r="S17" i="12"/>
  <c r="R17" i="12"/>
  <c r="Q17" i="12"/>
  <c r="T16" i="12"/>
  <c r="S16" i="12"/>
  <c r="R16" i="12"/>
  <c r="Q16" i="12"/>
  <c r="T15" i="12"/>
  <c r="S15" i="12"/>
  <c r="R15" i="12"/>
  <c r="Q15" i="12"/>
  <c r="T14" i="12"/>
  <c r="S14" i="12"/>
  <c r="R14" i="12"/>
  <c r="Q14" i="12"/>
  <c r="T13" i="12"/>
  <c r="S13" i="12"/>
  <c r="R13" i="12"/>
  <c r="Q13" i="12"/>
  <c r="C6" i="12"/>
  <c r="C14" i="12" s="1"/>
  <c r="D6" i="12"/>
  <c r="D14" i="12" s="1"/>
  <c r="E6" i="12"/>
  <c r="E14" i="12" s="1"/>
  <c r="F6" i="12"/>
  <c r="F14" i="12" s="1"/>
  <c r="H6" i="12"/>
  <c r="H14" i="12" s="1"/>
  <c r="I6" i="12"/>
  <c r="I14" i="12" s="1"/>
  <c r="J6" i="12"/>
  <c r="J14" i="12" s="1"/>
  <c r="K6" i="12"/>
  <c r="L6" i="12"/>
  <c r="L14" i="12" s="1"/>
  <c r="C7" i="12"/>
  <c r="C15" i="12" s="1"/>
  <c r="D7" i="12"/>
  <c r="D15" i="12" s="1"/>
  <c r="E7" i="12"/>
  <c r="E15" i="12" s="1"/>
  <c r="F7" i="12"/>
  <c r="F15" i="12" s="1"/>
  <c r="H7" i="12"/>
  <c r="H15" i="12" s="1"/>
  <c r="I7" i="12"/>
  <c r="I15" i="12" s="1"/>
  <c r="J7" i="12"/>
  <c r="J15" i="12" s="1"/>
  <c r="K7" i="12"/>
  <c r="K15" i="12" s="1"/>
  <c r="L7" i="12"/>
  <c r="L15" i="12" s="1"/>
  <c r="C8" i="12"/>
  <c r="C16" i="12" s="1"/>
  <c r="D8" i="12"/>
  <c r="E8" i="12"/>
  <c r="E16" i="12" s="1"/>
  <c r="F8" i="12"/>
  <c r="F16" i="12" s="1"/>
  <c r="H8" i="12"/>
  <c r="H16" i="12" s="1"/>
  <c r="I8" i="12"/>
  <c r="I16" i="12" s="1"/>
  <c r="J8" i="12"/>
  <c r="J16" i="12" s="1"/>
  <c r="K8" i="12"/>
  <c r="K16" i="12" s="1"/>
  <c r="L8" i="12"/>
  <c r="L16" i="12" s="1"/>
  <c r="C9" i="12"/>
  <c r="C17" i="12" s="1"/>
  <c r="D9" i="12"/>
  <c r="D17" i="12" s="1"/>
  <c r="E9" i="12"/>
  <c r="E17" i="12" s="1"/>
  <c r="F9" i="12"/>
  <c r="F17" i="12" s="1"/>
  <c r="H9" i="12"/>
  <c r="I9" i="12"/>
  <c r="I17" i="12" s="1"/>
  <c r="J9" i="12"/>
  <c r="J17" i="12" s="1"/>
  <c r="K9" i="12"/>
  <c r="K17" i="12" s="1"/>
  <c r="L9" i="12"/>
  <c r="L17" i="12" s="1"/>
  <c r="C10" i="12"/>
  <c r="C18" i="12" s="1"/>
  <c r="D10" i="12"/>
  <c r="D18" i="12" s="1"/>
  <c r="E10" i="12"/>
  <c r="E18" i="12" s="1"/>
  <c r="F10" i="12"/>
  <c r="F18" i="12" s="1"/>
  <c r="H10" i="12"/>
  <c r="H18" i="12" s="1"/>
  <c r="I10" i="12"/>
  <c r="I18" i="12" s="1"/>
  <c r="J10" i="12"/>
  <c r="J18" i="12" s="1"/>
  <c r="K10" i="12"/>
  <c r="L10" i="12"/>
  <c r="L18" i="12" s="1"/>
  <c r="C11" i="12"/>
  <c r="C19" i="12" s="1"/>
  <c r="D11" i="12"/>
  <c r="D19" i="12" s="1"/>
  <c r="E11" i="12"/>
  <c r="E19" i="12" s="1"/>
  <c r="F11" i="12"/>
  <c r="F19" i="12" s="1"/>
  <c r="H11" i="12"/>
  <c r="H19" i="12" s="1"/>
  <c r="I11" i="12"/>
  <c r="I19" i="12" s="1"/>
  <c r="J11" i="12"/>
  <c r="J19" i="12" s="1"/>
  <c r="K11" i="12"/>
  <c r="K19" i="12" s="1"/>
  <c r="L11" i="12"/>
  <c r="L19" i="12" s="1"/>
  <c r="K5" i="12"/>
  <c r="K13" i="12" s="1"/>
  <c r="J5" i="12"/>
  <c r="J13" i="12" s="1"/>
  <c r="L5" i="12"/>
  <c r="L13" i="12" s="1"/>
  <c r="I5" i="12"/>
  <c r="I13" i="12" s="1"/>
  <c r="H5" i="12"/>
  <c r="F5" i="12"/>
  <c r="F13" i="12" s="1"/>
  <c r="E5" i="12"/>
  <c r="E13" i="12" s="1"/>
  <c r="D5" i="12"/>
  <c r="D13" i="12" s="1"/>
  <c r="C5" i="12"/>
  <c r="C13" i="12" s="1"/>
  <c r="T11" i="12"/>
  <c r="T10" i="12"/>
  <c r="T9" i="12"/>
  <c r="T8" i="12"/>
  <c r="T7" i="12"/>
  <c r="T6" i="12"/>
  <c r="T5" i="12"/>
  <c r="T20" i="12"/>
  <c r="S20" i="12"/>
  <c r="R20" i="12"/>
  <c r="Q20" i="12"/>
  <c r="S11" i="12"/>
  <c r="R11" i="12"/>
  <c r="Q11" i="12"/>
  <c r="S10" i="12"/>
  <c r="R10" i="12"/>
  <c r="Q10" i="12"/>
  <c r="S9" i="12"/>
  <c r="R9" i="12"/>
  <c r="Q9" i="12"/>
  <c r="S8" i="12"/>
  <c r="R8" i="12"/>
  <c r="Q8" i="12"/>
  <c r="S7" i="12"/>
  <c r="R7" i="12"/>
  <c r="Q7" i="12"/>
  <c r="S6" i="12"/>
  <c r="R6" i="12"/>
  <c r="Q6" i="12"/>
  <c r="S5" i="12"/>
  <c r="R5" i="12"/>
  <c r="Q5" i="12"/>
  <c r="I15" i="10"/>
  <c r="J15" i="10"/>
  <c r="I16" i="10"/>
  <c r="J16" i="10"/>
  <c r="I17" i="10"/>
  <c r="J17" i="10"/>
  <c r="I18" i="10"/>
  <c r="J18" i="10"/>
  <c r="I19" i="10"/>
  <c r="J19" i="10"/>
  <c r="I20" i="10"/>
  <c r="J20" i="10"/>
  <c r="I21" i="10"/>
  <c r="J21" i="10"/>
  <c r="I22" i="10"/>
  <c r="J22" i="10"/>
  <c r="S4" i="4"/>
  <c r="S5" i="4"/>
  <c r="S6" i="4"/>
  <c r="S7" i="4"/>
  <c r="S8" i="4"/>
  <c r="S9" i="4"/>
  <c r="S10" i="4"/>
  <c r="S3" i="4"/>
  <c r="J10" i="10"/>
  <c r="J9" i="10"/>
  <c r="J8" i="10"/>
  <c r="J7" i="10"/>
  <c r="J6" i="10"/>
  <c r="J5" i="10"/>
  <c r="J4" i="10"/>
  <c r="J3" i="10"/>
  <c r="I10" i="10"/>
  <c r="I9" i="10"/>
  <c r="I8" i="10"/>
  <c r="I7" i="10"/>
  <c r="I5" i="10"/>
  <c r="I4" i="10"/>
  <c r="I3" i="10"/>
  <c r="H10" i="10"/>
  <c r="H9" i="10"/>
  <c r="H8" i="10"/>
  <c r="H7" i="10"/>
  <c r="H6" i="10"/>
  <c r="H5" i="10"/>
  <c r="H4" i="10"/>
  <c r="H3" i="10"/>
  <c r="N16" i="10"/>
  <c r="N17" i="10"/>
  <c r="N18" i="10"/>
  <c r="N19" i="10"/>
  <c r="N20" i="10"/>
  <c r="N21" i="10"/>
  <c r="N22" i="10"/>
  <c r="N15" i="10"/>
  <c r="M31" i="10"/>
  <c r="M30" i="10"/>
  <c r="M29" i="10"/>
  <c r="M28" i="10"/>
  <c r="M27" i="10"/>
  <c r="M16" i="10"/>
  <c r="M17" i="10"/>
  <c r="M18" i="10"/>
  <c r="M19" i="10"/>
  <c r="M20" i="10"/>
  <c r="M21" i="10"/>
  <c r="M22" i="10"/>
  <c r="M15" i="10"/>
  <c r="O30" i="10"/>
  <c r="P30" i="10"/>
  <c r="O31" i="10"/>
  <c r="P31" i="10"/>
  <c r="O27" i="10"/>
  <c r="P27" i="10"/>
  <c r="P22" i="10"/>
  <c r="O22" i="10"/>
  <c r="P21" i="10"/>
  <c r="P20" i="10"/>
  <c r="P19" i="10"/>
  <c r="O21" i="10"/>
  <c r="O20" i="10"/>
  <c r="P15" i="10"/>
  <c r="P16" i="10"/>
  <c r="P17" i="10"/>
  <c r="P18" i="10"/>
  <c r="P28" i="10"/>
  <c r="P29" i="10"/>
  <c r="O15" i="10"/>
  <c r="O16" i="10"/>
  <c r="O17" i="10"/>
  <c r="O18" i="10"/>
  <c r="O28" i="10"/>
  <c r="O29" i="10"/>
  <c r="O19" i="10"/>
  <c r="O3" i="10"/>
  <c r="O4" i="10"/>
  <c r="O6" i="10"/>
  <c r="O7" i="10"/>
  <c r="O8" i="10"/>
  <c r="O9" i="10"/>
  <c r="O10" i="10"/>
  <c r="L11" i="11"/>
  <c r="S11" i="11" s="1"/>
  <c r="J11" i="11"/>
  <c r="Q10" i="11"/>
  <c r="P10" i="11"/>
  <c r="O10" i="11"/>
  <c r="L10" i="11"/>
  <c r="S10" i="11" s="1"/>
  <c r="J10" i="11"/>
  <c r="S9" i="11"/>
  <c r="Q9" i="11"/>
  <c r="P9" i="11"/>
  <c r="O9" i="11"/>
  <c r="L9" i="11"/>
  <c r="J9" i="11"/>
  <c r="Q8" i="11"/>
  <c r="P8" i="11"/>
  <c r="O8" i="11"/>
  <c r="L8" i="11"/>
  <c r="S8" i="11" s="1"/>
  <c r="J8" i="11"/>
  <c r="S7" i="11"/>
  <c r="Q7" i="11"/>
  <c r="P7" i="11"/>
  <c r="O7" i="11"/>
  <c r="L7" i="11"/>
  <c r="J7" i="11"/>
  <c r="Q6" i="11"/>
  <c r="P6" i="11"/>
  <c r="O6" i="11"/>
  <c r="L6" i="11"/>
  <c r="S6" i="11" s="1"/>
  <c r="S5" i="11"/>
  <c r="Q5" i="11"/>
  <c r="P5" i="11"/>
  <c r="O5" i="11"/>
  <c r="L5" i="11"/>
  <c r="J5" i="11"/>
  <c r="S4" i="11"/>
  <c r="Q4" i="11"/>
  <c r="P4" i="11"/>
  <c r="O4" i="11"/>
  <c r="L4" i="11"/>
  <c r="J4" i="11"/>
  <c r="S3" i="11"/>
  <c r="Q3" i="11"/>
  <c r="P3" i="11"/>
  <c r="O3" i="11"/>
  <c r="L3" i="11"/>
  <c r="J3" i="11"/>
  <c r="I25" i="10"/>
  <c r="J11" i="10"/>
  <c r="I11" i="10"/>
  <c r="P10" i="10"/>
  <c r="P9" i="10"/>
  <c r="P7" i="10"/>
  <c r="P6" i="10"/>
  <c r="P4" i="10"/>
  <c r="P3" i="10"/>
  <c r="J9" i="9"/>
  <c r="J10" i="9"/>
  <c r="N3" i="1"/>
  <c r="S4" i="9"/>
  <c r="S6" i="9"/>
  <c r="S7" i="9"/>
  <c r="L4" i="9"/>
  <c r="L7" i="9"/>
  <c r="L8" i="9"/>
  <c r="S8" i="9" s="1"/>
  <c r="L5" i="9"/>
  <c r="S5" i="9" s="1"/>
  <c r="L6" i="9"/>
  <c r="L10" i="9"/>
  <c r="S10" i="9" s="1"/>
  <c r="L9" i="9"/>
  <c r="S9" i="9" s="1"/>
  <c r="L11" i="9"/>
  <c r="S11" i="9" s="1"/>
  <c r="Q10" i="9"/>
  <c r="P10" i="9"/>
  <c r="O10" i="9"/>
  <c r="Q9" i="9"/>
  <c r="P9" i="9"/>
  <c r="O9" i="9"/>
  <c r="Q8" i="9"/>
  <c r="P8" i="9"/>
  <c r="O8" i="9"/>
  <c r="Q7" i="9"/>
  <c r="P7" i="9"/>
  <c r="O7" i="9"/>
  <c r="Q6" i="9"/>
  <c r="P6" i="9"/>
  <c r="O6" i="9"/>
  <c r="Q5" i="9"/>
  <c r="P5" i="9"/>
  <c r="O5" i="9"/>
  <c r="Q4" i="9"/>
  <c r="P4" i="9"/>
  <c r="O4" i="9"/>
  <c r="Q3" i="9"/>
  <c r="P3" i="9"/>
  <c r="O3" i="9"/>
  <c r="L3" i="9"/>
  <c r="S3" i="9" s="1"/>
  <c r="K3" i="8"/>
  <c r="K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J8" i="9"/>
  <c r="J7" i="9"/>
  <c r="J5" i="9"/>
  <c r="J4" i="9"/>
  <c r="J3" i="9"/>
  <c r="J11" i="9"/>
  <c r="I6" i="8"/>
  <c r="I11" i="8"/>
  <c r="I10" i="8"/>
  <c r="I9" i="8"/>
  <c r="I8" i="8"/>
  <c r="I7" i="8"/>
  <c r="I5" i="8"/>
  <c r="I4" i="8"/>
  <c r="I3" i="8"/>
  <c r="U3" i="8"/>
  <c r="I15" i="7"/>
  <c r="I10" i="7"/>
  <c r="J10" i="7"/>
  <c r="I4" i="7"/>
  <c r="I9" i="7"/>
  <c r="I6" i="7"/>
  <c r="I3" i="7"/>
  <c r="I14" i="7"/>
  <c r="I7" i="7"/>
  <c r="I8" i="7"/>
  <c r="I18" i="7"/>
  <c r="O10" i="7"/>
  <c r="N10" i="7"/>
  <c r="M10" i="7"/>
  <c r="O9" i="7"/>
  <c r="N9" i="7"/>
  <c r="M9" i="7"/>
  <c r="J9" i="7"/>
  <c r="O8" i="7"/>
  <c r="N8" i="7"/>
  <c r="M8" i="7"/>
  <c r="J6" i="7"/>
  <c r="O7" i="7"/>
  <c r="N7" i="7"/>
  <c r="M7" i="7"/>
  <c r="J8" i="7"/>
  <c r="O6" i="7"/>
  <c r="N6" i="7"/>
  <c r="M6" i="7"/>
  <c r="J5" i="7"/>
  <c r="I5" i="7"/>
  <c r="O5" i="7"/>
  <c r="N5" i="7"/>
  <c r="M5" i="7"/>
  <c r="J4" i="7"/>
  <c r="O4" i="7"/>
  <c r="N4" i="7"/>
  <c r="M4" i="7"/>
  <c r="J7" i="7"/>
  <c r="O3" i="7"/>
  <c r="N3" i="7"/>
  <c r="M3" i="7"/>
  <c r="J3" i="7"/>
  <c r="D18" i="6"/>
  <c r="R10" i="6"/>
  <c r="Q10" i="6"/>
  <c r="P10" i="6"/>
  <c r="R9" i="6"/>
  <c r="Q9" i="6"/>
  <c r="P9" i="6"/>
  <c r="D9" i="6"/>
  <c r="C9" i="6"/>
  <c r="R8" i="6"/>
  <c r="Q8" i="6"/>
  <c r="P8" i="6"/>
  <c r="D8" i="6"/>
  <c r="C8" i="6"/>
  <c r="R7" i="6"/>
  <c r="Q7" i="6"/>
  <c r="P7" i="6"/>
  <c r="D7" i="6"/>
  <c r="C7" i="6"/>
  <c r="R6" i="6"/>
  <c r="Q6" i="6"/>
  <c r="P6" i="6"/>
  <c r="D6" i="6"/>
  <c r="C6" i="6"/>
  <c r="R5" i="6"/>
  <c r="Q5" i="6"/>
  <c r="P5" i="6"/>
  <c r="D5" i="6"/>
  <c r="C5" i="6"/>
  <c r="R4" i="6"/>
  <c r="Q4" i="6"/>
  <c r="P4" i="6"/>
  <c r="D4" i="6"/>
  <c r="C4" i="6"/>
  <c r="R3" i="6"/>
  <c r="Q3" i="6"/>
  <c r="P3" i="6"/>
  <c r="D3" i="6"/>
  <c r="C3" i="6"/>
  <c r="D18" i="5"/>
  <c r="D7" i="5"/>
  <c r="D6" i="5"/>
  <c r="D5" i="5"/>
  <c r="D4" i="5"/>
  <c r="D3" i="5"/>
  <c r="R4" i="4"/>
  <c r="R5" i="4"/>
  <c r="R6" i="4"/>
  <c r="R7" i="4"/>
  <c r="R8" i="4"/>
  <c r="R9" i="4"/>
  <c r="R10" i="4"/>
  <c r="R3" i="4"/>
  <c r="Q4" i="4"/>
  <c r="Q5" i="4"/>
  <c r="Q6" i="4"/>
  <c r="Q7" i="4"/>
  <c r="Q8" i="4"/>
  <c r="Q9" i="4"/>
  <c r="Q10" i="4"/>
  <c r="Q3" i="4"/>
  <c r="M8" i="4"/>
  <c r="M6" i="4"/>
  <c r="M5" i="4"/>
  <c r="C18" i="3"/>
  <c r="C7" i="3"/>
  <c r="C6" i="3"/>
  <c r="C5" i="3"/>
  <c r="C4" i="3"/>
  <c r="C3" i="3"/>
  <c r="C18" i="2"/>
  <c r="C7" i="2"/>
  <c r="C6" i="2"/>
  <c r="C5" i="2"/>
  <c r="C4" i="2"/>
  <c r="C3" i="2"/>
  <c r="AD23" i="1" l="1"/>
  <c r="AD25" i="1"/>
  <c r="AD29" i="1"/>
  <c r="AD27" i="1"/>
  <c r="AD3" i="1"/>
  <c r="AD7" i="1"/>
</calcChain>
</file>

<file path=xl/sharedStrings.xml><?xml version="1.0" encoding="utf-8"?>
<sst xmlns="http://schemas.openxmlformats.org/spreadsheetml/2006/main" count="1104" uniqueCount="468">
  <si>
    <t>˙</t>
  </si>
  <si>
    <t>高促調</t>
    <phoneticPr fontId="1" type="noConversion"/>
  </si>
  <si>
    <t>陽入</t>
  </si>
  <si>
    <t>獨</t>
    <phoneticPr fontId="1" type="noConversion"/>
  </si>
  <si>
    <t/>
  </si>
  <si>
    <t>低促調</t>
    <phoneticPr fontId="1" type="noConversion"/>
  </si>
  <si>
    <t>陰入</t>
  </si>
  <si>
    <t>督</t>
    <phoneticPr fontId="1" type="noConversion"/>
  </si>
  <si>
    <t>陽上</t>
  </si>
  <si>
    <t>董</t>
    <phoneticPr fontId="1" type="noConversion"/>
  </si>
  <si>
    <t>ˋ</t>
  </si>
  <si>
    <t>高降調</t>
    <phoneticPr fontId="1" type="noConversion"/>
  </si>
  <si>
    <t>ˊ</t>
  </si>
  <si>
    <t>低升調</t>
    <phoneticPr fontId="1" type="noConversion"/>
  </si>
  <si>
    <t>陽平</t>
  </si>
  <si>
    <t>同</t>
    <phoneticPr fontId="1" type="noConversion"/>
  </si>
  <si>
    <t>˪</t>
  </si>
  <si>
    <t>低音調</t>
    <phoneticPr fontId="1" type="noConversion"/>
  </si>
  <si>
    <t>陰去</t>
  </si>
  <si>
    <t>棟</t>
    <phoneticPr fontId="1" type="noConversion"/>
  </si>
  <si>
    <t>˫</t>
  </si>
  <si>
    <t>中音調</t>
    <phoneticPr fontId="1" type="noConversion"/>
  </si>
  <si>
    <t>陽去</t>
  </si>
  <si>
    <t>動</t>
    <phoneticPr fontId="1" type="noConversion"/>
  </si>
  <si>
    <t>高音調</t>
    <phoneticPr fontId="1" type="noConversion"/>
  </si>
  <si>
    <t>陰平</t>
  </si>
  <si>
    <t>東</t>
    <phoneticPr fontId="1" type="noConversion"/>
  </si>
  <si>
    <t>方音符號</t>
    <phoneticPr fontId="15" type="noConversion"/>
  </si>
  <si>
    <t>閩拼方案</t>
    <phoneticPr fontId="15" type="noConversion"/>
  </si>
  <si>
    <t>台羅調號</t>
    <phoneticPr fontId="17" type="noConversion"/>
  </si>
  <si>
    <t>調值</t>
    <phoneticPr fontId="1" type="noConversion"/>
  </si>
  <si>
    <t>W調名</t>
    <phoneticPr fontId="1" type="noConversion"/>
  </si>
  <si>
    <t>四聲八調</t>
    <phoneticPr fontId="17" type="noConversion"/>
  </si>
  <si>
    <t>漢字與拼音</t>
    <phoneticPr fontId="1" type="noConversion"/>
  </si>
  <si>
    <t>tok4</t>
    <phoneticPr fontId="1" type="noConversion"/>
  </si>
  <si>
    <t>tok8</t>
    <phoneticPr fontId="1" type="noConversion"/>
  </si>
  <si>
    <t>上声/陰上</t>
    <phoneticPr fontId="1" type="noConversion"/>
  </si>
  <si>
    <t>鍵盤按鍵</t>
    <phoneticPr fontId="1" type="noConversion"/>
  </si>
  <si>
    <t>;</t>
    <phoneticPr fontId="1" type="noConversion"/>
  </si>
  <si>
    <t>-</t>
    <phoneticPr fontId="1" type="noConversion"/>
  </si>
  <si>
    <t>_</t>
    <phoneticPr fontId="1" type="noConversion"/>
  </si>
  <si>
    <t>\</t>
    <phoneticPr fontId="1" type="noConversion"/>
  </si>
  <si>
    <t>/</t>
    <phoneticPr fontId="1" type="noConversion"/>
  </si>
  <si>
    <t>[</t>
    <phoneticPr fontId="1" type="noConversion"/>
  </si>
  <si>
    <t>]</t>
    <phoneticPr fontId="1" type="noConversion"/>
  </si>
  <si>
    <t>tong1</t>
  </si>
  <si>
    <t>tong1</t>
    <phoneticPr fontId="1" type="noConversion"/>
  </si>
  <si>
    <t>tong7</t>
  </si>
  <si>
    <t>tong3</t>
  </si>
  <si>
    <t>tong2</t>
  </si>
  <si>
    <t>tong5</t>
  </si>
  <si>
    <t>調號</t>
  </si>
  <si>
    <t>組合用調號</t>
  </si>
  <si>
    <t>◌</t>
  </si>
  <si>
    <t>小寫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</si>
  <si>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</si>
  <si>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</si>
  <si>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</si>
  <si>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</si>
  <si>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</si>
  <si>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</si>
  <si>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</si>
  <si>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</si>
  <si>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</si>
  <si>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</si>
  <si>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</si>
  <si>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</si>
  <si>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</si>
  <si>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</si>
  <si>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</si>
  <si>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</si>
  <si>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</si>
  <si>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</si>
  <si>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</si>
  <si>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</si>
  <si>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</si>
  <si>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</si>
  <si>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</si>
  <si>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</si>
  <si>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</si>
  <si>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</si>
  <si>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</si>
  <si>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</si>
  <si>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</si>
  <si>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</si>
  <si>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</si>
  <si>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</si>
  <si>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大寫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</si>
  <si>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</si>
  <si>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</si>
  <si>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</si>
  <si>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</si>
  <si>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</si>
  <si>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</si>
  <si>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</si>
  <si>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</si>
  <si>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</si>
  <si>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</si>
  <si>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</si>
  <si>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</si>
  <si>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</si>
  <si>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</si>
  <si>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</si>
  <si>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</si>
  <si>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</si>
  <si>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</si>
  <si>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</si>
  <si>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</si>
  <si>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</si>
  <si>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</si>
  <si>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</si>
  <si>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</si>
  <si>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</si>
  <si>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</si>
  <si>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</si>
  <si>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</si>
  <si>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</si>
  <si>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</si>
  <si>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</si>
  <si>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</si>
  <si>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◌̂ U+0302</t>
  </si>
  <si>
    <t>◌̍ U+030D</t>
  </si>
  <si>
    <t>◌̋ U+030B</t>
  </si>
  <si>
    <t>á U+00E1</t>
  </si>
  <si>
    <t>à U+00E0</t>
  </si>
  <si>
    <t>â U+00E2</t>
  </si>
  <si>
    <t>ā U+0101</t>
  </si>
  <si>
    <t>é U+00E9</t>
  </si>
  <si>
    <t>è U+00E8</t>
  </si>
  <si>
    <t>ê U+00EA</t>
  </si>
  <si>
    <t>ě U+011B</t>
  </si>
  <si>
    <t>ē U+0113</t>
  </si>
  <si>
    <t>í U+00ED</t>
  </si>
  <si>
    <t>ì U+00EC</t>
  </si>
  <si>
    <t>î U+00EE</t>
  </si>
  <si>
    <t>ī U+012B</t>
  </si>
  <si>
    <t>ó U+00F3</t>
  </si>
  <si>
    <t>ò U+00F2</t>
  </si>
  <si>
    <t>ô U+00F4</t>
  </si>
  <si>
    <t>ō U+014D</t>
  </si>
  <si>
    <t>ő U+0151</t>
  </si>
  <si>
    <t>ú U+00FA</t>
  </si>
  <si>
    <t>ù U+00F9</t>
  </si>
  <si>
    <t>û U+00FB</t>
  </si>
  <si>
    <t>ū U+016B</t>
  </si>
  <si>
    <t>ű U+0171</t>
  </si>
  <si>
    <t>ḿ U+1E3F</t>
  </si>
  <si>
    <t>ń U+0144</t>
  </si>
  <si>
    <t>ǹ U+01F9</t>
  </si>
  <si>
    <t>ň U+0148</t>
  </si>
  <si>
    <t>Á U+00C1</t>
  </si>
  <si>
    <t>À U+00C0</t>
  </si>
  <si>
    <t>Â U+00C2</t>
  </si>
  <si>
    <t>Ā U+0100</t>
  </si>
  <si>
    <t>É U+00C9</t>
  </si>
  <si>
    <t>È U+00C8</t>
  </si>
  <si>
    <t>Ê U+00CA</t>
  </si>
  <si>
    <t>Ě U+011A</t>
  </si>
  <si>
    <t>Ē U+0112</t>
  </si>
  <si>
    <t>Í U+00CD</t>
  </si>
  <si>
    <t>Ì U+00CC</t>
  </si>
  <si>
    <t>Î U+00CE</t>
  </si>
  <si>
    <t>Ǐ U+01CF</t>
  </si>
  <si>
    <t>Ó U+00D3</t>
  </si>
  <si>
    <t>Ò U+00D2</t>
  </si>
  <si>
    <t>Ô U+00D4</t>
  </si>
  <si>
    <t>Ō U+014C</t>
  </si>
  <si>
    <t>Ő U+0150</t>
  </si>
  <si>
    <t>Ú U+00DA</t>
  </si>
  <si>
    <t>Ù U+00D9</t>
  </si>
  <si>
    <t>Û U+00DB</t>
  </si>
  <si>
    <t>Ǔ U+01D3</t>
  </si>
  <si>
    <t>Ű U+0170</t>
  </si>
  <si>
    <t>Ḿ U+1E3E</t>
  </si>
  <si>
    <t>Ń U+0143</t>
  </si>
  <si>
    <t>Ǹ U+01F8</t>
  </si>
  <si>
    <t>Ň U+0147</t>
  </si>
  <si>
    <t>◌̌ U+030C</t>
  </si>
  <si>
    <t>◌̄ U+0304</t>
  </si>
  <si>
    <t>ǎ U+01CE</t>
  </si>
  <si>
    <t>ǐ U+01D0</t>
  </si>
  <si>
    <t>ǒ U+01D2</t>
  </si>
  <si>
    <t>ǔ U+01D4</t>
  </si>
  <si>
    <t>Ǎ U+01CD</t>
  </si>
  <si>
    <t>Ǒ U+01D1</t>
  </si>
  <si>
    <t>◌́ U+0301</t>
  </si>
  <si>
    <t>◌̀ U+0300</t>
  </si>
  <si>
    <r>
      <rPr>
        <u/>
        <sz val="12"/>
        <color theme="10"/>
        <rFont val="新細明體"/>
        <family val="2"/>
      </rPr>
      <t>Ī</t>
    </r>
    <r>
      <rPr>
        <u/>
        <sz val="12"/>
        <color theme="10"/>
        <rFont val="Noto Sans TC Medium"/>
        <family val="2"/>
      </rPr>
      <t> U+012A</t>
    </r>
  </si>
  <si>
    <r>
      <rPr>
        <u/>
        <sz val="12"/>
        <color theme="10"/>
        <rFont val="新細明體"/>
        <family val="2"/>
      </rPr>
      <t>Ū</t>
    </r>
    <r>
      <rPr>
        <u/>
        <sz val="12"/>
        <color theme="10"/>
        <rFont val="Noto Sans TC Medium"/>
        <family val="2"/>
      </rPr>
      <t> U+016A</t>
    </r>
  </si>
  <si>
    <r>
      <t>註：使用 o͘ 與 </t>
    </r>
    <r>
      <rPr>
        <u/>
        <sz val="12"/>
        <color theme="10"/>
        <rFont val="新細明體"/>
        <family val="2"/>
      </rPr>
      <t>ⁿ</t>
    </r>
    <r>
      <rPr>
        <u/>
        <sz val="12"/>
        <color theme="10"/>
        <rFont val="Noto Sans TC Medium"/>
        <family val="2"/>
      </rPr>
      <t> 的台羅傳統版序列，請參考白話字條目。</t>
    </r>
  </si>
  <si>
    <t>Hex</t>
    <phoneticPr fontId="1" type="noConversion"/>
  </si>
  <si>
    <t>Unichar</t>
    <phoneticPr fontId="1" type="noConversion"/>
  </si>
  <si>
    <t>tóng</t>
  </si>
  <si>
    <t>tòng</t>
  </si>
  <si>
    <t>tông</t>
  </si>
  <si>
    <t>tǒng</t>
  </si>
  <si>
    <t>tōng</t>
  </si>
  <si>
    <t>to̍ng</t>
  </si>
  <si>
    <t>tőng</t>
  </si>
  <si>
    <t>閩拼調號</t>
    <phoneticPr fontId="15" type="noConversion"/>
  </si>
  <si>
    <t>；</t>
    <phoneticPr fontId="1" type="noConversion"/>
  </si>
  <si>
    <t>聲調按鍵</t>
    <phoneticPr fontId="1" type="noConversion"/>
  </si>
  <si>
    <t>漢字</t>
    <phoneticPr fontId="1" type="noConversion"/>
  </si>
  <si>
    <t>閩拼音標</t>
    <phoneticPr fontId="1" type="noConversion"/>
  </si>
  <si>
    <t>按鍵輸入</t>
    <phoneticPr fontId="17" type="noConversion"/>
  </si>
  <si>
    <t>tong6</t>
  </si>
  <si>
    <t>tong8</t>
  </si>
  <si>
    <t>輕聲</t>
    <phoneticPr fontId="1" type="noConversion"/>
  </si>
  <si>
    <t>輕聲調</t>
    <phoneticPr fontId="1" type="noConversion"/>
  </si>
  <si>
    <t>啊</t>
    <phoneticPr fontId="1" type="noConversion"/>
  </si>
  <si>
    <r>
      <t>◌</t>
    </r>
    <r>
      <rPr>
        <u/>
        <sz val="12"/>
        <color theme="10"/>
        <rFont val="Arial"/>
        <family val="2"/>
        <charset val="254"/>
      </rPr>
      <t>̍</t>
    </r>
    <r>
      <rPr>
        <u/>
        <sz val="12"/>
        <color theme="10"/>
        <rFont val="Noto Sans TC Medium"/>
        <family val="2"/>
      </rPr>
      <t> U+030D</t>
    </r>
    <phoneticPr fontId="1" type="noConversion"/>
  </si>
  <si>
    <t>ah0</t>
    <phoneticPr fontId="1" type="noConversion"/>
  </si>
  <si>
    <t>陽上</t>
    <phoneticPr fontId="1" type="noConversion"/>
  </si>
  <si>
    <t>三連音
第1音節</t>
    <phoneticPr fontId="1" type="noConversion"/>
  </si>
  <si>
    <t>ㄊㆲ</t>
  </si>
  <si>
    <t>ㄊㆲˋ</t>
  </si>
  <si>
    <t>ㄊㆲ˪</t>
  </si>
  <si>
    <t>tok4</t>
  </si>
  <si>
    <t>ㄊㆲˊ</t>
  </si>
  <si>
    <t>ㄊㆲ˫</t>
  </si>
  <si>
    <t>tok8</t>
  </si>
  <si>
    <t>調號</t>
    <phoneticPr fontId="17" type="noConversion"/>
  </si>
  <si>
    <t>四聲八調</t>
    <phoneticPr fontId="1" type="noConversion"/>
  </si>
  <si>
    <t>台語音標</t>
    <phoneticPr fontId="15" type="noConversion"/>
  </si>
  <si>
    <t>陰平 (ㄚ)</t>
    <phoneticPr fontId="1" type="noConversion"/>
  </si>
  <si>
    <t>陰上 (ㄚˋ)</t>
    <phoneticPr fontId="1" type="noConversion"/>
  </si>
  <si>
    <t>黨</t>
    <phoneticPr fontId="1" type="noConversion"/>
  </si>
  <si>
    <t>陰去 (ㄚ˪)</t>
    <phoneticPr fontId="1" type="noConversion"/>
  </si>
  <si>
    <t>陽平 (ㄚˊ)</t>
    <phoneticPr fontId="1" type="noConversion"/>
  </si>
  <si>
    <t>陽上 (ㄚˋ)</t>
    <phoneticPr fontId="1" type="noConversion"/>
  </si>
  <si>
    <t>陽去 (ㄚ˫)</t>
    <phoneticPr fontId="1" type="noConversion"/>
  </si>
  <si>
    <t>洞</t>
    <phoneticPr fontId="1" type="noConversion"/>
  </si>
  <si>
    <t>毒</t>
    <phoneticPr fontId="1" type="noConversion"/>
  </si>
  <si>
    <t>陰入 (ㄚㆷ)</t>
    <phoneticPr fontId="1" type="noConversion"/>
  </si>
  <si>
    <t>陽入 (ㄚㆷ˙)</t>
    <phoneticPr fontId="1" type="noConversion"/>
  </si>
  <si>
    <t>文字</t>
  </si>
  <si>
    <t>用途</t>
  </si>
  <si>
    <t>備註</t>
  </si>
  <si>
    <t>ㆻ</t>
  </si>
  <si>
    <t>入聲韻尾-k</t>
  </si>
  <si>
    <t>ㆴ˙ㆵ˙ㆻ˙ㆷ˙</t>
  </si>
  <si>
    <t>第8聲調號</t>
  </si>
  <si>
    <t>寫在入聲韻尾後方</t>
  </si>
  <si>
    <t>第2聲調號</t>
  </si>
  <si>
    <t>第3聲調號</t>
  </si>
  <si>
    <t>第5聲調號</t>
  </si>
  <si>
    <t>第7聲調號</t>
  </si>
  <si>
    <t>輕聲</t>
  </si>
  <si>
    <t>寫在音節前方或韻母後方</t>
  </si>
  <si>
    <t>Unicode表現</t>
  </si>
  <si>
    <t>Unicode序列</t>
  </si>
  <si>
    <t>U+31BBㆻ</t>
  </si>
  <si>
    <t>原誤收ㆶ字，Unicode 13 (2020)增補</t>
  </si>
  <si>
    <t>U+02D9˙</t>
  </si>
  <si>
    <t>U+02CBˋ</t>
  </si>
  <si>
    <t>U+02EA˪</t>
  </si>
  <si>
    <t>U+02CAˊ</t>
  </si>
  <si>
    <t>U+02EB˫</t>
  </si>
  <si>
    <t>輕聲 (ㄚㆷ˙)</t>
    <phoneticPr fontId="1" type="noConversion"/>
  </si>
  <si>
    <t>方音符號</t>
    <phoneticPr fontId="17" type="noConversion"/>
  </si>
  <si>
    <t>ㄚㆷ˙</t>
    <phoneticPr fontId="1" type="noConversion"/>
  </si>
  <si>
    <t>ㄊㆦㆻ</t>
    <phoneticPr fontId="1" type="noConversion"/>
  </si>
  <si>
    <t>ㄊㆦㆻ˙</t>
    <phoneticPr fontId="1" type="noConversion"/>
  </si>
  <si>
    <t>'</t>
    <phoneticPr fontId="1" type="noConversion"/>
  </si>
  <si>
    <t>陰平(ㄚ̄)</t>
  </si>
  <si>
    <t>陽平(ㄚ́)</t>
  </si>
  <si>
    <t>陰上(ㄚ̌)</t>
  </si>
  <si>
    <t>陽上(ㄚ̄)</t>
  </si>
  <si>
    <t>陰去(ㄚ̀)</t>
  </si>
  <si>
    <t>陽去(ㄚ̂)</t>
  </si>
  <si>
    <t>陰入(ㄚㆷ̄)</t>
  </si>
  <si>
    <t>陽入(ㄚㆷ́)</t>
  </si>
  <si>
    <t>輕聲(ㄚㆷ˙)</t>
  </si>
  <si>
    <t>陰平 ㄚ̄</t>
  </si>
  <si>
    <t>陽平 ㄚ́</t>
  </si>
  <si>
    <t>陰上 ㄚ̌</t>
  </si>
  <si>
    <t>陽上 ㄚ̄</t>
  </si>
  <si>
    <t>陰去 ㄚ̀</t>
  </si>
  <si>
    <t>陽去 ㄚ̂</t>
  </si>
  <si>
    <t>陰入 ㄚㆷ̄</t>
  </si>
  <si>
    <t>陽入 ㄚㆷ́</t>
  </si>
  <si>
    <t>輕聲 ㄚㆷ˙</t>
  </si>
  <si>
    <t>閩拚音標</t>
    <phoneticPr fontId="15" type="noConversion"/>
  </si>
  <si>
    <t>:</t>
    <phoneticPr fontId="1" type="noConversion"/>
  </si>
  <si>
    <t>輕聲調</t>
  </si>
  <si>
    <t>閩拼調號</t>
  </si>
  <si>
    <t>W 調名</t>
    <phoneticPr fontId="1" type="noConversion"/>
  </si>
  <si>
    <t>高音調</t>
  </si>
  <si>
    <t>低升調</t>
  </si>
  <si>
    <t>高降調</t>
  </si>
  <si>
    <t>低音調</t>
  </si>
  <si>
    <t>中音調</t>
  </si>
  <si>
    <t>低促調</t>
  </si>
  <si>
    <t>高促調</t>
  </si>
  <si>
    <t>啊</t>
  </si>
  <si>
    <t>上声/陽上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</si>
  <si>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</si>
  <si>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</si>
  <si>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</si>
  <si>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tong6</t>
    <phoneticPr fontId="1" type="noConversion"/>
  </si>
  <si>
    <t>tok7</t>
    <phoneticPr fontId="1" type="noConversion"/>
  </si>
  <si>
    <t>君</t>
  </si>
  <si>
    <t>群</t>
  </si>
  <si>
    <t>滾</t>
  </si>
  <si>
    <t>滾</t>
    <phoneticPr fontId="1" type="noConversion"/>
  </si>
  <si>
    <t>棍</t>
  </si>
  <si>
    <t>骨</t>
  </si>
  <si>
    <t>滑</t>
  </si>
  <si>
    <t>U+0301</t>
  </si>
  <si>
    <t>U+0304</t>
  </si>
  <si>
    <t>U+030C</t>
  </si>
  <si>
    <t>U+0300</t>
  </si>
  <si>
    <t>U+030D</t>
  </si>
  <si>
    <t>U+030B</t>
  </si>
  <si>
    <t>U+0302</t>
    <phoneticPr fontId="1" type="noConversion"/>
  </si>
  <si>
    <t>U+0307</t>
    <phoneticPr fontId="1" type="noConversion"/>
  </si>
  <si>
    <t>U+030A</t>
    <phoneticPr fontId="1" type="noConversion"/>
  </si>
  <si>
    <t>U+0325</t>
    <phoneticPr fontId="1" type="noConversion"/>
  </si>
  <si>
    <t>U+0330</t>
    <phoneticPr fontId="1" type="noConversion"/>
  </si>
  <si>
    <t>陰平</t>
    <phoneticPr fontId="1" type="noConversion"/>
  </si>
  <si>
    <t>陰入</t>
    <phoneticPr fontId="1" type="noConversion"/>
  </si>
  <si>
    <t>陽入</t>
    <phoneticPr fontId="1" type="noConversion"/>
  </si>
  <si>
    <t>陽去</t>
    <phoneticPr fontId="1" type="noConversion"/>
  </si>
  <si>
    <t>陰去</t>
    <phoneticPr fontId="1" type="noConversion"/>
  </si>
  <si>
    <t>上聲</t>
    <phoneticPr fontId="1" type="noConversion"/>
  </si>
  <si>
    <t>陽平</t>
    <phoneticPr fontId="1" type="noConversion"/>
  </si>
  <si>
    <t>調號</t>
    <phoneticPr fontId="1" type="noConversion"/>
  </si>
  <si>
    <t>調名</t>
    <phoneticPr fontId="1" type="noConversion"/>
  </si>
  <si>
    <t>閩拚音標</t>
    <phoneticPr fontId="1" type="noConversion"/>
  </si>
  <si>
    <t>羅馬字母</t>
    <phoneticPr fontId="1" type="noConversion"/>
  </si>
  <si>
    <t>Unicode</t>
    <phoneticPr fontId="1" type="noConversion"/>
  </si>
  <si>
    <t>Unicode調符</t>
    <phoneticPr fontId="1" type="noConversion"/>
  </si>
  <si>
    <t>U+030B</t>
    <phoneticPr fontId="1" type="noConversion"/>
  </si>
  <si>
    <t>調符編碼</t>
    <phoneticPr fontId="1" type="noConversion"/>
  </si>
  <si>
    <t>U+0304</t>
    <phoneticPr fontId="1" type="noConversion"/>
  </si>
  <si>
    <t>U+0301</t>
    <phoneticPr fontId="1" type="noConversion"/>
  </si>
  <si>
    <t>U+030C</t>
    <phoneticPr fontId="1" type="noConversion"/>
  </si>
  <si>
    <t>U+0300</t>
    <phoneticPr fontId="1" type="noConversion"/>
  </si>
  <si>
    <t>東</t>
  </si>
  <si>
    <t>黨</t>
  </si>
  <si>
    <t>棟</t>
  </si>
  <si>
    <t>督</t>
  </si>
  <si>
    <t>同</t>
  </si>
  <si>
    <t>動</t>
  </si>
  <si>
    <t>洞</t>
  </si>
  <si>
    <t>毒</t>
  </si>
  <si>
    <t>U+0308</t>
    <phoneticPr fontId="1" type="noConversion"/>
  </si>
  <si>
    <t>拚音調符編碼</t>
  </si>
  <si>
    <t>拚音調符編碼</t>
    <phoneticPr fontId="1" type="noConversion"/>
  </si>
  <si>
    <t>注音調符編碼</t>
    <phoneticPr fontId="1" type="noConversion"/>
  </si>
  <si>
    <t>帶調閩拚</t>
    <phoneticPr fontId="1" type="noConversion"/>
  </si>
  <si>
    <t>帶調拚音字母</t>
    <phoneticPr fontId="1" type="noConversion"/>
  </si>
  <si>
    <t>方音符號</t>
  </si>
  <si>
    <t>按鍵輸入</t>
  </si>
  <si>
    <t>ㄊㆦㆻ</t>
  </si>
  <si>
    <t>ㄚㆷ˙</t>
  </si>
  <si>
    <t>ㄊㆲ:</t>
  </si>
  <si>
    <t>ㄊㆲ6</t>
  </si>
  <si>
    <t>ㄊㆲ4</t>
  </si>
  <si>
    <t>ㄊㆲ3</t>
  </si>
  <si>
    <t>ㄊㆲ5</t>
  </si>
  <si>
    <t>ㄊㆦㆻ[</t>
  </si>
  <si>
    <t>ㄊㆦㆻ]</t>
  </si>
  <si>
    <t>ㄚㆷ7</t>
  </si>
  <si>
    <t>帶調注音符號</t>
    <phoneticPr fontId="1" type="noConversion"/>
  </si>
  <si>
    <t>U+02D9</t>
    <phoneticPr fontId="1" type="noConversion"/>
  </si>
  <si>
    <t>ㄊㆲ˪</t>
    <phoneticPr fontId="1" type="noConversion"/>
  </si>
  <si>
    <t>ㄊㆲ˫</t>
    <phoneticPr fontId="1" type="noConversion"/>
  </si>
  <si>
    <t>U+02EA</t>
    <phoneticPr fontId="1" type="noConversion"/>
  </si>
  <si>
    <t>U+02EB</t>
    <phoneticPr fontId="1" type="noConversion"/>
  </si>
  <si>
    <t>拚音聲調按鍵</t>
    <phoneticPr fontId="1" type="noConversion"/>
  </si>
  <si>
    <t>注音聲調按鍵</t>
    <phoneticPr fontId="1" type="noConversion"/>
  </si>
  <si>
    <t>:</t>
  </si>
  <si>
    <t>4</t>
  </si>
  <si>
    <t>3</t>
  </si>
  <si>
    <t>[</t>
  </si>
  <si>
    <t>7</t>
  </si>
  <si>
    <t>6</t>
    <phoneticPr fontId="1" type="noConversion"/>
  </si>
  <si>
    <t>5</t>
    <phoneticPr fontId="1" type="noConversion"/>
  </si>
  <si>
    <t>台語音標</t>
    <phoneticPr fontId="1" type="noConversion"/>
  </si>
  <si>
    <t>tong7</t>
    <phoneticPr fontId="1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</si>
  <si>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1" type="noConversion"/>
  </si>
  <si>
    <t>W調序</t>
    <phoneticPr fontId="1" type="noConversion"/>
  </si>
  <si>
    <t>高響度元音</t>
    <phoneticPr fontId="1" type="noConversion"/>
  </si>
  <si>
    <t>o</t>
    <phoneticPr fontId="1" type="noConversion"/>
  </si>
  <si>
    <t>元音序</t>
    <phoneticPr fontId="1" type="noConversion"/>
  </si>
  <si>
    <t>帶調符元音</t>
    <phoneticPr fontId="1" type="noConversion"/>
  </si>
  <si>
    <t>無調音標</t>
    <phoneticPr fontId="1" type="noConversion"/>
  </si>
  <si>
    <t>gun3</t>
    <phoneticPr fontId="1" type="noConversion"/>
  </si>
  <si>
    <t>腰</t>
    <phoneticPr fontId="1" type="noConversion"/>
  </si>
  <si>
    <t>u</t>
    <phoneticPr fontId="1" type="noConversion"/>
  </si>
  <si>
    <t>a</t>
    <phoneticPr fontId="1" type="noConversion"/>
  </si>
  <si>
    <t>i1</t>
    <phoneticPr fontId="1" type="noConversion"/>
  </si>
  <si>
    <t>i</t>
    <phoneticPr fontId="1" type="noConversion"/>
  </si>
  <si>
    <t>伊</t>
    <phoneticPr fontId="1" type="noConversion"/>
  </si>
  <si>
    <t>音</t>
    <phoneticPr fontId="1" type="noConversion"/>
  </si>
  <si>
    <t>im1</t>
    <phoneticPr fontId="1" type="noConversion"/>
  </si>
  <si>
    <t>油</t>
    <phoneticPr fontId="1" type="noConversion"/>
  </si>
  <si>
    <t>yim1</t>
    <phoneticPr fontId="1" type="noConversion"/>
  </si>
  <si>
    <t>yi1</t>
    <phoneticPr fontId="1" type="noConversion"/>
  </si>
  <si>
    <t>dong2</t>
    <phoneticPr fontId="1" type="noConversion"/>
  </si>
  <si>
    <t>kun2</t>
    <phoneticPr fontId="1" type="noConversion"/>
  </si>
  <si>
    <t>iau1</t>
    <phoneticPr fontId="1" type="noConversion"/>
  </si>
  <si>
    <t>yao1</t>
    <phoneticPr fontId="1" type="noConversion"/>
  </si>
  <si>
    <t>iu5</t>
    <phoneticPr fontId="1" type="noConversion"/>
  </si>
  <si>
    <t>un1</t>
    <phoneticPr fontId="1" type="noConversion"/>
  </si>
  <si>
    <t>溫</t>
    <phoneticPr fontId="1" type="noConversion"/>
  </si>
  <si>
    <t>央</t>
    <phoneticPr fontId="1" type="noConversion"/>
  </si>
  <si>
    <t>yong1</t>
    <phoneticPr fontId="1" type="noConversion"/>
  </si>
  <si>
    <t>iong1</t>
    <phoneticPr fontId="1" type="noConversion"/>
  </si>
  <si>
    <t>彎</t>
    <phoneticPr fontId="1" type="noConversion"/>
  </si>
  <si>
    <t>uan1</t>
    <phoneticPr fontId="1" type="noConversion"/>
  </si>
  <si>
    <t>wan1</t>
    <phoneticPr fontId="1" type="noConversion"/>
  </si>
  <si>
    <t>春</t>
    <phoneticPr fontId="1" type="noConversion"/>
  </si>
  <si>
    <t>眠</t>
    <phoneticPr fontId="1" type="noConversion"/>
  </si>
  <si>
    <t>不</t>
    <phoneticPr fontId="1" type="noConversion"/>
  </si>
  <si>
    <t>覺</t>
    <phoneticPr fontId="1" type="noConversion"/>
  </si>
  <si>
    <t>曉</t>
    <phoneticPr fontId="1" type="noConversion"/>
  </si>
  <si>
    <t>處</t>
    <phoneticPr fontId="1" type="noConversion"/>
  </si>
  <si>
    <t>聞</t>
    <phoneticPr fontId="1" type="noConversion"/>
  </si>
  <si>
    <t>啼</t>
    <phoneticPr fontId="1" type="noConversion"/>
  </si>
  <si>
    <t>鳥</t>
    <phoneticPr fontId="1" type="noConversion"/>
  </si>
  <si>
    <t>夜</t>
    <phoneticPr fontId="1" type="noConversion"/>
  </si>
  <si>
    <t>來</t>
    <phoneticPr fontId="1" type="noConversion"/>
  </si>
  <si>
    <t>風</t>
    <phoneticPr fontId="1" type="noConversion"/>
  </si>
  <si>
    <t>雨</t>
    <phoneticPr fontId="1" type="noConversion"/>
  </si>
  <si>
    <t>聲</t>
    <phoneticPr fontId="1" type="noConversion"/>
  </si>
  <si>
    <t>花</t>
    <phoneticPr fontId="1" type="noConversion"/>
  </si>
  <si>
    <t>落</t>
    <phoneticPr fontId="1" type="noConversion"/>
  </si>
  <si>
    <t>知</t>
    <phoneticPr fontId="1" type="noConversion"/>
  </si>
  <si>
    <t>多</t>
    <phoneticPr fontId="1" type="noConversion"/>
  </si>
  <si>
    <t>少</t>
    <phoneticPr fontId="1" type="noConversion"/>
  </si>
  <si>
    <t>cun1</t>
    <phoneticPr fontId="1" type="noConversion"/>
  </si>
  <si>
    <t>bbian2</t>
    <phoneticPr fontId="1" type="noConversion"/>
  </si>
  <si>
    <t>but7</t>
    <phoneticPr fontId="1" type="noConversion"/>
  </si>
  <si>
    <t>gak7</t>
    <phoneticPr fontId="1" type="noConversion"/>
  </si>
  <si>
    <t>hiao3</t>
    <phoneticPr fontId="1" type="noConversion"/>
  </si>
  <si>
    <t>cu3</t>
    <phoneticPr fontId="1" type="noConversion"/>
  </si>
  <si>
    <t>bbun2</t>
    <phoneticPr fontId="1" type="noConversion"/>
  </si>
  <si>
    <t>ti2</t>
    <phoneticPr fontId="1" type="noConversion"/>
  </si>
  <si>
    <t>lniao3</t>
    <phoneticPr fontId="1" type="noConversion"/>
  </si>
  <si>
    <t>ya3</t>
    <phoneticPr fontId="1" type="noConversion"/>
  </si>
  <si>
    <t>lai2</t>
    <phoneticPr fontId="1" type="noConversion"/>
  </si>
  <si>
    <t>hong1</t>
    <phoneticPr fontId="1" type="noConversion"/>
  </si>
  <si>
    <t>wu3</t>
    <phoneticPr fontId="1" type="noConversion"/>
  </si>
  <si>
    <t>sing1</t>
    <phoneticPr fontId="1" type="noConversion"/>
  </si>
  <si>
    <t>hua1</t>
    <phoneticPr fontId="1" type="noConversion"/>
  </si>
  <si>
    <t>lok8</t>
    <phoneticPr fontId="1" type="noConversion"/>
  </si>
  <si>
    <t>di1</t>
    <phoneticPr fontId="1" type="noConversion"/>
  </si>
  <si>
    <t>do1</t>
    <phoneticPr fontId="1" type="noConversion"/>
  </si>
  <si>
    <t>siao5</t>
    <phoneticPr fontId="1" type="noConversion"/>
  </si>
  <si>
    <t>bian5</t>
    <phoneticPr fontId="1" type="noConversion"/>
  </si>
  <si>
    <t>put4</t>
    <phoneticPr fontId="1" type="noConversion"/>
  </si>
  <si>
    <t>kak4</t>
    <phoneticPr fontId="1" type="noConversion"/>
  </si>
  <si>
    <t>hiau2</t>
    <phoneticPr fontId="1" type="noConversion"/>
  </si>
  <si>
    <t>bun5</t>
    <phoneticPr fontId="1" type="noConversion"/>
  </si>
  <si>
    <t>thi5</t>
    <phoneticPr fontId="1" type="noConversion"/>
  </si>
  <si>
    <t>ia2</t>
    <phoneticPr fontId="1" type="noConversion"/>
  </si>
  <si>
    <t>lai5</t>
    <phoneticPr fontId="1" type="noConversion"/>
  </si>
  <si>
    <t>u2</t>
    <phoneticPr fontId="1" type="noConversion"/>
  </si>
  <si>
    <t>ti1</t>
    <phoneticPr fontId="1" type="noConversion"/>
  </si>
  <si>
    <t>to1</t>
    <phoneticPr fontId="1" type="noConversion"/>
  </si>
  <si>
    <t>siau3</t>
    <phoneticPr fontId="1" type="noConversion"/>
  </si>
  <si>
    <t>niau2</t>
    <phoneticPr fontId="1" type="noConversion"/>
  </si>
  <si>
    <t>yu2</t>
    <phoneticPr fontId="1" type="noConversion"/>
  </si>
  <si>
    <t>wun1</t>
    <phoneticPr fontId="1" type="noConversion"/>
  </si>
  <si>
    <t>tshun1</t>
    <phoneticPr fontId="1" type="noConversion"/>
  </si>
  <si>
    <t>tshu2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</si>
</sst>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rgb="FF000000"/>
      <name val="新細明體"/>
      <family val="1"/>
      <charset val="136"/>
      <scheme val="minor"/>
    </font>
    <font>
      <sz val="16"/>
      <color theme="1"/>
      <name val="Noto Sans TC Medium"/>
      <family val="2"/>
      <charset val="136"/>
    </font>
    <font>
      <sz val="16"/>
      <color theme="1"/>
      <name val="Noto Sans TC"/>
      <family val="2"/>
      <charset val="136"/>
    </font>
    <font>
      <sz val="18"/>
      <color theme="1"/>
      <name val="Noto Sans TC"/>
      <family val="2"/>
    </font>
    <font>
      <sz val="10"/>
      <color rgb="FF000000"/>
      <name val="Linux Libertine G"/>
      <family val="2"/>
    </font>
    <font>
      <sz val="16"/>
      <name val="Arial"/>
      <family val="2"/>
    </font>
    <font>
      <sz val="16"/>
      <color theme="1"/>
      <name val="Noto Serif TC Black"/>
      <family val="1"/>
    </font>
    <font>
      <sz val="16"/>
      <color theme="0" tint="-0.249977111117893"/>
      <name val="Noto Sans TC Medium"/>
      <family val="2"/>
      <charset val="136"/>
    </font>
    <font>
      <sz val="18"/>
      <color theme="0" tint="-0.249977111117893"/>
      <name val="Noto Sans TC"/>
      <family val="2"/>
    </font>
    <font>
      <sz val="16"/>
      <color theme="0" tint="-0.249977111117893"/>
      <name val="Arial"/>
      <family val="2"/>
    </font>
    <font>
      <sz val="16"/>
      <color theme="0" tint="-0.249977111117893"/>
      <name val="Noto Serif TC Black"/>
      <family val="1"/>
    </font>
    <font>
      <sz val="16"/>
      <color theme="1"/>
      <name val="Noto Serif TC Black"/>
      <family val="1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36"/>
      <color theme="0" tint="-0.249977111117893"/>
      <name val="Noto Serif TC Black"/>
      <family val="1"/>
      <charset val="136"/>
    </font>
    <font>
      <sz val="36"/>
      <color theme="1"/>
      <name val="字咍源雲明體 台羅方音 L"/>
      <family val="1"/>
      <charset val="136"/>
    </font>
    <font>
      <b/>
      <sz val="28"/>
      <color rgb="FFFF0000"/>
      <name val="Arial"/>
      <family val="2"/>
    </font>
    <font>
      <sz val="28"/>
      <color theme="1"/>
      <name val="Noto Sans TC"/>
      <family val="2"/>
    </font>
    <font>
      <sz val="36"/>
      <color theme="1"/>
      <name val="Noto Sans TC Medium"/>
      <family val="2"/>
      <charset val="136"/>
    </font>
    <font>
      <sz val="36"/>
      <color theme="1"/>
      <name val="Noto Sans TC Medium"/>
      <family val="2"/>
    </font>
    <font>
      <sz val="22"/>
      <name val="Arial"/>
      <family val="2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Noto Sans TC Medium"/>
      <family val="2"/>
      <charset val="136"/>
    </font>
    <font>
      <b/>
      <sz val="12"/>
      <color rgb="FF0C0301"/>
      <name val="Noto Sans TC Medium"/>
      <family val="2"/>
      <charset val="136"/>
    </font>
    <font>
      <u/>
      <sz val="12"/>
      <color theme="10"/>
      <name val="Noto Sans TC Medium"/>
      <family val="2"/>
    </font>
    <font>
      <sz val="12"/>
      <color rgb="FF0C0301"/>
      <name val="Noto Sans TC Medium"/>
      <family val="2"/>
    </font>
    <font>
      <b/>
      <sz val="12"/>
      <color rgb="FF0C0301"/>
      <name val="Noto Sans TC Medium"/>
      <family val="2"/>
    </font>
    <font>
      <u/>
      <sz val="12"/>
      <color theme="10"/>
      <name val="新細明體"/>
      <family val="2"/>
    </font>
    <font>
      <sz val="18"/>
      <color theme="1"/>
      <name val="Noto Sans TC Medium"/>
      <family val="2"/>
      <charset val="136"/>
    </font>
    <font>
      <sz val="18"/>
      <color theme="1"/>
      <name val="新細明體"/>
      <family val="2"/>
      <charset val="136"/>
      <scheme val="minor"/>
    </font>
    <font>
      <sz val="36"/>
      <color theme="1"/>
      <name val="Noto Serif TC Medium"/>
      <family val="1"/>
      <charset val="136"/>
    </font>
    <font>
      <sz val="24"/>
      <color theme="1"/>
      <name val="字咍源雲明體 台羅方音 L"/>
      <family val="1"/>
      <charset val="136"/>
    </font>
    <font>
      <b/>
      <sz val="24"/>
      <color theme="1"/>
      <name val="字咍源雲明體 台羅方音 L"/>
      <family val="1"/>
      <charset val="136"/>
    </font>
    <font>
      <u/>
      <sz val="12"/>
      <color theme="10"/>
      <name val="Arial"/>
      <family val="2"/>
      <charset val="254"/>
    </font>
    <font>
      <b/>
      <sz val="36"/>
      <color rgb="FFFF0000"/>
      <name val="Arial"/>
      <family val="2"/>
    </font>
    <font>
      <sz val="20"/>
      <color theme="1"/>
      <name val="Noto Sans TC Medium"/>
      <family val="2"/>
    </font>
    <font>
      <sz val="20"/>
      <color theme="1"/>
      <name val="Noto Sans TC"/>
      <family val="2"/>
    </font>
    <font>
      <sz val="20"/>
      <color theme="1"/>
      <name val="Noto Sans TC"/>
      <family val="2"/>
      <charset val="136"/>
    </font>
    <font>
      <sz val="18"/>
      <color theme="1"/>
      <name val="Noto Serif TC Black"/>
      <family val="1"/>
      <charset val="136"/>
    </font>
    <font>
      <sz val="18"/>
      <name val="Arial"/>
      <family val="2"/>
    </font>
    <font>
      <sz val="18"/>
      <color theme="1"/>
      <name val="Noto Serif TC Black"/>
      <family val="1"/>
    </font>
    <font>
      <sz val="12"/>
      <color theme="1"/>
      <name val="ㄅ源雲注音明體 M"/>
      <family val="1"/>
      <charset val="136"/>
    </font>
    <font>
      <sz val="12"/>
      <color theme="1"/>
      <name val="字咍源流明體 白話字 R"/>
      <family val="1"/>
      <charset val="136"/>
    </font>
    <font>
      <b/>
      <sz val="36"/>
      <color rgb="FFFF0000"/>
      <name val="Noto Serif TC Black"/>
      <family val="1"/>
      <charset val="136"/>
    </font>
    <font>
      <sz val="18"/>
      <color theme="1"/>
      <name val="ㄅ源雲注音明體 R"/>
      <family val="1"/>
      <charset val="136"/>
    </font>
    <font>
      <sz val="22"/>
      <color theme="1"/>
      <name val="ㄅ源雲注音明體 R"/>
      <family val="1"/>
      <charset val="136"/>
    </font>
    <font>
      <b/>
      <sz val="14"/>
      <color rgb="FF0C0301"/>
      <name val="Noto Sans TC Medium"/>
      <family val="2"/>
    </font>
    <font>
      <sz val="16"/>
      <color rgb="FF0C0301"/>
      <name val="Noto Sans TC Medium"/>
      <family val="2"/>
    </font>
    <font>
      <sz val="28"/>
      <color theme="1"/>
      <name val="Noto Serif TC Medium"/>
      <family val="1"/>
      <charset val="136"/>
    </font>
    <font>
      <b/>
      <sz val="16"/>
      <color rgb="FF0C0301"/>
      <name val="霞鶩文楷等寬 TC"/>
      <family val="3"/>
      <charset val="136"/>
    </font>
    <font>
      <sz val="16"/>
      <color theme="1"/>
      <name val="霞鶩文楷等寬 TC"/>
      <family val="3"/>
      <charset val="136"/>
    </font>
    <font>
      <sz val="16"/>
      <color rgb="FF0C0301"/>
      <name val="霞鶩文楷等寬 TC"/>
      <family val="3"/>
      <charset val="136"/>
    </font>
    <font>
      <b/>
      <sz val="20"/>
      <color rgb="FF0C0301"/>
      <name val="霞鶩文楷等寬 TC"/>
      <family val="3"/>
      <charset val="136"/>
    </font>
    <font>
      <sz val="20"/>
      <color theme="1"/>
      <name val="霞鶩文楷等寬 TC"/>
      <family val="3"/>
      <charset val="136"/>
    </font>
    <font>
      <sz val="20"/>
      <color rgb="FF0C0301"/>
      <name val="霞鶩文楷等寬 TC"/>
      <family val="3"/>
      <charset val="136"/>
    </font>
    <font>
      <sz val="36"/>
      <color theme="1"/>
      <name val="Noto Serif TC Black"/>
      <family val="1"/>
      <charset val="136"/>
    </font>
    <font>
      <sz val="24"/>
      <name val="Arial"/>
      <family val="2"/>
    </font>
    <font>
      <sz val="24"/>
      <color rgb="FF0070C0"/>
      <name val="字咍源雲明體 台羅方音 L"/>
      <family val="1"/>
      <charset val="136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b/>
      <sz val="28"/>
      <color rgb="FF0070C0"/>
      <name val="Arial"/>
      <family val="2"/>
    </font>
    <font>
      <b/>
      <sz val="24"/>
      <color rgb="FF0070C0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sz val="24"/>
      <color theme="5" tint="-0.249977111117893"/>
      <name val="Noto Sans TC"/>
      <family val="2"/>
      <charset val="136"/>
    </font>
    <font>
      <sz val="24"/>
      <color theme="1"/>
      <name val="霞鶩文楷等寬 TC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rgb="FF00D25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 style="thin">
        <color rgb="FF777777"/>
      </top>
      <bottom style="thin">
        <color rgb="FF777777"/>
      </bottom>
      <diagonal/>
    </border>
    <border>
      <left/>
      <right/>
      <top style="thin">
        <color rgb="FF777777"/>
      </top>
      <bottom style="thin">
        <color rgb="FF777777"/>
      </bottom>
      <diagonal/>
    </border>
    <border>
      <left/>
      <right style="thin">
        <color rgb="FF777777"/>
      </right>
      <top style="thin">
        <color rgb="FF777777"/>
      </top>
      <bottom style="thin">
        <color rgb="FF777777"/>
      </bottom>
      <diagonal/>
    </border>
  </borders>
  <cellStyleXfs count="6">
    <xf numFmtId="0" fontId="0" fillId="0" borderId="0">
      <alignment vertical="center"/>
    </xf>
    <xf numFmtId="0" fontId="2" fillId="0" borderId="0"/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0" fontId="5" fillId="2" borderId="1" xfId="2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8" fillId="2" borderId="1" xfId="4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5" fillId="3" borderId="1" xfId="2" applyFont="1" applyFill="1" applyBorder="1" applyAlignment="1">
      <alignment horizontal="center" vertical="center"/>
    </xf>
    <xf numFmtId="0" fontId="7" fillId="3" borderId="1" xfId="3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11" fillId="2" borderId="1" xfId="3" applyFont="1" applyFill="1" applyBorder="1" applyAlignment="1">
      <alignment horizontal="center" vertical="center"/>
    </xf>
    <xf numFmtId="0" fontId="12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2"/>
    </xf>
    <xf numFmtId="0" fontId="8" fillId="2" borderId="1" xfId="4" applyFont="1" applyFill="1" applyBorder="1" applyAlignment="1">
      <alignment horizontal="left" vertical="center" indent="2"/>
    </xf>
    <xf numFmtId="0" fontId="19" fillId="3" borderId="1" xfId="4" applyFont="1" applyFill="1" applyBorder="1" applyAlignment="1">
      <alignment horizontal="center"/>
    </xf>
    <xf numFmtId="0" fontId="19" fillId="2" borderId="1" xfId="4" applyFont="1" applyFill="1" applyBorder="1" applyAlignment="1">
      <alignment horizontal="center"/>
    </xf>
    <xf numFmtId="0" fontId="20" fillId="3" borderId="1" xfId="3" applyFont="1" applyFill="1" applyBorder="1" applyAlignment="1">
      <alignment horizontal="center" vertical="center"/>
    </xf>
    <xf numFmtId="0" fontId="20" fillId="2" borderId="1" xfId="3" quotePrefix="1" applyFont="1" applyFill="1" applyBorder="1" applyAlignment="1">
      <alignment horizontal="center" vertical="center"/>
    </xf>
    <xf numFmtId="0" fontId="20" fillId="2" borderId="1" xfId="3" applyFont="1" applyFill="1" applyBorder="1" applyAlignment="1">
      <alignment horizontal="center" vertical="center"/>
    </xf>
    <xf numFmtId="0" fontId="20" fillId="3" borderId="1" xfId="3" quotePrefix="1" applyFont="1" applyFill="1" applyBorder="1" applyAlignment="1">
      <alignment horizontal="center" vertical="center"/>
    </xf>
    <xf numFmtId="0" fontId="21" fillId="3" borderId="1" xfId="2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3" fillId="2" borderId="1" xfId="1" applyFont="1" applyFill="1" applyBorder="1" applyAlignment="1">
      <alignment horizontal="center" vertical="center"/>
    </xf>
    <xf numFmtId="0" fontId="23" fillId="3" borderId="1" xfId="1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1"/>
    </xf>
    <xf numFmtId="0" fontId="8" fillId="2" borderId="1" xfId="4" applyFont="1" applyFill="1" applyBorder="1" applyAlignment="1">
      <alignment horizontal="left" vertical="center" indent="1"/>
    </xf>
    <xf numFmtId="0" fontId="24" fillId="3" borderId="1" xfId="3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28" fillId="5" borderId="5" xfId="5" applyFont="1" applyFill="1" applyBorder="1" applyAlignment="1">
      <alignment horizontal="center" vertical="top" wrapText="1"/>
    </xf>
    <xf numFmtId="0" fontId="29" fillId="5" borderId="5" xfId="0" applyFont="1" applyFill="1" applyBorder="1" applyAlignment="1">
      <alignment horizontal="center" vertical="top" wrapText="1"/>
    </xf>
    <xf numFmtId="0" fontId="32" fillId="0" borderId="0" xfId="0" applyFont="1" applyAlignment="1">
      <alignment horizontal="center" vertical="center"/>
    </xf>
    <xf numFmtId="0" fontId="34" fillId="3" borderId="1" xfId="4" applyFont="1" applyFill="1" applyBorder="1" applyAlignment="1">
      <alignment horizontal="center"/>
    </xf>
    <xf numFmtId="0" fontId="34" fillId="2" borderId="1" xfId="4" applyFont="1" applyFill="1" applyBorder="1" applyAlignment="1">
      <alignment horizontal="center"/>
    </xf>
    <xf numFmtId="0" fontId="34" fillId="0" borderId="1" xfId="4" applyFont="1" applyBorder="1" applyAlignment="1">
      <alignment horizontal="center"/>
    </xf>
    <xf numFmtId="0" fontId="13" fillId="0" borderId="1" xfId="4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8" fillId="0" borderId="1" xfId="4" applyFont="1" applyBorder="1" applyAlignment="1">
      <alignment horizontal="center" vertical="center"/>
    </xf>
    <xf numFmtId="0" fontId="35" fillId="0" borderId="1" xfId="4" applyFont="1" applyBorder="1" applyAlignment="1">
      <alignment horizontal="center"/>
    </xf>
    <xf numFmtId="0" fontId="36" fillId="0" borderId="1" xfId="4" applyFont="1" applyBorder="1" applyAlignment="1">
      <alignment horizontal="center"/>
    </xf>
    <xf numFmtId="0" fontId="5" fillId="6" borderId="1" xfId="2" applyFont="1" applyFill="1" applyBorder="1" applyAlignment="1">
      <alignment horizontal="center" vertical="center"/>
    </xf>
    <xf numFmtId="0" fontId="7" fillId="6" borderId="1" xfId="3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  <xf numFmtId="0" fontId="36" fillId="6" borderId="1" xfId="4" applyFont="1" applyFill="1" applyBorder="1" applyAlignment="1">
      <alignment horizontal="center"/>
    </xf>
    <xf numFmtId="0" fontId="34" fillId="6" borderId="1" xfId="4" applyFont="1" applyFill="1" applyBorder="1" applyAlignment="1">
      <alignment horizontal="center"/>
    </xf>
    <xf numFmtId="0" fontId="35" fillId="6" borderId="1" xfId="4" applyFont="1" applyFill="1" applyBorder="1" applyAlignment="1">
      <alignment horizontal="center"/>
    </xf>
    <xf numFmtId="0" fontId="13" fillId="0" borderId="1" xfId="4" applyFont="1" applyBorder="1" applyAlignment="1">
      <alignment horizontal="center" vertical="center" wrapText="1"/>
    </xf>
    <xf numFmtId="0" fontId="38" fillId="3" borderId="1" xfId="3" applyFont="1" applyFill="1" applyBorder="1" applyAlignment="1">
      <alignment horizontal="center" vertical="center"/>
    </xf>
    <xf numFmtId="0" fontId="38" fillId="2" borderId="1" xfId="3" quotePrefix="1" applyFont="1" applyFill="1" applyBorder="1" applyAlignment="1">
      <alignment horizontal="center" vertical="center"/>
    </xf>
    <xf numFmtId="0" fontId="38" fillId="2" borderId="1" xfId="3" applyFont="1" applyFill="1" applyBorder="1" applyAlignment="1">
      <alignment horizontal="center" vertical="center"/>
    </xf>
    <xf numFmtId="0" fontId="38" fillId="3" borderId="1" xfId="3" quotePrefix="1" applyFont="1" applyFill="1" applyBorder="1" applyAlignment="1">
      <alignment horizontal="center" vertical="center"/>
    </xf>
    <xf numFmtId="0" fontId="39" fillId="3" borderId="1" xfId="1" applyFont="1" applyFill="1" applyBorder="1" applyAlignment="1">
      <alignment horizontal="left" vertical="center"/>
    </xf>
    <xf numFmtId="0" fontId="40" fillId="3" borderId="1" xfId="2" applyFont="1" applyFill="1" applyBorder="1" applyAlignment="1">
      <alignment horizontal="left" vertical="center"/>
    </xf>
    <xf numFmtId="0" fontId="39" fillId="2" borderId="1" xfId="1" applyFont="1" applyFill="1" applyBorder="1" applyAlignment="1">
      <alignment horizontal="left" vertical="center"/>
    </xf>
    <xf numFmtId="0" fontId="41" fillId="2" borderId="1" xfId="2" applyFont="1" applyFill="1" applyBorder="1" applyAlignment="1">
      <alignment horizontal="left" vertical="center"/>
    </xf>
    <xf numFmtId="0" fontId="41" fillId="3" borderId="1" xfId="2" applyFont="1" applyFill="1" applyBorder="1" applyAlignment="1">
      <alignment horizontal="left" vertical="center"/>
    </xf>
    <xf numFmtId="0" fontId="42" fillId="3" borderId="1" xfId="4" applyFont="1" applyFill="1" applyBorder="1" applyAlignment="1">
      <alignment horizontal="left" vertical="center"/>
    </xf>
    <xf numFmtId="0" fontId="42" fillId="3" borderId="1" xfId="4" applyFont="1" applyFill="1" applyBorder="1" applyAlignment="1">
      <alignment horizontal="center" vertical="center"/>
    </xf>
    <xf numFmtId="0" fontId="43" fillId="3" borderId="1" xfId="3" applyFont="1" applyFill="1" applyBorder="1" applyAlignment="1">
      <alignment horizontal="center" vertical="center"/>
    </xf>
    <xf numFmtId="0" fontId="44" fillId="2" borderId="1" xfId="4" applyFont="1" applyFill="1" applyBorder="1" applyAlignment="1">
      <alignment horizontal="left" vertical="center"/>
    </xf>
    <xf numFmtId="0" fontId="44" fillId="2" borderId="1" xfId="4" applyFont="1" applyFill="1" applyBorder="1" applyAlignment="1">
      <alignment horizontal="center" vertical="center"/>
    </xf>
    <xf numFmtId="0" fontId="43" fillId="2" borderId="1" xfId="3" applyFont="1" applyFill="1" applyBorder="1" applyAlignment="1">
      <alignment horizontal="center" vertical="center"/>
    </xf>
    <xf numFmtId="0" fontId="45" fillId="0" borderId="0" xfId="0" applyFont="1">
      <alignment vertical="center"/>
    </xf>
    <xf numFmtId="0" fontId="43" fillId="3" borderId="1" xfId="3" quotePrefix="1" applyFont="1" applyFill="1" applyBorder="1" applyAlignment="1">
      <alignment horizontal="center" vertical="center"/>
    </xf>
    <xf numFmtId="0" fontId="44" fillId="7" borderId="1" xfId="4" applyFont="1" applyFill="1" applyBorder="1" applyAlignment="1">
      <alignment horizontal="center" vertical="center"/>
    </xf>
    <xf numFmtId="0" fontId="43" fillId="7" borderId="1" xfId="3" applyFont="1" applyFill="1" applyBorder="1" applyAlignment="1">
      <alignment horizontal="center" vertical="center"/>
    </xf>
    <xf numFmtId="0" fontId="35" fillId="0" borderId="1" xfId="4" applyFont="1" applyBorder="1" applyAlignment="1">
      <alignment horizontal="left" indent="1"/>
    </xf>
    <xf numFmtId="0" fontId="35" fillId="6" borderId="1" xfId="4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13" fillId="8" borderId="1" xfId="4" applyFont="1" applyFill="1" applyBorder="1" applyAlignment="1">
      <alignment horizontal="center" vertical="center"/>
    </xf>
    <xf numFmtId="0" fontId="7" fillId="8" borderId="1" xfId="3" applyFont="1" applyFill="1" applyBorder="1" applyAlignment="1">
      <alignment horizontal="center" vertical="center"/>
    </xf>
    <xf numFmtId="0" fontId="36" fillId="8" borderId="1" xfId="4" applyFont="1" applyFill="1" applyBorder="1" applyAlignment="1">
      <alignment horizontal="center"/>
    </xf>
    <xf numFmtId="0" fontId="34" fillId="8" borderId="1" xfId="4" applyFont="1" applyFill="1" applyBorder="1" applyAlignment="1">
      <alignment horizontal="center"/>
    </xf>
    <xf numFmtId="0" fontId="35" fillId="8" borderId="1" xfId="4" applyFont="1" applyFill="1" applyBorder="1" applyAlignment="1">
      <alignment horizontal="left" indent="1"/>
    </xf>
    <xf numFmtId="0" fontId="35" fillId="8" borderId="1" xfId="4" applyFont="1" applyFill="1" applyBorder="1" applyAlignment="1">
      <alignment horizontal="center"/>
    </xf>
    <xf numFmtId="0" fontId="47" fillId="3" borderId="1" xfId="3" applyFont="1" applyFill="1" applyBorder="1" applyAlignment="1">
      <alignment horizontal="center" vertical="center"/>
    </xf>
    <xf numFmtId="0" fontId="47" fillId="2" borderId="1" xfId="3" quotePrefix="1" applyFont="1" applyFill="1" applyBorder="1" applyAlignment="1">
      <alignment horizontal="center" vertical="center"/>
    </xf>
    <xf numFmtId="0" fontId="47" fillId="3" borderId="1" xfId="3" quotePrefix="1" applyFont="1" applyFill="1" applyBorder="1" applyAlignment="1">
      <alignment horizontal="center" vertical="center"/>
    </xf>
    <xf numFmtId="0" fontId="47" fillId="2" borderId="1" xfId="3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14" fillId="4" borderId="2" xfId="2" applyFont="1" applyFill="1" applyBorder="1" applyAlignment="1">
      <alignment horizontal="center" vertical="center"/>
    </xf>
    <xf numFmtId="0" fontId="48" fillId="0" borderId="0" xfId="0" applyFont="1">
      <alignment vertical="center"/>
    </xf>
    <xf numFmtId="0" fontId="49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27" fillId="5" borderId="5" xfId="0" applyFont="1" applyFill="1" applyBorder="1" applyAlignment="1">
      <alignment horizontal="left" vertical="center" wrapText="1"/>
    </xf>
    <xf numFmtId="0" fontId="28" fillId="5" borderId="5" xfId="5" applyFont="1" applyFill="1" applyBorder="1" applyAlignment="1">
      <alignment horizontal="left" vertical="center" wrapText="1"/>
    </xf>
    <xf numFmtId="0" fontId="29" fillId="5" borderId="5" xfId="0" applyFont="1" applyFill="1" applyBorder="1" applyAlignment="1">
      <alignment horizontal="left" vertical="center" wrapText="1"/>
    </xf>
    <xf numFmtId="0" fontId="48" fillId="0" borderId="1" xfId="0" applyFont="1" applyBorder="1">
      <alignment vertical="center"/>
    </xf>
    <xf numFmtId="0" fontId="49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51" fillId="9" borderId="1" xfId="0" applyFont="1" applyFill="1" applyBorder="1" applyAlignment="1">
      <alignment horizontal="center" vertical="center" wrapText="1"/>
    </xf>
    <xf numFmtId="0" fontId="52" fillId="0" borderId="1" xfId="4" applyFont="1" applyBorder="1" applyAlignment="1">
      <alignment horizontal="center"/>
    </xf>
    <xf numFmtId="0" fontId="52" fillId="6" borderId="1" xfId="4" applyFont="1" applyFill="1" applyBorder="1" applyAlignment="1">
      <alignment horizontal="center"/>
    </xf>
    <xf numFmtId="0" fontId="50" fillId="10" borderId="1" xfId="0" applyFont="1" applyFill="1" applyBorder="1" applyAlignment="1">
      <alignment horizontal="center" vertical="center" wrapText="1"/>
    </xf>
    <xf numFmtId="0" fontId="27" fillId="10" borderId="5" xfId="0" applyFont="1" applyFill="1" applyBorder="1" applyAlignment="1">
      <alignment horizontal="left" vertical="center" wrapText="1"/>
    </xf>
    <xf numFmtId="0" fontId="27" fillId="10" borderId="5" xfId="0" applyFont="1" applyFill="1" applyBorder="1" applyAlignment="1">
      <alignment horizontal="center" vertical="center" wrapText="1"/>
    </xf>
    <xf numFmtId="0" fontId="53" fillId="5" borderId="1" xfId="0" applyFont="1" applyFill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/>
    </xf>
    <xf numFmtId="0" fontId="55" fillId="9" borderId="1" xfId="0" applyFont="1" applyFill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6" fillId="5" borderId="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9" borderId="1" xfId="0" applyFont="1" applyFill="1" applyBorder="1" applyAlignment="1">
      <alignment horizontal="center" vertical="center" wrapText="1"/>
    </xf>
    <xf numFmtId="0" fontId="58" fillId="5" borderId="1" xfId="0" applyFont="1" applyFill="1" applyBorder="1" applyAlignment="1">
      <alignment horizontal="center" vertical="center" wrapText="1"/>
    </xf>
    <xf numFmtId="0" fontId="48" fillId="10" borderId="1" xfId="0" applyFont="1" applyFill="1" applyBorder="1" applyAlignment="1">
      <alignment horizontal="center" vertical="center"/>
    </xf>
    <xf numFmtId="0" fontId="55" fillId="5" borderId="1" xfId="0" applyFont="1" applyFill="1" applyBorder="1" applyAlignment="1">
      <alignment horizontal="left" vertical="center"/>
    </xf>
    <xf numFmtId="0" fontId="59" fillId="7" borderId="1" xfId="4" applyFont="1" applyFill="1" applyBorder="1" applyAlignment="1">
      <alignment horizontal="center" vertical="center"/>
    </xf>
    <xf numFmtId="0" fontId="60" fillId="0" borderId="1" xfId="3" applyFont="1" applyBorder="1" applyAlignment="1">
      <alignment horizontal="center" vertical="center"/>
    </xf>
    <xf numFmtId="0" fontId="60" fillId="6" borderId="1" xfId="3" applyFont="1" applyFill="1" applyBorder="1" applyAlignment="1">
      <alignment horizontal="center" vertical="center"/>
    </xf>
    <xf numFmtId="0" fontId="61" fillId="0" borderId="1" xfId="4" applyFont="1" applyBorder="1" applyAlignment="1">
      <alignment horizontal="left" indent="1"/>
    </xf>
    <xf numFmtId="0" fontId="61" fillId="0" borderId="1" xfId="4" applyFont="1" applyBorder="1" applyAlignment="1">
      <alignment horizontal="center"/>
    </xf>
    <xf numFmtId="0" fontId="61" fillId="6" borderId="1" xfId="4" applyFont="1" applyFill="1" applyBorder="1" applyAlignment="1">
      <alignment horizontal="left" indent="1"/>
    </xf>
    <xf numFmtId="0" fontId="61" fillId="6" borderId="1" xfId="4" applyFont="1" applyFill="1" applyBorder="1" applyAlignment="1">
      <alignment horizontal="center"/>
    </xf>
    <xf numFmtId="0" fontId="62" fillId="0" borderId="1" xfId="3" applyFont="1" applyBorder="1" applyAlignment="1">
      <alignment horizontal="center" vertical="center"/>
    </xf>
    <xf numFmtId="0" fontId="63" fillId="0" borderId="1" xfId="4" applyFont="1" applyBorder="1" applyAlignment="1">
      <alignment horizontal="center"/>
    </xf>
    <xf numFmtId="0" fontId="64" fillId="6" borderId="1" xfId="3" applyFont="1" applyFill="1" applyBorder="1" applyAlignment="1">
      <alignment horizontal="center" vertical="center"/>
    </xf>
    <xf numFmtId="0" fontId="63" fillId="6" borderId="1" xfId="4" applyFont="1" applyFill="1" applyBorder="1" applyAlignment="1">
      <alignment horizontal="center"/>
    </xf>
    <xf numFmtId="0" fontId="65" fillId="0" borderId="1" xfId="3" applyFont="1" applyBorder="1" applyAlignment="1">
      <alignment horizontal="center" vertical="center"/>
    </xf>
    <xf numFmtId="0" fontId="65" fillId="6" borderId="1" xfId="3" applyFont="1" applyFill="1" applyBorder="1" applyAlignment="1">
      <alignment horizontal="center" vertical="center"/>
    </xf>
    <xf numFmtId="0" fontId="66" fillId="0" borderId="1" xfId="4" applyFont="1" applyBorder="1" applyAlignment="1">
      <alignment horizontal="center"/>
    </xf>
    <xf numFmtId="0" fontId="66" fillId="6" borderId="1" xfId="4" applyFont="1" applyFill="1" applyBorder="1" applyAlignment="1">
      <alignment horizontal="center"/>
    </xf>
    <xf numFmtId="0" fontId="67" fillId="0" borderId="1" xfId="4" applyFont="1" applyBorder="1" applyAlignment="1">
      <alignment horizontal="left" indent="1"/>
    </xf>
    <xf numFmtId="0" fontId="67" fillId="6" borderId="1" xfId="4" applyFont="1" applyFill="1" applyBorder="1" applyAlignment="1">
      <alignment horizontal="left" indent="1"/>
    </xf>
    <xf numFmtId="0" fontId="68" fillId="0" borderId="1" xfId="3" applyFont="1" applyBorder="1" applyAlignment="1">
      <alignment horizontal="center" vertical="center"/>
    </xf>
    <xf numFmtId="0" fontId="69" fillId="0" borderId="1" xfId="3" applyFont="1" applyBorder="1" applyAlignment="1">
      <alignment horizontal="left" vertical="center" indent="4"/>
    </xf>
    <xf numFmtId="0" fontId="68" fillId="6" borderId="1" xfId="3" applyFont="1" applyFill="1" applyBorder="1" applyAlignment="1">
      <alignment horizontal="center" vertical="center"/>
    </xf>
    <xf numFmtId="0" fontId="69" fillId="6" borderId="1" xfId="3" applyFont="1" applyFill="1" applyBorder="1" applyAlignment="1">
      <alignment horizontal="left" vertical="center" indent="4"/>
    </xf>
    <xf numFmtId="0" fontId="7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horizontal="left" vertical="center"/>
    </xf>
    <xf numFmtId="0" fontId="71" fillId="0" borderId="1" xfId="0" applyFont="1" applyBorder="1" applyAlignment="1">
      <alignment horizontal="left" vertical="center" indent="1"/>
    </xf>
    <xf numFmtId="0" fontId="30" fillId="5" borderId="6" xfId="0" applyFont="1" applyFill="1" applyBorder="1" applyAlignment="1">
      <alignment horizontal="left" vertical="center" wrapText="1"/>
    </xf>
    <xf numFmtId="0" fontId="30" fillId="5" borderId="7" xfId="0" applyFont="1" applyFill="1" applyBorder="1" applyAlignment="1">
      <alignment horizontal="left" vertical="center" wrapText="1"/>
    </xf>
    <xf numFmtId="0" fontId="30" fillId="5" borderId="8" xfId="0" applyFont="1" applyFill="1" applyBorder="1" applyAlignment="1">
      <alignment horizontal="left" vertical="center" wrapText="1"/>
    </xf>
    <xf numFmtId="0" fontId="28" fillId="0" borderId="0" xfId="5" applyFont="1" applyAlignment="1">
      <alignment horizontal="left" vertical="center" wrapText="1"/>
    </xf>
    <xf numFmtId="0" fontId="14" fillId="4" borderId="1" xfId="2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14" fillId="4" borderId="2" xfId="2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</cellXfs>
  <cellStyles count="6">
    <cellStyle name="一般" xfId="0" builtinId="0"/>
    <cellStyle name="一般 2" xfId="3" xr:uid="{F80E22BE-4E86-4EE6-9A84-AB69E57DE0CA}"/>
    <cellStyle name="一般 3" xfId="2" xr:uid="{339E2E32-D091-4B1C-8D20-0F19EFF7140B}"/>
    <cellStyle name="一般 4 2" xfId="1" xr:uid="{EA1B35F1-F8C7-4DBF-80A8-32E3C86E8708}"/>
    <cellStyle name="一般 5" xfId="4" xr:uid="{1764E436-0C56-4749-A903-F277CDD5CEB5}"/>
    <cellStyle name="超連結" xfId="5" builtinId="8"/>
  </cellStyles>
  <dxfs count="0"/>
  <tableStyles count="0" defaultTableStyle="TableStyleMedium2" defaultPivotStyle="PivotStyleLight16"/>
  <colors>
    <mruColors>
      <color rgb="FF00D25F"/>
      <color rgb="FF00823B"/>
      <color rgb="FF00E6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zi-hi.com/sp/uni/01D2" TargetMode="External"/><Relationship Id="rId21" Type="http://schemas.openxmlformats.org/officeDocument/2006/relationships/hyperlink" Target="https://zi-hi.com/sp/uni/01D0" TargetMode="External"/><Relationship Id="rId42" Type="http://schemas.openxmlformats.org/officeDocument/2006/relationships/hyperlink" Target="https://zi-hi.com/sp/uni/01CD" TargetMode="External"/><Relationship Id="rId47" Type="http://schemas.openxmlformats.org/officeDocument/2006/relationships/hyperlink" Target="https://zi-hi.com/sp/uni/011A" TargetMode="External"/><Relationship Id="rId63" Type="http://schemas.openxmlformats.org/officeDocument/2006/relationships/hyperlink" Target="https://zi-hi.com/sp/uni/01D3" TargetMode="External"/><Relationship Id="rId68" Type="http://schemas.openxmlformats.org/officeDocument/2006/relationships/hyperlink" Target="https://zi-hi.com/sp/uni/01F8" TargetMode="External"/><Relationship Id="rId16" Type="http://schemas.openxmlformats.org/officeDocument/2006/relationships/hyperlink" Target="https://zi-hi.com/sp/uni/011B" TargetMode="External"/><Relationship Id="rId11" Type="http://schemas.openxmlformats.org/officeDocument/2006/relationships/hyperlink" Target="https://zi-hi.com/sp/uni/01CE" TargetMode="External"/><Relationship Id="rId24" Type="http://schemas.openxmlformats.org/officeDocument/2006/relationships/hyperlink" Target="https://zi-hi.com/sp/uni/00F2" TargetMode="External"/><Relationship Id="rId32" Type="http://schemas.openxmlformats.org/officeDocument/2006/relationships/hyperlink" Target="https://zi-hi.com/sp/uni/01D4" TargetMode="External"/><Relationship Id="rId37" Type="http://schemas.openxmlformats.org/officeDocument/2006/relationships/hyperlink" Target="https://zi-hi.com/sp/uni/01F9" TargetMode="External"/><Relationship Id="rId40" Type="http://schemas.openxmlformats.org/officeDocument/2006/relationships/hyperlink" Target="https://zi-hi.com/sp/uni/00C0" TargetMode="External"/><Relationship Id="rId45" Type="http://schemas.openxmlformats.org/officeDocument/2006/relationships/hyperlink" Target="https://zi-hi.com/sp/uni/00C8" TargetMode="External"/><Relationship Id="rId53" Type="http://schemas.openxmlformats.org/officeDocument/2006/relationships/hyperlink" Target="https://zi-hi.com/sp/uni/012A" TargetMode="External"/><Relationship Id="rId58" Type="http://schemas.openxmlformats.org/officeDocument/2006/relationships/hyperlink" Target="https://zi-hi.com/sp/uni/014C" TargetMode="External"/><Relationship Id="rId66" Type="http://schemas.openxmlformats.org/officeDocument/2006/relationships/hyperlink" Target="https://zi-hi.com/sp/uni/1E3E" TargetMode="External"/><Relationship Id="rId74" Type="http://schemas.openxmlformats.org/officeDocument/2006/relationships/hyperlink" Target="https://zi-hi.com/sp/uni/030C" TargetMode="External"/><Relationship Id="rId5" Type="http://schemas.openxmlformats.org/officeDocument/2006/relationships/hyperlink" Target="https://zi-hi.com/sp/uni/0304" TargetMode="External"/><Relationship Id="rId61" Type="http://schemas.openxmlformats.org/officeDocument/2006/relationships/hyperlink" Target="https://zi-hi.com/sp/uni/00D9" TargetMode="External"/><Relationship Id="rId19" Type="http://schemas.openxmlformats.org/officeDocument/2006/relationships/hyperlink" Target="https://zi-hi.com/sp/uni/00EC" TargetMode="External"/><Relationship Id="rId14" Type="http://schemas.openxmlformats.org/officeDocument/2006/relationships/hyperlink" Target="https://zi-hi.com/sp/uni/00E8" TargetMode="External"/><Relationship Id="rId22" Type="http://schemas.openxmlformats.org/officeDocument/2006/relationships/hyperlink" Target="https://zi-hi.com/sp/uni/012B" TargetMode="External"/><Relationship Id="rId27" Type="http://schemas.openxmlformats.org/officeDocument/2006/relationships/hyperlink" Target="https://zi-hi.com/sp/uni/014D" TargetMode="External"/><Relationship Id="rId30" Type="http://schemas.openxmlformats.org/officeDocument/2006/relationships/hyperlink" Target="https://zi-hi.com/sp/uni/00F9" TargetMode="External"/><Relationship Id="rId35" Type="http://schemas.openxmlformats.org/officeDocument/2006/relationships/hyperlink" Target="https://zi-hi.com/sp/uni/1E3F" TargetMode="External"/><Relationship Id="rId43" Type="http://schemas.openxmlformats.org/officeDocument/2006/relationships/hyperlink" Target="https://zi-hi.com/sp/uni/0100" TargetMode="External"/><Relationship Id="rId48" Type="http://schemas.openxmlformats.org/officeDocument/2006/relationships/hyperlink" Target="https://zi-hi.com/sp/uni/0112" TargetMode="External"/><Relationship Id="rId56" Type="http://schemas.openxmlformats.org/officeDocument/2006/relationships/hyperlink" Target="https://zi-hi.com/sp/uni/00D4" TargetMode="External"/><Relationship Id="rId64" Type="http://schemas.openxmlformats.org/officeDocument/2006/relationships/hyperlink" Target="https://zi-hi.com/sp/uni/016A" TargetMode="External"/><Relationship Id="rId69" Type="http://schemas.openxmlformats.org/officeDocument/2006/relationships/hyperlink" Target="https://zi-hi.com/sp/uni/0147" TargetMode="External"/><Relationship Id="rId77" Type="http://schemas.openxmlformats.org/officeDocument/2006/relationships/hyperlink" Target="https://zi-hi.com/sp/uni/030B" TargetMode="External"/><Relationship Id="rId8" Type="http://schemas.openxmlformats.org/officeDocument/2006/relationships/hyperlink" Target="https://zi-hi.com/sp/uni/00E1" TargetMode="External"/><Relationship Id="rId51" Type="http://schemas.openxmlformats.org/officeDocument/2006/relationships/hyperlink" Target="https://zi-hi.com/sp/uni/00CE" TargetMode="External"/><Relationship Id="rId72" Type="http://schemas.openxmlformats.org/officeDocument/2006/relationships/hyperlink" Target="https://zi-hi.com/sp/uni/0300" TargetMode="External"/><Relationship Id="rId3" Type="http://schemas.openxmlformats.org/officeDocument/2006/relationships/hyperlink" Target="https://zi-hi.com/sp/uni/0302" TargetMode="External"/><Relationship Id="rId12" Type="http://schemas.openxmlformats.org/officeDocument/2006/relationships/hyperlink" Target="https://zi-hi.com/sp/uni/0101" TargetMode="External"/><Relationship Id="rId17" Type="http://schemas.openxmlformats.org/officeDocument/2006/relationships/hyperlink" Target="https://zi-hi.com/sp/uni/0113" TargetMode="External"/><Relationship Id="rId25" Type="http://schemas.openxmlformats.org/officeDocument/2006/relationships/hyperlink" Target="https://zi-hi.com/sp/uni/00F4" TargetMode="External"/><Relationship Id="rId33" Type="http://schemas.openxmlformats.org/officeDocument/2006/relationships/hyperlink" Target="https://zi-hi.com/sp/uni/016B" TargetMode="External"/><Relationship Id="rId38" Type="http://schemas.openxmlformats.org/officeDocument/2006/relationships/hyperlink" Target="https://zi-hi.com/sp/uni/0148" TargetMode="External"/><Relationship Id="rId46" Type="http://schemas.openxmlformats.org/officeDocument/2006/relationships/hyperlink" Target="https://zi-hi.com/sp/uni/00CA" TargetMode="External"/><Relationship Id="rId59" Type="http://schemas.openxmlformats.org/officeDocument/2006/relationships/hyperlink" Target="https://zi-hi.com/sp/uni/0150" TargetMode="External"/><Relationship Id="rId67" Type="http://schemas.openxmlformats.org/officeDocument/2006/relationships/hyperlink" Target="https://zi-hi.com/sp/uni/0143" TargetMode="External"/><Relationship Id="rId20" Type="http://schemas.openxmlformats.org/officeDocument/2006/relationships/hyperlink" Target="https://zi-hi.com/sp/uni/00EE" TargetMode="External"/><Relationship Id="rId41" Type="http://schemas.openxmlformats.org/officeDocument/2006/relationships/hyperlink" Target="https://zi-hi.com/sp/uni/00C2" TargetMode="External"/><Relationship Id="rId54" Type="http://schemas.openxmlformats.org/officeDocument/2006/relationships/hyperlink" Target="https://zi-hi.com/sp/uni/00D3" TargetMode="External"/><Relationship Id="rId62" Type="http://schemas.openxmlformats.org/officeDocument/2006/relationships/hyperlink" Target="https://zi-hi.com/sp/uni/00DB" TargetMode="External"/><Relationship Id="rId70" Type="http://schemas.openxmlformats.org/officeDocument/2006/relationships/hyperlink" Target="https://zi-hi.com/%E7%99%BD%E8%A9%B1%E5%AD%97" TargetMode="External"/><Relationship Id="rId75" Type="http://schemas.openxmlformats.org/officeDocument/2006/relationships/hyperlink" Target="https://zi-hi.com/sp/uni/0304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15" Type="http://schemas.openxmlformats.org/officeDocument/2006/relationships/hyperlink" Target="https://zi-hi.com/sp/uni/00EA" TargetMode="External"/><Relationship Id="rId23" Type="http://schemas.openxmlformats.org/officeDocument/2006/relationships/hyperlink" Target="https://zi-hi.com/sp/uni/00F3" TargetMode="External"/><Relationship Id="rId28" Type="http://schemas.openxmlformats.org/officeDocument/2006/relationships/hyperlink" Target="https://zi-hi.com/sp/uni/0151" TargetMode="External"/><Relationship Id="rId36" Type="http://schemas.openxmlformats.org/officeDocument/2006/relationships/hyperlink" Target="https://zi-hi.com/sp/uni/0144" TargetMode="External"/><Relationship Id="rId49" Type="http://schemas.openxmlformats.org/officeDocument/2006/relationships/hyperlink" Target="https://zi-hi.com/sp/uni/00CD" TargetMode="External"/><Relationship Id="rId57" Type="http://schemas.openxmlformats.org/officeDocument/2006/relationships/hyperlink" Target="https://zi-hi.com/sp/uni/01D1" TargetMode="External"/><Relationship Id="rId10" Type="http://schemas.openxmlformats.org/officeDocument/2006/relationships/hyperlink" Target="https://zi-hi.com/sp/uni/00E2" TargetMode="External"/><Relationship Id="rId31" Type="http://schemas.openxmlformats.org/officeDocument/2006/relationships/hyperlink" Target="https://zi-hi.com/sp/uni/00FB" TargetMode="External"/><Relationship Id="rId44" Type="http://schemas.openxmlformats.org/officeDocument/2006/relationships/hyperlink" Target="https://zi-hi.com/sp/uni/00C9" TargetMode="External"/><Relationship Id="rId52" Type="http://schemas.openxmlformats.org/officeDocument/2006/relationships/hyperlink" Target="https://zi-hi.com/sp/uni/01CF" TargetMode="External"/><Relationship Id="rId60" Type="http://schemas.openxmlformats.org/officeDocument/2006/relationships/hyperlink" Target="https://zi-hi.com/sp/uni/00DA" TargetMode="External"/><Relationship Id="rId65" Type="http://schemas.openxmlformats.org/officeDocument/2006/relationships/hyperlink" Target="https://zi-hi.com/sp/uni/0170" TargetMode="External"/><Relationship Id="rId73" Type="http://schemas.openxmlformats.org/officeDocument/2006/relationships/hyperlink" Target="https://zi-hi.com/sp/uni/0302" TargetMode="External"/><Relationship Id="rId4" Type="http://schemas.openxmlformats.org/officeDocument/2006/relationships/hyperlink" Target="https://zi-hi.com/sp/uni/030C" TargetMode="External"/><Relationship Id="rId9" Type="http://schemas.openxmlformats.org/officeDocument/2006/relationships/hyperlink" Target="https://zi-hi.com/sp/uni/00E0" TargetMode="External"/><Relationship Id="rId13" Type="http://schemas.openxmlformats.org/officeDocument/2006/relationships/hyperlink" Target="https://zi-hi.com/sp/uni/00E9" TargetMode="External"/><Relationship Id="rId18" Type="http://schemas.openxmlformats.org/officeDocument/2006/relationships/hyperlink" Target="https://zi-hi.com/sp/uni/00ED" TargetMode="External"/><Relationship Id="rId39" Type="http://schemas.openxmlformats.org/officeDocument/2006/relationships/hyperlink" Target="https://zi-hi.com/sp/uni/00C1" TargetMode="External"/><Relationship Id="rId34" Type="http://schemas.openxmlformats.org/officeDocument/2006/relationships/hyperlink" Target="https://zi-hi.com/sp/uni/0171" TargetMode="External"/><Relationship Id="rId50" Type="http://schemas.openxmlformats.org/officeDocument/2006/relationships/hyperlink" Target="https://zi-hi.com/sp/uni/00CC" TargetMode="External"/><Relationship Id="rId55" Type="http://schemas.openxmlformats.org/officeDocument/2006/relationships/hyperlink" Target="https://zi-hi.com/sp/uni/00D2" TargetMode="External"/><Relationship Id="rId76" Type="http://schemas.openxmlformats.org/officeDocument/2006/relationships/hyperlink" Target="https://zi-hi.com/sp/uni/030D" TargetMode="External"/><Relationship Id="rId7" Type="http://schemas.openxmlformats.org/officeDocument/2006/relationships/hyperlink" Target="https://zi-hi.com/sp/uni/030B" TargetMode="External"/><Relationship Id="rId71" Type="http://schemas.openxmlformats.org/officeDocument/2006/relationships/hyperlink" Target="https://zi-hi.com/sp/uni/0301" TargetMode="External"/><Relationship Id="rId2" Type="http://schemas.openxmlformats.org/officeDocument/2006/relationships/hyperlink" Target="https://zi-hi.com/sp/uni/0300" TargetMode="External"/><Relationship Id="rId29" Type="http://schemas.openxmlformats.org/officeDocument/2006/relationships/hyperlink" Target="https://zi-hi.com/sp/uni/00F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zi-hi.com/sp/uni/01D3" TargetMode="External"/><Relationship Id="rId13" Type="http://schemas.openxmlformats.org/officeDocument/2006/relationships/hyperlink" Target="https://zi-hi.com/sp/uni/014C" TargetMode="External"/><Relationship Id="rId18" Type="http://schemas.openxmlformats.org/officeDocument/2006/relationships/hyperlink" Target="https://zi-hi.com/sp/uni/012A" TargetMode="External"/><Relationship Id="rId26" Type="http://schemas.openxmlformats.org/officeDocument/2006/relationships/hyperlink" Target="https://zi-hi.com/sp/uni/00C8" TargetMode="External"/><Relationship Id="rId3" Type="http://schemas.openxmlformats.org/officeDocument/2006/relationships/hyperlink" Target="https://zi-hi.com/sp/uni/01F8" TargetMode="External"/><Relationship Id="rId21" Type="http://schemas.openxmlformats.org/officeDocument/2006/relationships/hyperlink" Target="https://zi-hi.com/sp/uni/00CC" TargetMode="External"/><Relationship Id="rId7" Type="http://schemas.openxmlformats.org/officeDocument/2006/relationships/hyperlink" Target="https://zi-hi.com/sp/uni/016A" TargetMode="External"/><Relationship Id="rId12" Type="http://schemas.openxmlformats.org/officeDocument/2006/relationships/hyperlink" Target="https://zi-hi.com/sp/uni/0150" TargetMode="External"/><Relationship Id="rId17" Type="http://schemas.openxmlformats.org/officeDocument/2006/relationships/hyperlink" Target="https://zi-hi.com/sp/uni/00D3" TargetMode="External"/><Relationship Id="rId25" Type="http://schemas.openxmlformats.org/officeDocument/2006/relationships/hyperlink" Target="https://zi-hi.com/sp/uni/00CA" TargetMode="External"/><Relationship Id="rId2" Type="http://schemas.openxmlformats.org/officeDocument/2006/relationships/hyperlink" Target="https://zi-hi.com/sp/uni/0147" TargetMode="External"/><Relationship Id="rId16" Type="http://schemas.openxmlformats.org/officeDocument/2006/relationships/hyperlink" Target="https://zi-hi.com/sp/uni/00D2" TargetMode="External"/><Relationship Id="rId20" Type="http://schemas.openxmlformats.org/officeDocument/2006/relationships/hyperlink" Target="https://zi-hi.com/sp/uni/00CE" TargetMode="External"/><Relationship Id="rId29" Type="http://schemas.openxmlformats.org/officeDocument/2006/relationships/hyperlink" Target="https://zi-hi.com/sp/uni/01CD" TargetMode="External"/><Relationship Id="rId1" Type="http://schemas.openxmlformats.org/officeDocument/2006/relationships/hyperlink" Target="https://zi-hi.com/%E7%99%BD%E8%A9%B1%E5%AD%97" TargetMode="External"/><Relationship Id="rId6" Type="http://schemas.openxmlformats.org/officeDocument/2006/relationships/hyperlink" Target="https://zi-hi.com/sp/uni/0170" TargetMode="External"/><Relationship Id="rId11" Type="http://schemas.openxmlformats.org/officeDocument/2006/relationships/hyperlink" Target="https://zi-hi.com/sp/uni/00DA" TargetMode="External"/><Relationship Id="rId24" Type="http://schemas.openxmlformats.org/officeDocument/2006/relationships/hyperlink" Target="https://zi-hi.com/sp/uni/011A" TargetMode="External"/><Relationship Id="rId32" Type="http://schemas.openxmlformats.org/officeDocument/2006/relationships/hyperlink" Target="https://zi-hi.com/sp/uni/00C1" TargetMode="External"/><Relationship Id="rId5" Type="http://schemas.openxmlformats.org/officeDocument/2006/relationships/hyperlink" Target="https://zi-hi.com/sp/uni/1E3E" TargetMode="External"/><Relationship Id="rId15" Type="http://schemas.openxmlformats.org/officeDocument/2006/relationships/hyperlink" Target="https://zi-hi.com/sp/uni/00D4" TargetMode="External"/><Relationship Id="rId23" Type="http://schemas.openxmlformats.org/officeDocument/2006/relationships/hyperlink" Target="https://zi-hi.com/sp/uni/0112" TargetMode="External"/><Relationship Id="rId28" Type="http://schemas.openxmlformats.org/officeDocument/2006/relationships/hyperlink" Target="https://zi-hi.com/sp/uni/0100" TargetMode="External"/><Relationship Id="rId10" Type="http://schemas.openxmlformats.org/officeDocument/2006/relationships/hyperlink" Target="https://zi-hi.com/sp/uni/00D9" TargetMode="External"/><Relationship Id="rId19" Type="http://schemas.openxmlformats.org/officeDocument/2006/relationships/hyperlink" Target="https://zi-hi.com/sp/uni/01CF" TargetMode="External"/><Relationship Id="rId31" Type="http://schemas.openxmlformats.org/officeDocument/2006/relationships/hyperlink" Target="https://zi-hi.com/sp/uni/00C0" TargetMode="External"/><Relationship Id="rId4" Type="http://schemas.openxmlformats.org/officeDocument/2006/relationships/hyperlink" Target="https://zi-hi.com/sp/uni/0143" TargetMode="External"/><Relationship Id="rId9" Type="http://schemas.openxmlformats.org/officeDocument/2006/relationships/hyperlink" Target="https://zi-hi.com/sp/uni/00DB" TargetMode="External"/><Relationship Id="rId14" Type="http://schemas.openxmlformats.org/officeDocument/2006/relationships/hyperlink" Target="https://zi-hi.com/sp/uni/01D1" TargetMode="External"/><Relationship Id="rId22" Type="http://schemas.openxmlformats.org/officeDocument/2006/relationships/hyperlink" Target="https://zi-hi.com/sp/uni/00CD" TargetMode="External"/><Relationship Id="rId27" Type="http://schemas.openxmlformats.org/officeDocument/2006/relationships/hyperlink" Target="https://zi-hi.com/sp/uni/00C9" TargetMode="External"/><Relationship Id="rId30" Type="http://schemas.openxmlformats.org/officeDocument/2006/relationships/hyperlink" Target="https://zi-hi.com/sp/uni/00C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B7F8-EC6F-425C-A778-2C680D504D26}">
  <dimension ref="B2:AF30"/>
  <sheetViews>
    <sheetView showOutlineSymbols="0" workbookViewId="0"/>
  </sheetViews>
  <sheetFormatPr defaultRowHeight="16.5" outlineLevelCol="1"/>
  <cols>
    <col min="1" max="1" width="4.125" customWidth="1"/>
    <col min="2" max="3" width="14" customWidth="1"/>
    <col min="4" max="5" width="15.375" customWidth="1"/>
    <col min="6" max="6" width="10.5" bestFit="1" customWidth="1"/>
    <col min="7" max="7" width="14.75" customWidth="1"/>
    <col min="8" max="8" width="15.25" customWidth="1"/>
    <col min="9" max="9" width="20" bestFit="1" customWidth="1"/>
    <col min="10" max="10" width="20" customWidth="1"/>
    <col min="11" max="11" width="20" bestFit="1" customWidth="1"/>
    <col min="12" max="14" width="15.25" customWidth="1"/>
    <col min="15" max="15" width="20" bestFit="1" customWidth="1"/>
    <col min="16" max="19" width="20" customWidth="1"/>
    <col min="21" max="21" width="13.5" style="74" customWidth="1"/>
    <col min="22" max="23" width="17.875" style="74" customWidth="1"/>
    <col min="24" max="24" width="17.875" style="74" hidden="1" customWidth="1" outlineLevel="1"/>
    <col min="25" max="25" width="0" hidden="1" customWidth="1" outlineLevel="1"/>
    <col min="26" max="26" width="18.125" style="74" customWidth="1" collapsed="1"/>
    <col min="27" max="27" width="12.125" style="74" customWidth="1"/>
    <col min="28" max="29" width="20.5" customWidth="1"/>
    <col min="30" max="30" width="17.875" style="74" customWidth="1"/>
    <col min="32" max="32" width="85.75" customWidth="1"/>
  </cols>
  <sheetData>
    <row r="2" spans="2:32" ht="34.5" customHeight="1">
      <c r="B2" s="13" t="s">
        <v>199</v>
      </c>
      <c r="C2" s="13" t="s">
        <v>382</v>
      </c>
      <c r="D2" s="14" t="s">
        <v>32</v>
      </c>
      <c r="E2" s="14" t="s">
        <v>31</v>
      </c>
      <c r="F2" s="13" t="s">
        <v>30</v>
      </c>
      <c r="G2" s="13" t="s">
        <v>202</v>
      </c>
      <c r="H2" s="86" t="s">
        <v>379</v>
      </c>
      <c r="I2" s="13" t="s">
        <v>348</v>
      </c>
      <c r="J2" s="13" t="s">
        <v>351</v>
      </c>
      <c r="K2" s="13" t="s">
        <v>370</v>
      </c>
      <c r="L2" s="86" t="s">
        <v>203</v>
      </c>
      <c r="M2" s="87" t="s">
        <v>350</v>
      </c>
      <c r="N2" s="14" t="s">
        <v>204</v>
      </c>
      <c r="O2" s="13" t="s">
        <v>349</v>
      </c>
      <c r="P2" s="13" t="s">
        <v>364</v>
      </c>
      <c r="Q2" s="13" t="s">
        <v>371</v>
      </c>
      <c r="R2" s="13" t="s">
        <v>352</v>
      </c>
      <c r="S2" s="13" t="s">
        <v>353</v>
      </c>
      <c r="U2" s="13" t="s">
        <v>202</v>
      </c>
      <c r="V2" s="86" t="s">
        <v>379</v>
      </c>
      <c r="W2" s="86" t="s">
        <v>203</v>
      </c>
      <c r="X2" s="86" t="s">
        <v>387</v>
      </c>
      <c r="Y2" s="86" t="s">
        <v>326</v>
      </c>
      <c r="Z2" s="86" t="s">
        <v>383</v>
      </c>
      <c r="AA2" s="86" t="s">
        <v>385</v>
      </c>
      <c r="AB2" s="86" t="s">
        <v>347</v>
      </c>
      <c r="AC2" s="86" t="s">
        <v>386</v>
      </c>
      <c r="AD2" s="86" t="s">
        <v>350</v>
      </c>
    </row>
    <row r="3" spans="2:32" ht="56.25" customHeight="1">
      <c r="B3" s="42">
        <v>0</v>
      </c>
      <c r="C3" s="42">
        <v>9</v>
      </c>
      <c r="D3" s="39" t="s">
        <v>207</v>
      </c>
      <c r="E3" s="39" t="s">
        <v>208</v>
      </c>
      <c r="F3" s="117">
        <v>20</v>
      </c>
      <c r="G3" s="129" t="s">
        <v>209</v>
      </c>
      <c r="H3" s="131" t="s">
        <v>211</v>
      </c>
      <c r="I3" s="127" t="s">
        <v>316</v>
      </c>
      <c r="J3" s="123" t="str">
        <f xml:space="preserve"> IFERROR( _xlfn.CONCAT("a", _xlfn.UNICHAR(HEX2DEC(RIGHT(I3,4)))), "")</f>
        <v>å</v>
      </c>
      <c r="K3" s="124">
        <v>7</v>
      </c>
      <c r="L3" s="119" t="str">
        <f xml:space="preserve"> _xlfn.CONCAT("ah", B3)</f>
        <v>ah0</v>
      </c>
      <c r="M3" s="120" t="str">
        <f xml:space="preserve"> IFERROR( _xlfn.CONCAT("a", "h", _xlfn.UNICHAR(HEX2DEC(RIGHT(I3,4)))), "")</f>
        <v>ah̊</v>
      </c>
      <c r="N3" s="119" t="str">
        <f xml:space="preserve"> _xlfn.CONCAT("ah", K3)</f>
        <v>ah7</v>
      </c>
      <c r="O3" s="133" t="s">
        <v>346</v>
      </c>
      <c r="P3" s="134" t="str">
        <f xml:space="preserve"> _xlfn.CONCAT("ㄚ", "ㆷ", _xlfn.UNICHAR(HEX2DEC(RIGHT("U+02D9",4))))</f>
        <v>ㄚㆷ˙</v>
      </c>
      <c r="Q3" s="133" t="s">
        <v>376</v>
      </c>
      <c r="R3" s="133" t="s">
        <v>355</v>
      </c>
      <c r="S3" s="133" t="s">
        <v>363</v>
      </c>
      <c r="U3" s="130" t="s">
        <v>15</v>
      </c>
      <c r="V3" s="139" t="s">
        <v>298</v>
      </c>
      <c r="W3" s="139" t="s">
        <v>400</v>
      </c>
      <c r="X3" s="137" t="str">
        <f t="shared" ref="X3:X11" si="0" xml:space="preserve"> LEFT(W3, LEN(W3)-1)</f>
        <v>dong</v>
      </c>
      <c r="Y3" s="137" t="str">
        <f t="shared" ref="Y3:Y11" si="1" xml:space="preserve"> RIGHT(W3)</f>
        <v>2</v>
      </c>
      <c r="Z3" s="137" t="s">
        <v>384</v>
      </c>
      <c r="AA3" s="137">
        <f xml:space="preserve"> SEARCH(Z3,W3)</f>
        <v>2</v>
      </c>
      <c r="AB3" s="137" t="str">
        <f t="shared" ref="AB3:AB11" si="2" xml:space="preserve"> _xlfn.XLOOKUP(VALUE(Y3),$B$3:$B$11,$I$3:$I$11,"N/A",0)</f>
        <v>U+0301</v>
      </c>
      <c r="AC3" s="137" t="str">
        <f t="shared" ref="AC3:AC11" si="3" xml:space="preserve"> _xlfn.CONCAT(Z3, _xlfn.UNICHAR(HEX2DEC(RIGHT(AB3,4))))</f>
        <v>ó</v>
      </c>
      <c r="AD3" s="139" t="str">
        <f t="shared" ref="AD3:AD11" si="4" xml:space="preserve"> REPLACE(X3,AA3,1,AC3)</f>
        <v>dóng</v>
      </c>
      <c r="AF3" s="138" t="str">
        <f>_xlfn.CONCAT("(""",U3,""", """,V3,""", """,W3,""", """,AD3,"""), ")</f>
        <v xml:space="preserve">("同", "tong5", "dong2", "dóng"), </v>
      </c>
    </row>
    <row r="4" spans="2:32" ht="56.25" customHeight="1">
      <c r="B4" s="42">
        <v>1</v>
      </c>
      <c r="C4" s="42">
        <v>1</v>
      </c>
      <c r="D4" s="39" t="s">
        <v>25</v>
      </c>
      <c r="E4" s="39" t="s">
        <v>24</v>
      </c>
      <c r="F4" s="117">
        <v>44</v>
      </c>
      <c r="G4" s="129" t="s">
        <v>26</v>
      </c>
      <c r="H4" s="131" t="s">
        <v>46</v>
      </c>
      <c r="I4" s="127" t="s">
        <v>334</v>
      </c>
      <c r="J4" s="123" t="str">
        <f xml:space="preserve"> IFERROR( _xlfn.CONCAT("a", _xlfn.UNICHAR(HEX2DEC(RIGHT(I4,4)))), "")</f>
        <v>ā</v>
      </c>
      <c r="K4" s="124" t="s">
        <v>38</v>
      </c>
      <c r="L4" s="119" t="str">
        <f xml:space="preserve"> _xlfn.CONCAT("dong", B4)</f>
        <v>dong1</v>
      </c>
      <c r="M4" s="120" t="str">
        <f t="shared" ref="M4:M9" si="5" xml:space="preserve"> IFERROR( _xlfn.CONCAT("d", "o", _xlfn.UNICHAR(HEX2DEC(RIGHT(I4,4))), "ng"), "")</f>
        <v>dōng</v>
      </c>
      <c r="N4" s="119" t="str">
        <f xml:space="preserve"> _xlfn.CONCAT("dong", K4)</f>
        <v>dong;</v>
      </c>
      <c r="O4" s="133"/>
      <c r="P4" s="134" t="str">
        <f xml:space="preserve"> _xlfn.CONCAT("ㄚ",)</f>
        <v>ㄚ</v>
      </c>
      <c r="Q4" s="133" t="s">
        <v>372</v>
      </c>
      <c r="R4" s="133" t="s">
        <v>214</v>
      </c>
      <c r="S4" s="133" t="s">
        <v>356</v>
      </c>
      <c r="U4" s="130" t="s">
        <v>304</v>
      </c>
      <c r="V4" s="139" t="s">
        <v>401</v>
      </c>
      <c r="W4" s="139" t="s">
        <v>388</v>
      </c>
      <c r="X4" s="137" t="str">
        <f t="shared" si="0"/>
        <v>gun</v>
      </c>
      <c r="Y4" s="137" t="str">
        <f t="shared" si="1"/>
        <v>3</v>
      </c>
      <c r="Z4" s="137" t="s">
        <v>390</v>
      </c>
      <c r="AA4" s="137">
        <f t="shared" ref="AA4:AA11" si="6" xml:space="preserve"> SEARCH(Z4,W4)</f>
        <v>2</v>
      </c>
      <c r="AB4" s="137" t="str">
        <f t="shared" si="2"/>
        <v>U+030C</v>
      </c>
      <c r="AC4" s="137" t="str">
        <f t="shared" si="3"/>
        <v>ǔ</v>
      </c>
      <c r="AD4" s="139" t="str">
        <f t="shared" si="4"/>
        <v>gǔn</v>
      </c>
      <c r="AF4" s="138" t="str">
        <f t="shared" ref="AF4:AF30" si="7">_xlfn.CONCAT("(""",U4,""", """,V4,""", """,W4,""", """,AD4,"""), ")</f>
        <v xml:space="preserve">("滾", "kun2", "gun3", "gǔn"), </v>
      </c>
    </row>
    <row r="5" spans="2:32" ht="56.25" customHeight="1">
      <c r="B5" s="46">
        <v>2</v>
      </c>
      <c r="C5" s="46">
        <v>5</v>
      </c>
      <c r="D5" s="48" t="s">
        <v>14</v>
      </c>
      <c r="E5" s="48" t="s">
        <v>13</v>
      </c>
      <c r="F5" s="118">
        <v>13</v>
      </c>
      <c r="G5" s="130" t="s">
        <v>15</v>
      </c>
      <c r="H5" s="132" t="s">
        <v>298</v>
      </c>
      <c r="I5" s="128" t="s">
        <v>335</v>
      </c>
      <c r="J5" s="125" t="str">
        <f xml:space="preserve"> IFERROR( _xlfn.CONCAT("a", _xlfn.UNICHAR(HEX2DEC(RIGHT(I5,4)))), "")</f>
        <v>á</v>
      </c>
      <c r="K5" s="126" t="s">
        <v>42</v>
      </c>
      <c r="L5" s="121" t="str">
        <f xml:space="preserve"> _xlfn.CONCAT("dong", B5)</f>
        <v>dong2</v>
      </c>
      <c r="M5" s="122" t="str">
        <f t="shared" si="5"/>
        <v>dóng</v>
      </c>
      <c r="N5" s="121" t="str">
        <f xml:space="preserve"> _xlfn.CONCAT("dong", K5)</f>
        <v>dong/</v>
      </c>
      <c r="O5" s="135" t="s">
        <v>335</v>
      </c>
      <c r="P5" s="136" t="str">
        <f xml:space="preserve"> _xlfn.CONCAT("ㄚ ",_xlfn.UNICHAR(HEX2DEC(RIGHT(O5,4))))</f>
        <v>ㄚ ́</v>
      </c>
      <c r="Q5" s="135" t="s">
        <v>377</v>
      </c>
      <c r="R5" s="135" t="s">
        <v>218</v>
      </c>
      <c r="S5" s="135" t="s">
        <v>357</v>
      </c>
      <c r="U5" s="130" t="s">
        <v>389</v>
      </c>
      <c r="V5" s="139" t="s">
        <v>402</v>
      </c>
      <c r="W5" s="139" t="s">
        <v>403</v>
      </c>
      <c r="X5" s="137" t="str">
        <f t="shared" si="0"/>
        <v>yao</v>
      </c>
      <c r="Y5" s="137" t="str">
        <f t="shared" si="1"/>
        <v>1</v>
      </c>
      <c r="Z5" s="137" t="s">
        <v>391</v>
      </c>
      <c r="AA5" s="137">
        <f t="shared" si="6"/>
        <v>2</v>
      </c>
      <c r="AB5" s="137" t="str">
        <f t="shared" si="2"/>
        <v>U+0304</v>
      </c>
      <c r="AC5" s="137" t="str">
        <f t="shared" si="3"/>
        <v>ā</v>
      </c>
      <c r="AD5" s="139" t="str">
        <f t="shared" si="4"/>
        <v>yāo</v>
      </c>
      <c r="AF5" s="138" t="str">
        <f t="shared" si="7"/>
        <v xml:space="preserve">("腰", "iau1", "yao1", "yāo"), </v>
      </c>
    </row>
    <row r="6" spans="2:32" ht="56.25" customHeight="1">
      <c r="B6" s="42">
        <v>3</v>
      </c>
      <c r="C6" s="42">
        <v>4</v>
      </c>
      <c r="D6" s="39" t="s">
        <v>36</v>
      </c>
      <c r="E6" s="39" t="s">
        <v>11</v>
      </c>
      <c r="F6" s="117">
        <v>53</v>
      </c>
      <c r="G6" s="129" t="s">
        <v>9</v>
      </c>
      <c r="H6" s="131" t="s">
        <v>296</v>
      </c>
      <c r="I6" s="127" t="s">
        <v>336</v>
      </c>
      <c r="J6" s="123" t="str">
        <f xml:space="preserve"> IFERROR( _xlfn.CONCAT("a", _xlfn.UNICHAR(HEX2DEC(RIGHT(I6,4)))), "")</f>
        <v>ǎ</v>
      </c>
      <c r="K6" s="124" t="s">
        <v>41</v>
      </c>
      <c r="L6" s="119" t="str">
        <f xml:space="preserve"> _xlfn.CONCAT("dong", B6)</f>
        <v>dong3</v>
      </c>
      <c r="M6" s="120" t="str">
        <f t="shared" si="5"/>
        <v>dǒng</v>
      </c>
      <c r="N6" s="119" t="str">
        <f xml:space="preserve"> _xlfn.CONCAT("dong", K6)</f>
        <v>dong\</v>
      </c>
      <c r="O6" s="133" t="s">
        <v>337</v>
      </c>
      <c r="P6" s="134" t="str">
        <f xml:space="preserve"> _xlfn.CONCAT("ㄚ ",_xlfn.UNICHAR(HEX2DEC(RIGHT(O6,4))))</f>
        <v>ㄚ ̀</v>
      </c>
      <c r="Q6" s="133" t="s">
        <v>373</v>
      </c>
      <c r="R6" s="133" t="s">
        <v>215</v>
      </c>
      <c r="S6" s="133" t="s">
        <v>358</v>
      </c>
      <c r="U6" s="130" t="s">
        <v>394</v>
      </c>
      <c r="V6" s="139" t="s">
        <v>392</v>
      </c>
      <c r="W6" s="139" t="s">
        <v>399</v>
      </c>
      <c r="X6" s="137" t="str">
        <f t="shared" si="0"/>
        <v>yi</v>
      </c>
      <c r="Y6" s="137" t="str">
        <f t="shared" si="1"/>
        <v>1</v>
      </c>
      <c r="Z6" s="137" t="s">
        <v>393</v>
      </c>
      <c r="AA6" s="137">
        <f t="shared" si="6"/>
        <v>2</v>
      </c>
      <c r="AB6" s="137" t="str">
        <f t="shared" si="2"/>
        <v>U+0304</v>
      </c>
      <c r="AC6" s="137" t="str">
        <f t="shared" si="3"/>
        <v>ī</v>
      </c>
      <c r="AD6" s="139" t="str">
        <f t="shared" si="4"/>
        <v>yī</v>
      </c>
      <c r="AF6" s="138" t="str">
        <f t="shared" si="7"/>
        <v xml:space="preserve">("伊", "i1", "yi1", "yī"), </v>
      </c>
    </row>
    <row r="7" spans="2:32" ht="56.25" customHeight="1">
      <c r="B7" s="46">
        <v>4</v>
      </c>
      <c r="C7" s="46">
        <v>99</v>
      </c>
      <c r="D7" s="48" t="s">
        <v>295</v>
      </c>
      <c r="E7" s="48"/>
      <c r="F7" s="118"/>
      <c r="G7" s="130"/>
      <c r="H7" s="132"/>
      <c r="I7" s="128"/>
      <c r="J7" s="125"/>
      <c r="K7" s="126"/>
      <c r="L7" s="121"/>
      <c r="M7" s="122" t="str">
        <f t="shared" si="5"/>
        <v/>
      </c>
      <c r="N7" s="121"/>
      <c r="O7" s="135"/>
      <c r="P7" s="136"/>
      <c r="Q7" s="135" t="s">
        <v>4</v>
      </c>
      <c r="R7" s="135"/>
      <c r="S7" s="135"/>
      <c r="U7" s="130" t="s">
        <v>395</v>
      </c>
      <c r="V7" s="139" t="s">
        <v>396</v>
      </c>
      <c r="W7" s="139" t="s">
        <v>398</v>
      </c>
      <c r="X7" s="137" t="str">
        <f t="shared" si="0"/>
        <v>yim</v>
      </c>
      <c r="Y7" s="137" t="str">
        <f t="shared" si="1"/>
        <v>1</v>
      </c>
      <c r="Z7" s="137" t="s">
        <v>393</v>
      </c>
      <c r="AA7" s="137">
        <f t="shared" si="6"/>
        <v>2</v>
      </c>
      <c r="AB7" s="137" t="str">
        <f t="shared" si="2"/>
        <v>U+0304</v>
      </c>
      <c r="AC7" s="137" t="str">
        <f t="shared" si="3"/>
        <v>ī</v>
      </c>
      <c r="AD7" s="139" t="str">
        <f t="shared" si="4"/>
        <v>yīm</v>
      </c>
      <c r="AF7" s="138" t="str">
        <f t="shared" si="7"/>
        <v xml:space="preserve">("音", "im1", "yim1", "yīm"), </v>
      </c>
    </row>
    <row r="8" spans="2:32" ht="56.25" customHeight="1">
      <c r="B8" s="42">
        <v>5</v>
      </c>
      <c r="C8" s="42">
        <v>3</v>
      </c>
      <c r="D8" s="39" t="s">
        <v>18</v>
      </c>
      <c r="E8" s="39" t="s">
        <v>17</v>
      </c>
      <c r="F8" s="117">
        <v>21</v>
      </c>
      <c r="G8" s="129" t="s">
        <v>19</v>
      </c>
      <c r="H8" s="131" t="s">
        <v>297</v>
      </c>
      <c r="I8" s="127" t="s">
        <v>337</v>
      </c>
      <c r="J8" s="123" t="str">
        <f xml:space="preserve"> IFERROR( _xlfn.CONCAT("a", _xlfn.UNICHAR(HEX2DEC(RIGHT(I8,4)))), "")</f>
        <v>à</v>
      </c>
      <c r="K8" s="124" t="s">
        <v>40</v>
      </c>
      <c r="L8" s="119" t="str">
        <f xml:space="preserve"> _xlfn.CONCAT("dong", B8)</f>
        <v>dong5</v>
      </c>
      <c r="M8" s="120" t="str">
        <f t="shared" si="5"/>
        <v>dòng</v>
      </c>
      <c r="N8" s="119" t="str">
        <f xml:space="preserve"> _xlfn.CONCAT("dong", K8)</f>
        <v>dong_</v>
      </c>
      <c r="O8" s="133" t="s">
        <v>368</v>
      </c>
      <c r="P8" s="134" t="str">
        <f xml:space="preserve"> _xlfn.CONCAT("ㄚ",_xlfn.UNICHAR(HEX2DEC(RIGHT(O8,4))))</f>
        <v>ㄚ˪</v>
      </c>
      <c r="Q8" s="133" t="s">
        <v>374</v>
      </c>
      <c r="R8" s="133" t="s">
        <v>216</v>
      </c>
      <c r="S8" s="133" t="s">
        <v>359</v>
      </c>
      <c r="U8" s="130" t="s">
        <v>397</v>
      </c>
      <c r="V8" s="139" t="s">
        <v>404</v>
      </c>
      <c r="W8" s="139" t="s">
        <v>464</v>
      </c>
      <c r="X8" s="137" t="str">
        <f t="shared" si="0"/>
        <v>yu</v>
      </c>
      <c r="Y8" s="137" t="str">
        <f t="shared" si="1"/>
        <v>2</v>
      </c>
      <c r="Z8" s="137" t="s">
        <v>390</v>
      </c>
      <c r="AA8" s="137">
        <f t="shared" si="6"/>
        <v>2</v>
      </c>
      <c r="AB8" s="137" t="str">
        <f t="shared" si="2"/>
        <v>U+0301</v>
      </c>
      <c r="AC8" s="137" t="str">
        <f t="shared" si="3"/>
        <v>ú</v>
      </c>
      <c r="AD8" s="139" t="str">
        <f t="shared" si="4"/>
        <v>yú</v>
      </c>
      <c r="AF8" s="138" t="str">
        <f t="shared" si="7"/>
        <v xml:space="preserve">("油", "iu5", "yu2", "yú"), </v>
      </c>
    </row>
    <row r="9" spans="2:32" ht="56.25" customHeight="1">
      <c r="B9" s="46">
        <v>6</v>
      </c>
      <c r="C9" s="46">
        <v>2</v>
      </c>
      <c r="D9" s="48" t="s">
        <v>22</v>
      </c>
      <c r="E9" s="48" t="s">
        <v>21</v>
      </c>
      <c r="F9" s="118">
        <v>22</v>
      </c>
      <c r="G9" s="130" t="s">
        <v>23</v>
      </c>
      <c r="H9" s="132" t="s">
        <v>380</v>
      </c>
      <c r="I9" s="128" t="s">
        <v>314</v>
      </c>
      <c r="J9" s="125" t="str">
        <f xml:space="preserve"> IFERROR( _xlfn.CONCAT("a", _xlfn.UNICHAR(HEX2DEC(RIGHT(I9,4)))), "")</f>
        <v>â</v>
      </c>
      <c r="K9" s="126" t="s">
        <v>39</v>
      </c>
      <c r="L9" s="121" t="str">
        <f xml:space="preserve"> _xlfn.CONCAT("dong", B9)</f>
        <v>dong6</v>
      </c>
      <c r="M9" s="122" t="str">
        <f t="shared" si="5"/>
        <v>dông</v>
      </c>
      <c r="N9" s="121" t="str">
        <f xml:space="preserve"> _xlfn.CONCAT("dong", K9)</f>
        <v>dong-</v>
      </c>
      <c r="O9" s="135" t="s">
        <v>369</v>
      </c>
      <c r="P9" s="136" t="str">
        <f xml:space="preserve"> _xlfn.CONCAT("ㄚ",_xlfn.UNICHAR(HEX2DEC(RIGHT(O9,4))))</f>
        <v>ㄚ˫</v>
      </c>
      <c r="Q9" s="135" t="s">
        <v>378</v>
      </c>
      <c r="R9" s="135" t="s">
        <v>219</v>
      </c>
      <c r="S9" s="135" t="s">
        <v>360</v>
      </c>
      <c r="U9" s="130" t="s">
        <v>406</v>
      </c>
      <c r="V9" s="139" t="s">
        <v>405</v>
      </c>
      <c r="W9" s="139" t="s">
        <v>465</v>
      </c>
      <c r="X9" s="137" t="str">
        <f t="shared" si="0"/>
        <v>wun</v>
      </c>
      <c r="Y9" s="137" t="str">
        <f t="shared" si="1"/>
        <v>1</v>
      </c>
      <c r="Z9" s="137" t="s">
        <v>390</v>
      </c>
      <c r="AA9" s="137">
        <f t="shared" si="6"/>
        <v>2</v>
      </c>
      <c r="AB9" s="137" t="str">
        <f t="shared" si="2"/>
        <v>U+0304</v>
      </c>
      <c r="AC9" s="137" t="str">
        <f t="shared" si="3"/>
        <v>ū</v>
      </c>
      <c r="AD9" s="139" t="str">
        <f t="shared" si="4"/>
        <v>wūn</v>
      </c>
      <c r="AF9" s="138" t="str">
        <f t="shared" si="7"/>
        <v xml:space="preserve">("溫", "un1", "wun1", "wūn"), </v>
      </c>
    </row>
    <row r="10" spans="2:32" ht="56.25" customHeight="1">
      <c r="B10" s="42">
        <v>7</v>
      </c>
      <c r="C10" s="42">
        <v>7</v>
      </c>
      <c r="D10" s="39" t="s">
        <v>6</v>
      </c>
      <c r="E10" s="39" t="s">
        <v>5</v>
      </c>
      <c r="F10" s="117">
        <v>32</v>
      </c>
      <c r="G10" s="129" t="s">
        <v>7</v>
      </c>
      <c r="H10" s="131" t="s">
        <v>34</v>
      </c>
      <c r="I10" s="127" t="s">
        <v>334</v>
      </c>
      <c r="J10" s="123" t="str">
        <f xml:space="preserve"> IFERROR( _xlfn.CONCAT("a", _xlfn.UNICHAR(HEX2DEC(RIGHT(I10,4))), "h"), "")</f>
        <v>āh</v>
      </c>
      <c r="K10" s="124" t="s">
        <v>43</v>
      </c>
      <c r="L10" s="119" t="str">
        <f xml:space="preserve"> _xlfn.CONCAT("dok", B10)</f>
        <v>dok7</v>
      </c>
      <c r="M10" s="120" t="str">
        <f xml:space="preserve"> IFERROR( _xlfn.CONCAT("d", "o", _xlfn.UNICHAR(HEX2DEC(RIGHT(I10,4))), "k"), "")</f>
        <v>dōk</v>
      </c>
      <c r="N10" s="119" t="str">
        <f xml:space="preserve"> _xlfn.CONCAT("dok", K10)</f>
        <v>dok[</v>
      </c>
      <c r="O10" s="133"/>
      <c r="P10" s="134" t="str">
        <f xml:space="preserve"> _xlfn.CONCAT("ㄚ", "ㆷ")</f>
        <v>ㄚㆷ</v>
      </c>
      <c r="Q10" s="133" t="s">
        <v>375</v>
      </c>
      <c r="R10" s="133" t="s">
        <v>354</v>
      </c>
      <c r="S10" s="133" t="s">
        <v>361</v>
      </c>
      <c r="U10" s="130" t="s">
        <v>407</v>
      </c>
      <c r="V10" s="139" t="s">
        <v>409</v>
      </c>
      <c r="W10" s="139" t="s">
        <v>408</v>
      </c>
      <c r="X10" s="137" t="str">
        <f t="shared" si="0"/>
        <v>yong</v>
      </c>
      <c r="Y10" s="137" t="str">
        <f t="shared" si="1"/>
        <v>1</v>
      </c>
      <c r="Z10" s="137" t="s">
        <v>384</v>
      </c>
      <c r="AA10" s="137">
        <f t="shared" si="6"/>
        <v>2</v>
      </c>
      <c r="AB10" s="137" t="str">
        <f t="shared" si="2"/>
        <v>U+0304</v>
      </c>
      <c r="AC10" s="137" t="str">
        <f t="shared" si="3"/>
        <v>ō</v>
      </c>
      <c r="AD10" s="139" t="str">
        <f t="shared" si="4"/>
        <v>yōng</v>
      </c>
      <c r="AF10" s="138" t="str">
        <f t="shared" si="7"/>
        <v xml:space="preserve">("央", "iong1", "yong1", "yōng"), </v>
      </c>
    </row>
    <row r="11" spans="2:32" ht="56.25" customHeight="1">
      <c r="B11" s="46">
        <v>8</v>
      </c>
      <c r="C11" s="46">
        <v>8</v>
      </c>
      <c r="D11" s="48" t="s">
        <v>2</v>
      </c>
      <c r="E11" s="48" t="s">
        <v>1</v>
      </c>
      <c r="F11" s="118">
        <v>121</v>
      </c>
      <c r="G11" s="130" t="s">
        <v>3</v>
      </c>
      <c r="H11" s="132" t="s">
        <v>35</v>
      </c>
      <c r="I11" s="128" t="s">
        <v>335</v>
      </c>
      <c r="J11" s="125" t="str">
        <f xml:space="preserve"> IFERROR( _xlfn.CONCAT("a", _xlfn.UNICHAR(HEX2DEC(RIGHT(I11,4))), "h"), "")</f>
        <v>áh</v>
      </c>
      <c r="K11" s="126" t="s">
        <v>44</v>
      </c>
      <c r="L11" s="121" t="str">
        <f xml:space="preserve"> _xlfn.CONCAT("dok", B11)</f>
        <v>dok8</v>
      </c>
      <c r="M11" s="122" t="str">
        <f xml:space="preserve"> IFERROR( _xlfn.CONCAT("d", "o", _xlfn.UNICHAR(HEX2DEC(RIGHT(I11,4))), "k"), "")</f>
        <v>dók</v>
      </c>
      <c r="N11" s="121" t="str">
        <f xml:space="preserve"> _xlfn.CONCAT("dok", K11)</f>
        <v>dok]</v>
      </c>
      <c r="O11" s="135" t="s">
        <v>365</v>
      </c>
      <c r="P11" s="136" t="str">
        <f xml:space="preserve"> _xlfn.CONCAT("ㄚ", "ㆷ", _xlfn.UNICHAR(HEX2DEC(RIGHT(O11,4))))</f>
        <v>ㄚㆷ˙</v>
      </c>
      <c r="Q11" s="135" t="s">
        <v>44</v>
      </c>
      <c r="R11" s="135" t="s">
        <v>381</v>
      </c>
      <c r="S11" s="135" t="s">
        <v>362</v>
      </c>
      <c r="U11" s="130" t="s">
        <v>410</v>
      </c>
      <c r="V11" s="139" t="s">
        <v>411</v>
      </c>
      <c r="W11" s="139" t="s">
        <v>412</v>
      </c>
      <c r="X11" s="137" t="str">
        <f t="shared" si="0"/>
        <v>wan</v>
      </c>
      <c r="Y11" s="137" t="str">
        <f t="shared" si="1"/>
        <v>1</v>
      </c>
      <c r="Z11" s="137" t="s">
        <v>391</v>
      </c>
      <c r="AA11" s="137">
        <f t="shared" si="6"/>
        <v>2</v>
      </c>
      <c r="AB11" s="137" t="str">
        <f t="shared" si="2"/>
        <v>U+0304</v>
      </c>
      <c r="AC11" s="137" t="str">
        <f t="shared" si="3"/>
        <v>ā</v>
      </c>
      <c r="AD11" s="139" t="str">
        <f t="shared" si="4"/>
        <v>wān</v>
      </c>
      <c r="AF11" s="138" t="str">
        <f t="shared" si="7"/>
        <v xml:space="preserve">("彎", "uan1", "wan1", "wān"), </v>
      </c>
    </row>
    <row r="12" spans="2:32" ht="56.25" customHeight="1">
      <c r="U12" s="130" t="s">
        <v>413</v>
      </c>
      <c r="V12" s="139" t="s">
        <v>466</v>
      </c>
      <c r="W12" s="139" t="s">
        <v>432</v>
      </c>
      <c r="X12" s="137" t="str">
        <f t="shared" ref="X12:X30" si="8" xml:space="preserve"> LEFT(W12, LEN(W12)-1)</f>
        <v>cun</v>
      </c>
      <c r="Y12" s="137" t="str">
        <f t="shared" ref="Y12:Y23" si="9" xml:space="preserve"> RIGHT(W12)</f>
        <v>1</v>
      </c>
      <c r="Z12" s="137" t="s">
        <v>390</v>
      </c>
      <c r="AA12" s="137">
        <f t="shared" ref="AA12:AA23" si="10" xml:space="preserve"> SEARCH(Z12,W12)</f>
        <v>2</v>
      </c>
      <c r="AB12" s="137" t="str">
        <f t="shared" ref="AB12:AB23" si="11" xml:space="preserve"> _xlfn.XLOOKUP(VALUE(Y12),$B$3:$B$11,$I$3:$I$11,"N/A",0)</f>
        <v>U+0304</v>
      </c>
      <c r="AC12" s="137" t="str">
        <f t="shared" ref="AC12:AC23" si="12" xml:space="preserve"> _xlfn.CONCAT(Z12, _xlfn.UNICHAR(HEX2DEC(RIGHT(AB12,4))))</f>
        <v>ū</v>
      </c>
      <c r="AD12" s="139" t="str">
        <f t="shared" ref="AD12:AD23" si="13" xml:space="preserve"> REPLACE(X12,AA12,1,AC12)</f>
        <v>cūn</v>
      </c>
      <c r="AF12" s="138" t="str">
        <f t="shared" si="7"/>
        <v xml:space="preserve">("春", "tshun1", "cun1", "cūn"), </v>
      </c>
    </row>
    <row r="13" spans="2:32" ht="56.25" customHeight="1">
      <c r="U13" s="130" t="s">
        <v>414</v>
      </c>
      <c r="V13" s="139" t="s">
        <v>451</v>
      </c>
      <c r="W13" s="139" t="s">
        <v>433</v>
      </c>
      <c r="X13" s="137" t="str">
        <f t="shared" si="8"/>
        <v>bbian</v>
      </c>
      <c r="Y13" s="137" t="str">
        <f t="shared" si="9"/>
        <v>2</v>
      </c>
      <c r="Z13" s="137" t="s">
        <v>391</v>
      </c>
      <c r="AA13" s="137">
        <f t="shared" si="10"/>
        <v>4</v>
      </c>
      <c r="AB13" s="137" t="str">
        <f t="shared" si="11"/>
        <v>U+0301</v>
      </c>
      <c r="AC13" s="137" t="str">
        <f t="shared" si="12"/>
        <v>á</v>
      </c>
      <c r="AD13" s="139" t="str">
        <f t="shared" si="13"/>
        <v>bbián</v>
      </c>
      <c r="AF13" s="138" t="str">
        <f t="shared" si="7"/>
        <v xml:space="preserve">("眠", "bian5", "bbian2", "bbián"), </v>
      </c>
    </row>
    <row r="14" spans="2:32" ht="56.25" customHeight="1">
      <c r="U14" s="130" t="s">
        <v>415</v>
      </c>
      <c r="V14" s="139" t="s">
        <v>452</v>
      </c>
      <c r="W14" s="139" t="s">
        <v>434</v>
      </c>
      <c r="X14" s="137" t="str">
        <f t="shared" si="8"/>
        <v>but</v>
      </c>
      <c r="Y14" s="137" t="str">
        <f t="shared" si="9"/>
        <v>7</v>
      </c>
      <c r="Z14" s="137" t="s">
        <v>390</v>
      </c>
      <c r="AA14" s="137">
        <f t="shared" si="10"/>
        <v>2</v>
      </c>
      <c r="AB14" s="137" t="str">
        <f t="shared" si="11"/>
        <v>U+0304</v>
      </c>
      <c r="AC14" s="137" t="str">
        <f t="shared" si="12"/>
        <v>ū</v>
      </c>
      <c r="AD14" s="139" t="str">
        <f t="shared" si="13"/>
        <v>būt</v>
      </c>
      <c r="AF14" s="138" t="str">
        <f t="shared" si="7"/>
        <v xml:space="preserve">("不", "put4", "but7", "būt"), </v>
      </c>
    </row>
    <row r="15" spans="2:32" ht="56.25" customHeight="1">
      <c r="U15" s="130" t="s">
        <v>416</v>
      </c>
      <c r="V15" s="139" t="s">
        <v>453</v>
      </c>
      <c r="W15" s="139" t="s">
        <v>435</v>
      </c>
      <c r="X15" s="137" t="str">
        <f t="shared" si="8"/>
        <v>gak</v>
      </c>
      <c r="Y15" s="137" t="str">
        <f t="shared" si="9"/>
        <v>7</v>
      </c>
      <c r="Z15" s="137" t="s">
        <v>391</v>
      </c>
      <c r="AA15" s="137">
        <f t="shared" si="10"/>
        <v>2</v>
      </c>
      <c r="AB15" s="137" t="str">
        <f t="shared" si="11"/>
        <v>U+0304</v>
      </c>
      <c r="AC15" s="137" t="str">
        <f t="shared" si="12"/>
        <v>ā</v>
      </c>
      <c r="AD15" s="139" t="str">
        <f t="shared" si="13"/>
        <v>gāk</v>
      </c>
      <c r="AF15" s="138" t="str">
        <f t="shared" si="7"/>
        <v xml:space="preserve">("覺", "kak4", "gak7", "gāk"), </v>
      </c>
    </row>
    <row r="16" spans="2:32" ht="56.25" customHeight="1">
      <c r="U16" s="130" t="s">
        <v>417</v>
      </c>
      <c r="V16" s="139" t="s">
        <v>454</v>
      </c>
      <c r="W16" s="139" t="s">
        <v>436</v>
      </c>
      <c r="X16" s="137" t="str">
        <f t="shared" si="8"/>
        <v>hiao</v>
      </c>
      <c r="Y16" s="137" t="str">
        <f t="shared" si="9"/>
        <v>3</v>
      </c>
      <c r="Z16" s="137" t="s">
        <v>391</v>
      </c>
      <c r="AA16" s="137">
        <f t="shared" si="10"/>
        <v>3</v>
      </c>
      <c r="AB16" s="137" t="str">
        <f t="shared" si="11"/>
        <v>U+030C</v>
      </c>
      <c r="AC16" s="137" t="str">
        <f t="shared" si="12"/>
        <v>ǎ</v>
      </c>
      <c r="AD16" s="139" t="str">
        <f t="shared" si="13"/>
        <v>hiǎo</v>
      </c>
      <c r="AF16" s="138" t="str">
        <f t="shared" si="7"/>
        <v xml:space="preserve">("曉", "hiau2", "hiao3", "hiǎo"), </v>
      </c>
    </row>
    <row r="17" spans="21:32" ht="56.25" customHeight="1">
      <c r="U17" s="130" t="s">
        <v>418</v>
      </c>
      <c r="V17" s="139" t="s">
        <v>467</v>
      </c>
      <c r="W17" s="139" t="s">
        <v>437</v>
      </c>
      <c r="X17" s="137" t="str">
        <f t="shared" si="8"/>
        <v>cu</v>
      </c>
      <c r="Y17" s="137" t="str">
        <f t="shared" si="9"/>
        <v>3</v>
      </c>
      <c r="Z17" s="137" t="s">
        <v>390</v>
      </c>
      <c r="AA17" s="137">
        <f t="shared" si="10"/>
        <v>2</v>
      </c>
      <c r="AB17" s="137" t="str">
        <f t="shared" si="11"/>
        <v>U+030C</v>
      </c>
      <c r="AC17" s="137" t="str">
        <f t="shared" si="12"/>
        <v>ǔ</v>
      </c>
      <c r="AD17" s="139" t="str">
        <f t="shared" si="13"/>
        <v>cǔ</v>
      </c>
      <c r="AF17" s="138" t="str">
        <f t="shared" si="7"/>
        <v xml:space="preserve">("處", "tshu2", "cu3", "cǔ"), </v>
      </c>
    </row>
    <row r="18" spans="21:32" ht="56.25" customHeight="1">
      <c r="U18" s="130" t="s">
        <v>419</v>
      </c>
      <c r="V18" s="139" t="s">
        <v>455</v>
      </c>
      <c r="W18" s="139" t="s">
        <v>438</v>
      </c>
      <c r="X18" s="137" t="str">
        <f t="shared" si="8"/>
        <v>bbun</v>
      </c>
      <c r="Y18" s="137" t="str">
        <f t="shared" si="9"/>
        <v>2</v>
      </c>
      <c r="Z18" s="137" t="s">
        <v>390</v>
      </c>
      <c r="AA18" s="137">
        <f t="shared" si="10"/>
        <v>3</v>
      </c>
      <c r="AB18" s="137" t="str">
        <f t="shared" si="11"/>
        <v>U+0301</v>
      </c>
      <c r="AC18" s="137" t="str">
        <f t="shared" si="12"/>
        <v>ú</v>
      </c>
      <c r="AD18" s="139" t="str">
        <f t="shared" si="13"/>
        <v>bbún</v>
      </c>
      <c r="AF18" s="138" t="str">
        <f t="shared" si="7"/>
        <v xml:space="preserve">("聞", "bun5", "bbun2", "bbún"), </v>
      </c>
    </row>
    <row r="19" spans="21:32" ht="56.25" customHeight="1">
      <c r="U19" s="130" t="s">
        <v>420</v>
      </c>
      <c r="V19" s="139" t="s">
        <v>456</v>
      </c>
      <c r="W19" s="139" t="s">
        <v>439</v>
      </c>
      <c r="X19" s="137" t="str">
        <f t="shared" si="8"/>
        <v>ti</v>
      </c>
      <c r="Y19" s="137" t="str">
        <f t="shared" si="9"/>
        <v>2</v>
      </c>
      <c r="Z19" s="137" t="s">
        <v>393</v>
      </c>
      <c r="AA19" s="137">
        <f t="shared" si="10"/>
        <v>2</v>
      </c>
      <c r="AB19" s="137" t="str">
        <f t="shared" si="11"/>
        <v>U+0301</v>
      </c>
      <c r="AC19" s="137" t="str">
        <f t="shared" si="12"/>
        <v>í</v>
      </c>
      <c r="AD19" s="139" t="str">
        <f t="shared" si="13"/>
        <v>tí</v>
      </c>
      <c r="AF19" s="138" t="str">
        <f t="shared" si="7"/>
        <v xml:space="preserve">("啼", "thi5", "ti2", "tí"), </v>
      </c>
    </row>
    <row r="20" spans="21:32" ht="56.25" customHeight="1">
      <c r="U20" s="130" t="s">
        <v>421</v>
      </c>
      <c r="V20" s="139" t="s">
        <v>463</v>
      </c>
      <c r="W20" s="139" t="s">
        <v>440</v>
      </c>
      <c r="X20" s="137" t="str">
        <f t="shared" si="8"/>
        <v>lniao</v>
      </c>
      <c r="Y20" s="137" t="str">
        <f t="shared" si="9"/>
        <v>3</v>
      </c>
      <c r="Z20" s="137" t="s">
        <v>391</v>
      </c>
      <c r="AA20" s="137">
        <f t="shared" si="10"/>
        <v>4</v>
      </c>
      <c r="AB20" s="137" t="str">
        <f t="shared" si="11"/>
        <v>U+030C</v>
      </c>
      <c r="AC20" s="137" t="str">
        <f t="shared" si="12"/>
        <v>ǎ</v>
      </c>
      <c r="AD20" s="139" t="str">
        <f t="shared" si="13"/>
        <v>lniǎo</v>
      </c>
      <c r="AF20" s="138" t="str">
        <f t="shared" si="7"/>
        <v xml:space="preserve">("鳥", "niau2", "lniao3", "lniǎo"), </v>
      </c>
    </row>
    <row r="21" spans="21:32" ht="56.25" customHeight="1">
      <c r="U21" s="130" t="s">
        <v>422</v>
      </c>
      <c r="V21" s="139" t="s">
        <v>457</v>
      </c>
      <c r="W21" s="139" t="s">
        <v>441</v>
      </c>
      <c r="X21" s="137" t="str">
        <f t="shared" si="8"/>
        <v>ya</v>
      </c>
      <c r="Y21" s="137" t="str">
        <f t="shared" si="9"/>
        <v>3</v>
      </c>
      <c r="Z21" s="137" t="s">
        <v>391</v>
      </c>
      <c r="AA21" s="137">
        <f t="shared" si="10"/>
        <v>2</v>
      </c>
      <c r="AB21" s="137" t="str">
        <f t="shared" si="11"/>
        <v>U+030C</v>
      </c>
      <c r="AC21" s="137" t="str">
        <f t="shared" si="12"/>
        <v>ǎ</v>
      </c>
      <c r="AD21" s="139" t="str">
        <f t="shared" si="13"/>
        <v>yǎ</v>
      </c>
      <c r="AF21" s="138" t="str">
        <f t="shared" si="7"/>
        <v xml:space="preserve">("夜", "ia2", "ya3", "yǎ"), </v>
      </c>
    </row>
    <row r="22" spans="21:32" ht="56.25" customHeight="1">
      <c r="U22" s="130" t="s">
        <v>423</v>
      </c>
      <c r="V22" s="139" t="s">
        <v>458</v>
      </c>
      <c r="W22" s="139" t="s">
        <v>442</v>
      </c>
      <c r="X22" s="137" t="str">
        <f t="shared" si="8"/>
        <v>lai</v>
      </c>
      <c r="Y22" s="137" t="str">
        <f t="shared" si="9"/>
        <v>2</v>
      </c>
      <c r="Z22" s="137" t="s">
        <v>391</v>
      </c>
      <c r="AA22" s="137">
        <f t="shared" si="10"/>
        <v>2</v>
      </c>
      <c r="AB22" s="137" t="str">
        <f t="shared" si="11"/>
        <v>U+0301</v>
      </c>
      <c r="AC22" s="137" t="str">
        <f t="shared" si="12"/>
        <v>á</v>
      </c>
      <c r="AD22" s="139" t="str">
        <f t="shared" si="13"/>
        <v>lái</v>
      </c>
      <c r="AF22" s="138" t="str">
        <f t="shared" si="7"/>
        <v xml:space="preserve">("來", "lai5", "lai2", "lái"), </v>
      </c>
    </row>
    <row r="23" spans="21:32" ht="56.25" customHeight="1">
      <c r="U23" s="130" t="s">
        <v>424</v>
      </c>
      <c r="V23" s="139" t="s">
        <v>443</v>
      </c>
      <c r="W23" s="139" t="s">
        <v>443</v>
      </c>
      <c r="X23" s="137" t="str">
        <f t="shared" si="8"/>
        <v>hong</v>
      </c>
      <c r="Y23" s="137" t="str">
        <f t="shared" si="9"/>
        <v>1</v>
      </c>
      <c r="Z23" s="137" t="s">
        <v>384</v>
      </c>
      <c r="AA23" s="137">
        <f t="shared" si="10"/>
        <v>2</v>
      </c>
      <c r="AB23" s="137" t="str">
        <f t="shared" si="11"/>
        <v>U+0304</v>
      </c>
      <c r="AC23" s="137" t="str">
        <f t="shared" si="12"/>
        <v>ō</v>
      </c>
      <c r="AD23" s="139" t="str">
        <f t="shared" si="13"/>
        <v>hōng</v>
      </c>
      <c r="AF23" s="138" t="str">
        <f t="shared" si="7"/>
        <v xml:space="preserve">("風", "hong1", "hong1", "hōng"), </v>
      </c>
    </row>
    <row r="24" spans="21:32" ht="57.75">
      <c r="U24" s="130" t="s">
        <v>425</v>
      </c>
      <c r="V24" s="139" t="s">
        <v>459</v>
      </c>
      <c r="W24" s="139" t="s">
        <v>444</v>
      </c>
      <c r="X24" s="137" t="str">
        <f t="shared" si="8"/>
        <v>wu</v>
      </c>
      <c r="Y24" s="137" t="str">
        <f t="shared" ref="Y24:Y30" si="14" xml:space="preserve"> RIGHT(W24)</f>
        <v>3</v>
      </c>
      <c r="Z24" s="137" t="s">
        <v>390</v>
      </c>
      <c r="AA24" s="137">
        <f t="shared" ref="AA24:AA30" si="15" xml:space="preserve"> SEARCH(Z24,W24)</f>
        <v>2</v>
      </c>
      <c r="AB24" s="137" t="str">
        <f t="shared" ref="AB24:AB30" si="16" xml:space="preserve"> _xlfn.XLOOKUP(VALUE(Y24),$B$3:$B$11,$I$3:$I$11,"N/A",0)</f>
        <v>U+030C</v>
      </c>
      <c r="AC24" s="137" t="str">
        <f t="shared" ref="AC24:AC30" si="17" xml:space="preserve"> _xlfn.CONCAT(Z24, _xlfn.UNICHAR(HEX2DEC(RIGHT(AB24,4))))</f>
        <v>ǔ</v>
      </c>
      <c r="AD24" s="139" t="str">
        <f t="shared" ref="AD24:AD30" si="18" xml:space="preserve"> REPLACE(X24,AA24,1,AC24)</f>
        <v>wǔ</v>
      </c>
      <c r="AF24" s="138" t="str">
        <f t="shared" si="7"/>
        <v xml:space="preserve">("雨", "u2", "wu3", "wǔ"), </v>
      </c>
    </row>
    <row r="25" spans="21:32" ht="57.75">
      <c r="U25" s="130" t="s">
        <v>426</v>
      </c>
      <c r="V25" s="139" t="s">
        <v>445</v>
      </c>
      <c r="W25" s="139" t="s">
        <v>445</v>
      </c>
      <c r="X25" s="137" t="str">
        <f t="shared" si="8"/>
        <v>sing</v>
      </c>
      <c r="Y25" s="137" t="str">
        <f t="shared" si="14"/>
        <v>1</v>
      </c>
      <c r="Z25" s="137" t="s">
        <v>393</v>
      </c>
      <c r="AA25" s="137">
        <f t="shared" si="15"/>
        <v>2</v>
      </c>
      <c r="AB25" s="137" t="str">
        <f t="shared" si="16"/>
        <v>U+0304</v>
      </c>
      <c r="AC25" s="137" t="str">
        <f t="shared" si="17"/>
        <v>ī</v>
      </c>
      <c r="AD25" s="139" t="str">
        <f t="shared" si="18"/>
        <v>sīng</v>
      </c>
      <c r="AF25" s="138" t="str">
        <f t="shared" si="7"/>
        <v xml:space="preserve">("聲", "sing1", "sing1", "sīng"), </v>
      </c>
    </row>
    <row r="26" spans="21:32" ht="57.75">
      <c r="U26" s="130" t="s">
        <v>427</v>
      </c>
      <c r="V26" s="139" t="s">
        <v>446</v>
      </c>
      <c r="W26" s="139" t="s">
        <v>446</v>
      </c>
      <c r="X26" s="137" t="str">
        <f t="shared" si="8"/>
        <v>hua</v>
      </c>
      <c r="Y26" s="137" t="str">
        <f t="shared" si="14"/>
        <v>1</v>
      </c>
      <c r="Z26" s="137" t="s">
        <v>391</v>
      </c>
      <c r="AA26" s="137">
        <f t="shared" si="15"/>
        <v>3</v>
      </c>
      <c r="AB26" s="137" t="str">
        <f t="shared" si="16"/>
        <v>U+0304</v>
      </c>
      <c r="AC26" s="137" t="str">
        <f t="shared" si="17"/>
        <v>ā</v>
      </c>
      <c r="AD26" s="139" t="str">
        <f t="shared" si="18"/>
        <v>huā</v>
      </c>
      <c r="AF26" s="138" t="str">
        <f t="shared" si="7"/>
        <v xml:space="preserve">("花", "hua1", "hua1", "huā"), </v>
      </c>
    </row>
    <row r="27" spans="21:32" ht="57.75">
      <c r="U27" s="130" t="s">
        <v>428</v>
      </c>
      <c r="V27" s="139" t="s">
        <v>447</v>
      </c>
      <c r="W27" s="139" t="s">
        <v>447</v>
      </c>
      <c r="X27" s="137" t="str">
        <f t="shared" si="8"/>
        <v>lok</v>
      </c>
      <c r="Y27" s="137" t="str">
        <f t="shared" si="14"/>
        <v>8</v>
      </c>
      <c r="Z27" s="137" t="s">
        <v>384</v>
      </c>
      <c r="AA27" s="137">
        <f t="shared" si="15"/>
        <v>2</v>
      </c>
      <c r="AB27" s="137" t="str">
        <f t="shared" si="16"/>
        <v>U+0301</v>
      </c>
      <c r="AC27" s="137" t="str">
        <f t="shared" si="17"/>
        <v>ó</v>
      </c>
      <c r="AD27" s="139" t="str">
        <f t="shared" si="18"/>
        <v>lók</v>
      </c>
      <c r="AF27" s="138" t="str">
        <f t="shared" si="7"/>
        <v xml:space="preserve">("落", "lok8", "lok8", "lók"), </v>
      </c>
    </row>
    <row r="28" spans="21:32" ht="57.75">
      <c r="U28" s="130" t="s">
        <v>429</v>
      </c>
      <c r="V28" s="139" t="s">
        <v>460</v>
      </c>
      <c r="W28" s="139" t="s">
        <v>448</v>
      </c>
      <c r="X28" s="137" t="str">
        <f t="shared" si="8"/>
        <v>di</v>
      </c>
      <c r="Y28" s="137" t="str">
        <f t="shared" si="14"/>
        <v>1</v>
      </c>
      <c r="Z28" s="137" t="s">
        <v>393</v>
      </c>
      <c r="AA28" s="137">
        <f t="shared" si="15"/>
        <v>2</v>
      </c>
      <c r="AB28" s="137" t="str">
        <f t="shared" si="16"/>
        <v>U+0304</v>
      </c>
      <c r="AC28" s="137" t="str">
        <f t="shared" si="17"/>
        <v>ī</v>
      </c>
      <c r="AD28" s="139" t="str">
        <f t="shared" si="18"/>
        <v>dī</v>
      </c>
      <c r="AF28" s="138" t="str">
        <f t="shared" si="7"/>
        <v xml:space="preserve">("知", "ti1", "di1", "dī"), </v>
      </c>
    </row>
    <row r="29" spans="21:32" ht="57.75">
      <c r="U29" s="130" t="s">
        <v>430</v>
      </c>
      <c r="V29" s="139" t="s">
        <v>461</v>
      </c>
      <c r="W29" s="139" t="s">
        <v>449</v>
      </c>
      <c r="X29" s="137" t="str">
        <f t="shared" si="8"/>
        <v>do</v>
      </c>
      <c r="Y29" s="137" t="str">
        <f t="shared" si="14"/>
        <v>1</v>
      </c>
      <c r="Z29" s="137" t="s">
        <v>384</v>
      </c>
      <c r="AA29" s="137">
        <f t="shared" si="15"/>
        <v>2</v>
      </c>
      <c r="AB29" s="137" t="str">
        <f t="shared" si="16"/>
        <v>U+0304</v>
      </c>
      <c r="AC29" s="137" t="str">
        <f t="shared" si="17"/>
        <v>ō</v>
      </c>
      <c r="AD29" s="139" t="str">
        <f t="shared" si="18"/>
        <v>dō</v>
      </c>
      <c r="AF29" s="138" t="str">
        <f t="shared" si="7"/>
        <v xml:space="preserve">("多", "to1", "do1", "dō"), </v>
      </c>
    </row>
    <row r="30" spans="21:32" ht="57.75">
      <c r="U30" s="130" t="s">
        <v>431</v>
      </c>
      <c r="V30" s="139" t="s">
        <v>462</v>
      </c>
      <c r="W30" s="139" t="s">
        <v>450</v>
      </c>
      <c r="X30" s="137" t="str">
        <f t="shared" si="8"/>
        <v>siao</v>
      </c>
      <c r="Y30" s="137" t="str">
        <f t="shared" si="14"/>
        <v>5</v>
      </c>
      <c r="Z30" s="137" t="s">
        <v>391</v>
      </c>
      <c r="AA30" s="137">
        <f t="shared" si="15"/>
        <v>3</v>
      </c>
      <c r="AB30" s="137" t="str">
        <f t="shared" si="16"/>
        <v>U+0300</v>
      </c>
      <c r="AC30" s="137" t="str">
        <f t="shared" si="17"/>
        <v>à</v>
      </c>
      <c r="AD30" s="139" t="str">
        <f t="shared" si="18"/>
        <v>siào</v>
      </c>
      <c r="AF30" s="138" t="str">
        <f t="shared" si="7"/>
        <v xml:space="preserve">("少", "siau3", "siao5", "siào"), </v>
      </c>
    </row>
  </sheetData>
  <sortState xmlns:xlrd2="http://schemas.microsoft.com/office/spreadsheetml/2017/richdata2" ref="B3:S11">
    <sortCondition ref="B3:B11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BB3E1-D1E0-449D-ACB7-CFE9630C3C54}">
  <dimension ref="B1:S23"/>
  <sheetViews>
    <sheetView showOutlineSymbols="0" workbookViewId="0"/>
  </sheetViews>
  <sheetFormatPr defaultRowHeight="30"/>
  <cols>
    <col min="1" max="1" width="9" style="91"/>
    <col min="2" max="2" width="13.125" style="91" customWidth="1"/>
    <col min="3" max="10" width="13" style="91" customWidth="1"/>
    <col min="11" max="12" width="9" style="91"/>
    <col min="13" max="13" width="9" style="92"/>
    <col min="14" max="15" width="9" style="91"/>
    <col min="16" max="16" width="9.125" style="91" customWidth="1"/>
    <col min="17" max="19" width="13.375" style="93" customWidth="1"/>
    <col min="20" max="16384" width="9" style="91"/>
  </cols>
  <sheetData>
    <row r="1" spans="2:19">
      <c r="B1" s="90"/>
      <c r="C1" s="90"/>
      <c r="D1" s="90"/>
      <c r="E1" s="90"/>
      <c r="F1" s="90"/>
      <c r="G1" s="90"/>
      <c r="H1" s="90"/>
      <c r="I1" s="90"/>
      <c r="J1" s="90"/>
    </row>
    <row r="2" spans="2:19">
      <c r="B2" s="94" t="s">
        <v>51</v>
      </c>
      <c r="C2" s="94">
        <v>2</v>
      </c>
      <c r="D2" s="94">
        <v>3</v>
      </c>
      <c r="E2" s="94">
        <v>4</v>
      </c>
      <c r="F2" s="94">
        <v>5</v>
      </c>
      <c r="G2" s="94">
        <v>6</v>
      </c>
      <c r="H2" s="94">
        <v>7</v>
      </c>
      <c r="I2" s="94">
        <v>8</v>
      </c>
      <c r="J2" s="94">
        <v>9</v>
      </c>
    </row>
    <row r="3" spans="2:19" ht="42">
      <c r="B3" s="94" t="s">
        <v>52</v>
      </c>
      <c r="C3" s="95" t="s">
        <v>185</v>
      </c>
      <c r="D3" s="95" t="s">
        <v>186</v>
      </c>
      <c r="E3" s="96" t="s">
        <v>53</v>
      </c>
      <c r="F3" s="95" t="s">
        <v>120</v>
      </c>
      <c r="G3" s="95" t="s">
        <v>177</v>
      </c>
      <c r="H3" s="95" t="s">
        <v>178</v>
      </c>
      <c r="I3" s="95" t="s">
        <v>121</v>
      </c>
      <c r="J3" s="95" t="s">
        <v>122</v>
      </c>
      <c r="P3" s="95" t="s">
        <v>185</v>
      </c>
      <c r="Q3" s="92">
        <f xml:space="preserve"> IFERROR( HEX2DEC(RIGHT(P3,4)), "")</f>
        <v>769</v>
      </c>
      <c r="R3" s="92" t="str">
        <f xml:space="preserve"> IFERROR( _xlfn.CONCAT("o", _xlfn.UNICHAR(HEX2DEC(RIGHT(P3,4)))), "")</f>
        <v>ó</v>
      </c>
      <c r="S3" s="92" t="str">
        <f xml:space="preserve"> IFERROR( _xlfn.CONCAT("t", "o", _xlfn.UNICHAR(HEX2DEC(RIGHT($P3,4))), "ng"), "")</f>
        <v>tóng</v>
      </c>
    </row>
    <row r="4" spans="2:19" ht="42">
      <c r="B4" s="140" t="s">
        <v>54</v>
      </c>
      <c r="C4" s="141"/>
      <c r="D4" s="141"/>
      <c r="E4" s="141"/>
      <c r="F4" s="141"/>
      <c r="G4" s="141"/>
      <c r="H4" s="141"/>
      <c r="I4" s="141"/>
      <c r="J4" s="142"/>
      <c r="P4" s="95" t="s">
        <v>186</v>
      </c>
      <c r="Q4" s="92">
        <f t="shared" ref="Q4:Q10" si="0" xml:space="preserve"> IFERROR( HEX2DEC(RIGHT(P4,4)), "")</f>
        <v>768</v>
      </c>
      <c r="R4" s="92" t="str">
        <f t="shared" ref="R4:R10" si="1" xml:space="preserve"> IFERROR( _xlfn.CONCAT("o", _xlfn.UNICHAR(HEX2DEC(RIGHT(P4,4)))), "")</f>
        <v>ò</v>
      </c>
      <c r="S4" s="92" t="str">
        <f t="shared" ref="S4:S10" si="2" xml:space="preserve"> IFERROR( _xlfn.CONCAT("t", "o", _xlfn.UNICHAR(HEX2DEC(RIGHT($P4,4))), "ng"), "")</f>
        <v>tòng</v>
      </c>
    </row>
    <row r="5" spans="2:19">
      <c r="B5" s="94" t="s">
        <v>55</v>
      </c>
      <c r="C5" s="95" t="s">
        <v>123</v>
      </c>
      <c r="D5" s="95" t="s">
        <v>124</v>
      </c>
      <c r="E5" s="96" t="s">
        <v>56</v>
      </c>
      <c r="F5" s="95" t="s">
        <v>125</v>
      </c>
      <c r="G5" s="95" t="s">
        <v>179</v>
      </c>
      <c r="H5" s="95" t="s">
        <v>126</v>
      </c>
      <c r="I5" s="96" t="s">
        <v>57</v>
      </c>
      <c r="J5" s="96" t="s">
        <v>58</v>
      </c>
      <c r="L5" s="91" t="s">
        <v>190</v>
      </c>
      <c r="M5" s="92">
        <f xml:space="preserve"> HEX2DEC(RIGHT(C3,4))</f>
        <v>769</v>
      </c>
      <c r="P5" s="96" t="s">
        <v>53</v>
      </c>
      <c r="Q5" s="92" t="str">
        <f t="shared" si="0"/>
        <v/>
      </c>
      <c r="R5" s="92" t="str">
        <f t="shared" si="1"/>
        <v/>
      </c>
      <c r="S5" s="92" t="str">
        <f t="shared" si="2"/>
        <v/>
      </c>
    </row>
    <row r="6" spans="2:19" ht="42">
      <c r="B6" s="94" t="s">
        <v>59</v>
      </c>
      <c r="C6" s="95" t="s">
        <v>127</v>
      </c>
      <c r="D6" s="95" t="s">
        <v>128</v>
      </c>
      <c r="E6" s="96" t="s">
        <v>60</v>
      </c>
      <c r="F6" s="95" t="s">
        <v>129</v>
      </c>
      <c r="G6" s="95" t="s">
        <v>130</v>
      </c>
      <c r="H6" s="95" t="s">
        <v>131</v>
      </c>
      <c r="I6" s="96" t="s">
        <v>61</v>
      </c>
      <c r="J6" s="96" t="s">
        <v>62</v>
      </c>
      <c r="L6" s="91" t="s">
        <v>191</v>
      </c>
      <c r="M6" s="92" t="str">
        <f xml:space="preserve"> _xlfn.CONCAT("a", _xlfn.UNICHAR(M5))</f>
        <v>á</v>
      </c>
      <c r="P6" s="95" t="s">
        <v>120</v>
      </c>
      <c r="Q6" s="92">
        <f t="shared" si="0"/>
        <v>770</v>
      </c>
      <c r="R6" s="92" t="str">
        <f t="shared" si="1"/>
        <v>ô</v>
      </c>
      <c r="S6" s="92" t="str">
        <f t="shared" si="2"/>
        <v>tông</v>
      </c>
    </row>
    <row r="7" spans="2:19" ht="42">
      <c r="B7" s="94" t="s">
        <v>63</v>
      </c>
      <c r="C7" s="95" t="s">
        <v>132</v>
      </c>
      <c r="D7" s="95" t="s">
        <v>133</v>
      </c>
      <c r="E7" s="96" t="s">
        <v>64</v>
      </c>
      <c r="F7" s="95" t="s">
        <v>134</v>
      </c>
      <c r="G7" s="95" t="s">
        <v>180</v>
      </c>
      <c r="H7" s="95" t="s">
        <v>135</v>
      </c>
      <c r="I7" s="96" t="s">
        <v>65</v>
      </c>
      <c r="J7" s="96" t="s">
        <v>66</v>
      </c>
      <c r="P7" s="95" t="s">
        <v>177</v>
      </c>
      <c r="Q7" s="92">
        <f t="shared" si="0"/>
        <v>780</v>
      </c>
      <c r="R7" s="92" t="str">
        <f t="shared" si="1"/>
        <v>ǒ</v>
      </c>
      <c r="S7" s="92" t="str">
        <f t="shared" si="2"/>
        <v>tǒng</v>
      </c>
    </row>
    <row r="8" spans="2:19" ht="42">
      <c r="B8" s="94" t="s">
        <v>67</v>
      </c>
      <c r="C8" s="95" t="s">
        <v>136</v>
      </c>
      <c r="D8" s="95" t="s">
        <v>137</v>
      </c>
      <c r="E8" s="96" t="s">
        <v>68</v>
      </c>
      <c r="F8" s="95" t="s">
        <v>138</v>
      </c>
      <c r="G8" s="95" t="s">
        <v>181</v>
      </c>
      <c r="H8" s="95" t="s">
        <v>139</v>
      </c>
      <c r="I8" s="96" t="s">
        <v>69</v>
      </c>
      <c r="J8" s="95" t="s">
        <v>140</v>
      </c>
      <c r="M8" s="92" t="str">
        <f xml:space="preserve"> _xlfn.CONCAT("t", "o", _xlfn.UNICHAR(M5), "ng")</f>
        <v>tóng</v>
      </c>
      <c r="P8" s="95" t="s">
        <v>178</v>
      </c>
      <c r="Q8" s="92">
        <f t="shared" si="0"/>
        <v>772</v>
      </c>
      <c r="R8" s="92" t="str">
        <f t="shared" si="1"/>
        <v>ō</v>
      </c>
      <c r="S8" s="92" t="str">
        <f t="shared" si="2"/>
        <v>tōng</v>
      </c>
    </row>
    <row r="9" spans="2:19" ht="42">
      <c r="B9" s="94" t="s">
        <v>70</v>
      </c>
      <c r="C9" s="95" t="s">
        <v>141</v>
      </c>
      <c r="D9" s="95" t="s">
        <v>142</v>
      </c>
      <c r="E9" s="96" t="s">
        <v>71</v>
      </c>
      <c r="F9" s="95" t="s">
        <v>143</v>
      </c>
      <c r="G9" s="95" t="s">
        <v>182</v>
      </c>
      <c r="H9" s="95" t="s">
        <v>144</v>
      </c>
      <c r="I9" s="96" t="s">
        <v>72</v>
      </c>
      <c r="J9" s="95" t="s">
        <v>145</v>
      </c>
      <c r="P9" s="95" t="s">
        <v>121</v>
      </c>
      <c r="Q9" s="92">
        <f t="shared" si="0"/>
        <v>781</v>
      </c>
      <c r="R9" s="92" t="str">
        <f t="shared" si="1"/>
        <v>o̍</v>
      </c>
      <c r="S9" s="92" t="str">
        <f t="shared" si="2"/>
        <v>to̍ng</v>
      </c>
    </row>
    <row r="10" spans="2:19" ht="42">
      <c r="B10" s="94" t="s">
        <v>73</v>
      </c>
      <c r="C10" s="95" t="s">
        <v>146</v>
      </c>
      <c r="D10" s="96" t="s">
        <v>74</v>
      </c>
      <c r="E10" s="96" t="s">
        <v>75</v>
      </c>
      <c r="F10" s="96" t="s">
        <v>76</v>
      </c>
      <c r="G10" s="96" t="s">
        <v>77</v>
      </c>
      <c r="H10" s="96" t="s">
        <v>78</v>
      </c>
      <c r="I10" s="96" t="s">
        <v>79</v>
      </c>
      <c r="J10" s="96" t="s">
        <v>80</v>
      </c>
      <c r="P10" s="95" t="s">
        <v>122</v>
      </c>
      <c r="Q10" s="92">
        <f t="shared" si="0"/>
        <v>779</v>
      </c>
      <c r="R10" s="92" t="str">
        <f t="shared" si="1"/>
        <v>ő</v>
      </c>
      <c r="S10" s="92" t="str">
        <f t="shared" si="2"/>
        <v>tőng</v>
      </c>
    </row>
    <row r="11" spans="2:19">
      <c r="B11" s="94" t="s">
        <v>81</v>
      </c>
      <c r="C11" s="95" t="s">
        <v>147</v>
      </c>
      <c r="D11" s="95" t="s">
        <v>148</v>
      </c>
      <c r="E11" s="96" t="s">
        <v>82</v>
      </c>
      <c r="F11" s="96" t="s">
        <v>83</v>
      </c>
      <c r="G11" s="95" t="s">
        <v>149</v>
      </c>
      <c r="H11" s="96" t="s">
        <v>84</v>
      </c>
      <c r="I11" s="96" t="s">
        <v>85</v>
      </c>
      <c r="J11" s="96" t="s">
        <v>86</v>
      </c>
    </row>
    <row r="12" spans="2:19">
      <c r="B12" s="140" t="s">
        <v>87</v>
      </c>
      <c r="C12" s="141"/>
      <c r="D12" s="141"/>
      <c r="E12" s="141"/>
      <c r="F12" s="141"/>
      <c r="G12" s="141"/>
      <c r="H12" s="141"/>
      <c r="I12" s="141"/>
      <c r="J12" s="142"/>
    </row>
    <row r="13" spans="2:19">
      <c r="B13" s="94" t="s">
        <v>88</v>
      </c>
      <c r="C13" s="95" t="s">
        <v>150</v>
      </c>
      <c r="D13" s="95" t="s">
        <v>151</v>
      </c>
      <c r="E13" s="96" t="s">
        <v>89</v>
      </c>
      <c r="F13" s="95" t="s">
        <v>152</v>
      </c>
      <c r="G13" s="95" t="s">
        <v>183</v>
      </c>
      <c r="H13" s="95" t="s">
        <v>153</v>
      </c>
      <c r="I13" s="96" t="s">
        <v>90</v>
      </c>
      <c r="J13" s="96" t="s">
        <v>91</v>
      </c>
    </row>
    <row r="14" spans="2:19">
      <c r="B14" s="94" t="s">
        <v>92</v>
      </c>
      <c r="C14" s="95" t="s">
        <v>154</v>
      </c>
      <c r="D14" s="95" t="s">
        <v>155</v>
      </c>
      <c r="E14" s="96" t="s">
        <v>93</v>
      </c>
      <c r="F14" s="95" t="s">
        <v>156</v>
      </c>
      <c r="G14" s="95" t="s">
        <v>157</v>
      </c>
      <c r="H14" s="95" t="s">
        <v>158</v>
      </c>
      <c r="I14" s="96" t="s">
        <v>94</v>
      </c>
      <c r="J14" s="96" t="s">
        <v>95</v>
      </c>
    </row>
    <row r="15" spans="2:19">
      <c r="B15" s="94" t="s">
        <v>96</v>
      </c>
      <c r="C15" s="95" t="s">
        <v>159</v>
      </c>
      <c r="D15" s="95" t="s">
        <v>160</v>
      </c>
      <c r="E15" s="96" t="s">
        <v>97</v>
      </c>
      <c r="F15" s="95" t="s">
        <v>161</v>
      </c>
      <c r="G15" s="95" t="s">
        <v>162</v>
      </c>
      <c r="H15" s="95" t="s">
        <v>187</v>
      </c>
      <c r="I15" s="96" t="s">
        <v>98</v>
      </c>
      <c r="J15" s="96" t="s">
        <v>99</v>
      </c>
    </row>
    <row r="16" spans="2:19">
      <c r="B16" s="94" t="s">
        <v>100</v>
      </c>
      <c r="C16" s="95" t="s">
        <v>163</v>
      </c>
      <c r="D16" s="95" t="s">
        <v>164</v>
      </c>
      <c r="E16" s="96" t="s">
        <v>101</v>
      </c>
      <c r="F16" s="95" t="s">
        <v>165</v>
      </c>
      <c r="G16" s="95" t="s">
        <v>184</v>
      </c>
      <c r="H16" s="95" t="s">
        <v>166</v>
      </c>
      <c r="I16" s="96" t="s">
        <v>102</v>
      </c>
      <c r="J16" s="95" t="s">
        <v>167</v>
      </c>
    </row>
    <row r="17" spans="2:10">
      <c r="B17" s="94" t="s">
        <v>103</v>
      </c>
      <c r="C17" s="95" t="s">
        <v>168</v>
      </c>
      <c r="D17" s="95" t="s">
        <v>169</v>
      </c>
      <c r="E17" s="96" t="s">
        <v>104</v>
      </c>
      <c r="F17" s="95" t="s">
        <v>170</v>
      </c>
      <c r="G17" s="95" t="s">
        <v>171</v>
      </c>
      <c r="H17" s="95" t="s">
        <v>188</v>
      </c>
      <c r="I17" s="96" t="s">
        <v>105</v>
      </c>
      <c r="J17" s="95" t="s">
        <v>172</v>
      </c>
    </row>
    <row r="18" spans="2:10">
      <c r="B18" s="94" t="s">
        <v>106</v>
      </c>
      <c r="C18" s="95" t="s">
        <v>173</v>
      </c>
      <c r="D18" s="96" t="s">
        <v>107</v>
      </c>
      <c r="E18" s="96" t="s">
        <v>108</v>
      </c>
      <c r="F18" s="96" t="s">
        <v>109</v>
      </c>
      <c r="G18" s="96" t="s">
        <v>110</v>
      </c>
      <c r="H18" s="96" t="s">
        <v>111</v>
      </c>
      <c r="I18" s="96" t="s">
        <v>112</v>
      </c>
      <c r="J18" s="96" t="s">
        <v>113</v>
      </c>
    </row>
    <row r="19" spans="2:10">
      <c r="B19" s="94" t="s">
        <v>114</v>
      </c>
      <c r="C19" s="95" t="s">
        <v>174</v>
      </c>
      <c r="D19" s="95" t="s">
        <v>175</v>
      </c>
      <c r="E19" s="96" t="s">
        <v>115</v>
      </c>
      <c r="F19" s="96" t="s">
        <v>116</v>
      </c>
      <c r="G19" s="95" t="s">
        <v>176</v>
      </c>
      <c r="H19" s="96" t="s">
        <v>117</v>
      </c>
      <c r="I19" s="96" t="s">
        <v>118</v>
      </c>
      <c r="J19" s="96" t="s">
        <v>119</v>
      </c>
    </row>
    <row r="20" spans="2:10">
      <c r="B20" s="90"/>
      <c r="C20" s="90"/>
      <c r="D20" s="90"/>
      <c r="E20" s="90"/>
      <c r="F20" s="90"/>
      <c r="G20" s="90"/>
      <c r="H20" s="90"/>
      <c r="I20" s="90"/>
      <c r="J20" s="90"/>
    </row>
    <row r="21" spans="2:10">
      <c r="B21" s="90"/>
      <c r="C21" s="90"/>
      <c r="D21" s="90"/>
      <c r="E21" s="90"/>
      <c r="F21" s="90"/>
      <c r="G21" s="90"/>
      <c r="H21" s="90"/>
      <c r="I21" s="90"/>
      <c r="J21" s="90"/>
    </row>
    <row r="22" spans="2:10">
      <c r="B22" s="143" t="s">
        <v>189</v>
      </c>
      <c r="C22" s="143"/>
      <c r="D22" s="143"/>
      <c r="E22" s="143"/>
      <c r="F22" s="143"/>
      <c r="G22" s="143"/>
      <c r="H22" s="143"/>
      <c r="I22" s="143"/>
      <c r="J22" s="143"/>
    </row>
    <row r="23" spans="2:10">
      <c r="B23" s="90"/>
      <c r="C23" s="90"/>
      <c r="D23" s="90"/>
      <c r="E23" s="90"/>
      <c r="F23" s="90"/>
      <c r="G23" s="90"/>
      <c r="H23" s="90"/>
      <c r="I23" s="90"/>
      <c r="J23" s="90"/>
    </row>
  </sheetData>
  <mergeCells count="3">
    <mergeCell ref="B4:J4"/>
    <mergeCell ref="B12:J12"/>
    <mergeCell ref="B22:J22"/>
  </mergeCells>
  <phoneticPr fontId="1" type="noConversion"/>
  <hyperlinks>
    <hyperlink ref="C3" r:id="rId1" display="https://zi-hi.com/sp/uni/0301" xr:uid="{86954058-97C4-48A4-8447-9E7FDC259259}"/>
    <hyperlink ref="D3" r:id="rId2" display="https://zi-hi.com/sp/uni/0300" xr:uid="{4A7A5F0D-BB9C-491C-A425-2DBAE58E548A}"/>
    <hyperlink ref="F3" r:id="rId3" display="https://zi-hi.com/sp/uni/0302" xr:uid="{A2BB2A17-ABA1-4C49-BDA3-0F77E6105D46}"/>
    <hyperlink ref="G3" r:id="rId4" display="https://zi-hi.com/sp/uni/030C" xr:uid="{8719D9A7-34E3-4007-B91B-196788A49253}"/>
    <hyperlink ref="H3" r:id="rId5" display="https://zi-hi.com/sp/uni/0304" xr:uid="{3E64C67F-016B-4A5D-ABBA-145845EFBEAF}"/>
    <hyperlink ref="I3" r:id="rId6" display="https://zi-hi.com/sp/uni/030D" xr:uid="{4DA49773-886B-43A4-84FC-30CAF7B9C274}"/>
    <hyperlink ref="J3" r:id="rId7" display="https://zi-hi.com/sp/uni/030B" xr:uid="{898C7532-2DD5-4E08-AF67-4A9466424955}"/>
    <hyperlink ref="C5" r:id="rId8" display="https://zi-hi.com/sp/uni/00E1" xr:uid="{2F9614BC-FE6C-46DF-9260-FDC3B0C0DF12}"/>
    <hyperlink ref="D5" r:id="rId9" display="https://zi-hi.com/sp/uni/00E0" xr:uid="{EDAF804E-C7D5-4753-A67D-0ECB5E871CE1}"/>
    <hyperlink ref="F5" r:id="rId10" display="https://zi-hi.com/sp/uni/00E2" xr:uid="{18C7C986-A73D-4EFC-8BB5-11BCFDA9B0CA}"/>
    <hyperlink ref="G5" r:id="rId11" display="https://zi-hi.com/sp/uni/01CE" xr:uid="{28B52863-614A-4836-9D19-036B93815E31}"/>
    <hyperlink ref="H5" r:id="rId12" display="https://zi-hi.com/sp/uni/0101" xr:uid="{07F7F0BA-CC13-4215-B6BE-06845CE7801B}"/>
    <hyperlink ref="C6" r:id="rId13" display="https://zi-hi.com/sp/uni/00E9" xr:uid="{76CA98B4-C42E-462C-B206-39333AE1D224}"/>
    <hyperlink ref="D6" r:id="rId14" display="https://zi-hi.com/sp/uni/00E8" xr:uid="{A667CCEB-35A1-4060-A84D-3B42BE009C74}"/>
    <hyperlink ref="F6" r:id="rId15" display="https://zi-hi.com/sp/uni/00EA" xr:uid="{211E86AD-C59A-4951-B48C-11379C5ECA69}"/>
    <hyperlink ref="G6" r:id="rId16" display="https://zi-hi.com/sp/uni/011B" xr:uid="{240CE63D-947E-4D42-A2E4-9E4648EEC1AA}"/>
    <hyperlink ref="H6" r:id="rId17" display="https://zi-hi.com/sp/uni/0113" xr:uid="{E25B0590-C3A9-4940-9BDC-AE50B6C18736}"/>
    <hyperlink ref="C7" r:id="rId18" display="https://zi-hi.com/sp/uni/00ED" xr:uid="{AA2A5FBB-7107-4AB6-A3E8-1E5539FEC42B}"/>
    <hyperlink ref="D7" r:id="rId19" display="https://zi-hi.com/sp/uni/00EC" xr:uid="{C98C8B10-C662-41D9-87D9-80AEB2204E8B}"/>
    <hyperlink ref="F7" r:id="rId20" display="https://zi-hi.com/sp/uni/00EE" xr:uid="{7974942F-CB5E-484D-BE26-78A4F397E9FF}"/>
    <hyperlink ref="G7" r:id="rId21" display="https://zi-hi.com/sp/uni/01D0" xr:uid="{ADEACEC6-43FE-4B0F-95D4-1DED071636F5}"/>
    <hyperlink ref="H7" r:id="rId22" display="https://zi-hi.com/sp/uni/012B" xr:uid="{A627AA5B-8E72-4D3B-9955-4969F263BACC}"/>
    <hyperlink ref="C8" r:id="rId23" display="https://zi-hi.com/sp/uni/00F3" xr:uid="{EA3063B7-5820-464D-B37A-8FD57E0BBF8C}"/>
    <hyperlink ref="D8" r:id="rId24" display="https://zi-hi.com/sp/uni/00F2" xr:uid="{62DA8C11-C44F-459A-95F3-4B14A7C1D687}"/>
    <hyperlink ref="F8" r:id="rId25" display="https://zi-hi.com/sp/uni/00F4" xr:uid="{87976B1E-A3D7-4CD5-8C5F-4066EB019FE4}"/>
    <hyperlink ref="G8" r:id="rId26" display="https://zi-hi.com/sp/uni/01D2" xr:uid="{812D50CC-3688-45A2-A919-F5AF3F7BCC43}"/>
    <hyperlink ref="H8" r:id="rId27" display="https://zi-hi.com/sp/uni/014D" xr:uid="{4B40E8E2-611A-4C1C-8648-6603C2F6B486}"/>
    <hyperlink ref="J8" r:id="rId28" display="https://zi-hi.com/sp/uni/0151" xr:uid="{8EB7FB44-834C-4085-8A34-793BFA7E8136}"/>
    <hyperlink ref="C9" r:id="rId29" display="https://zi-hi.com/sp/uni/00FA" xr:uid="{D5E83346-AAD3-4A09-AF30-F87D9257C22F}"/>
    <hyperlink ref="D9" r:id="rId30" display="https://zi-hi.com/sp/uni/00F9" xr:uid="{DB4DD197-7D5A-4F98-9236-ECBA65B6E473}"/>
    <hyperlink ref="F9" r:id="rId31" display="https://zi-hi.com/sp/uni/00FB" xr:uid="{3A3F6B90-9971-4F85-B7D6-0E2A11C0EF46}"/>
    <hyperlink ref="G9" r:id="rId32" display="https://zi-hi.com/sp/uni/01D4" xr:uid="{6A866531-6801-492F-95D2-8C52738D8AEE}"/>
    <hyperlink ref="H9" r:id="rId33" display="https://zi-hi.com/sp/uni/016B" xr:uid="{E642D038-893C-4B44-A46C-12B7B33796D7}"/>
    <hyperlink ref="J9" r:id="rId34" display="https://zi-hi.com/sp/uni/0171" xr:uid="{2AA7A8BF-1195-4A42-BDF6-A032971EA14B}"/>
    <hyperlink ref="C10" r:id="rId35" display="https://zi-hi.com/sp/uni/1E3F" xr:uid="{53C2F032-7E6B-4D27-BD19-30731A0E7347}"/>
    <hyperlink ref="C11" r:id="rId36" display="https://zi-hi.com/sp/uni/0144" xr:uid="{22885F22-67DA-426F-9FE6-38BD61100253}"/>
    <hyperlink ref="D11" r:id="rId37" display="https://zi-hi.com/sp/uni/01F9" xr:uid="{E1F52F4A-E5EC-4F20-A019-23EB605C9464}"/>
    <hyperlink ref="G11" r:id="rId38" display="https://zi-hi.com/sp/uni/0148" xr:uid="{FE80D35B-7DA0-4B46-8E71-FF1EE86AB3D4}"/>
    <hyperlink ref="C13" r:id="rId39" display="https://zi-hi.com/sp/uni/00C1" xr:uid="{52220AC4-DB91-4C78-9432-0868C1641B1D}"/>
    <hyperlink ref="D13" r:id="rId40" display="https://zi-hi.com/sp/uni/00C0" xr:uid="{CDF15638-CF47-4842-8E52-25F410F126BD}"/>
    <hyperlink ref="F13" r:id="rId41" display="https://zi-hi.com/sp/uni/00C2" xr:uid="{51DF564C-32C4-4967-BC60-6382995B26A1}"/>
    <hyperlink ref="G13" r:id="rId42" display="https://zi-hi.com/sp/uni/01CD" xr:uid="{3BDB2240-4435-4A78-BF8E-CAAEB1CF5CBF}"/>
    <hyperlink ref="H13" r:id="rId43" display="https://zi-hi.com/sp/uni/0100" xr:uid="{FA9212CF-DBFB-4666-9652-6F5431CE2D0D}"/>
    <hyperlink ref="C14" r:id="rId44" display="https://zi-hi.com/sp/uni/00C9" xr:uid="{7CE612DC-5F09-48DD-A04C-0FAC46CC5165}"/>
    <hyperlink ref="D14" r:id="rId45" display="https://zi-hi.com/sp/uni/00C8" xr:uid="{B3C3AB4C-CBDB-4D88-B5E0-678DB38D2D3E}"/>
    <hyperlink ref="F14" r:id="rId46" display="https://zi-hi.com/sp/uni/00CA" xr:uid="{9FB23691-1351-4093-BCDF-E354C30D67DD}"/>
    <hyperlink ref="G14" r:id="rId47" display="https://zi-hi.com/sp/uni/011A" xr:uid="{B2C79576-DE8A-43D9-9C2D-D276C6A8F045}"/>
    <hyperlink ref="H14" r:id="rId48" display="https://zi-hi.com/sp/uni/0112" xr:uid="{D58B0CFD-51DB-4EB9-BB91-9EA128BBF2F4}"/>
    <hyperlink ref="C15" r:id="rId49" display="https://zi-hi.com/sp/uni/00CD" xr:uid="{75E57CE4-3D71-4B27-AA89-418543CF06F1}"/>
    <hyperlink ref="D15" r:id="rId50" display="https://zi-hi.com/sp/uni/00CC" xr:uid="{DA51180C-F276-4467-8522-EC0BD7A4B7A7}"/>
    <hyperlink ref="F15" r:id="rId51" display="https://zi-hi.com/sp/uni/00CE" xr:uid="{DA790CBC-4238-437E-92A6-393360391168}"/>
    <hyperlink ref="G15" r:id="rId52" display="https://zi-hi.com/sp/uni/01CF" xr:uid="{C95643BD-B4ED-445B-83F5-7AAB10CE14D5}"/>
    <hyperlink ref="H15" r:id="rId53" display="https://zi-hi.com/sp/uni/012A" xr:uid="{2BCEA985-4C66-498A-BEB6-35822E06CB24}"/>
    <hyperlink ref="C16" r:id="rId54" display="https://zi-hi.com/sp/uni/00D3" xr:uid="{697A2393-0570-4DDA-AA0E-0A6B3D766B70}"/>
    <hyperlink ref="D16" r:id="rId55" display="https://zi-hi.com/sp/uni/00D2" xr:uid="{4FCF3C22-019E-4986-ADCB-0445C2FEB45A}"/>
    <hyperlink ref="F16" r:id="rId56" display="https://zi-hi.com/sp/uni/00D4" xr:uid="{1BB8A185-779D-4396-966B-0390FBCA164C}"/>
    <hyperlink ref="G16" r:id="rId57" display="https://zi-hi.com/sp/uni/01D1" xr:uid="{8F67BA7F-DC79-448D-881D-3FF1D36AF67B}"/>
    <hyperlink ref="H16" r:id="rId58" display="https://zi-hi.com/sp/uni/014C" xr:uid="{7C12A4E2-4282-4887-83A4-8277DBE9278E}"/>
    <hyperlink ref="J16" r:id="rId59" display="https://zi-hi.com/sp/uni/0150" xr:uid="{3C7353F2-C0A4-460E-A2B2-E08BA03BF333}"/>
    <hyperlink ref="C17" r:id="rId60" display="https://zi-hi.com/sp/uni/00DA" xr:uid="{166EDA42-ABDF-4187-8176-398BC72C5233}"/>
    <hyperlink ref="D17" r:id="rId61" display="https://zi-hi.com/sp/uni/00D9" xr:uid="{B7F46CEC-6BC7-4A40-A8AC-781AE6CC569E}"/>
    <hyperlink ref="F17" r:id="rId62" display="https://zi-hi.com/sp/uni/00DB" xr:uid="{1BEA4527-0982-455D-A057-880A2DB25837}"/>
    <hyperlink ref="G17" r:id="rId63" display="https://zi-hi.com/sp/uni/01D3" xr:uid="{BF48416B-7A98-4AE6-8F89-4A2B9AB77E0D}"/>
    <hyperlink ref="H17" r:id="rId64" display="https://zi-hi.com/sp/uni/016A" xr:uid="{493F35C5-A241-4B45-83DA-8CF0974D5193}"/>
    <hyperlink ref="J17" r:id="rId65" display="https://zi-hi.com/sp/uni/0170" xr:uid="{07EDCF84-3C66-4935-B333-00F12C38D035}"/>
    <hyperlink ref="C18" r:id="rId66" display="https://zi-hi.com/sp/uni/1E3E" xr:uid="{36A4CD31-4369-4FB2-8037-B9D6E866EC01}"/>
    <hyperlink ref="C19" r:id="rId67" display="https://zi-hi.com/sp/uni/0143" xr:uid="{4F54B04C-F9D0-45B3-97B1-CA656D8399AA}"/>
    <hyperlink ref="D19" r:id="rId68" display="https://zi-hi.com/sp/uni/01F8" xr:uid="{E0516E1F-8151-4498-A1F9-97260F373A32}"/>
    <hyperlink ref="G19" r:id="rId69" display="https://zi-hi.com/sp/uni/0147" xr:uid="{82342D49-D267-4E83-975D-3D4ADBD80DAA}"/>
    <hyperlink ref="B22" r:id="rId70" display="https://zi-hi.com/%E7%99%BD%E8%A9%B1%E5%AD%97" xr:uid="{78CECC24-F433-481F-A8FB-399760AC631E}"/>
    <hyperlink ref="P3" r:id="rId71" display="https://zi-hi.com/sp/uni/0301" xr:uid="{E47A0E05-357D-44D6-BB23-4CDC41BD7DB8}"/>
    <hyperlink ref="P4" r:id="rId72" display="https://zi-hi.com/sp/uni/0300" xr:uid="{F0D09F54-8A7F-47BA-BC87-DD6707A2DE9F}"/>
    <hyperlink ref="P6" r:id="rId73" display="https://zi-hi.com/sp/uni/0302" xr:uid="{80F6250B-9C41-4922-9E61-6680CCEEBDD8}"/>
    <hyperlink ref="P7" r:id="rId74" display="https://zi-hi.com/sp/uni/030C" xr:uid="{113B28A3-D0EC-4451-BEE8-D08F40096D03}"/>
    <hyperlink ref="P8" r:id="rId75" display="https://zi-hi.com/sp/uni/0304" xr:uid="{8EA79A44-5B90-467C-8AF6-87FC3C3F7773}"/>
    <hyperlink ref="P9" r:id="rId76" display="https://zi-hi.com/sp/uni/030D" xr:uid="{4B0433FA-3BF4-49EB-A367-85280B364D57}"/>
    <hyperlink ref="P10" r:id="rId77" display="https://zi-hi.com/sp/uni/030B" xr:uid="{23C739AA-0ED0-41C4-8B78-D8A15DEBD5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B1283-7809-422D-9F36-44CD3A5C1A4A}">
  <dimension ref="B1:W32"/>
  <sheetViews>
    <sheetView tabSelected="1" showOutlineSymbols="0" zoomScale="50" zoomScaleNormal="50" workbookViewId="0"/>
  </sheetViews>
  <sheetFormatPr defaultRowHeight="30"/>
  <cols>
    <col min="1" max="1" width="9" style="91"/>
    <col min="2" max="2" width="13.125" style="91" customWidth="1"/>
    <col min="3" max="12" width="25.125" style="91" customWidth="1"/>
    <col min="13" max="13" width="9" style="91"/>
    <col min="14" max="14" width="195.5" style="91" bestFit="1" customWidth="1"/>
    <col min="15" max="15" width="9" style="91"/>
    <col min="16" max="16" width="13.375" style="91" bestFit="1" customWidth="1"/>
    <col min="17" max="18" width="10.5" style="91" customWidth="1"/>
    <col min="19" max="19" width="15.375" style="91" bestFit="1" customWidth="1"/>
    <col min="20" max="20" width="12.5" style="91" bestFit="1" customWidth="1"/>
    <col min="21" max="21" width="9" style="35"/>
    <col min="22" max="16384" width="9" style="91"/>
  </cols>
  <sheetData>
    <row r="1" spans="2:23"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</row>
    <row r="2" spans="2:23">
      <c r="B2" s="104" t="s">
        <v>51</v>
      </c>
      <c r="C2" s="105">
        <v>0</v>
      </c>
      <c r="D2" s="105">
        <v>1</v>
      </c>
      <c r="E2" s="105">
        <v>2</v>
      </c>
      <c r="F2" s="105">
        <v>3</v>
      </c>
      <c r="G2" s="105">
        <v>4</v>
      </c>
      <c r="H2" s="105">
        <v>5</v>
      </c>
      <c r="I2" s="105">
        <v>6</v>
      </c>
      <c r="J2" s="105">
        <v>7</v>
      </c>
      <c r="K2" s="105">
        <v>8</v>
      </c>
      <c r="L2" s="105">
        <v>9</v>
      </c>
    </row>
    <row r="3" spans="2:23">
      <c r="B3" s="104" t="s">
        <v>333</v>
      </c>
      <c r="C3" s="114" t="s">
        <v>316</v>
      </c>
      <c r="D3" s="114" t="s">
        <v>309</v>
      </c>
      <c r="E3" s="114" t="s">
        <v>308</v>
      </c>
      <c r="F3" s="114" t="s">
        <v>310</v>
      </c>
      <c r="G3" s="100"/>
      <c r="H3" s="114" t="s">
        <v>311</v>
      </c>
      <c r="I3" s="114" t="s">
        <v>314</v>
      </c>
      <c r="J3" s="114" t="s">
        <v>309</v>
      </c>
      <c r="K3" s="114" t="s">
        <v>308</v>
      </c>
      <c r="L3" s="114" t="s">
        <v>332</v>
      </c>
    </row>
    <row r="4" spans="2:23" ht="45" customHeight="1">
      <c r="P4" s="13" t="s">
        <v>330</v>
      </c>
      <c r="Q4" s="144" t="s">
        <v>331</v>
      </c>
      <c r="R4" s="144"/>
      <c r="S4" s="13" t="s">
        <v>329</v>
      </c>
      <c r="T4" s="13" t="s">
        <v>328</v>
      </c>
      <c r="U4" s="13" t="s">
        <v>327</v>
      </c>
      <c r="V4" s="13" t="s">
        <v>326</v>
      </c>
      <c r="W4" s="13" t="s">
        <v>202</v>
      </c>
    </row>
    <row r="5" spans="2:23" ht="45" customHeight="1">
      <c r="B5" s="103" t="s">
        <v>55</v>
      </c>
      <c r="C5" s="110" t="str">
        <f xml:space="preserve"> IFERROR( _xlfn.CONCAT($B5, _xlfn.UNICHAR(HEX2DEC(RIGHT(C$3,4)))), "")</f>
        <v>å</v>
      </c>
      <c r="D5" s="110" t="str">
        <f xml:space="preserve"> IFERROR( _xlfn.CONCAT($B5, _xlfn.UNICHAR(HEX2DEC(RIGHT(D$3,4)))), "")</f>
        <v>ā</v>
      </c>
      <c r="E5" s="111" t="str">
        <f t="shared" ref="E5:L11" si="0" xml:space="preserve"> IFERROR( _xlfn.CONCAT($B5, _xlfn.UNICHAR(HEX2DEC(RIGHT(E$3,4)))), "")</f>
        <v>á</v>
      </c>
      <c r="F5" s="111" t="str">
        <f t="shared" si="0"/>
        <v>ǎ</v>
      </c>
      <c r="G5" s="112"/>
      <c r="H5" s="111" t="str">
        <f t="shared" si="0"/>
        <v>à</v>
      </c>
      <c r="I5" s="111" t="str">
        <f t="shared" si="0"/>
        <v>â</v>
      </c>
      <c r="J5" s="111" t="str">
        <f xml:space="preserve"> IFERROR( _xlfn.CONCAT($B5, _xlfn.UNICHAR(HEX2DEC(RIGHT(J$3,4))), "h"), "")</f>
        <v>āh</v>
      </c>
      <c r="K5" s="111" t="str">
        <f xml:space="preserve"> IFERROR( _xlfn.CONCAT($B5, _xlfn.UNICHAR(HEX2DEC(RIGHT(K$3,4))), "h"), "")</f>
        <v>áh</v>
      </c>
      <c r="L5" s="113" t="str">
        <f t="shared" si="0"/>
        <v>a̋</v>
      </c>
      <c r="P5" s="97" t="s">
        <v>309</v>
      </c>
      <c r="Q5" s="98" t="str">
        <f xml:space="preserve"> _xlfn.CONCAT("◌", _xlfn.UNICHAR(HEX2DEC(RIGHT($P5,4))))</f>
        <v>◌̄</v>
      </c>
      <c r="R5" s="98" t="str">
        <f xml:space="preserve"> _xlfn.CONCAT(" ", _xlfn.UNICHAR(HEX2DEC(RIGHT($P5,4))))</f>
        <v xml:space="preserve"> ̄</v>
      </c>
      <c r="S5" s="99" t="str">
        <f xml:space="preserve"> IFERROR( _xlfn.CONCAT("o", _xlfn.UNICHAR(HEX2DEC(RIGHT(P5,4)))), "")</f>
        <v>ō</v>
      </c>
      <c r="T5" s="99" t="str">
        <f xml:space="preserve"> IFERROR( _xlfn.CONCAT("d", "o", _xlfn.UNICHAR(HEX2DEC(RIGHT(P5,4))), "ng"), "")</f>
        <v>dōng</v>
      </c>
      <c r="U5" s="99" t="s">
        <v>319</v>
      </c>
      <c r="V5" s="99">
        <v>1</v>
      </c>
      <c r="W5" s="101" t="s">
        <v>26</v>
      </c>
    </row>
    <row r="6" spans="2:23" ht="45" customHeight="1">
      <c r="B6" s="103" t="s">
        <v>59</v>
      </c>
      <c r="C6" s="110" t="str">
        <f t="shared" ref="C6:D11" si="1" xml:space="preserve"> IFERROR( _xlfn.CONCAT($B6, _xlfn.UNICHAR(HEX2DEC(RIGHT(C$3,4)))), "")</f>
        <v>e̊</v>
      </c>
      <c r="D6" s="110" t="str">
        <f t="shared" si="1"/>
        <v>ē</v>
      </c>
      <c r="E6" s="111" t="str">
        <f t="shared" si="0"/>
        <v>é</v>
      </c>
      <c r="F6" s="111" t="str">
        <f t="shared" si="0"/>
        <v>ě</v>
      </c>
      <c r="G6" s="112"/>
      <c r="H6" s="111" t="str">
        <f t="shared" si="0"/>
        <v>è</v>
      </c>
      <c r="I6" s="111" t="str">
        <f t="shared" si="0"/>
        <v>ê</v>
      </c>
      <c r="J6" s="111" t="str">
        <f t="shared" ref="J6:K11" si="2" xml:space="preserve"> IFERROR( _xlfn.CONCAT($B6, _xlfn.UNICHAR(HEX2DEC(RIGHT(J$3,4))), "h"), "")</f>
        <v>ēh</v>
      </c>
      <c r="K6" s="111" t="str">
        <f t="shared" si="2"/>
        <v>éh</v>
      </c>
      <c r="L6" s="113" t="str">
        <f t="shared" si="0"/>
        <v>e̋</v>
      </c>
      <c r="P6" s="97" t="s">
        <v>314</v>
      </c>
      <c r="Q6" s="98" t="str">
        <f t="shared" ref="Q6:Q20" si="3" xml:space="preserve"> _xlfn.CONCAT("◌", _xlfn.UNICHAR(HEX2DEC(RIGHT($P6,4))))</f>
        <v>◌̂</v>
      </c>
      <c r="R6" s="98" t="str">
        <f t="shared" ref="R6:R20" si="4" xml:space="preserve"> _xlfn.CONCAT(" ", _xlfn.UNICHAR(HEX2DEC(RIGHT($P6,4))))</f>
        <v xml:space="preserve"> ̂</v>
      </c>
      <c r="S6" s="99" t="str">
        <f xml:space="preserve"> IFERROR( _xlfn.CONCAT("o", _xlfn.UNICHAR(HEX2DEC(RIGHT(P6,4)))), "")</f>
        <v>ô</v>
      </c>
      <c r="T6" s="99" t="str">
        <f xml:space="preserve"> IFERROR( _xlfn.CONCAT("d", "o", _xlfn.UNICHAR(HEX2DEC(RIGHT(P6,4))), "ng"), "")</f>
        <v>dông</v>
      </c>
      <c r="U6" s="99" t="s">
        <v>322</v>
      </c>
      <c r="V6" s="99">
        <v>6</v>
      </c>
      <c r="W6" s="102" t="s">
        <v>23</v>
      </c>
    </row>
    <row r="7" spans="2:23" ht="45" customHeight="1">
      <c r="B7" s="103" t="s">
        <v>63</v>
      </c>
      <c r="C7" s="110" t="str">
        <f t="shared" si="1"/>
        <v>i̊</v>
      </c>
      <c r="D7" s="110" t="str">
        <f t="shared" si="1"/>
        <v>ī</v>
      </c>
      <c r="E7" s="111" t="str">
        <f t="shared" si="0"/>
        <v>í</v>
      </c>
      <c r="F7" s="111" t="str">
        <f t="shared" si="0"/>
        <v>ǐ</v>
      </c>
      <c r="G7" s="112"/>
      <c r="H7" s="111" t="str">
        <f t="shared" si="0"/>
        <v>ì</v>
      </c>
      <c r="I7" s="111" t="str">
        <f t="shared" si="0"/>
        <v>î</v>
      </c>
      <c r="J7" s="111" t="str">
        <f t="shared" si="2"/>
        <v>īh</v>
      </c>
      <c r="K7" s="111" t="str">
        <f t="shared" si="2"/>
        <v>íh</v>
      </c>
      <c r="L7" s="113" t="str">
        <f t="shared" si="0"/>
        <v>i̋</v>
      </c>
      <c r="P7" s="97" t="s">
        <v>311</v>
      </c>
      <c r="Q7" s="98" t="str">
        <f t="shared" si="3"/>
        <v>◌̀</v>
      </c>
      <c r="R7" s="98" t="str">
        <f t="shared" si="4"/>
        <v xml:space="preserve"> ̀</v>
      </c>
      <c r="S7" s="99" t="str">
        <f xml:space="preserve"> IFERROR( _xlfn.CONCAT("o", _xlfn.UNICHAR(HEX2DEC(RIGHT(P7,4)))), "")</f>
        <v>ò</v>
      </c>
      <c r="T7" s="99" t="str">
        <f xml:space="preserve"> IFERROR( _xlfn.CONCAT("d", "o", _xlfn.UNICHAR(HEX2DEC(RIGHT(P7,4))), "ng"), "")</f>
        <v>dòng</v>
      </c>
      <c r="U7" s="99" t="s">
        <v>323</v>
      </c>
      <c r="V7" s="99">
        <v>5</v>
      </c>
      <c r="W7" s="101" t="s">
        <v>19</v>
      </c>
    </row>
    <row r="8" spans="2:23" ht="45" customHeight="1">
      <c r="B8" s="103" t="s">
        <v>67</v>
      </c>
      <c r="C8" s="110" t="str">
        <f t="shared" si="1"/>
        <v>o̊</v>
      </c>
      <c r="D8" s="110" t="str">
        <f t="shared" si="1"/>
        <v>ō</v>
      </c>
      <c r="E8" s="111" t="str">
        <f t="shared" si="0"/>
        <v>ó</v>
      </c>
      <c r="F8" s="111" t="str">
        <f t="shared" si="0"/>
        <v>ǒ</v>
      </c>
      <c r="G8" s="112"/>
      <c r="H8" s="111" t="str">
        <f t="shared" si="0"/>
        <v>ò</v>
      </c>
      <c r="I8" s="111" t="str">
        <f t="shared" si="0"/>
        <v>ô</v>
      </c>
      <c r="J8" s="111" t="str">
        <f t="shared" si="2"/>
        <v>ōh</v>
      </c>
      <c r="K8" s="111" t="str">
        <f t="shared" si="2"/>
        <v>óh</v>
      </c>
      <c r="L8" s="113" t="str">
        <f t="shared" si="0"/>
        <v>ő</v>
      </c>
      <c r="P8" s="97" t="s">
        <v>310</v>
      </c>
      <c r="Q8" s="98" t="str">
        <f t="shared" si="3"/>
        <v>◌̌</v>
      </c>
      <c r="R8" s="98" t="str">
        <f t="shared" si="4"/>
        <v xml:space="preserve"> ̌</v>
      </c>
      <c r="S8" s="99" t="str">
        <f xml:space="preserve"> IFERROR( _xlfn.CONCAT("o", _xlfn.UNICHAR(HEX2DEC(RIGHT(P8,4)))), "")</f>
        <v>ǒ</v>
      </c>
      <c r="T8" s="99" t="str">
        <f xml:space="preserve"> IFERROR( _xlfn.CONCAT("d", "o", _xlfn.UNICHAR(HEX2DEC(RIGHT(P8,4))), "ng"), "")</f>
        <v>dǒng</v>
      </c>
      <c r="U8" s="99" t="s">
        <v>324</v>
      </c>
      <c r="V8" s="99">
        <v>3</v>
      </c>
      <c r="W8" s="101" t="s">
        <v>9</v>
      </c>
    </row>
    <row r="9" spans="2:23" ht="45" customHeight="1">
      <c r="B9" s="103" t="s">
        <v>70</v>
      </c>
      <c r="C9" s="110" t="str">
        <f t="shared" si="1"/>
        <v>ů</v>
      </c>
      <c r="D9" s="110" t="str">
        <f t="shared" si="1"/>
        <v>ū</v>
      </c>
      <c r="E9" s="111" t="str">
        <f t="shared" si="0"/>
        <v>ú</v>
      </c>
      <c r="F9" s="111" t="str">
        <f t="shared" si="0"/>
        <v>ǔ</v>
      </c>
      <c r="G9" s="112"/>
      <c r="H9" s="111" t="str">
        <f t="shared" si="0"/>
        <v>ù</v>
      </c>
      <c r="I9" s="111" t="str">
        <f t="shared" si="0"/>
        <v>û</v>
      </c>
      <c r="J9" s="111" t="str">
        <f t="shared" si="2"/>
        <v>ūh</v>
      </c>
      <c r="K9" s="111" t="str">
        <f t="shared" si="2"/>
        <v>úh</v>
      </c>
      <c r="L9" s="113" t="str">
        <f t="shared" si="0"/>
        <v>ű</v>
      </c>
      <c r="P9" s="97" t="s">
        <v>308</v>
      </c>
      <c r="Q9" s="98" t="str">
        <f t="shared" si="3"/>
        <v>◌́</v>
      </c>
      <c r="R9" s="98" t="str">
        <f t="shared" si="4"/>
        <v xml:space="preserve"> ́</v>
      </c>
      <c r="S9" s="99" t="str">
        <f xml:space="preserve"> IFERROR( _xlfn.CONCAT("o", _xlfn.UNICHAR(HEX2DEC(RIGHT(P9,4)))), "")</f>
        <v>ó</v>
      </c>
      <c r="T9" s="99" t="str">
        <f xml:space="preserve"> IFERROR( _xlfn.CONCAT("d", "o", _xlfn.UNICHAR(HEX2DEC(RIGHT(P9,4))), "ng"), "")</f>
        <v>dóng</v>
      </c>
      <c r="U9" s="99" t="s">
        <v>325</v>
      </c>
      <c r="V9" s="99">
        <v>2</v>
      </c>
      <c r="W9" s="102" t="s">
        <v>15</v>
      </c>
    </row>
    <row r="10" spans="2:23" ht="45" customHeight="1">
      <c r="B10" s="103" t="s">
        <v>73</v>
      </c>
      <c r="C10" s="110" t="str">
        <f t="shared" si="1"/>
        <v>m̊</v>
      </c>
      <c r="D10" s="110" t="str">
        <f t="shared" si="1"/>
        <v>m̄</v>
      </c>
      <c r="E10" s="111" t="str">
        <f t="shared" si="0"/>
        <v>ḿ</v>
      </c>
      <c r="F10" s="111" t="str">
        <f t="shared" si="0"/>
        <v>m̌</v>
      </c>
      <c r="G10" s="112"/>
      <c r="H10" s="111" t="str">
        <f t="shared" si="0"/>
        <v>m̀</v>
      </c>
      <c r="I10" s="111" t="str">
        <f t="shared" si="0"/>
        <v>m̂</v>
      </c>
      <c r="J10" s="111" t="str">
        <f t="shared" si="2"/>
        <v>m̄h</v>
      </c>
      <c r="K10" s="111" t="str">
        <f t="shared" si="2"/>
        <v>ḿh</v>
      </c>
      <c r="L10" s="113" t="str">
        <f t="shared" si="0"/>
        <v>m̋</v>
      </c>
      <c r="P10" s="97" t="s">
        <v>309</v>
      </c>
      <c r="Q10" s="98" t="str">
        <f t="shared" si="3"/>
        <v>◌̄</v>
      </c>
      <c r="R10" s="98" t="str">
        <f t="shared" si="4"/>
        <v xml:space="preserve"> ̄</v>
      </c>
      <c r="S10" s="99" t="str">
        <f t="shared" ref="S10" si="5" xml:space="preserve"> IFERROR( _xlfn.CONCAT("o", _xlfn.UNICHAR(HEX2DEC(RIGHT(P10,4)))), "")</f>
        <v>ō</v>
      </c>
      <c r="T10" s="99" t="str">
        <f xml:space="preserve"> IFERROR( _xlfn.CONCAT("d", "o", _xlfn.UNICHAR(HEX2DEC(RIGHT(P10,4))), "k"), "")</f>
        <v>dōk</v>
      </c>
      <c r="U10" s="99" t="s">
        <v>320</v>
      </c>
      <c r="V10" s="99">
        <v>7</v>
      </c>
      <c r="W10" s="101" t="s">
        <v>7</v>
      </c>
    </row>
    <row r="11" spans="2:23" ht="45" customHeight="1">
      <c r="B11" s="103" t="s">
        <v>81</v>
      </c>
      <c r="C11" s="110" t="str">
        <f t="shared" si="1"/>
        <v>n̊</v>
      </c>
      <c r="D11" s="110" t="str">
        <f t="shared" si="1"/>
        <v>n̄</v>
      </c>
      <c r="E11" s="111" t="str">
        <f t="shared" si="0"/>
        <v>ń</v>
      </c>
      <c r="F11" s="111" t="str">
        <f t="shared" si="0"/>
        <v>ň</v>
      </c>
      <c r="G11" s="112"/>
      <c r="H11" s="111" t="str">
        <f t="shared" si="0"/>
        <v>ǹ</v>
      </c>
      <c r="I11" s="111" t="str">
        <f t="shared" si="0"/>
        <v>n̂</v>
      </c>
      <c r="J11" s="111" t="str">
        <f t="shared" si="2"/>
        <v>n̄h</v>
      </c>
      <c r="K11" s="111" t="str">
        <f t="shared" si="2"/>
        <v>ńh</v>
      </c>
      <c r="L11" s="113" t="str">
        <f t="shared" si="0"/>
        <v>n̋</v>
      </c>
      <c r="P11" s="97" t="s">
        <v>308</v>
      </c>
      <c r="Q11" s="98" t="str">
        <f t="shared" si="3"/>
        <v>◌́</v>
      </c>
      <c r="R11" s="98" t="str">
        <f t="shared" si="4"/>
        <v xml:space="preserve"> ́</v>
      </c>
      <c r="S11" s="99" t="str">
        <f xml:space="preserve"> IFERROR( _xlfn.CONCAT("o", _xlfn.UNICHAR(HEX2DEC(RIGHT(P11,4)))), "")</f>
        <v>ó</v>
      </c>
      <c r="T11" s="99" t="str">
        <f xml:space="preserve"> IFERROR( _xlfn.CONCAT("d", "o", _xlfn.UNICHAR(HEX2DEC(RIGHT(P11,4))), "k"), "")</f>
        <v>dók</v>
      </c>
      <c r="U11" s="99" t="s">
        <v>321</v>
      </c>
      <c r="V11" s="99">
        <v>8</v>
      </c>
      <c r="W11" s="102" t="s">
        <v>3</v>
      </c>
    </row>
    <row r="12" spans="2:23" ht="45" customHeight="1">
      <c r="P12" s="13" t="s">
        <v>330</v>
      </c>
      <c r="Q12" s="144" t="s">
        <v>331</v>
      </c>
      <c r="R12" s="144"/>
      <c r="S12" s="13" t="s">
        <v>329</v>
      </c>
      <c r="T12" s="13" t="s">
        <v>328</v>
      </c>
      <c r="U12" s="13" t="s">
        <v>327</v>
      </c>
      <c r="V12" s="13" t="s">
        <v>326</v>
      </c>
      <c r="W12" s="13" t="s">
        <v>202</v>
      </c>
    </row>
    <row r="13" spans="2:23" ht="45" customHeight="1">
      <c r="B13" s="103" t="s">
        <v>55</v>
      </c>
      <c r="C13" s="106" t="str">
        <f>_xlfn.CONCAT("""",C5,""": (""",$B13,""",""",C$2,""")")</f>
        <v>"å": ("a","0")</v>
      </c>
      <c r="D13" s="106" t="str">
        <f t="shared" ref="D13:L13" si="6">_xlfn.CONCAT("""",D5,""": (""",$B13,""",""",D$2,""")")</f>
        <v>"ā": ("a","1")</v>
      </c>
      <c r="E13" s="107" t="str">
        <f t="shared" si="6"/>
        <v>"á": ("a","2")</v>
      </c>
      <c r="F13" s="107" t="str">
        <f t="shared" si="6"/>
        <v>"ǎ": ("a","3")</v>
      </c>
      <c r="G13" s="108"/>
      <c r="H13" s="107" t="str">
        <f t="shared" si="6"/>
        <v>"à": ("a","5")</v>
      </c>
      <c r="I13" s="107" t="str">
        <f t="shared" si="6"/>
        <v>"â": ("a","6")</v>
      </c>
      <c r="J13" s="107" t="str">
        <f t="shared" si="6"/>
        <v>"āh": ("a","7")</v>
      </c>
      <c r="K13" s="107" t="str">
        <f t="shared" si="6"/>
        <v>"áh": ("a","8")</v>
      </c>
      <c r="L13" s="109" t="str">
        <f t="shared" si="6"/>
        <v>"a̋": ("a","9")</v>
      </c>
      <c r="N13" s="115" t="str">
        <f xml:space="preserve"> _xlfn.CONCAT(_xlfn.TEXTJOIN(", ",TRUE, C13:L13), ", ")</f>
        <v xml:space="preserve">"å": ("a","0"), "ā": ("a","1"), "á": ("a","2"), "ǎ": ("a","3"), "à": ("a","5"), "â": ("a","6"), "āh": ("a","7"), "áh": ("a","8"), "a̋": ("a","9"), </v>
      </c>
      <c r="P13" s="97" t="s">
        <v>309</v>
      </c>
      <c r="Q13" s="98" t="str">
        <f xml:space="preserve"> _xlfn.CONCAT("◌", _xlfn.UNICHAR(HEX2DEC(RIGHT($P13,4))))</f>
        <v>◌̄</v>
      </c>
      <c r="R13" s="98" t="str">
        <f xml:space="preserve"> _xlfn.CONCAT(" ", _xlfn.UNICHAR(HEX2DEC(RIGHT($P13,4))))</f>
        <v xml:space="preserve"> ̄</v>
      </c>
      <c r="S13" s="99" t="str">
        <f xml:space="preserve"> IFERROR( _xlfn.CONCAT("o", _xlfn.UNICHAR(HEX2DEC(RIGHT(P13,4)))), "")</f>
        <v>ō</v>
      </c>
      <c r="T13" s="99" t="str">
        <f xml:space="preserve"> IFERROR( _xlfn.CONCAT("d", "o", _xlfn.UNICHAR(HEX2DEC(RIGHT(P13,4))), "ng"), "")</f>
        <v>dōng</v>
      </c>
      <c r="U13" s="99" t="s">
        <v>319</v>
      </c>
      <c r="V13" s="99">
        <v>1</v>
      </c>
      <c r="W13" s="101" t="s">
        <v>26</v>
      </c>
    </row>
    <row r="14" spans="2:23" ht="45" customHeight="1">
      <c r="B14" s="103" t="s">
        <v>59</v>
      </c>
      <c r="C14" s="106" t="str">
        <f t="shared" ref="C14:F14" si="7">_xlfn.CONCAT("""",C6,""": (""",$B14,""",""",C$2,""")")</f>
        <v>"e̊": ("e","0")</v>
      </c>
      <c r="D14" s="106" t="str">
        <f t="shared" si="7"/>
        <v>"ē": ("e","1")</v>
      </c>
      <c r="E14" s="107" t="str">
        <f t="shared" si="7"/>
        <v>"é": ("e","2")</v>
      </c>
      <c r="F14" s="107" t="str">
        <f t="shared" si="7"/>
        <v>"ě": ("e","3")</v>
      </c>
      <c r="G14" s="108"/>
      <c r="H14" s="107" t="str">
        <f t="shared" ref="H14:L14" si="8">_xlfn.CONCAT("""",H6,""": (""",$B14,""",""",H$2,""")")</f>
        <v>"è": ("e","5")</v>
      </c>
      <c r="I14" s="107" t="str">
        <f t="shared" si="8"/>
        <v>"ê": ("e","6")</v>
      </c>
      <c r="J14" s="107" t="str">
        <f t="shared" si="8"/>
        <v>"ēh": ("e","7")</v>
      </c>
      <c r="K14" s="107" t="str">
        <f t="shared" si="8"/>
        <v>"éh": ("e","8")</v>
      </c>
      <c r="L14" s="109" t="str">
        <f t="shared" si="8"/>
        <v>"e̋": ("e","9")</v>
      </c>
      <c r="N14" s="115" t="str">
        <f t="shared" ref="N14:N19" si="9" xml:space="preserve"> _xlfn.CONCAT(_xlfn.TEXTJOIN(", ",TRUE, C14:L14), ", ")</f>
        <v xml:space="preserve">"e̊": ("e","0"), "ē": ("e","1"), "é": ("e","2"), "ě": ("e","3"), "è": ("e","5"), "ê": ("e","6"), "ēh": ("e","7"), "éh": ("e","8"), "e̋": ("e","9"), </v>
      </c>
      <c r="P14" s="97" t="s">
        <v>314</v>
      </c>
      <c r="Q14" s="98" t="str">
        <f t="shared" si="3"/>
        <v>◌̂</v>
      </c>
      <c r="R14" s="98" t="str">
        <f t="shared" si="4"/>
        <v xml:space="preserve"> ̂</v>
      </c>
      <c r="S14" s="99" t="str">
        <f xml:space="preserve"> IFERROR( _xlfn.CONCAT("o", _xlfn.UNICHAR(HEX2DEC(RIGHT(P14,4)))), "")</f>
        <v>ô</v>
      </c>
      <c r="T14" s="99" t="str">
        <f xml:space="preserve"> IFERROR( _xlfn.CONCAT("d", "o", _xlfn.UNICHAR(HEX2DEC(RIGHT(P14,4))), "ng"), "")</f>
        <v>dông</v>
      </c>
      <c r="U14" s="99" t="s">
        <v>322</v>
      </c>
      <c r="V14" s="99">
        <v>6</v>
      </c>
      <c r="W14" s="102" t="s">
        <v>23</v>
      </c>
    </row>
    <row r="15" spans="2:23" ht="45" customHeight="1">
      <c r="B15" s="103" t="s">
        <v>63</v>
      </c>
      <c r="C15" s="106" t="str">
        <f t="shared" ref="C15:F15" si="10">_xlfn.CONCAT("""",C7,""": (""",$B15,""",""",C$2,""")")</f>
        <v>"i̊": ("i","0")</v>
      </c>
      <c r="D15" s="106" t="str">
        <f t="shared" si="10"/>
        <v>"ī": ("i","1")</v>
      </c>
      <c r="E15" s="107" t="str">
        <f t="shared" si="10"/>
        <v>"í": ("i","2")</v>
      </c>
      <c r="F15" s="107" t="str">
        <f t="shared" si="10"/>
        <v>"ǐ": ("i","3")</v>
      </c>
      <c r="G15" s="108"/>
      <c r="H15" s="107" t="str">
        <f t="shared" ref="H15:L15" si="11">_xlfn.CONCAT("""",H7,""": (""",$B15,""",""",H$2,""")")</f>
        <v>"ì": ("i","5")</v>
      </c>
      <c r="I15" s="107" t="str">
        <f t="shared" si="11"/>
        <v>"î": ("i","6")</v>
      </c>
      <c r="J15" s="107" t="str">
        <f t="shared" si="11"/>
        <v>"īh": ("i","7")</v>
      </c>
      <c r="K15" s="107" t="str">
        <f t="shared" si="11"/>
        <v>"íh": ("i","8")</v>
      </c>
      <c r="L15" s="109" t="str">
        <f t="shared" si="11"/>
        <v>"i̋": ("i","9")</v>
      </c>
      <c r="N15" s="115" t="str">
        <f t="shared" si="9"/>
        <v xml:space="preserve">"i̊": ("i","0"), "ī": ("i","1"), "í": ("i","2"), "ǐ": ("i","3"), "ì": ("i","5"), "î": ("i","6"), "īh": ("i","7"), "íh": ("i","8"), "i̋": ("i","9"), </v>
      </c>
      <c r="P15" s="97" t="s">
        <v>311</v>
      </c>
      <c r="Q15" s="98" t="str">
        <f t="shared" si="3"/>
        <v>◌̀</v>
      </c>
      <c r="R15" s="98" t="str">
        <f t="shared" si="4"/>
        <v xml:space="preserve"> ̀</v>
      </c>
      <c r="S15" s="99" t="str">
        <f xml:space="preserve"> IFERROR( _xlfn.CONCAT("o", _xlfn.UNICHAR(HEX2DEC(RIGHT(P15,4)))), "")</f>
        <v>ò</v>
      </c>
      <c r="T15" s="99" t="str">
        <f xml:space="preserve"> IFERROR( _xlfn.CONCAT("d", "o", _xlfn.UNICHAR(HEX2DEC(RIGHT(P15,4))), "ng"), "")</f>
        <v>dòng</v>
      </c>
      <c r="U15" s="99" t="s">
        <v>323</v>
      </c>
      <c r="V15" s="99">
        <v>5</v>
      </c>
      <c r="W15" s="101" t="s">
        <v>19</v>
      </c>
    </row>
    <row r="16" spans="2:23" ht="45" customHeight="1">
      <c r="B16" s="103" t="s">
        <v>67</v>
      </c>
      <c r="C16" s="106" t="str">
        <f t="shared" ref="C16:F16" si="12">_xlfn.CONCAT("""",C8,""": (""",$B16,""",""",C$2,""")")</f>
        <v>"o̊": ("o","0")</v>
      </c>
      <c r="D16" s="106" t="str">
        <f t="shared" si="12"/>
        <v>"ō": ("o","1")</v>
      </c>
      <c r="E16" s="107" t="str">
        <f t="shared" si="12"/>
        <v>"ó": ("o","2")</v>
      </c>
      <c r="F16" s="107" t="str">
        <f t="shared" si="12"/>
        <v>"ǒ": ("o","3")</v>
      </c>
      <c r="G16" s="108"/>
      <c r="H16" s="107" t="str">
        <f t="shared" ref="H16:L16" si="13">_xlfn.CONCAT("""",H8,""": (""",$B16,""",""",H$2,""")")</f>
        <v>"ò": ("o","5")</v>
      </c>
      <c r="I16" s="107" t="str">
        <f t="shared" si="13"/>
        <v>"ô": ("o","6")</v>
      </c>
      <c r="J16" s="107" t="str">
        <f t="shared" si="13"/>
        <v>"ōh": ("o","7")</v>
      </c>
      <c r="K16" s="107" t="str">
        <f t="shared" si="13"/>
        <v>"óh": ("o","8")</v>
      </c>
      <c r="L16" s="109" t="str">
        <f t="shared" si="13"/>
        <v>"ő": ("o","9")</v>
      </c>
      <c r="N16" s="115" t="str">
        <f t="shared" si="9"/>
        <v xml:space="preserve">"o̊": ("o","0"), "ō": ("o","1"), "ó": ("o","2"), "ǒ": ("o","3"), "ò": ("o","5"), "ô": ("o","6"), "ōh": ("o","7"), "óh": ("o","8"), "ő": ("o","9"), </v>
      </c>
      <c r="P16" s="97" t="s">
        <v>310</v>
      </c>
      <c r="Q16" s="98" t="str">
        <f t="shared" si="3"/>
        <v>◌̌</v>
      </c>
      <c r="R16" s="98" t="str">
        <f t="shared" si="4"/>
        <v xml:space="preserve"> ̌</v>
      </c>
      <c r="S16" s="99" t="str">
        <f xml:space="preserve"> IFERROR( _xlfn.CONCAT("o", _xlfn.UNICHAR(HEX2DEC(RIGHT(P16,4)))), "")</f>
        <v>ǒ</v>
      </c>
      <c r="T16" s="99" t="str">
        <f xml:space="preserve"> IFERROR( _xlfn.CONCAT("d", "o", _xlfn.UNICHAR(HEX2DEC(RIGHT(P16,4))), "ng"), "")</f>
        <v>dǒng</v>
      </c>
      <c r="U16" s="99" t="s">
        <v>324</v>
      </c>
      <c r="V16" s="99">
        <v>3</v>
      </c>
      <c r="W16" s="101" t="s">
        <v>9</v>
      </c>
    </row>
    <row r="17" spans="2:23" ht="45" customHeight="1">
      <c r="B17" s="103" t="s">
        <v>70</v>
      </c>
      <c r="C17" s="106" t="str">
        <f t="shared" ref="C17:F17" si="14">_xlfn.CONCAT("""",C9,""": (""",$B17,""",""",C$2,""")")</f>
        <v>"ů": ("u","0")</v>
      </c>
      <c r="D17" s="106" t="str">
        <f t="shared" si="14"/>
        <v>"ū": ("u","1")</v>
      </c>
      <c r="E17" s="107" t="str">
        <f t="shared" si="14"/>
        <v>"ú": ("u","2")</v>
      </c>
      <c r="F17" s="107" t="str">
        <f t="shared" si="14"/>
        <v>"ǔ": ("u","3")</v>
      </c>
      <c r="G17" s="108"/>
      <c r="H17" s="107" t="str">
        <f t="shared" ref="H17:L17" si="15">_xlfn.CONCAT("""",H9,""": (""",$B17,""",""",H$2,""")")</f>
        <v>"ù": ("u","5")</v>
      </c>
      <c r="I17" s="107" t="str">
        <f t="shared" si="15"/>
        <v>"û": ("u","6")</v>
      </c>
      <c r="J17" s="107" t="str">
        <f t="shared" si="15"/>
        <v>"ūh": ("u","7")</v>
      </c>
      <c r="K17" s="107" t="str">
        <f t="shared" si="15"/>
        <v>"úh": ("u","8")</v>
      </c>
      <c r="L17" s="109" t="str">
        <f t="shared" si="15"/>
        <v>"ű": ("u","9")</v>
      </c>
      <c r="N17" s="115" t="str">
        <f t="shared" si="9"/>
        <v xml:space="preserve">"ů": ("u","0"), "ū": ("u","1"), "ú": ("u","2"), "ǔ": ("u","3"), "ù": ("u","5"), "û": ("u","6"), "ūh": ("u","7"), "úh": ("u","8"), "ű": ("u","9"), </v>
      </c>
      <c r="P17" s="97" t="s">
        <v>308</v>
      </c>
      <c r="Q17" s="98" t="str">
        <f t="shared" si="3"/>
        <v>◌́</v>
      </c>
      <c r="R17" s="98" t="str">
        <f t="shared" si="4"/>
        <v xml:space="preserve"> ́</v>
      </c>
      <c r="S17" s="99" t="str">
        <f xml:space="preserve"> IFERROR( _xlfn.CONCAT("o", _xlfn.UNICHAR(HEX2DEC(RIGHT(P17,4)))), "")</f>
        <v>ó</v>
      </c>
      <c r="T17" s="99" t="str">
        <f xml:space="preserve"> IFERROR( _xlfn.CONCAT("d", "o", _xlfn.UNICHAR(HEX2DEC(RIGHT(P17,4))), "ng"), "")</f>
        <v>dóng</v>
      </c>
      <c r="U17" s="99" t="s">
        <v>325</v>
      </c>
      <c r="V17" s="99">
        <v>2</v>
      </c>
      <c r="W17" s="102" t="s">
        <v>15</v>
      </c>
    </row>
    <row r="18" spans="2:23" ht="45" customHeight="1">
      <c r="B18" s="103" t="s">
        <v>73</v>
      </c>
      <c r="C18" s="106" t="str">
        <f t="shared" ref="C18:F18" si="16">_xlfn.CONCAT("""",C10,""": (""",$B18,""",""",C$2,""")")</f>
        <v>"m̊": ("m","0")</v>
      </c>
      <c r="D18" s="106" t="str">
        <f t="shared" si="16"/>
        <v>"m̄": ("m","1")</v>
      </c>
      <c r="E18" s="107" t="str">
        <f t="shared" si="16"/>
        <v>"ḿ": ("m","2")</v>
      </c>
      <c r="F18" s="107" t="str">
        <f t="shared" si="16"/>
        <v>"m̌": ("m","3")</v>
      </c>
      <c r="G18" s="108"/>
      <c r="H18" s="107" t="str">
        <f t="shared" ref="H18:L18" si="17">_xlfn.CONCAT("""",H10,""": (""",$B18,""",""",H$2,""")")</f>
        <v>"m̀": ("m","5")</v>
      </c>
      <c r="I18" s="107" t="str">
        <f t="shared" si="17"/>
        <v>"m̂": ("m","6")</v>
      </c>
      <c r="J18" s="107" t="str">
        <f t="shared" si="17"/>
        <v>"m̄h": ("m","7")</v>
      </c>
      <c r="K18" s="107" t="str">
        <f t="shared" si="17"/>
        <v>"ḿh": ("m","8")</v>
      </c>
      <c r="L18" s="109" t="str">
        <f t="shared" si="17"/>
        <v>"m̋": ("m","9")</v>
      </c>
      <c r="N18" s="115" t="str">
        <f t="shared" si="9"/>
        <v xml:space="preserve">"m̊": ("m","0"), "m̄": ("m","1"), "ḿ": ("m","2"), "m̌": ("m","3"), "m̀": ("m","5"), "m̂": ("m","6"), "m̄h": ("m","7"), "ḿh": ("m","8"), "m̋": ("m","9"), </v>
      </c>
      <c r="P18" s="97" t="s">
        <v>309</v>
      </c>
      <c r="Q18" s="98" t="str">
        <f t="shared" si="3"/>
        <v>◌̄</v>
      </c>
      <c r="R18" s="98" t="str">
        <f t="shared" si="4"/>
        <v xml:space="preserve"> ̄</v>
      </c>
      <c r="S18" s="99" t="str">
        <f t="shared" ref="S18" si="18" xml:space="preserve"> IFERROR( _xlfn.CONCAT("o", _xlfn.UNICHAR(HEX2DEC(RIGHT(P18,4)))), "")</f>
        <v>ō</v>
      </c>
      <c r="T18" s="99" t="str">
        <f xml:space="preserve"> IFERROR( _xlfn.CONCAT("d", "o", _xlfn.UNICHAR(HEX2DEC(RIGHT(P18,4))), "k"), "")</f>
        <v>dōk</v>
      </c>
      <c r="U18" s="99" t="s">
        <v>320</v>
      </c>
      <c r="V18" s="99">
        <v>7</v>
      </c>
      <c r="W18" s="101" t="s">
        <v>7</v>
      </c>
    </row>
    <row r="19" spans="2:23" ht="45" customHeight="1">
      <c r="B19" s="103" t="s">
        <v>81</v>
      </c>
      <c r="C19" s="106" t="str">
        <f t="shared" ref="C19:F19" si="19">_xlfn.CONCAT("""",C11,""": (""",$B19,""",""",C$2,""")")</f>
        <v>"n̊": ("n","0")</v>
      </c>
      <c r="D19" s="106" t="str">
        <f t="shared" si="19"/>
        <v>"n̄": ("n","1")</v>
      </c>
      <c r="E19" s="107" t="str">
        <f t="shared" si="19"/>
        <v>"ń": ("n","2")</v>
      </c>
      <c r="F19" s="107" t="str">
        <f t="shared" si="19"/>
        <v>"ň": ("n","3")</v>
      </c>
      <c r="G19" s="108"/>
      <c r="H19" s="107" t="str">
        <f t="shared" ref="H19:L19" si="20">_xlfn.CONCAT("""",H11,""": (""",$B19,""",""",H$2,""")")</f>
        <v>"ǹ": ("n","5")</v>
      </c>
      <c r="I19" s="107" t="str">
        <f t="shared" si="20"/>
        <v>"n̂": ("n","6")</v>
      </c>
      <c r="J19" s="107" t="str">
        <f t="shared" si="20"/>
        <v>"n̄h": ("n","7")</v>
      </c>
      <c r="K19" s="107" t="str">
        <f t="shared" si="20"/>
        <v>"ńh": ("n","8")</v>
      </c>
      <c r="L19" s="109" t="str">
        <f t="shared" si="20"/>
        <v>"n̋": ("n","9")</v>
      </c>
      <c r="N19" s="115" t="str">
        <f t="shared" si="9"/>
        <v xml:space="preserve">"n̊": ("n","0"), "n̄": ("n","1"), "ń": ("n","2"), "ň": ("n","3"), "ǹ": ("n","5"), "n̂": ("n","6"), "n̄h": ("n","7"), "ńh": ("n","8"), "n̋": ("n","9"), </v>
      </c>
      <c r="P19" s="97" t="s">
        <v>308</v>
      </c>
      <c r="Q19" s="98" t="str">
        <f t="shared" si="3"/>
        <v>◌́</v>
      </c>
      <c r="R19" s="98" t="str">
        <f t="shared" si="4"/>
        <v xml:space="preserve"> ́</v>
      </c>
      <c r="S19" s="99" t="str">
        <f xml:space="preserve"> IFERROR( _xlfn.CONCAT("o", _xlfn.UNICHAR(HEX2DEC(RIGHT(P19,4)))), "")</f>
        <v>ó</v>
      </c>
      <c r="T19" s="99" t="str">
        <f xml:space="preserve"> IFERROR( _xlfn.CONCAT("d", "o", _xlfn.UNICHAR(HEX2DEC(RIGHT(P19,4))), "k"), "")</f>
        <v>dók</v>
      </c>
      <c r="U19" s="99" t="s">
        <v>321</v>
      </c>
      <c r="V19" s="99">
        <v>8</v>
      </c>
      <c r="W19" s="102" t="s">
        <v>3</v>
      </c>
    </row>
    <row r="20" spans="2:23" ht="45" customHeight="1">
      <c r="P20" s="97" t="s">
        <v>316</v>
      </c>
      <c r="Q20" s="98" t="str">
        <f t="shared" si="3"/>
        <v>◌̊</v>
      </c>
      <c r="R20" s="98" t="str">
        <f t="shared" si="4"/>
        <v xml:space="preserve"> ̊</v>
      </c>
      <c r="S20" s="99" t="str">
        <f xml:space="preserve"> IFERROR( _xlfn.CONCAT("o", _xlfn.UNICHAR(HEX2DEC(RIGHT(P20,4)))), "")</f>
        <v>o̊</v>
      </c>
      <c r="T20" s="99" t="str">
        <f xml:space="preserve"> IFERROR( _xlfn.CONCAT("a", _xlfn.UNICHAR(HEX2DEC(RIGHT(P20,4))), "h"), "")</f>
        <v>åh</v>
      </c>
      <c r="U20" s="99" t="s">
        <v>207</v>
      </c>
      <c r="V20" s="99">
        <v>0</v>
      </c>
      <c r="W20" s="101" t="s">
        <v>209</v>
      </c>
    </row>
    <row r="21" spans="2:23">
      <c r="B21" s="140" t="s">
        <v>87</v>
      </c>
      <c r="C21" s="141"/>
      <c r="D21" s="141"/>
      <c r="E21" s="141"/>
      <c r="F21" s="141"/>
      <c r="G21" s="141"/>
      <c r="H21" s="141"/>
      <c r="I21" s="141"/>
      <c r="J21" s="141"/>
      <c r="K21" s="141"/>
      <c r="L21" s="142"/>
    </row>
    <row r="22" spans="2:23">
      <c r="B22" s="94" t="s">
        <v>88</v>
      </c>
      <c r="C22" s="94"/>
      <c r="D22" s="94"/>
      <c r="E22" s="95" t="s">
        <v>150</v>
      </c>
      <c r="F22" s="95" t="s">
        <v>151</v>
      </c>
      <c r="G22" s="96" t="s">
        <v>89</v>
      </c>
      <c r="H22" s="95" t="s">
        <v>152</v>
      </c>
      <c r="I22" s="95" t="s">
        <v>183</v>
      </c>
      <c r="J22" s="95" t="s">
        <v>153</v>
      </c>
      <c r="K22" s="96" t="s">
        <v>90</v>
      </c>
      <c r="L22" s="96" t="s">
        <v>91</v>
      </c>
    </row>
    <row r="23" spans="2:23">
      <c r="B23" s="94" t="s">
        <v>92</v>
      </c>
      <c r="C23" s="94"/>
      <c r="D23" s="94"/>
      <c r="E23" s="95" t="s">
        <v>154</v>
      </c>
      <c r="F23" s="95" t="s">
        <v>155</v>
      </c>
      <c r="G23" s="96" t="s">
        <v>93</v>
      </c>
      <c r="H23" s="95" t="s">
        <v>156</v>
      </c>
      <c r="I23" s="95" t="s">
        <v>157</v>
      </c>
      <c r="J23" s="95" t="s">
        <v>158</v>
      </c>
      <c r="K23" s="96" t="s">
        <v>94</v>
      </c>
      <c r="L23" s="96" t="s">
        <v>95</v>
      </c>
    </row>
    <row r="24" spans="2:23">
      <c r="B24" s="94" t="s">
        <v>96</v>
      </c>
      <c r="C24" s="94"/>
      <c r="D24" s="94"/>
      <c r="E24" s="95" t="s">
        <v>159</v>
      </c>
      <c r="F24" s="95" t="s">
        <v>160</v>
      </c>
      <c r="G24" s="96" t="s">
        <v>97</v>
      </c>
      <c r="H24" s="95" t="s">
        <v>161</v>
      </c>
      <c r="I24" s="95" t="s">
        <v>162</v>
      </c>
      <c r="J24" s="95" t="s">
        <v>187</v>
      </c>
      <c r="K24" s="96" t="s">
        <v>98</v>
      </c>
      <c r="L24" s="96" t="s">
        <v>99</v>
      </c>
    </row>
    <row r="25" spans="2:23">
      <c r="B25" s="94" t="s">
        <v>100</v>
      </c>
      <c r="C25" s="94"/>
      <c r="D25" s="94"/>
      <c r="E25" s="95" t="s">
        <v>163</v>
      </c>
      <c r="F25" s="95" t="s">
        <v>164</v>
      </c>
      <c r="G25" s="96" t="s">
        <v>101</v>
      </c>
      <c r="H25" s="95" t="s">
        <v>165</v>
      </c>
      <c r="I25" s="95" t="s">
        <v>184</v>
      </c>
      <c r="J25" s="95" t="s">
        <v>166</v>
      </c>
      <c r="K25" s="96" t="s">
        <v>102</v>
      </c>
      <c r="L25" s="95" t="s">
        <v>167</v>
      </c>
    </row>
    <row r="26" spans="2:23">
      <c r="B26" s="94" t="s">
        <v>103</v>
      </c>
      <c r="C26" s="94"/>
      <c r="D26" s="94"/>
      <c r="E26" s="95" t="s">
        <v>168</v>
      </c>
      <c r="F26" s="95" t="s">
        <v>169</v>
      </c>
      <c r="G26" s="96" t="s">
        <v>104</v>
      </c>
      <c r="H26" s="95" t="s">
        <v>170</v>
      </c>
      <c r="I26" s="95" t="s">
        <v>171</v>
      </c>
      <c r="J26" s="95" t="s">
        <v>188</v>
      </c>
      <c r="K26" s="96" t="s">
        <v>105</v>
      </c>
      <c r="L26" s="95" t="s">
        <v>172</v>
      </c>
    </row>
    <row r="27" spans="2:23">
      <c r="B27" s="94" t="s">
        <v>106</v>
      </c>
      <c r="C27" s="94"/>
      <c r="D27" s="94"/>
      <c r="E27" s="95" t="s">
        <v>173</v>
      </c>
      <c r="F27" s="96" t="s">
        <v>107</v>
      </c>
      <c r="G27" s="96" t="s">
        <v>108</v>
      </c>
      <c r="H27" s="96" t="s">
        <v>109</v>
      </c>
      <c r="I27" s="96" t="s">
        <v>110</v>
      </c>
      <c r="J27" s="96" t="s">
        <v>111</v>
      </c>
      <c r="K27" s="96" t="s">
        <v>112</v>
      </c>
      <c r="L27" s="96" t="s">
        <v>113</v>
      </c>
    </row>
    <row r="28" spans="2:23">
      <c r="B28" s="94" t="s">
        <v>114</v>
      </c>
      <c r="C28" s="94"/>
      <c r="D28" s="94"/>
      <c r="E28" s="95" t="s">
        <v>174</v>
      </c>
      <c r="F28" s="95" t="s">
        <v>175</v>
      </c>
      <c r="G28" s="96" t="s">
        <v>115</v>
      </c>
      <c r="H28" s="96" t="s">
        <v>116</v>
      </c>
      <c r="I28" s="95" t="s">
        <v>176</v>
      </c>
      <c r="J28" s="96" t="s">
        <v>117</v>
      </c>
      <c r="K28" s="96" t="s">
        <v>118</v>
      </c>
      <c r="L28" s="96" t="s">
        <v>119</v>
      </c>
    </row>
    <row r="29" spans="2:23"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</row>
    <row r="30" spans="2:23"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</row>
    <row r="31" spans="2:23">
      <c r="B31" s="143" t="s">
        <v>189</v>
      </c>
      <c r="C31" s="143"/>
      <c r="D31" s="143"/>
      <c r="E31" s="143"/>
      <c r="F31" s="143"/>
      <c r="G31" s="143"/>
      <c r="H31" s="143"/>
      <c r="I31" s="143"/>
      <c r="J31" s="143"/>
      <c r="K31" s="143"/>
      <c r="L31" s="143"/>
    </row>
    <row r="32" spans="2:23"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</row>
  </sheetData>
  <mergeCells count="4">
    <mergeCell ref="B21:L21"/>
    <mergeCell ref="B31:L31"/>
    <mergeCell ref="Q4:R4"/>
    <mergeCell ref="Q12:R12"/>
  </mergeCells>
  <phoneticPr fontId="1" type="noConversion"/>
  <hyperlinks>
    <hyperlink ref="B31" r:id="rId1" display="https://zi-hi.com/%E7%99%BD%E8%A9%B1%E5%AD%97" xr:uid="{28459C55-D8A5-4674-A1D8-FCE41D56BAC9}"/>
    <hyperlink ref="I28" r:id="rId2" display="https://zi-hi.com/sp/uni/0147" xr:uid="{81861A2F-6222-4AE4-A390-AB79E28651A2}"/>
    <hyperlink ref="F28" r:id="rId3" display="https://zi-hi.com/sp/uni/01F8" xr:uid="{B8D9329F-08B9-4569-A290-5445F6EA7602}"/>
    <hyperlink ref="E28" r:id="rId4" display="https://zi-hi.com/sp/uni/0143" xr:uid="{F8C3E53E-30C8-4235-8A77-627180EC489C}"/>
    <hyperlink ref="E27" r:id="rId5" display="https://zi-hi.com/sp/uni/1E3E" xr:uid="{4F9ECD8C-3100-4702-A638-08C1667C140E}"/>
    <hyperlink ref="L26" r:id="rId6" display="https://zi-hi.com/sp/uni/0170" xr:uid="{A8092475-85DD-47F8-9E06-661A376CAFF6}"/>
    <hyperlink ref="J26" r:id="rId7" display="https://zi-hi.com/sp/uni/016A" xr:uid="{30A95D8E-FE93-4BA6-8473-77FBD356C7A7}"/>
    <hyperlink ref="I26" r:id="rId8" display="https://zi-hi.com/sp/uni/01D3" xr:uid="{A4A3F577-C2FF-4D76-9468-868076DC1521}"/>
    <hyperlink ref="H26" r:id="rId9" display="https://zi-hi.com/sp/uni/00DB" xr:uid="{6FEDAE72-ED1A-492A-BBE7-32974050B10C}"/>
    <hyperlink ref="F26" r:id="rId10" display="https://zi-hi.com/sp/uni/00D9" xr:uid="{6F47DF64-E95A-465E-96F8-BFBBA2DF4252}"/>
    <hyperlink ref="E26" r:id="rId11" display="https://zi-hi.com/sp/uni/00DA" xr:uid="{82368CFA-1F3E-47BC-BD62-6D8A8E802C80}"/>
    <hyperlink ref="L25" r:id="rId12" display="https://zi-hi.com/sp/uni/0150" xr:uid="{53BE88E5-A2D0-4A4F-B29A-125679C207E4}"/>
    <hyperlink ref="J25" r:id="rId13" display="https://zi-hi.com/sp/uni/014C" xr:uid="{B9934287-EA03-4529-9E7A-93F88BC672C2}"/>
    <hyperlink ref="I25" r:id="rId14" display="https://zi-hi.com/sp/uni/01D1" xr:uid="{98996427-AE03-4267-9BA1-9ECFACA4DC5D}"/>
    <hyperlink ref="H25" r:id="rId15" display="https://zi-hi.com/sp/uni/00D4" xr:uid="{631960CF-6AED-46D2-8CFA-3CBFC7D7771F}"/>
    <hyperlink ref="F25" r:id="rId16" display="https://zi-hi.com/sp/uni/00D2" xr:uid="{678BEDB5-CC38-47F7-996F-E9C2E31628A8}"/>
    <hyperlink ref="E25" r:id="rId17" display="https://zi-hi.com/sp/uni/00D3" xr:uid="{8F71905C-ACC1-4067-B503-86AD2E930E6A}"/>
    <hyperlink ref="J24" r:id="rId18" display="https://zi-hi.com/sp/uni/012A" xr:uid="{086AD641-C1A2-4B31-BD89-DEFD5AB298BC}"/>
    <hyperlink ref="I24" r:id="rId19" display="https://zi-hi.com/sp/uni/01CF" xr:uid="{C8272854-DC1A-4810-BCB3-65D023A9DB20}"/>
    <hyperlink ref="H24" r:id="rId20" display="https://zi-hi.com/sp/uni/00CE" xr:uid="{5EDAAF7E-91D4-4D21-AE9E-0849C6D88697}"/>
    <hyperlink ref="F24" r:id="rId21" display="https://zi-hi.com/sp/uni/00CC" xr:uid="{C0556078-F35A-456F-A427-B2EA96E951B6}"/>
    <hyperlink ref="E24" r:id="rId22" display="https://zi-hi.com/sp/uni/00CD" xr:uid="{96C318CF-AD3B-4E6D-AC54-FEEC2AED89A4}"/>
    <hyperlink ref="J23" r:id="rId23" display="https://zi-hi.com/sp/uni/0112" xr:uid="{5B3D49A8-22E1-42E8-92E6-8196B7D91640}"/>
    <hyperlink ref="I23" r:id="rId24" display="https://zi-hi.com/sp/uni/011A" xr:uid="{F6C68302-E981-4726-9B80-41B7EF636D5C}"/>
    <hyperlink ref="H23" r:id="rId25" display="https://zi-hi.com/sp/uni/00CA" xr:uid="{C6A5B079-0A5C-4621-9958-0E77A91AF7C0}"/>
    <hyperlink ref="F23" r:id="rId26" display="https://zi-hi.com/sp/uni/00C8" xr:uid="{0314F45D-6364-4BFC-9B82-F5E80EA2C55F}"/>
    <hyperlink ref="E23" r:id="rId27" display="https://zi-hi.com/sp/uni/00C9" xr:uid="{7FF15DED-1072-438F-9C78-6F88FC188859}"/>
    <hyperlink ref="J22" r:id="rId28" display="https://zi-hi.com/sp/uni/0100" xr:uid="{0DF37370-6F35-4038-9A11-FEF3CF6024A4}"/>
    <hyperlink ref="I22" r:id="rId29" display="https://zi-hi.com/sp/uni/01CD" xr:uid="{4E3E382A-4A21-4881-AD8F-85AFCB61A94F}"/>
    <hyperlink ref="H22" r:id="rId30" display="https://zi-hi.com/sp/uni/00C2" xr:uid="{3E1B2218-3EB6-4DEC-966F-D63C825F5FE5}"/>
    <hyperlink ref="F22" r:id="rId31" display="https://zi-hi.com/sp/uni/00C0" xr:uid="{0E02D52F-44EB-4FBE-B397-69FB3BFD83C6}"/>
    <hyperlink ref="E22" r:id="rId32" display="https://zi-hi.com/sp/uni/00C1" xr:uid="{2458810B-0D86-4299-91DE-EC9FDFA585C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02ED-9A65-4E94-A488-809467BC273C}">
  <dimension ref="B2:U11"/>
  <sheetViews>
    <sheetView showOutlineSymbols="0" workbookViewId="0"/>
  </sheetViews>
  <sheetFormatPr defaultRowHeight="16.5"/>
  <cols>
    <col min="1" max="1" width="5.5" customWidth="1"/>
    <col min="2" max="2" width="13.5" customWidth="1"/>
    <col min="3" max="4" width="16.25" customWidth="1"/>
    <col min="5" max="5" width="11.5" customWidth="1"/>
    <col min="6" max="6" width="12.5" bestFit="1" customWidth="1"/>
    <col min="7" max="10" width="18" customWidth="1"/>
    <col min="19" max="19" width="27" customWidth="1"/>
  </cols>
  <sheetData>
    <row r="2" spans="2:21" ht="25.5">
      <c r="B2" s="14" t="s">
        <v>285</v>
      </c>
      <c r="C2" s="14" t="s">
        <v>222</v>
      </c>
      <c r="D2" s="14" t="s">
        <v>286</v>
      </c>
      <c r="E2" s="14" t="s">
        <v>30</v>
      </c>
      <c r="F2" s="13" t="s">
        <v>201</v>
      </c>
      <c r="G2" s="13" t="s">
        <v>202</v>
      </c>
      <c r="H2" s="13" t="s">
        <v>282</v>
      </c>
      <c r="I2" s="14" t="s">
        <v>259</v>
      </c>
      <c r="J2" s="14" t="s">
        <v>204</v>
      </c>
    </row>
    <row r="3" spans="2:21" ht="45">
      <c r="B3" s="12">
        <v>1</v>
      </c>
      <c r="C3" s="62" t="s">
        <v>273</v>
      </c>
      <c r="D3" s="62" t="s">
        <v>287</v>
      </c>
      <c r="E3" s="63">
        <v>44</v>
      </c>
      <c r="F3" s="63" t="s">
        <v>283</v>
      </c>
      <c r="G3" s="53" t="s">
        <v>26</v>
      </c>
      <c r="H3" s="57" t="s">
        <v>45</v>
      </c>
      <c r="I3" s="58" t="s">
        <v>214</v>
      </c>
      <c r="J3" s="58" t="str">
        <f xml:space="preserve"> _xlfn.CONCAT(I3, F3)</f>
        <v>ㄊㆲ:</v>
      </c>
      <c r="L3" s="62" t="str">
        <f xml:space="preserve"> _xlfn.CONCAT("ㄚ",_xlfn.UNICHAR(HEX2DEC(RIGHT("U+0304",4))))</f>
        <v>ㄚ̄</v>
      </c>
      <c r="N3" s="33" t="s">
        <v>185</v>
      </c>
      <c r="O3" s="35">
        <f xml:space="preserve"> IFERROR( HEX2DEC(RIGHT(N3,4)), "")</f>
        <v>769</v>
      </c>
      <c r="P3" s="35" t="str">
        <f xml:space="preserve"> IFERROR( _xlfn.CONCAT("o", _xlfn.UNICHAR(HEX2DEC(RIGHT(N3,4)))), "")</f>
        <v>ó</v>
      </c>
      <c r="Q3" s="35" t="str">
        <f xml:space="preserve"> IFERROR( _xlfn.CONCAT("t", "o", _xlfn.UNICHAR(HEX2DEC(RIGHT(N3,4))), "ng"), "")</f>
        <v>tóng</v>
      </c>
      <c r="S3" s="62" t="str">
        <f xml:space="preserve"> _xlfn.CONCAT( LEFT(C3,2), " ", L3,)</f>
        <v>陰平 ㄚ̄</v>
      </c>
      <c r="U3" t="s">
        <v>264</v>
      </c>
    </row>
    <row r="4" spans="2:21" ht="45">
      <c r="B4" s="4">
        <v>2</v>
      </c>
      <c r="C4" s="65" t="s">
        <v>274</v>
      </c>
      <c r="D4" s="65" t="s">
        <v>288</v>
      </c>
      <c r="E4" s="66">
        <v>13</v>
      </c>
      <c r="F4" s="66">
        <v>6</v>
      </c>
      <c r="G4" s="54" t="s">
        <v>15</v>
      </c>
      <c r="H4" s="59" t="s">
        <v>296</v>
      </c>
      <c r="I4" s="60" t="s">
        <v>218</v>
      </c>
      <c r="J4" s="60" t="str">
        <f xml:space="preserve"> _xlfn.CONCAT( LEFT( I4, LEN(I4)-1), F4)</f>
        <v>ㄊㆲ6</v>
      </c>
      <c r="L4" s="62" t="str">
        <f xml:space="preserve"> _xlfn.CONCAT("ㄚ",_xlfn.UNICHAR(HEX2DEC(RIGHT("U+0301",4))))</f>
        <v>ㄚ́</v>
      </c>
      <c r="N4" s="33" t="s">
        <v>186</v>
      </c>
      <c r="O4" s="35">
        <f t="shared" ref="O4:O10" si="0" xml:space="preserve"> IFERROR( HEX2DEC(RIGHT(N4,4)), "")</f>
        <v>768</v>
      </c>
      <c r="P4" s="35" t="str">
        <f t="shared" ref="P4:P10" si="1" xml:space="preserve"> IFERROR( _xlfn.CONCAT("o", _xlfn.UNICHAR(HEX2DEC(RIGHT(N4,4)))), "")</f>
        <v>ò</v>
      </c>
      <c r="Q4" s="35" t="str">
        <f t="shared" ref="Q4:Q10" si="2" xml:space="preserve"> IFERROR( _xlfn.CONCAT("t", "o", _xlfn.UNICHAR(HEX2DEC(RIGHT(N4,4))), "ng"), "")</f>
        <v>tòng</v>
      </c>
      <c r="S4" s="62" t="str">
        <f t="shared" ref="S4:S11" si="3" xml:space="preserve"> _xlfn.CONCAT( LEFT(C4,2), " ", L4,)</f>
        <v>陽平 ㄚ́</v>
      </c>
      <c r="U4" t="s">
        <v>265</v>
      </c>
    </row>
    <row r="5" spans="2:21" ht="45">
      <c r="B5" s="12">
        <v>3</v>
      </c>
      <c r="C5" s="62" t="s">
        <v>275</v>
      </c>
      <c r="D5" s="62" t="s">
        <v>289</v>
      </c>
      <c r="E5" s="63">
        <v>53</v>
      </c>
      <c r="F5" s="63">
        <v>4</v>
      </c>
      <c r="G5" s="53" t="s">
        <v>226</v>
      </c>
      <c r="H5" s="57" t="s">
        <v>297</v>
      </c>
      <c r="I5" s="61" t="s">
        <v>215</v>
      </c>
      <c r="J5" s="61" t="str">
        <f xml:space="preserve"> _xlfn.CONCAT( LEFT( I5, LEN(I5)-1), F5)</f>
        <v>ㄊㆲ4</v>
      </c>
      <c r="L5" s="62" t="str">
        <f xml:space="preserve"> _xlfn.CONCAT("ㄚ",_xlfn.UNICHAR(HEX2DEC(RIGHT("U+030C",4))))</f>
        <v>ㄚ̌</v>
      </c>
      <c r="N5" s="34" t="s">
        <v>121</v>
      </c>
      <c r="O5" s="35">
        <f t="shared" si="0"/>
        <v>781</v>
      </c>
      <c r="P5" s="35" t="str">
        <f t="shared" si="1"/>
        <v>o̍</v>
      </c>
      <c r="Q5" s="35" t="str">
        <f t="shared" si="2"/>
        <v>to̍ng</v>
      </c>
      <c r="S5" s="62" t="str">
        <f t="shared" si="3"/>
        <v>陰上 ㄚ̌</v>
      </c>
      <c r="U5" t="s">
        <v>266</v>
      </c>
    </row>
    <row r="6" spans="2:21" ht="42">
      <c r="B6" s="4">
        <v>4</v>
      </c>
      <c r="C6" s="65" t="s">
        <v>276</v>
      </c>
      <c r="D6" s="70"/>
      <c r="E6" s="70"/>
      <c r="F6" s="70"/>
      <c r="G6" s="70"/>
      <c r="H6" s="70"/>
      <c r="I6" s="70"/>
      <c r="J6" s="70"/>
      <c r="L6" s="62" t="str">
        <f t="shared" ref="L6" si="4" xml:space="preserve"> _xlfn.CONCAT("ㄚ",_xlfn.UNICHAR(HEX2DEC(RIGHT("U+0304",4))))</f>
        <v>ㄚ̄</v>
      </c>
      <c r="N6" s="33" t="s">
        <v>120</v>
      </c>
      <c r="O6" s="35">
        <f t="shared" si="0"/>
        <v>770</v>
      </c>
      <c r="P6" s="35" t="str">
        <f t="shared" si="1"/>
        <v>ô</v>
      </c>
      <c r="Q6" s="35" t="str">
        <f t="shared" si="2"/>
        <v>tông</v>
      </c>
      <c r="S6" s="62" t="str">
        <f t="shared" si="3"/>
        <v>陽上 ㄚ̄</v>
      </c>
      <c r="U6" t="s">
        <v>267</v>
      </c>
    </row>
    <row r="7" spans="2:21" ht="45">
      <c r="B7" s="12">
        <v>5</v>
      </c>
      <c r="C7" s="62" t="s">
        <v>277</v>
      </c>
      <c r="D7" s="62" t="s">
        <v>290</v>
      </c>
      <c r="E7" s="63">
        <v>21</v>
      </c>
      <c r="F7" s="63">
        <v>3</v>
      </c>
      <c r="G7" s="56" t="s">
        <v>19</v>
      </c>
      <c r="H7" s="57" t="s">
        <v>298</v>
      </c>
      <c r="I7" s="61" t="s">
        <v>216</v>
      </c>
      <c r="J7" s="61" t="str">
        <f t="shared" ref="J7:J10" si="5" xml:space="preserve"> _xlfn.CONCAT( LEFT( I7, LEN(I7)-1), F7)</f>
        <v>ㄊㆲ3</v>
      </c>
      <c r="L7" s="62" t="str">
        <f xml:space="preserve"> _xlfn.CONCAT("ㄚ",_xlfn.UNICHAR(HEX2DEC(RIGHT("U+0300",4))))</f>
        <v>ㄚ̀</v>
      </c>
      <c r="N7" s="33" t="s">
        <v>177</v>
      </c>
      <c r="O7" s="35">
        <f t="shared" si="0"/>
        <v>780</v>
      </c>
      <c r="P7" s="35" t="str">
        <f t="shared" si="1"/>
        <v>ǒ</v>
      </c>
      <c r="Q7" s="35" t="str">
        <f t="shared" si="2"/>
        <v>tǒng</v>
      </c>
      <c r="S7" s="62" t="str">
        <f t="shared" si="3"/>
        <v>陰去 ㄚ̀</v>
      </c>
      <c r="U7" t="s">
        <v>268</v>
      </c>
    </row>
    <row r="8" spans="2:21" ht="45">
      <c r="B8" s="4">
        <v>6</v>
      </c>
      <c r="C8" s="65" t="s">
        <v>278</v>
      </c>
      <c r="D8" s="65" t="s">
        <v>291</v>
      </c>
      <c r="E8" s="66">
        <v>22</v>
      </c>
      <c r="F8" s="66">
        <v>5</v>
      </c>
      <c r="G8" s="55" t="s">
        <v>231</v>
      </c>
      <c r="H8" s="59" t="s">
        <v>299</v>
      </c>
      <c r="I8" s="60" t="s">
        <v>219</v>
      </c>
      <c r="J8" s="60" t="str">
        <f t="shared" si="5"/>
        <v>ㄊㆲ5</v>
      </c>
      <c r="L8" s="62" t="str">
        <f xml:space="preserve"> _xlfn.CONCAT("ㄚ",_xlfn.UNICHAR(HEX2DEC(RIGHT("U+0302",4))))</f>
        <v>ㄚ̂</v>
      </c>
      <c r="N8" s="33" t="s">
        <v>178</v>
      </c>
      <c r="O8" s="35">
        <f t="shared" si="0"/>
        <v>772</v>
      </c>
      <c r="P8" s="35" t="str">
        <f t="shared" si="1"/>
        <v>ō</v>
      </c>
      <c r="Q8" s="35" t="str">
        <f xml:space="preserve"> IFERROR( _xlfn.CONCAT("t", "o", _xlfn.UNICHAR(HEX2DEC(RIGHT("U+0304",4))), "ng"), "")</f>
        <v>tōng</v>
      </c>
      <c r="S8" s="62" t="str">
        <f t="shared" si="3"/>
        <v>陽去 ㄚ̂</v>
      </c>
      <c r="U8" t="s">
        <v>269</v>
      </c>
    </row>
    <row r="9" spans="2:21" ht="45">
      <c r="B9" s="12">
        <v>7</v>
      </c>
      <c r="C9" s="62" t="s">
        <v>279</v>
      </c>
      <c r="D9" s="62" t="s">
        <v>292</v>
      </c>
      <c r="E9" s="63">
        <v>32</v>
      </c>
      <c r="F9" s="63" t="s">
        <v>43</v>
      </c>
      <c r="G9" s="56" t="s">
        <v>7</v>
      </c>
      <c r="H9" s="57" t="s">
        <v>300</v>
      </c>
      <c r="I9" s="61" t="s">
        <v>261</v>
      </c>
      <c r="J9" s="61" t="str">
        <f xml:space="preserve"> _xlfn.CONCAT( LEFT( I9, LEN(I9)), F9)</f>
        <v>ㄊㆦㆻ[</v>
      </c>
      <c r="L9" s="62" t="str">
        <f xml:space="preserve"> _xlfn.CONCAT("ㄚ", "ㆷ", _xlfn.UNICHAR(HEX2DEC(RIGHT("U+0304",4))))</f>
        <v>ㄚㆷ̄</v>
      </c>
      <c r="N9" s="33" t="s">
        <v>210</v>
      </c>
      <c r="O9" s="35">
        <f t="shared" si="0"/>
        <v>781</v>
      </c>
      <c r="P9" s="35" t="str">
        <f t="shared" si="1"/>
        <v>o̍</v>
      </c>
      <c r="Q9" s="35" t="str">
        <f t="shared" si="2"/>
        <v>to̍ng</v>
      </c>
      <c r="S9" s="62" t="str">
        <f t="shared" si="3"/>
        <v>陰入 ㄚㆷ̄</v>
      </c>
      <c r="U9" t="s">
        <v>270</v>
      </c>
    </row>
    <row r="10" spans="2:21" ht="45">
      <c r="B10" s="4">
        <v>8</v>
      </c>
      <c r="C10" s="65" t="s">
        <v>280</v>
      </c>
      <c r="D10" s="65" t="s">
        <v>293</v>
      </c>
      <c r="E10" s="66">
        <v>121</v>
      </c>
      <c r="F10" s="66" t="s">
        <v>44</v>
      </c>
      <c r="G10" s="55" t="s">
        <v>232</v>
      </c>
      <c r="H10" s="59" t="s">
        <v>220</v>
      </c>
      <c r="I10" s="60" t="s">
        <v>262</v>
      </c>
      <c r="J10" s="60" t="str">
        <f t="shared" si="5"/>
        <v>ㄊㆦㆻ]</v>
      </c>
      <c r="L10" s="62" t="str">
        <f xml:space="preserve"> _xlfn.CONCAT("ㄚ", "ㆷ", _xlfn.UNICHAR(HEX2DEC(RIGHT("U+0301",4))))</f>
        <v>ㄚㆷ́</v>
      </c>
      <c r="N10" s="33" t="s">
        <v>122</v>
      </c>
      <c r="O10" s="35">
        <f t="shared" si="0"/>
        <v>779</v>
      </c>
      <c r="P10" s="35" t="str">
        <f t="shared" si="1"/>
        <v>ő</v>
      </c>
      <c r="Q10" s="35" t="str">
        <f t="shared" si="2"/>
        <v>tőng</v>
      </c>
      <c r="S10" s="62" t="str">
        <f t="shared" si="3"/>
        <v>陽入 ㄚㆷ́</v>
      </c>
      <c r="U10" t="s">
        <v>271</v>
      </c>
    </row>
    <row r="11" spans="2:21" ht="45">
      <c r="B11" s="12">
        <v>0</v>
      </c>
      <c r="C11" s="62" t="s">
        <v>281</v>
      </c>
      <c r="D11" s="62" t="s">
        <v>284</v>
      </c>
      <c r="E11" s="63">
        <v>20</v>
      </c>
      <c r="F11" s="63">
        <v>7</v>
      </c>
      <c r="G11" s="53" t="s">
        <v>209</v>
      </c>
      <c r="H11" s="57" t="s">
        <v>211</v>
      </c>
      <c r="I11" s="61" t="s">
        <v>260</v>
      </c>
      <c r="J11" s="61" t="str">
        <f t="shared" ref="J11" si="6" xml:space="preserve"> _xlfn.CONCAT( LEFT( I11, LEN(I11)-1), F11)</f>
        <v>ㄚㆷ7</v>
      </c>
      <c r="L11" s="62" t="str">
        <f xml:space="preserve"> _xlfn.CONCAT("ㄚ", "ㆷ", _xlfn.UNICHAR(HEX2DEC(RIGHT("U+02D9",4))))</f>
        <v>ㄚㆷ˙</v>
      </c>
      <c r="S11" s="62" t="str">
        <f t="shared" si="3"/>
        <v>輕聲 ㄚㆷ˙</v>
      </c>
      <c r="U11" t="s">
        <v>272</v>
      </c>
    </row>
  </sheetData>
  <phoneticPr fontId="1" type="noConversion"/>
  <hyperlinks>
    <hyperlink ref="N3" r:id="rId1" display="https://zi-hi.com/sp/uni/0301" xr:uid="{09B4369C-09F5-493D-97DE-F2132117D92D}"/>
    <hyperlink ref="N4" r:id="rId2" display="https://zi-hi.com/sp/uni/0300" xr:uid="{C7674C4A-D199-49E9-89AC-4C0FC2F02CEE}"/>
    <hyperlink ref="N6" r:id="rId3" display="https://zi-hi.com/sp/uni/0302" xr:uid="{1FAAC11D-0453-47CE-80B4-CC8B31B5FD55}"/>
    <hyperlink ref="N7" r:id="rId4" display="https://zi-hi.com/sp/uni/030C" xr:uid="{6AFE2CB8-2C9D-44DF-8BC8-63ABD97F88D6}"/>
    <hyperlink ref="N8" r:id="rId5" display="https://zi-hi.com/sp/uni/0304" xr:uid="{65EAC2D0-F4FC-426B-B86A-777DA20CFD70}"/>
    <hyperlink ref="N9" r:id="rId6" display="https://zi-hi.com/sp/uni/030D" xr:uid="{390B647D-29B8-49F1-8F25-9860E0CA47F9}"/>
    <hyperlink ref="N10" r:id="rId7" display="https://zi-hi.com/sp/uni/030B" xr:uid="{B8093843-7A9F-42E9-B983-E082C50B2D1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2C4FC-9A57-4FFC-AD4B-7C470E5E34C6}">
  <dimension ref="B2:S31"/>
  <sheetViews>
    <sheetView showOutlineSymbols="0" workbookViewId="0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0.5" customWidth="1"/>
    <col min="15" max="16" width="10.5" style="74" customWidth="1"/>
    <col min="17" max="19" width="12.125" style="74" customWidth="1"/>
  </cols>
  <sheetData>
    <row r="2" spans="2:19" ht="34.5" customHeight="1">
      <c r="B2" s="13" t="s">
        <v>199</v>
      </c>
      <c r="C2" s="14" t="s">
        <v>32</v>
      </c>
      <c r="D2" s="14" t="s">
        <v>31</v>
      </c>
      <c r="E2" s="13" t="s">
        <v>30</v>
      </c>
      <c r="F2" s="13" t="s">
        <v>201</v>
      </c>
      <c r="G2" s="13" t="s">
        <v>202</v>
      </c>
      <c r="H2" s="145" t="s">
        <v>203</v>
      </c>
      <c r="I2" s="146"/>
      <c r="J2" s="14" t="s">
        <v>204</v>
      </c>
      <c r="O2" s="75"/>
      <c r="P2" s="75"/>
    </row>
    <row r="3" spans="2:19" ht="54" customHeight="1">
      <c r="B3" s="42">
        <v>1</v>
      </c>
      <c r="C3" s="39" t="s">
        <v>25</v>
      </c>
      <c r="D3" s="39" t="s">
        <v>24</v>
      </c>
      <c r="E3" s="40">
        <v>44</v>
      </c>
      <c r="F3" s="45" t="s">
        <v>38</v>
      </c>
      <c r="G3" s="38" t="s">
        <v>301</v>
      </c>
      <c r="H3" s="72" t="str">
        <f xml:space="preserve"> _xlfn.CONCAT("gun", B3)</f>
        <v>gun1</v>
      </c>
      <c r="I3" s="44" t="str">
        <f xml:space="preserve"> IFERROR( _xlfn.CONCAT("g", "u", _xlfn.UNICHAR(HEX2DEC(RIGHT("U+0304",4))), "n"), "")</f>
        <v>gūn</v>
      </c>
      <c r="J3" s="72" t="str">
        <f xml:space="preserve"> _xlfn.CONCAT("gun", F3)</f>
        <v>gun;</v>
      </c>
      <c r="O3" s="35" t="str">
        <f xml:space="preserve"> IFERROR( _xlfn.CONCAT("o", _xlfn.UNICHAR(HEX2DEC(RIGHT(#REF!,4)))), "")</f>
        <v/>
      </c>
      <c r="P3" s="35" t="str">
        <f xml:space="preserve"> IFERROR( _xlfn.CONCAT("t", "o", _xlfn.UNICHAR(HEX2DEC(RIGHT(#REF!,4))), "ng"), "")</f>
        <v/>
      </c>
      <c r="Q3"/>
      <c r="R3"/>
      <c r="S3"/>
    </row>
    <row r="4" spans="2:19" ht="54" customHeight="1">
      <c r="B4" s="46">
        <v>2</v>
      </c>
      <c r="C4" s="48" t="s">
        <v>14</v>
      </c>
      <c r="D4" s="48" t="s">
        <v>13</v>
      </c>
      <c r="E4" s="47">
        <v>24</v>
      </c>
      <c r="F4" s="49" t="s">
        <v>42</v>
      </c>
      <c r="G4" s="50" t="s">
        <v>302</v>
      </c>
      <c r="H4" s="73" t="str">
        <f t="shared" ref="H4:H8" si="0" xml:space="preserve"> _xlfn.CONCAT("gun", B4)</f>
        <v>gun2</v>
      </c>
      <c r="I4" s="51" t="str">
        <f xml:space="preserve"> IFERROR( _xlfn.CONCAT("g", "u", _xlfn.UNICHAR(HEX2DEC(RIGHT("U+0301",4))), "n"), "")</f>
        <v>gún</v>
      </c>
      <c r="J4" s="73" t="str">
        <f t="shared" ref="J4:J8" si="1" xml:space="preserve"> _xlfn.CONCAT("gun", F4)</f>
        <v>gun/</v>
      </c>
      <c r="O4" s="35" t="str">
        <f xml:space="preserve"> IFERROR( _xlfn.CONCAT("o", _xlfn.UNICHAR(HEX2DEC(RIGHT(#REF!,4)))), "")</f>
        <v/>
      </c>
      <c r="P4" s="35" t="str">
        <f xml:space="preserve"> IFERROR( _xlfn.CONCAT("t", "o", _xlfn.UNICHAR(HEX2DEC(RIGHT(#REF!,4))), "ng"), "")</f>
        <v/>
      </c>
      <c r="Q4"/>
      <c r="R4"/>
      <c r="S4"/>
    </row>
    <row r="5" spans="2:19" ht="54" customHeight="1">
      <c r="B5" s="42">
        <v>3</v>
      </c>
      <c r="C5" s="39" t="s">
        <v>36</v>
      </c>
      <c r="D5" s="39" t="s">
        <v>11</v>
      </c>
      <c r="E5" s="40">
        <v>53</v>
      </c>
      <c r="F5" s="45" t="s">
        <v>41</v>
      </c>
      <c r="G5" s="38" t="s">
        <v>303</v>
      </c>
      <c r="H5" s="72" t="str">
        <f t="shared" si="0"/>
        <v>gun3</v>
      </c>
      <c r="I5" s="44" t="str">
        <f xml:space="preserve"> IFERROR( _xlfn.CONCAT("g", "u", _xlfn.UNICHAR(HEX2DEC(RIGHT("U+030C",4))), "n"), "")</f>
        <v>gǔn</v>
      </c>
      <c r="J5" s="72" t="str">
        <f t="shared" si="1"/>
        <v>gun\</v>
      </c>
      <c r="O5"/>
      <c r="P5"/>
      <c r="Q5"/>
      <c r="R5"/>
      <c r="S5"/>
    </row>
    <row r="6" spans="2:19" ht="54" customHeight="1">
      <c r="B6" s="46">
        <v>4</v>
      </c>
      <c r="C6" s="48" t="s">
        <v>295</v>
      </c>
      <c r="D6" s="76"/>
      <c r="E6" s="77"/>
      <c r="F6" s="78"/>
      <c r="G6" s="79"/>
      <c r="H6" s="80" t="str">
        <f t="shared" si="0"/>
        <v>gun4</v>
      </c>
      <c r="I6" s="81"/>
      <c r="J6" s="80" t="str">
        <f t="shared" si="1"/>
        <v>gun</v>
      </c>
      <c r="O6" s="35" t="str">
        <f xml:space="preserve"> IFERROR( _xlfn.CONCAT("o", _xlfn.UNICHAR(HEX2DEC(RIGHT(#REF!,4)))), "")</f>
        <v/>
      </c>
      <c r="P6" s="35" t="str">
        <f xml:space="preserve"> IFERROR( _xlfn.CONCAT("t", "o", _xlfn.UNICHAR(HEX2DEC(RIGHT(#REF!,4))), "ng"), "")</f>
        <v/>
      </c>
      <c r="Q6"/>
      <c r="R6"/>
      <c r="S6"/>
    </row>
    <row r="7" spans="2:19" ht="54" customHeight="1">
      <c r="B7" s="42">
        <v>5</v>
      </c>
      <c r="C7" s="39" t="s">
        <v>18</v>
      </c>
      <c r="D7" s="39" t="s">
        <v>17</v>
      </c>
      <c r="E7" s="40">
        <v>21</v>
      </c>
      <c r="F7" s="45" t="s">
        <v>40</v>
      </c>
      <c r="G7" s="38" t="s">
        <v>305</v>
      </c>
      <c r="H7" s="72" t="str">
        <f t="shared" si="0"/>
        <v>gun5</v>
      </c>
      <c r="I7" s="44" t="str">
        <f xml:space="preserve"> IFERROR( _xlfn.CONCAT("g", "u", _xlfn.UNICHAR(HEX2DEC(RIGHT("U+0300",4))), "n"), "")</f>
        <v>gùn</v>
      </c>
      <c r="J7" s="72" t="str">
        <f t="shared" si="1"/>
        <v>gun_</v>
      </c>
      <c r="O7" s="35" t="str">
        <f xml:space="preserve"> IFERROR( _xlfn.CONCAT("o", _xlfn.UNICHAR(HEX2DEC(RIGHT(#REF!,4)))), "")</f>
        <v/>
      </c>
      <c r="P7" s="35" t="str">
        <f xml:space="preserve"> IFERROR( _xlfn.CONCAT("t", "o", _xlfn.UNICHAR(HEX2DEC(RIGHT(#REF!,4))), "ng"), "")</f>
        <v/>
      </c>
      <c r="Q7"/>
      <c r="R7"/>
      <c r="S7"/>
    </row>
    <row r="8" spans="2:19" ht="54" customHeight="1">
      <c r="B8" s="46">
        <v>6</v>
      </c>
      <c r="C8" s="48" t="s">
        <v>22</v>
      </c>
      <c r="D8" s="48" t="s">
        <v>21</v>
      </c>
      <c r="E8" s="47">
        <v>22</v>
      </c>
      <c r="F8" s="49" t="s">
        <v>39</v>
      </c>
      <c r="G8" s="50" t="s">
        <v>302</v>
      </c>
      <c r="H8" s="73" t="str">
        <f t="shared" si="0"/>
        <v>gun6</v>
      </c>
      <c r="I8" s="51" t="str">
        <f xml:space="preserve"> IFERROR( _xlfn.CONCAT("g", "u", _xlfn.UNICHAR(HEX2DEC(RIGHT("U+0302",4))), "n"), "")</f>
        <v>gûn</v>
      </c>
      <c r="J8" s="73" t="str">
        <f t="shared" si="1"/>
        <v>gun-</v>
      </c>
      <c r="O8" s="35" t="str">
        <f xml:space="preserve"> IFERROR( _xlfn.CONCAT("o", _xlfn.UNICHAR(HEX2DEC(RIGHT(#REF!,4)))), "")</f>
        <v/>
      </c>
      <c r="P8" s="35"/>
      <c r="Q8"/>
      <c r="R8"/>
      <c r="S8"/>
    </row>
    <row r="9" spans="2:19" ht="54" customHeight="1">
      <c r="B9" s="42">
        <v>7</v>
      </c>
      <c r="C9" s="39" t="s">
        <v>6</v>
      </c>
      <c r="D9" s="39" t="s">
        <v>5</v>
      </c>
      <c r="E9" s="40">
        <v>30</v>
      </c>
      <c r="F9" s="45" t="s">
        <v>43</v>
      </c>
      <c r="G9" s="38" t="s">
        <v>306</v>
      </c>
      <c r="H9" s="72" t="str">
        <f xml:space="preserve"> _xlfn.CONCAT("gut", B9)</f>
        <v>gut7</v>
      </c>
      <c r="I9" s="44" t="str">
        <f xml:space="preserve"> IFERROR( _xlfn.CONCAT("g", "u", _xlfn.UNICHAR(HEX2DEC(RIGHT("U+0304",4))), "t"), "")</f>
        <v>gūt</v>
      </c>
      <c r="J9" s="72" t="str">
        <f xml:space="preserve"> _xlfn.CONCAT("gut", F9)</f>
        <v>gut[</v>
      </c>
      <c r="O9" s="35" t="str">
        <f xml:space="preserve"> IFERROR( _xlfn.CONCAT("o", _xlfn.UNICHAR(HEX2DEC(RIGHT(#REF!,4)))), "")</f>
        <v/>
      </c>
      <c r="P9" s="35" t="str">
        <f xml:space="preserve"> IFERROR( _xlfn.CONCAT("t", "o", _xlfn.UNICHAR(HEX2DEC(RIGHT(#REF!,4))), "ng"), "")</f>
        <v/>
      </c>
      <c r="Q9"/>
      <c r="R9"/>
      <c r="S9"/>
    </row>
    <row r="10" spans="2:19" ht="54" customHeight="1">
      <c r="B10" s="46">
        <v>8</v>
      </c>
      <c r="C10" s="48" t="s">
        <v>2</v>
      </c>
      <c r="D10" s="48" t="s">
        <v>1</v>
      </c>
      <c r="E10" s="47">
        <v>121</v>
      </c>
      <c r="F10" s="49" t="s">
        <v>44</v>
      </c>
      <c r="G10" s="50" t="s">
        <v>307</v>
      </c>
      <c r="H10" s="73" t="str">
        <f xml:space="preserve"> _xlfn.CONCAT("gut", B10)</f>
        <v>gut8</v>
      </c>
      <c r="I10" s="51" t="str">
        <f xml:space="preserve"> IFERROR( _xlfn.CONCAT("g", "u", _xlfn.UNICHAR(HEX2DEC(RIGHT("U+0301",4))), "t"), "")</f>
        <v>gút</v>
      </c>
      <c r="J10" s="73" t="str">
        <f xml:space="preserve"> _xlfn.CONCAT("gut", F10)</f>
        <v>gut]</v>
      </c>
      <c r="O10" s="35" t="str">
        <f xml:space="preserve"> IFERROR( _xlfn.CONCAT("o", _xlfn.UNICHAR(HEX2DEC(RIGHT(#REF!,4)))), "")</f>
        <v/>
      </c>
      <c r="P10" s="35" t="str">
        <f xml:space="preserve"> IFERROR( _xlfn.CONCAT("t", "o", _xlfn.UNICHAR(HEX2DEC(RIGHT(#REF!,4))), "ng"), "")</f>
        <v/>
      </c>
      <c r="Q10"/>
      <c r="R10"/>
      <c r="S10"/>
    </row>
    <row r="11" spans="2:19" ht="54" customHeight="1">
      <c r="B11" s="42">
        <v>0</v>
      </c>
      <c r="C11" s="39" t="s">
        <v>207</v>
      </c>
      <c r="D11" s="39" t="s">
        <v>208</v>
      </c>
      <c r="E11" s="40">
        <v>20</v>
      </c>
      <c r="F11" s="45">
        <v>7</v>
      </c>
      <c r="G11" s="38" t="s">
        <v>294</v>
      </c>
      <c r="H11" s="72" t="s">
        <v>211</v>
      </c>
      <c r="I11" s="44" t="str">
        <f xml:space="preserve"> IFERROR( _xlfn.CONCAT("ah", "⁰"), "")</f>
        <v>ah⁰</v>
      </c>
      <c r="J11" s="72" t="str">
        <f xml:space="preserve"> _xlfn.CONCAT("ah", F11)</f>
        <v>ah7</v>
      </c>
      <c r="Q11"/>
      <c r="R11"/>
      <c r="S11"/>
    </row>
    <row r="12" spans="2:19">
      <c r="Q12"/>
      <c r="R12"/>
      <c r="S12"/>
    </row>
    <row r="13" spans="2:19">
      <c r="Q13"/>
      <c r="R13"/>
      <c r="S13"/>
    </row>
    <row r="14" spans="2:19" ht="34.5" customHeight="1">
      <c r="B14" s="13" t="s">
        <v>199</v>
      </c>
      <c r="C14" s="14" t="s">
        <v>32</v>
      </c>
      <c r="D14" s="14" t="s">
        <v>31</v>
      </c>
      <c r="E14" s="13" t="s">
        <v>30</v>
      </c>
      <c r="F14" s="13" t="s">
        <v>201</v>
      </c>
      <c r="G14" s="13" t="s">
        <v>202</v>
      </c>
      <c r="H14" s="145" t="s">
        <v>203</v>
      </c>
      <c r="I14" s="146"/>
      <c r="J14" s="14" t="s">
        <v>204</v>
      </c>
      <c r="Q14"/>
      <c r="R14"/>
      <c r="S14"/>
    </row>
    <row r="15" spans="2:19" ht="54" customHeight="1">
      <c r="B15" s="42">
        <v>1</v>
      </c>
      <c r="C15" s="39" t="s">
        <v>25</v>
      </c>
      <c r="D15" s="39" t="s">
        <v>24</v>
      </c>
      <c r="E15" s="40">
        <v>44</v>
      </c>
      <c r="F15" s="45" t="s">
        <v>38</v>
      </c>
      <c r="G15" s="38" t="s">
        <v>301</v>
      </c>
      <c r="H15" s="72" t="s">
        <v>45</v>
      </c>
      <c r="I15" s="44" t="str">
        <f xml:space="preserve"> IFERROR( _xlfn.CONCAT("t", "o", _xlfn.UNICHAR(HEX2DEC(RIGHT("U+0304",4))), "ng"), "")</f>
        <v>tōng</v>
      </c>
      <c r="J15" s="72" t="str">
        <f xml:space="preserve"> _xlfn.CONCAT("tong", F15)</f>
        <v>tong;</v>
      </c>
      <c r="L15" s="88" t="s">
        <v>309</v>
      </c>
      <c r="M15" s="89" t="str">
        <f xml:space="preserve"> _xlfn.CONCAT("◌", _xlfn.UNICHAR(HEX2DEC(RIGHT($L15,4))))</f>
        <v>◌̄</v>
      </c>
      <c r="N15" s="89" t="str">
        <f xml:space="preserve"> _xlfn.CONCAT(" ", _xlfn.UNICHAR(HEX2DEC(RIGHT($L15,4))))</f>
        <v xml:space="preserve"> ̄</v>
      </c>
      <c r="O15" s="35" t="str">
        <f xml:space="preserve"> IFERROR( _xlfn.CONCAT("o", _xlfn.UNICHAR(HEX2DEC(RIGHT(L15,4)))), "")</f>
        <v>ō</v>
      </c>
      <c r="P15" s="35" t="str">
        <f xml:space="preserve"> IFERROR( _xlfn.CONCAT("t", "o", _xlfn.UNICHAR(HEX2DEC(RIGHT(L15,4))), "ng"), "")</f>
        <v>tōng</v>
      </c>
      <c r="Q15"/>
      <c r="R15"/>
      <c r="S15"/>
    </row>
    <row r="16" spans="2:19" ht="54" customHeight="1">
      <c r="B16" s="46">
        <v>6</v>
      </c>
      <c r="C16" s="48" t="s">
        <v>22</v>
      </c>
      <c r="D16" s="48" t="s">
        <v>21</v>
      </c>
      <c r="E16" s="47">
        <v>22</v>
      </c>
      <c r="F16" s="49" t="s">
        <v>39</v>
      </c>
      <c r="G16" s="50" t="s">
        <v>302</v>
      </c>
      <c r="H16" s="73" t="s">
        <v>205</v>
      </c>
      <c r="I16" s="51" t="str">
        <f xml:space="preserve"> IFERROR( _xlfn.CONCAT("t", "o", _xlfn.UNICHAR(HEX2DEC(RIGHT("U+0302",4))), "ng"), "")</f>
        <v>tông</v>
      </c>
      <c r="J16" s="73" t="str">
        <f xml:space="preserve"> _xlfn.CONCAT("tong", F16)</f>
        <v>tong-</v>
      </c>
      <c r="L16" s="88" t="s">
        <v>314</v>
      </c>
      <c r="M16" s="89" t="str">
        <f t="shared" ref="M16:M22" si="2" xml:space="preserve"> _xlfn.CONCAT("◌", _xlfn.UNICHAR(HEX2DEC(RIGHT($L16,4))))</f>
        <v>◌̂</v>
      </c>
      <c r="N16" s="89" t="str">
        <f t="shared" ref="N16:N22" si="3" xml:space="preserve"> _xlfn.CONCAT(" ", _xlfn.UNICHAR(HEX2DEC(RIGHT($L16,4))))</f>
        <v xml:space="preserve"> ̂</v>
      </c>
      <c r="O16" s="35" t="str">
        <f xml:space="preserve"> IFERROR( _xlfn.CONCAT("o", _xlfn.UNICHAR(HEX2DEC(RIGHT(L16,4)))), "")</f>
        <v>ô</v>
      </c>
      <c r="P16" s="35" t="str">
        <f xml:space="preserve"> IFERROR( _xlfn.CONCAT("t", "o", _xlfn.UNICHAR(HEX2DEC(RIGHT(L16,4))), "ng"), "")</f>
        <v>tông</v>
      </c>
      <c r="Q16"/>
      <c r="R16"/>
      <c r="S16"/>
    </row>
    <row r="17" spans="2:19" ht="54" customHeight="1">
      <c r="B17" s="42">
        <v>5</v>
      </c>
      <c r="C17" s="39" t="s">
        <v>18</v>
      </c>
      <c r="D17" s="39" t="s">
        <v>17</v>
      </c>
      <c r="E17" s="40">
        <v>21</v>
      </c>
      <c r="F17" s="45" t="s">
        <v>40</v>
      </c>
      <c r="G17" s="38" t="s">
        <v>305</v>
      </c>
      <c r="H17" s="72" t="s">
        <v>50</v>
      </c>
      <c r="I17" s="44" t="str">
        <f xml:space="preserve"> IFERROR( _xlfn.CONCAT("t", "o", _xlfn.UNICHAR(HEX2DEC(RIGHT("U+0300",4))), "ng"), "")</f>
        <v>tòng</v>
      </c>
      <c r="J17" s="72" t="str">
        <f t="shared" ref="J17" si="4" xml:space="preserve"> _xlfn.CONCAT("tong", F17)</f>
        <v>tong_</v>
      </c>
      <c r="L17" s="88" t="s">
        <v>311</v>
      </c>
      <c r="M17" s="89" t="str">
        <f t="shared" si="2"/>
        <v>◌̀</v>
      </c>
      <c r="N17" s="89" t="str">
        <f t="shared" si="3"/>
        <v xml:space="preserve"> ̀</v>
      </c>
      <c r="O17" s="35" t="str">
        <f xml:space="preserve"> IFERROR( _xlfn.CONCAT("o", _xlfn.UNICHAR(HEX2DEC(RIGHT(L17,4)))), "")</f>
        <v>ò</v>
      </c>
      <c r="P17" s="35" t="str">
        <f xml:space="preserve"> IFERROR( _xlfn.CONCAT("t", "o", _xlfn.UNICHAR(HEX2DEC(RIGHT(L17,4))), "ng"), "")</f>
        <v>tòng</v>
      </c>
      <c r="Q17"/>
      <c r="R17"/>
      <c r="S17"/>
    </row>
    <row r="18" spans="2:19" ht="54" customHeight="1">
      <c r="B18" s="46">
        <v>3</v>
      </c>
      <c r="C18" s="48" t="s">
        <v>36</v>
      </c>
      <c r="D18" s="48" t="s">
        <v>11</v>
      </c>
      <c r="E18" s="47">
        <v>53</v>
      </c>
      <c r="F18" s="49" t="s">
        <v>41</v>
      </c>
      <c r="G18" s="50" t="s">
        <v>303</v>
      </c>
      <c r="H18" s="73" t="s">
        <v>48</v>
      </c>
      <c r="I18" s="51" t="str">
        <f xml:space="preserve"> IFERROR( _xlfn.CONCAT("t", "o", _xlfn.UNICHAR(HEX2DEC(RIGHT("U+030C",4))), "ng"), "")</f>
        <v>tǒng</v>
      </c>
      <c r="J18" s="73" t="str">
        <f xml:space="preserve"> _xlfn.CONCAT("tong", F18)</f>
        <v>tong\</v>
      </c>
      <c r="L18" s="88" t="s">
        <v>310</v>
      </c>
      <c r="M18" s="89" t="str">
        <f t="shared" si="2"/>
        <v>◌̌</v>
      </c>
      <c r="N18" s="89" t="str">
        <f t="shared" si="3"/>
        <v xml:space="preserve"> ̌</v>
      </c>
      <c r="O18" s="35" t="str">
        <f xml:space="preserve"> IFERROR( _xlfn.CONCAT("o", _xlfn.UNICHAR(HEX2DEC(RIGHT(L18,4)))), "")</f>
        <v>ǒ</v>
      </c>
      <c r="P18" s="35" t="str">
        <f xml:space="preserve"> IFERROR( _xlfn.CONCAT("t", "o", _xlfn.UNICHAR(HEX2DEC(RIGHT(L18,4))), "ng"), "")</f>
        <v>tǒng</v>
      </c>
      <c r="Q18"/>
      <c r="R18"/>
      <c r="S18"/>
    </row>
    <row r="19" spans="2:19" ht="54" customHeight="1">
      <c r="B19" s="42">
        <v>2</v>
      </c>
      <c r="C19" s="39" t="s">
        <v>14</v>
      </c>
      <c r="D19" s="39" t="s">
        <v>13</v>
      </c>
      <c r="E19" s="40">
        <v>24</v>
      </c>
      <c r="F19" s="45" t="s">
        <v>42</v>
      </c>
      <c r="G19" s="38" t="s">
        <v>302</v>
      </c>
      <c r="H19" s="72" t="s">
        <v>49</v>
      </c>
      <c r="I19" s="44" t="str">
        <f xml:space="preserve"> IFERROR( _xlfn.CONCAT("t", "o", _xlfn.UNICHAR(HEX2DEC(RIGHT("U+0301",4))), "ng"), "")</f>
        <v>tóng</v>
      </c>
      <c r="J19" s="72" t="str">
        <f t="shared" ref="J19" si="5" xml:space="preserve"> _xlfn.CONCAT("tong", F19)</f>
        <v>tong/</v>
      </c>
      <c r="L19" s="88" t="s">
        <v>308</v>
      </c>
      <c r="M19" s="89" t="str">
        <f t="shared" si="2"/>
        <v>◌́</v>
      </c>
      <c r="N19" s="89" t="str">
        <f t="shared" si="3"/>
        <v xml:space="preserve"> ́</v>
      </c>
      <c r="O19" s="35" t="str">
        <f xml:space="preserve"> IFERROR( _xlfn.CONCAT("o", _xlfn.UNICHAR(HEX2DEC(RIGHT(L19,4)))), "")</f>
        <v>ó</v>
      </c>
      <c r="P19" s="35" t="str">
        <f xml:space="preserve"> IFERROR( _xlfn.CONCAT("t", "o", _xlfn.UNICHAR(HEX2DEC(RIGHT(L19,4))), "ng"), "")</f>
        <v>tóng</v>
      </c>
      <c r="Q19"/>
      <c r="R19"/>
      <c r="S19"/>
    </row>
    <row r="20" spans="2:19" ht="54" customHeight="1">
      <c r="B20" s="46">
        <v>7</v>
      </c>
      <c r="C20" s="48" t="s">
        <v>6</v>
      </c>
      <c r="D20" s="48" t="s">
        <v>5</v>
      </c>
      <c r="E20" s="47">
        <v>30</v>
      </c>
      <c r="F20" s="49" t="s">
        <v>43</v>
      </c>
      <c r="G20" s="50" t="s">
        <v>306</v>
      </c>
      <c r="H20" s="73" t="s">
        <v>300</v>
      </c>
      <c r="I20" s="51" t="str">
        <f xml:space="preserve"> IFERROR( _xlfn.CONCAT("t", "o", _xlfn.UNICHAR(HEX2DEC(RIGHT("U+0304",4))), "k"), "")</f>
        <v>tōk</v>
      </c>
      <c r="J20" s="73" t="str">
        <f xml:space="preserve"> _xlfn.CONCAT("tok", F20)</f>
        <v>tok[</v>
      </c>
      <c r="L20" s="88" t="s">
        <v>309</v>
      </c>
      <c r="M20" s="89" t="str">
        <f t="shared" si="2"/>
        <v>◌̄</v>
      </c>
      <c r="N20" s="89" t="str">
        <f t="shared" si="3"/>
        <v xml:space="preserve"> ̄</v>
      </c>
      <c r="O20" s="35" t="str">
        <f t="shared" ref="O20" si="6" xml:space="preserve"> IFERROR( _xlfn.CONCAT("o", _xlfn.UNICHAR(HEX2DEC(RIGHT(L20,4)))), "")</f>
        <v>ō</v>
      </c>
      <c r="P20" s="35" t="str">
        <f xml:space="preserve"> IFERROR( _xlfn.CONCAT("t", "o", _xlfn.UNICHAR(HEX2DEC(RIGHT(L20,4))), "k"), "")</f>
        <v>tōk</v>
      </c>
      <c r="Q20"/>
      <c r="R20"/>
      <c r="S20"/>
    </row>
    <row r="21" spans="2:19" ht="54" customHeight="1">
      <c r="B21" s="42">
        <v>8</v>
      </c>
      <c r="C21" s="39" t="s">
        <v>2</v>
      </c>
      <c r="D21" s="39" t="s">
        <v>1</v>
      </c>
      <c r="E21" s="40">
        <v>121</v>
      </c>
      <c r="F21" s="45" t="s">
        <v>44</v>
      </c>
      <c r="G21" s="38" t="s">
        <v>307</v>
      </c>
      <c r="H21" s="72" t="s">
        <v>35</v>
      </c>
      <c r="I21" s="44" t="str">
        <f xml:space="preserve"> IFERROR( _xlfn.CONCAT("t", "o", _xlfn.UNICHAR(HEX2DEC(RIGHT("U+0301",4))), "k"), "")</f>
        <v>tók</v>
      </c>
      <c r="J21" s="72" t="str">
        <f xml:space="preserve"> _xlfn.CONCAT("tok", F21)</f>
        <v>tok]</v>
      </c>
      <c r="L21" s="88" t="s">
        <v>308</v>
      </c>
      <c r="M21" s="89" t="str">
        <f t="shared" si="2"/>
        <v>◌́</v>
      </c>
      <c r="N21" s="89" t="str">
        <f t="shared" si="3"/>
        <v xml:space="preserve"> ́</v>
      </c>
      <c r="O21" s="35" t="str">
        <f xml:space="preserve"> IFERROR( _xlfn.CONCAT("o", _xlfn.UNICHAR(HEX2DEC(RIGHT(L21,4)))), "")</f>
        <v>ó</v>
      </c>
      <c r="P21" s="35" t="str">
        <f xml:space="preserve"> IFERROR( _xlfn.CONCAT("t", "o", _xlfn.UNICHAR(HEX2DEC(RIGHT(L21,4))), "k"), "")</f>
        <v>tók</v>
      </c>
      <c r="Q21"/>
      <c r="R21"/>
      <c r="S21"/>
    </row>
    <row r="22" spans="2:19" ht="54" customHeight="1">
      <c r="B22" s="46">
        <v>0</v>
      </c>
      <c r="C22" s="48" t="s">
        <v>207</v>
      </c>
      <c r="D22" s="48" t="s">
        <v>208</v>
      </c>
      <c r="E22" s="47">
        <v>20</v>
      </c>
      <c r="F22" s="49">
        <v>7</v>
      </c>
      <c r="G22" s="50" t="s">
        <v>294</v>
      </c>
      <c r="H22" s="73" t="s">
        <v>211</v>
      </c>
      <c r="I22" s="51" t="str">
        <f xml:space="preserve"> IFERROR( _xlfn.CONCAT("ah", "⁰"), "")</f>
        <v>ah⁰</v>
      </c>
      <c r="J22" s="73" t="str">
        <f xml:space="preserve"> _xlfn.CONCAT("ah", F22)</f>
        <v>ah7</v>
      </c>
      <c r="L22" s="88" t="s">
        <v>316</v>
      </c>
      <c r="M22" s="89" t="str">
        <f t="shared" si="2"/>
        <v>◌̊</v>
      </c>
      <c r="N22" s="89" t="str">
        <f t="shared" si="3"/>
        <v xml:space="preserve"> ̊</v>
      </c>
      <c r="O22" s="35" t="str">
        <f xml:space="preserve"> IFERROR( _xlfn.CONCAT("o", _xlfn.UNICHAR(HEX2DEC(RIGHT(L22,4)))), "")</f>
        <v>o̊</v>
      </c>
      <c r="P22" s="35" t="str">
        <f xml:space="preserve"> IFERROR( _xlfn.CONCAT("a", _xlfn.UNICHAR(HEX2DEC(RIGHT(L22,4))), "h"), "")</f>
        <v>åh</v>
      </c>
    </row>
    <row r="25" spans="2:19" ht="57.75">
      <c r="B25" s="9">
        <v>4</v>
      </c>
      <c r="C25" s="11" t="s">
        <v>8</v>
      </c>
      <c r="D25" s="11"/>
      <c r="E25" s="10">
        <v>53</v>
      </c>
      <c r="F25" s="10"/>
      <c r="G25" s="15" t="s">
        <v>9</v>
      </c>
      <c r="H25" s="15"/>
      <c r="I25" s="11" t="str">
        <f xml:space="preserve"> "dong" &amp; J25</f>
        <v>dong6</v>
      </c>
      <c r="J25" s="10">
        <v>6</v>
      </c>
    </row>
    <row r="27" spans="2:19" ht="30">
      <c r="L27" s="88" t="s">
        <v>315</v>
      </c>
      <c r="M27" s="89" t="str">
        <f t="shared" ref="M27:M31" si="7" xml:space="preserve"> _xlfn.CONCAT("◌", _xlfn.UNICHAR(HEX2DEC(RIGHT($L27,4))))</f>
        <v>◌̇</v>
      </c>
      <c r="N27" s="89"/>
      <c r="O27" s="35" t="str">
        <f xml:space="preserve"> IFERROR( _xlfn.CONCAT("o", _xlfn.UNICHAR(HEX2DEC(RIGHT(L27,4)))), "")</f>
        <v>ȯ</v>
      </c>
      <c r="P27" s="35" t="str">
        <f xml:space="preserve"> IFERROR( _xlfn.CONCAT("t", "o", _xlfn.UNICHAR(HEX2DEC(RIGHT(L27,4))), "ng"), "")</f>
        <v>tȯng</v>
      </c>
    </row>
    <row r="28" spans="2:19" ht="30" outlineLevel="1">
      <c r="L28" s="88" t="s">
        <v>312</v>
      </c>
      <c r="M28" s="89" t="str">
        <f t="shared" si="7"/>
        <v>◌̍</v>
      </c>
      <c r="N28" s="89"/>
      <c r="O28" s="35" t="str">
        <f xml:space="preserve"> IFERROR( _xlfn.CONCAT("o", _xlfn.UNICHAR(HEX2DEC(RIGHT(L28,4)))), "")</f>
        <v>o̍</v>
      </c>
      <c r="P28" s="35" t="str">
        <f xml:space="preserve"> IFERROR( _xlfn.CONCAT("t", "o", _xlfn.UNICHAR(HEX2DEC(RIGHT(L28,4))), "ng"), "")</f>
        <v>to̍ng</v>
      </c>
    </row>
    <row r="29" spans="2:19" ht="30">
      <c r="L29" s="88" t="s">
        <v>313</v>
      </c>
      <c r="M29" s="89" t="str">
        <f t="shared" si="7"/>
        <v>◌̋</v>
      </c>
      <c r="N29" s="89"/>
      <c r="O29" s="35" t="str">
        <f xml:space="preserve"> IFERROR( _xlfn.CONCAT("o", _xlfn.UNICHAR(HEX2DEC(RIGHT(L29,4)))), "")</f>
        <v>ő</v>
      </c>
      <c r="P29" s="35" t="str">
        <f xml:space="preserve"> IFERROR( _xlfn.CONCAT("t", "o", _xlfn.UNICHAR(HEX2DEC(RIGHT(L29,4))), "ng"), "")</f>
        <v>tőng</v>
      </c>
    </row>
    <row r="30" spans="2:19" ht="30">
      <c r="L30" s="88" t="s">
        <v>317</v>
      </c>
      <c r="M30" s="89" t="str">
        <f t="shared" si="7"/>
        <v>◌̥</v>
      </c>
      <c r="N30" s="89"/>
      <c r="O30" s="35" t="str">
        <f t="shared" ref="O30:O31" si="8" xml:space="preserve"> IFERROR( _xlfn.CONCAT("o", _xlfn.UNICHAR(HEX2DEC(RIGHT(L30,4)))), "")</f>
        <v>o̥</v>
      </c>
      <c r="P30" s="35" t="str">
        <f t="shared" ref="P30:P31" si="9" xml:space="preserve"> IFERROR( _xlfn.CONCAT("t", "o", _xlfn.UNICHAR(HEX2DEC(RIGHT(L30,4))), "ng"), "")</f>
        <v>to̥ng</v>
      </c>
    </row>
    <row r="31" spans="2:19" ht="30">
      <c r="L31" s="88" t="s">
        <v>318</v>
      </c>
      <c r="M31" s="89" t="str">
        <f t="shared" si="7"/>
        <v>◌̰</v>
      </c>
      <c r="N31" s="89"/>
      <c r="O31" s="35" t="str">
        <f t="shared" si="8"/>
        <v>o̰</v>
      </c>
      <c r="P31" s="35" t="str">
        <f t="shared" si="9"/>
        <v>to̰ng</v>
      </c>
    </row>
  </sheetData>
  <mergeCells count="2">
    <mergeCell ref="H2:I2"/>
    <mergeCell ref="H14:I14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1A212-BC76-4FB3-9AC0-2C14DAF4E84E}">
  <dimension ref="B2:U11"/>
  <sheetViews>
    <sheetView showOutlineSymbols="0" workbookViewId="0"/>
  </sheetViews>
  <sheetFormatPr defaultRowHeight="16.5"/>
  <cols>
    <col min="1" max="1" width="5.5" customWidth="1"/>
    <col min="2" max="2" width="13.5" customWidth="1"/>
    <col min="3" max="4" width="16.25" customWidth="1"/>
    <col min="5" max="5" width="11.5" customWidth="1"/>
    <col min="6" max="6" width="12.5" bestFit="1" customWidth="1"/>
    <col min="7" max="10" width="18" customWidth="1"/>
    <col min="19" max="19" width="27" customWidth="1"/>
  </cols>
  <sheetData>
    <row r="2" spans="2:21" ht="25.5">
      <c r="B2" s="14" t="s">
        <v>285</v>
      </c>
      <c r="C2" s="14" t="s">
        <v>222</v>
      </c>
      <c r="D2" s="14" t="s">
        <v>286</v>
      </c>
      <c r="E2" s="14" t="s">
        <v>30</v>
      </c>
      <c r="F2" s="13" t="s">
        <v>201</v>
      </c>
      <c r="G2" s="13" t="s">
        <v>202</v>
      </c>
      <c r="H2" s="13" t="s">
        <v>282</v>
      </c>
      <c r="I2" s="14" t="s">
        <v>259</v>
      </c>
      <c r="J2" s="14" t="s">
        <v>204</v>
      </c>
    </row>
    <row r="3" spans="2:21" ht="57.75">
      <c r="B3" s="12">
        <v>1</v>
      </c>
      <c r="C3" s="62" t="s">
        <v>273</v>
      </c>
      <c r="D3" s="62" t="s">
        <v>287</v>
      </c>
      <c r="E3" s="63">
        <v>44</v>
      </c>
      <c r="F3" s="63" t="s">
        <v>283</v>
      </c>
      <c r="G3" s="82" t="s">
        <v>338</v>
      </c>
      <c r="H3" s="57" t="s">
        <v>45</v>
      </c>
      <c r="I3" s="58" t="s">
        <v>214</v>
      </c>
      <c r="J3" s="58" t="str">
        <f xml:space="preserve"> _xlfn.CONCAT(I3, F3)</f>
        <v>ㄊㆲ:</v>
      </c>
      <c r="L3" s="62" t="str">
        <f xml:space="preserve"> _xlfn.CONCAT("ㄚ",_xlfn.UNICHAR(HEX2DEC(RIGHT("U+0304",4))))</f>
        <v>ㄚ̄</v>
      </c>
      <c r="N3" s="33" t="s">
        <v>185</v>
      </c>
      <c r="O3" s="35">
        <f xml:space="preserve"> IFERROR( HEX2DEC(RIGHT(N3,4)), "")</f>
        <v>769</v>
      </c>
      <c r="P3" s="35" t="str">
        <f xml:space="preserve"> IFERROR( _xlfn.CONCAT("o", _xlfn.UNICHAR(HEX2DEC(RIGHT(N3,4)))), "")</f>
        <v>ó</v>
      </c>
      <c r="Q3" s="35" t="str">
        <f xml:space="preserve"> IFERROR( _xlfn.CONCAT("t", "o", _xlfn.UNICHAR(HEX2DEC(RIGHT(N3,4))), "ng"), "")</f>
        <v>tóng</v>
      </c>
      <c r="S3" s="62" t="str">
        <f xml:space="preserve"> _xlfn.CONCAT( LEFT(C3,2), " ", L3,)</f>
        <v>陰平 ㄚ̄</v>
      </c>
      <c r="U3" t="s">
        <v>264</v>
      </c>
    </row>
    <row r="4" spans="2:21" ht="57.75">
      <c r="B4" s="4">
        <v>2</v>
      </c>
      <c r="C4" s="65" t="s">
        <v>274</v>
      </c>
      <c r="D4" s="65" t="s">
        <v>288</v>
      </c>
      <c r="E4" s="66">
        <v>24</v>
      </c>
      <c r="F4" s="66">
        <v>6</v>
      </c>
      <c r="G4" s="83" t="s">
        <v>339</v>
      </c>
      <c r="H4" s="59" t="s">
        <v>296</v>
      </c>
      <c r="I4" s="60" t="s">
        <v>218</v>
      </c>
      <c r="J4" s="60" t="str">
        <f xml:space="preserve"> _xlfn.CONCAT( LEFT( I4, LEN(I4)-1), F4)</f>
        <v>ㄊㆲ6</v>
      </c>
      <c r="L4" s="62" t="str">
        <f xml:space="preserve"> _xlfn.CONCAT("ㄚ",_xlfn.UNICHAR(HEX2DEC(RIGHT("U+0301",4))))</f>
        <v>ㄚ́</v>
      </c>
      <c r="N4" s="33" t="s">
        <v>186</v>
      </c>
      <c r="O4" s="35">
        <f t="shared" ref="O4:O10" si="0" xml:space="preserve"> IFERROR( HEX2DEC(RIGHT(N4,4)), "")</f>
        <v>768</v>
      </c>
      <c r="P4" s="35" t="str">
        <f t="shared" ref="P4:P10" si="1" xml:space="preserve"> IFERROR( _xlfn.CONCAT("o", _xlfn.UNICHAR(HEX2DEC(RIGHT(N4,4)))), "")</f>
        <v>ò</v>
      </c>
      <c r="Q4" s="35" t="str">
        <f t="shared" ref="Q4:Q10" si="2" xml:space="preserve"> IFERROR( _xlfn.CONCAT("t", "o", _xlfn.UNICHAR(HEX2DEC(RIGHT(N4,4))), "ng"), "")</f>
        <v>tòng</v>
      </c>
      <c r="S4" s="62" t="str">
        <f t="shared" ref="S4:S11" si="3" xml:space="preserve"> _xlfn.CONCAT( LEFT(C4,2), " ", L4,)</f>
        <v>陽平 ㄚ́</v>
      </c>
      <c r="U4" t="s">
        <v>265</v>
      </c>
    </row>
    <row r="5" spans="2:21" ht="57.75">
      <c r="B5" s="12">
        <v>3</v>
      </c>
      <c r="C5" s="62" t="s">
        <v>275</v>
      </c>
      <c r="D5" s="62" t="s">
        <v>289</v>
      </c>
      <c r="E5" s="63">
        <v>53</v>
      </c>
      <c r="F5" s="63">
        <v>4</v>
      </c>
      <c r="G5" s="82" t="s">
        <v>340</v>
      </c>
      <c r="H5" s="57" t="s">
        <v>297</v>
      </c>
      <c r="I5" s="61" t="s">
        <v>215</v>
      </c>
      <c r="J5" s="61" t="str">
        <f xml:space="preserve"> _xlfn.CONCAT( LEFT( I5, LEN(I5)-1), F5)</f>
        <v>ㄊㆲ4</v>
      </c>
      <c r="L5" s="62" t="str">
        <f xml:space="preserve"> _xlfn.CONCAT("ㄚ",_xlfn.UNICHAR(HEX2DEC(RIGHT("U+030C",4))))</f>
        <v>ㄚ̌</v>
      </c>
      <c r="N5" s="34" t="s">
        <v>121</v>
      </c>
      <c r="O5" s="35">
        <f t="shared" si="0"/>
        <v>781</v>
      </c>
      <c r="P5" s="35" t="str">
        <f t="shared" si="1"/>
        <v>o̍</v>
      </c>
      <c r="Q5" s="35" t="str">
        <f t="shared" si="2"/>
        <v>to̍ng</v>
      </c>
      <c r="S5" s="62" t="str">
        <f t="shared" si="3"/>
        <v>陰上 ㄚ̌</v>
      </c>
      <c r="U5" t="s">
        <v>266</v>
      </c>
    </row>
    <row r="6" spans="2:21" ht="57.75">
      <c r="B6" s="4">
        <v>4</v>
      </c>
      <c r="C6" s="65" t="s">
        <v>276</v>
      </c>
      <c r="D6" s="70"/>
      <c r="E6" s="70"/>
      <c r="F6" s="70"/>
      <c r="G6" s="116" t="s">
        <v>341</v>
      </c>
      <c r="H6" s="70"/>
      <c r="I6" s="70"/>
      <c r="J6" s="70"/>
      <c r="L6" s="62" t="str">
        <f t="shared" ref="L6" si="4" xml:space="preserve"> _xlfn.CONCAT("ㄚ",_xlfn.UNICHAR(HEX2DEC(RIGHT("U+0304",4))))</f>
        <v>ㄚ̄</v>
      </c>
      <c r="N6" s="33" t="s">
        <v>120</v>
      </c>
      <c r="O6" s="35">
        <f t="shared" si="0"/>
        <v>770</v>
      </c>
      <c r="P6" s="35" t="str">
        <f t="shared" si="1"/>
        <v>ô</v>
      </c>
      <c r="Q6" s="35" t="str">
        <f t="shared" si="2"/>
        <v>tông</v>
      </c>
      <c r="S6" s="62" t="str">
        <f t="shared" si="3"/>
        <v>陽上 ㄚ̄</v>
      </c>
      <c r="U6" t="s">
        <v>267</v>
      </c>
    </row>
    <row r="7" spans="2:21" ht="57.75">
      <c r="B7" s="12">
        <v>5</v>
      </c>
      <c r="C7" s="62" t="s">
        <v>277</v>
      </c>
      <c r="D7" s="62" t="s">
        <v>290</v>
      </c>
      <c r="E7" s="63">
        <v>21</v>
      </c>
      <c r="F7" s="63">
        <v>3</v>
      </c>
      <c r="G7" s="84" t="s">
        <v>342</v>
      </c>
      <c r="H7" s="57" t="s">
        <v>298</v>
      </c>
      <c r="I7" s="61" t="s">
        <v>366</v>
      </c>
      <c r="J7" s="61" t="str">
        <f t="shared" ref="J7:J11" si="5" xml:space="preserve"> _xlfn.CONCAT( LEFT( I7, LEN(I7)-1), F7)</f>
        <v>ㄊㆲ3</v>
      </c>
      <c r="L7" s="62" t="str">
        <f xml:space="preserve"> _xlfn.CONCAT("ㄚ",_xlfn.UNICHAR(HEX2DEC(RIGHT("U+0300",4))))</f>
        <v>ㄚ̀</v>
      </c>
      <c r="N7" s="33" t="s">
        <v>177</v>
      </c>
      <c r="O7" s="35">
        <f t="shared" si="0"/>
        <v>780</v>
      </c>
      <c r="P7" s="35" t="str">
        <f t="shared" si="1"/>
        <v>ǒ</v>
      </c>
      <c r="Q7" s="35" t="str">
        <f t="shared" si="2"/>
        <v>tǒng</v>
      </c>
      <c r="S7" s="62" t="str">
        <f t="shared" si="3"/>
        <v>陰去 ㄚ̀</v>
      </c>
      <c r="U7" t="s">
        <v>268</v>
      </c>
    </row>
    <row r="8" spans="2:21" ht="57.75">
      <c r="B8" s="4">
        <v>6</v>
      </c>
      <c r="C8" s="65" t="s">
        <v>278</v>
      </c>
      <c r="D8" s="65" t="s">
        <v>291</v>
      </c>
      <c r="E8" s="66">
        <v>22</v>
      </c>
      <c r="F8" s="66">
        <v>5</v>
      </c>
      <c r="G8" s="85" t="s">
        <v>343</v>
      </c>
      <c r="H8" s="59" t="s">
        <v>299</v>
      </c>
      <c r="I8" s="60" t="s">
        <v>367</v>
      </c>
      <c r="J8" s="60" t="str">
        <f t="shared" si="5"/>
        <v>ㄊㆲ5</v>
      </c>
      <c r="L8" s="62" t="str">
        <f xml:space="preserve"> _xlfn.CONCAT("ㄚ",_xlfn.UNICHAR(HEX2DEC(RIGHT("U+0302",4))))</f>
        <v>ㄚ̂</v>
      </c>
      <c r="N8" s="33" t="s">
        <v>178</v>
      </c>
      <c r="O8" s="35">
        <f t="shared" si="0"/>
        <v>772</v>
      </c>
      <c r="P8" s="35" t="str">
        <f t="shared" si="1"/>
        <v>ō</v>
      </c>
      <c r="Q8" s="35" t="str">
        <f xml:space="preserve"> IFERROR( _xlfn.CONCAT("t", "o", _xlfn.UNICHAR(HEX2DEC(RIGHT("U+0304",4))), "ng"), "")</f>
        <v>tōng</v>
      </c>
      <c r="S8" s="62" t="str">
        <f t="shared" si="3"/>
        <v>陽去 ㄚ̂</v>
      </c>
      <c r="U8" t="s">
        <v>269</v>
      </c>
    </row>
    <row r="9" spans="2:21" ht="57.75">
      <c r="B9" s="12">
        <v>7</v>
      </c>
      <c r="C9" s="62" t="s">
        <v>279</v>
      </c>
      <c r="D9" s="62" t="s">
        <v>292</v>
      </c>
      <c r="E9" s="63">
        <v>30</v>
      </c>
      <c r="F9" s="63" t="s">
        <v>43</v>
      </c>
      <c r="G9" s="84" t="s">
        <v>344</v>
      </c>
      <c r="H9" s="57" t="s">
        <v>300</v>
      </c>
      <c r="I9" s="61" t="s">
        <v>261</v>
      </c>
      <c r="J9" s="61" t="str">
        <f xml:space="preserve"> _xlfn.CONCAT( LEFT( I9, LEN(I9)), F9)</f>
        <v>ㄊㆦㆻ[</v>
      </c>
      <c r="L9" s="62" t="str">
        <f xml:space="preserve"> _xlfn.CONCAT("ㄚ", "ㆷ", _xlfn.UNICHAR(HEX2DEC(RIGHT("U+0304",4))))</f>
        <v>ㄚㆷ̄</v>
      </c>
      <c r="N9" s="33" t="s">
        <v>210</v>
      </c>
      <c r="O9" s="35">
        <f t="shared" si="0"/>
        <v>781</v>
      </c>
      <c r="P9" s="35" t="str">
        <f t="shared" si="1"/>
        <v>o̍</v>
      </c>
      <c r="Q9" s="35" t="str">
        <f t="shared" si="2"/>
        <v>to̍ng</v>
      </c>
      <c r="S9" s="62" t="str">
        <f t="shared" si="3"/>
        <v>陰入 ㄚㆷ̄</v>
      </c>
      <c r="U9" t="s">
        <v>270</v>
      </c>
    </row>
    <row r="10" spans="2:21" ht="57.75">
      <c r="B10" s="4">
        <v>8</v>
      </c>
      <c r="C10" s="65" t="s">
        <v>280</v>
      </c>
      <c r="D10" s="65" t="s">
        <v>293</v>
      </c>
      <c r="E10" s="66">
        <v>121</v>
      </c>
      <c r="F10" s="66" t="s">
        <v>44</v>
      </c>
      <c r="G10" s="85" t="s">
        <v>345</v>
      </c>
      <c r="H10" s="59" t="s">
        <v>220</v>
      </c>
      <c r="I10" s="60" t="s">
        <v>262</v>
      </c>
      <c r="J10" s="60" t="str">
        <f t="shared" si="5"/>
        <v>ㄊㆦㆻ]</v>
      </c>
      <c r="L10" s="62" t="str">
        <f xml:space="preserve"> _xlfn.CONCAT("ㄚ", "ㆷ", _xlfn.UNICHAR(HEX2DEC(RIGHT("U+0301",4))))</f>
        <v>ㄚㆷ́</v>
      </c>
      <c r="N10" s="33" t="s">
        <v>122</v>
      </c>
      <c r="O10" s="35">
        <f t="shared" si="0"/>
        <v>779</v>
      </c>
      <c r="P10" s="35" t="str">
        <f t="shared" si="1"/>
        <v>ő</v>
      </c>
      <c r="Q10" s="35" t="str">
        <f t="shared" si="2"/>
        <v>tőng</v>
      </c>
      <c r="S10" s="62" t="str">
        <f t="shared" si="3"/>
        <v>陽入 ㄚㆷ́</v>
      </c>
      <c r="U10" t="s">
        <v>271</v>
      </c>
    </row>
    <row r="11" spans="2:21" ht="57.75">
      <c r="B11" s="12">
        <v>0</v>
      </c>
      <c r="C11" s="62" t="s">
        <v>281</v>
      </c>
      <c r="D11" s="62" t="s">
        <v>284</v>
      </c>
      <c r="E11" s="63">
        <v>20</v>
      </c>
      <c r="F11" s="63">
        <v>7</v>
      </c>
      <c r="G11" s="82" t="s">
        <v>294</v>
      </c>
      <c r="H11" s="57" t="s">
        <v>211</v>
      </c>
      <c r="I11" s="61" t="s">
        <v>260</v>
      </c>
      <c r="J11" s="61" t="str">
        <f t="shared" si="5"/>
        <v>ㄚㆷ7</v>
      </c>
      <c r="L11" s="62" t="str">
        <f xml:space="preserve"> _xlfn.CONCAT("ㄚ", "ㆷ", _xlfn.UNICHAR(HEX2DEC(RIGHT("U+02D9",4))))</f>
        <v>ㄚㆷ˙</v>
      </c>
      <c r="S11" s="62" t="str">
        <f t="shared" si="3"/>
        <v>輕聲 ㄚㆷ˙</v>
      </c>
      <c r="U11" t="s">
        <v>272</v>
      </c>
    </row>
  </sheetData>
  <phoneticPr fontId="1" type="noConversion"/>
  <hyperlinks>
    <hyperlink ref="N3" r:id="rId1" display="https://zi-hi.com/sp/uni/0301" xr:uid="{29557F67-C9E1-4207-ADB3-05F135001A7D}"/>
    <hyperlink ref="N4" r:id="rId2" display="https://zi-hi.com/sp/uni/0300" xr:uid="{584FA487-D384-410F-94AE-997BFBD2F0D8}"/>
    <hyperlink ref="N6" r:id="rId3" display="https://zi-hi.com/sp/uni/0302" xr:uid="{062EA93B-82EA-4958-9DC7-1DBEF3133A6B}"/>
    <hyperlink ref="N7" r:id="rId4" display="https://zi-hi.com/sp/uni/030C" xr:uid="{9A22CE96-0A67-43FA-AD4B-031FFDA6176F}"/>
    <hyperlink ref="N8" r:id="rId5" display="https://zi-hi.com/sp/uni/0304" xr:uid="{70982C0D-2852-40A7-83D2-6FBB84065F85}"/>
    <hyperlink ref="N9" r:id="rId6" display="https://zi-hi.com/sp/uni/030D" xr:uid="{8DB31655-ECC1-4C79-8EDE-6EB6127CF1FA}"/>
    <hyperlink ref="N10" r:id="rId7" display="https://zi-hi.com/sp/uni/030B" xr:uid="{13744238-B778-4891-82A3-79717A6C608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17A80-03F8-423A-8766-B16781C638F3}">
  <dimension ref="B2:V11"/>
  <sheetViews>
    <sheetView showOutlineSymbols="0" workbookViewId="0"/>
  </sheetViews>
  <sheetFormatPr defaultRowHeight="16.5"/>
  <cols>
    <col min="1" max="1" width="5.5" customWidth="1"/>
    <col min="2" max="2" width="7.5" bestFit="1" customWidth="1"/>
    <col min="3" max="3" width="19.625" bestFit="1" customWidth="1"/>
    <col min="4" max="4" width="11.5" customWidth="1"/>
    <col min="5" max="5" width="12.5" bestFit="1" customWidth="1"/>
    <col min="6" max="6" width="18" customWidth="1"/>
    <col min="7" max="7" width="20.375" bestFit="1" customWidth="1"/>
    <col min="8" max="9" width="19.5" customWidth="1"/>
    <col min="19" max="19" width="22.25" customWidth="1"/>
  </cols>
  <sheetData>
    <row r="2" spans="2:22" ht="25.5">
      <c r="B2" s="14" t="s">
        <v>221</v>
      </c>
      <c r="C2" s="14" t="s">
        <v>222</v>
      </c>
      <c r="D2" s="14" t="s">
        <v>30</v>
      </c>
      <c r="E2" s="13" t="s">
        <v>201</v>
      </c>
      <c r="F2" s="13" t="s">
        <v>202</v>
      </c>
      <c r="G2" s="13" t="s">
        <v>223</v>
      </c>
      <c r="H2" s="14" t="s">
        <v>259</v>
      </c>
      <c r="I2" s="14" t="s">
        <v>204</v>
      </c>
    </row>
    <row r="3" spans="2:22" ht="45">
      <c r="B3" s="12">
        <v>1</v>
      </c>
      <c r="C3" s="62" t="s">
        <v>224</v>
      </c>
      <c r="D3" s="63">
        <v>44</v>
      </c>
      <c r="E3" s="69" t="s">
        <v>263</v>
      </c>
      <c r="F3" s="53" t="s">
        <v>26</v>
      </c>
      <c r="G3" s="57" t="s">
        <v>45</v>
      </c>
      <c r="H3" s="58" t="s">
        <v>214</v>
      </c>
      <c r="I3" s="58" t="str">
        <f xml:space="preserve"> _xlfn.CONCAT(H3, E3)</f>
        <v>ㄊㆲ'</v>
      </c>
      <c r="K3" s="62" t="str">
        <f xml:space="preserve"> _xlfn.CONCAT("ㄚ",_xlfn.UNICHAR(HEX2DEC(RIGHT("U+0304",4))))</f>
        <v>ㄚ̄</v>
      </c>
      <c r="M3" s="33" t="s">
        <v>185</v>
      </c>
      <c r="N3" s="35">
        <f xml:space="preserve"> IFERROR( HEX2DEC(RIGHT(M3,4)), "")</f>
        <v>769</v>
      </c>
      <c r="O3" s="35" t="str">
        <f xml:space="preserve"> IFERROR( _xlfn.CONCAT("o", _xlfn.UNICHAR(HEX2DEC(RIGHT(M3,4)))), "")</f>
        <v>ó</v>
      </c>
      <c r="P3" s="35" t="str">
        <f xml:space="preserve"> IFERROR( _xlfn.CONCAT("t", "o", _xlfn.UNICHAR(HEX2DEC(RIGHT(M3,4))), "ng"), "")</f>
        <v>tóng</v>
      </c>
      <c r="S3" s="68" t="s">
        <v>249</v>
      </c>
      <c r="T3" s="68"/>
      <c r="U3" s="62" t="str">
        <f xml:space="preserve"> IFERROR( _xlfn.CONCAT("ㄚ", "ㆷ", _xlfn.UNICHAR(HEX2DEC(RIGHT("U+02D9",4)))), "")</f>
        <v>ㄚㆷ˙</v>
      </c>
      <c r="V3" s="68"/>
    </row>
    <row r="4" spans="2:22" ht="45">
      <c r="B4" s="4">
        <v>2</v>
      </c>
      <c r="C4" s="65" t="s">
        <v>225</v>
      </c>
      <c r="D4" s="66">
        <v>24</v>
      </c>
      <c r="E4" s="67">
        <v>4</v>
      </c>
      <c r="F4" s="54" t="s">
        <v>226</v>
      </c>
      <c r="G4" s="59" t="s">
        <v>49</v>
      </c>
      <c r="H4" s="60" t="s">
        <v>215</v>
      </c>
      <c r="I4" s="60" t="str">
        <f xml:space="preserve"> _xlfn.CONCAT( LEFT( H4, LEN(H4)-1), E4)</f>
        <v>ㄊㆲ4</v>
      </c>
      <c r="M4" s="33" t="s">
        <v>186</v>
      </c>
      <c r="N4" s="35">
        <f t="shared" ref="N4:N10" si="0" xml:space="preserve"> IFERROR( HEX2DEC(RIGHT(M4,4)), "")</f>
        <v>768</v>
      </c>
      <c r="O4" s="35" t="str">
        <f t="shared" ref="O4:O10" si="1" xml:space="preserve"> IFERROR( _xlfn.CONCAT("o", _xlfn.UNICHAR(HEX2DEC(RIGHT(M4,4)))), "")</f>
        <v>ò</v>
      </c>
      <c r="P4" s="35" t="str">
        <f t="shared" ref="P4:P10" si="2" xml:space="preserve"> IFERROR( _xlfn.CONCAT("t", "o", _xlfn.UNICHAR(HEX2DEC(RIGHT(M4,4))), "ng"), "")</f>
        <v>tòng</v>
      </c>
      <c r="S4" s="68" t="s">
        <v>235</v>
      </c>
      <c r="T4" s="68" t="s">
        <v>250</v>
      </c>
      <c r="U4" s="68" t="s">
        <v>236</v>
      </c>
      <c r="V4" s="68" t="s">
        <v>237</v>
      </c>
    </row>
    <row r="5" spans="2:22" ht="45">
      <c r="B5" s="12">
        <v>3</v>
      </c>
      <c r="C5" s="62" t="s">
        <v>227</v>
      </c>
      <c r="D5" s="63">
        <v>53</v>
      </c>
      <c r="E5" s="64">
        <v>3</v>
      </c>
      <c r="F5" s="53" t="s">
        <v>19</v>
      </c>
      <c r="G5" s="57" t="s">
        <v>48</v>
      </c>
      <c r="H5" s="61" t="s">
        <v>216</v>
      </c>
      <c r="I5" s="61" t="str">
        <f xml:space="preserve"> _xlfn.CONCAT( LEFT( H5, LEN(H5)-1), E5)</f>
        <v>ㄊㆲ3</v>
      </c>
      <c r="M5" s="34" t="s">
        <v>121</v>
      </c>
      <c r="N5" s="35">
        <f t="shared" si="0"/>
        <v>781</v>
      </c>
      <c r="O5" s="35" t="str">
        <f t="shared" si="1"/>
        <v>o̍</v>
      </c>
      <c r="P5" s="35" t="str">
        <f t="shared" si="2"/>
        <v>to̍ng</v>
      </c>
      <c r="S5" s="68" t="s">
        <v>238</v>
      </c>
      <c r="T5" s="68" t="s">
        <v>251</v>
      </c>
      <c r="U5" s="68" t="s">
        <v>239</v>
      </c>
      <c r="V5" s="68" t="s">
        <v>252</v>
      </c>
    </row>
    <row r="6" spans="2:22" ht="45">
      <c r="B6" s="4">
        <v>4</v>
      </c>
      <c r="C6" s="65" t="s">
        <v>233</v>
      </c>
      <c r="D6" s="66"/>
      <c r="E6" s="67" t="s">
        <v>43</v>
      </c>
      <c r="F6" s="55" t="s">
        <v>7</v>
      </c>
      <c r="G6" s="59" t="s">
        <v>217</v>
      </c>
      <c r="H6" s="60" t="s">
        <v>261</v>
      </c>
      <c r="I6" s="60" t="str">
        <f xml:space="preserve"> _xlfn.CONCAT(H6, E6)</f>
        <v>ㄊㆦㆻ[</v>
      </c>
      <c r="M6" s="33" t="s">
        <v>120</v>
      </c>
      <c r="N6" s="35">
        <f t="shared" si="0"/>
        <v>770</v>
      </c>
      <c r="O6" s="35" t="str">
        <f t="shared" si="1"/>
        <v>ô</v>
      </c>
      <c r="P6" s="35" t="str">
        <f t="shared" si="2"/>
        <v>tông</v>
      </c>
      <c r="S6" s="68" t="s">
        <v>240</v>
      </c>
      <c r="T6" s="68" t="s">
        <v>253</v>
      </c>
      <c r="U6" s="68" t="s">
        <v>241</v>
      </c>
      <c r="V6" s="68" t="s">
        <v>242</v>
      </c>
    </row>
    <row r="7" spans="2:22" ht="45">
      <c r="B7" s="12">
        <v>5</v>
      </c>
      <c r="C7" s="62" t="s">
        <v>228</v>
      </c>
      <c r="D7" s="63">
        <v>21</v>
      </c>
      <c r="E7" s="64">
        <v>6</v>
      </c>
      <c r="F7" s="56" t="s">
        <v>15</v>
      </c>
      <c r="G7" s="57" t="s">
        <v>50</v>
      </c>
      <c r="H7" s="61" t="s">
        <v>218</v>
      </c>
      <c r="I7" s="61" t="str">
        <f t="shared" ref="I7:I11" si="3" xml:space="preserve"> _xlfn.CONCAT( LEFT( H7, LEN(H7)-1), E7)</f>
        <v>ㄊㆲ6</v>
      </c>
      <c r="M7" s="33" t="s">
        <v>177</v>
      </c>
      <c r="N7" s="35">
        <f t="shared" si="0"/>
        <v>780</v>
      </c>
      <c r="O7" s="35" t="str">
        <f t="shared" si="1"/>
        <v>ǒ</v>
      </c>
      <c r="P7" s="35" t="str">
        <f t="shared" si="2"/>
        <v>tǒng</v>
      </c>
      <c r="S7" s="68" t="s">
        <v>10</v>
      </c>
      <c r="T7" s="68" t="s">
        <v>254</v>
      </c>
      <c r="U7" s="68" t="s">
        <v>243</v>
      </c>
      <c r="V7" s="68"/>
    </row>
    <row r="8" spans="2:22" ht="45">
      <c r="B8" s="4">
        <v>6</v>
      </c>
      <c r="C8" s="65" t="s">
        <v>229</v>
      </c>
      <c r="D8" s="70">
        <v>22</v>
      </c>
      <c r="E8" s="71"/>
      <c r="F8" s="55" t="s">
        <v>23</v>
      </c>
      <c r="G8" s="59" t="s">
        <v>205</v>
      </c>
      <c r="H8" s="60" t="s">
        <v>215</v>
      </c>
      <c r="I8" s="60" t="str">
        <f t="shared" si="3"/>
        <v>ㄊㆲ</v>
      </c>
      <c r="M8" s="33" t="s">
        <v>178</v>
      </c>
      <c r="N8" s="35">
        <f t="shared" si="0"/>
        <v>772</v>
      </c>
      <c r="O8" s="35" t="str">
        <f t="shared" si="1"/>
        <v>ō</v>
      </c>
      <c r="P8" s="35" t="str">
        <f xml:space="preserve"> IFERROR( _xlfn.CONCAT("t", "o", _xlfn.UNICHAR(HEX2DEC(RIGHT("U+0304",4))), "ng"), "")</f>
        <v>tōng</v>
      </c>
      <c r="S8" s="68" t="s">
        <v>16</v>
      </c>
      <c r="T8" s="68" t="s">
        <v>255</v>
      </c>
      <c r="U8" s="68" t="s">
        <v>244</v>
      </c>
      <c r="V8" s="68"/>
    </row>
    <row r="9" spans="2:22" ht="45">
      <c r="B9" s="12">
        <v>7</v>
      </c>
      <c r="C9" s="62" t="s">
        <v>230</v>
      </c>
      <c r="D9" s="63">
        <v>30</v>
      </c>
      <c r="E9" s="64">
        <v>5</v>
      </c>
      <c r="F9" s="53" t="s">
        <v>231</v>
      </c>
      <c r="G9" s="57" t="s">
        <v>47</v>
      </c>
      <c r="H9" s="61" t="s">
        <v>219</v>
      </c>
      <c r="I9" s="61" t="str">
        <f t="shared" si="3"/>
        <v>ㄊㆲ5</v>
      </c>
      <c r="M9" s="33" t="s">
        <v>210</v>
      </c>
      <c r="N9" s="35">
        <f t="shared" si="0"/>
        <v>781</v>
      </c>
      <c r="O9" s="35" t="str">
        <f t="shared" si="1"/>
        <v>o̍</v>
      </c>
      <c r="P9" s="35" t="str">
        <f t="shared" si="2"/>
        <v>to̍ng</v>
      </c>
      <c r="S9" s="68" t="s">
        <v>12</v>
      </c>
      <c r="T9" s="68" t="s">
        <v>256</v>
      </c>
      <c r="U9" s="68" t="s">
        <v>245</v>
      </c>
      <c r="V9" s="68"/>
    </row>
    <row r="10" spans="2:22" ht="45">
      <c r="B10" s="4">
        <v>8</v>
      </c>
      <c r="C10" s="65" t="s">
        <v>234</v>
      </c>
      <c r="D10" s="66">
        <v>121</v>
      </c>
      <c r="E10" s="67" t="s">
        <v>44</v>
      </c>
      <c r="F10" s="55" t="s">
        <v>232</v>
      </c>
      <c r="G10" s="59" t="s">
        <v>220</v>
      </c>
      <c r="H10" s="60" t="s">
        <v>262</v>
      </c>
      <c r="I10" s="60" t="str">
        <f t="shared" si="3"/>
        <v>ㄊㆦㆻ]</v>
      </c>
      <c r="M10" s="33" t="s">
        <v>122</v>
      </c>
      <c r="N10" s="35">
        <f t="shared" si="0"/>
        <v>779</v>
      </c>
      <c r="O10" s="35" t="str">
        <f t="shared" si="1"/>
        <v>ő</v>
      </c>
      <c r="P10" s="35" t="str">
        <f t="shared" si="2"/>
        <v>tőng</v>
      </c>
      <c r="S10" s="68" t="s">
        <v>20</v>
      </c>
      <c r="T10" s="68" t="s">
        <v>257</v>
      </c>
      <c r="U10" s="68" t="s">
        <v>246</v>
      </c>
      <c r="V10" s="68"/>
    </row>
    <row r="11" spans="2:22" ht="45">
      <c r="B11" s="12">
        <v>0</v>
      </c>
      <c r="C11" s="62" t="s">
        <v>258</v>
      </c>
      <c r="D11" s="63">
        <v>20</v>
      </c>
      <c r="E11" s="64">
        <v>7</v>
      </c>
      <c r="F11" s="53" t="s">
        <v>209</v>
      </c>
      <c r="G11" s="57" t="s">
        <v>211</v>
      </c>
      <c r="H11" s="61" t="s">
        <v>260</v>
      </c>
      <c r="I11" s="61" t="str">
        <f t="shared" si="3"/>
        <v>ㄚㆷ7</v>
      </c>
      <c r="K11" s="62" t="str">
        <f xml:space="preserve"> _xlfn.CONCAT("ㄚ", "ㆷ", _xlfn.UNICHAR(HEX2DEC(RIGHT("U+02D9",4))))</f>
        <v>ㄚㆷ˙</v>
      </c>
      <c r="S11" s="68" t="s">
        <v>0</v>
      </c>
      <c r="T11" s="68" t="s">
        <v>253</v>
      </c>
      <c r="U11" s="68" t="s">
        <v>247</v>
      </c>
      <c r="V11" s="68" t="s">
        <v>248</v>
      </c>
    </row>
  </sheetData>
  <phoneticPr fontId="1" type="noConversion"/>
  <hyperlinks>
    <hyperlink ref="M3" r:id="rId1" display="https://zi-hi.com/sp/uni/0301" xr:uid="{E53FE4A9-8C98-4EB7-BECA-CF85F7E6DF6C}"/>
    <hyperlink ref="M4" r:id="rId2" display="https://zi-hi.com/sp/uni/0300" xr:uid="{58B59806-333F-404D-A1FE-98BF5ABD1B1E}"/>
    <hyperlink ref="M6" r:id="rId3" display="https://zi-hi.com/sp/uni/0302" xr:uid="{DA11F8A5-DB21-4F7F-9B9F-8F27CFD4CE3D}"/>
    <hyperlink ref="M7" r:id="rId4" display="https://zi-hi.com/sp/uni/030C" xr:uid="{01C08107-E3D2-4641-82A0-A309B28467F5}"/>
    <hyperlink ref="M8" r:id="rId5" display="https://zi-hi.com/sp/uni/0304" xr:uid="{A30785C5-610F-4AA6-9A6B-A9A8D94B1583}"/>
    <hyperlink ref="M9" r:id="rId6" display="https://zi-hi.com/sp/uni/030D" xr:uid="{02DFC5FA-25F8-44B6-8ED6-11E3747FE64A}"/>
    <hyperlink ref="M10" r:id="rId7" display="https://zi-hi.com/sp/uni/030B" xr:uid="{D016CECA-BC79-4266-BA30-B2C800ABD3F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180E-22C7-41E3-9B1C-02C96E708532}">
  <dimension ref="B2:O18"/>
  <sheetViews>
    <sheetView showOutlineSymbols="0" workbookViewId="0"/>
  </sheetViews>
  <sheetFormatPr defaultRowHeight="16.5" outlineLevelRow="1"/>
  <cols>
    <col min="1" max="1" width="4.125" customWidth="1"/>
    <col min="2" max="2" width="14" customWidth="1"/>
    <col min="3" max="3" width="10.5" bestFit="1" customWidth="1"/>
    <col min="4" max="5" width="15.375" customWidth="1"/>
    <col min="6" max="6" width="15" customWidth="1"/>
    <col min="7" max="8" width="14.75" customWidth="1"/>
    <col min="9" max="9" width="15.375" customWidth="1"/>
    <col min="10" max="10" width="15" customWidth="1"/>
  </cols>
  <sheetData>
    <row r="2" spans="2:15" ht="25.5">
      <c r="B2" s="13" t="s">
        <v>199</v>
      </c>
      <c r="C2" s="13" t="s">
        <v>30</v>
      </c>
      <c r="D2" s="14" t="s">
        <v>32</v>
      </c>
      <c r="E2" s="14" t="s">
        <v>31</v>
      </c>
      <c r="F2" s="13" t="s">
        <v>201</v>
      </c>
      <c r="G2" s="13" t="s">
        <v>202</v>
      </c>
      <c r="H2" s="145" t="s">
        <v>203</v>
      </c>
      <c r="I2" s="146"/>
      <c r="J2" s="14" t="s">
        <v>204</v>
      </c>
    </row>
    <row r="3" spans="2:15" ht="57.75">
      <c r="B3" s="42">
        <v>1</v>
      </c>
      <c r="C3" s="40">
        <v>44</v>
      </c>
      <c r="D3" s="39" t="s">
        <v>25</v>
      </c>
      <c r="E3" s="39" t="s">
        <v>24</v>
      </c>
      <c r="F3" s="45" t="s">
        <v>38</v>
      </c>
      <c r="G3" s="38" t="s">
        <v>26</v>
      </c>
      <c r="H3" s="44" t="s">
        <v>45</v>
      </c>
      <c r="I3" s="44" t="str">
        <f xml:space="preserve"> IFERROR( _xlfn.CONCAT("t", "o", "ng"), "")</f>
        <v>tong</v>
      </c>
      <c r="J3" s="44" t="str">
        <f xml:space="preserve"> _xlfn.CONCAT("tong", F3)</f>
        <v>tong;</v>
      </c>
      <c r="L3" s="33" t="s">
        <v>185</v>
      </c>
      <c r="M3" s="35">
        <f xml:space="preserve"> IFERROR( HEX2DEC(RIGHT(L3,4)), "")</f>
        <v>769</v>
      </c>
      <c r="N3" s="35" t="str">
        <f xml:space="preserve"> IFERROR( _xlfn.CONCAT("o", _xlfn.UNICHAR(HEX2DEC(RIGHT(L3,4)))), "")</f>
        <v>ó</v>
      </c>
      <c r="O3" s="35" t="str">
        <f xml:space="preserve"> IFERROR( _xlfn.CONCAT("t", "o", _xlfn.UNICHAR(HEX2DEC(RIGHT(L3,4))), "ng"), "")</f>
        <v>tóng</v>
      </c>
    </row>
    <row r="4" spans="2:15" ht="57.75">
      <c r="B4" s="42">
        <v>2</v>
      </c>
      <c r="C4" s="40">
        <v>53</v>
      </c>
      <c r="D4" s="43" t="s">
        <v>36</v>
      </c>
      <c r="E4" s="43" t="s">
        <v>11</v>
      </c>
      <c r="F4" s="45" t="s">
        <v>41</v>
      </c>
      <c r="G4" s="38" t="s">
        <v>9</v>
      </c>
      <c r="H4" s="44" t="s">
        <v>48</v>
      </c>
      <c r="I4" s="44" t="str">
        <f xml:space="preserve"> IFERROR( _xlfn.CONCAT("t", "o", _xlfn.UNICHAR(HEX2DEC(RIGHT("U+0301",4))), "ng"), "")</f>
        <v>tóng</v>
      </c>
      <c r="J4" s="44" t="str">
        <f xml:space="preserve"> _xlfn.CONCAT("tong", F4)</f>
        <v>tong\</v>
      </c>
      <c r="L4" s="33" t="s">
        <v>186</v>
      </c>
      <c r="M4" s="35">
        <f t="shared" ref="M4:M10" si="0" xml:space="preserve"> IFERROR( HEX2DEC(RIGHT(L4,4)), "")</f>
        <v>768</v>
      </c>
      <c r="N4" s="35" t="str">
        <f t="shared" ref="N4:N10" si="1" xml:space="preserve"> IFERROR( _xlfn.CONCAT("o", _xlfn.UNICHAR(HEX2DEC(RIGHT(L4,4)))), "")</f>
        <v>ò</v>
      </c>
      <c r="O4" s="35" t="str">
        <f t="shared" ref="O4:O10" si="2" xml:space="preserve"> IFERROR( _xlfn.CONCAT("t", "o", _xlfn.UNICHAR(HEX2DEC(RIGHT(L4,4))), "ng"), "")</f>
        <v>tòng</v>
      </c>
    </row>
    <row r="5" spans="2:15" ht="57.75">
      <c r="B5" s="42">
        <v>3</v>
      </c>
      <c r="C5" s="40">
        <v>21</v>
      </c>
      <c r="D5" s="39" t="s">
        <v>18</v>
      </c>
      <c r="E5" s="39" t="s">
        <v>17</v>
      </c>
      <c r="F5" s="45" t="s">
        <v>40</v>
      </c>
      <c r="G5" s="38" t="s">
        <v>19</v>
      </c>
      <c r="H5" s="44" t="s">
        <v>50</v>
      </c>
      <c r="I5" s="44" t="str">
        <f xml:space="preserve"> IFERROR( _xlfn.CONCAT("t", "o", _xlfn.UNICHAR(HEX2DEC(RIGHT("U+0300",4))), "ng"), "")</f>
        <v>tòng</v>
      </c>
      <c r="J5" s="44" t="str">
        <f xml:space="preserve"> _xlfn.CONCAT("tong", F5)</f>
        <v>tong_</v>
      </c>
      <c r="L5" s="34" t="s">
        <v>121</v>
      </c>
      <c r="M5" s="35">
        <f t="shared" si="0"/>
        <v>781</v>
      </c>
      <c r="N5" s="35" t="str">
        <f t="shared" si="1"/>
        <v>o̍</v>
      </c>
      <c r="O5" s="35" t="str">
        <f t="shared" si="2"/>
        <v>to̍ng</v>
      </c>
    </row>
    <row r="6" spans="2:15" ht="57.75">
      <c r="B6" s="42">
        <v>4</v>
      </c>
      <c r="C6" s="40">
        <v>32</v>
      </c>
      <c r="D6" s="39" t="s">
        <v>6</v>
      </c>
      <c r="E6" s="39" t="s">
        <v>5</v>
      </c>
      <c r="F6" s="45" t="s">
        <v>43</v>
      </c>
      <c r="G6" s="38" t="s">
        <v>7</v>
      </c>
      <c r="H6" s="44" t="s">
        <v>47</v>
      </c>
      <c r="I6" s="44" t="str">
        <f xml:space="preserve"> IFERROR( _xlfn.CONCAT("t", "o", "k"), "")</f>
        <v>tok</v>
      </c>
      <c r="J6" s="44" t="str">
        <f xml:space="preserve"> _xlfn.CONCAT("tok", F6)</f>
        <v>tok[</v>
      </c>
      <c r="L6" s="33" t="s">
        <v>120</v>
      </c>
      <c r="M6" s="35">
        <f t="shared" si="0"/>
        <v>770</v>
      </c>
      <c r="N6" s="35" t="str">
        <f t="shared" si="1"/>
        <v>ô</v>
      </c>
      <c r="O6" s="35" t="str">
        <f t="shared" si="2"/>
        <v>tông</v>
      </c>
    </row>
    <row r="7" spans="2:15" ht="57.75">
      <c r="B7" s="42">
        <v>5</v>
      </c>
      <c r="C7" s="40">
        <v>13</v>
      </c>
      <c r="D7" s="39" t="s">
        <v>14</v>
      </c>
      <c r="E7" s="39" t="s">
        <v>13</v>
      </c>
      <c r="F7" s="45" t="s">
        <v>42</v>
      </c>
      <c r="G7" s="38" t="s">
        <v>15</v>
      </c>
      <c r="H7" s="44" t="s">
        <v>49</v>
      </c>
      <c r="I7" s="44" t="str">
        <f xml:space="preserve"> IFERROR( _xlfn.CONCAT("t", "o", _xlfn.UNICHAR(HEX2DEC(RIGHT("U+0302",4))), "ng"), "")</f>
        <v>tông</v>
      </c>
      <c r="J7" s="44" t="str">
        <f t="shared" ref="J7:J8" si="3" xml:space="preserve"> _xlfn.CONCAT("tong", F7)</f>
        <v>tong/</v>
      </c>
      <c r="L7" s="33" t="s">
        <v>177</v>
      </c>
      <c r="M7" s="35">
        <f t="shared" si="0"/>
        <v>780</v>
      </c>
      <c r="N7" s="35" t="str">
        <f t="shared" si="1"/>
        <v>ǒ</v>
      </c>
      <c r="O7" s="35" t="str">
        <f t="shared" si="2"/>
        <v>tǒng</v>
      </c>
    </row>
    <row r="8" spans="2:15" ht="57.75">
      <c r="B8" s="42">
        <v>7</v>
      </c>
      <c r="C8" s="40">
        <v>22</v>
      </c>
      <c r="D8" s="43" t="s">
        <v>22</v>
      </c>
      <c r="E8" s="43" t="s">
        <v>21</v>
      </c>
      <c r="F8" s="45" t="s">
        <v>39</v>
      </c>
      <c r="G8" s="38" t="s">
        <v>23</v>
      </c>
      <c r="H8" s="44" t="s">
        <v>205</v>
      </c>
      <c r="I8" s="44" t="str">
        <f xml:space="preserve"> IFERROR( _xlfn.CONCAT("t", "o", _xlfn.UNICHAR(HEX2DEC(RIGHT("U+0304",4))), "ng"), "")</f>
        <v>tōng</v>
      </c>
      <c r="J8" s="44" t="str">
        <f t="shared" si="3"/>
        <v>tong-</v>
      </c>
      <c r="L8" s="33" t="s">
        <v>178</v>
      </c>
      <c r="M8" s="35">
        <f t="shared" si="0"/>
        <v>772</v>
      </c>
      <c r="N8" s="35" t="str">
        <f t="shared" si="1"/>
        <v>ō</v>
      </c>
      <c r="O8" s="35" t="str">
        <f xml:space="preserve"> IFERROR( _xlfn.CONCAT("t", "o", _xlfn.UNICHAR(HEX2DEC(RIGHT("U+0304",4))), "ng"), "")</f>
        <v>tōng</v>
      </c>
    </row>
    <row r="9" spans="2:15" ht="57.75">
      <c r="B9" s="42">
        <v>8</v>
      </c>
      <c r="C9" s="40">
        <v>121</v>
      </c>
      <c r="D9" s="39" t="s">
        <v>2</v>
      </c>
      <c r="E9" s="39" t="s">
        <v>1</v>
      </c>
      <c r="F9" s="45" t="s">
        <v>44</v>
      </c>
      <c r="G9" s="38" t="s">
        <v>3</v>
      </c>
      <c r="H9" s="44" t="s">
        <v>206</v>
      </c>
      <c r="I9" s="44" t="str">
        <f xml:space="preserve"> IFERROR( _xlfn.CONCAT("t", "o", _xlfn.UNICHAR(HEX2DEC(RIGHT("U+030D",4))), "k"), "")</f>
        <v>to̍k</v>
      </c>
      <c r="J9" s="44" t="str">
        <f xml:space="preserve"> _xlfn.CONCAT("tok", F9)</f>
        <v>tok]</v>
      </c>
      <c r="L9" s="33" t="s">
        <v>210</v>
      </c>
      <c r="M9" s="35">
        <f t="shared" si="0"/>
        <v>781</v>
      </c>
      <c r="N9" s="35" t="str">
        <f t="shared" si="1"/>
        <v>o̍</v>
      </c>
      <c r="O9" s="35" t="str">
        <f t="shared" si="2"/>
        <v>to̍ng</v>
      </c>
    </row>
    <row r="10" spans="2:15" ht="57.75">
      <c r="B10" s="42">
        <v>0</v>
      </c>
      <c r="C10" s="40">
        <v>2</v>
      </c>
      <c r="D10" s="39" t="s">
        <v>207</v>
      </c>
      <c r="E10" s="39" t="s">
        <v>208</v>
      </c>
      <c r="F10" s="45">
        <v>7</v>
      </c>
      <c r="G10" s="38" t="s">
        <v>209</v>
      </c>
      <c r="H10" s="44" t="s">
        <v>211</v>
      </c>
      <c r="I10" s="44" t="str">
        <f xml:space="preserve"> IFERROR( _xlfn.CONCAT("a", _xlfn.UNICHAR(HEX2DEC(RIGHT("U+030A",4))), "h"), "")</f>
        <v>åh</v>
      </c>
      <c r="J10" s="44" t="str">
        <f xml:space="preserve"> _xlfn.CONCAT("a", F10)</f>
        <v>a7</v>
      </c>
      <c r="L10" s="33" t="s">
        <v>122</v>
      </c>
      <c r="M10" s="35">
        <f t="shared" si="0"/>
        <v>779</v>
      </c>
      <c r="N10" s="35" t="str">
        <f t="shared" si="1"/>
        <v>ő</v>
      </c>
      <c r="O10" s="35" t="str">
        <f t="shared" si="2"/>
        <v>tőng</v>
      </c>
    </row>
    <row r="14" spans="2:15" ht="57.75">
      <c r="B14" s="42">
        <v>6</v>
      </c>
      <c r="C14" s="40"/>
      <c r="D14" s="39" t="s">
        <v>212</v>
      </c>
      <c r="E14" s="39"/>
      <c r="F14" s="45"/>
      <c r="G14" s="38" t="s">
        <v>23</v>
      </c>
      <c r="H14" s="44"/>
      <c r="I14" s="44" t="str">
        <f xml:space="preserve"> IFERROR( _xlfn.CONCAT("t", "o", _xlfn.UNICHAR(HEX2DEC(RIGHT("U+030C",4))), "ng"), "")</f>
        <v>tǒng</v>
      </c>
      <c r="J14" s="44"/>
    </row>
    <row r="15" spans="2:15" ht="57.75">
      <c r="B15" s="42">
        <v>9</v>
      </c>
      <c r="C15" s="40"/>
      <c r="D15" s="52" t="s">
        <v>213</v>
      </c>
      <c r="E15" s="39"/>
      <c r="F15" s="45"/>
      <c r="G15" s="38"/>
      <c r="H15" s="44"/>
      <c r="I15" s="44" t="str">
        <f xml:space="preserve"> IFERROR( _xlfn.CONCAT("t", "o", _xlfn.UNICHAR(HEX2DEC(RIGHT("U+030B",4))), "ng"), "")</f>
        <v>tőng</v>
      </c>
      <c r="J15" s="44"/>
    </row>
    <row r="18" spans="2:10" ht="57.75" outlineLevel="1">
      <c r="B18" s="9">
        <v>4</v>
      </c>
      <c r="C18" s="10">
        <v>53</v>
      </c>
      <c r="D18" s="11" t="s">
        <v>8</v>
      </c>
      <c r="E18" s="11"/>
      <c r="F18" s="10"/>
      <c r="G18" s="15" t="s">
        <v>9</v>
      </c>
      <c r="H18" s="15"/>
      <c r="I18" s="11" t="str">
        <f xml:space="preserve"> "dong" &amp; J18</f>
        <v>dong6</v>
      </c>
      <c r="J18" s="10">
        <v>6</v>
      </c>
    </row>
  </sheetData>
  <mergeCells count="1">
    <mergeCell ref="H2:I2"/>
  </mergeCells>
  <phoneticPr fontId="1" type="noConversion"/>
  <hyperlinks>
    <hyperlink ref="L3" r:id="rId1" display="https://zi-hi.com/sp/uni/0301" xr:uid="{0A4706D1-84DC-4182-A96A-35027C3F443C}"/>
    <hyperlink ref="L4" r:id="rId2" display="https://zi-hi.com/sp/uni/0300" xr:uid="{CA7CE6B9-ACB2-4BD4-8CCD-9F323F16DB19}"/>
    <hyperlink ref="L6" r:id="rId3" display="https://zi-hi.com/sp/uni/0302" xr:uid="{F51ED1B0-F464-4664-949A-2BF6E8D92207}"/>
    <hyperlink ref="L7" r:id="rId4" display="https://zi-hi.com/sp/uni/030C" xr:uid="{A13388BA-C8A0-49CD-AD7D-92E78949E725}"/>
    <hyperlink ref="L8" r:id="rId5" display="https://zi-hi.com/sp/uni/0304" xr:uid="{7DCF3A33-F3D8-4D15-8566-6580CE02AB86}"/>
    <hyperlink ref="L9" r:id="rId6" display="https://zi-hi.com/sp/uni/030D" xr:uid="{89C45CD8-4919-45C7-BEF4-7CAB5797EF54}"/>
    <hyperlink ref="L10" r:id="rId7" display="https://zi-hi.com/sp/uni/030B" xr:uid="{EC0523CB-79C1-4D03-88B1-0D58C6FCDA18}"/>
  </hyperlinks>
  <pageMargins left="0.7" right="0.7" top="0.75" bottom="0.75" header="0.3" footer="0.3"/>
  <pageSetup paperSize="9" orientation="portrait" horizontalDpi="200" verticalDpi="200" r:id="rId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74A8B-8D3F-4AFC-B56E-E3C6E782C4A4}">
  <dimension ref="B2:L18"/>
  <sheetViews>
    <sheetView showOutlineSymbols="0" workbookViewId="0"/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0" width="14.375" customWidth="1"/>
    <col min="12" max="12" width="15.375" customWidth="1"/>
  </cols>
  <sheetData>
    <row r="2" spans="2:12" ht="25.5">
      <c r="B2" s="147" t="s">
        <v>33</v>
      </c>
      <c r="C2" s="148"/>
      <c r="D2" s="149"/>
      <c r="E2" s="14" t="s">
        <v>32</v>
      </c>
      <c r="F2" s="14" t="s">
        <v>31</v>
      </c>
      <c r="G2" s="13" t="s">
        <v>30</v>
      </c>
      <c r="H2" s="13" t="s">
        <v>27</v>
      </c>
      <c r="I2" s="14" t="s">
        <v>29</v>
      </c>
      <c r="J2" s="13" t="s">
        <v>28</v>
      </c>
    </row>
    <row r="3" spans="2:12" ht="65.25">
      <c r="B3" s="36" t="s">
        <v>26</v>
      </c>
      <c r="C3" s="18" t="s">
        <v>46</v>
      </c>
      <c r="D3" s="16" t="str">
        <f xml:space="preserve"> "tong" &amp; I3</f>
        <v>tong1</v>
      </c>
      <c r="E3" s="12" t="s">
        <v>25</v>
      </c>
      <c r="F3" s="12" t="s">
        <v>24</v>
      </c>
      <c r="G3" s="7">
        <v>44</v>
      </c>
      <c r="H3" s="5" t="s">
        <v>4</v>
      </c>
      <c r="I3" s="7">
        <v>1</v>
      </c>
      <c r="J3" s="6">
        <v>1</v>
      </c>
      <c r="L3" s="16" t="s">
        <v>192</v>
      </c>
    </row>
    <row r="4" spans="2:12" ht="65.25">
      <c r="B4" s="37" t="s">
        <v>23</v>
      </c>
      <c r="C4" s="19"/>
      <c r="D4" s="17" t="str">
        <f t="shared" ref="D4:D7" si="0" xml:space="preserve"> "tong" &amp; I4</f>
        <v>tong7</v>
      </c>
      <c r="E4" s="4" t="s">
        <v>22</v>
      </c>
      <c r="F4" s="4" t="s">
        <v>21</v>
      </c>
      <c r="G4" s="3">
        <v>22</v>
      </c>
      <c r="H4" s="1" t="s">
        <v>20</v>
      </c>
      <c r="I4" s="3">
        <v>7</v>
      </c>
      <c r="J4" s="2">
        <v>6</v>
      </c>
      <c r="L4" s="17" t="s">
        <v>193</v>
      </c>
    </row>
    <row r="5" spans="2:12" ht="65.25">
      <c r="B5" s="36" t="s">
        <v>19</v>
      </c>
      <c r="C5" s="18"/>
      <c r="D5" s="16" t="str">
        <f t="shared" si="0"/>
        <v>tong3</v>
      </c>
      <c r="E5" s="12" t="s">
        <v>18</v>
      </c>
      <c r="F5" s="12" t="s">
        <v>17</v>
      </c>
      <c r="G5" s="7">
        <v>21</v>
      </c>
      <c r="H5" s="5" t="s">
        <v>16</v>
      </c>
      <c r="I5" s="7">
        <v>3</v>
      </c>
      <c r="J5" s="6">
        <v>5</v>
      </c>
      <c r="L5" s="16" t="s">
        <v>4</v>
      </c>
    </row>
    <row r="6" spans="2:12" ht="65.25">
      <c r="B6" s="37" t="s">
        <v>9</v>
      </c>
      <c r="C6" s="19"/>
      <c r="D6" s="17" t="str">
        <f xml:space="preserve"> "tong" &amp; I6</f>
        <v>tong2</v>
      </c>
      <c r="E6" s="4" t="s">
        <v>36</v>
      </c>
      <c r="F6" s="4" t="s">
        <v>11</v>
      </c>
      <c r="G6" s="3">
        <v>53</v>
      </c>
      <c r="H6" s="1" t="s">
        <v>10</v>
      </c>
      <c r="I6" s="3">
        <v>2</v>
      </c>
      <c r="J6" s="2">
        <v>3</v>
      </c>
      <c r="L6" s="17" t="s">
        <v>194</v>
      </c>
    </row>
    <row r="7" spans="2:12" ht="65.25">
      <c r="B7" s="36" t="s">
        <v>15</v>
      </c>
      <c r="C7" s="18"/>
      <c r="D7" s="16" t="str">
        <f t="shared" si="0"/>
        <v>tong5</v>
      </c>
      <c r="E7" s="12" t="s">
        <v>14</v>
      </c>
      <c r="F7" s="12" t="s">
        <v>13</v>
      </c>
      <c r="G7" s="7">
        <v>13</v>
      </c>
      <c r="H7" s="5" t="s">
        <v>12</v>
      </c>
      <c r="I7" s="7">
        <v>5</v>
      </c>
      <c r="J7" s="6">
        <v>2</v>
      </c>
      <c r="L7" s="16" t="s">
        <v>195</v>
      </c>
    </row>
    <row r="8" spans="2:12" ht="65.25">
      <c r="B8" s="37" t="s">
        <v>7</v>
      </c>
      <c r="C8" s="19"/>
      <c r="D8" s="17" t="s">
        <v>34</v>
      </c>
      <c r="E8" s="4" t="s">
        <v>6</v>
      </c>
      <c r="F8" s="4" t="s">
        <v>5</v>
      </c>
      <c r="G8" s="3">
        <v>32</v>
      </c>
      <c r="H8" s="1" t="s">
        <v>4</v>
      </c>
      <c r="I8" s="3">
        <v>4</v>
      </c>
      <c r="J8" s="2">
        <v>7</v>
      </c>
      <c r="L8" s="17" t="s">
        <v>196</v>
      </c>
    </row>
    <row r="9" spans="2:12" ht="65.25">
      <c r="B9" s="36" t="s">
        <v>3</v>
      </c>
      <c r="C9" s="18"/>
      <c r="D9" s="16" t="s">
        <v>35</v>
      </c>
      <c r="E9" s="12" t="s">
        <v>2</v>
      </c>
      <c r="F9" s="12" t="s">
        <v>1</v>
      </c>
      <c r="G9" s="7">
        <v>121</v>
      </c>
      <c r="H9" s="5" t="s">
        <v>0</v>
      </c>
      <c r="I9" s="7">
        <v>8</v>
      </c>
      <c r="J9" s="6">
        <v>8</v>
      </c>
      <c r="L9" s="16" t="s">
        <v>197</v>
      </c>
    </row>
    <row r="10" spans="2:12">
      <c r="L10" t="s">
        <v>198</v>
      </c>
    </row>
    <row r="18" spans="2:12" ht="57.75" outlineLevel="1">
      <c r="B18" s="15" t="s">
        <v>9</v>
      </c>
      <c r="C18" s="15"/>
      <c r="D18" s="11" t="str">
        <f xml:space="preserve"> "dong" &amp; I18</f>
        <v>dong6</v>
      </c>
      <c r="E18" s="11" t="s">
        <v>8</v>
      </c>
      <c r="F18" s="11"/>
      <c r="G18" s="10">
        <v>53</v>
      </c>
      <c r="H18" s="8" t="s">
        <v>4</v>
      </c>
      <c r="I18" s="10">
        <v>6</v>
      </c>
      <c r="J18" s="9">
        <v>4</v>
      </c>
      <c r="L18" s="11"/>
    </row>
  </sheetData>
  <mergeCells count="1">
    <mergeCell ref="B2:D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723BE-64D2-4E8C-B115-C260854DB41D}">
  <dimension ref="B2:R18"/>
  <sheetViews>
    <sheetView showOutlineSymbols="0" workbookViewId="0"/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1" width="15" customWidth="1"/>
    <col min="13" max="13" width="15.375" customWidth="1"/>
  </cols>
  <sheetData>
    <row r="2" spans="2:18" ht="25.5">
      <c r="B2" s="147" t="s">
        <v>33</v>
      </c>
      <c r="C2" s="148"/>
      <c r="D2" s="149"/>
      <c r="E2" s="14" t="s">
        <v>32</v>
      </c>
      <c r="F2" s="14" t="s">
        <v>31</v>
      </c>
      <c r="G2" s="13" t="s">
        <v>30</v>
      </c>
      <c r="H2" s="13" t="s">
        <v>37</v>
      </c>
      <c r="I2" s="13" t="s">
        <v>199</v>
      </c>
      <c r="J2" s="14" t="s">
        <v>29</v>
      </c>
      <c r="K2" s="13" t="s">
        <v>27</v>
      </c>
    </row>
    <row r="3" spans="2:18" ht="57.75">
      <c r="B3" s="38" t="s">
        <v>26</v>
      </c>
      <c r="C3" s="44" t="str">
        <f xml:space="preserve"> IFERROR( _xlfn.CONCAT("t", "o", _xlfn.UNICHAR(HEX2DEC(RIGHT("U+0304",4))), "ng"), "")</f>
        <v>tōng</v>
      </c>
      <c r="D3" s="44" t="str">
        <f t="shared" ref="D3:D9" si="0" xml:space="preserve"> "tong" &amp; I3</f>
        <v>tong1</v>
      </c>
      <c r="E3" s="39" t="s">
        <v>25</v>
      </c>
      <c r="F3" s="39" t="s">
        <v>24</v>
      </c>
      <c r="G3" s="40">
        <v>44</v>
      </c>
      <c r="H3" s="45" t="s">
        <v>200</v>
      </c>
      <c r="I3" s="42">
        <v>1</v>
      </c>
      <c r="J3" s="40">
        <v>1</v>
      </c>
      <c r="K3" s="41" t="s">
        <v>4</v>
      </c>
      <c r="M3" s="16" t="s">
        <v>192</v>
      </c>
      <c r="O3" s="33" t="s">
        <v>185</v>
      </c>
      <c r="P3" s="35">
        <f xml:space="preserve"> IFERROR( HEX2DEC(RIGHT(O3,4)), "")</f>
        <v>769</v>
      </c>
      <c r="Q3" s="35" t="str">
        <f xml:space="preserve"> IFERROR( _xlfn.CONCAT("o", _xlfn.UNICHAR(HEX2DEC(RIGHT(O3,4)))), "")</f>
        <v>ó</v>
      </c>
      <c r="R3" s="35" t="str">
        <f xml:space="preserve"> IFERROR( _xlfn.CONCAT("t", "o", _xlfn.UNICHAR(HEX2DEC(RIGHT(O3,4))), "ng"), "")</f>
        <v>tóng</v>
      </c>
    </row>
    <row r="4" spans="2:18" ht="57.75">
      <c r="B4" s="38" t="s">
        <v>15</v>
      </c>
      <c r="C4" s="44" t="str">
        <f xml:space="preserve"> IFERROR( _xlfn.CONCAT("t", "o", _xlfn.UNICHAR(HEX2DEC(RIGHT("U+0301",4))), "ng"), "")</f>
        <v>tóng</v>
      </c>
      <c r="D4" s="44" t="str">
        <f t="shared" si="0"/>
        <v>tong2</v>
      </c>
      <c r="E4" s="39" t="s">
        <v>14</v>
      </c>
      <c r="F4" s="39" t="s">
        <v>13</v>
      </c>
      <c r="G4" s="40">
        <v>13</v>
      </c>
      <c r="H4" s="45" t="s">
        <v>42</v>
      </c>
      <c r="I4" s="42">
        <v>2</v>
      </c>
      <c r="J4" s="40">
        <v>5</v>
      </c>
      <c r="K4" s="41" t="s">
        <v>12</v>
      </c>
      <c r="M4" s="17" t="s">
        <v>193</v>
      </c>
      <c r="O4" s="33" t="s">
        <v>186</v>
      </c>
      <c r="P4" s="35">
        <f t="shared" ref="P4:P10" si="1" xml:space="preserve"> IFERROR( HEX2DEC(RIGHT(O4,4)), "")</f>
        <v>768</v>
      </c>
      <c r="Q4" s="35" t="str">
        <f t="shared" ref="Q4:Q10" si="2" xml:space="preserve"> IFERROR( _xlfn.CONCAT("o", _xlfn.UNICHAR(HEX2DEC(RIGHT(O4,4)))), "")</f>
        <v>ò</v>
      </c>
      <c r="R4" s="35" t="str">
        <f t="shared" ref="R4:R10" si="3" xml:space="preserve"> IFERROR( _xlfn.CONCAT("t", "o", _xlfn.UNICHAR(HEX2DEC(RIGHT(O4,4))), "ng"), "")</f>
        <v>tòng</v>
      </c>
    </row>
    <row r="5" spans="2:18" ht="57.75">
      <c r="B5" s="38" t="s">
        <v>9</v>
      </c>
      <c r="C5" s="44" t="str">
        <f xml:space="preserve"> IFERROR( _xlfn.CONCAT("t", "o", _xlfn.UNICHAR(HEX2DEC(RIGHT("U+030C",4))), "ng"), "")</f>
        <v>tǒng</v>
      </c>
      <c r="D5" s="44" t="str">
        <f t="shared" si="0"/>
        <v>tong3</v>
      </c>
      <c r="E5" s="43" t="s">
        <v>36</v>
      </c>
      <c r="F5" s="43" t="s">
        <v>11</v>
      </c>
      <c r="G5" s="40">
        <v>53</v>
      </c>
      <c r="H5" s="45" t="s">
        <v>41</v>
      </c>
      <c r="I5" s="42">
        <v>3</v>
      </c>
      <c r="J5" s="40">
        <v>2</v>
      </c>
      <c r="K5" s="41" t="s">
        <v>10</v>
      </c>
      <c r="M5" s="16" t="s">
        <v>4</v>
      </c>
      <c r="O5" s="34" t="s">
        <v>53</v>
      </c>
      <c r="P5" s="35" t="str">
        <f t="shared" si="1"/>
        <v/>
      </c>
      <c r="Q5" s="35" t="str">
        <f t="shared" si="2"/>
        <v/>
      </c>
      <c r="R5" s="35" t="str">
        <f t="shared" si="3"/>
        <v/>
      </c>
    </row>
    <row r="6" spans="2:18" ht="57.75">
      <c r="B6" s="38" t="s">
        <v>19</v>
      </c>
      <c r="C6" s="44" t="str">
        <f xml:space="preserve"> IFERROR( _xlfn.CONCAT("t", "o", _xlfn.UNICHAR(HEX2DEC(RIGHT("U+0300",4))), "ng"), "")</f>
        <v>tòng</v>
      </c>
      <c r="D6" s="44" t="str">
        <f t="shared" si="0"/>
        <v>tong5</v>
      </c>
      <c r="E6" s="39" t="s">
        <v>18</v>
      </c>
      <c r="F6" s="39" t="s">
        <v>17</v>
      </c>
      <c r="G6" s="40">
        <v>21</v>
      </c>
      <c r="H6" s="45" t="s">
        <v>40</v>
      </c>
      <c r="I6" s="42">
        <v>5</v>
      </c>
      <c r="J6" s="40">
        <v>3</v>
      </c>
      <c r="K6" s="41" t="s">
        <v>16</v>
      </c>
      <c r="M6" s="17" t="s">
        <v>194</v>
      </c>
      <c r="O6" s="33" t="s">
        <v>120</v>
      </c>
      <c r="P6" s="35">
        <f t="shared" si="1"/>
        <v>770</v>
      </c>
      <c r="Q6" s="35" t="str">
        <f t="shared" si="2"/>
        <v>ô</v>
      </c>
      <c r="R6" s="35" t="str">
        <f t="shared" si="3"/>
        <v>tông</v>
      </c>
    </row>
    <row r="7" spans="2:18" ht="57.75">
      <c r="B7" s="38" t="s">
        <v>23</v>
      </c>
      <c r="C7" s="44" t="str">
        <f xml:space="preserve"> IFERROR( _xlfn.CONCAT("t", "o", _xlfn.UNICHAR(HEX2DEC(RIGHT("U+0302",4))), "ng"), "")</f>
        <v>tông</v>
      </c>
      <c r="D7" s="44" t="str">
        <f t="shared" si="0"/>
        <v>tong6</v>
      </c>
      <c r="E7" s="43" t="s">
        <v>22</v>
      </c>
      <c r="F7" s="43" t="s">
        <v>21</v>
      </c>
      <c r="G7" s="40">
        <v>22</v>
      </c>
      <c r="H7" s="45" t="s">
        <v>39</v>
      </c>
      <c r="I7" s="42">
        <v>6</v>
      </c>
      <c r="J7" s="40">
        <v>7</v>
      </c>
      <c r="K7" s="41" t="s">
        <v>20</v>
      </c>
      <c r="M7" s="16" t="s">
        <v>195</v>
      </c>
      <c r="O7" s="33" t="s">
        <v>177</v>
      </c>
      <c r="P7" s="35">
        <f t="shared" si="1"/>
        <v>780</v>
      </c>
      <c r="Q7" s="35" t="str">
        <f t="shared" si="2"/>
        <v>ǒ</v>
      </c>
      <c r="R7" s="35" t="str">
        <f t="shared" si="3"/>
        <v>tǒng</v>
      </c>
    </row>
    <row r="8" spans="2:18" ht="57.75">
      <c r="B8" s="38" t="s">
        <v>7</v>
      </c>
      <c r="C8" s="44" t="str">
        <f xml:space="preserve"> IFERROR( _xlfn.CONCAT("t", "o", _xlfn.UNICHAR(HEX2DEC(RIGHT("U+0304",4))), "k"), "")</f>
        <v>tōk</v>
      </c>
      <c r="D8" s="44" t="str">
        <f t="shared" si="0"/>
        <v>tong7</v>
      </c>
      <c r="E8" s="43" t="s">
        <v>6</v>
      </c>
      <c r="F8" s="43" t="s">
        <v>5</v>
      </c>
      <c r="G8" s="40">
        <v>32</v>
      </c>
      <c r="H8" s="45" t="s">
        <v>43</v>
      </c>
      <c r="I8" s="42">
        <v>7</v>
      </c>
      <c r="J8" s="40">
        <v>4</v>
      </c>
      <c r="K8" s="41" t="s">
        <v>4</v>
      </c>
      <c r="M8" s="17" t="s">
        <v>196</v>
      </c>
      <c r="O8" s="33" t="s">
        <v>178</v>
      </c>
      <c r="P8" s="35">
        <f t="shared" si="1"/>
        <v>772</v>
      </c>
      <c r="Q8" s="35" t="str">
        <f t="shared" si="2"/>
        <v>ō</v>
      </c>
      <c r="R8" s="35" t="str">
        <f xml:space="preserve"> IFERROR( _xlfn.CONCAT("t", "o", _xlfn.UNICHAR(HEX2DEC(RIGHT("U+0304",4))), "ng"), "")</f>
        <v>tōng</v>
      </c>
    </row>
    <row r="9" spans="2:18" ht="57.75">
      <c r="B9" s="38" t="s">
        <v>3</v>
      </c>
      <c r="C9" s="44" t="str">
        <f xml:space="preserve"> IFERROR( _xlfn.CONCAT("t", "o", _xlfn.UNICHAR(HEX2DEC(RIGHT("U+0301",4))), "k"), "")</f>
        <v>tók</v>
      </c>
      <c r="D9" s="44" t="str">
        <f t="shared" si="0"/>
        <v>tong8</v>
      </c>
      <c r="E9" s="39" t="s">
        <v>2</v>
      </c>
      <c r="F9" s="39" t="s">
        <v>1</v>
      </c>
      <c r="G9" s="40">
        <v>121</v>
      </c>
      <c r="H9" s="45" t="s">
        <v>44</v>
      </c>
      <c r="I9" s="42">
        <v>8</v>
      </c>
      <c r="J9" s="40">
        <v>8</v>
      </c>
      <c r="K9" s="41" t="s">
        <v>0</v>
      </c>
      <c r="M9" s="16" t="s">
        <v>197</v>
      </c>
      <c r="O9" s="33" t="s">
        <v>121</v>
      </c>
      <c r="P9" s="35">
        <f t="shared" si="1"/>
        <v>781</v>
      </c>
      <c r="Q9" s="35" t="str">
        <f t="shared" si="2"/>
        <v>o̍</v>
      </c>
      <c r="R9" s="35" t="str">
        <f t="shared" si="3"/>
        <v>to̍ng</v>
      </c>
    </row>
    <row r="10" spans="2:18" ht="42">
      <c r="M10" t="s">
        <v>198</v>
      </c>
      <c r="O10" s="33" t="s">
        <v>122</v>
      </c>
      <c r="P10" s="35">
        <f t="shared" si="1"/>
        <v>779</v>
      </c>
      <c r="Q10" s="35" t="str">
        <f t="shared" si="2"/>
        <v>ő</v>
      </c>
      <c r="R10" s="35" t="str">
        <f t="shared" si="3"/>
        <v>tőng</v>
      </c>
    </row>
    <row r="18" spans="2:13" ht="57.75" outlineLevel="1">
      <c r="B18" s="15" t="s">
        <v>9</v>
      </c>
      <c r="C18" s="15"/>
      <c r="D18" s="11" t="str">
        <f xml:space="preserve"> "dong" &amp; J18</f>
        <v>dong6</v>
      </c>
      <c r="E18" s="11" t="s">
        <v>8</v>
      </c>
      <c r="F18" s="11"/>
      <c r="G18" s="10">
        <v>53</v>
      </c>
      <c r="H18" s="10"/>
      <c r="I18" s="9">
        <v>4</v>
      </c>
      <c r="J18" s="10">
        <v>6</v>
      </c>
      <c r="K18" s="8" t="s">
        <v>4</v>
      </c>
      <c r="M18" s="11"/>
    </row>
  </sheetData>
  <mergeCells count="1">
    <mergeCell ref="B2:D2"/>
  </mergeCells>
  <phoneticPr fontId="1" type="noConversion"/>
  <hyperlinks>
    <hyperlink ref="O3" r:id="rId1" display="https://zi-hi.com/sp/uni/0301" xr:uid="{F092E75C-C8D0-48B8-A292-3DC2F44B85AC}"/>
    <hyperlink ref="O4" r:id="rId2" display="https://zi-hi.com/sp/uni/0300" xr:uid="{E1710BC5-4279-4535-9126-EE2877167999}"/>
    <hyperlink ref="O6" r:id="rId3" display="https://zi-hi.com/sp/uni/0302" xr:uid="{B66FC17B-A908-40F7-9A0F-4BA79BCD69B1}"/>
    <hyperlink ref="O7" r:id="rId4" display="https://zi-hi.com/sp/uni/030C" xr:uid="{D42FA3A9-247B-464A-9466-62E1F31ACDF2}"/>
    <hyperlink ref="O8" r:id="rId5" display="https://zi-hi.com/sp/uni/0304" xr:uid="{AE4AB8CC-8DD7-4CAE-8E5E-7B1A59D6EBBB}"/>
    <hyperlink ref="O9" r:id="rId6" display="https://zi-hi.com/sp/uni/030D" xr:uid="{93783542-812A-404B-A549-F62CA5246808}"/>
    <hyperlink ref="O10" r:id="rId7" display="https://zi-hi.com/sp/uni/030B" xr:uid="{1BB8526F-4E34-4DCA-B783-A0AA70BDD52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50C03-4A49-40F3-8140-C9DAF6B05C63}">
  <dimension ref="B2:I18"/>
  <sheetViews>
    <sheetView showOutlineSymbols="0" workbookViewId="0"/>
  </sheetViews>
  <sheetFormatPr defaultRowHeight="16.5" outlineLevelRow="1"/>
  <cols>
    <col min="1" max="1" width="4.125" customWidth="1"/>
    <col min="2" max="2" width="14.75" customWidth="1"/>
    <col min="3" max="5" width="15.375" customWidth="1"/>
    <col min="6" max="6" width="10.5" bestFit="1" customWidth="1"/>
    <col min="7" max="9" width="14.375" customWidth="1"/>
  </cols>
  <sheetData>
    <row r="2" spans="2:9" ht="25.5">
      <c r="B2" s="147" t="s">
        <v>33</v>
      </c>
      <c r="C2" s="149"/>
      <c r="D2" s="14" t="s">
        <v>32</v>
      </c>
      <c r="E2" s="14" t="s">
        <v>31</v>
      </c>
      <c r="F2" s="13" t="s">
        <v>30</v>
      </c>
      <c r="G2" s="13" t="s">
        <v>27</v>
      </c>
      <c r="H2" s="14" t="s">
        <v>29</v>
      </c>
      <c r="I2" s="13" t="s">
        <v>28</v>
      </c>
    </row>
    <row r="3" spans="2:9" ht="65.25">
      <c r="B3" s="18" t="s">
        <v>26</v>
      </c>
      <c r="C3" s="16" t="str">
        <f xml:space="preserve"> "tong" &amp; H3</f>
        <v>tong1</v>
      </c>
      <c r="D3" s="12" t="s">
        <v>25</v>
      </c>
      <c r="E3" s="12" t="s">
        <v>24</v>
      </c>
      <c r="F3" s="7">
        <v>44</v>
      </c>
      <c r="G3" s="5" t="s">
        <v>4</v>
      </c>
      <c r="H3" s="7">
        <v>1</v>
      </c>
      <c r="I3" s="6">
        <v>1</v>
      </c>
    </row>
    <row r="4" spans="2:9" ht="65.25">
      <c r="B4" s="19" t="s">
        <v>23</v>
      </c>
      <c r="C4" s="17" t="str">
        <f t="shared" ref="C4:C7" si="0" xml:space="preserve"> "tong" &amp; H4</f>
        <v>tong7</v>
      </c>
      <c r="D4" s="4" t="s">
        <v>22</v>
      </c>
      <c r="E4" s="4" t="s">
        <v>21</v>
      </c>
      <c r="F4" s="3">
        <v>22</v>
      </c>
      <c r="G4" s="1" t="s">
        <v>20</v>
      </c>
      <c r="H4" s="3">
        <v>7</v>
      </c>
      <c r="I4" s="2">
        <v>6</v>
      </c>
    </row>
    <row r="5" spans="2:9" ht="65.25">
      <c r="B5" s="18" t="s">
        <v>19</v>
      </c>
      <c r="C5" s="16" t="str">
        <f t="shared" si="0"/>
        <v>tong3</v>
      </c>
      <c r="D5" s="12" t="s">
        <v>18</v>
      </c>
      <c r="E5" s="12" t="s">
        <v>17</v>
      </c>
      <c r="F5" s="7">
        <v>21</v>
      </c>
      <c r="G5" s="5" t="s">
        <v>16</v>
      </c>
      <c r="H5" s="7">
        <v>3</v>
      </c>
      <c r="I5" s="6">
        <v>5</v>
      </c>
    </row>
    <row r="6" spans="2:9" ht="65.25">
      <c r="B6" s="19" t="s">
        <v>9</v>
      </c>
      <c r="C6" s="17" t="str">
        <f xml:space="preserve"> "tong" &amp; H6</f>
        <v>tong2</v>
      </c>
      <c r="D6" s="4" t="s">
        <v>36</v>
      </c>
      <c r="E6" s="4" t="s">
        <v>11</v>
      </c>
      <c r="F6" s="3">
        <v>53</v>
      </c>
      <c r="G6" s="1" t="s">
        <v>10</v>
      </c>
      <c r="H6" s="3">
        <v>2</v>
      </c>
      <c r="I6" s="2">
        <v>3</v>
      </c>
    </row>
    <row r="7" spans="2:9" ht="65.25">
      <c r="B7" s="18" t="s">
        <v>15</v>
      </c>
      <c r="C7" s="16" t="str">
        <f t="shared" si="0"/>
        <v>tong5</v>
      </c>
      <c r="D7" s="12" t="s">
        <v>14</v>
      </c>
      <c r="E7" s="12" t="s">
        <v>13</v>
      </c>
      <c r="F7" s="7">
        <v>13</v>
      </c>
      <c r="G7" s="5" t="s">
        <v>12</v>
      </c>
      <c r="H7" s="7">
        <v>5</v>
      </c>
      <c r="I7" s="6">
        <v>2</v>
      </c>
    </row>
    <row r="8" spans="2:9" ht="65.25">
      <c r="B8" s="19" t="s">
        <v>7</v>
      </c>
      <c r="C8" s="17" t="s">
        <v>34</v>
      </c>
      <c r="D8" s="4" t="s">
        <v>6</v>
      </c>
      <c r="E8" s="4" t="s">
        <v>5</v>
      </c>
      <c r="F8" s="3">
        <v>32</v>
      </c>
      <c r="G8" s="1" t="s">
        <v>4</v>
      </c>
      <c r="H8" s="3">
        <v>4</v>
      </c>
      <c r="I8" s="2">
        <v>7</v>
      </c>
    </row>
    <row r="9" spans="2:9" ht="65.25">
      <c r="B9" s="18" t="s">
        <v>3</v>
      </c>
      <c r="C9" s="16" t="s">
        <v>35</v>
      </c>
      <c r="D9" s="12" t="s">
        <v>2</v>
      </c>
      <c r="E9" s="12" t="s">
        <v>1</v>
      </c>
      <c r="F9" s="7">
        <v>121</v>
      </c>
      <c r="G9" s="5" t="s">
        <v>0</v>
      </c>
      <c r="H9" s="7">
        <v>8</v>
      </c>
      <c r="I9" s="6">
        <v>8</v>
      </c>
    </row>
    <row r="18" spans="2:9" ht="57.75" outlineLevel="1">
      <c r="B18" s="15" t="s">
        <v>9</v>
      </c>
      <c r="C18" s="11" t="str">
        <f xml:space="preserve"> "dong" &amp; H18</f>
        <v>dong6</v>
      </c>
      <c r="D18" s="11" t="s">
        <v>8</v>
      </c>
      <c r="E18" s="11"/>
      <c r="F18" s="10">
        <v>53</v>
      </c>
      <c r="G18" s="8" t="s">
        <v>4</v>
      </c>
      <c r="H18" s="10">
        <v>6</v>
      </c>
      <c r="I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D659-7E1D-42E7-9495-78EC72F6C0D2}">
  <dimension ref="B2:J18"/>
  <sheetViews>
    <sheetView showOutlineSymbols="0" workbookViewId="0"/>
  </sheetViews>
  <sheetFormatPr defaultRowHeight="16.5" outlineLevelRow="1"/>
  <cols>
    <col min="1" max="1" width="4.125" customWidth="1"/>
    <col min="2" max="2" width="12.875" customWidth="1"/>
    <col min="3" max="3" width="13" customWidth="1"/>
    <col min="4" max="5" width="15.375" customWidth="1"/>
    <col min="6" max="6" width="10.5" bestFit="1" customWidth="1"/>
    <col min="7" max="10" width="14.625" customWidth="1"/>
  </cols>
  <sheetData>
    <row r="2" spans="2:10" ht="25.5">
      <c r="B2" s="147" t="s">
        <v>33</v>
      </c>
      <c r="C2" s="149"/>
      <c r="D2" s="14" t="s">
        <v>32</v>
      </c>
      <c r="E2" s="14" t="s">
        <v>31</v>
      </c>
      <c r="F2" s="13" t="s">
        <v>30</v>
      </c>
      <c r="G2" s="13" t="s">
        <v>37</v>
      </c>
      <c r="H2" s="13" t="s">
        <v>27</v>
      </c>
      <c r="I2" s="14" t="s">
        <v>29</v>
      </c>
      <c r="J2" s="13" t="s">
        <v>28</v>
      </c>
    </row>
    <row r="3" spans="2:10" ht="65.25">
      <c r="B3" s="18" t="s">
        <v>26</v>
      </c>
      <c r="C3" s="29" t="str">
        <f xml:space="preserve"> "tong" &amp; I3</f>
        <v>tong1</v>
      </c>
      <c r="D3" s="12" t="s">
        <v>25</v>
      </c>
      <c r="E3" s="12" t="s">
        <v>24</v>
      </c>
      <c r="F3" s="31">
        <v>44</v>
      </c>
      <c r="G3" s="20" t="s">
        <v>38</v>
      </c>
      <c r="H3" s="26" t="s">
        <v>4</v>
      </c>
      <c r="I3" s="24">
        <v>1</v>
      </c>
      <c r="J3" s="24">
        <v>1</v>
      </c>
    </row>
    <row r="4" spans="2:10" ht="65.25">
      <c r="B4" s="19" t="s">
        <v>23</v>
      </c>
      <c r="C4" s="30" t="str">
        <f t="shared" ref="C4:C7" si="0" xml:space="preserve"> "tong" &amp; I4</f>
        <v>tong7</v>
      </c>
      <c r="D4" s="4" t="s">
        <v>22</v>
      </c>
      <c r="E4" s="4" t="s">
        <v>21</v>
      </c>
      <c r="F4" s="32">
        <v>22</v>
      </c>
      <c r="G4" s="21" t="s">
        <v>39</v>
      </c>
      <c r="H4" s="27" t="s">
        <v>20</v>
      </c>
      <c r="I4" s="25">
        <v>7</v>
      </c>
      <c r="J4" s="25">
        <v>6</v>
      </c>
    </row>
    <row r="5" spans="2:10" ht="65.25">
      <c r="B5" s="18" t="s">
        <v>19</v>
      </c>
      <c r="C5" s="29" t="str">
        <f t="shared" si="0"/>
        <v>tong3</v>
      </c>
      <c r="D5" s="12" t="s">
        <v>18</v>
      </c>
      <c r="E5" s="12" t="s">
        <v>17</v>
      </c>
      <c r="F5" s="31">
        <v>21</v>
      </c>
      <c r="G5" s="20" t="s">
        <v>40</v>
      </c>
      <c r="H5" s="28" t="s">
        <v>16</v>
      </c>
      <c r="I5" s="24">
        <v>3</v>
      </c>
      <c r="J5" s="24">
        <v>5</v>
      </c>
    </row>
    <row r="6" spans="2:10" ht="65.25">
      <c r="B6" s="19" t="s">
        <v>9</v>
      </c>
      <c r="C6" s="30" t="str">
        <f xml:space="preserve"> "tong" &amp; I6</f>
        <v>tong2</v>
      </c>
      <c r="D6" s="4" t="s">
        <v>36</v>
      </c>
      <c r="E6" s="4" t="s">
        <v>11</v>
      </c>
      <c r="F6" s="32">
        <v>53</v>
      </c>
      <c r="G6" s="22" t="s">
        <v>41</v>
      </c>
      <c r="H6" s="27" t="s">
        <v>10</v>
      </c>
      <c r="I6" s="25">
        <v>2</v>
      </c>
      <c r="J6" s="25">
        <v>3</v>
      </c>
    </row>
    <row r="7" spans="2:10" ht="65.25">
      <c r="B7" s="18" t="s">
        <v>15</v>
      </c>
      <c r="C7" s="29" t="str">
        <f t="shared" si="0"/>
        <v>tong5</v>
      </c>
      <c r="D7" s="12" t="s">
        <v>14</v>
      </c>
      <c r="E7" s="12" t="s">
        <v>13</v>
      </c>
      <c r="F7" s="31">
        <v>13</v>
      </c>
      <c r="G7" s="23" t="s">
        <v>42</v>
      </c>
      <c r="H7" s="28" t="s">
        <v>12</v>
      </c>
      <c r="I7" s="24">
        <v>5</v>
      </c>
      <c r="J7" s="24">
        <v>2</v>
      </c>
    </row>
    <row r="8" spans="2:10" ht="65.25">
      <c r="B8" s="19" t="s">
        <v>7</v>
      </c>
      <c r="C8" s="30" t="s">
        <v>34</v>
      </c>
      <c r="D8" s="4" t="s">
        <v>6</v>
      </c>
      <c r="E8" s="4" t="s">
        <v>5</v>
      </c>
      <c r="F8" s="32">
        <v>32</v>
      </c>
      <c r="G8" s="22" t="s">
        <v>43</v>
      </c>
      <c r="H8" s="27" t="s">
        <v>4</v>
      </c>
      <c r="I8" s="25">
        <v>4</v>
      </c>
      <c r="J8" s="25">
        <v>7</v>
      </c>
    </row>
    <row r="9" spans="2:10" ht="65.25">
      <c r="B9" s="18" t="s">
        <v>3</v>
      </c>
      <c r="C9" s="29" t="s">
        <v>35</v>
      </c>
      <c r="D9" s="12" t="s">
        <v>2</v>
      </c>
      <c r="E9" s="12" t="s">
        <v>1</v>
      </c>
      <c r="F9" s="31">
        <v>121</v>
      </c>
      <c r="G9" s="20" t="s">
        <v>44</v>
      </c>
      <c r="H9" s="28" t="s">
        <v>0</v>
      </c>
      <c r="I9" s="24">
        <v>8</v>
      </c>
      <c r="J9" s="24">
        <v>8</v>
      </c>
    </row>
    <row r="18" spans="2:10" ht="57.75" outlineLevel="1">
      <c r="B18" s="15" t="s">
        <v>9</v>
      </c>
      <c r="C18" s="11" t="str">
        <f xml:space="preserve"> "dong" &amp; I18</f>
        <v>dong6</v>
      </c>
      <c r="D18" s="11" t="s">
        <v>8</v>
      </c>
      <c r="E18" s="11"/>
      <c r="F18" s="10">
        <v>53</v>
      </c>
      <c r="G18" s="10"/>
      <c r="H18" s="8" t="s">
        <v>4</v>
      </c>
      <c r="I18" s="10">
        <v>6</v>
      </c>
      <c r="J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拚音聲調對照表</vt:lpstr>
      <vt:lpstr>聲調符號表</vt:lpstr>
      <vt:lpstr>閩拚聲調符號表</vt:lpstr>
      <vt:lpstr>注音聲調表（閩拚）</vt:lpstr>
      <vt:lpstr>閩拚拚音聲調表【溫韻】</vt:lpstr>
      <vt:lpstr>閩拚注音聲調表【東韻】</vt:lpstr>
      <vt:lpstr>注音聲調表（台語音標）</vt:lpstr>
      <vt:lpstr>聲調對照表（台語音標）</vt:lpstr>
      <vt:lpstr>拚音聲調表 (台語音標)</vt:lpstr>
      <vt:lpstr>聲調對照表（閩拚） (2)</vt:lpstr>
      <vt:lpstr>聲調對照表 (3)</vt:lpstr>
      <vt:lpstr>聲調對照表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2025-10-06T14:55:50Z</dcterms:created>
  <dcterms:modified xsi:type="dcterms:W3CDTF">2025-12-08T14:15:04Z</dcterms:modified>
</cp:coreProperties>
</file>