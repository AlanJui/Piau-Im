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Documents\"/>
    </mc:Choice>
  </mc:AlternateContent>
  <xr:revisionPtr revIDLastSave="0" documentId="13_ncr:1_{813532A9-4786-48D7-BA0B-47A127CE69AB}" xr6:coauthVersionLast="47" xr6:coauthVersionMax="47" xr10:uidLastSave="{00000000-0000-0000-0000-000000000000}"/>
  <bookViews>
    <workbookView xWindow="28680" yWindow="-120" windowWidth="38640" windowHeight="15720" firstSheet="3" activeTab="7" autoFilterDateGrouping="0" xr2:uid="{00000000-000D-0000-FFFF-FFFF00000000}"/>
  </bookViews>
  <sheets>
    <sheet name="拚音聲調對照表" sheetId="1" r:id="rId1"/>
    <sheet name="聲調符號表" sheetId="4" r:id="rId2"/>
    <sheet name="閩拚聲調符號表" sheetId="12" r:id="rId3"/>
    <sheet name="注音聲調表（閩拚）" sheetId="9" r:id="rId4"/>
    <sheet name="閩拚拚音聲調表【溫韻】" sheetId="10" r:id="rId5"/>
    <sheet name="閩拚注音聲調表【東韻】" sheetId="11" r:id="rId6"/>
    <sheet name="注音聲調表（台語音標）" sheetId="8" r:id="rId7"/>
    <sheet name="聲調對照表（台語音標）" sheetId="7" r:id="rId8"/>
    <sheet name="拚音聲調表 (台語音標)" sheetId="5" r:id="rId9"/>
    <sheet name="聲調對照表（閩拚） (2)" sheetId="6" r:id="rId10"/>
    <sheet name="聲調對照表 (3)" sheetId="3" r:id="rId11"/>
    <sheet name="聲調對照表 (2)" sheetId="2" r:id="rId12"/>
  </sheets>
  <externalReferences>
    <externalReference r:id="rId13"/>
    <externalReference r:id="rId14"/>
  </externalReferences>
  <definedNames>
    <definedName name="十五音韻母">'[1]十五音-韻母'!$C$5:$C$54</definedName>
    <definedName name="十五音韻母對照表">'[1]十五音-韻母'!$B$5:$R$54</definedName>
    <definedName name="台羅韻母八音反切">'[1]台羅-韻母八音反切'!$R$5:$Y$54</definedName>
    <definedName name="白話字韻母八音反切">'[1]白話字-韻母八音反切'!$R$5:$Y$54</definedName>
    <definedName name="閩拼韻母八音反切">'[1]閩拼-韻母八音反切'!$R$5:$Y$54</definedName>
    <definedName name="聲母碼表">[1]聲母碼!$D$6:$K$22</definedName>
    <definedName name="韻母對照表">[1]韻母對照表!$B$6:$K$105</definedName>
    <definedName name="韻母碼表">[1]韻母碼!$F$5:$M$78</definedName>
    <definedName name="顯示注音輸入">[2]env!$C$10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7" l="1"/>
  <c r="L5" i="7"/>
  <c r="L6" i="7"/>
  <c r="L7" i="7"/>
  <c r="L8" i="7"/>
  <c r="L9" i="7"/>
  <c r="L10" i="7"/>
  <c r="L3" i="7"/>
  <c r="AF4" i="1" l="1"/>
  <c r="AF5" i="1"/>
  <c r="AF6" i="1"/>
  <c r="AF7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" i="1"/>
  <c r="X24" i="1"/>
  <c r="Y24" i="1"/>
  <c r="AB24" i="1" s="1"/>
  <c r="AC24" i="1" s="1"/>
  <c r="AD24" i="1" s="1"/>
  <c r="AA24" i="1"/>
  <c r="X25" i="1"/>
  <c r="Y25" i="1"/>
  <c r="AA25" i="1"/>
  <c r="AB25" i="1"/>
  <c r="AC25" i="1" s="1"/>
  <c r="X26" i="1"/>
  <c r="Y26" i="1"/>
  <c r="AB26" i="1" s="1"/>
  <c r="AC26" i="1" s="1"/>
  <c r="AD26" i="1" s="1"/>
  <c r="AA26" i="1"/>
  <c r="X27" i="1"/>
  <c r="Y27" i="1"/>
  <c r="AB27" i="1" s="1"/>
  <c r="AC27" i="1" s="1"/>
  <c r="AA27" i="1"/>
  <c r="X28" i="1"/>
  <c r="Y28" i="1"/>
  <c r="AB28" i="1" s="1"/>
  <c r="AC28" i="1" s="1"/>
  <c r="AD28" i="1" s="1"/>
  <c r="AA28" i="1"/>
  <c r="X29" i="1"/>
  <c r="Y29" i="1"/>
  <c r="AB29" i="1" s="1"/>
  <c r="AC29" i="1" s="1"/>
  <c r="AA29" i="1"/>
  <c r="X30" i="1"/>
  <c r="Y30" i="1"/>
  <c r="AB30" i="1" s="1"/>
  <c r="AC30" i="1" s="1"/>
  <c r="AD30" i="1" s="1"/>
  <c r="AA30" i="1"/>
  <c r="X12" i="1"/>
  <c r="Y12" i="1"/>
  <c r="AB12" i="1" s="1"/>
  <c r="AC12" i="1" s="1"/>
  <c r="AD12" i="1" s="1"/>
  <c r="AA12" i="1"/>
  <c r="X13" i="1"/>
  <c r="Y13" i="1"/>
  <c r="AB13" i="1" s="1"/>
  <c r="AC13" i="1" s="1"/>
  <c r="AD13" i="1" s="1"/>
  <c r="AA13" i="1"/>
  <c r="X14" i="1"/>
  <c r="Y14" i="1"/>
  <c r="AB14" i="1" s="1"/>
  <c r="AC14" i="1" s="1"/>
  <c r="AD14" i="1" s="1"/>
  <c r="AA14" i="1"/>
  <c r="X15" i="1"/>
  <c r="Y15" i="1"/>
  <c r="AB15" i="1" s="1"/>
  <c r="AC15" i="1" s="1"/>
  <c r="AD15" i="1" s="1"/>
  <c r="AA15" i="1"/>
  <c r="X16" i="1"/>
  <c r="Y16" i="1"/>
  <c r="AB16" i="1" s="1"/>
  <c r="AC16" i="1" s="1"/>
  <c r="AD16" i="1" s="1"/>
  <c r="AA16" i="1"/>
  <c r="X17" i="1"/>
  <c r="Y17" i="1"/>
  <c r="AA17" i="1"/>
  <c r="AB17" i="1"/>
  <c r="AC17" i="1" s="1"/>
  <c r="AD17" i="1" s="1"/>
  <c r="X18" i="1"/>
  <c r="Y18" i="1"/>
  <c r="AB18" i="1" s="1"/>
  <c r="AC18" i="1" s="1"/>
  <c r="AD18" i="1" s="1"/>
  <c r="AA18" i="1"/>
  <c r="X19" i="1"/>
  <c r="Y19" i="1"/>
  <c r="AB19" i="1" s="1"/>
  <c r="AC19" i="1" s="1"/>
  <c r="AD19" i="1" s="1"/>
  <c r="AA19" i="1"/>
  <c r="X20" i="1"/>
  <c r="Y20" i="1"/>
  <c r="AB20" i="1" s="1"/>
  <c r="AC20" i="1" s="1"/>
  <c r="AD20" i="1" s="1"/>
  <c r="AA20" i="1"/>
  <c r="X21" i="1"/>
  <c r="Y21" i="1"/>
  <c r="AA21" i="1"/>
  <c r="AB21" i="1"/>
  <c r="AC21" i="1" s="1"/>
  <c r="AD21" i="1" s="1"/>
  <c r="X22" i="1"/>
  <c r="Y22" i="1"/>
  <c r="AB22" i="1" s="1"/>
  <c r="AC22" i="1" s="1"/>
  <c r="AD22" i="1" s="1"/>
  <c r="AA22" i="1"/>
  <c r="X23" i="1"/>
  <c r="Y23" i="1"/>
  <c r="AB23" i="1" s="1"/>
  <c r="AC23" i="1" s="1"/>
  <c r="AA23" i="1"/>
  <c r="AA4" i="1"/>
  <c r="X4" i="1"/>
  <c r="Y4" i="1"/>
  <c r="AB4" i="1" s="1"/>
  <c r="AC4" i="1" s="1"/>
  <c r="AD4" i="1" s="1"/>
  <c r="AA5" i="1"/>
  <c r="X5" i="1"/>
  <c r="Y5" i="1"/>
  <c r="AB5" i="1" s="1"/>
  <c r="AC5" i="1" s="1"/>
  <c r="AD5" i="1" s="1"/>
  <c r="AA6" i="1"/>
  <c r="X6" i="1"/>
  <c r="Y6" i="1"/>
  <c r="AB6" i="1" s="1"/>
  <c r="AC6" i="1" s="1"/>
  <c r="AD6" i="1" s="1"/>
  <c r="AA7" i="1"/>
  <c r="X7" i="1"/>
  <c r="Y7" i="1"/>
  <c r="AB7" i="1" s="1"/>
  <c r="AC7" i="1" s="1"/>
  <c r="AA8" i="1"/>
  <c r="X8" i="1"/>
  <c r="Y8" i="1"/>
  <c r="AB8" i="1" s="1"/>
  <c r="AC8" i="1" s="1"/>
  <c r="AD8" i="1" s="1"/>
  <c r="AF8" i="1" s="1"/>
  <c r="AA9" i="1"/>
  <c r="X9" i="1"/>
  <c r="Y9" i="1"/>
  <c r="AB9" i="1" s="1"/>
  <c r="AC9" i="1" s="1"/>
  <c r="AD9" i="1" s="1"/>
  <c r="AF9" i="1" s="1"/>
  <c r="AA10" i="1"/>
  <c r="X10" i="1"/>
  <c r="Y10" i="1"/>
  <c r="AB10" i="1" s="1"/>
  <c r="AC10" i="1" s="1"/>
  <c r="AD10" i="1" s="1"/>
  <c r="AA11" i="1"/>
  <c r="X11" i="1"/>
  <c r="Y11" i="1"/>
  <c r="AB11" i="1" s="1"/>
  <c r="AC11" i="1" s="1"/>
  <c r="AD11" i="1" s="1"/>
  <c r="X3" i="1"/>
  <c r="Y3" i="1"/>
  <c r="AB3" i="1" s="1"/>
  <c r="AC3" i="1" s="1"/>
  <c r="AA3" i="1"/>
  <c r="P9" i="1"/>
  <c r="P8" i="1"/>
  <c r="P11" i="1"/>
  <c r="P10" i="1"/>
  <c r="P5" i="1"/>
  <c r="P4" i="1"/>
  <c r="P6" i="1"/>
  <c r="P3" i="1"/>
  <c r="N11" i="1"/>
  <c r="N10" i="1"/>
  <c r="N9" i="1"/>
  <c r="N8" i="1"/>
  <c r="N6" i="1"/>
  <c r="N5" i="1"/>
  <c r="N4" i="1"/>
  <c r="M11" i="1"/>
  <c r="M10" i="1"/>
  <c r="M9" i="1"/>
  <c r="M8" i="1"/>
  <c r="M7" i="1"/>
  <c r="M6" i="1"/>
  <c r="M5" i="1"/>
  <c r="M4" i="1"/>
  <c r="M3" i="1"/>
  <c r="L3" i="1"/>
  <c r="L11" i="1"/>
  <c r="L10" i="1"/>
  <c r="L9" i="1"/>
  <c r="L8" i="1"/>
  <c r="L6" i="1"/>
  <c r="L5" i="1"/>
  <c r="L4" i="1"/>
  <c r="J3" i="1"/>
  <c r="J11" i="1"/>
  <c r="J10" i="1"/>
  <c r="J5" i="1"/>
  <c r="J6" i="1"/>
  <c r="J8" i="1"/>
  <c r="J9" i="1"/>
  <c r="J4" i="1"/>
  <c r="N14" i="12"/>
  <c r="N15" i="12"/>
  <c r="N16" i="12"/>
  <c r="N17" i="12"/>
  <c r="N18" i="12"/>
  <c r="N19" i="12"/>
  <c r="N13" i="12"/>
  <c r="K18" i="12"/>
  <c r="H17" i="12"/>
  <c r="D16" i="12"/>
  <c r="K14" i="12"/>
  <c r="H13" i="12"/>
  <c r="T19" i="12"/>
  <c r="S19" i="12"/>
  <c r="R19" i="12"/>
  <c r="Q19" i="12"/>
  <c r="T18" i="12"/>
  <c r="S18" i="12"/>
  <c r="R18" i="12"/>
  <c r="Q18" i="12"/>
  <c r="T17" i="12"/>
  <c r="S17" i="12"/>
  <c r="R17" i="12"/>
  <c r="Q17" i="12"/>
  <c r="T16" i="12"/>
  <c r="S16" i="12"/>
  <c r="R16" i="12"/>
  <c r="Q16" i="12"/>
  <c r="T15" i="12"/>
  <c r="S15" i="12"/>
  <c r="R15" i="12"/>
  <c r="Q15" i="12"/>
  <c r="T14" i="12"/>
  <c r="S14" i="12"/>
  <c r="R14" i="12"/>
  <c r="Q14" i="12"/>
  <c r="T13" i="12"/>
  <c r="S13" i="12"/>
  <c r="R13" i="12"/>
  <c r="Q13" i="12"/>
  <c r="C6" i="12"/>
  <c r="C14" i="12" s="1"/>
  <c r="D6" i="12"/>
  <c r="D14" i="12" s="1"/>
  <c r="E6" i="12"/>
  <c r="E14" i="12" s="1"/>
  <c r="F6" i="12"/>
  <c r="F14" i="12" s="1"/>
  <c r="H6" i="12"/>
  <c r="H14" i="12" s="1"/>
  <c r="I6" i="12"/>
  <c r="I14" i="12" s="1"/>
  <c r="J6" i="12"/>
  <c r="J14" i="12" s="1"/>
  <c r="K6" i="12"/>
  <c r="L6" i="12"/>
  <c r="L14" i="12" s="1"/>
  <c r="C7" i="12"/>
  <c r="C15" i="12" s="1"/>
  <c r="D7" i="12"/>
  <c r="D15" i="12" s="1"/>
  <c r="E7" i="12"/>
  <c r="E15" i="12" s="1"/>
  <c r="F7" i="12"/>
  <c r="F15" i="12" s="1"/>
  <c r="H7" i="12"/>
  <c r="H15" i="12" s="1"/>
  <c r="I7" i="12"/>
  <c r="I15" i="12" s="1"/>
  <c r="J7" i="12"/>
  <c r="J15" i="12" s="1"/>
  <c r="K7" i="12"/>
  <c r="K15" i="12" s="1"/>
  <c r="L7" i="12"/>
  <c r="L15" i="12" s="1"/>
  <c r="C8" i="12"/>
  <c r="C16" i="12" s="1"/>
  <c r="D8" i="12"/>
  <c r="E8" i="12"/>
  <c r="E16" i="12" s="1"/>
  <c r="F8" i="12"/>
  <c r="F16" i="12" s="1"/>
  <c r="H8" i="12"/>
  <c r="H16" i="12" s="1"/>
  <c r="I8" i="12"/>
  <c r="I16" i="12" s="1"/>
  <c r="J8" i="12"/>
  <c r="J16" i="12" s="1"/>
  <c r="K8" i="12"/>
  <c r="K16" i="12" s="1"/>
  <c r="L8" i="12"/>
  <c r="L16" i="12" s="1"/>
  <c r="C9" i="12"/>
  <c r="C17" i="12" s="1"/>
  <c r="D9" i="12"/>
  <c r="D17" i="12" s="1"/>
  <c r="E9" i="12"/>
  <c r="E17" i="12" s="1"/>
  <c r="F9" i="12"/>
  <c r="F17" i="12" s="1"/>
  <c r="H9" i="12"/>
  <c r="I9" i="12"/>
  <c r="I17" i="12" s="1"/>
  <c r="J9" i="12"/>
  <c r="J17" i="12" s="1"/>
  <c r="K9" i="12"/>
  <c r="K17" i="12" s="1"/>
  <c r="L9" i="12"/>
  <c r="L17" i="12" s="1"/>
  <c r="C10" i="12"/>
  <c r="C18" i="12" s="1"/>
  <c r="D10" i="12"/>
  <c r="D18" i="12" s="1"/>
  <c r="E10" i="12"/>
  <c r="E18" i="12" s="1"/>
  <c r="F10" i="12"/>
  <c r="F18" i="12" s="1"/>
  <c r="H10" i="12"/>
  <c r="H18" i="12" s="1"/>
  <c r="I10" i="12"/>
  <c r="I18" i="12" s="1"/>
  <c r="J10" i="12"/>
  <c r="J18" i="12" s="1"/>
  <c r="K10" i="12"/>
  <c r="L10" i="12"/>
  <c r="L18" i="12" s="1"/>
  <c r="C11" i="12"/>
  <c r="C19" i="12" s="1"/>
  <c r="D11" i="12"/>
  <c r="D19" i="12" s="1"/>
  <c r="E11" i="12"/>
  <c r="E19" i="12" s="1"/>
  <c r="F11" i="12"/>
  <c r="F19" i="12" s="1"/>
  <c r="H11" i="12"/>
  <c r="H19" i="12" s="1"/>
  <c r="I11" i="12"/>
  <c r="I19" i="12" s="1"/>
  <c r="J11" i="12"/>
  <c r="J19" i="12" s="1"/>
  <c r="K11" i="12"/>
  <c r="K19" i="12" s="1"/>
  <c r="L11" i="12"/>
  <c r="L19" i="12" s="1"/>
  <c r="K5" i="12"/>
  <c r="K13" i="12" s="1"/>
  <c r="J5" i="12"/>
  <c r="J13" i="12" s="1"/>
  <c r="L5" i="12"/>
  <c r="L13" i="12" s="1"/>
  <c r="I5" i="12"/>
  <c r="I13" i="12" s="1"/>
  <c r="H5" i="12"/>
  <c r="F5" i="12"/>
  <c r="F13" i="12" s="1"/>
  <c r="E5" i="12"/>
  <c r="E13" i="12" s="1"/>
  <c r="D5" i="12"/>
  <c r="D13" i="12" s="1"/>
  <c r="C5" i="12"/>
  <c r="C13" i="12" s="1"/>
  <c r="T11" i="12"/>
  <c r="T10" i="12"/>
  <c r="T9" i="12"/>
  <c r="T8" i="12"/>
  <c r="T7" i="12"/>
  <c r="T6" i="12"/>
  <c r="T5" i="12"/>
  <c r="T20" i="12"/>
  <c r="S20" i="12"/>
  <c r="R20" i="12"/>
  <c r="Q20" i="12"/>
  <c r="S11" i="12"/>
  <c r="R11" i="12"/>
  <c r="Q11" i="12"/>
  <c r="S10" i="12"/>
  <c r="R10" i="12"/>
  <c r="Q10" i="12"/>
  <c r="S9" i="12"/>
  <c r="R9" i="12"/>
  <c r="Q9" i="12"/>
  <c r="S8" i="12"/>
  <c r="R8" i="12"/>
  <c r="Q8" i="12"/>
  <c r="S7" i="12"/>
  <c r="R7" i="12"/>
  <c r="Q7" i="12"/>
  <c r="S6" i="12"/>
  <c r="R6" i="12"/>
  <c r="Q6" i="12"/>
  <c r="S5" i="12"/>
  <c r="R5" i="12"/>
  <c r="Q5" i="12"/>
  <c r="I15" i="10"/>
  <c r="J15" i="10"/>
  <c r="I16" i="10"/>
  <c r="J16" i="10"/>
  <c r="I17" i="10"/>
  <c r="J17" i="10"/>
  <c r="I18" i="10"/>
  <c r="J18" i="10"/>
  <c r="I19" i="10"/>
  <c r="J19" i="10"/>
  <c r="I20" i="10"/>
  <c r="J20" i="10"/>
  <c r="I21" i="10"/>
  <c r="J21" i="10"/>
  <c r="I22" i="10"/>
  <c r="J22" i="10"/>
  <c r="S4" i="4"/>
  <c r="S5" i="4"/>
  <c r="S6" i="4"/>
  <c r="S7" i="4"/>
  <c r="S8" i="4"/>
  <c r="S9" i="4"/>
  <c r="S10" i="4"/>
  <c r="S3" i="4"/>
  <c r="J10" i="10"/>
  <c r="J9" i="10"/>
  <c r="J8" i="10"/>
  <c r="J7" i="10"/>
  <c r="J6" i="10"/>
  <c r="J5" i="10"/>
  <c r="J4" i="10"/>
  <c r="J3" i="10"/>
  <c r="I10" i="10"/>
  <c r="I9" i="10"/>
  <c r="I8" i="10"/>
  <c r="I7" i="10"/>
  <c r="I5" i="10"/>
  <c r="I4" i="10"/>
  <c r="I3" i="10"/>
  <c r="H10" i="10"/>
  <c r="H9" i="10"/>
  <c r="H8" i="10"/>
  <c r="H7" i="10"/>
  <c r="H6" i="10"/>
  <c r="H5" i="10"/>
  <c r="H4" i="10"/>
  <c r="H3" i="10"/>
  <c r="N16" i="10"/>
  <c r="N17" i="10"/>
  <c r="N18" i="10"/>
  <c r="N19" i="10"/>
  <c r="N20" i="10"/>
  <c r="N21" i="10"/>
  <c r="N22" i="10"/>
  <c r="N15" i="10"/>
  <c r="M31" i="10"/>
  <c r="M30" i="10"/>
  <c r="M29" i="10"/>
  <c r="M28" i="10"/>
  <c r="M27" i="10"/>
  <c r="M16" i="10"/>
  <c r="M17" i="10"/>
  <c r="M18" i="10"/>
  <c r="M19" i="10"/>
  <c r="M20" i="10"/>
  <c r="M21" i="10"/>
  <c r="M22" i="10"/>
  <c r="M15" i="10"/>
  <c r="O30" i="10"/>
  <c r="P30" i="10"/>
  <c r="O31" i="10"/>
  <c r="P31" i="10"/>
  <c r="O27" i="10"/>
  <c r="P27" i="10"/>
  <c r="P22" i="10"/>
  <c r="O22" i="10"/>
  <c r="P21" i="10"/>
  <c r="P20" i="10"/>
  <c r="P19" i="10"/>
  <c r="O21" i="10"/>
  <c r="O20" i="10"/>
  <c r="P15" i="10"/>
  <c r="P16" i="10"/>
  <c r="P17" i="10"/>
  <c r="P18" i="10"/>
  <c r="P28" i="10"/>
  <c r="P29" i="10"/>
  <c r="O15" i="10"/>
  <c r="O16" i="10"/>
  <c r="O17" i="10"/>
  <c r="O18" i="10"/>
  <c r="O28" i="10"/>
  <c r="O29" i="10"/>
  <c r="O19" i="10"/>
  <c r="O3" i="10"/>
  <c r="O4" i="10"/>
  <c r="O6" i="10"/>
  <c r="O7" i="10"/>
  <c r="O8" i="10"/>
  <c r="O9" i="10"/>
  <c r="O10" i="10"/>
  <c r="L11" i="11"/>
  <c r="S11" i="11" s="1"/>
  <c r="J11" i="11"/>
  <c r="Q10" i="11"/>
  <c r="P10" i="11"/>
  <c r="O10" i="11"/>
  <c r="L10" i="11"/>
  <c r="S10" i="11" s="1"/>
  <c r="J10" i="11"/>
  <c r="S9" i="11"/>
  <c r="Q9" i="11"/>
  <c r="P9" i="11"/>
  <c r="O9" i="11"/>
  <c r="L9" i="11"/>
  <c r="J9" i="11"/>
  <c r="Q8" i="11"/>
  <c r="P8" i="11"/>
  <c r="O8" i="11"/>
  <c r="L8" i="11"/>
  <c r="S8" i="11" s="1"/>
  <c r="J8" i="11"/>
  <c r="S7" i="11"/>
  <c r="Q7" i="11"/>
  <c r="P7" i="11"/>
  <c r="O7" i="11"/>
  <c r="L7" i="11"/>
  <c r="J7" i="11"/>
  <c r="Q6" i="11"/>
  <c r="P6" i="11"/>
  <c r="O6" i="11"/>
  <c r="L6" i="11"/>
  <c r="S6" i="11" s="1"/>
  <c r="S5" i="11"/>
  <c r="Q5" i="11"/>
  <c r="P5" i="11"/>
  <c r="O5" i="11"/>
  <c r="L5" i="11"/>
  <c r="J5" i="11"/>
  <c r="S4" i="11"/>
  <c r="Q4" i="11"/>
  <c r="P4" i="11"/>
  <c r="O4" i="11"/>
  <c r="L4" i="11"/>
  <c r="J4" i="11"/>
  <c r="S3" i="11"/>
  <c r="Q3" i="11"/>
  <c r="P3" i="11"/>
  <c r="O3" i="11"/>
  <c r="L3" i="11"/>
  <c r="J3" i="11"/>
  <c r="I25" i="10"/>
  <c r="J11" i="10"/>
  <c r="I11" i="10"/>
  <c r="P10" i="10"/>
  <c r="P9" i="10"/>
  <c r="P7" i="10"/>
  <c r="P6" i="10"/>
  <c r="P4" i="10"/>
  <c r="P3" i="10"/>
  <c r="J9" i="9"/>
  <c r="J10" i="9"/>
  <c r="N3" i="1"/>
  <c r="S4" i="9"/>
  <c r="S6" i="9"/>
  <c r="S7" i="9"/>
  <c r="L4" i="9"/>
  <c r="L7" i="9"/>
  <c r="L8" i="9"/>
  <c r="S8" i="9" s="1"/>
  <c r="L5" i="9"/>
  <c r="S5" i="9" s="1"/>
  <c r="L6" i="9"/>
  <c r="L10" i="9"/>
  <c r="S10" i="9" s="1"/>
  <c r="L9" i="9"/>
  <c r="S9" i="9" s="1"/>
  <c r="L11" i="9"/>
  <c r="S11" i="9" s="1"/>
  <c r="Q10" i="9"/>
  <c r="P10" i="9"/>
  <c r="O10" i="9"/>
  <c r="Q9" i="9"/>
  <c r="P9" i="9"/>
  <c r="O9" i="9"/>
  <c r="Q8" i="9"/>
  <c r="P8" i="9"/>
  <c r="O8" i="9"/>
  <c r="Q7" i="9"/>
  <c r="P7" i="9"/>
  <c r="O7" i="9"/>
  <c r="Q6" i="9"/>
  <c r="P6" i="9"/>
  <c r="O6" i="9"/>
  <c r="Q5" i="9"/>
  <c r="P5" i="9"/>
  <c r="O5" i="9"/>
  <c r="Q4" i="9"/>
  <c r="P4" i="9"/>
  <c r="O4" i="9"/>
  <c r="Q3" i="9"/>
  <c r="P3" i="9"/>
  <c r="O3" i="9"/>
  <c r="L3" i="9"/>
  <c r="S3" i="9" s="1"/>
  <c r="K3" i="8"/>
  <c r="K11" i="8"/>
  <c r="P10" i="8"/>
  <c r="O10" i="8"/>
  <c r="N10" i="8"/>
  <c r="P9" i="8"/>
  <c r="O9" i="8"/>
  <c r="N9" i="8"/>
  <c r="P8" i="8"/>
  <c r="O8" i="8"/>
  <c r="N8" i="8"/>
  <c r="P7" i="8"/>
  <c r="O7" i="8"/>
  <c r="N7" i="8"/>
  <c r="P6" i="8"/>
  <c r="O6" i="8"/>
  <c r="N6" i="8"/>
  <c r="P5" i="8"/>
  <c r="O5" i="8"/>
  <c r="N5" i="8"/>
  <c r="P4" i="8"/>
  <c r="O4" i="8"/>
  <c r="N4" i="8"/>
  <c r="P3" i="8"/>
  <c r="O3" i="8"/>
  <c r="N3" i="8"/>
  <c r="J8" i="9"/>
  <c r="J7" i="9"/>
  <c r="J5" i="9"/>
  <c r="J4" i="9"/>
  <c r="J3" i="9"/>
  <c r="J11" i="9"/>
  <c r="I6" i="8"/>
  <c r="I11" i="8"/>
  <c r="I10" i="8"/>
  <c r="I9" i="8"/>
  <c r="I8" i="8"/>
  <c r="I7" i="8"/>
  <c r="I5" i="8"/>
  <c r="I4" i="8"/>
  <c r="I3" i="8"/>
  <c r="U3" i="8"/>
  <c r="I15" i="7"/>
  <c r="I3" i="7"/>
  <c r="J3" i="7"/>
  <c r="I5" i="7"/>
  <c r="I10" i="7"/>
  <c r="I7" i="7"/>
  <c r="I4" i="7"/>
  <c r="I14" i="7"/>
  <c r="I8" i="7"/>
  <c r="I9" i="7"/>
  <c r="I18" i="7"/>
  <c r="P10" i="7"/>
  <c r="O10" i="7"/>
  <c r="N10" i="7"/>
  <c r="P9" i="7"/>
  <c r="O9" i="7"/>
  <c r="N9" i="7"/>
  <c r="J10" i="7"/>
  <c r="P8" i="7"/>
  <c r="O8" i="7"/>
  <c r="N8" i="7"/>
  <c r="J7" i="7"/>
  <c r="P7" i="7"/>
  <c r="O7" i="7"/>
  <c r="N7" i="7"/>
  <c r="J9" i="7"/>
  <c r="P6" i="7"/>
  <c r="O6" i="7"/>
  <c r="N6" i="7"/>
  <c r="J6" i="7"/>
  <c r="I6" i="7"/>
  <c r="P5" i="7"/>
  <c r="O5" i="7"/>
  <c r="N5" i="7"/>
  <c r="J5" i="7"/>
  <c r="P4" i="7"/>
  <c r="O4" i="7"/>
  <c r="N4" i="7"/>
  <c r="J8" i="7"/>
  <c r="P3" i="7"/>
  <c r="O3" i="7"/>
  <c r="N3" i="7"/>
  <c r="J4" i="7"/>
  <c r="D18" i="6"/>
  <c r="R10" i="6"/>
  <c r="Q10" i="6"/>
  <c r="P10" i="6"/>
  <c r="R9" i="6"/>
  <c r="Q9" i="6"/>
  <c r="P9" i="6"/>
  <c r="D9" i="6"/>
  <c r="C9" i="6"/>
  <c r="R8" i="6"/>
  <c r="Q8" i="6"/>
  <c r="P8" i="6"/>
  <c r="D8" i="6"/>
  <c r="C8" i="6"/>
  <c r="R7" i="6"/>
  <c r="Q7" i="6"/>
  <c r="P7" i="6"/>
  <c r="D7" i="6"/>
  <c r="C7" i="6"/>
  <c r="R6" i="6"/>
  <c r="Q6" i="6"/>
  <c r="P6" i="6"/>
  <c r="D6" i="6"/>
  <c r="C6" i="6"/>
  <c r="R5" i="6"/>
  <c r="Q5" i="6"/>
  <c r="P5" i="6"/>
  <c r="D5" i="6"/>
  <c r="C5" i="6"/>
  <c r="R4" i="6"/>
  <c r="Q4" i="6"/>
  <c r="P4" i="6"/>
  <c r="D4" i="6"/>
  <c r="C4" i="6"/>
  <c r="R3" i="6"/>
  <c r="Q3" i="6"/>
  <c r="P3" i="6"/>
  <c r="D3" i="6"/>
  <c r="C3" i="6"/>
  <c r="D18" i="5"/>
  <c r="D7" i="5"/>
  <c r="D6" i="5"/>
  <c r="D5" i="5"/>
  <c r="D4" i="5"/>
  <c r="D3" i="5"/>
  <c r="R4" i="4"/>
  <c r="R5" i="4"/>
  <c r="R6" i="4"/>
  <c r="R7" i="4"/>
  <c r="R8" i="4"/>
  <c r="R9" i="4"/>
  <c r="R10" i="4"/>
  <c r="R3" i="4"/>
  <c r="Q4" i="4"/>
  <c r="Q5" i="4"/>
  <c r="Q6" i="4"/>
  <c r="Q7" i="4"/>
  <c r="Q8" i="4"/>
  <c r="Q9" i="4"/>
  <c r="Q10" i="4"/>
  <c r="Q3" i="4"/>
  <c r="M8" i="4"/>
  <c r="M6" i="4"/>
  <c r="M5" i="4"/>
  <c r="C18" i="3"/>
  <c r="C7" i="3"/>
  <c r="C6" i="3"/>
  <c r="C5" i="3"/>
  <c r="C4" i="3"/>
  <c r="C3" i="3"/>
  <c r="C18" i="2"/>
  <c r="C7" i="2"/>
  <c r="C6" i="2"/>
  <c r="C5" i="2"/>
  <c r="C4" i="2"/>
  <c r="C3" i="2"/>
  <c r="AD23" i="1" l="1"/>
  <c r="AD25" i="1"/>
  <c r="AD29" i="1"/>
  <c r="AD27" i="1"/>
  <c r="AD3" i="1"/>
  <c r="AD7" i="1"/>
</calcChain>
</file>

<file path=xl/sharedStrings.xml><?xml version="1.0" encoding="utf-8"?>
<sst xmlns="http://schemas.openxmlformats.org/spreadsheetml/2006/main" count="1104" uniqueCount="468">
  <si>
    <t>˙</t>
  </si>
  <si>
    <t>高促調</t>
    <phoneticPr fontId="1" type="noConversion"/>
  </si>
  <si>
    <t>陽入</t>
  </si>
  <si>
    <t>獨</t>
    <phoneticPr fontId="1" type="noConversion"/>
  </si>
  <si>
    <t/>
  </si>
  <si>
    <t>低促調</t>
    <phoneticPr fontId="1" type="noConversion"/>
  </si>
  <si>
    <t>陰入</t>
  </si>
  <si>
    <t>督</t>
    <phoneticPr fontId="1" type="noConversion"/>
  </si>
  <si>
    <t>陽上</t>
  </si>
  <si>
    <t>董</t>
    <phoneticPr fontId="1" type="noConversion"/>
  </si>
  <si>
    <t>ˋ</t>
  </si>
  <si>
    <t>高降調</t>
    <phoneticPr fontId="1" type="noConversion"/>
  </si>
  <si>
    <t>ˊ</t>
  </si>
  <si>
    <t>低升調</t>
    <phoneticPr fontId="1" type="noConversion"/>
  </si>
  <si>
    <t>陽平</t>
  </si>
  <si>
    <t>同</t>
    <phoneticPr fontId="1" type="noConversion"/>
  </si>
  <si>
    <t>˪</t>
  </si>
  <si>
    <t>低音調</t>
    <phoneticPr fontId="1" type="noConversion"/>
  </si>
  <si>
    <t>陰去</t>
  </si>
  <si>
    <t>棟</t>
    <phoneticPr fontId="1" type="noConversion"/>
  </si>
  <si>
    <t>˫</t>
  </si>
  <si>
    <t>中音調</t>
    <phoneticPr fontId="1" type="noConversion"/>
  </si>
  <si>
    <t>陽去</t>
  </si>
  <si>
    <t>動</t>
    <phoneticPr fontId="1" type="noConversion"/>
  </si>
  <si>
    <t>高音調</t>
    <phoneticPr fontId="1" type="noConversion"/>
  </si>
  <si>
    <t>陰平</t>
  </si>
  <si>
    <t>東</t>
    <phoneticPr fontId="1" type="noConversion"/>
  </si>
  <si>
    <t>方音符號</t>
    <phoneticPr fontId="15" type="noConversion"/>
  </si>
  <si>
    <t>閩拼方案</t>
    <phoneticPr fontId="15" type="noConversion"/>
  </si>
  <si>
    <t>台羅調號</t>
    <phoneticPr fontId="17" type="noConversion"/>
  </si>
  <si>
    <t>調值</t>
    <phoneticPr fontId="1" type="noConversion"/>
  </si>
  <si>
    <t>W調名</t>
    <phoneticPr fontId="1" type="noConversion"/>
  </si>
  <si>
    <t>四聲八調</t>
    <phoneticPr fontId="17" type="noConversion"/>
  </si>
  <si>
    <t>漢字與拼音</t>
    <phoneticPr fontId="1" type="noConversion"/>
  </si>
  <si>
    <t>tok4</t>
    <phoneticPr fontId="1" type="noConversion"/>
  </si>
  <si>
    <t>tok8</t>
    <phoneticPr fontId="1" type="noConversion"/>
  </si>
  <si>
    <t>上声/陰上</t>
    <phoneticPr fontId="1" type="noConversion"/>
  </si>
  <si>
    <t>鍵盤按鍵</t>
    <phoneticPr fontId="1" type="noConversion"/>
  </si>
  <si>
    <t>;</t>
    <phoneticPr fontId="1" type="noConversion"/>
  </si>
  <si>
    <t>-</t>
    <phoneticPr fontId="1" type="noConversion"/>
  </si>
  <si>
    <t>_</t>
    <phoneticPr fontId="1" type="noConversion"/>
  </si>
  <si>
    <t>\</t>
    <phoneticPr fontId="1" type="noConversion"/>
  </si>
  <si>
    <t>/</t>
    <phoneticPr fontId="1" type="noConversion"/>
  </si>
  <si>
    <t>[</t>
    <phoneticPr fontId="1" type="noConversion"/>
  </si>
  <si>
    <t>]</t>
    <phoneticPr fontId="1" type="noConversion"/>
  </si>
  <si>
    <t>tong1</t>
  </si>
  <si>
    <t>tong1</t>
    <phoneticPr fontId="1" type="noConversion"/>
  </si>
  <si>
    <t>tong7</t>
  </si>
  <si>
    <t>tong3</t>
  </si>
  <si>
    <t>tong2</t>
  </si>
  <si>
    <t>tong5</t>
  </si>
  <si>
    <t>調號</t>
  </si>
  <si>
    <t>組合用調號</t>
  </si>
  <si>
    <t>◌</t>
  </si>
  <si>
    <t>小寫</t>
  </si>
  <si>
    <t>a</t>
  </si>
  <si>
    <t>ah</t>
  </si>
  <si>
    <t>a̍h</t>
  </si>
  <si>
    <t>a̋</t>
  </si>
  <si>
    <t>e</t>
  </si>
  <si>
    <t>eh</t>
  </si>
  <si>
    <t>e̍h</t>
  </si>
  <si>
    <t>e̋</t>
  </si>
  <si>
    <t>i</t>
  </si>
  <si>
    <t>ih</t>
  </si>
  <si>
    <t>i̍h</t>
  </si>
  <si>
    <t>i̋</t>
  </si>
  <si>
    <t>o</t>
  </si>
  <si>
    <t>oh</t>
  </si>
  <si>
    <t>o̍h</t>
  </si>
  <si>
    <t>u</t>
  </si>
  <si>
    <t>uh</t>
  </si>
  <si>
    <t>u̍h</t>
  </si>
  <si>
    <t>m</t>
  </si>
  <si>
    <t>m̀</t>
  </si>
  <si>
    <t>mh</t>
  </si>
  <si>
    <t>m̂</t>
  </si>
  <si>
    <t>m̌</t>
  </si>
  <si>
    <t>m̄</t>
  </si>
  <si>
    <t>m̍h</t>
  </si>
  <si>
    <t>m̋</t>
  </si>
  <si>
    <t>n</t>
  </si>
  <si>
    <t>nh</t>
  </si>
  <si>
    <t>n̂</t>
  </si>
  <si>
    <t>n̄</t>
  </si>
  <si>
    <t>n̍h</t>
  </si>
  <si>
    <t>n̋</t>
  </si>
  <si>
    <t>大寫</t>
  </si>
  <si>
    <t>A</t>
  </si>
  <si>
    <t>AH</t>
  </si>
  <si>
    <t>A̍H</t>
  </si>
  <si>
    <t>A̋</t>
  </si>
  <si>
    <t>E</t>
  </si>
  <si>
    <t>EH</t>
  </si>
  <si>
    <t>E̍H</t>
  </si>
  <si>
    <t>E̋</t>
  </si>
  <si>
    <t>I</t>
  </si>
  <si>
    <t>IH</t>
  </si>
  <si>
    <t>I̍H</t>
  </si>
  <si>
    <t>I̋</t>
  </si>
  <si>
    <t>O</t>
  </si>
  <si>
    <t>OH</t>
  </si>
  <si>
    <t>O̍H</t>
  </si>
  <si>
    <t>U</t>
  </si>
  <si>
    <t>UH</t>
  </si>
  <si>
    <t>U̍H</t>
  </si>
  <si>
    <t>M</t>
  </si>
  <si>
    <t>M̀</t>
  </si>
  <si>
    <t>MH</t>
  </si>
  <si>
    <t>M̂</t>
  </si>
  <si>
    <t>M̌</t>
  </si>
  <si>
    <t>M̄</t>
  </si>
  <si>
    <t>M̍H</t>
  </si>
  <si>
    <t>M̋</t>
  </si>
  <si>
    <t>N</t>
  </si>
  <si>
    <t>NH</t>
  </si>
  <si>
    <t>N̂</t>
  </si>
  <si>
    <t>N̄</t>
  </si>
  <si>
    <t>N̍H</t>
  </si>
  <si>
    <t>N̋</t>
  </si>
  <si>
    <t>◌̂ U+0302</t>
  </si>
  <si>
    <t>◌̍ U+030D</t>
  </si>
  <si>
    <t>◌̋ U+030B</t>
  </si>
  <si>
    <t>á U+00E1</t>
  </si>
  <si>
    <t>à U+00E0</t>
  </si>
  <si>
    <t>â U+00E2</t>
  </si>
  <si>
    <t>ā U+0101</t>
  </si>
  <si>
    <t>é U+00E9</t>
  </si>
  <si>
    <t>è U+00E8</t>
  </si>
  <si>
    <t>ê U+00EA</t>
  </si>
  <si>
    <t>ě U+011B</t>
  </si>
  <si>
    <t>ē U+0113</t>
  </si>
  <si>
    <t>í U+00ED</t>
  </si>
  <si>
    <t>ì U+00EC</t>
  </si>
  <si>
    <t>î U+00EE</t>
  </si>
  <si>
    <t>ī U+012B</t>
  </si>
  <si>
    <t>ó U+00F3</t>
  </si>
  <si>
    <t>ò U+00F2</t>
  </si>
  <si>
    <t>ô U+00F4</t>
  </si>
  <si>
    <t>ō U+014D</t>
  </si>
  <si>
    <t>ő U+0151</t>
  </si>
  <si>
    <t>ú U+00FA</t>
  </si>
  <si>
    <t>ù U+00F9</t>
  </si>
  <si>
    <t>û U+00FB</t>
  </si>
  <si>
    <t>ū U+016B</t>
  </si>
  <si>
    <t>ű U+0171</t>
  </si>
  <si>
    <t>ḿ U+1E3F</t>
  </si>
  <si>
    <t>ń U+0144</t>
  </si>
  <si>
    <t>ǹ U+01F9</t>
  </si>
  <si>
    <t>ň U+0148</t>
  </si>
  <si>
    <t>Á U+00C1</t>
  </si>
  <si>
    <t>À U+00C0</t>
  </si>
  <si>
    <t>Â U+00C2</t>
  </si>
  <si>
    <t>Ā U+0100</t>
  </si>
  <si>
    <t>É U+00C9</t>
  </si>
  <si>
    <t>È U+00C8</t>
  </si>
  <si>
    <t>Ê U+00CA</t>
  </si>
  <si>
    <t>Ě U+011A</t>
  </si>
  <si>
    <t>Ē U+0112</t>
  </si>
  <si>
    <t>Í U+00CD</t>
  </si>
  <si>
    <t>Ì U+00CC</t>
  </si>
  <si>
    <t>Î U+00CE</t>
  </si>
  <si>
    <t>Ǐ U+01CF</t>
  </si>
  <si>
    <t>Ó U+00D3</t>
  </si>
  <si>
    <t>Ò U+00D2</t>
  </si>
  <si>
    <t>Ô U+00D4</t>
  </si>
  <si>
    <t>Ō U+014C</t>
  </si>
  <si>
    <t>Ő U+0150</t>
  </si>
  <si>
    <t>Ú U+00DA</t>
  </si>
  <si>
    <t>Ù U+00D9</t>
  </si>
  <si>
    <t>Û U+00DB</t>
  </si>
  <si>
    <t>Ǔ U+01D3</t>
  </si>
  <si>
    <t>Ű U+0170</t>
  </si>
  <si>
    <t>Ḿ U+1E3E</t>
  </si>
  <si>
    <t>Ń U+0143</t>
  </si>
  <si>
    <t>Ǹ U+01F8</t>
  </si>
  <si>
    <t>Ň U+0147</t>
  </si>
  <si>
    <t>◌̌ U+030C</t>
  </si>
  <si>
    <t>◌̄ U+0304</t>
  </si>
  <si>
    <t>ǎ U+01CE</t>
  </si>
  <si>
    <t>ǐ U+01D0</t>
  </si>
  <si>
    <t>ǒ U+01D2</t>
  </si>
  <si>
    <t>ǔ U+01D4</t>
  </si>
  <si>
    <t>Ǎ U+01CD</t>
  </si>
  <si>
    <t>Ǒ U+01D1</t>
  </si>
  <si>
    <t>◌́ U+0301</t>
  </si>
  <si>
    <t>◌̀ U+0300</t>
  </si>
  <si>
    <r>
      <rPr>
        <u/>
        <sz val="12"/>
        <color theme="10"/>
        <rFont val="新細明體"/>
        <family val="2"/>
      </rPr>
      <t>Ī</t>
    </r>
    <r>
      <rPr>
        <u/>
        <sz val="12"/>
        <color theme="10"/>
        <rFont val="Noto Sans TC Medium"/>
        <family val="2"/>
      </rPr>
      <t> U+012A</t>
    </r>
  </si>
  <si>
    <r>
      <rPr>
        <u/>
        <sz val="12"/>
        <color theme="10"/>
        <rFont val="新細明體"/>
        <family val="2"/>
      </rPr>
      <t>Ū</t>
    </r>
    <r>
      <rPr>
        <u/>
        <sz val="12"/>
        <color theme="10"/>
        <rFont val="Noto Sans TC Medium"/>
        <family val="2"/>
      </rPr>
      <t> U+016A</t>
    </r>
  </si>
  <si>
    <r>
      <t>註：使用 o͘ 與 </t>
    </r>
    <r>
      <rPr>
        <u/>
        <sz val="12"/>
        <color theme="10"/>
        <rFont val="新細明體"/>
        <family val="2"/>
      </rPr>
      <t>ⁿ</t>
    </r>
    <r>
      <rPr>
        <u/>
        <sz val="12"/>
        <color theme="10"/>
        <rFont val="Noto Sans TC Medium"/>
        <family val="2"/>
      </rPr>
      <t> 的台羅傳統版序列，請參考白話字條目。</t>
    </r>
  </si>
  <si>
    <t>Hex</t>
    <phoneticPr fontId="1" type="noConversion"/>
  </si>
  <si>
    <t>Unichar</t>
    <phoneticPr fontId="1" type="noConversion"/>
  </si>
  <si>
    <t>tóng</t>
  </si>
  <si>
    <t>tòng</t>
  </si>
  <si>
    <t>tông</t>
  </si>
  <si>
    <t>tǒng</t>
  </si>
  <si>
    <t>tōng</t>
  </si>
  <si>
    <t>to̍ng</t>
  </si>
  <si>
    <t>tőng</t>
  </si>
  <si>
    <t>閩拼調號</t>
    <phoneticPr fontId="15" type="noConversion"/>
  </si>
  <si>
    <t>；</t>
    <phoneticPr fontId="1" type="noConversion"/>
  </si>
  <si>
    <t>聲調按鍵</t>
    <phoneticPr fontId="1" type="noConversion"/>
  </si>
  <si>
    <t>漢字</t>
    <phoneticPr fontId="1" type="noConversion"/>
  </si>
  <si>
    <t>閩拼音標</t>
    <phoneticPr fontId="1" type="noConversion"/>
  </si>
  <si>
    <t>按鍵輸入</t>
    <phoneticPr fontId="17" type="noConversion"/>
  </si>
  <si>
    <t>tong6</t>
  </si>
  <si>
    <t>tong8</t>
  </si>
  <si>
    <t>輕聲</t>
    <phoneticPr fontId="1" type="noConversion"/>
  </si>
  <si>
    <t>輕聲調</t>
    <phoneticPr fontId="1" type="noConversion"/>
  </si>
  <si>
    <t>啊</t>
    <phoneticPr fontId="1" type="noConversion"/>
  </si>
  <si>
    <r>
      <t>◌</t>
    </r>
    <r>
      <rPr>
        <u/>
        <sz val="12"/>
        <color theme="10"/>
        <rFont val="Arial"/>
        <family val="2"/>
        <charset val="254"/>
      </rPr>
      <t>̍</t>
    </r>
    <r>
      <rPr>
        <u/>
        <sz val="12"/>
        <color theme="10"/>
        <rFont val="Noto Sans TC Medium"/>
        <family val="2"/>
      </rPr>
      <t> U+030D</t>
    </r>
    <phoneticPr fontId="1" type="noConversion"/>
  </si>
  <si>
    <t>ah0</t>
    <phoneticPr fontId="1" type="noConversion"/>
  </si>
  <si>
    <t>陽上</t>
    <phoneticPr fontId="1" type="noConversion"/>
  </si>
  <si>
    <t>三連音
第1音節</t>
    <phoneticPr fontId="1" type="noConversion"/>
  </si>
  <si>
    <t>ㄊㆲ</t>
  </si>
  <si>
    <t>ㄊㆲˋ</t>
  </si>
  <si>
    <t>ㄊㆲ˪</t>
  </si>
  <si>
    <t>tok4</t>
  </si>
  <si>
    <t>ㄊㆲˊ</t>
  </si>
  <si>
    <t>ㄊㆲ˫</t>
  </si>
  <si>
    <t>tok8</t>
  </si>
  <si>
    <t>調號</t>
    <phoneticPr fontId="17" type="noConversion"/>
  </si>
  <si>
    <t>四聲八調</t>
    <phoneticPr fontId="1" type="noConversion"/>
  </si>
  <si>
    <t>台語音標</t>
    <phoneticPr fontId="15" type="noConversion"/>
  </si>
  <si>
    <t>陰平 (ㄚ)</t>
    <phoneticPr fontId="1" type="noConversion"/>
  </si>
  <si>
    <t>陰上 (ㄚˋ)</t>
    <phoneticPr fontId="1" type="noConversion"/>
  </si>
  <si>
    <t>黨</t>
    <phoneticPr fontId="1" type="noConversion"/>
  </si>
  <si>
    <t>陰去 (ㄚ˪)</t>
    <phoneticPr fontId="1" type="noConversion"/>
  </si>
  <si>
    <t>陽平 (ㄚˊ)</t>
    <phoneticPr fontId="1" type="noConversion"/>
  </si>
  <si>
    <t>陽上 (ㄚˋ)</t>
    <phoneticPr fontId="1" type="noConversion"/>
  </si>
  <si>
    <t>陽去 (ㄚ˫)</t>
    <phoneticPr fontId="1" type="noConversion"/>
  </si>
  <si>
    <t>洞</t>
    <phoneticPr fontId="1" type="noConversion"/>
  </si>
  <si>
    <t>毒</t>
    <phoneticPr fontId="1" type="noConversion"/>
  </si>
  <si>
    <t>陰入 (ㄚㆷ)</t>
    <phoneticPr fontId="1" type="noConversion"/>
  </si>
  <si>
    <t>陽入 (ㄚㆷ˙)</t>
    <phoneticPr fontId="1" type="noConversion"/>
  </si>
  <si>
    <t>文字</t>
  </si>
  <si>
    <t>用途</t>
  </si>
  <si>
    <t>備註</t>
  </si>
  <si>
    <t>ㆻ</t>
  </si>
  <si>
    <t>入聲韻尾-k</t>
  </si>
  <si>
    <t>ㆴ˙ㆵ˙ㆻ˙ㆷ˙</t>
  </si>
  <si>
    <t>第8聲調號</t>
  </si>
  <si>
    <t>寫在入聲韻尾後方</t>
  </si>
  <si>
    <t>第2聲調號</t>
  </si>
  <si>
    <t>第3聲調號</t>
  </si>
  <si>
    <t>第5聲調號</t>
  </si>
  <si>
    <t>第7聲調號</t>
  </si>
  <si>
    <t>輕聲</t>
  </si>
  <si>
    <t>寫在音節前方或韻母後方</t>
  </si>
  <si>
    <t>Unicode表現</t>
  </si>
  <si>
    <t>Unicode序列</t>
  </si>
  <si>
    <t>U+31BBㆻ</t>
  </si>
  <si>
    <t>原誤收ㆶ字，Unicode 13 (2020)增補</t>
  </si>
  <si>
    <t>U+02D9˙</t>
  </si>
  <si>
    <t>U+02CBˋ</t>
  </si>
  <si>
    <t>U+02EA˪</t>
  </si>
  <si>
    <t>U+02CAˊ</t>
  </si>
  <si>
    <t>U+02EB˫</t>
  </si>
  <si>
    <t>輕聲 (ㄚㆷ˙)</t>
    <phoneticPr fontId="1" type="noConversion"/>
  </si>
  <si>
    <t>方音符號</t>
    <phoneticPr fontId="17" type="noConversion"/>
  </si>
  <si>
    <t>ㄚㆷ˙</t>
    <phoneticPr fontId="1" type="noConversion"/>
  </si>
  <si>
    <t>ㄊㆦㆻ</t>
    <phoneticPr fontId="1" type="noConversion"/>
  </si>
  <si>
    <t>ㄊㆦㆻ˙</t>
    <phoneticPr fontId="1" type="noConversion"/>
  </si>
  <si>
    <t>'</t>
    <phoneticPr fontId="1" type="noConversion"/>
  </si>
  <si>
    <t>陰平(ㄚ̄)</t>
  </si>
  <si>
    <t>陽平(ㄚ́)</t>
  </si>
  <si>
    <t>陰上(ㄚ̌)</t>
  </si>
  <si>
    <t>陽上(ㄚ̄)</t>
  </si>
  <si>
    <t>陰去(ㄚ̀)</t>
  </si>
  <si>
    <t>陽去(ㄚ̂)</t>
  </si>
  <si>
    <t>陰入(ㄚㆷ̄)</t>
  </si>
  <si>
    <t>陽入(ㄚㆷ́)</t>
  </si>
  <si>
    <t>輕聲(ㄚㆷ˙)</t>
  </si>
  <si>
    <t>陰平 ㄚ̄</t>
  </si>
  <si>
    <t>陽平 ㄚ́</t>
  </si>
  <si>
    <t>陰上 ㄚ̌</t>
  </si>
  <si>
    <t>陽上 ㄚ̄</t>
  </si>
  <si>
    <t>陰去 ㄚ̀</t>
  </si>
  <si>
    <t>陽去 ㄚ̂</t>
  </si>
  <si>
    <t>陰入 ㄚㆷ̄</t>
  </si>
  <si>
    <t>陽入 ㄚㆷ́</t>
  </si>
  <si>
    <t>輕聲 ㄚㆷ˙</t>
  </si>
  <si>
    <t>閩拚音標</t>
    <phoneticPr fontId="15" type="noConversion"/>
  </si>
  <si>
    <t>:</t>
    <phoneticPr fontId="1" type="noConversion"/>
  </si>
  <si>
    <t>輕聲調</t>
  </si>
  <si>
    <t>閩拼調號</t>
  </si>
  <si>
    <t>W 調名</t>
    <phoneticPr fontId="1" type="noConversion"/>
  </si>
  <si>
    <t>高音調</t>
  </si>
  <si>
    <t>低升調</t>
  </si>
  <si>
    <t>高降調</t>
  </si>
  <si>
    <t>低音調</t>
  </si>
  <si>
    <t>中音調</t>
  </si>
  <si>
    <t>低促調</t>
  </si>
  <si>
    <t>高促調</t>
  </si>
  <si>
    <t>啊</t>
  </si>
  <si>
    <t>上声/陽上</t>
    <phoneticPr fontId="1" type="noConversion"/>
  </si>
  <si>
    <t>tong2</t>
    <phoneticPr fontId="1" type="noConversion"/>
  </si>
  <si>
    <t>tong3</t>
    <phoneticPr fontId="1" type="noConversion"/>
  </si>
  <si>
    <t>tong5</t>
    <phoneticPr fontId="1" type="noConversion"/>
  </si>
  <si>
    <t>tong6</t>
    <phoneticPr fontId="1" type="noConversion"/>
  </si>
  <si>
    <t>tok7</t>
    <phoneticPr fontId="1" type="noConversion"/>
  </si>
  <si>
    <t>君</t>
  </si>
  <si>
    <t>群</t>
  </si>
  <si>
    <t>滾</t>
  </si>
  <si>
    <t>滾</t>
    <phoneticPr fontId="1" type="noConversion"/>
  </si>
  <si>
    <t>棍</t>
  </si>
  <si>
    <t>骨</t>
  </si>
  <si>
    <t>滑</t>
  </si>
  <si>
    <t>U+0301</t>
  </si>
  <si>
    <t>U+0304</t>
  </si>
  <si>
    <t>U+030C</t>
  </si>
  <si>
    <t>U+0300</t>
  </si>
  <si>
    <t>U+030D</t>
  </si>
  <si>
    <t>U+030B</t>
  </si>
  <si>
    <t>U+0302</t>
    <phoneticPr fontId="1" type="noConversion"/>
  </si>
  <si>
    <t>U+0307</t>
    <phoneticPr fontId="1" type="noConversion"/>
  </si>
  <si>
    <t>U+030A</t>
    <phoneticPr fontId="1" type="noConversion"/>
  </si>
  <si>
    <t>U+0325</t>
    <phoneticPr fontId="1" type="noConversion"/>
  </si>
  <si>
    <t>U+0330</t>
    <phoneticPr fontId="1" type="noConversion"/>
  </si>
  <si>
    <t>陰平</t>
    <phoneticPr fontId="1" type="noConversion"/>
  </si>
  <si>
    <t>陰入</t>
    <phoneticPr fontId="1" type="noConversion"/>
  </si>
  <si>
    <t>陽入</t>
    <phoneticPr fontId="1" type="noConversion"/>
  </si>
  <si>
    <t>陽去</t>
    <phoneticPr fontId="1" type="noConversion"/>
  </si>
  <si>
    <t>陰去</t>
    <phoneticPr fontId="1" type="noConversion"/>
  </si>
  <si>
    <t>上聲</t>
    <phoneticPr fontId="1" type="noConversion"/>
  </si>
  <si>
    <t>陽平</t>
    <phoneticPr fontId="1" type="noConversion"/>
  </si>
  <si>
    <t>調號</t>
    <phoneticPr fontId="1" type="noConversion"/>
  </si>
  <si>
    <t>調名</t>
    <phoneticPr fontId="1" type="noConversion"/>
  </si>
  <si>
    <t>閩拚音標</t>
    <phoneticPr fontId="1" type="noConversion"/>
  </si>
  <si>
    <t>羅馬字母</t>
    <phoneticPr fontId="1" type="noConversion"/>
  </si>
  <si>
    <t>Unicode</t>
    <phoneticPr fontId="1" type="noConversion"/>
  </si>
  <si>
    <t>Unicode調符</t>
    <phoneticPr fontId="1" type="noConversion"/>
  </si>
  <si>
    <t>U+030B</t>
    <phoneticPr fontId="1" type="noConversion"/>
  </si>
  <si>
    <t>調符編碼</t>
    <phoneticPr fontId="1" type="noConversion"/>
  </si>
  <si>
    <t>U+0304</t>
    <phoneticPr fontId="1" type="noConversion"/>
  </si>
  <si>
    <t>U+0301</t>
    <phoneticPr fontId="1" type="noConversion"/>
  </si>
  <si>
    <t>U+030C</t>
    <phoneticPr fontId="1" type="noConversion"/>
  </si>
  <si>
    <t>U+0300</t>
    <phoneticPr fontId="1" type="noConversion"/>
  </si>
  <si>
    <t>東</t>
  </si>
  <si>
    <t>黨</t>
  </si>
  <si>
    <t>棟</t>
  </si>
  <si>
    <t>督</t>
  </si>
  <si>
    <t>同</t>
  </si>
  <si>
    <t>動</t>
  </si>
  <si>
    <t>洞</t>
  </si>
  <si>
    <t>毒</t>
  </si>
  <si>
    <t>U+0308</t>
    <phoneticPr fontId="1" type="noConversion"/>
  </si>
  <si>
    <t>拚音調符編碼</t>
  </si>
  <si>
    <t>拚音調符編碼</t>
    <phoneticPr fontId="1" type="noConversion"/>
  </si>
  <si>
    <t>注音調符編碼</t>
    <phoneticPr fontId="1" type="noConversion"/>
  </si>
  <si>
    <t>帶調閩拚</t>
    <phoneticPr fontId="1" type="noConversion"/>
  </si>
  <si>
    <t>帶調拚音字母</t>
    <phoneticPr fontId="1" type="noConversion"/>
  </si>
  <si>
    <t>方音符號</t>
  </si>
  <si>
    <t>按鍵輸入</t>
  </si>
  <si>
    <t>ㄊㆦㆻ</t>
  </si>
  <si>
    <t>ㄚㆷ˙</t>
  </si>
  <si>
    <t>ㄊㆲ:</t>
  </si>
  <si>
    <t>ㄊㆲ6</t>
  </si>
  <si>
    <t>ㄊㆲ4</t>
  </si>
  <si>
    <t>ㄊㆲ3</t>
  </si>
  <si>
    <t>ㄊㆲ5</t>
  </si>
  <si>
    <t>ㄊㆦㆻ[</t>
  </si>
  <si>
    <t>ㄊㆦㆻ]</t>
  </si>
  <si>
    <t>ㄚㆷ7</t>
  </si>
  <si>
    <t>帶調注音符號</t>
    <phoneticPr fontId="1" type="noConversion"/>
  </si>
  <si>
    <t>U+02D9</t>
    <phoneticPr fontId="1" type="noConversion"/>
  </si>
  <si>
    <t>ㄊㆲ˪</t>
    <phoneticPr fontId="1" type="noConversion"/>
  </si>
  <si>
    <t>ㄊㆲ˫</t>
    <phoneticPr fontId="1" type="noConversion"/>
  </si>
  <si>
    <t>U+02EA</t>
    <phoneticPr fontId="1" type="noConversion"/>
  </si>
  <si>
    <t>U+02EB</t>
    <phoneticPr fontId="1" type="noConversion"/>
  </si>
  <si>
    <t>拚音聲調按鍵</t>
    <phoneticPr fontId="1" type="noConversion"/>
  </si>
  <si>
    <t>注音聲調按鍵</t>
    <phoneticPr fontId="1" type="noConversion"/>
  </si>
  <si>
    <t>:</t>
  </si>
  <si>
    <t>4</t>
  </si>
  <si>
    <t>3</t>
  </si>
  <si>
    <t>[</t>
  </si>
  <si>
    <t>7</t>
  </si>
  <si>
    <t>6</t>
    <phoneticPr fontId="1" type="noConversion"/>
  </si>
  <si>
    <t>5</t>
    <phoneticPr fontId="1" type="noConversion"/>
  </si>
  <si>
    <t>台語音標</t>
    <phoneticPr fontId="1" type="noConversion"/>
  </si>
  <si>
    <t>tong7</t>
    <phoneticPr fontId="1" type="noConversion"/>
  </si>
  <si>
    <r>
      <rPr>
        <sz val="24"/>
        <color theme="5" tint="-0.249977111117893"/>
        <rFont val="Noto Sans TC"/>
        <family val="2"/>
        <charset val="136"/>
      </rPr>
      <t>ㄊㆦㆻ</t>
    </r>
    <r>
      <rPr>
        <sz val="24"/>
        <color theme="5" tint="-0.249977111117893"/>
        <rFont val="Arial"/>
        <family val="2"/>
      </rPr>
      <t>˙</t>
    </r>
    <phoneticPr fontId="1" type="noConversion"/>
  </si>
  <si>
    <t>W調序</t>
    <phoneticPr fontId="1" type="noConversion"/>
  </si>
  <si>
    <t>高響度元音</t>
    <phoneticPr fontId="1" type="noConversion"/>
  </si>
  <si>
    <t>o</t>
    <phoneticPr fontId="1" type="noConversion"/>
  </si>
  <si>
    <t>元音序</t>
    <phoneticPr fontId="1" type="noConversion"/>
  </si>
  <si>
    <t>帶調符元音</t>
    <phoneticPr fontId="1" type="noConversion"/>
  </si>
  <si>
    <t>無調音標</t>
    <phoneticPr fontId="1" type="noConversion"/>
  </si>
  <si>
    <t>gun3</t>
    <phoneticPr fontId="1" type="noConversion"/>
  </si>
  <si>
    <t>腰</t>
    <phoneticPr fontId="1" type="noConversion"/>
  </si>
  <si>
    <t>u</t>
    <phoneticPr fontId="1" type="noConversion"/>
  </si>
  <si>
    <t>a</t>
    <phoneticPr fontId="1" type="noConversion"/>
  </si>
  <si>
    <t>i1</t>
    <phoneticPr fontId="1" type="noConversion"/>
  </si>
  <si>
    <t>i</t>
    <phoneticPr fontId="1" type="noConversion"/>
  </si>
  <si>
    <t>伊</t>
    <phoneticPr fontId="1" type="noConversion"/>
  </si>
  <si>
    <t>音</t>
    <phoneticPr fontId="1" type="noConversion"/>
  </si>
  <si>
    <t>im1</t>
    <phoneticPr fontId="1" type="noConversion"/>
  </si>
  <si>
    <t>油</t>
    <phoneticPr fontId="1" type="noConversion"/>
  </si>
  <si>
    <t>yim1</t>
    <phoneticPr fontId="1" type="noConversion"/>
  </si>
  <si>
    <t>yi1</t>
    <phoneticPr fontId="1" type="noConversion"/>
  </si>
  <si>
    <t>dong2</t>
    <phoneticPr fontId="1" type="noConversion"/>
  </si>
  <si>
    <t>kun2</t>
    <phoneticPr fontId="1" type="noConversion"/>
  </si>
  <si>
    <t>iau1</t>
    <phoneticPr fontId="1" type="noConversion"/>
  </si>
  <si>
    <t>yao1</t>
    <phoneticPr fontId="1" type="noConversion"/>
  </si>
  <si>
    <t>iu5</t>
    <phoneticPr fontId="1" type="noConversion"/>
  </si>
  <si>
    <t>un1</t>
    <phoneticPr fontId="1" type="noConversion"/>
  </si>
  <si>
    <t>溫</t>
    <phoneticPr fontId="1" type="noConversion"/>
  </si>
  <si>
    <t>央</t>
    <phoneticPr fontId="1" type="noConversion"/>
  </si>
  <si>
    <t>yong1</t>
    <phoneticPr fontId="1" type="noConversion"/>
  </si>
  <si>
    <t>iong1</t>
    <phoneticPr fontId="1" type="noConversion"/>
  </si>
  <si>
    <t>彎</t>
    <phoneticPr fontId="1" type="noConversion"/>
  </si>
  <si>
    <t>uan1</t>
    <phoneticPr fontId="1" type="noConversion"/>
  </si>
  <si>
    <t>wan1</t>
    <phoneticPr fontId="1" type="noConversion"/>
  </si>
  <si>
    <t>春</t>
    <phoneticPr fontId="1" type="noConversion"/>
  </si>
  <si>
    <t>眠</t>
    <phoneticPr fontId="1" type="noConversion"/>
  </si>
  <si>
    <t>不</t>
    <phoneticPr fontId="1" type="noConversion"/>
  </si>
  <si>
    <t>覺</t>
    <phoneticPr fontId="1" type="noConversion"/>
  </si>
  <si>
    <t>曉</t>
    <phoneticPr fontId="1" type="noConversion"/>
  </si>
  <si>
    <t>處</t>
    <phoneticPr fontId="1" type="noConversion"/>
  </si>
  <si>
    <t>聞</t>
    <phoneticPr fontId="1" type="noConversion"/>
  </si>
  <si>
    <t>啼</t>
    <phoneticPr fontId="1" type="noConversion"/>
  </si>
  <si>
    <t>鳥</t>
    <phoneticPr fontId="1" type="noConversion"/>
  </si>
  <si>
    <t>夜</t>
    <phoneticPr fontId="1" type="noConversion"/>
  </si>
  <si>
    <t>來</t>
    <phoneticPr fontId="1" type="noConversion"/>
  </si>
  <si>
    <t>風</t>
    <phoneticPr fontId="1" type="noConversion"/>
  </si>
  <si>
    <t>雨</t>
    <phoneticPr fontId="1" type="noConversion"/>
  </si>
  <si>
    <t>聲</t>
    <phoneticPr fontId="1" type="noConversion"/>
  </si>
  <si>
    <t>花</t>
    <phoneticPr fontId="1" type="noConversion"/>
  </si>
  <si>
    <t>落</t>
    <phoneticPr fontId="1" type="noConversion"/>
  </si>
  <si>
    <t>知</t>
    <phoneticPr fontId="1" type="noConversion"/>
  </si>
  <si>
    <t>多</t>
    <phoneticPr fontId="1" type="noConversion"/>
  </si>
  <si>
    <t>少</t>
    <phoneticPr fontId="1" type="noConversion"/>
  </si>
  <si>
    <t>cun1</t>
    <phoneticPr fontId="1" type="noConversion"/>
  </si>
  <si>
    <t>bbian2</t>
    <phoneticPr fontId="1" type="noConversion"/>
  </si>
  <si>
    <t>but7</t>
    <phoneticPr fontId="1" type="noConversion"/>
  </si>
  <si>
    <t>gak7</t>
    <phoneticPr fontId="1" type="noConversion"/>
  </si>
  <si>
    <t>hiao3</t>
    <phoneticPr fontId="1" type="noConversion"/>
  </si>
  <si>
    <t>cu3</t>
    <phoneticPr fontId="1" type="noConversion"/>
  </si>
  <si>
    <t>bbun2</t>
    <phoneticPr fontId="1" type="noConversion"/>
  </si>
  <si>
    <t>ti2</t>
    <phoneticPr fontId="1" type="noConversion"/>
  </si>
  <si>
    <t>lniao3</t>
    <phoneticPr fontId="1" type="noConversion"/>
  </si>
  <si>
    <t>ya3</t>
    <phoneticPr fontId="1" type="noConversion"/>
  </si>
  <si>
    <t>lai2</t>
    <phoneticPr fontId="1" type="noConversion"/>
  </si>
  <si>
    <t>hong1</t>
    <phoneticPr fontId="1" type="noConversion"/>
  </si>
  <si>
    <t>wu3</t>
    <phoneticPr fontId="1" type="noConversion"/>
  </si>
  <si>
    <t>sing1</t>
    <phoneticPr fontId="1" type="noConversion"/>
  </si>
  <si>
    <t>hua1</t>
    <phoneticPr fontId="1" type="noConversion"/>
  </si>
  <si>
    <t>lok8</t>
    <phoneticPr fontId="1" type="noConversion"/>
  </si>
  <si>
    <t>di1</t>
    <phoneticPr fontId="1" type="noConversion"/>
  </si>
  <si>
    <t>do1</t>
    <phoneticPr fontId="1" type="noConversion"/>
  </si>
  <si>
    <t>siao5</t>
    <phoneticPr fontId="1" type="noConversion"/>
  </si>
  <si>
    <t>bian5</t>
    <phoneticPr fontId="1" type="noConversion"/>
  </si>
  <si>
    <t>put4</t>
    <phoneticPr fontId="1" type="noConversion"/>
  </si>
  <si>
    <t>kak4</t>
    <phoneticPr fontId="1" type="noConversion"/>
  </si>
  <si>
    <t>hiau2</t>
    <phoneticPr fontId="1" type="noConversion"/>
  </si>
  <si>
    <t>bun5</t>
    <phoneticPr fontId="1" type="noConversion"/>
  </si>
  <si>
    <t>thi5</t>
    <phoneticPr fontId="1" type="noConversion"/>
  </si>
  <si>
    <t>ia2</t>
    <phoneticPr fontId="1" type="noConversion"/>
  </si>
  <si>
    <t>lai5</t>
    <phoneticPr fontId="1" type="noConversion"/>
  </si>
  <si>
    <t>u2</t>
    <phoneticPr fontId="1" type="noConversion"/>
  </si>
  <si>
    <t>ti1</t>
    <phoneticPr fontId="1" type="noConversion"/>
  </si>
  <si>
    <t>to1</t>
    <phoneticPr fontId="1" type="noConversion"/>
  </si>
  <si>
    <t>siau3</t>
    <phoneticPr fontId="1" type="noConversion"/>
  </si>
  <si>
    <t>niau2</t>
    <phoneticPr fontId="1" type="noConversion"/>
  </si>
  <si>
    <t>yu2</t>
    <phoneticPr fontId="1" type="noConversion"/>
  </si>
  <si>
    <t>wun1</t>
    <phoneticPr fontId="1" type="noConversion"/>
  </si>
  <si>
    <t>tshun1</t>
    <phoneticPr fontId="1" type="noConversion"/>
  </si>
  <si>
    <t>tshu2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</si>
</sst>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6"/>
      <color theme="1"/>
      <name val="Noto Sans TC Medium"/>
      <family val="2"/>
      <charset val="136"/>
    </font>
    <font>
      <sz val="16"/>
      <color theme="1"/>
      <name val="Noto Sans TC"/>
      <family val="2"/>
      <charset val="136"/>
    </font>
    <font>
      <sz val="18"/>
      <color theme="1"/>
      <name val="Noto Sans TC"/>
      <family val="2"/>
    </font>
    <font>
      <sz val="10"/>
      <color rgb="FF000000"/>
      <name val="Linux Libertine G"/>
      <family val="2"/>
    </font>
    <font>
      <sz val="16"/>
      <name val="Arial"/>
      <family val="2"/>
    </font>
    <font>
      <sz val="16"/>
      <color theme="1"/>
      <name val="Noto Serif TC Black"/>
      <family val="1"/>
    </font>
    <font>
      <sz val="16"/>
      <color theme="0" tint="-0.249977111117893"/>
      <name val="Noto Sans TC Medium"/>
      <family val="2"/>
      <charset val="136"/>
    </font>
    <font>
      <sz val="18"/>
      <color theme="0" tint="-0.249977111117893"/>
      <name val="Noto Sans TC"/>
      <family val="2"/>
    </font>
    <font>
      <sz val="16"/>
      <color theme="0" tint="-0.249977111117893"/>
      <name val="Arial"/>
      <family val="2"/>
    </font>
    <font>
      <sz val="16"/>
      <color theme="0" tint="-0.249977111117893"/>
      <name val="Noto Serif TC Black"/>
      <family val="1"/>
    </font>
    <font>
      <sz val="16"/>
      <color theme="1"/>
      <name val="Noto Serif TC Black"/>
      <family val="1"/>
      <charset val="136"/>
    </font>
    <font>
      <b/>
      <sz val="16"/>
      <color theme="0"/>
      <name val="Noto Sans TC"/>
      <family val="2"/>
    </font>
    <font>
      <sz val="9"/>
      <name val="黒体-繁"/>
      <family val="2"/>
      <charset val="136"/>
    </font>
    <font>
      <b/>
      <sz val="16"/>
      <color theme="0"/>
      <name val="Noto Sans TC Medium"/>
      <family val="2"/>
      <charset val="136"/>
    </font>
    <font>
      <sz val="9"/>
      <name val="新細明體"/>
      <family val="3"/>
      <charset val="136"/>
      <scheme val="minor"/>
    </font>
    <font>
      <sz val="36"/>
      <color theme="0" tint="-0.249977111117893"/>
      <name val="Noto Serif TC Black"/>
      <family val="1"/>
      <charset val="136"/>
    </font>
    <font>
      <sz val="36"/>
      <color theme="1"/>
      <name val="字咍源雲明體 台羅方音 L"/>
      <family val="1"/>
      <charset val="136"/>
    </font>
    <font>
      <b/>
      <sz val="28"/>
      <color rgb="FFFF0000"/>
      <name val="Arial"/>
      <family val="2"/>
    </font>
    <font>
      <sz val="28"/>
      <color theme="1"/>
      <name val="Noto Sans TC"/>
      <family val="2"/>
    </font>
    <font>
      <sz val="36"/>
      <color theme="1"/>
      <name val="Noto Sans TC Medium"/>
      <family val="2"/>
      <charset val="136"/>
    </font>
    <font>
      <sz val="36"/>
      <color theme="1"/>
      <name val="Noto Sans TC Medium"/>
      <family val="2"/>
    </font>
    <font>
      <sz val="22"/>
      <name val="Arial"/>
      <family val="2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Noto Sans TC Medium"/>
      <family val="2"/>
      <charset val="136"/>
    </font>
    <font>
      <b/>
      <sz val="12"/>
      <color rgb="FF0C0301"/>
      <name val="Noto Sans TC Medium"/>
      <family val="2"/>
      <charset val="136"/>
    </font>
    <font>
      <u/>
      <sz val="12"/>
      <color theme="10"/>
      <name val="Noto Sans TC Medium"/>
      <family val="2"/>
    </font>
    <font>
      <sz val="12"/>
      <color rgb="FF0C0301"/>
      <name val="Noto Sans TC Medium"/>
      <family val="2"/>
    </font>
    <font>
      <b/>
      <sz val="12"/>
      <color rgb="FF0C0301"/>
      <name val="Noto Sans TC Medium"/>
      <family val="2"/>
    </font>
    <font>
      <u/>
      <sz val="12"/>
      <color theme="10"/>
      <name val="新細明體"/>
      <family val="2"/>
    </font>
    <font>
      <sz val="18"/>
      <color theme="1"/>
      <name val="Noto Sans TC Medium"/>
      <family val="2"/>
      <charset val="136"/>
    </font>
    <font>
      <sz val="18"/>
      <color theme="1"/>
      <name val="新細明體"/>
      <family val="2"/>
      <charset val="136"/>
      <scheme val="minor"/>
    </font>
    <font>
      <sz val="36"/>
      <color theme="1"/>
      <name val="Noto Serif TC Medium"/>
      <family val="1"/>
      <charset val="136"/>
    </font>
    <font>
      <sz val="24"/>
      <color theme="1"/>
      <name val="字咍源雲明體 台羅方音 L"/>
      <family val="1"/>
      <charset val="136"/>
    </font>
    <font>
      <b/>
      <sz val="24"/>
      <color theme="1"/>
      <name val="字咍源雲明體 台羅方音 L"/>
      <family val="1"/>
      <charset val="136"/>
    </font>
    <font>
      <u/>
      <sz val="12"/>
      <color theme="10"/>
      <name val="Arial"/>
      <family val="2"/>
      <charset val="254"/>
    </font>
    <font>
      <b/>
      <sz val="36"/>
      <color rgb="FFFF0000"/>
      <name val="Arial"/>
      <family val="2"/>
    </font>
    <font>
      <sz val="20"/>
      <color theme="1"/>
      <name val="Noto Sans TC Medium"/>
      <family val="2"/>
    </font>
    <font>
      <sz val="20"/>
      <color theme="1"/>
      <name val="Noto Sans TC"/>
      <family val="2"/>
    </font>
    <font>
      <sz val="20"/>
      <color theme="1"/>
      <name val="Noto Sans TC"/>
      <family val="2"/>
      <charset val="136"/>
    </font>
    <font>
      <sz val="18"/>
      <color theme="1"/>
      <name val="Noto Serif TC Black"/>
      <family val="1"/>
      <charset val="136"/>
    </font>
    <font>
      <sz val="18"/>
      <name val="Arial"/>
      <family val="2"/>
    </font>
    <font>
      <sz val="18"/>
      <color theme="1"/>
      <name val="Noto Serif TC Black"/>
      <family val="1"/>
    </font>
    <font>
      <sz val="12"/>
      <color theme="1"/>
      <name val="ㄅ源雲注音明體 M"/>
      <family val="1"/>
      <charset val="136"/>
    </font>
    <font>
      <sz val="12"/>
      <color theme="1"/>
      <name val="字咍源流明體 白話字 R"/>
      <family val="1"/>
      <charset val="136"/>
    </font>
    <font>
      <b/>
      <sz val="36"/>
      <color rgb="FFFF0000"/>
      <name val="Noto Serif TC Black"/>
      <family val="1"/>
      <charset val="136"/>
    </font>
    <font>
      <sz val="18"/>
      <color theme="1"/>
      <name val="ㄅ源雲注音明體 R"/>
      <family val="1"/>
      <charset val="136"/>
    </font>
    <font>
      <sz val="22"/>
      <color theme="1"/>
      <name val="ㄅ源雲注音明體 R"/>
      <family val="1"/>
      <charset val="136"/>
    </font>
    <font>
      <b/>
      <sz val="14"/>
      <color rgb="FF0C0301"/>
      <name val="Noto Sans TC Medium"/>
      <family val="2"/>
    </font>
    <font>
      <sz val="16"/>
      <color rgb="FF0C0301"/>
      <name val="Noto Sans TC Medium"/>
      <family val="2"/>
    </font>
    <font>
      <sz val="28"/>
      <color theme="1"/>
      <name val="Noto Serif TC Medium"/>
      <family val="1"/>
      <charset val="136"/>
    </font>
    <font>
      <b/>
      <sz val="16"/>
      <color rgb="FF0C0301"/>
      <name val="霞鶩文楷等寬 TC"/>
      <family val="3"/>
      <charset val="136"/>
    </font>
    <font>
      <sz val="16"/>
      <color theme="1"/>
      <name val="霞鶩文楷等寬 TC"/>
      <family val="3"/>
      <charset val="136"/>
    </font>
    <font>
      <sz val="16"/>
      <color rgb="FF0C0301"/>
      <name val="霞鶩文楷等寬 TC"/>
      <family val="3"/>
      <charset val="136"/>
    </font>
    <font>
      <b/>
      <sz val="20"/>
      <color rgb="FF0C0301"/>
      <name val="霞鶩文楷等寬 TC"/>
      <family val="3"/>
      <charset val="136"/>
    </font>
    <font>
      <sz val="20"/>
      <color theme="1"/>
      <name val="霞鶩文楷等寬 TC"/>
      <family val="3"/>
      <charset val="136"/>
    </font>
    <font>
      <sz val="20"/>
      <color rgb="FF0C0301"/>
      <name val="霞鶩文楷等寬 TC"/>
      <family val="3"/>
      <charset val="136"/>
    </font>
    <font>
      <sz val="36"/>
      <color theme="1"/>
      <name val="Noto Serif TC Black"/>
      <family val="1"/>
      <charset val="136"/>
    </font>
    <font>
      <sz val="24"/>
      <name val="Arial"/>
      <family val="2"/>
    </font>
    <font>
      <sz val="24"/>
      <color rgb="FF0070C0"/>
      <name val="字咍源雲明體 台羅方音 L"/>
      <family val="1"/>
      <charset val="136"/>
    </font>
    <font>
      <b/>
      <sz val="28"/>
      <color rgb="FF0070C0"/>
      <name val="霞鶩文楷等寬 TC"/>
      <family val="3"/>
      <charset val="136"/>
    </font>
    <font>
      <b/>
      <sz val="24"/>
      <color rgb="FF0070C0"/>
      <name val="字咍源雲明體 台羅方音 L"/>
      <family val="1"/>
      <charset val="136"/>
    </font>
    <font>
      <b/>
      <sz val="28"/>
      <color rgb="FF0070C0"/>
      <name val="Arial"/>
      <family val="2"/>
    </font>
    <font>
      <b/>
      <sz val="24"/>
      <color rgb="FF0070C0"/>
      <name val="Arial"/>
      <family val="2"/>
    </font>
    <font>
      <sz val="36"/>
      <color rgb="FFFF0000"/>
      <name val="Noto Serif TC Medium"/>
      <family val="1"/>
      <charset val="136"/>
    </font>
    <font>
      <b/>
      <sz val="24"/>
      <color rgb="FFFF0000"/>
      <name val="Arial"/>
      <family val="2"/>
    </font>
    <font>
      <sz val="24"/>
      <color theme="5" tint="-0.249977111117893"/>
      <name val="Arial"/>
      <family val="2"/>
    </font>
    <font>
      <sz val="24"/>
      <color theme="5" tint="-0.249977111117893"/>
      <name val="霞鶩文楷等寬 TC"/>
      <family val="3"/>
      <charset val="136"/>
    </font>
    <font>
      <sz val="24"/>
      <color theme="5" tint="-0.249977111117893"/>
      <name val="Noto Sans TC"/>
      <family val="2"/>
      <charset val="136"/>
    </font>
    <font>
      <sz val="24"/>
      <color theme="1"/>
      <name val="霞鶩文楷等寬 TC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rgb="FF00D25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11" fillId="2" borderId="1" xfId="3" applyFont="1" applyFill="1" applyBorder="1" applyAlignment="1">
      <alignment horizontal="center" vertical="center"/>
    </xf>
    <xf numFmtId="0" fontId="12" fillId="2" borderId="1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/>
    </xf>
    <xf numFmtId="0" fontId="14" fillId="4" borderId="1" xfId="2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8" fillId="2" borderId="1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left" vertical="center" indent="2"/>
    </xf>
    <xf numFmtId="0" fontId="8" fillId="2" borderId="1" xfId="4" applyFont="1" applyFill="1" applyBorder="1" applyAlignment="1">
      <alignment horizontal="left" vertical="center" indent="2"/>
    </xf>
    <xf numFmtId="0" fontId="19" fillId="3" borderId="1" xfId="4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20" fillId="3" borderId="1" xfId="3" applyFont="1" applyFill="1" applyBorder="1" applyAlignment="1">
      <alignment horizontal="center" vertical="center"/>
    </xf>
    <xf numFmtId="0" fontId="20" fillId="2" borderId="1" xfId="3" quotePrefix="1" applyFont="1" applyFill="1" applyBorder="1" applyAlignment="1">
      <alignment horizontal="center" vertical="center"/>
    </xf>
    <xf numFmtId="0" fontId="20" fillId="2" borderId="1" xfId="3" applyFont="1" applyFill="1" applyBorder="1" applyAlignment="1">
      <alignment horizontal="center" vertical="center"/>
    </xf>
    <xf numFmtId="0" fontId="20" fillId="3" borderId="1" xfId="3" quotePrefix="1" applyFont="1" applyFill="1" applyBorder="1" applyAlignment="1">
      <alignment horizontal="center" vertical="center"/>
    </xf>
    <xf numFmtId="0" fontId="21" fillId="3" borderId="1" xfId="2" applyFont="1" applyFill="1" applyBorder="1" applyAlignment="1">
      <alignment horizontal="center" vertical="center"/>
    </xf>
    <xf numFmtId="0" fontId="21" fillId="2" borderId="1" xfId="2" applyFont="1" applyFill="1" applyBorder="1" applyAlignment="1">
      <alignment horizontal="center" vertical="center"/>
    </xf>
    <xf numFmtId="0" fontId="22" fillId="3" borderId="1" xfId="1" applyFont="1" applyFill="1" applyBorder="1" applyAlignment="1">
      <alignment horizontal="center" vertical="center"/>
    </xf>
    <xf numFmtId="0" fontId="23" fillId="2" borderId="1" xfId="1" applyFont="1" applyFill="1" applyBorder="1" applyAlignment="1">
      <alignment horizontal="center" vertical="center"/>
    </xf>
    <xf numFmtId="0" fontId="23" fillId="3" borderId="1" xfId="1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left" vertical="center" indent="1"/>
    </xf>
    <xf numFmtId="0" fontId="8" fillId="2" borderId="1" xfId="4" applyFont="1" applyFill="1" applyBorder="1" applyAlignment="1">
      <alignment horizontal="left" vertical="center" indent="1"/>
    </xf>
    <xf numFmtId="0" fontId="24" fillId="3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0" fontId="28" fillId="5" borderId="5" xfId="5" applyFont="1" applyFill="1" applyBorder="1" applyAlignment="1">
      <alignment horizontal="center" vertical="top" wrapText="1"/>
    </xf>
    <xf numFmtId="0" fontId="29" fillId="5" borderId="5" xfId="0" applyFont="1" applyFill="1" applyBorder="1" applyAlignment="1">
      <alignment horizontal="center" vertical="top" wrapText="1"/>
    </xf>
    <xf numFmtId="0" fontId="32" fillId="0" borderId="0" xfId="0" applyFont="1" applyAlignment="1">
      <alignment horizontal="center" vertical="center"/>
    </xf>
    <xf numFmtId="0" fontId="34" fillId="3" borderId="1" xfId="4" applyFont="1" applyFill="1" applyBorder="1" applyAlignment="1">
      <alignment horizontal="center"/>
    </xf>
    <xf numFmtId="0" fontId="34" fillId="2" borderId="1" xfId="4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0" fontId="13" fillId="0" borderId="1" xfId="4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35" fillId="0" borderId="1" xfId="4" applyFont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5" fillId="6" borderId="1" xfId="2" applyFont="1" applyFill="1" applyBorder="1" applyAlignment="1">
      <alignment horizontal="center" vertical="center"/>
    </xf>
    <xf numFmtId="0" fontId="7" fillId="6" borderId="1" xfId="3" applyFont="1" applyFill="1" applyBorder="1" applyAlignment="1">
      <alignment horizontal="center" vertical="center"/>
    </xf>
    <xf numFmtId="0" fontId="13" fillId="6" borderId="1" xfId="4" applyFont="1" applyFill="1" applyBorder="1" applyAlignment="1">
      <alignment horizontal="center" vertical="center"/>
    </xf>
    <xf numFmtId="0" fontId="36" fillId="6" borderId="1" xfId="4" applyFont="1" applyFill="1" applyBorder="1" applyAlignment="1">
      <alignment horizontal="center"/>
    </xf>
    <xf numFmtId="0" fontId="34" fillId="6" borderId="1" xfId="4" applyFont="1" applyFill="1" applyBorder="1" applyAlignment="1">
      <alignment horizontal="center"/>
    </xf>
    <xf numFmtId="0" fontId="35" fillId="6" borderId="1" xfId="4" applyFont="1" applyFill="1" applyBorder="1" applyAlignment="1">
      <alignment horizontal="center"/>
    </xf>
    <xf numFmtId="0" fontId="13" fillId="0" borderId="1" xfId="4" applyFont="1" applyBorder="1" applyAlignment="1">
      <alignment horizontal="center" vertical="center" wrapText="1"/>
    </xf>
    <xf numFmtId="0" fontId="38" fillId="3" borderId="1" xfId="3" applyFont="1" applyFill="1" applyBorder="1" applyAlignment="1">
      <alignment horizontal="center" vertical="center"/>
    </xf>
    <xf numFmtId="0" fontId="38" fillId="2" borderId="1" xfId="3" quotePrefix="1" applyFont="1" applyFill="1" applyBorder="1" applyAlignment="1">
      <alignment horizontal="center" vertical="center"/>
    </xf>
    <xf numFmtId="0" fontId="38" fillId="2" borderId="1" xfId="3" applyFont="1" applyFill="1" applyBorder="1" applyAlignment="1">
      <alignment horizontal="center" vertical="center"/>
    </xf>
    <xf numFmtId="0" fontId="38" fillId="3" borderId="1" xfId="3" quotePrefix="1" applyFont="1" applyFill="1" applyBorder="1" applyAlignment="1">
      <alignment horizontal="center" vertical="center"/>
    </xf>
    <xf numFmtId="0" fontId="39" fillId="3" borderId="1" xfId="1" applyFont="1" applyFill="1" applyBorder="1" applyAlignment="1">
      <alignment horizontal="left" vertical="center"/>
    </xf>
    <xf numFmtId="0" fontId="40" fillId="3" borderId="1" xfId="2" applyFont="1" applyFill="1" applyBorder="1" applyAlignment="1">
      <alignment horizontal="left" vertical="center"/>
    </xf>
    <xf numFmtId="0" fontId="39" fillId="2" borderId="1" xfId="1" applyFont="1" applyFill="1" applyBorder="1" applyAlignment="1">
      <alignment horizontal="left" vertical="center"/>
    </xf>
    <xf numFmtId="0" fontId="41" fillId="2" borderId="1" xfId="2" applyFont="1" applyFill="1" applyBorder="1" applyAlignment="1">
      <alignment horizontal="left" vertical="center"/>
    </xf>
    <xf numFmtId="0" fontId="41" fillId="3" borderId="1" xfId="2" applyFont="1" applyFill="1" applyBorder="1" applyAlignment="1">
      <alignment horizontal="left" vertical="center"/>
    </xf>
    <xf numFmtId="0" fontId="42" fillId="3" borderId="1" xfId="4" applyFont="1" applyFill="1" applyBorder="1" applyAlignment="1">
      <alignment horizontal="left" vertical="center"/>
    </xf>
    <xf numFmtId="0" fontId="42" fillId="3" borderId="1" xfId="4" applyFont="1" applyFill="1" applyBorder="1" applyAlignment="1">
      <alignment horizontal="center" vertical="center"/>
    </xf>
    <xf numFmtId="0" fontId="43" fillId="3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left" vertical="center"/>
    </xf>
    <xf numFmtId="0" fontId="44" fillId="2" borderId="1" xfId="4" applyFont="1" applyFill="1" applyBorder="1" applyAlignment="1">
      <alignment horizontal="center" vertical="center"/>
    </xf>
    <xf numFmtId="0" fontId="43" fillId="2" borderId="1" xfId="3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3" fillId="3" borderId="1" xfId="3" quotePrefix="1" applyFont="1" applyFill="1" applyBorder="1" applyAlignment="1">
      <alignment horizontal="center" vertical="center"/>
    </xf>
    <xf numFmtId="0" fontId="44" fillId="7" borderId="1" xfId="4" applyFont="1" applyFill="1" applyBorder="1" applyAlignment="1">
      <alignment horizontal="center" vertical="center"/>
    </xf>
    <xf numFmtId="0" fontId="43" fillId="7" borderId="1" xfId="3" applyFont="1" applyFill="1" applyBorder="1" applyAlignment="1">
      <alignment horizontal="center" vertical="center"/>
    </xf>
    <xf numFmtId="0" fontId="35" fillId="0" borderId="1" xfId="4" applyFont="1" applyBorder="1" applyAlignment="1">
      <alignment horizontal="left" indent="1"/>
    </xf>
    <xf numFmtId="0" fontId="35" fillId="6" borderId="1" xfId="4" applyFont="1" applyFill="1" applyBorder="1" applyAlignment="1">
      <alignment horizontal="left" indent="1"/>
    </xf>
    <xf numFmtId="0" fontId="0" fillId="0" borderId="0" xfId="0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13" fillId="8" borderId="1" xfId="4" applyFont="1" applyFill="1" applyBorder="1" applyAlignment="1">
      <alignment horizontal="center" vertical="center"/>
    </xf>
    <xf numFmtId="0" fontId="7" fillId="8" borderId="1" xfId="3" applyFont="1" applyFill="1" applyBorder="1" applyAlignment="1">
      <alignment horizontal="center" vertical="center"/>
    </xf>
    <xf numFmtId="0" fontId="36" fillId="8" borderId="1" xfId="4" applyFont="1" applyFill="1" applyBorder="1" applyAlignment="1">
      <alignment horizontal="center"/>
    </xf>
    <xf numFmtId="0" fontId="34" fillId="8" borderId="1" xfId="4" applyFont="1" applyFill="1" applyBorder="1" applyAlignment="1">
      <alignment horizontal="center"/>
    </xf>
    <xf numFmtId="0" fontId="35" fillId="8" borderId="1" xfId="4" applyFont="1" applyFill="1" applyBorder="1" applyAlignment="1">
      <alignment horizontal="left" indent="1"/>
    </xf>
    <xf numFmtId="0" fontId="35" fillId="8" borderId="1" xfId="4" applyFont="1" applyFill="1" applyBorder="1" applyAlignment="1">
      <alignment horizontal="center"/>
    </xf>
    <xf numFmtId="0" fontId="47" fillId="3" borderId="1" xfId="3" applyFont="1" applyFill="1" applyBorder="1" applyAlignment="1">
      <alignment horizontal="center" vertical="center"/>
    </xf>
    <xf numFmtId="0" fontId="47" fillId="2" borderId="1" xfId="3" quotePrefix="1" applyFont="1" applyFill="1" applyBorder="1" applyAlignment="1">
      <alignment horizontal="center" vertical="center"/>
    </xf>
    <xf numFmtId="0" fontId="47" fillId="3" borderId="1" xfId="3" quotePrefix="1" applyFont="1" applyFill="1" applyBorder="1" applyAlignment="1">
      <alignment horizontal="center" vertical="center"/>
    </xf>
    <xf numFmtId="0" fontId="47" fillId="2" borderId="1" xfId="3" applyFont="1" applyFill="1" applyBorder="1" applyAlignment="1">
      <alignment horizontal="center" vertical="center"/>
    </xf>
    <xf numFmtId="0" fontId="14" fillId="4" borderId="3" xfId="2" applyFont="1" applyFill="1" applyBorder="1" applyAlignment="1">
      <alignment horizontal="center" vertical="center"/>
    </xf>
    <xf numFmtId="0" fontId="14" fillId="4" borderId="2" xfId="2" applyFont="1" applyFill="1" applyBorder="1" applyAlignment="1">
      <alignment horizontal="center" vertical="center"/>
    </xf>
    <xf numFmtId="0" fontId="48" fillId="0" borderId="0" xfId="0" applyFont="1">
      <alignment vertical="center"/>
    </xf>
    <xf numFmtId="0" fontId="49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27" fillId="5" borderId="5" xfId="0" applyFont="1" applyFill="1" applyBorder="1" applyAlignment="1">
      <alignment horizontal="left" vertical="center" wrapText="1"/>
    </xf>
    <xf numFmtId="0" fontId="28" fillId="5" borderId="5" xfId="5" applyFont="1" applyFill="1" applyBorder="1" applyAlignment="1">
      <alignment horizontal="left" vertical="center" wrapText="1"/>
    </xf>
    <xf numFmtId="0" fontId="29" fillId="5" borderId="5" xfId="0" applyFont="1" applyFill="1" applyBorder="1" applyAlignment="1">
      <alignment horizontal="left" vertical="center" wrapText="1"/>
    </xf>
    <xf numFmtId="0" fontId="48" fillId="0" borderId="1" xfId="0" applyFont="1" applyBorder="1">
      <alignment vertical="center"/>
    </xf>
    <xf numFmtId="0" fontId="49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51" fillId="9" borderId="1" xfId="0" applyFont="1" applyFill="1" applyBorder="1" applyAlignment="1">
      <alignment horizontal="center" vertical="center" wrapText="1"/>
    </xf>
    <xf numFmtId="0" fontId="52" fillId="0" borderId="1" xfId="4" applyFont="1" applyBorder="1" applyAlignment="1">
      <alignment horizontal="center"/>
    </xf>
    <xf numFmtId="0" fontId="52" fillId="6" borderId="1" xfId="4" applyFont="1" applyFill="1" applyBorder="1" applyAlignment="1">
      <alignment horizontal="center"/>
    </xf>
    <xf numFmtId="0" fontId="50" fillId="10" borderId="1" xfId="0" applyFont="1" applyFill="1" applyBorder="1" applyAlignment="1">
      <alignment horizontal="center" vertical="center" wrapText="1"/>
    </xf>
    <xf numFmtId="0" fontId="27" fillId="10" borderId="5" xfId="0" applyFont="1" applyFill="1" applyBorder="1" applyAlignment="1">
      <alignment horizontal="left" vertical="center" wrapText="1"/>
    </xf>
    <xf numFmtId="0" fontId="27" fillId="10" borderId="5" xfId="0" applyFont="1" applyFill="1" applyBorder="1" applyAlignment="1">
      <alignment horizontal="center" vertical="center" wrapText="1"/>
    </xf>
    <xf numFmtId="0" fontId="53" fillId="5" borderId="1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0" fontId="55" fillId="9" borderId="1" xfId="0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56" fillId="5" borderId="1" xfId="0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/>
    </xf>
    <xf numFmtId="0" fontId="58" fillId="9" borderId="1" xfId="0" applyFont="1" applyFill="1" applyBorder="1" applyAlignment="1">
      <alignment horizontal="center" vertical="center" wrapText="1"/>
    </xf>
    <xf numFmtId="0" fontId="58" fillId="5" borderId="1" xfId="0" applyFont="1" applyFill="1" applyBorder="1" applyAlignment="1">
      <alignment horizontal="center" vertical="center" wrapText="1"/>
    </xf>
    <xf numFmtId="0" fontId="48" fillId="10" borderId="1" xfId="0" applyFont="1" applyFill="1" applyBorder="1" applyAlignment="1">
      <alignment horizontal="center" vertical="center"/>
    </xf>
    <xf numFmtId="0" fontId="55" fillId="5" borderId="1" xfId="0" applyFont="1" applyFill="1" applyBorder="1" applyAlignment="1">
      <alignment horizontal="left" vertical="center"/>
    </xf>
    <xf numFmtId="0" fontId="59" fillId="7" borderId="1" xfId="4" applyFont="1" applyFill="1" applyBorder="1" applyAlignment="1">
      <alignment horizontal="center" vertical="center"/>
    </xf>
    <xf numFmtId="0" fontId="60" fillId="0" borderId="1" xfId="3" applyFont="1" applyBorder="1" applyAlignment="1">
      <alignment horizontal="center" vertical="center"/>
    </xf>
    <xf numFmtId="0" fontId="60" fillId="6" borderId="1" xfId="3" applyFont="1" applyFill="1" applyBorder="1" applyAlignment="1">
      <alignment horizontal="center" vertical="center"/>
    </xf>
    <xf numFmtId="0" fontId="61" fillId="0" borderId="1" xfId="4" applyFont="1" applyBorder="1" applyAlignment="1">
      <alignment horizontal="left" indent="1"/>
    </xf>
    <xf numFmtId="0" fontId="61" fillId="0" borderId="1" xfId="4" applyFont="1" applyBorder="1" applyAlignment="1">
      <alignment horizontal="center"/>
    </xf>
    <xf numFmtId="0" fontId="61" fillId="6" borderId="1" xfId="4" applyFont="1" applyFill="1" applyBorder="1" applyAlignment="1">
      <alignment horizontal="left" indent="1"/>
    </xf>
    <xf numFmtId="0" fontId="61" fillId="6" borderId="1" xfId="4" applyFont="1" applyFill="1" applyBorder="1" applyAlignment="1">
      <alignment horizontal="center"/>
    </xf>
    <xf numFmtId="0" fontId="62" fillId="0" borderId="1" xfId="3" applyFont="1" applyBorder="1" applyAlignment="1">
      <alignment horizontal="center" vertical="center"/>
    </xf>
    <xf numFmtId="0" fontId="63" fillId="0" borderId="1" xfId="4" applyFont="1" applyBorder="1" applyAlignment="1">
      <alignment horizontal="center"/>
    </xf>
    <xf numFmtId="0" fontId="64" fillId="6" borderId="1" xfId="3" applyFont="1" applyFill="1" applyBorder="1" applyAlignment="1">
      <alignment horizontal="center" vertical="center"/>
    </xf>
    <xf numFmtId="0" fontId="63" fillId="6" borderId="1" xfId="4" applyFont="1" applyFill="1" applyBorder="1" applyAlignment="1">
      <alignment horizontal="center"/>
    </xf>
    <xf numFmtId="0" fontId="65" fillId="0" borderId="1" xfId="3" applyFont="1" applyBorder="1" applyAlignment="1">
      <alignment horizontal="center" vertical="center"/>
    </xf>
    <xf numFmtId="0" fontId="65" fillId="6" borderId="1" xfId="3" applyFont="1" applyFill="1" applyBorder="1" applyAlignment="1">
      <alignment horizontal="center" vertical="center"/>
    </xf>
    <xf numFmtId="0" fontId="66" fillId="0" borderId="1" xfId="4" applyFont="1" applyBorder="1" applyAlignment="1">
      <alignment horizontal="center"/>
    </xf>
    <xf numFmtId="0" fontId="66" fillId="6" borderId="1" xfId="4" applyFont="1" applyFill="1" applyBorder="1" applyAlignment="1">
      <alignment horizontal="center"/>
    </xf>
    <xf numFmtId="0" fontId="67" fillId="0" borderId="1" xfId="4" applyFont="1" applyBorder="1" applyAlignment="1">
      <alignment horizontal="left" indent="1"/>
    </xf>
    <xf numFmtId="0" fontId="67" fillId="6" borderId="1" xfId="4" applyFont="1" applyFill="1" applyBorder="1" applyAlignment="1">
      <alignment horizontal="left" indent="1"/>
    </xf>
    <xf numFmtId="0" fontId="68" fillId="0" borderId="1" xfId="3" applyFont="1" applyBorder="1" applyAlignment="1">
      <alignment horizontal="center" vertical="center"/>
    </xf>
    <xf numFmtId="0" fontId="69" fillId="0" borderId="1" xfId="3" applyFont="1" applyBorder="1" applyAlignment="1">
      <alignment horizontal="left" vertical="center" indent="4"/>
    </xf>
    <xf numFmtId="0" fontId="68" fillId="6" borderId="1" xfId="3" applyFont="1" applyFill="1" applyBorder="1" applyAlignment="1">
      <alignment horizontal="center" vertical="center"/>
    </xf>
    <xf numFmtId="0" fontId="69" fillId="6" borderId="1" xfId="3" applyFont="1" applyFill="1" applyBorder="1" applyAlignment="1">
      <alignment horizontal="left" vertical="center" indent="4"/>
    </xf>
    <xf numFmtId="0" fontId="71" fillId="0" borderId="1" xfId="0" applyFont="1" applyBorder="1" applyAlignment="1">
      <alignment horizontal="center" vertical="center"/>
    </xf>
    <xf numFmtId="0" fontId="71" fillId="0" borderId="1" xfId="0" applyFont="1" applyBorder="1" applyAlignment="1">
      <alignment horizontal="left" vertical="center"/>
    </xf>
    <xf numFmtId="0" fontId="71" fillId="0" borderId="1" xfId="0" applyFont="1" applyBorder="1" applyAlignment="1">
      <alignment horizontal="left" vertical="center" indent="1"/>
    </xf>
    <xf numFmtId="0" fontId="30" fillId="5" borderId="6" xfId="0" applyFont="1" applyFill="1" applyBorder="1" applyAlignment="1">
      <alignment horizontal="left" vertical="center" wrapText="1"/>
    </xf>
    <xf numFmtId="0" fontId="30" fillId="5" borderId="7" xfId="0" applyFont="1" applyFill="1" applyBorder="1" applyAlignment="1">
      <alignment horizontal="left" vertical="center" wrapText="1"/>
    </xf>
    <xf numFmtId="0" fontId="30" fillId="5" borderId="8" xfId="0" applyFont="1" applyFill="1" applyBorder="1" applyAlignment="1">
      <alignment horizontal="left" vertical="center" wrapText="1"/>
    </xf>
    <xf numFmtId="0" fontId="28" fillId="0" borderId="0" xfId="5" applyFont="1" applyAlignment="1">
      <alignment horizontal="left" vertical="center" wrapText="1"/>
    </xf>
    <xf numFmtId="0" fontId="14" fillId="4" borderId="1" xfId="2" applyFont="1" applyFill="1" applyBorder="1" applyAlignment="1">
      <alignment horizontal="center" vertical="center"/>
    </xf>
    <xf numFmtId="0" fontId="14" fillId="4" borderId="3" xfId="2" applyFont="1" applyFill="1" applyBorder="1" applyAlignment="1">
      <alignment horizontal="center" vertical="center"/>
    </xf>
    <xf numFmtId="0" fontId="14" fillId="4" borderId="2" xfId="2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28" fillId="5" borderId="1" xfId="5" applyFont="1" applyFill="1" applyBorder="1" applyAlignment="1">
      <alignment horizontal="center" vertical="top" wrapText="1"/>
    </xf>
    <xf numFmtId="0" fontId="29" fillId="5" borderId="1" xfId="0" applyFont="1" applyFill="1" applyBorder="1" applyAlignment="1">
      <alignment horizontal="center" vertical="top" wrapText="1"/>
    </xf>
  </cellXfs>
  <cellStyles count="6">
    <cellStyle name="一般" xfId="0" builtinId="0"/>
    <cellStyle name="一般 2" xfId="3" xr:uid="{F80E22BE-4E86-4EE6-9A84-AB69E57DE0CA}"/>
    <cellStyle name="一般 3" xfId="2" xr:uid="{339E2E32-D091-4B1C-8D20-0F19EFF7140B}"/>
    <cellStyle name="一般 4 2" xfId="1" xr:uid="{EA1B35F1-F8C7-4DBF-80A8-32E3C86E8708}"/>
    <cellStyle name="一般 5" xfId="4" xr:uid="{1764E436-0C56-4749-A903-F277CDD5CEB5}"/>
    <cellStyle name="超連結" xfId="5" builtinId="8"/>
  </cellStyles>
  <dxfs count="0"/>
  <tableStyles count="0" defaultTableStyle="TableStyleMedium2" defaultPivotStyle="PivotStyleLight16"/>
  <colors>
    <mruColors>
      <color rgb="FF00D25F"/>
      <color rgb="FF00823B"/>
      <color rgb="FF00E6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853628f16e3ee33/&#27827;&#27931;&#35441;/&#28450;&#35486;&#27880;&#38899;&#23565;&#29031;&#34920;.xlsx" TargetMode="External"/><Relationship Id="rId1" Type="http://schemas.openxmlformats.org/officeDocument/2006/relationships/externalLinkPath" Target="https://d.docs.live.net/e853628f16e3ee33/&#27827;&#27931;&#35441;/&#28450;&#35486;&#27880;&#38899;&#23565;&#29031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work/Piau-Im/output7/&#12304;&#27827;&#27931;&#25991;&#35712;&#27880;&#38899;-&#38313;&#25340;&#35519;&#34399;&#12305;&#12298;&#23450;&#39080;&#27874;&#12299;.xlsx" TargetMode="External"/><Relationship Id="rId2" Type="http://schemas.openxmlformats.org/officeDocument/2006/relationships/externalLinkPath" Target="file:///C:\work\Piau-Im\output7\&#12304;&#27827;&#27931;&#25991;&#35712;&#27880;&#38899;-&#38313;&#25340;&#35519;&#34399;&#12305;&#12298;&#23450;&#39080;&#27874;&#12299;.xlsx" TargetMode="External"/><Relationship Id="rId1" Type="http://schemas.openxmlformats.org/officeDocument/2006/relationships/externalLinkPath" Target="/work/Piau-Im/output7/&#12304;&#27827;&#27931;&#25991;&#35712;&#27880;&#38899;-&#38313;&#25340;&#35519;&#34399;&#12305;&#12298;&#23450;&#39080;&#27874;&#122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昔時賢文"/>
      <sheetName val="昔時賢文 (自動翻譯)"/>
      <sheetName val="字典01"/>
      <sheetName val="雅俗通字庫"/>
      <sheetName val="注音聲母碼"/>
      <sheetName val="注音韻母碼"/>
      <sheetName val="方音-音節表"/>
      <sheetName val="台語ㄅㄆㄇ-聲母碼"/>
      <sheetName val="台語ㄅㄆㄇ-韻母碼"/>
      <sheetName val="台語ㄅㄆㄇ轉換對照表"/>
      <sheetName val="聲調表"/>
      <sheetName val="聲母碼"/>
      <sheetName val="韻母碼 (台羅)"/>
      <sheetName val="聲母對照表"/>
      <sheetName val="十五音-聲母"/>
      <sheetName val="韻母碼"/>
      <sheetName val="韻母對照表"/>
      <sheetName val="十五音-韻母"/>
      <sheetName val="十五音韻母比較表"/>
      <sheetName val="十五音-韻母八音反切"/>
      <sheetName val="方音-聲母"/>
      <sheetName val="方音-韻母"/>
      <sheetName val="方音．組合韻母表"/>
      <sheetName val="方音符號表"/>
      <sheetName val="方音符號．鍵盤"/>
      <sheetName val="閩拼-聲母"/>
      <sheetName val="閩拼-韻母"/>
      <sheetName val="聲母對照表（舊）"/>
      <sheetName val="韻母對照表（舊）"/>
      <sheetName val="閩拼-韻母八音反切"/>
      <sheetName val="閩拼-聲調"/>
      <sheetName val="白話字-音節表"/>
      <sheetName val="白話字-韻母八音反切"/>
      <sheetName val="台羅拼音-音節表"/>
      <sheetName val="台羅-韻母八音反切"/>
      <sheetName val="增補彙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D6">
            <v>1</v>
          </cell>
          <cell r="E6" t="str">
            <v>b</v>
          </cell>
          <cell r="F6" t="str">
            <v>b</v>
          </cell>
          <cell r="G6" t="str">
            <v>門</v>
          </cell>
          <cell r="H6" t="str">
            <v>b</v>
          </cell>
          <cell r="I6" t="str">
            <v>b</v>
          </cell>
          <cell r="J6" t="str">
            <v>bb</v>
          </cell>
          <cell r="K6" t="str">
            <v>ㆠ</v>
          </cell>
        </row>
        <row r="7">
          <cell r="D7">
            <v>2</v>
          </cell>
          <cell r="E7" t="str">
            <v>ch</v>
          </cell>
          <cell r="F7" t="str">
            <v>ʦ</v>
          </cell>
          <cell r="G7" t="str">
            <v>曾</v>
          </cell>
          <cell r="H7" t="str">
            <v>ch</v>
          </cell>
          <cell r="I7" t="str">
            <v>ts</v>
          </cell>
          <cell r="J7" t="str">
            <v>z</v>
          </cell>
          <cell r="K7" t="str">
            <v>ㄗ</v>
          </cell>
        </row>
        <row r="8">
          <cell r="D8">
            <v>3</v>
          </cell>
          <cell r="E8" t="str">
            <v>chh</v>
          </cell>
          <cell r="F8" t="str">
            <v>ʦʰ</v>
          </cell>
          <cell r="G8" t="str">
            <v>出</v>
          </cell>
          <cell r="H8" t="str">
            <v>chh</v>
          </cell>
          <cell r="I8" t="str">
            <v>tsh</v>
          </cell>
          <cell r="J8" t="str">
            <v>c</v>
          </cell>
          <cell r="K8" t="str">
            <v>ㄘ</v>
          </cell>
        </row>
        <row r="9">
          <cell r="D9">
            <v>4</v>
          </cell>
          <cell r="E9" t="str">
            <v>g</v>
          </cell>
          <cell r="F9" t="str">
            <v>ɡ</v>
          </cell>
          <cell r="G9" t="str">
            <v>語</v>
          </cell>
          <cell r="H9" t="str">
            <v>g</v>
          </cell>
          <cell r="I9" t="str">
            <v>g</v>
          </cell>
          <cell r="J9" t="str">
            <v>gg</v>
          </cell>
          <cell r="K9" t="str">
            <v>ㆣ</v>
          </cell>
        </row>
        <row r="10">
          <cell r="D10">
            <v>5</v>
          </cell>
          <cell r="E10" t="str">
            <v>h</v>
          </cell>
          <cell r="F10" t="str">
            <v>h</v>
          </cell>
          <cell r="G10" t="str">
            <v>喜</v>
          </cell>
          <cell r="H10" t="str">
            <v>h</v>
          </cell>
          <cell r="I10" t="str">
            <v>h</v>
          </cell>
          <cell r="J10" t="str">
            <v>h</v>
          </cell>
          <cell r="K10" t="str">
            <v>ㄏ</v>
          </cell>
        </row>
        <row r="11">
          <cell r="D11">
            <v>6</v>
          </cell>
          <cell r="E11" t="str">
            <v>j</v>
          </cell>
          <cell r="F11" t="str">
            <v>ʣ</v>
          </cell>
          <cell r="G11" t="str">
            <v>入</v>
          </cell>
          <cell r="H11" t="str">
            <v>j</v>
          </cell>
          <cell r="I11" t="str">
            <v>j</v>
          </cell>
          <cell r="J11" t="str">
            <v>zz</v>
          </cell>
          <cell r="K11" t="str">
            <v>ㆡ</v>
          </cell>
        </row>
        <row r="12">
          <cell r="D12">
            <v>7</v>
          </cell>
          <cell r="E12" t="str">
            <v>k</v>
          </cell>
          <cell r="F12" t="str">
            <v>k</v>
          </cell>
          <cell r="G12" t="str">
            <v>求</v>
          </cell>
          <cell r="H12" t="str">
            <v>k</v>
          </cell>
          <cell r="I12" t="str">
            <v>k</v>
          </cell>
          <cell r="J12" t="str">
            <v>g</v>
          </cell>
          <cell r="K12" t="str">
            <v>ㄍ</v>
          </cell>
        </row>
        <row r="13">
          <cell r="D13">
            <v>8</v>
          </cell>
          <cell r="E13" t="str">
            <v>kh</v>
          </cell>
          <cell r="F13" t="str">
            <v>kʰ</v>
          </cell>
          <cell r="G13" t="str">
            <v>去</v>
          </cell>
          <cell r="H13" t="str">
            <v>kh</v>
          </cell>
          <cell r="I13" t="str">
            <v>kh</v>
          </cell>
          <cell r="J13" t="str">
            <v>k</v>
          </cell>
          <cell r="K13" t="str">
            <v>ㄎ</v>
          </cell>
        </row>
        <row r="14">
          <cell r="D14">
            <v>9</v>
          </cell>
          <cell r="E14" t="str">
            <v>l</v>
          </cell>
          <cell r="F14" t="str">
            <v>l</v>
          </cell>
          <cell r="G14" t="str">
            <v>柳</v>
          </cell>
          <cell r="H14" t="str">
            <v>l</v>
          </cell>
          <cell r="I14" t="str">
            <v>l</v>
          </cell>
          <cell r="J14" t="str">
            <v>l</v>
          </cell>
          <cell r="K14" t="str">
            <v>ㄌ</v>
          </cell>
        </row>
        <row r="15">
          <cell r="D15">
            <v>10</v>
          </cell>
          <cell r="E15" t="str">
            <v>m</v>
          </cell>
          <cell r="F15" t="str">
            <v>m</v>
          </cell>
          <cell r="G15" t="str">
            <v>毛</v>
          </cell>
          <cell r="H15" t="str">
            <v>m</v>
          </cell>
          <cell r="I15" t="str">
            <v>m</v>
          </cell>
          <cell r="J15" t="str">
            <v>bbn</v>
          </cell>
          <cell r="K15" t="str">
            <v>ㄇ</v>
          </cell>
        </row>
        <row r="16">
          <cell r="D16">
            <v>11</v>
          </cell>
          <cell r="E16" t="str">
            <v>n</v>
          </cell>
          <cell r="F16" t="str">
            <v>n</v>
          </cell>
          <cell r="G16" t="str">
            <v>耐</v>
          </cell>
          <cell r="H16" t="str">
            <v>n</v>
          </cell>
          <cell r="I16" t="str">
            <v>n</v>
          </cell>
          <cell r="J16" t="str">
            <v>ln</v>
          </cell>
          <cell r="K16" t="str">
            <v>ㄋ</v>
          </cell>
        </row>
        <row r="17">
          <cell r="D17">
            <v>12</v>
          </cell>
          <cell r="E17" t="str">
            <v>ng</v>
          </cell>
          <cell r="F17" t="str">
            <v>ŋ</v>
          </cell>
          <cell r="G17" t="str">
            <v>雅</v>
          </cell>
          <cell r="H17" t="str">
            <v>ng</v>
          </cell>
          <cell r="I17" t="str">
            <v>ng</v>
          </cell>
          <cell r="J17" t="str">
            <v>ggn</v>
          </cell>
          <cell r="K17" t="str">
            <v>ㄫ</v>
          </cell>
        </row>
        <row r="18">
          <cell r="D18">
            <v>13</v>
          </cell>
          <cell r="E18" t="str">
            <v>p</v>
          </cell>
          <cell r="F18" t="str">
            <v>p</v>
          </cell>
          <cell r="G18" t="str">
            <v>邊</v>
          </cell>
          <cell r="H18" t="str">
            <v>p</v>
          </cell>
          <cell r="I18" t="str">
            <v>p</v>
          </cell>
          <cell r="J18" t="str">
            <v>b</v>
          </cell>
          <cell r="K18" t="str">
            <v>ㄅ</v>
          </cell>
        </row>
        <row r="19">
          <cell r="D19">
            <v>14</v>
          </cell>
          <cell r="E19" t="str">
            <v>ph</v>
          </cell>
          <cell r="F19" t="str">
            <v>pʰ</v>
          </cell>
          <cell r="G19" t="str">
            <v>頗</v>
          </cell>
          <cell r="H19" t="str">
            <v>ph</v>
          </cell>
          <cell r="I19" t="str">
            <v>ph</v>
          </cell>
          <cell r="J19" t="str">
            <v>p</v>
          </cell>
          <cell r="K19" t="str">
            <v>ㄆ</v>
          </cell>
        </row>
        <row r="20">
          <cell r="D20">
            <v>15</v>
          </cell>
          <cell r="E20" t="str">
            <v>s</v>
          </cell>
          <cell r="F20" t="str">
            <v>s</v>
          </cell>
          <cell r="G20" t="str">
            <v>時</v>
          </cell>
          <cell r="H20" t="str">
            <v>s</v>
          </cell>
          <cell r="I20" t="str">
            <v>s</v>
          </cell>
          <cell r="J20" t="str">
            <v>s</v>
          </cell>
          <cell r="K20" t="str">
            <v>ㄙ</v>
          </cell>
        </row>
        <row r="21">
          <cell r="D21">
            <v>16</v>
          </cell>
          <cell r="E21" t="str">
            <v>t</v>
          </cell>
          <cell r="F21" t="str">
            <v>t</v>
          </cell>
          <cell r="G21" t="str">
            <v>地</v>
          </cell>
          <cell r="H21" t="str">
            <v>t</v>
          </cell>
          <cell r="I21" t="str">
            <v>t</v>
          </cell>
          <cell r="J21" t="str">
            <v>d</v>
          </cell>
          <cell r="K21" t="str">
            <v>ㄉ</v>
          </cell>
        </row>
        <row r="22">
          <cell r="D22">
            <v>17</v>
          </cell>
          <cell r="E22" t="str">
            <v>th</v>
          </cell>
          <cell r="F22" t="str">
            <v>tʰ</v>
          </cell>
          <cell r="G22" t="str">
            <v>他</v>
          </cell>
          <cell r="H22" t="str">
            <v>th</v>
          </cell>
          <cell r="I22" t="str">
            <v>th</v>
          </cell>
          <cell r="J22" t="str">
            <v>t</v>
          </cell>
          <cell r="K22" t="str">
            <v>ㄊ</v>
          </cell>
        </row>
      </sheetData>
      <sheetData sheetId="12" refreshError="1"/>
      <sheetData sheetId="13" refreshError="1"/>
      <sheetData sheetId="14" refreshError="1"/>
      <sheetData sheetId="15">
        <row r="5">
          <cell r="F5">
            <v>1</v>
          </cell>
          <cell r="G5" t="str">
            <v>a</v>
          </cell>
          <cell r="H5" t="str">
            <v>a</v>
          </cell>
          <cell r="I5" t="str">
            <v>膠</v>
          </cell>
          <cell r="J5" t="str">
            <v>a</v>
          </cell>
          <cell r="K5" t="str">
            <v>a</v>
          </cell>
          <cell r="L5" t="str">
            <v>a</v>
          </cell>
          <cell r="M5" t="str">
            <v>ㄚ</v>
          </cell>
        </row>
        <row r="6">
          <cell r="F6">
            <v>2</v>
          </cell>
          <cell r="G6" t="str">
            <v>ann</v>
          </cell>
          <cell r="H6" t="str">
            <v>ã</v>
          </cell>
          <cell r="I6" t="str">
            <v>監</v>
          </cell>
          <cell r="J6" t="str">
            <v>aⁿ</v>
          </cell>
          <cell r="K6" t="str">
            <v>ann</v>
          </cell>
          <cell r="L6" t="str">
            <v>na</v>
          </cell>
          <cell r="M6" t="str">
            <v>ㆩ</v>
          </cell>
        </row>
        <row r="7">
          <cell r="F7">
            <v>3</v>
          </cell>
          <cell r="G7" t="str">
            <v>ah</v>
          </cell>
          <cell r="H7" t="str">
            <v>a?</v>
          </cell>
          <cell r="I7" t="str">
            <v>膠</v>
          </cell>
          <cell r="J7" t="str">
            <v>ah</v>
          </cell>
          <cell r="K7" t="str">
            <v>ah</v>
          </cell>
          <cell r="L7" t="str">
            <v>ah</v>
          </cell>
          <cell r="M7" t="str">
            <v>ㄚㆷ</v>
          </cell>
        </row>
        <row r="8">
          <cell r="F8">
            <v>4</v>
          </cell>
          <cell r="G8" t="str">
            <v>ahnn</v>
          </cell>
          <cell r="H8" t="str">
            <v>ã?</v>
          </cell>
          <cell r="I8" t="str">
            <v>監</v>
          </cell>
          <cell r="J8" t="str">
            <v>ahⁿ</v>
          </cell>
          <cell r="K8" t="str">
            <v>annh</v>
          </cell>
          <cell r="L8" t="str">
            <v>nah</v>
          </cell>
          <cell r="M8" t="str">
            <v>ㆩㆷ</v>
          </cell>
        </row>
        <row r="9">
          <cell r="F9">
            <v>5</v>
          </cell>
          <cell r="G9" t="str">
            <v>ai</v>
          </cell>
          <cell r="H9" t="str">
            <v>ai</v>
          </cell>
          <cell r="I9" t="str">
            <v>皆</v>
          </cell>
          <cell r="J9" t="str">
            <v>ai</v>
          </cell>
          <cell r="K9" t="str">
            <v>ai</v>
          </cell>
          <cell r="L9" t="str">
            <v>ai</v>
          </cell>
          <cell r="M9" t="str">
            <v>ㄞ</v>
          </cell>
        </row>
        <row r="10">
          <cell r="F10">
            <v>6</v>
          </cell>
          <cell r="G10" t="str">
            <v>ainn</v>
          </cell>
          <cell r="H10" t="str">
            <v>ãĩ</v>
          </cell>
          <cell r="I10" t="str">
            <v>閒</v>
          </cell>
          <cell r="J10" t="str">
            <v>aiⁿ</v>
          </cell>
          <cell r="K10" t="str">
            <v>ainn</v>
          </cell>
          <cell r="L10" t="str">
            <v>nai</v>
          </cell>
          <cell r="M10" t="str">
            <v>ㆮ</v>
          </cell>
        </row>
        <row r="11">
          <cell r="F11">
            <v>7</v>
          </cell>
          <cell r="G11" t="str">
            <v>ak</v>
          </cell>
          <cell r="H11" t="str">
            <v>ak̚</v>
          </cell>
          <cell r="I11" t="str">
            <v>江</v>
          </cell>
          <cell r="J11" t="str">
            <v>ak</v>
          </cell>
          <cell r="K11" t="str">
            <v>ak</v>
          </cell>
          <cell r="L11" t="str">
            <v>ak</v>
          </cell>
          <cell r="M11" t="str">
            <v>ㄚㆻ</v>
          </cell>
        </row>
        <row r="12">
          <cell r="F12">
            <v>8</v>
          </cell>
          <cell r="G12" t="str">
            <v>am</v>
          </cell>
          <cell r="H12" t="str">
            <v>am</v>
          </cell>
          <cell r="I12" t="str">
            <v>甘</v>
          </cell>
          <cell r="J12" t="str">
            <v>am</v>
          </cell>
          <cell r="K12" t="str">
            <v>am</v>
          </cell>
          <cell r="L12" t="str">
            <v>am</v>
          </cell>
          <cell r="M12" t="str">
            <v>ㆰ</v>
          </cell>
        </row>
        <row r="13">
          <cell r="F13">
            <v>9</v>
          </cell>
          <cell r="G13" t="str">
            <v>an</v>
          </cell>
          <cell r="H13" t="str">
            <v>an</v>
          </cell>
          <cell r="I13" t="str">
            <v>干</v>
          </cell>
          <cell r="J13" t="str">
            <v>an</v>
          </cell>
          <cell r="K13" t="str">
            <v>an</v>
          </cell>
          <cell r="L13" t="str">
            <v>an</v>
          </cell>
          <cell r="M13" t="str">
            <v>ㄢ</v>
          </cell>
        </row>
        <row r="14">
          <cell r="F14">
            <v>10</v>
          </cell>
          <cell r="G14" t="str">
            <v>ang</v>
          </cell>
          <cell r="H14" t="str">
            <v>aŋ</v>
          </cell>
          <cell r="I14" t="str">
            <v>江</v>
          </cell>
          <cell r="J14" t="str">
            <v>ang</v>
          </cell>
          <cell r="K14" t="str">
            <v>ang</v>
          </cell>
          <cell r="L14" t="str">
            <v>ang</v>
          </cell>
          <cell r="M14" t="str">
            <v>ㄤ</v>
          </cell>
        </row>
        <row r="15">
          <cell r="F15">
            <v>11</v>
          </cell>
          <cell r="G15" t="str">
            <v>ap</v>
          </cell>
          <cell r="H15" t="str">
            <v>ap̚</v>
          </cell>
          <cell r="I15" t="str">
            <v>甘</v>
          </cell>
          <cell r="J15" t="str">
            <v>ap</v>
          </cell>
          <cell r="K15" t="str">
            <v>ap</v>
          </cell>
          <cell r="L15" t="str">
            <v>ap</v>
          </cell>
          <cell r="M15" t="str">
            <v>ㄚㆴ</v>
          </cell>
        </row>
        <row r="16">
          <cell r="F16">
            <v>12</v>
          </cell>
          <cell r="G16" t="str">
            <v>at</v>
          </cell>
          <cell r="H16" t="str">
            <v>at̚</v>
          </cell>
          <cell r="I16" t="str">
            <v>干</v>
          </cell>
          <cell r="J16" t="str">
            <v>at</v>
          </cell>
          <cell r="K16" t="str">
            <v>ap</v>
          </cell>
          <cell r="L16" t="str">
            <v>at</v>
          </cell>
          <cell r="M16" t="str">
            <v>ㄚㆵ</v>
          </cell>
        </row>
        <row r="17">
          <cell r="F17">
            <v>13</v>
          </cell>
          <cell r="G17" t="str">
            <v>au</v>
          </cell>
          <cell r="H17" t="str">
            <v>aʊ</v>
          </cell>
          <cell r="I17" t="str">
            <v>交</v>
          </cell>
          <cell r="J17" t="str">
            <v>au</v>
          </cell>
          <cell r="K17" t="str">
            <v>au</v>
          </cell>
          <cell r="L17" t="str">
            <v>ao</v>
          </cell>
          <cell r="M17" t="str">
            <v>ㄠ</v>
          </cell>
        </row>
        <row r="18">
          <cell r="F18">
            <v>14</v>
          </cell>
          <cell r="G18" t="str">
            <v>auh</v>
          </cell>
          <cell r="H18" t="str">
            <v>au?</v>
          </cell>
          <cell r="I18" t="str">
            <v>交</v>
          </cell>
          <cell r="J18" t="str">
            <v>auh</v>
          </cell>
          <cell r="K18" t="str">
            <v>auh</v>
          </cell>
          <cell r="L18" t="str">
            <v>aoh</v>
          </cell>
          <cell r="M18" t="str">
            <v>ㄠㆷ</v>
          </cell>
        </row>
        <row r="19">
          <cell r="F19">
            <v>15</v>
          </cell>
          <cell r="G19" t="str">
            <v>e</v>
          </cell>
          <cell r="H19" t="str">
            <v>e</v>
          </cell>
          <cell r="I19" t="str">
            <v>伽</v>
          </cell>
          <cell r="J19" t="str">
            <v>e</v>
          </cell>
          <cell r="K19" t="str">
            <v>e</v>
          </cell>
          <cell r="L19" t="str">
            <v>e</v>
          </cell>
          <cell r="M19" t="str">
            <v>ㆤ</v>
          </cell>
        </row>
        <row r="20">
          <cell r="F20">
            <v>16</v>
          </cell>
          <cell r="G20" t="str">
            <v>enn</v>
          </cell>
          <cell r="H20" t="str">
            <v>ẽ</v>
          </cell>
          <cell r="I20" t="str">
            <v>更</v>
          </cell>
          <cell r="J20" t="str">
            <v>eⁿ</v>
          </cell>
          <cell r="K20" t="str">
            <v>enn</v>
          </cell>
          <cell r="L20" t="str">
            <v>ne</v>
          </cell>
          <cell r="M20" t="str">
            <v>ㆥ</v>
          </cell>
        </row>
        <row r="21">
          <cell r="F21">
            <v>17</v>
          </cell>
          <cell r="G21" t="str">
            <v>eh</v>
          </cell>
          <cell r="H21" t="str">
            <v>e?</v>
          </cell>
          <cell r="I21" t="str">
            <v>伽</v>
          </cell>
          <cell r="J21" t="str">
            <v>eh</v>
          </cell>
          <cell r="K21" t="str">
            <v>eh</v>
          </cell>
          <cell r="L21" t="str">
            <v>eh</v>
          </cell>
          <cell r="M21" t="str">
            <v>ㆤㆷ</v>
          </cell>
        </row>
        <row r="22">
          <cell r="F22">
            <v>18</v>
          </cell>
          <cell r="G22" t="str">
            <v>ehnn</v>
          </cell>
          <cell r="H22" t="str">
            <v>ẽ?</v>
          </cell>
          <cell r="I22" t="str">
            <v>更</v>
          </cell>
          <cell r="J22" t="str">
            <v>ehⁿ</v>
          </cell>
          <cell r="K22" t="str">
            <v>ennh</v>
          </cell>
          <cell r="L22" t="str">
            <v>neh</v>
          </cell>
          <cell r="M22" t="str">
            <v>ㆥㆷ</v>
          </cell>
        </row>
        <row r="23">
          <cell r="F23">
            <v>19</v>
          </cell>
          <cell r="G23" t="str">
            <v>ek</v>
          </cell>
          <cell r="H23" t="str">
            <v>ik̚</v>
          </cell>
          <cell r="I23" t="str">
            <v>經</v>
          </cell>
          <cell r="J23" t="str">
            <v>ek</v>
          </cell>
          <cell r="K23" t="str">
            <v>ik</v>
          </cell>
          <cell r="L23" t="str">
            <v>ik</v>
          </cell>
          <cell r="M23" t="str">
            <v>ㄧㆻ</v>
          </cell>
        </row>
        <row r="24">
          <cell r="F24">
            <v>20</v>
          </cell>
          <cell r="G24" t="str">
            <v>eng</v>
          </cell>
          <cell r="H24" t="str">
            <v>ɪŋ</v>
          </cell>
          <cell r="I24" t="str">
            <v>經</v>
          </cell>
          <cell r="J24" t="str">
            <v>eng</v>
          </cell>
          <cell r="K24" t="str">
            <v>ing</v>
          </cell>
          <cell r="L24" t="str">
            <v>ing</v>
          </cell>
          <cell r="M24" t="str">
            <v>ㄧㄥ</v>
          </cell>
        </row>
        <row r="25">
          <cell r="F25">
            <v>21</v>
          </cell>
          <cell r="G25" t="str">
            <v>i</v>
          </cell>
          <cell r="H25" t="str">
            <v>i</v>
          </cell>
          <cell r="I25" t="str">
            <v>居</v>
          </cell>
          <cell r="J25" t="str">
            <v>i</v>
          </cell>
          <cell r="K25" t="str">
            <v>i</v>
          </cell>
          <cell r="L25" t="str">
            <v>i</v>
          </cell>
          <cell r="M25" t="str">
            <v>ㄧ</v>
          </cell>
        </row>
        <row r="26">
          <cell r="F26">
            <v>22</v>
          </cell>
          <cell r="G26" t="str">
            <v>inn</v>
          </cell>
          <cell r="H26" t="str">
            <v>ĩ</v>
          </cell>
          <cell r="I26" t="str">
            <v>梔</v>
          </cell>
          <cell r="J26" t="str">
            <v>iⁿ</v>
          </cell>
          <cell r="K26" t="str">
            <v>inn</v>
          </cell>
          <cell r="L26" t="str">
            <v>ni</v>
          </cell>
          <cell r="M26" t="str">
            <v>ㆪ</v>
          </cell>
        </row>
        <row r="27">
          <cell r="F27">
            <v>23</v>
          </cell>
          <cell r="G27" t="str">
            <v>ia</v>
          </cell>
          <cell r="H27" t="str">
            <v>ia</v>
          </cell>
          <cell r="I27" t="str">
            <v>迦</v>
          </cell>
          <cell r="J27" t="str">
            <v>ia</v>
          </cell>
          <cell r="K27" t="str">
            <v>ia</v>
          </cell>
          <cell r="L27" t="str">
            <v>ia</v>
          </cell>
          <cell r="M27" t="str">
            <v>ㄧㄚ</v>
          </cell>
        </row>
        <row r="28">
          <cell r="F28">
            <v>24</v>
          </cell>
          <cell r="G28" t="str">
            <v>iann</v>
          </cell>
          <cell r="H28" t="str">
            <v>ĩã</v>
          </cell>
          <cell r="I28" t="str">
            <v>驚</v>
          </cell>
          <cell r="J28" t="str">
            <v>iaⁿ</v>
          </cell>
          <cell r="K28" t="str">
            <v>iann</v>
          </cell>
          <cell r="L28" t="str">
            <v>nia</v>
          </cell>
          <cell r="M28" t="str">
            <v>ㄧㆩ</v>
          </cell>
        </row>
        <row r="29">
          <cell r="F29">
            <v>25</v>
          </cell>
          <cell r="G29" t="str">
            <v>iah</v>
          </cell>
          <cell r="H29" t="str">
            <v>ia?</v>
          </cell>
          <cell r="I29" t="str">
            <v>迦</v>
          </cell>
          <cell r="J29" t="str">
            <v>iah</v>
          </cell>
          <cell r="K29" t="str">
            <v>iah</v>
          </cell>
          <cell r="L29" t="str">
            <v>iah</v>
          </cell>
          <cell r="M29" t="str">
            <v>ㄧㄚㆷ</v>
          </cell>
        </row>
        <row r="30">
          <cell r="F30">
            <v>26</v>
          </cell>
          <cell r="G30" t="str">
            <v>iannh</v>
          </cell>
          <cell r="H30" t="str">
            <v>iãh</v>
          </cell>
          <cell r="I30" t="str">
            <v>驚</v>
          </cell>
          <cell r="J30" t="str">
            <v>iahⁿ</v>
          </cell>
          <cell r="K30" t="str">
            <v>iannh</v>
          </cell>
          <cell r="L30" t="str">
            <v>niah</v>
          </cell>
          <cell r="M30" t="str">
            <v>ㄧㆩㆷ</v>
          </cell>
        </row>
        <row r="31">
          <cell r="F31">
            <v>27</v>
          </cell>
          <cell r="G31" t="str">
            <v>iak</v>
          </cell>
          <cell r="H31" t="str">
            <v>iak̚</v>
          </cell>
          <cell r="I31" t="str">
            <v>姜</v>
          </cell>
          <cell r="J31" t="str">
            <v>iak</v>
          </cell>
          <cell r="K31" t="str">
            <v>iak</v>
          </cell>
          <cell r="L31" t="str">
            <v>iak</v>
          </cell>
          <cell r="M31" t="str">
            <v>ㄧㄚㆻ</v>
          </cell>
        </row>
        <row r="32">
          <cell r="F32">
            <v>28</v>
          </cell>
          <cell r="G32" t="str">
            <v>iam</v>
          </cell>
          <cell r="H32" t="str">
            <v>iam</v>
          </cell>
          <cell r="I32" t="str">
            <v>兼</v>
          </cell>
          <cell r="J32" t="str">
            <v>iam</v>
          </cell>
          <cell r="K32" t="str">
            <v>iam</v>
          </cell>
          <cell r="L32" t="str">
            <v>iam</v>
          </cell>
          <cell r="M32" t="str">
            <v>ㄧㆰ</v>
          </cell>
        </row>
        <row r="33">
          <cell r="F33">
            <v>29</v>
          </cell>
          <cell r="G33" t="str">
            <v>ian</v>
          </cell>
          <cell r="H33" t="str">
            <v>ian</v>
          </cell>
          <cell r="I33" t="str">
            <v>堅</v>
          </cell>
          <cell r="J33" t="str">
            <v>ian</v>
          </cell>
          <cell r="K33" t="str">
            <v>ian</v>
          </cell>
          <cell r="L33" t="str">
            <v>ian</v>
          </cell>
          <cell r="M33" t="str">
            <v>ㄧㄢ</v>
          </cell>
        </row>
        <row r="34">
          <cell r="F34">
            <v>30</v>
          </cell>
          <cell r="G34" t="str">
            <v>iang</v>
          </cell>
          <cell r="H34" t="str">
            <v>iaŋ</v>
          </cell>
          <cell r="I34" t="str">
            <v>姜</v>
          </cell>
          <cell r="J34" t="str">
            <v>iang</v>
          </cell>
          <cell r="K34" t="str">
            <v>iang</v>
          </cell>
          <cell r="L34" t="str">
            <v>iang</v>
          </cell>
          <cell r="M34" t="str">
            <v>ㄧㄤ</v>
          </cell>
        </row>
        <row r="35">
          <cell r="F35">
            <v>31</v>
          </cell>
          <cell r="G35" t="str">
            <v>iap</v>
          </cell>
          <cell r="H35" t="str">
            <v>iap̚</v>
          </cell>
          <cell r="I35" t="str">
            <v>兼</v>
          </cell>
          <cell r="J35" t="str">
            <v>iap</v>
          </cell>
          <cell r="K35" t="str">
            <v>iap</v>
          </cell>
          <cell r="L35" t="str">
            <v>iap</v>
          </cell>
          <cell r="M35" t="str">
            <v>ㄧㄚㆴ</v>
          </cell>
        </row>
        <row r="36">
          <cell r="F36">
            <v>32</v>
          </cell>
          <cell r="G36" t="str">
            <v>iat</v>
          </cell>
          <cell r="H36" t="str">
            <v>iat̚</v>
          </cell>
          <cell r="I36" t="str">
            <v>堅</v>
          </cell>
          <cell r="J36" t="str">
            <v>iat</v>
          </cell>
          <cell r="K36" t="str">
            <v>iat</v>
          </cell>
          <cell r="L36" t="str">
            <v>iat</v>
          </cell>
          <cell r="M36" t="str">
            <v>ㄧㄚㆵ</v>
          </cell>
        </row>
        <row r="37">
          <cell r="F37">
            <v>33</v>
          </cell>
          <cell r="G37" t="str">
            <v>iau</v>
          </cell>
          <cell r="H37" t="str">
            <v>iaʊ</v>
          </cell>
          <cell r="I37" t="str">
            <v>嬌</v>
          </cell>
          <cell r="J37" t="str">
            <v>iau</v>
          </cell>
          <cell r="K37" t="str">
            <v>iau</v>
          </cell>
          <cell r="L37" t="str">
            <v>iao</v>
          </cell>
          <cell r="M37" t="str">
            <v>ㄧㄠ</v>
          </cell>
        </row>
        <row r="38">
          <cell r="F38">
            <v>34</v>
          </cell>
          <cell r="G38" t="str">
            <v>iaunn</v>
          </cell>
          <cell r="H38" t="str">
            <v>ĩãũ</v>
          </cell>
          <cell r="I38" t="str">
            <v>嘄</v>
          </cell>
          <cell r="J38" t="str">
            <v>iauⁿ</v>
          </cell>
          <cell r="K38" t="str">
            <v>iaunn</v>
          </cell>
          <cell r="L38" t="str">
            <v>niao</v>
          </cell>
          <cell r="M38" t="str">
            <v>ㄧㆯ</v>
          </cell>
        </row>
        <row r="39">
          <cell r="F39">
            <v>35</v>
          </cell>
          <cell r="G39" t="str">
            <v>iauh</v>
          </cell>
          <cell r="H39" t="str">
            <v>iau?</v>
          </cell>
          <cell r="I39" t="str">
            <v>嬌</v>
          </cell>
          <cell r="J39" t="str">
            <v>iauh</v>
          </cell>
          <cell r="K39" t="str">
            <v>iauh</v>
          </cell>
          <cell r="L39" t="str">
            <v>iaoh</v>
          </cell>
          <cell r="M39" t="str">
            <v>ㄧㄠㆷ</v>
          </cell>
        </row>
        <row r="40">
          <cell r="F40">
            <v>36</v>
          </cell>
          <cell r="G40" t="str">
            <v>ih</v>
          </cell>
          <cell r="H40" t="str">
            <v>i?</v>
          </cell>
          <cell r="I40" t="str">
            <v>居</v>
          </cell>
          <cell r="J40" t="str">
            <v>ih</v>
          </cell>
          <cell r="K40" t="str">
            <v>ih</v>
          </cell>
          <cell r="L40" t="str">
            <v>ih</v>
          </cell>
          <cell r="M40" t="str">
            <v>ㄧㆷ</v>
          </cell>
        </row>
        <row r="41">
          <cell r="F41">
            <v>37</v>
          </cell>
          <cell r="G41" t="str">
            <v>im</v>
          </cell>
          <cell r="H41" t="str">
            <v>im</v>
          </cell>
          <cell r="I41" t="str">
            <v>金</v>
          </cell>
          <cell r="J41" t="str">
            <v>im</v>
          </cell>
          <cell r="K41" t="str">
            <v>im</v>
          </cell>
          <cell r="L41" t="str">
            <v>im</v>
          </cell>
          <cell r="M41" t="str">
            <v>ㄧㆬ</v>
          </cell>
        </row>
        <row r="42">
          <cell r="F42">
            <v>38</v>
          </cell>
          <cell r="G42" t="str">
            <v>in</v>
          </cell>
          <cell r="H42" t="str">
            <v>in</v>
          </cell>
          <cell r="I42" t="str">
            <v>巾</v>
          </cell>
          <cell r="J42" t="str">
            <v>in</v>
          </cell>
          <cell r="K42" t="str">
            <v>in</v>
          </cell>
          <cell r="L42" t="str">
            <v>in</v>
          </cell>
          <cell r="M42" t="str">
            <v>ㄧㄣ</v>
          </cell>
        </row>
        <row r="43">
          <cell r="F43">
            <v>39</v>
          </cell>
          <cell r="G43" t="str">
            <v>io</v>
          </cell>
          <cell r="H43" t="str">
            <v>io</v>
          </cell>
          <cell r="I43" t="str">
            <v>茄</v>
          </cell>
          <cell r="J43" t="str">
            <v>io</v>
          </cell>
          <cell r="K43" t="str">
            <v>io</v>
          </cell>
          <cell r="L43" t="str">
            <v>io</v>
          </cell>
          <cell r="M43" t="str">
            <v>ㄧㄜ</v>
          </cell>
        </row>
        <row r="44">
          <cell r="F44">
            <v>40</v>
          </cell>
          <cell r="G44" t="str">
            <v>ioh</v>
          </cell>
          <cell r="H44" t="str">
            <v>iə?</v>
          </cell>
          <cell r="I44" t="str">
            <v>茄</v>
          </cell>
          <cell r="J44" t="str">
            <v>ioh</v>
          </cell>
          <cell r="K44" t="str">
            <v>ioh</v>
          </cell>
          <cell r="L44" t="str">
            <v>ioh</v>
          </cell>
          <cell r="M44" t="str">
            <v>ㄧㄜㆷ</v>
          </cell>
        </row>
        <row r="45">
          <cell r="F45">
            <v>41</v>
          </cell>
          <cell r="G45" t="str">
            <v>iok</v>
          </cell>
          <cell r="H45" t="str">
            <v>iɔk̚</v>
          </cell>
          <cell r="I45" t="str">
            <v>恭</v>
          </cell>
          <cell r="J45" t="str">
            <v>iok</v>
          </cell>
          <cell r="K45" t="str">
            <v>iok</v>
          </cell>
          <cell r="L45" t="str">
            <v>iok</v>
          </cell>
          <cell r="M45" t="str">
            <v>ㄧㆦㆻ</v>
          </cell>
        </row>
        <row r="46">
          <cell r="F46">
            <v>42</v>
          </cell>
          <cell r="G46" t="str">
            <v>iong</v>
          </cell>
          <cell r="H46" t="str">
            <v>iɔŋ</v>
          </cell>
          <cell r="I46" t="str">
            <v>恭</v>
          </cell>
          <cell r="J46" t="str">
            <v>iong</v>
          </cell>
          <cell r="K46" t="str">
            <v>iong</v>
          </cell>
          <cell r="L46" t="str">
            <v>iong</v>
          </cell>
          <cell r="M46" t="str">
            <v>ㄧㆲ</v>
          </cell>
        </row>
        <row r="47">
          <cell r="F47">
            <v>43</v>
          </cell>
          <cell r="G47" t="str">
            <v>ip</v>
          </cell>
          <cell r="H47" t="str">
            <v>ip̚</v>
          </cell>
          <cell r="I47" t="str">
            <v>金</v>
          </cell>
          <cell r="J47" t="str">
            <v>ip</v>
          </cell>
          <cell r="K47" t="str">
            <v>ip</v>
          </cell>
          <cell r="L47" t="str">
            <v>ip</v>
          </cell>
          <cell r="M47" t="str">
            <v>ㄧㆴ</v>
          </cell>
        </row>
        <row r="48">
          <cell r="F48">
            <v>44</v>
          </cell>
          <cell r="G48" t="str">
            <v>it</v>
          </cell>
          <cell r="H48" t="str">
            <v>it̚</v>
          </cell>
          <cell r="I48" t="str">
            <v>巾</v>
          </cell>
          <cell r="J48" t="str">
            <v>it</v>
          </cell>
          <cell r="K48" t="str">
            <v>it</v>
          </cell>
          <cell r="L48" t="str">
            <v>it</v>
          </cell>
          <cell r="M48" t="str">
            <v>ㄧㆵ</v>
          </cell>
        </row>
        <row r="49">
          <cell r="F49">
            <v>45</v>
          </cell>
          <cell r="G49" t="str">
            <v>iu</v>
          </cell>
          <cell r="H49" t="str">
            <v>iu</v>
          </cell>
          <cell r="I49" t="str">
            <v>丩</v>
          </cell>
          <cell r="J49" t="str">
            <v>iu</v>
          </cell>
          <cell r="K49" t="str">
            <v>iu</v>
          </cell>
          <cell r="L49" t="str">
            <v>iu</v>
          </cell>
          <cell r="M49" t="str">
            <v>ㄧㄨ</v>
          </cell>
        </row>
        <row r="50">
          <cell r="F50">
            <v>46</v>
          </cell>
          <cell r="G50" t="str">
            <v>iunn</v>
          </cell>
          <cell r="H50" t="str">
            <v>ĩũ</v>
          </cell>
          <cell r="I50" t="str">
            <v>牛</v>
          </cell>
          <cell r="J50" t="str">
            <v>iuⁿ</v>
          </cell>
          <cell r="K50" t="str">
            <v>iunn</v>
          </cell>
          <cell r="L50" t="str">
            <v>niu</v>
          </cell>
          <cell r="M50" t="str">
            <v>ㄧㆫ</v>
          </cell>
        </row>
        <row r="51">
          <cell r="F51">
            <v>47</v>
          </cell>
          <cell r="G51" t="str">
            <v>iunnh</v>
          </cell>
          <cell r="H51" t="str">
            <v>iũh</v>
          </cell>
          <cell r="I51" t="str">
            <v>牛</v>
          </cell>
          <cell r="J51" t="str">
            <v>iuhⁿ</v>
          </cell>
          <cell r="K51" t="str">
            <v>iunnh</v>
          </cell>
          <cell r="L51" t="str">
            <v>niuh</v>
          </cell>
          <cell r="M51" t="str">
            <v>ㄧㆫㆷ</v>
          </cell>
        </row>
        <row r="52">
          <cell r="F52">
            <v>48</v>
          </cell>
          <cell r="G52" t="str">
            <v>m</v>
          </cell>
          <cell r="H52" t="str">
            <v>m̩</v>
          </cell>
          <cell r="I52" t="str">
            <v>姆</v>
          </cell>
          <cell r="J52" t="str">
            <v>m</v>
          </cell>
          <cell r="K52" t="str">
            <v>m</v>
          </cell>
          <cell r="L52" t="str">
            <v>m</v>
          </cell>
          <cell r="M52" t="str">
            <v>ㆬ</v>
          </cell>
        </row>
        <row r="53">
          <cell r="F53">
            <v>49</v>
          </cell>
          <cell r="G53" t="str">
            <v>mh</v>
          </cell>
          <cell r="H53" t="str">
            <v>m̩h</v>
          </cell>
          <cell r="I53" t="str">
            <v>姆</v>
          </cell>
          <cell r="J53" t="str">
            <v>mh</v>
          </cell>
          <cell r="K53" t="str">
            <v>mh</v>
          </cell>
          <cell r="L53" t="str">
            <v>mh</v>
          </cell>
          <cell r="M53" t="str">
            <v>ㆬㆷ</v>
          </cell>
        </row>
        <row r="54">
          <cell r="F54">
            <v>50</v>
          </cell>
          <cell r="G54" t="str">
            <v>ng</v>
          </cell>
          <cell r="H54" t="str">
            <v>ŋ̍</v>
          </cell>
          <cell r="I54" t="str">
            <v>鋼</v>
          </cell>
          <cell r="J54" t="str">
            <v>ng</v>
          </cell>
          <cell r="K54" t="str">
            <v>ng</v>
          </cell>
          <cell r="L54" t="str">
            <v>ng</v>
          </cell>
          <cell r="M54" t="str">
            <v>ㆭ</v>
          </cell>
        </row>
        <row r="55">
          <cell r="F55">
            <v>51</v>
          </cell>
          <cell r="G55" t="str">
            <v>ngh</v>
          </cell>
          <cell r="H55" t="str">
            <v>ŋ̍h</v>
          </cell>
          <cell r="I55" t="str">
            <v>鋼</v>
          </cell>
          <cell r="J55" t="str">
            <v>ngh</v>
          </cell>
          <cell r="K55" t="str">
            <v>ngh</v>
          </cell>
          <cell r="L55" t="str">
            <v>ngh</v>
          </cell>
          <cell r="M55" t="str">
            <v>ㆭㆷ</v>
          </cell>
        </row>
        <row r="56">
          <cell r="F56">
            <v>52</v>
          </cell>
          <cell r="G56" t="str">
            <v>o</v>
          </cell>
          <cell r="H56" t="str">
            <v>o</v>
          </cell>
          <cell r="I56" t="str">
            <v>高</v>
          </cell>
          <cell r="J56" t="str">
            <v>o</v>
          </cell>
          <cell r="K56" t="str">
            <v>o</v>
          </cell>
          <cell r="L56" t="str">
            <v>o</v>
          </cell>
          <cell r="M56" t="str">
            <v>ㄜ</v>
          </cell>
        </row>
        <row r="57">
          <cell r="F57">
            <v>53</v>
          </cell>
          <cell r="G57" t="str">
            <v>onn</v>
          </cell>
          <cell r="H57" t="str">
            <v>ɔ̃</v>
          </cell>
          <cell r="I57" t="str">
            <v>姑</v>
          </cell>
          <cell r="J57" t="str">
            <v>oⁿ</v>
          </cell>
          <cell r="K57" t="str">
            <v>onn</v>
          </cell>
          <cell r="L57" t="str">
            <v>noo</v>
          </cell>
          <cell r="M57" t="str">
            <v>ㆧ</v>
          </cell>
        </row>
        <row r="58">
          <cell r="F58">
            <v>54</v>
          </cell>
          <cell r="G58" t="str">
            <v>oo</v>
          </cell>
          <cell r="H58" t="str">
            <v>ɔ</v>
          </cell>
          <cell r="I58" t="str">
            <v>沽</v>
          </cell>
          <cell r="J58" t="str">
            <v>o͘</v>
          </cell>
          <cell r="K58" t="str">
            <v>oo</v>
          </cell>
          <cell r="L58" t="str">
            <v>oo</v>
          </cell>
          <cell r="M58" t="str">
            <v>ㆦ</v>
          </cell>
        </row>
        <row r="59">
          <cell r="F59">
            <v>55</v>
          </cell>
          <cell r="G59" t="str">
            <v>oa</v>
          </cell>
          <cell r="H59" t="str">
            <v>ua</v>
          </cell>
          <cell r="I59" t="str">
            <v>瓜</v>
          </cell>
          <cell r="J59" t="str">
            <v>oa</v>
          </cell>
          <cell r="K59" t="str">
            <v>ua</v>
          </cell>
          <cell r="L59" t="str">
            <v>ua</v>
          </cell>
          <cell r="M59" t="str">
            <v>ㄨㄚ</v>
          </cell>
        </row>
        <row r="60">
          <cell r="F60">
            <v>56</v>
          </cell>
          <cell r="G60" t="str">
            <v>oann</v>
          </cell>
          <cell r="H60" t="str">
            <v>ũã</v>
          </cell>
          <cell r="I60" t="str">
            <v>官</v>
          </cell>
          <cell r="J60" t="str">
            <v>oaⁿ</v>
          </cell>
          <cell r="K60" t="str">
            <v>uann</v>
          </cell>
          <cell r="L60" t="str">
            <v>nua</v>
          </cell>
          <cell r="M60" t="str">
            <v>ㄨㆩ</v>
          </cell>
        </row>
        <row r="61">
          <cell r="F61">
            <v>57</v>
          </cell>
          <cell r="G61" t="str">
            <v>oah</v>
          </cell>
          <cell r="H61" t="str">
            <v>ua?</v>
          </cell>
          <cell r="I61" t="str">
            <v>瓜</v>
          </cell>
          <cell r="J61" t="str">
            <v>oah</v>
          </cell>
          <cell r="K61" t="str">
            <v>uah</v>
          </cell>
          <cell r="L61" t="str">
            <v>uah</v>
          </cell>
          <cell r="M61" t="str">
            <v>ㄨㄚㆷ</v>
          </cell>
        </row>
        <row r="62">
          <cell r="F62">
            <v>58</v>
          </cell>
          <cell r="G62" t="str">
            <v>oai</v>
          </cell>
          <cell r="H62" t="str">
            <v>uai</v>
          </cell>
          <cell r="I62" t="str">
            <v>乖</v>
          </cell>
          <cell r="J62" t="str">
            <v>oai</v>
          </cell>
          <cell r="K62" t="str">
            <v>uai</v>
          </cell>
          <cell r="L62" t="str">
            <v>uai</v>
          </cell>
          <cell r="M62" t="str">
            <v>ㄨㄞ</v>
          </cell>
        </row>
        <row r="63">
          <cell r="F63">
            <v>59</v>
          </cell>
          <cell r="G63" t="str">
            <v>oainn</v>
          </cell>
          <cell r="H63" t="str">
            <v>ũãĩ</v>
          </cell>
          <cell r="I63" t="str">
            <v>閂</v>
          </cell>
          <cell r="J63" t="str">
            <v>oaiⁿ</v>
          </cell>
          <cell r="K63" t="str">
            <v>uainn</v>
          </cell>
          <cell r="L63" t="str">
            <v>nuai</v>
          </cell>
          <cell r="M63" t="str">
            <v>ㄨㆮ</v>
          </cell>
        </row>
        <row r="64">
          <cell r="F64">
            <v>60</v>
          </cell>
          <cell r="G64" t="str">
            <v>oan</v>
          </cell>
          <cell r="H64" t="str">
            <v>uan</v>
          </cell>
          <cell r="I64" t="str">
            <v>觀</v>
          </cell>
          <cell r="J64" t="str">
            <v>oan</v>
          </cell>
          <cell r="K64" t="str">
            <v>uan</v>
          </cell>
          <cell r="L64" t="str">
            <v>uan</v>
          </cell>
          <cell r="M64" t="str">
            <v>ㄨㄢ</v>
          </cell>
        </row>
        <row r="65">
          <cell r="F65">
            <v>61</v>
          </cell>
          <cell r="G65" t="str">
            <v>oang</v>
          </cell>
          <cell r="H65" t="str">
            <v>uaŋ</v>
          </cell>
          <cell r="I65" t="str">
            <v>光</v>
          </cell>
          <cell r="J65" t="str">
            <v>oang</v>
          </cell>
          <cell r="K65" t="str">
            <v>uang</v>
          </cell>
          <cell r="L65" t="str">
            <v>uang</v>
          </cell>
          <cell r="M65" t="str">
            <v>ㄨㄤ</v>
          </cell>
        </row>
        <row r="66">
          <cell r="F66">
            <v>62</v>
          </cell>
          <cell r="G66" t="str">
            <v>oat</v>
          </cell>
          <cell r="H66" t="str">
            <v>uat̚</v>
          </cell>
          <cell r="I66" t="str">
            <v>觀</v>
          </cell>
          <cell r="J66" t="str">
            <v>oat</v>
          </cell>
          <cell r="K66" t="str">
            <v>uat</v>
          </cell>
          <cell r="L66" t="str">
            <v>uat</v>
          </cell>
          <cell r="M66" t="str">
            <v>ㄨㄚㆵ</v>
          </cell>
        </row>
        <row r="67">
          <cell r="F67">
            <v>63</v>
          </cell>
          <cell r="G67" t="str">
            <v>oe</v>
          </cell>
          <cell r="H67" t="str">
            <v>ue</v>
          </cell>
          <cell r="I67" t="str">
            <v>檜</v>
          </cell>
          <cell r="J67" t="str">
            <v>oe</v>
          </cell>
          <cell r="K67" t="str">
            <v>ue</v>
          </cell>
          <cell r="L67" t="str">
            <v>ue</v>
          </cell>
          <cell r="M67" t="str">
            <v>ㄨㆤ</v>
          </cell>
        </row>
        <row r="68">
          <cell r="F68">
            <v>64</v>
          </cell>
          <cell r="G68" t="str">
            <v>oeh</v>
          </cell>
          <cell r="H68" t="str">
            <v>ue?</v>
          </cell>
          <cell r="I68" t="str">
            <v>檜</v>
          </cell>
          <cell r="J68" t="str">
            <v>oeh</v>
          </cell>
          <cell r="K68" t="str">
            <v>ueh</v>
          </cell>
          <cell r="L68" t="str">
            <v>ueh</v>
          </cell>
          <cell r="M68" t="str">
            <v>ㄨㆤㆷ</v>
          </cell>
        </row>
        <row r="69">
          <cell r="F69">
            <v>65</v>
          </cell>
          <cell r="G69" t="str">
            <v>oh</v>
          </cell>
          <cell r="H69" t="str">
            <v>ə?</v>
          </cell>
          <cell r="I69" t="str">
            <v>高</v>
          </cell>
          <cell r="J69" t="str">
            <v>oh</v>
          </cell>
          <cell r="K69" t="str">
            <v>oh</v>
          </cell>
          <cell r="L69" t="str">
            <v>oh</v>
          </cell>
          <cell r="M69" t="str">
            <v>ㄜㆷ</v>
          </cell>
        </row>
        <row r="70">
          <cell r="F70">
            <v>67</v>
          </cell>
          <cell r="G70" t="str">
            <v>onnh</v>
          </cell>
          <cell r="H70" t="str">
            <v>ɔ̃?</v>
          </cell>
          <cell r="I70" t="str">
            <v>姑</v>
          </cell>
          <cell r="J70" t="str">
            <v>ohⁿ</v>
          </cell>
          <cell r="K70" t="str">
            <v>onnh</v>
          </cell>
          <cell r="L70" t="str">
            <v>nooh</v>
          </cell>
          <cell r="M70" t="str">
            <v>ㆧㆷ</v>
          </cell>
        </row>
        <row r="71">
          <cell r="F71">
            <v>68</v>
          </cell>
          <cell r="G71" t="str">
            <v>ok</v>
          </cell>
          <cell r="H71" t="str">
            <v>ɔk̚</v>
          </cell>
          <cell r="I71" t="str">
            <v>公</v>
          </cell>
          <cell r="J71" t="str">
            <v>ok</v>
          </cell>
          <cell r="K71" t="str">
            <v>ok</v>
          </cell>
          <cell r="L71" t="str">
            <v>ok</v>
          </cell>
          <cell r="M71" t="str">
            <v>ㆦㆻ</v>
          </cell>
        </row>
        <row r="72">
          <cell r="F72">
            <v>69</v>
          </cell>
          <cell r="G72" t="str">
            <v>om</v>
          </cell>
          <cell r="H72" t="str">
            <v>ɔm</v>
          </cell>
          <cell r="I72" t="str">
            <v>箴</v>
          </cell>
          <cell r="J72" t="str">
            <v>om</v>
          </cell>
          <cell r="K72" t="str">
            <v>om</v>
          </cell>
          <cell r="L72" t="str">
            <v>om</v>
          </cell>
          <cell r="M72" t="str">
            <v>ㆱ</v>
          </cell>
        </row>
        <row r="73">
          <cell r="F73">
            <v>70</v>
          </cell>
          <cell r="G73" t="str">
            <v>ong</v>
          </cell>
          <cell r="H73" t="str">
            <v>ɔŋ</v>
          </cell>
          <cell r="I73" t="str">
            <v>公</v>
          </cell>
          <cell r="J73" t="str">
            <v>ong</v>
          </cell>
          <cell r="K73" t="str">
            <v>ong</v>
          </cell>
          <cell r="L73" t="str">
            <v>ong</v>
          </cell>
          <cell r="M73" t="str">
            <v>ㆲ</v>
          </cell>
        </row>
        <row r="74">
          <cell r="F74">
            <v>71</v>
          </cell>
          <cell r="G74" t="str">
            <v>u</v>
          </cell>
          <cell r="H74" t="str">
            <v>u</v>
          </cell>
          <cell r="I74" t="str">
            <v>艍</v>
          </cell>
          <cell r="J74" t="str">
            <v>u</v>
          </cell>
          <cell r="K74" t="str">
            <v>u</v>
          </cell>
          <cell r="L74" t="str">
            <v>u</v>
          </cell>
          <cell r="M74" t="str">
            <v>ㄨ</v>
          </cell>
        </row>
        <row r="75">
          <cell r="F75">
            <v>72</v>
          </cell>
          <cell r="G75" t="str">
            <v>uh</v>
          </cell>
          <cell r="H75" t="str">
            <v>u?</v>
          </cell>
          <cell r="I75" t="str">
            <v>艍</v>
          </cell>
          <cell r="J75" t="str">
            <v>uh</v>
          </cell>
          <cell r="K75" t="str">
            <v>uh</v>
          </cell>
          <cell r="L75" t="str">
            <v>uh</v>
          </cell>
          <cell r="M75" t="str">
            <v>ㄨㆷ</v>
          </cell>
        </row>
        <row r="76">
          <cell r="F76">
            <v>73</v>
          </cell>
          <cell r="G76" t="str">
            <v>ui</v>
          </cell>
          <cell r="H76" t="str">
            <v>ui</v>
          </cell>
          <cell r="I76" t="str">
            <v>規</v>
          </cell>
          <cell r="J76" t="str">
            <v>ui</v>
          </cell>
          <cell r="K76" t="str">
            <v>ui</v>
          </cell>
          <cell r="L76" t="str">
            <v>ui</v>
          </cell>
          <cell r="M76" t="str">
            <v>ㄨㄧ</v>
          </cell>
        </row>
        <row r="77">
          <cell r="F77">
            <v>74</v>
          </cell>
          <cell r="G77" t="str">
            <v>un</v>
          </cell>
          <cell r="H77" t="str">
            <v>un</v>
          </cell>
          <cell r="I77" t="str">
            <v>君</v>
          </cell>
          <cell r="J77" t="str">
            <v>un</v>
          </cell>
          <cell r="K77" t="str">
            <v>un</v>
          </cell>
          <cell r="L77" t="str">
            <v>un</v>
          </cell>
          <cell r="M77" t="str">
            <v>ㄨㄣ</v>
          </cell>
        </row>
        <row r="78">
          <cell r="F78">
            <v>75</v>
          </cell>
          <cell r="G78" t="str">
            <v>ut</v>
          </cell>
          <cell r="H78" t="str">
            <v>ut̚</v>
          </cell>
          <cell r="I78" t="str">
            <v>君</v>
          </cell>
          <cell r="J78" t="str">
            <v>ut</v>
          </cell>
          <cell r="K78" t="str">
            <v>ut</v>
          </cell>
          <cell r="L78" t="str">
            <v>ut</v>
          </cell>
          <cell r="M78" t="str">
            <v>ㄨㆵ</v>
          </cell>
        </row>
      </sheetData>
      <sheetData sheetId="16">
        <row r="6">
          <cell r="B6">
            <v>1</v>
          </cell>
          <cell r="C6">
            <v>1</v>
          </cell>
          <cell r="D6" t="str">
            <v>君</v>
          </cell>
          <cell r="E6" t="str">
            <v>舒聲</v>
          </cell>
          <cell r="F6" t="str">
            <v>un</v>
          </cell>
          <cell r="G6" t="str">
            <v>un</v>
          </cell>
          <cell r="H6" t="str">
            <v>un</v>
          </cell>
          <cell r="I6" t="str">
            <v>un</v>
          </cell>
          <cell r="J6" t="str">
            <v>un</v>
          </cell>
          <cell r="K6" t="str">
            <v>ㄨㄣ</v>
          </cell>
        </row>
        <row r="7">
          <cell r="B7">
            <v>2</v>
          </cell>
          <cell r="C7">
            <v>1</v>
          </cell>
          <cell r="D7" t="str">
            <v>君</v>
          </cell>
          <cell r="E7" t="str">
            <v>入聲</v>
          </cell>
          <cell r="F7" t="str">
            <v>ut</v>
          </cell>
          <cell r="G7" t="str">
            <v>ut̚</v>
          </cell>
          <cell r="H7" t="str">
            <v>ut</v>
          </cell>
          <cell r="I7" t="str">
            <v>ut</v>
          </cell>
          <cell r="J7" t="str">
            <v>ut</v>
          </cell>
          <cell r="K7" t="str">
            <v>ㄨㆵ</v>
          </cell>
        </row>
        <row r="8">
          <cell r="B8">
            <v>3</v>
          </cell>
          <cell r="C8">
            <v>2</v>
          </cell>
          <cell r="D8" t="str">
            <v>堅</v>
          </cell>
          <cell r="E8" t="str">
            <v>舒聲</v>
          </cell>
          <cell r="F8" t="str">
            <v>ian</v>
          </cell>
          <cell r="G8" t="str">
            <v>ian</v>
          </cell>
          <cell r="H8" t="str">
            <v>ian</v>
          </cell>
          <cell r="I8" t="str">
            <v>ian</v>
          </cell>
          <cell r="J8" t="str">
            <v>ian</v>
          </cell>
          <cell r="K8" t="str">
            <v>ㄧㄢ</v>
          </cell>
        </row>
        <row r="9">
          <cell r="B9">
            <v>4</v>
          </cell>
          <cell r="C9">
            <v>2</v>
          </cell>
          <cell r="D9" t="str">
            <v>堅</v>
          </cell>
          <cell r="E9" t="str">
            <v>入聲</v>
          </cell>
          <cell r="F9" t="str">
            <v>iat</v>
          </cell>
          <cell r="G9" t="str">
            <v>iat̚</v>
          </cell>
          <cell r="H9" t="str">
            <v>iat</v>
          </cell>
          <cell r="I9" t="str">
            <v>iat</v>
          </cell>
          <cell r="J9" t="str">
            <v>iat</v>
          </cell>
          <cell r="K9" t="str">
            <v>ㄧㄚㆵ</v>
          </cell>
        </row>
        <row r="10">
          <cell r="B10">
            <v>5</v>
          </cell>
          <cell r="C10">
            <v>3</v>
          </cell>
          <cell r="D10" t="str">
            <v>金</v>
          </cell>
          <cell r="E10" t="str">
            <v>舒聲</v>
          </cell>
          <cell r="F10" t="str">
            <v>im</v>
          </cell>
          <cell r="G10" t="str">
            <v>im</v>
          </cell>
          <cell r="H10" t="str">
            <v>im</v>
          </cell>
          <cell r="I10" t="str">
            <v>im</v>
          </cell>
          <cell r="J10" t="str">
            <v>im</v>
          </cell>
          <cell r="K10" t="str">
            <v>ㄧㆬ</v>
          </cell>
        </row>
        <row r="11">
          <cell r="B11">
            <v>6</v>
          </cell>
          <cell r="C11">
            <v>3</v>
          </cell>
          <cell r="D11" t="str">
            <v>金</v>
          </cell>
          <cell r="E11" t="str">
            <v>入聲</v>
          </cell>
          <cell r="F11" t="str">
            <v>ip</v>
          </cell>
          <cell r="G11" t="str">
            <v>ip̚</v>
          </cell>
          <cell r="H11" t="str">
            <v>ip</v>
          </cell>
          <cell r="I11" t="str">
            <v>ip</v>
          </cell>
          <cell r="J11" t="str">
            <v>ip</v>
          </cell>
          <cell r="K11" t="str">
            <v>ㄧㆴ</v>
          </cell>
        </row>
        <row r="12">
          <cell r="B12">
            <v>7</v>
          </cell>
          <cell r="C12">
            <v>4</v>
          </cell>
          <cell r="D12" t="str">
            <v>規</v>
          </cell>
          <cell r="E12" t="str">
            <v>舒聲</v>
          </cell>
          <cell r="F12" t="str">
            <v>ui</v>
          </cell>
          <cell r="G12" t="str">
            <v>ui</v>
          </cell>
          <cell r="H12" t="str">
            <v>ui</v>
          </cell>
          <cell r="I12" t="str">
            <v>ui</v>
          </cell>
          <cell r="J12" t="str">
            <v>ui</v>
          </cell>
          <cell r="K12" t="str">
            <v>ㄨㄧ</v>
          </cell>
        </row>
        <row r="13">
          <cell r="B13">
            <v>8</v>
          </cell>
          <cell r="C13">
            <v>4</v>
          </cell>
          <cell r="D13" t="str">
            <v>規</v>
          </cell>
          <cell r="E13" t="str">
            <v>入聲</v>
          </cell>
          <cell r="F13" t="str">
            <v>uih</v>
          </cell>
          <cell r="G13" t="str">
            <v>ui?</v>
          </cell>
          <cell r="H13" t="str">
            <v>uih</v>
          </cell>
          <cell r="I13" t="str">
            <v>uih</v>
          </cell>
          <cell r="J13" t="str">
            <v>uih</v>
          </cell>
          <cell r="K13" t="str">
            <v>ㄨㄧㆷ</v>
          </cell>
        </row>
        <row r="14">
          <cell r="B14">
            <v>9</v>
          </cell>
          <cell r="C14">
            <v>5</v>
          </cell>
          <cell r="D14" t="str">
            <v>嘉</v>
          </cell>
          <cell r="E14" t="str">
            <v>舒聲</v>
          </cell>
          <cell r="F14" t="str">
            <v>ee</v>
          </cell>
          <cell r="G14" t="str">
            <v>ɛ</v>
          </cell>
          <cell r="H14" t="str">
            <v>ee</v>
          </cell>
          <cell r="I14" t="str">
            <v>ee</v>
          </cell>
          <cell r="J14" t="str">
            <v>e</v>
          </cell>
          <cell r="K14" t="str">
            <v>ㄝ</v>
          </cell>
        </row>
        <row r="15">
          <cell r="B15">
            <v>10</v>
          </cell>
          <cell r="C15">
            <v>5</v>
          </cell>
          <cell r="D15" t="str">
            <v>嘉</v>
          </cell>
          <cell r="E15" t="str">
            <v>入聲</v>
          </cell>
          <cell r="F15" t="str">
            <v>eeh</v>
          </cell>
          <cell r="G15" t="str">
            <v>ɛ?</v>
          </cell>
          <cell r="H15" t="str">
            <v>eeh</v>
          </cell>
          <cell r="I15" t="str">
            <v>eh</v>
          </cell>
          <cell r="J15" t="str">
            <v>eh</v>
          </cell>
          <cell r="K15" t="str">
            <v>ㄝㆷ</v>
          </cell>
        </row>
        <row r="16">
          <cell r="B16">
            <v>11</v>
          </cell>
          <cell r="C16">
            <v>6</v>
          </cell>
          <cell r="D16" t="str">
            <v>干</v>
          </cell>
          <cell r="E16" t="str">
            <v>舒聲</v>
          </cell>
          <cell r="F16" t="str">
            <v>an</v>
          </cell>
          <cell r="G16" t="str">
            <v>an</v>
          </cell>
          <cell r="H16" t="str">
            <v>an</v>
          </cell>
          <cell r="I16" t="str">
            <v>an</v>
          </cell>
          <cell r="J16" t="str">
            <v>an</v>
          </cell>
          <cell r="K16" t="str">
            <v>ㄢ</v>
          </cell>
        </row>
        <row r="17">
          <cell r="B17">
            <v>12</v>
          </cell>
          <cell r="C17">
            <v>6</v>
          </cell>
          <cell r="D17" t="str">
            <v>干</v>
          </cell>
          <cell r="E17" t="str">
            <v>入聲</v>
          </cell>
          <cell r="F17" t="str">
            <v>at</v>
          </cell>
          <cell r="G17" t="str">
            <v>at̚</v>
          </cell>
          <cell r="H17" t="str">
            <v>at</v>
          </cell>
          <cell r="I17" t="str">
            <v>ap</v>
          </cell>
          <cell r="J17" t="str">
            <v>at</v>
          </cell>
          <cell r="K17" t="str">
            <v>ㄚㆵ</v>
          </cell>
        </row>
        <row r="18">
          <cell r="B18">
            <v>13</v>
          </cell>
          <cell r="C18">
            <v>7</v>
          </cell>
          <cell r="D18" t="str">
            <v>公</v>
          </cell>
          <cell r="E18" t="str">
            <v>舒聲</v>
          </cell>
          <cell r="F18" t="str">
            <v>ong</v>
          </cell>
          <cell r="G18" t="str">
            <v>ɔŋ</v>
          </cell>
          <cell r="H18" t="str">
            <v>ong</v>
          </cell>
          <cell r="I18" t="str">
            <v>ong</v>
          </cell>
          <cell r="J18" t="str">
            <v>ong</v>
          </cell>
          <cell r="K18" t="str">
            <v>ㆲ</v>
          </cell>
        </row>
        <row r="19">
          <cell r="B19">
            <v>14</v>
          </cell>
          <cell r="C19">
            <v>7</v>
          </cell>
          <cell r="D19" t="str">
            <v>公</v>
          </cell>
          <cell r="E19" t="str">
            <v>入聲</v>
          </cell>
          <cell r="F19" t="str">
            <v>ok</v>
          </cell>
          <cell r="G19" t="str">
            <v>ɔk̚</v>
          </cell>
          <cell r="H19" t="str">
            <v>ok</v>
          </cell>
          <cell r="I19" t="str">
            <v>ok</v>
          </cell>
          <cell r="J19" t="str">
            <v>ok</v>
          </cell>
          <cell r="K19" t="str">
            <v>ㆦㆻ</v>
          </cell>
        </row>
        <row r="20">
          <cell r="B20">
            <v>15</v>
          </cell>
          <cell r="C20">
            <v>8</v>
          </cell>
          <cell r="D20" t="str">
            <v>乖</v>
          </cell>
          <cell r="E20" t="str">
            <v>舒聲</v>
          </cell>
          <cell r="F20" t="str">
            <v>oai</v>
          </cell>
          <cell r="G20" t="str">
            <v>uai</v>
          </cell>
          <cell r="H20" t="str">
            <v>oai</v>
          </cell>
          <cell r="I20" t="str">
            <v>uai</v>
          </cell>
          <cell r="J20" t="str">
            <v>uai</v>
          </cell>
          <cell r="K20" t="str">
            <v>ㄨㄞ</v>
          </cell>
        </row>
        <row r="21">
          <cell r="B21">
            <v>16</v>
          </cell>
          <cell r="C21">
            <v>8</v>
          </cell>
          <cell r="D21" t="str">
            <v>乖</v>
          </cell>
          <cell r="E21" t="str">
            <v>入聲</v>
          </cell>
          <cell r="F21" t="str">
            <v>oaih</v>
          </cell>
          <cell r="G21" t="str">
            <v>uai?</v>
          </cell>
          <cell r="H21" t="str">
            <v>oaih</v>
          </cell>
          <cell r="I21" t="str">
            <v>uaih</v>
          </cell>
          <cell r="J21" t="str">
            <v>uaih</v>
          </cell>
          <cell r="K21" t="str">
            <v>ㄨㄞㆷ</v>
          </cell>
        </row>
        <row r="22">
          <cell r="B22">
            <v>17</v>
          </cell>
          <cell r="C22">
            <v>9</v>
          </cell>
          <cell r="D22" t="str">
            <v>經</v>
          </cell>
          <cell r="E22" t="str">
            <v>舒聲</v>
          </cell>
          <cell r="F22" t="str">
            <v>eng</v>
          </cell>
          <cell r="G22" t="str">
            <v>ɪŋ</v>
          </cell>
          <cell r="H22" t="str">
            <v>eng</v>
          </cell>
          <cell r="I22" t="str">
            <v>ing</v>
          </cell>
          <cell r="J22" t="str">
            <v>ing</v>
          </cell>
          <cell r="K22" t="str">
            <v>ㄧㄥ</v>
          </cell>
        </row>
        <row r="23">
          <cell r="B23">
            <v>18</v>
          </cell>
          <cell r="C23">
            <v>9</v>
          </cell>
          <cell r="D23" t="str">
            <v>經</v>
          </cell>
          <cell r="E23" t="str">
            <v>入聲</v>
          </cell>
          <cell r="F23" t="str">
            <v>ek</v>
          </cell>
          <cell r="G23" t="str">
            <v>ik̚</v>
          </cell>
          <cell r="H23" t="str">
            <v>ek</v>
          </cell>
          <cell r="I23" t="str">
            <v>ik</v>
          </cell>
          <cell r="J23" t="str">
            <v>ik</v>
          </cell>
          <cell r="K23" t="str">
            <v>ㄧㆻ</v>
          </cell>
        </row>
        <row r="24">
          <cell r="B24">
            <v>19</v>
          </cell>
          <cell r="C24">
            <v>10</v>
          </cell>
          <cell r="D24" t="str">
            <v>觀</v>
          </cell>
          <cell r="E24" t="str">
            <v>舒聲</v>
          </cell>
          <cell r="F24" t="str">
            <v>oan</v>
          </cell>
          <cell r="G24" t="str">
            <v>uan</v>
          </cell>
          <cell r="H24" t="str">
            <v>oan</v>
          </cell>
          <cell r="I24" t="str">
            <v>uan</v>
          </cell>
          <cell r="J24" t="str">
            <v>uan</v>
          </cell>
          <cell r="K24" t="str">
            <v>ㄨㄢ</v>
          </cell>
        </row>
        <row r="25">
          <cell r="B25">
            <v>20</v>
          </cell>
          <cell r="C25">
            <v>10</v>
          </cell>
          <cell r="D25" t="str">
            <v>觀</v>
          </cell>
          <cell r="E25" t="str">
            <v>入聲</v>
          </cell>
          <cell r="F25" t="str">
            <v>oat</v>
          </cell>
          <cell r="G25" t="str">
            <v>uat̚</v>
          </cell>
          <cell r="H25" t="str">
            <v>oat</v>
          </cell>
          <cell r="I25" t="str">
            <v>uat</v>
          </cell>
          <cell r="J25" t="str">
            <v>uat</v>
          </cell>
          <cell r="K25" t="str">
            <v>ㄨㄚㆵ</v>
          </cell>
        </row>
        <row r="26">
          <cell r="B26">
            <v>21</v>
          </cell>
          <cell r="C26">
            <v>11</v>
          </cell>
          <cell r="D26" t="str">
            <v>沽</v>
          </cell>
          <cell r="E26" t="str">
            <v>舒聲</v>
          </cell>
          <cell r="F26" t="str">
            <v>oo</v>
          </cell>
          <cell r="G26" t="str">
            <v>ɔ</v>
          </cell>
          <cell r="H26" t="str">
            <v>o͘</v>
          </cell>
          <cell r="I26" t="str">
            <v>oo</v>
          </cell>
          <cell r="J26" t="str">
            <v>oo</v>
          </cell>
          <cell r="K26" t="str">
            <v>ㆦ</v>
          </cell>
        </row>
        <row r="27">
          <cell r="B27">
            <v>22</v>
          </cell>
          <cell r="C27">
            <v>11</v>
          </cell>
          <cell r="D27" t="str">
            <v>沽</v>
          </cell>
          <cell r="E27" t="str">
            <v>入聲</v>
          </cell>
          <cell r="F27" t="str">
            <v>ooh</v>
          </cell>
          <cell r="G27" t="str">
            <v>ɔu?</v>
          </cell>
          <cell r="H27" t="str">
            <v>o͘h</v>
          </cell>
          <cell r="I27" t="str">
            <v>ooh</v>
          </cell>
          <cell r="J27" t="str">
            <v>ooh</v>
          </cell>
          <cell r="K27" t="str">
            <v>ㆦㆷ</v>
          </cell>
        </row>
        <row r="28">
          <cell r="B28">
            <v>23</v>
          </cell>
          <cell r="C28">
            <v>12</v>
          </cell>
          <cell r="D28" t="str">
            <v>嬌</v>
          </cell>
          <cell r="E28" t="str">
            <v>舒聲</v>
          </cell>
          <cell r="F28" t="str">
            <v>iau</v>
          </cell>
          <cell r="G28" t="str">
            <v>iaʊ</v>
          </cell>
          <cell r="H28" t="str">
            <v>iau</v>
          </cell>
          <cell r="I28" t="str">
            <v>iau</v>
          </cell>
          <cell r="J28" t="str">
            <v>iao</v>
          </cell>
          <cell r="K28" t="str">
            <v>ㄧㄠ</v>
          </cell>
        </row>
        <row r="29">
          <cell r="B29">
            <v>24</v>
          </cell>
          <cell r="C29">
            <v>12</v>
          </cell>
          <cell r="D29" t="str">
            <v>嬌</v>
          </cell>
          <cell r="E29" t="str">
            <v>入聲</v>
          </cell>
          <cell r="F29" t="str">
            <v>iauh</v>
          </cell>
          <cell r="G29" t="str">
            <v>iau?</v>
          </cell>
          <cell r="H29" t="str">
            <v>iauh</v>
          </cell>
          <cell r="I29" t="str">
            <v>iauh</v>
          </cell>
          <cell r="J29" t="str">
            <v>iaoh</v>
          </cell>
          <cell r="K29" t="str">
            <v>ㄧㄠㆷ</v>
          </cell>
        </row>
        <row r="30">
          <cell r="B30">
            <v>25</v>
          </cell>
          <cell r="C30">
            <v>13</v>
          </cell>
          <cell r="D30" t="str">
            <v>稽</v>
          </cell>
          <cell r="E30" t="str">
            <v>舒聲</v>
          </cell>
          <cell r="F30" t="str">
            <v>ei</v>
          </cell>
          <cell r="G30" t="str">
            <v>ei</v>
          </cell>
          <cell r="H30" t="str">
            <v>ei</v>
          </cell>
          <cell r="I30" t="str">
            <v>e</v>
          </cell>
          <cell r="J30" t="str">
            <v>e</v>
          </cell>
          <cell r="K30" t="str">
            <v>ㄟ</v>
          </cell>
        </row>
        <row r="31">
          <cell r="B31">
            <v>26</v>
          </cell>
          <cell r="C31">
            <v>13</v>
          </cell>
          <cell r="D31" t="str">
            <v>稽</v>
          </cell>
          <cell r="E31" t="str">
            <v>入聲</v>
          </cell>
          <cell r="F31" t="str">
            <v>eih</v>
          </cell>
          <cell r="G31" t="str">
            <v>ei?</v>
          </cell>
          <cell r="H31" t="str">
            <v>eih</v>
          </cell>
          <cell r="I31" t="str">
            <v>eh</v>
          </cell>
          <cell r="J31" t="str">
            <v>eh</v>
          </cell>
          <cell r="K31" t="str">
            <v>ㄟㆷ</v>
          </cell>
        </row>
        <row r="32">
          <cell r="B32">
            <v>27</v>
          </cell>
          <cell r="C32">
            <v>14</v>
          </cell>
          <cell r="D32" t="str">
            <v>恭</v>
          </cell>
          <cell r="E32" t="str">
            <v>舒聲</v>
          </cell>
          <cell r="F32" t="str">
            <v>iong</v>
          </cell>
          <cell r="G32" t="str">
            <v>iɔŋ</v>
          </cell>
          <cell r="H32" t="str">
            <v>iong</v>
          </cell>
          <cell r="I32" t="str">
            <v>iong</v>
          </cell>
          <cell r="J32" t="str">
            <v>iong</v>
          </cell>
          <cell r="K32" t="str">
            <v>ㄧㆲ</v>
          </cell>
        </row>
        <row r="33">
          <cell r="B33">
            <v>28</v>
          </cell>
          <cell r="C33">
            <v>14</v>
          </cell>
          <cell r="D33" t="str">
            <v>恭</v>
          </cell>
          <cell r="E33" t="str">
            <v>入聲</v>
          </cell>
          <cell r="F33" t="str">
            <v>iok</v>
          </cell>
          <cell r="G33" t="str">
            <v>iɔk̚</v>
          </cell>
          <cell r="H33" t="str">
            <v>iok</v>
          </cell>
          <cell r="I33" t="str">
            <v>iok</v>
          </cell>
          <cell r="J33" t="str">
            <v>iok</v>
          </cell>
          <cell r="K33" t="str">
            <v>ㄧㆦㆻ</v>
          </cell>
        </row>
        <row r="34">
          <cell r="B34">
            <v>29</v>
          </cell>
          <cell r="C34">
            <v>15</v>
          </cell>
          <cell r="D34" t="str">
            <v>高</v>
          </cell>
          <cell r="E34" t="str">
            <v>舒聲</v>
          </cell>
          <cell r="F34" t="str">
            <v>o</v>
          </cell>
          <cell r="G34" t="str">
            <v>o</v>
          </cell>
          <cell r="H34" t="str">
            <v>o</v>
          </cell>
          <cell r="I34" t="str">
            <v>o</v>
          </cell>
          <cell r="J34" t="str">
            <v>o</v>
          </cell>
          <cell r="K34" t="str">
            <v>ㄜ</v>
          </cell>
        </row>
        <row r="35">
          <cell r="B35">
            <v>30</v>
          </cell>
          <cell r="C35">
            <v>15</v>
          </cell>
          <cell r="D35" t="str">
            <v>高</v>
          </cell>
          <cell r="E35" t="str">
            <v>入聲</v>
          </cell>
          <cell r="F35" t="str">
            <v>oh</v>
          </cell>
          <cell r="G35" t="str">
            <v>ə?</v>
          </cell>
          <cell r="H35" t="str">
            <v>oh</v>
          </cell>
          <cell r="I35" t="str">
            <v>oh</v>
          </cell>
          <cell r="J35" t="str">
            <v>oh</v>
          </cell>
          <cell r="K35" t="str">
            <v>ㄜㆷ</v>
          </cell>
        </row>
        <row r="36">
          <cell r="B36">
            <v>31</v>
          </cell>
          <cell r="C36">
            <v>16</v>
          </cell>
          <cell r="D36" t="str">
            <v>皆</v>
          </cell>
          <cell r="E36" t="str">
            <v>舒聲</v>
          </cell>
          <cell r="F36" t="str">
            <v>ai</v>
          </cell>
          <cell r="G36" t="str">
            <v>ai</v>
          </cell>
          <cell r="H36" t="str">
            <v>ai</v>
          </cell>
          <cell r="I36" t="str">
            <v>ai</v>
          </cell>
          <cell r="J36" t="str">
            <v>ai</v>
          </cell>
          <cell r="K36" t="str">
            <v>ㄞ</v>
          </cell>
        </row>
        <row r="37">
          <cell r="B37">
            <v>32</v>
          </cell>
          <cell r="C37">
            <v>16</v>
          </cell>
          <cell r="D37" t="str">
            <v>皆</v>
          </cell>
          <cell r="E37" t="str">
            <v>入聲</v>
          </cell>
          <cell r="F37" t="str">
            <v>aih</v>
          </cell>
          <cell r="G37" t="str">
            <v>ai?</v>
          </cell>
          <cell r="H37" t="str">
            <v>aih</v>
          </cell>
          <cell r="I37" t="str">
            <v>aih</v>
          </cell>
          <cell r="J37" t="str">
            <v>aih</v>
          </cell>
          <cell r="K37" t="str">
            <v>ㄞㆷ</v>
          </cell>
        </row>
        <row r="38">
          <cell r="B38">
            <v>33</v>
          </cell>
          <cell r="C38">
            <v>17</v>
          </cell>
          <cell r="D38" t="str">
            <v>巾</v>
          </cell>
          <cell r="E38" t="str">
            <v>舒聲</v>
          </cell>
          <cell r="F38" t="str">
            <v>in</v>
          </cell>
          <cell r="G38" t="str">
            <v>in</v>
          </cell>
          <cell r="H38" t="str">
            <v>in</v>
          </cell>
          <cell r="I38" t="str">
            <v>in</v>
          </cell>
          <cell r="J38" t="str">
            <v>in</v>
          </cell>
          <cell r="K38" t="str">
            <v>ㄧㄣ</v>
          </cell>
        </row>
        <row r="39">
          <cell r="B39">
            <v>34</v>
          </cell>
          <cell r="C39">
            <v>17</v>
          </cell>
          <cell r="D39" t="str">
            <v>巾</v>
          </cell>
          <cell r="E39" t="str">
            <v>入聲</v>
          </cell>
          <cell r="F39" t="str">
            <v>it</v>
          </cell>
          <cell r="G39" t="str">
            <v>it̚</v>
          </cell>
          <cell r="H39" t="str">
            <v>it</v>
          </cell>
          <cell r="I39" t="str">
            <v>it</v>
          </cell>
          <cell r="J39" t="str">
            <v>it</v>
          </cell>
          <cell r="K39" t="str">
            <v>ㄧㆵ</v>
          </cell>
        </row>
        <row r="40">
          <cell r="B40">
            <v>35</v>
          </cell>
          <cell r="C40">
            <v>18</v>
          </cell>
          <cell r="D40" t="str">
            <v>姜</v>
          </cell>
          <cell r="E40" t="str">
            <v>舒聲</v>
          </cell>
          <cell r="F40" t="str">
            <v>iang</v>
          </cell>
          <cell r="G40" t="str">
            <v>iaŋ</v>
          </cell>
          <cell r="H40" t="str">
            <v>iang</v>
          </cell>
          <cell r="I40" t="str">
            <v>iang</v>
          </cell>
          <cell r="J40" t="str">
            <v>iang</v>
          </cell>
          <cell r="K40" t="str">
            <v>ㄧㄤ</v>
          </cell>
        </row>
        <row r="41">
          <cell r="B41">
            <v>36</v>
          </cell>
          <cell r="C41">
            <v>18</v>
          </cell>
          <cell r="D41" t="str">
            <v>姜</v>
          </cell>
          <cell r="E41" t="str">
            <v>入聲</v>
          </cell>
          <cell r="F41" t="str">
            <v>iak</v>
          </cell>
          <cell r="G41" t="str">
            <v>iak̚</v>
          </cell>
          <cell r="H41" t="str">
            <v>iak</v>
          </cell>
          <cell r="I41" t="str">
            <v>iak</v>
          </cell>
          <cell r="J41" t="str">
            <v>iak</v>
          </cell>
          <cell r="K41" t="str">
            <v>ㄧㄚㆻ</v>
          </cell>
        </row>
        <row r="42">
          <cell r="B42">
            <v>37</v>
          </cell>
          <cell r="C42">
            <v>19</v>
          </cell>
          <cell r="D42" t="str">
            <v>甘</v>
          </cell>
          <cell r="E42" t="str">
            <v>舒聲</v>
          </cell>
          <cell r="F42" t="str">
            <v>am</v>
          </cell>
          <cell r="G42" t="str">
            <v>am</v>
          </cell>
          <cell r="H42" t="str">
            <v>am</v>
          </cell>
          <cell r="I42" t="str">
            <v>am</v>
          </cell>
          <cell r="J42" t="str">
            <v>am</v>
          </cell>
          <cell r="K42" t="str">
            <v>ㆰ</v>
          </cell>
        </row>
        <row r="43">
          <cell r="B43">
            <v>38</v>
          </cell>
          <cell r="C43">
            <v>19</v>
          </cell>
          <cell r="D43" t="str">
            <v>甘</v>
          </cell>
          <cell r="E43" t="str">
            <v>入聲</v>
          </cell>
          <cell r="F43" t="str">
            <v>ap</v>
          </cell>
          <cell r="G43" t="str">
            <v>ap̚</v>
          </cell>
          <cell r="H43" t="str">
            <v>ap</v>
          </cell>
          <cell r="I43" t="str">
            <v>ap</v>
          </cell>
          <cell r="J43" t="str">
            <v>ap</v>
          </cell>
          <cell r="K43" t="str">
            <v>ㄚㆴ</v>
          </cell>
        </row>
        <row r="44">
          <cell r="B44">
            <v>39</v>
          </cell>
          <cell r="C44">
            <v>20</v>
          </cell>
          <cell r="D44" t="str">
            <v>瓜</v>
          </cell>
          <cell r="E44" t="str">
            <v>舒聲</v>
          </cell>
          <cell r="F44" t="str">
            <v>oa</v>
          </cell>
          <cell r="G44" t="str">
            <v>ua</v>
          </cell>
          <cell r="H44" t="str">
            <v>oa</v>
          </cell>
          <cell r="I44" t="str">
            <v>ua</v>
          </cell>
          <cell r="J44" t="str">
            <v>ua</v>
          </cell>
          <cell r="K44" t="str">
            <v>ㄨㄚ</v>
          </cell>
        </row>
        <row r="45">
          <cell r="B45">
            <v>40</v>
          </cell>
          <cell r="C45">
            <v>20</v>
          </cell>
          <cell r="D45" t="str">
            <v>瓜</v>
          </cell>
          <cell r="E45" t="str">
            <v>入聲</v>
          </cell>
          <cell r="F45" t="str">
            <v>oah</v>
          </cell>
          <cell r="G45" t="str">
            <v>ua?</v>
          </cell>
          <cell r="H45" t="str">
            <v>oah</v>
          </cell>
          <cell r="I45" t="str">
            <v>uah</v>
          </cell>
          <cell r="J45" t="str">
            <v>uah</v>
          </cell>
          <cell r="K45" t="str">
            <v>ㄨㄚㆷ</v>
          </cell>
        </row>
        <row r="46">
          <cell r="B46">
            <v>41</v>
          </cell>
          <cell r="C46">
            <v>21</v>
          </cell>
          <cell r="D46" t="str">
            <v>江</v>
          </cell>
          <cell r="E46" t="str">
            <v>舒聲</v>
          </cell>
          <cell r="F46" t="str">
            <v>ang</v>
          </cell>
          <cell r="G46" t="str">
            <v>aŋ</v>
          </cell>
          <cell r="H46" t="str">
            <v>ang</v>
          </cell>
          <cell r="I46" t="str">
            <v>ang</v>
          </cell>
          <cell r="J46" t="str">
            <v>ang</v>
          </cell>
          <cell r="K46" t="str">
            <v>ㄤ</v>
          </cell>
        </row>
        <row r="47">
          <cell r="B47">
            <v>42</v>
          </cell>
          <cell r="C47">
            <v>21</v>
          </cell>
          <cell r="D47" t="str">
            <v>江</v>
          </cell>
          <cell r="E47" t="str">
            <v>入聲</v>
          </cell>
          <cell r="F47" t="str">
            <v>ak</v>
          </cell>
          <cell r="G47" t="str">
            <v>ak̚</v>
          </cell>
          <cell r="H47" t="str">
            <v>ak</v>
          </cell>
          <cell r="I47" t="str">
            <v>ak</v>
          </cell>
          <cell r="J47" t="str">
            <v>ak</v>
          </cell>
          <cell r="K47" t="str">
            <v>ㄚㆻ</v>
          </cell>
        </row>
        <row r="48">
          <cell r="B48">
            <v>43</v>
          </cell>
          <cell r="C48">
            <v>22</v>
          </cell>
          <cell r="D48" t="str">
            <v>兼</v>
          </cell>
          <cell r="E48" t="str">
            <v>舒聲</v>
          </cell>
          <cell r="F48" t="str">
            <v>iam</v>
          </cell>
          <cell r="G48" t="str">
            <v>iam</v>
          </cell>
          <cell r="H48" t="str">
            <v>iam</v>
          </cell>
          <cell r="I48" t="str">
            <v>iam</v>
          </cell>
          <cell r="J48" t="str">
            <v>iam</v>
          </cell>
          <cell r="K48" t="str">
            <v>ㄧㆰ</v>
          </cell>
        </row>
        <row r="49">
          <cell r="B49">
            <v>44</v>
          </cell>
          <cell r="C49">
            <v>22</v>
          </cell>
          <cell r="D49" t="str">
            <v>兼</v>
          </cell>
          <cell r="E49" t="str">
            <v>入聲</v>
          </cell>
          <cell r="F49" t="str">
            <v>iap</v>
          </cell>
          <cell r="G49" t="str">
            <v>iap̚</v>
          </cell>
          <cell r="H49" t="str">
            <v>iap</v>
          </cell>
          <cell r="I49" t="str">
            <v>iap</v>
          </cell>
          <cell r="J49" t="str">
            <v>iap</v>
          </cell>
          <cell r="K49" t="str">
            <v>ㄧㄚㆴ</v>
          </cell>
        </row>
        <row r="50">
          <cell r="B50">
            <v>45</v>
          </cell>
          <cell r="C50">
            <v>23</v>
          </cell>
          <cell r="D50" t="str">
            <v>交</v>
          </cell>
          <cell r="E50" t="str">
            <v>舒聲</v>
          </cell>
          <cell r="F50" t="str">
            <v>au</v>
          </cell>
          <cell r="G50" t="str">
            <v>aʊ</v>
          </cell>
          <cell r="H50" t="str">
            <v>au</v>
          </cell>
          <cell r="I50" t="str">
            <v>au</v>
          </cell>
          <cell r="J50" t="str">
            <v>ao</v>
          </cell>
          <cell r="K50" t="str">
            <v>ㄠ</v>
          </cell>
        </row>
        <row r="51">
          <cell r="B51">
            <v>46</v>
          </cell>
          <cell r="C51">
            <v>23</v>
          </cell>
          <cell r="D51" t="str">
            <v>交</v>
          </cell>
          <cell r="E51" t="str">
            <v>入聲</v>
          </cell>
          <cell r="F51" t="str">
            <v>auh</v>
          </cell>
          <cell r="G51" t="str">
            <v>au?</v>
          </cell>
          <cell r="H51" t="str">
            <v>auh</v>
          </cell>
          <cell r="I51" t="str">
            <v>auh</v>
          </cell>
          <cell r="J51" t="str">
            <v>aoh</v>
          </cell>
          <cell r="K51" t="str">
            <v>ㄠㆷ</v>
          </cell>
        </row>
        <row r="52">
          <cell r="B52">
            <v>47</v>
          </cell>
          <cell r="C52">
            <v>24</v>
          </cell>
          <cell r="D52" t="str">
            <v>迦</v>
          </cell>
          <cell r="E52" t="str">
            <v>舒聲</v>
          </cell>
          <cell r="F52" t="str">
            <v>ia</v>
          </cell>
          <cell r="G52" t="str">
            <v>ia</v>
          </cell>
          <cell r="H52" t="str">
            <v>ia</v>
          </cell>
          <cell r="I52" t="str">
            <v>ia</v>
          </cell>
          <cell r="J52" t="str">
            <v>ia</v>
          </cell>
          <cell r="K52" t="str">
            <v>ㄧㄚ</v>
          </cell>
        </row>
        <row r="53">
          <cell r="B53">
            <v>48</v>
          </cell>
          <cell r="C53">
            <v>24</v>
          </cell>
          <cell r="D53" t="str">
            <v>迦</v>
          </cell>
          <cell r="E53" t="str">
            <v>入聲</v>
          </cell>
          <cell r="F53" t="str">
            <v>iah</v>
          </cell>
          <cell r="G53" t="str">
            <v>ia?</v>
          </cell>
          <cell r="H53" t="str">
            <v>iah</v>
          </cell>
          <cell r="I53" t="str">
            <v>iah</v>
          </cell>
          <cell r="J53" t="str">
            <v>iah</v>
          </cell>
          <cell r="K53" t="str">
            <v>ㄧㄚㆷ</v>
          </cell>
        </row>
        <row r="54">
          <cell r="B54">
            <v>49</v>
          </cell>
          <cell r="C54">
            <v>25</v>
          </cell>
          <cell r="D54" t="str">
            <v>檜</v>
          </cell>
          <cell r="E54" t="str">
            <v>舒聲</v>
          </cell>
          <cell r="F54" t="str">
            <v>oe</v>
          </cell>
          <cell r="G54" t="str">
            <v>ue</v>
          </cell>
          <cell r="H54" t="str">
            <v>oe</v>
          </cell>
          <cell r="I54" t="str">
            <v>ue</v>
          </cell>
          <cell r="J54" t="str">
            <v>ue</v>
          </cell>
          <cell r="K54" t="str">
            <v>ㄨㆤ</v>
          </cell>
        </row>
        <row r="55">
          <cell r="B55">
            <v>50</v>
          </cell>
          <cell r="C55">
            <v>25</v>
          </cell>
          <cell r="D55" t="str">
            <v>檜</v>
          </cell>
          <cell r="E55" t="str">
            <v>入聲</v>
          </cell>
          <cell r="F55" t="str">
            <v>oeh</v>
          </cell>
          <cell r="G55" t="str">
            <v>ue?</v>
          </cell>
          <cell r="H55" t="str">
            <v>oeh</v>
          </cell>
          <cell r="I55" t="str">
            <v>ueh</v>
          </cell>
          <cell r="J55" t="str">
            <v>ueh</v>
          </cell>
          <cell r="K55" t="str">
            <v>ㄨㆤㆷ</v>
          </cell>
        </row>
        <row r="56">
          <cell r="B56">
            <v>51</v>
          </cell>
          <cell r="C56">
            <v>26</v>
          </cell>
          <cell r="D56" t="str">
            <v>監</v>
          </cell>
          <cell r="E56" t="str">
            <v>舒聲</v>
          </cell>
          <cell r="F56" t="str">
            <v>ann</v>
          </cell>
          <cell r="G56" t="str">
            <v>ã</v>
          </cell>
          <cell r="H56" t="str">
            <v>aⁿ</v>
          </cell>
          <cell r="I56" t="str">
            <v>ann</v>
          </cell>
          <cell r="J56" t="str">
            <v>na</v>
          </cell>
          <cell r="K56" t="str">
            <v>ㆩ</v>
          </cell>
        </row>
        <row r="57">
          <cell r="B57">
            <v>52</v>
          </cell>
          <cell r="C57">
            <v>26</v>
          </cell>
          <cell r="D57" t="str">
            <v>監</v>
          </cell>
          <cell r="E57" t="str">
            <v>入聲</v>
          </cell>
          <cell r="F57" t="str">
            <v>ahnn</v>
          </cell>
          <cell r="G57" t="str">
            <v>ã?</v>
          </cell>
          <cell r="H57" t="str">
            <v>ahⁿ</v>
          </cell>
          <cell r="I57" t="str">
            <v>annh</v>
          </cell>
          <cell r="J57" t="str">
            <v>nah</v>
          </cell>
          <cell r="K57" t="str">
            <v>ㆩㆷ</v>
          </cell>
        </row>
        <row r="58">
          <cell r="B58">
            <v>53</v>
          </cell>
          <cell r="C58">
            <v>27</v>
          </cell>
          <cell r="D58" t="str">
            <v>艍</v>
          </cell>
          <cell r="E58" t="str">
            <v>舒聲</v>
          </cell>
          <cell r="F58" t="str">
            <v>u</v>
          </cell>
          <cell r="G58" t="str">
            <v>u</v>
          </cell>
          <cell r="H58" t="str">
            <v>u</v>
          </cell>
          <cell r="I58" t="str">
            <v>u</v>
          </cell>
          <cell r="J58" t="str">
            <v>u</v>
          </cell>
          <cell r="K58" t="str">
            <v>ㄨ</v>
          </cell>
        </row>
        <row r="59">
          <cell r="B59">
            <v>54</v>
          </cell>
          <cell r="C59">
            <v>27</v>
          </cell>
          <cell r="D59" t="str">
            <v>艍</v>
          </cell>
          <cell r="E59" t="str">
            <v>入聲</v>
          </cell>
          <cell r="F59" t="str">
            <v>uh</v>
          </cell>
          <cell r="G59" t="str">
            <v>u?</v>
          </cell>
          <cell r="H59" t="str">
            <v>uh</v>
          </cell>
          <cell r="I59" t="str">
            <v>uh</v>
          </cell>
          <cell r="J59" t="str">
            <v>uh</v>
          </cell>
          <cell r="K59" t="str">
            <v>ㄨㆷ</v>
          </cell>
        </row>
        <row r="60">
          <cell r="B60">
            <v>55</v>
          </cell>
          <cell r="C60">
            <v>28</v>
          </cell>
          <cell r="D60" t="str">
            <v>膠</v>
          </cell>
          <cell r="E60" t="str">
            <v>舒聲</v>
          </cell>
          <cell r="F60" t="str">
            <v>a</v>
          </cell>
          <cell r="G60" t="str">
            <v>a</v>
          </cell>
          <cell r="H60" t="str">
            <v>a</v>
          </cell>
          <cell r="I60" t="str">
            <v>a</v>
          </cell>
          <cell r="J60" t="str">
            <v>a</v>
          </cell>
          <cell r="K60" t="str">
            <v>ㄚ</v>
          </cell>
        </row>
        <row r="61">
          <cell r="B61">
            <v>56</v>
          </cell>
          <cell r="C61">
            <v>28</v>
          </cell>
          <cell r="D61" t="str">
            <v>膠</v>
          </cell>
          <cell r="E61" t="str">
            <v>入聲</v>
          </cell>
          <cell r="F61" t="str">
            <v>ah</v>
          </cell>
          <cell r="G61" t="str">
            <v>a?</v>
          </cell>
          <cell r="H61" t="str">
            <v>ah</v>
          </cell>
          <cell r="I61" t="str">
            <v>ah</v>
          </cell>
          <cell r="J61" t="str">
            <v>ah</v>
          </cell>
          <cell r="K61" t="str">
            <v>ㄚㆷ</v>
          </cell>
        </row>
        <row r="62">
          <cell r="B62">
            <v>57</v>
          </cell>
          <cell r="C62">
            <v>29</v>
          </cell>
          <cell r="D62" t="str">
            <v>居</v>
          </cell>
          <cell r="E62" t="str">
            <v>舒聲</v>
          </cell>
          <cell r="F62" t="str">
            <v>i</v>
          </cell>
          <cell r="G62" t="str">
            <v>i</v>
          </cell>
          <cell r="H62" t="str">
            <v>i</v>
          </cell>
          <cell r="I62" t="str">
            <v>i</v>
          </cell>
          <cell r="J62" t="str">
            <v>i</v>
          </cell>
          <cell r="K62" t="str">
            <v>ㄧ</v>
          </cell>
        </row>
        <row r="63">
          <cell r="B63">
            <v>58</v>
          </cell>
          <cell r="C63">
            <v>29</v>
          </cell>
          <cell r="D63" t="str">
            <v>居</v>
          </cell>
          <cell r="E63" t="str">
            <v>入聲</v>
          </cell>
          <cell r="F63" t="str">
            <v>ih</v>
          </cell>
          <cell r="G63" t="str">
            <v>i?</v>
          </cell>
          <cell r="H63" t="str">
            <v>ih</v>
          </cell>
          <cell r="I63" t="str">
            <v>ih</v>
          </cell>
          <cell r="J63" t="str">
            <v>ih</v>
          </cell>
          <cell r="K63" t="str">
            <v>ㄧㆷ</v>
          </cell>
        </row>
        <row r="64">
          <cell r="B64">
            <v>59</v>
          </cell>
          <cell r="C64">
            <v>30</v>
          </cell>
          <cell r="D64" t="str">
            <v>丩</v>
          </cell>
          <cell r="E64" t="str">
            <v>舒聲</v>
          </cell>
          <cell r="F64" t="str">
            <v>iu</v>
          </cell>
          <cell r="G64" t="str">
            <v>iu</v>
          </cell>
          <cell r="H64" t="str">
            <v>iu</v>
          </cell>
          <cell r="I64" t="str">
            <v>iu</v>
          </cell>
          <cell r="J64" t="str">
            <v>iu</v>
          </cell>
          <cell r="K64" t="str">
            <v>ㄧㄨ</v>
          </cell>
        </row>
        <row r="65">
          <cell r="B65">
            <v>60</v>
          </cell>
          <cell r="C65">
            <v>30</v>
          </cell>
          <cell r="D65" t="str">
            <v>丩</v>
          </cell>
          <cell r="E65" t="str">
            <v>入聲</v>
          </cell>
          <cell r="F65" t="str">
            <v>iuh</v>
          </cell>
          <cell r="G65" t="str">
            <v>iu?</v>
          </cell>
          <cell r="H65" t="str">
            <v>iuh</v>
          </cell>
          <cell r="I65" t="str">
            <v>iuh</v>
          </cell>
          <cell r="J65" t="str">
            <v>iuh</v>
          </cell>
          <cell r="K65" t="str">
            <v>ㄧㄨㆷ</v>
          </cell>
        </row>
        <row r="66">
          <cell r="B66">
            <v>61</v>
          </cell>
          <cell r="C66">
            <v>31</v>
          </cell>
          <cell r="D66" t="str">
            <v>更</v>
          </cell>
          <cell r="E66" t="str">
            <v>舒聲</v>
          </cell>
          <cell r="F66" t="str">
            <v>enn</v>
          </cell>
          <cell r="G66" t="str">
            <v>ẽ</v>
          </cell>
          <cell r="H66" t="str">
            <v>eⁿ</v>
          </cell>
          <cell r="I66" t="str">
            <v>enn</v>
          </cell>
          <cell r="J66" t="str">
            <v>ne</v>
          </cell>
          <cell r="K66" t="str">
            <v>ㆥ</v>
          </cell>
        </row>
        <row r="67">
          <cell r="B67">
            <v>62</v>
          </cell>
          <cell r="C67">
            <v>31</v>
          </cell>
          <cell r="D67" t="str">
            <v>更</v>
          </cell>
          <cell r="E67" t="str">
            <v>入聲</v>
          </cell>
          <cell r="F67" t="str">
            <v>ehnn</v>
          </cell>
          <cell r="G67" t="str">
            <v>ẽ?</v>
          </cell>
          <cell r="H67" t="str">
            <v>ehⁿ</v>
          </cell>
          <cell r="I67" t="str">
            <v>ennh</v>
          </cell>
          <cell r="J67" t="str">
            <v>neh</v>
          </cell>
          <cell r="K67" t="str">
            <v>ㆥㆷ</v>
          </cell>
        </row>
        <row r="68">
          <cell r="B68">
            <v>63</v>
          </cell>
          <cell r="C68">
            <v>32</v>
          </cell>
          <cell r="D68" t="str">
            <v>褌</v>
          </cell>
          <cell r="E68" t="str">
            <v>舒聲</v>
          </cell>
          <cell r="F68" t="str">
            <v>uinn</v>
          </cell>
          <cell r="G68" t="str">
            <v>ũĩ</v>
          </cell>
          <cell r="H68" t="str">
            <v>uiⁿ</v>
          </cell>
          <cell r="I68" t="str">
            <v>uinn</v>
          </cell>
          <cell r="J68" t="str">
            <v>nui</v>
          </cell>
          <cell r="K68" t="str">
            <v>ㄨㆪ</v>
          </cell>
        </row>
        <row r="69">
          <cell r="B69">
            <v>64</v>
          </cell>
          <cell r="C69">
            <v>32</v>
          </cell>
          <cell r="D69" t="str">
            <v>褌</v>
          </cell>
          <cell r="E69" t="str">
            <v>入聲</v>
          </cell>
          <cell r="F69" t="str">
            <v>uinnh</v>
          </cell>
          <cell r="G69" t="str">
            <v>ũĩ?</v>
          </cell>
          <cell r="H69" t="str">
            <v>uihⁿ</v>
          </cell>
          <cell r="I69" t="str">
            <v>uinnh</v>
          </cell>
          <cell r="J69" t="str">
            <v>nuih</v>
          </cell>
          <cell r="K69" t="str">
            <v>ㄨㆪㆷ</v>
          </cell>
        </row>
        <row r="70">
          <cell r="B70">
            <v>65</v>
          </cell>
          <cell r="C70">
            <v>33</v>
          </cell>
          <cell r="D70" t="str">
            <v>茄</v>
          </cell>
          <cell r="E70" t="str">
            <v>舒聲</v>
          </cell>
          <cell r="F70" t="str">
            <v>io</v>
          </cell>
          <cell r="G70" t="str">
            <v>io</v>
          </cell>
          <cell r="H70" t="str">
            <v>io</v>
          </cell>
          <cell r="I70" t="str">
            <v>io</v>
          </cell>
          <cell r="J70" t="str">
            <v>io</v>
          </cell>
          <cell r="K70" t="str">
            <v>ㄧㄜ</v>
          </cell>
        </row>
        <row r="71">
          <cell r="B71">
            <v>66</v>
          </cell>
          <cell r="C71">
            <v>33</v>
          </cell>
          <cell r="D71" t="str">
            <v>茄</v>
          </cell>
          <cell r="E71" t="str">
            <v>入聲</v>
          </cell>
          <cell r="F71" t="str">
            <v>ioh</v>
          </cell>
          <cell r="G71" t="str">
            <v>iə?</v>
          </cell>
          <cell r="H71" t="str">
            <v>ioh</v>
          </cell>
          <cell r="I71" t="str">
            <v>ioh</v>
          </cell>
          <cell r="J71" t="str">
            <v>ioh</v>
          </cell>
          <cell r="K71" t="str">
            <v>ㄧㄜㆷ</v>
          </cell>
        </row>
        <row r="72">
          <cell r="B72">
            <v>67</v>
          </cell>
          <cell r="C72">
            <v>34</v>
          </cell>
          <cell r="D72" t="str">
            <v>梔</v>
          </cell>
          <cell r="E72" t="str">
            <v>舒聲</v>
          </cell>
          <cell r="F72" t="str">
            <v>inn</v>
          </cell>
          <cell r="G72" t="str">
            <v>ĩ</v>
          </cell>
          <cell r="H72" t="str">
            <v>iⁿ</v>
          </cell>
          <cell r="I72" t="str">
            <v>inn</v>
          </cell>
          <cell r="J72" t="str">
            <v>ni</v>
          </cell>
          <cell r="K72" t="str">
            <v>ㆪ</v>
          </cell>
        </row>
        <row r="73">
          <cell r="B73">
            <v>68</v>
          </cell>
          <cell r="C73">
            <v>34</v>
          </cell>
          <cell r="D73" t="str">
            <v>梔</v>
          </cell>
          <cell r="E73" t="str">
            <v>入聲</v>
          </cell>
          <cell r="F73" t="str">
            <v>ihnn</v>
          </cell>
          <cell r="G73" t="str">
            <v>ĩ?</v>
          </cell>
          <cell r="H73" t="str">
            <v>iⁿh</v>
          </cell>
          <cell r="I73" t="str">
            <v>innh</v>
          </cell>
          <cell r="J73" t="str">
            <v>nih</v>
          </cell>
          <cell r="K73" t="str">
            <v>ㆪ</v>
          </cell>
        </row>
        <row r="74">
          <cell r="B74">
            <v>69</v>
          </cell>
          <cell r="C74">
            <v>35</v>
          </cell>
          <cell r="D74" t="str">
            <v>薑</v>
          </cell>
          <cell r="E74" t="str">
            <v>舒聲</v>
          </cell>
          <cell r="F74" t="str">
            <v>ionn</v>
          </cell>
          <cell r="G74" t="str">
            <v>ĩɔ̃</v>
          </cell>
          <cell r="H74" t="str">
            <v>ioⁿ</v>
          </cell>
          <cell r="I74" t="str">
            <v>ionn</v>
          </cell>
          <cell r="J74" t="str">
            <v>nioo</v>
          </cell>
          <cell r="K74" t="str">
            <v>ㄧㆧ</v>
          </cell>
        </row>
        <row r="75">
          <cell r="B75">
            <v>70</v>
          </cell>
          <cell r="C75">
            <v>35</v>
          </cell>
          <cell r="D75" t="str">
            <v>薑</v>
          </cell>
          <cell r="E75" t="str">
            <v>入聲</v>
          </cell>
          <cell r="F75" t="str">
            <v>ionnh</v>
          </cell>
          <cell r="G75" t="str">
            <v>ĩɔ̃?</v>
          </cell>
          <cell r="H75" t="str">
            <v>iohⁿ</v>
          </cell>
          <cell r="I75" t="str">
            <v>ionnh</v>
          </cell>
          <cell r="J75" t="str">
            <v>niooh</v>
          </cell>
          <cell r="K75" t="str">
            <v>ㄧㆧㆷ</v>
          </cell>
        </row>
        <row r="76">
          <cell r="B76">
            <v>71</v>
          </cell>
          <cell r="C76">
            <v>36</v>
          </cell>
          <cell r="D76" t="str">
            <v>驚</v>
          </cell>
          <cell r="E76" t="str">
            <v>舒聲</v>
          </cell>
          <cell r="F76" t="str">
            <v>iann</v>
          </cell>
          <cell r="G76" t="str">
            <v>ĩã</v>
          </cell>
          <cell r="H76" t="str">
            <v>iaⁿ</v>
          </cell>
          <cell r="I76" t="str">
            <v>iann</v>
          </cell>
          <cell r="J76" t="str">
            <v>nia</v>
          </cell>
          <cell r="K76" t="str">
            <v>ㄧㆩ</v>
          </cell>
        </row>
        <row r="77">
          <cell r="B77">
            <v>72</v>
          </cell>
          <cell r="C77">
            <v>36</v>
          </cell>
          <cell r="D77" t="str">
            <v>驚</v>
          </cell>
          <cell r="E77" t="str">
            <v>入聲</v>
          </cell>
          <cell r="F77" t="str">
            <v>iannh</v>
          </cell>
          <cell r="G77" t="str">
            <v>iãh</v>
          </cell>
          <cell r="H77" t="str">
            <v>iahⁿ</v>
          </cell>
          <cell r="I77" t="str">
            <v>iannh</v>
          </cell>
          <cell r="J77" t="str">
            <v>niah</v>
          </cell>
          <cell r="K77" t="str">
            <v>ㄧㆩㆷ</v>
          </cell>
        </row>
        <row r="78">
          <cell r="B78">
            <v>73</v>
          </cell>
          <cell r="C78">
            <v>37</v>
          </cell>
          <cell r="D78" t="str">
            <v>官</v>
          </cell>
          <cell r="E78" t="str">
            <v>舒聲</v>
          </cell>
          <cell r="F78" t="str">
            <v>oann</v>
          </cell>
          <cell r="G78" t="str">
            <v>ũã</v>
          </cell>
          <cell r="H78" t="str">
            <v>oaⁿ</v>
          </cell>
          <cell r="I78" t="str">
            <v>uann</v>
          </cell>
          <cell r="J78" t="str">
            <v>nua</v>
          </cell>
          <cell r="K78" t="str">
            <v>ㄨㆩ</v>
          </cell>
        </row>
        <row r="79">
          <cell r="B79">
            <v>74</v>
          </cell>
          <cell r="C79">
            <v>37</v>
          </cell>
          <cell r="D79" t="str">
            <v>官</v>
          </cell>
          <cell r="E79" t="str">
            <v>入聲</v>
          </cell>
          <cell r="F79" t="str">
            <v>oannh</v>
          </cell>
          <cell r="G79" t="str">
            <v>ũã?</v>
          </cell>
          <cell r="H79" t="str">
            <v>oahⁿ</v>
          </cell>
          <cell r="I79" t="str">
            <v>uannh</v>
          </cell>
          <cell r="J79" t="str">
            <v>nuah</v>
          </cell>
          <cell r="K79" t="str">
            <v>ㄨㆩㆷ</v>
          </cell>
        </row>
        <row r="80">
          <cell r="B80">
            <v>75</v>
          </cell>
          <cell r="C80">
            <v>38</v>
          </cell>
          <cell r="D80" t="str">
            <v>鋼</v>
          </cell>
          <cell r="E80" t="str">
            <v>舒聲</v>
          </cell>
          <cell r="F80" t="str">
            <v>ng</v>
          </cell>
          <cell r="G80" t="str">
            <v>ŋ̍</v>
          </cell>
          <cell r="H80" t="str">
            <v>ng</v>
          </cell>
          <cell r="I80" t="str">
            <v>ng</v>
          </cell>
          <cell r="J80" t="str">
            <v>ng</v>
          </cell>
          <cell r="K80" t="str">
            <v>ㆭ</v>
          </cell>
        </row>
        <row r="81">
          <cell r="B81">
            <v>76</v>
          </cell>
          <cell r="C81">
            <v>38</v>
          </cell>
          <cell r="D81" t="str">
            <v>鋼</v>
          </cell>
          <cell r="E81" t="str">
            <v>入聲</v>
          </cell>
          <cell r="F81" t="str">
            <v>ngh</v>
          </cell>
          <cell r="G81" t="str">
            <v>ŋ̍h</v>
          </cell>
          <cell r="H81" t="str">
            <v>ngh</v>
          </cell>
          <cell r="I81" t="str">
            <v>ngh</v>
          </cell>
          <cell r="J81" t="str">
            <v>ngh</v>
          </cell>
          <cell r="K81" t="str">
            <v>ㆭㆷ</v>
          </cell>
        </row>
        <row r="82">
          <cell r="B82">
            <v>77</v>
          </cell>
          <cell r="C82">
            <v>39</v>
          </cell>
          <cell r="D82" t="str">
            <v>伽</v>
          </cell>
          <cell r="E82" t="str">
            <v>舒聲</v>
          </cell>
          <cell r="F82" t="str">
            <v>e</v>
          </cell>
          <cell r="G82" t="str">
            <v>e</v>
          </cell>
          <cell r="H82" t="str">
            <v>e</v>
          </cell>
          <cell r="I82" t="str">
            <v>e</v>
          </cell>
          <cell r="J82" t="str">
            <v>e</v>
          </cell>
          <cell r="K82" t="str">
            <v>ㆤ</v>
          </cell>
        </row>
        <row r="83">
          <cell r="B83">
            <v>78</v>
          </cell>
          <cell r="C83">
            <v>39</v>
          </cell>
          <cell r="D83" t="str">
            <v>伽</v>
          </cell>
          <cell r="E83" t="str">
            <v>入聲</v>
          </cell>
          <cell r="F83" t="str">
            <v>eh</v>
          </cell>
          <cell r="G83" t="str">
            <v>e?</v>
          </cell>
          <cell r="H83" t="str">
            <v>eh</v>
          </cell>
          <cell r="I83" t="str">
            <v>eh</v>
          </cell>
          <cell r="J83" t="str">
            <v>eh</v>
          </cell>
          <cell r="K83" t="str">
            <v>ㆤㆷ</v>
          </cell>
        </row>
        <row r="84">
          <cell r="B84">
            <v>79</v>
          </cell>
          <cell r="C84">
            <v>40</v>
          </cell>
          <cell r="D84" t="str">
            <v>閒</v>
          </cell>
          <cell r="E84" t="str">
            <v>舒聲</v>
          </cell>
          <cell r="F84" t="str">
            <v>ainn</v>
          </cell>
          <cell r="G84" t="str">
            <v>ãĩ</v>
          </cell>
          <cell r="H84" t="str">
            <v>aiⁿ</v>
          </cell>
          <cell r="I84" t="str">
            <v>ainn</v>
          </cell>
          <cell r="J84" t="str">
            <v>nai</v>
          </cell>
          <cell r="K84" t="str">
            <v>ㆮ</v>
          </cell>
        </row>
        <row r="85">
          <cell r="B85">
            <v>80</v>
          </cell>
          <cell r="C85">
            <v>40</v>
          </cell>
          <cell r="D85" t="str">
            <v>閒</v>
          </cell>
          <cell r="E85" t="str">
            <v>入聲</v>
          </cell>
          <cell r="F85" t="str">
            <v>ainnh</v>
          </cell>
          <cell r="G85" t="str">
            <v>ãĩ?</v>
          </cell>
          <cell r="H85" t="str">
            <v>aihⁿ</v>
          </cell>
          <cell r="I85" t="str">
            <v>ainnh</v>
          </cell>
          <cell r="J85" t="str">
            <v>naih</v>
          </cell>
          <cell r="K85" t="str">
            <v>ㆮㆷ</v>
          </cell>
        </row>
        <row r="86">
          <cell r="B86">
            <v>81</v>
          </cell>
          <cell r="C86">
            <v>41</v>
          </cell>
          <cell r="D86" t="str">
            <v>姑</v>
          </cell>
          <cell r="E86" t="str">
            <v>舒聲</v>
          </cell>
          <cell r="F86" t="str">
            <v>onn</v>
          </cell>
          <cell r="G86" t="str">
            <v>ɔ̃</v>
          </cell>
          <cell r="H86" t="str">
            <v>oⁿ</v>
          </cell>
          <cell r="I86" t="str">
            <v>onn</v>
          </cell>
          <cell r="J86" t="str">
            <v>noo</v>
          </cell>
          <cell r="K86" t="str">
            <v>ㆧ</v>
          </cell>
        </row>
        <row r="87">
          <cell r="B87">
            <v>82</v>
          </cell>
          <cell r="C87">
            <v>41</v>
          </cell>
          <cell r="D87" t="str">
            <v>姑</v>
          </cell>
          <cell r="E87" t="str">
            <v>入聲</v>
          </cell>
          <cell r="F87" t="str">
            <v>onnh</v>
          </cell>
          <cell r="G87" t="str">
            <v>ɔ̃?</v>
          </cell>
          <cell r="H87" t="str">
            <v>ohⁿ</v>
          </cell>
          <cell r="I87" t="str">
            <v>onnh</v>
          </cell>
          <cell r="J87" t="str">
            <v>nooh</v>
          </cell>
          <cell r="K87" t="str">
            <v>ㆧㆷ</v>
          </cell>
        </row>
        <row r="88">
          <cell r="B88">
            <v>83</v>
          </cell>
          <cell r="C88">
            <v>42</v>
          </cell>
          <cell r="D88" t="str">
            <v>姆</v>
          </cell>
          <cell r="E88" t="str">
            <v>舒聲</v>
          </cell>
          <cell r="F88" t="str">
            <v>m</v>
          </cell>
          <cell r="G88" t="str">
            <v>m̩</v>
          </cell>
          <cell r="H88" t="str">
            <v>m</v>
          </cell>
          <cell r="I88" t="str">
            <v>m</v>
          </cell>
          <cell r="J88" t="str">
            <v>m</v>
          </cell>
          <cell r="K88" t="str">
            <v>ㆬ</v>
          </cell>
        </row>
        <row r="89">
          <cell r="B89">
            <v>84</v>
          </cell>
          <cell r="C89">
            <v>42</v>
          </cell>
          <cell r="D89" t="str">
            <v>姆</v>
          </cell>
          <cell r="E89" t="str">
            <v>入聲</v>
          </cell>
          <cell r="F89" t="str">
            <v>mh</v>
          </cell>
          <cell r="G89" t="str">
            <v>m̩h</v>
          </cell>
          <cell r="H89" t="str">
            <v>mh</v>
          </cell>
          <cell r="I89" t="str">
            <v>mh</v>
          </cell>
          <cell r="J89" t="str">
            <v>mh</v>
          </cell>
          <cell r="K89" t="str">
            <v>ㆬㆷ</v>
          </cell>
        </row>
        <row r="90">
          <cell r="B90">
            <v>85</v>
          </cell>
          <cell r="C90">
            <v>43</v>
          </cell>
          <cell r="D90" t="str">
            <v>光</v>
          </cell>
          <cell r="E90" t="str">
            <v>舒聲</v>
          </cell>
          <cell r="F90" t="str">
            <v>oang</v>
          </cell>
          <cell r="G90" t="str">
            <v>uaŋ</v>
          </cell>
          <cell r="H90" t="str">
            <v>oang</v>
          </cell>
          <cell r="I90" t="str">
            <v>uang</v>
          </cell>
          <cell r="J90" t="str">
            <v>uang</v>
          </cell>
          <cell r="K90" t="str">
            <v>ㄨㄤ</v>
          </cell>
        </row>
        <row r="91">
          <cell r="B91">
            <v>86</v>
          </cell>
          <cell r="C91">
            <v>43</v>
          </cell>
          <cell r="D91" t="str">
            <v>光</v>
          </cell>
          <cell r="E91" t="str">
            <v>入聲</v>
          </cell>
          <cell r="F91" t="str">
            <v>oak</v>
          </cell>
          <cell r="G91" t="str">
            <v>uak̚</v>
          </cell>
          <cell r="H91" t="str">
            <v>oak</v>
          </cell>
          <cell r="I91" t="str">
            <v>uak</v>
          </cell>
          <cell r="J91" t="str">
            <v>uak</v>
          </cell>
          <cell r="K91" t="str">
            <v>ㄨㄚㆻ</v>
          </cell>
        </row>
        <row r="92">
          <cell r="B92">
            <v>87</v>
          </cell>
          <cell r="C92">
            <v>44</v>
          </cell>
          <cell r="D92" t="str">
            <v>閂</v>
          </cell>
          <cell r="E92" t="str">
            <v>舒聲</v>
          </cell>
          <cell r="F92" t="str">
            <v>oainn</v>
          </cell>
          <cell r="G92" t="str">
            <v>ũãĩ</v>
          </cell>
          <cell r="H92" t="str">
            <v>oaiⁿ</v>
          </cell>
          <cell r="I92" t="str">
            <v>uainn</v>
          </cell>
          <cell r="J92" t="str">
            <v>nuai</v>
          </cell>
          <cell r="K92" t="str">
            <v>ㄨㆮ</v>
          </cell>
        </row>
        <row r="93">
          <cell r="B93">
            <v>88</v>
          </cell>
          <cell r="C93">
            <v>44</v>
          </cell>
          <cell r="D93" t="str">
            <v>閂</v>
          </cell>
          <cell r="E93" t="str">
            <v>入聲</v>
          </cell>
          <cell r="F93" t="str">
            <v>oaihnn</v>
          </cell>
          <cell r="G93" t="str">
            <v>uãĩ?</v>
          </cell>
          <cell r="H93" t="str">
            <v>oaiⁿh</v>
          </cell>
          <cell r="I93" t="str">
            <v>uainnh</v>
          </cell>
          <cell r="J93" t="str">
            <v>nuaih</v>
          </cell>
          <cell r="K93" t="str">
            <v>ㄨㆮㆷ</v>
          </cell>
        </row>
        <row r="94">
          <cell r="B94">
            <v>89</v>
          </cell>
          <cell r="C94">
            <v>45</v>
          </cell>
          <cell r="D94" t="str">
            <v>糜</v>
          </cell>
          <cell r="E94" t="str">
            <v>舒聲</v>
          </cell>
          <cell r="F94" t="str">
            <v>oenn</v>
          </cell>
          <cell r="G94" t="str">
            <v>ũẽ</v>
          </cell>
          <cell r="H94" t="str">
            <v>oeⁿ</v>
          </cell>
          <cell r="I94" t="str">
            <v>uenn</v>
          </cell>
          <cell r="J94" t="str">
            <v>nue</v>
          </cell>
          <cell r="K94" t="str">
            <v>ㄨㆥ</v>
          </cell>
        </row>
        <row r="95">
          <cell r="B95">
            <v>90</v>
          </cell>
          <cell r="C95">
            <v>45</v>
          </cell>
          <cell r="D95" t="str">
            <v>糜</v>
          </cell>
          <cell r="E95" t="str">
            <v>入聲</v>
          </cell>
          <cell r="F95" t="str">
            <v>oennh</v>
          </cell>
          <cell r="G95" t="str">
            <v>ũẽ?</v>
          </cell>
          <cell r="H95" t="str">
            <v>oehⁿ</v>
          </cell>
          <cell r="I95" t="str">
            <v>uennh</v>
          </cell>
          <cell r="J95" t="str">
            <v>nueh</v>
          </cell>
          <cell r="K95" t="str">
            <v>ㄨㆥㆷ</v>
          </cell>
        </row>
        <row r="96">
          <cell r="B96">
            <v>91</v>
          </cell>
          <cell r="C96">
            <v>46</v>
          </cell>
          <cell r="D96" t="str">
            <v>嘄</v>
          </cell>
          <cell r="E96" t="str">
            <v>舒聲</v>
          </cell>
          <cell r="F96" t="str">
            <v>iaunn</v>
          </cell>
          <cell r="G96" t="str">
            <v>ĩãũ</v>
          </cell>
          <cell r="H96" t="str">
            <v>iauⁿ</v>
          </cell>
          <cell r="I96" t="str">
            <v>iaunn</v>
          </cell>
          <cell r="J96" t="str">
            <v>niao</v>
          </cell>
          <cell r="K96" t="str">
            <v>ㄧㆯ</v>
          </cell>
        </row>
        <row r="97">
          <cell r="B97">
            <v>92</v>
          </cell>
          <cell r="C97">
            <v>46</v>
          </cell>
          <cell r="D97" t="str">
            <v>嘄</v>
          </cell>
          <cell r="E97" t="str">
            <v>入聲</v>
          </cell>
          <cell r="F97" t="str">
            <v>iauhnn</v>
          </cell>
          <cell r="G97" t="str">
            <v>ĩãũ?</v>
          </cell>
          <cell r="H97" t="str">
            <v>iauⁿh</v>
          </cell>
          <cell r="I97" t="str">
            <v>iaunnh</v>
          </cell>
          <cell r="J97" t="str">
            <v>niaoh</v>
          </cell>
          <cell r="K97" t="str">
            <v>ㄧㆯㆷ</v>
          </cell>
        </row>
        <row r="98">
          <cell r="B98">
            <v>93</v>
          </cell>
          <cell r="C98">
            <v>47</v>
          </cell>
          <cell r="D98" t="str">
            <v>箴</v>
          </cell>
          <cell r="E98" t="str">
            <v>舒聲</v>
          </cell>
          <cell r="F98" t="str">
            <v>om</v>
          </cell>
          <cell r="G98" t="str">
            <v>ɔm</v>
          </cell>
          <cell r="H98" t="str">
            <v>om</v>
          </cell>
          <cell r="I98" t="str">
            <v>om</v>
          </cell>
          <cell r="J98" t="str">
            <v>om</v>
          </cell>
          <cell r="K98" t="str">
            <v>ㆱ</v>
          </cell>
        </row>
        <row r="99">
          <cell r="B99">
            <v>94</v>
          </cell>
          <cell r="C99">
            <v>47</v>
          </cell>
          <cell r="D99" t="str">
            <v>箴</v>
          </cell>
          <cell r="E99" t="str">
            <v>入聲</v>
          </cell>
          <cell r="F99" t="str">
            <v>op</v>
          </cell>
          <cell r="G99" t="str">
            <v>ɔp̚</v>
          </cell>
          <cell r="H99" t="str">
            <v>op</v>
          </cell>
          <cell r="I99" t="str">
            <v>op</v>
          </cell>
          <cell r="J99" t="str">
            <v>op</v>
          </cell>
          <cell r="K99" t="str">
            <v>ㆦㆴ</v>
          </cell>
        </row>
        <row r="100">
          <cell r="B100">
            <v>95</v>
          </cell>
          <cell r="C100">
            <v>48</v>
          </cell>
          <cell r="D100" t="str">
            <v>爻</v>
          </cell>
          <cell r="E100" t="str">
            <v>舒聲</v>
          </cell>
          <cell r="F100" t="str">
            <v>aunn</v>
          </cell>
          <cell r="G100" t="str">
            <v>ãũ</v>
          </cell>
          <cell r="H100" t="str">
            <v>auⁿ</v>
          </cell>
          <cell r="I100" t="str">
            <v>aunn</v>
          </cell>
          <cell r="J100" t="str">
            <v>nao</v>
          </cell>
          <cell r="K100" t="str">
            <v>ㆯ</v>
          </cell>
        </row>
        <row r="101">
          <cell r="B101">
            <v>96</v>
          </cell>
          <cell r="C101">
            <v>48</v>
          </cell>
          <cell r="D101" t="str">
            <v>爻</v>
          </cell>
          <cell r="E101" t="str">
            <v>入聲</v>
          </cell>
          <cell r="F101" t="str">
            <v>aunnh</v>
          </cell>
          <cell r="G101" t="str">
            <v>ãũ?</v>
          </cell>
          <cell r="H101" t="str">
            <v>auhⁿ</v>
          </cell>
          <cell r="I101" t="str">
            <v>aunnh</v>
          </cell>
          <cell r="J101" t="str">
            <v>naoh</v>
          </cell>
          <cell r="K101" t="str">
            <v>ㆯㆷ</v>
          </cell>
        </row>
        <row r="102">
          <cell r="B102">
            <v>97</v>
          </cell>
          <cell r="C102">
            <v>49</v>
          </cell>
          <cell r="D102" t="str">
            <v>扛</v>
          </cell>
          <cell r="E102" t="str">
            <v>舒聲</v>
          </cell>
          <cell r="F102" t="str">
            <v>onn</v>
          </cell>
          <cell r="G102" t="str">
            <v>õ</v>
          </cell>
          <cell r="H102" t="str">
            <v>oⁿ</v>
          </cell>
          <cell r="I102" t="str">
            <v>onn</v>
          </cell>
          <cell r="J102" t="str">
            <v>no</v>
          </cell>
          <cell r="K102" t="str">
            <v>ㆧ</v>
          </cell>
        </row>
        <row r="103">
          <cell r="B103">
            <v>98</v>
          </cell>
          <cell r="C103">
            <v>49</v>
          </cell>
          <cell r="D103" t="str">
            <v>扛</v>
          </cell>
          <cell r="E103" t="str">
            <v>入聲</v>
          </cell>
          <cell r="F103" t="str">
            <v>ohnn</v>
          </cell>
          <cell r="G103" t="str">
            <v>õh</v>
          </cell>
          <cell r="H103" t="str">
            <v>ohⁿ</v>
          </cell>
          <cell r="I103" t="str">
            <v>onnh</v>
          </cell>
          <cell r="J103" t="str">
            <v>noh</v>
          </cell>
          <cell r="K103" t="str">
            <v>ㆧㆷ</v>
          </cell>
        </row>
        <row r="104">
          <cell r="B104">
            <v>99</v>
          </cell>
          <cell r="C104">
            <v>50</v>
          </cell>
          <cell r="D104" t="str">
            <v>牛</v>
          </cell>
          <cell r="E104" t="str">
            <v>舒聲</v>
          </cell>
          <cell r="F104" t="str">
            <v>iunn</v>
          </cell>
          <cell r="G104" t="str">
            <v>ĩũ</v>
          </cell>
          <cell r="H104" t="str">
            <v>iuⁿ</v>
          </cell>
          <cell r="I104" t="str">
            <v>iunn</v>
          </cell>
          <cell r="J104" t="str">
            <v>niu</v>
          </cell>
          <cell r="K104" t="str">
            <v>ㄧㆫ</v>
          </cell>
        </row>
        <row r="105">
          <cell r="B105">
            <v>100</v>
          </cell>
          <cell r="C105">
            <v>50</v>
          </cell>
          <cell r="D105" t="str">
            <v>牛</v>
          </cell>
          <cell r="E105" t="str">
            <v>入聲</v>
          </cell>
          <cell r="F105" t="str">
            <v>iunnh</v>
          </cell>
          <cell r="G105" t="str">
            <v>iũh</v>
          </cell>
          <cell r="H105" t="str">
            <v>iuhⁿ</v>
          </cell>
          <cell r="I105" t="str">
            <v>iunnh</v>
          </cell>
          <cell r="J105" t="str">
            <v>niuh</v>
          </cell>
          <cell r="K105" t="str">
            <v>ㄧㆫㆷ</v>
          </cell>
        </row>
      </sheetData>
      <sheetData sheetId="17">
        <row r="5">
          <cell r="B5">
            <v>1</v>
          </cell>
          <cell r="C5" t="str">
            <v>君</v>
          </cell>
          <cell r="D5" t="str">
            <v>un</v>
          </cell>
          <cell r="E5" t="str">
            <v>ut</v>
          </cell>
          <cell r="F5" t="str">
            <v>un</v>
          </cell>
          <cell r="G5" t="str">
            <v>ut̚</v>
          </cell>
          <cell r="H5" t="str">
            <v>un</v>
          </cell>
          <cell r="I5" t="str">
            <v>ut</v>
          </cell>
          <cell r="J5" t="str">
            <v>un</v>
          </cell>
          <cell r="K5" t="str">
            <v>ut</v>
          </cell>
          <cell r="L5" t="str">
            <v>un</v>
          </cell>
          <cell r="M5" t="str">
            <v>ut</v>
          </cell>
          <cell r="N5" t="str">
            <v>ㄨㄣ</v>
          </cell>
          <cell r="O5" t="str">
            <v>ㄨㆵ</v>
          </cell>
          <cell r="P5" t="str">
            <v>wun</v>
          </cell>
          <cell r="Q5" t="str">
            <v>wut</v>
          </cell>
        </row>
        <row r="6">
          <cell r="B6">
            <v>2</v>
          </cell>
          <cell r="C6" t="str">
            <v>堅</v>
          </cell>
          <cell r="D6" t="str">
            <v>ian</v>
          </cell>
          <cell r="E6" t="str">
            <v>iat</v>
          </cell>
          <cell r="F6" t="str">
            <v>ian</v>
          </cell>
          <cell r="G6" t="str">
            <v>iat̚</v>
          </cell>
          <cell r="H6" t="str">
            <v>ian</v>
          </cell>
          <cell r="I6" t="str">
            <v>iat</v>
          </cell>
          <cell r="J6" t="str">
            <v>ian</v>
          </cell>
          <cell r="K6" t="str">
            <v>iat</v>
          </cell>
          <cell r="L6" t="str">
            <v>ian</v>
          </cell>
          <cell r="M6" t="str">
            <v>iat</v>
          </cell>
          <cell r="N6" t="str">
            <v>ㄧㄢ</v>
          </cell>
          <cell r="O6" t="str">
            <v>ㄧㄚㆵ</v>
          </cell>
          <cell r="P6" t="str">
            <v>ëen</v>
          </cell>
          <cell r="Q6" t="str">
            <v>ëet</v>
          </cell>
        </row>
        <row r="7">
          <cell r="B7">
            <v>3</v>
          </cell>
          <cell r="C7" t="str">
            <v>金</v>
          </cell>
          <cell r="D7" t="str">
            <v>im</v>
          </cell>
          <cell r="E7" t="str">
            <v>ip</v>
          </cell>
          <cell r="F7" t="str">
            <v>im</v>
          </cell>
          <cell r="G7" t="str">
            <v>ip̚</v>
          </cell>
          <cell r="H7" t="str">
            <v>im</v>
          </cell>
          <cell r="I7" t="str">
            <v>ip</v>
          </cell>
          <cell r="J7" t="str">
            <v>im</v>
          </cell>
          <cell r="K7" t="str">
            <v>ip</v>
          </cell>
          <cell r="L7" t="str">
            <v>im</v>
          </cell>
          <cell r="M7" t="str">
            <v>ip</v>
          </cell>
          <cell r="N7" t="str">
            <v>ㄧㆬ</v>
          </cell>
          <cell r="O7" t="str">
            <v>ㄧㆴ</v>
          </cell>
          <cell r="P7" t="str">
            <v>im</v>
          </cell>
          <cell r="Q7" t="str">
            <v>ip</v>
          </cell>
        </row>
        <row r="8">
          <cell r="B8">
            <v>4</v>
          </cell>
          <cell r="C8" t="str">
            <v>規</v>
          </cell>
          <cell r="D8" t="str">
            <v>ui</v>
          </cell>
          <cell r="E8" t="str">
            <v>uih</v>
          </cell>
          <cell r="F8" t="str">
            <v>ui</v>
          </cell>
          <cell r="G8" t="str">
            <v>ui?</v>
          </cell>
          <cell r="H8" t="str">
            <v>ui</v>
          </cell>
          <cell r="I8" t="str">
            <v>uih</v>
          </cell>
          <cell r="J8" t="str">
            <v>ui</v>
          </cell>
          <cell r="K8" t="str">
            <v>uih</v>
          </cell>
          <cell r="L8" t="str">
            <v>ui</v>
          </cell>
          <cell r="M8" t="str">
            <v>uih</v>
          </cell>
          <cell r="N8" t="str">
            <v>ㄨㄧ</v>
          </cell>
          <cell r="O8" t="str">
            <v>ㄨㄧㆷ</v>
          </cell>
          <cell r="P8" t="str">
            <v>wuy</v>
          </cell>
        </row>
        <row r="9">
          <cell r="B9">
            <v>5</v>
          </cell>
          <cell r="C9" t="str">
            <v>嘉</v>
          </cell>
          <cell r="D9" t="str">
            <v>ee</v>
          </cell>
          <cell r="E9" t="str">
            <v>eeh</v>
          </cell>
          <cell r="F9" t="str">
            <v>ɛ</v>
          </cell>
          <cell r="G9" t="str">
            <v>ɛ?</v>
          </cell>
          <cell r="H9" t="str">
            <v>ee</v>
          </cell>
          <cell r="I9" t="str">
            <v>eeh</v>
          </cell>
          <cell r="J9" t="str">
            <v>ee</v>
          </cell>
          <cell r="K9" t="str">
            <v>eh</v>
          </cell>
          <cell r="L9" t="str">
            <v>e</v>
          </cell>
          <cell r="M9" t="str">
            <v>eh</v>
          </cell>
          <cell r="N9" t="str">
            <v>ㄝ</v>
          </cell>
          <cell r="O9" t="str">
            <v>ㄝㆷ</v>
          </cell>
          <cell r="P9" t="str">
            <v>ay</v>
          </cell>
          <cell r="Q9" t="str">
            <v>ăyh</v>
          </cell>
          <cell r="R9" t="str">
            <v>彙音【嘉】韻母為：e</v>
          </cell>
        </row>
        <row r="10">
          <cell r="B10">
            <v>6</v>
          </cell>
          <cell r="C10" t="str">
            <v>干</v>
          </cell>
          <cell r="D10" t="str">
            <v>an</v>
          </cell>
          <cell r="E10" t="str">
            <v>at</v>
          </cell>
          <cell r="F10" t="str">
            <v>an</v>
          </cell>
          <cell r="G10" t="str">
            <v>at̚</v>
          </cell>
          <cell r="H10" t="str">
            <v>an</v>
          </cell>
          <cell r="I10" t="str">
            <v>at</v>
          </cell>
          <cell r="J10" t="str">
            <v>an</v>
          </cell>
          <cell r="K10" t="str">
            <v>ap</v>
          </cell>
          <cell r="L10" t="str">
            <v>an</v>
          </cell>
          <cell r="M10" t="str">
            <v>at</v>
          </cell>
          <cell r="N10" t="str">
            <v>ㄢ</v>
          </cell>
          <cell r="O10" t="str">
            <v>ㄚㆵ</v>
          </cell>
          <cell r="P10" t="str">
            <v>an</v>
          </cell>
          <cell r="Q10" t="str">
            <v>at</v>
          </cell>
        </row>
        <row r="11">
          <cell r="B11">
            <v>7</v>
          </cell>
          <cell r="C11" t="str">
            <v>公</v>
          </cell>
          <cell r="D11" t="str">
            <v>ong</v>
          </cell>
          <cell r="E11" t="str">
            <v>ok</v>
          </cell>
          <cell r="F11" t="str">
            <v>ɔŋ</v>
          </cell>
          <cell r="G11" t="str">
            <v>ɔk̚</v>
          </cell>
          <cell r="H11" t="str">
            <v>ong</v>
          </cell>
          <cell r="I11" t="str">
            <v>ok</v>
          </cell>
          <cell r="J11" t="str">
            <v>ong</v>
          </cell>
          <cell r="K11" t="str">
            <v>ok</v>
          </cell>
          <cell r="L11" t="str">
            <v>ong</v>
          </cell>
          <cell r="M11" t="str">
            <v>ok</v>
          </cell>
          <cell r="N11" t="str">
            <v>ㆲ</v>
          </cell>
          <cell r="O11" t="str">
            <v>ㆦㆻ</v>
          </cell>
          <cell r="P11" t="str">
            <v>ong</v>
          </cell>
          <cell r="Q11" t="str">
            <v>ok</v>
          </cell>
        </row>
        <row r="12">
          <cell r="B12">
            <v>8</v>
          </cell>
          <cell r="C12" t="str">
            <v>乖</v>
          </cell>
          <cell r="D12" t="str">
            <v>oai</v>
          </cell>
          <cell r="E12" t="str">
            <v>oaih</v>
          </cell>
          <cell r="F12" t="str">
            <v>uai</v>
          </cell>
          <cell r="G12" t="str">
            <v>uai?</v>
          </cell>
          <cell r="H12" t="str">
            <v>oai</v>
          </cell>
          <cell r="I12" t="str">
            <v>oaih</v>
          </cell>
          <cell r="J12" t="str">
            <v>uai</v>
          </cell>
          <cell r="K12" t="str">
            <v>uaih</v>
          </cell>
          <cell r="L12" t="str">
            <v>uai</v>
          </cell>
          <cell r="M12" t="str">
            <v>uaih</v>
          </cell>
          <cell r="N12" t="str">
            <v>ㄨㄞ</v>
          </cell>
          <cell r="O12" t="str">
            <v>ㄨㄞㆷ</v>
          </cell>
          <cell r="P12" t="str">
            <v>wae</v>
          </cell>
          <cell r="Q12" t="str">
            <v>waĕh</v>
          </cell>
        </row>
        <row r="13">
          <cell r="B13">
            <v>9</v>
          </cell>
          <cell r="C13" t="str">
            <v>經</v>
          </cell>
          <cell r="D13" t="str">
            <v>eng</v>
          </cell>
          <cell r="E13" t="str">
            <v>ek</v>
          </cell>
          <cell r="F13" t="str">
            <v>ɪŋ</v>
          </cell>
          <cell r="G13" t="str">
            <v>ik̚</v>
          </cell>
          <cell r="H13" t="str">
            <v>eng</v>
          </cell>
          <cell r="I13" t="str">
            <v>ek</v>
          </cell>
          <cell r="J13" t="str">
            <v>ing</v>
          </cell>
          <cell r="K13" t="str">
            <v>ik</v>
          </cell>
          <cell r="L13" t="str">
            <v>ing</v>
          </cell>
          <cell r="M13" t="str">
            <v>ik</v>
          </cell>
          <cell r="N13" t="str">
            <v>ㄧㄥ</v>
          </cell>
          <cell r="O13" t="str">
            <v>ㄧㆻ</v>
          </cell>
          <cell r="P13" t="str">
            <v>eng</v>
          </cell>
          <cell r="Q13" t="str">
            <v>ek</v>
          </cell>
        </row>
        <row r="14">
          <cell r="B14">
            <v>10</v>
          </cell>
          <cell r="C14" t="str">
            <v>觀</v>
          </cell>
          <cell r="D14" t="str">
            <v>oan</v>
          </cell>
          <cell r="E14" t="str">
            <v>oat</v>
          </cell>
          <cell r="F14" t="str">
            <v>uan</v>
          </cell>
          <cell r="G14" t="str">
            <v>uat̚</v>
          </cell>
          <cell r="H14" t="str">
            <v>oan</v>
          </cell>
          <cell r="I14" t="str">
            <v>oat</v>
          </cell>
          <cell r="J14" t="str">
            <v>uan</v>
          </cell>
          <cell r="K14" t="str">
            <v>uat</v>
          </cell>
          <cell r="L14" t="str">
            <v>uan</v>
          </cell>
          <cell r="M14" t="str">
            <v>uat</v>
          </cell>
          <cell r="N14" t="str">
            <v>ㄨㄢ</v>
          </cell>
          <cell r="O14" t="str">
            <v>ㄨㄚㆵ</v>
          </cell>
          <cell r="P14" t="str">
            <v>wan</v>
          </cell>
          <cell r="Q14" t="str">
            <v>wat</v>
          </cell>
        </row>
        <row r="15">
          <cell r="B15">
            <v>11</v>
          </cell>
          <cell r="C15" t="str">
            <v>沽</v>
          </cell>
          <cell r="D15" t="str">
            <v>oo</v>
          </cell>
          <cell r="E15" t="str">
            <v>ooh</v>
          </cell>
          <cell r="F15" t="str">
            <v>ɔ</v>
          </cell>
          <cell r="G15" t="str">
            <v>ɔu?</v>
          </cell>
          <cell r="H15" t="str">
            <v>o͘</v>
          </cell>
          <cell r="I15" t="str">
            <v>o͘h</v>
          </cell>
          <cell r="J15" t="str">
            <v>oo</v>
          </cell>
          <cell r="K15" t="str">
            <v>ooh</v>
          </cell>
          <cell r="L15" t="str">
            <v>oo</v>
          </cell>
          <cell r="M15" t="str">
            <v>ooh</v>
          </cell>
          <cell r="N15" t="str">
            <v>ㆦ</v>
          </cell>
          <cell r="O15" t="str">
            <v>ㆦㆷ</v>
          </cell>
          <cell r="P15" t="str">
            <v>oe</v>
          </cell>
          <cell r="R15" t="str">
            <v>白話字的/ɔ/ [o͘] 有時寫成[ou]，因為[o͘]右上角的那點不易見。台羅 oo = ou</v>
          </cell>
        </row>
        <row r="16">
          <cell r="B16">
            <v>12</v>
          </cell>
          <cell r="C16" t="str">
            <v>嬌</v>
          </cell>
          <cell r="D16" t="str">
            <v>iau</v>
          </cell>
          <cell r="E16" t="str">
            <v>iauh</v>
          </cell>
          <cell r="F16" t="str">
            <v>iaʊ</v>
          </cell>
          <cell r="G16" t="str">
            <v>iau?</v>
          </cell>
          <cell r="H16" t="str">
            <v>iau</v>
          </cell>
          <cell r="I16" t="str">
            <v>iauh</v>
          </cell>
          <cell r="J16" t="str">
            <v>iau</v>
          </cell>
          <cell r="K16" t="str">
            <v>iauh</v>
          </cell>
          <cell r="L16" t="str">
            <v>iao</v>
          </cell>
          <cell r="M16" t="str">
            <v>iaoh</v>
          </cell>
          <cell r="N16" t="str">
            <v>ㄧㄠ</v>
          </cell>
          <cell r="O16" t="str">
            <v>ㄧㄠㆷ</v>
          </cell>
          <cell r="P16" t="str">
            <v>eaou</v>
          </cell>
          <cell r="Q16" t="str">
            <v>eaoŭh</v>
          </cell>
        </row>
        <row r="17">
          <cell r="B17">
            <v>13</v>
          </cell>
          <cell r="C17" t="str">
            <v>稽</v>
          </cell>
          <cell r="D17" t="str">
            <v>ei</v>
          </cell>
          <cell r="E17" t="str">
            <v>eih</v>
          </cell>
          <cell r="F17" t="str">
            <v>ei</v>
          </cell>
          <cell r="G17" t="str">
            <v>ei?</v>
          </cell>
          <cell r="H17" t="str">
            <v>ei</v>
          </cell>
          <cell r="I17" t="str">
            <v>eih</v>
          </cell>
          <cell r="J17" t="str">
            <v>e</v>
          </cell>
          <cell r="K17" t="str">
            <v>eh</v>
          </cell>
          <cell r="L17" t="str">
            <v>e</v>
          </cell>
          <cell r="M17" t="str">
            <v>eh</v>
          </cell>
          <cell r="N17" t="str">
            <v>ㄟ</v>
          </cell>
          <cell r="O17" t="str">
            <v>ㄟㆷ</v>
          </cell>
          <cell r="P17" t="str">
            <v>ey</v>
          </cell>
          <cell r="R17" t="str">
            <v>啼：【雅俗通】Thei2 (他稽下平）；【台羅】The5</v>
          </cell>
        </row>
        <row r="18">
          <cell r="B18">
            <v>14</v>
          </cell>
          <cell r="C18" t="str">
            <v>恭</v>
          </cell>
          <cell r="D18" t="str">
            <v>iong</v>
          </cell>
          <cell r="E18" t="str">
            <v>iok</v>
          </cell>
          <cell r="F18" t="str">
            <v>iɔŋ</v>
          </cell>
          <cell r="G18" t="str">
            <v>iɔk̚</v>
          </cell>
          <cell r="H18" t="str">
            <v>iong</v>
          </cell>
          <cell r="I18" t="str">
            <v>iok</v>
          </cell>
          <cell r="J18" t="str">
            <v>iong</v>
          </cell>
          <cell r="K18" t="str">
            <v>iok</v>
          </cell>
          <cell r="L18" t="str">
            <v>iong</v>
          </cell>
          <cell r="M18" t="str">
            <v>iok</v>
          </cell>
          <cell r="N18" t="str">
            <v>ㄧㆲ</v>
          </cell>
          <cell r="O18" t="str">
            <v>ㄧㆦㆻ</v>
          </cell>
          <cell r="P18" t="str">
            <v>ëung</v>
          </cell>
          <cell r="Q18" t="str">
            <v>ëuk</v>
          </cell>
        </row>
        <row r="19">
          <cell r="B19">
            <v>15</v>
          </cell>
          <cell r="C19" t="str">
            <v>高</v>
          </cell>
          <cell r="D19" t="str">
            <v>o</v>
          </cell>
          <cell r="E19" t="str">
            <v>oh</v>
          </cell>
          <cell r="F19" t="str">
            <v>o</v>
          </cell>
          <cell r="G19" t="str">
            <v>ə?</v>
          </cell>
          <cell r="H19" t="str">
            <v>o</v>
          </cell>
          <cell r="I19" t="str">
            <v>oh</v>
          </cell>
          <cell r="J19" t="str">
            <v>o</v>
          </cell>
          <cell r="K19" t="str">
            <v>oh</v>
          </cell>
          <cell r="L19" t="str">
            <v>o</v>
          </cell>
          <cell r="M19" t="str">
            <v>oh</v>
          </cell>
          <cell r="N19" t="str">
            <v>ㄜ</v>
          </cell>
          <cell r="O19" t="str">
            <v>ㄜㆷ</v>
          </cell>
          <cell r="P19" t="str">
            <v>o</v>
          </cell>
          <cell r="Q19" t="str">
            <v>ŏh</v>
          </cell>
        </row>
        <row r="20">
          <cell r="B20">
            <v>16</v>
          </cell>
          <cell r="C20" t="str">
            <v>皆</v>
          </cell>
          <cell r="D20" t="str">
            <v>ai</v>
          </cell>
          <cell r="E20" t="str">
            <v>aih</v>
          </cell>
          <cell r="F20" t="str">
            <v>ai</v>
          </cell>
          <cell r="G20" t="str">
            <v>ai?</v>
          </cell>
          <cell r="H20" t="str">
            <v>ai</v>
          </cell>
          <cell r="I20" t="str">
            <v>aih</v>
          </cell>
          <cell r="J20" t="str">
            <v>ai</v>
          </cell>
          <cell r="K20" t="str">
            <v>aih</v>
          </cell>
          <cell r="L20" t="str">
            <v>ai</v>
          </cell>
          <cell r="M20" t="str">
            <v>aih</v>
          </cell>
          <cell r="N20" t="str">
            <v>ㄞ</v>
          </cell>
          <cell r="O20" t="str">
            <v>ㄞㆷ</v>
          </cell>
          <cell r="P20" t="str">
            <v>ae</v>
          </cell>
        </row>
        <row r="21">
          <cell r="B21">
            <v>17</v>
          </cell>
          <cell r="C21" t="str">
            <v>巾</v>
          </cell>
          <cell r="D21" t="str">
            <v>in</v>
          </cell>
          <cell r="E21" t="str">
            <v>it</v>
          </cell>
          <cell r="F21" t="str">
            <v>in</v>
          </cell>
          <cell r="G21" t="str">
            <v>it̚</v>
          </cell>
          <cell r="H21" t="str">
            <v>in</v>
          </cell>
          <cell r="I21" t="str">
            <v>it</v>
          </cell>
          <cell r="J21" t="str">
            <v>in</v>
          </cell>
          <cell r="K21" t="str">
            <v>it</v>
          </cell>
          <cell r="L21" t="str">
            <v>in</v>
          </cell>
          <cell r="M21" t="str">
            <v>it</v>
          </cell>
          <cell r="N21" t="str">
            <v>ㄧㄣ</v>
          </cell>
          <cell r="O21" t="str">
            <v>ㄧㆵ</v>
          </cell>
          <cell r="P21" t="str">
            <v>in</v>
          </cell>
          <cell r="Q21" t="str">
            <v>it</v>
          </cell>
        </row>
        <row r="22">
          <cell r="B22">
            <v>18</v>
          </cell>
          <cell r="C22" t="str">
            <v>姜</v>
          </cell>
          <cell r="D22" t="str">
            <v>iang</v>
          </cell>
          <cell r="E22" t="str">
            <v>iak</v>
          </cell>
          <cell r="F22" t="str">
            <v>iaŋ</v>
          </cell>
          <cell r="G22" t="str">
            <v>iak̚</v>
          </cell>
          <cell r="H22" t="str">
            <v>iang</v>
          </cell>
          <cell r="I22" t="str">
            <v>iak</v>
          </cell>
          <cell r="J22" t="str">
            <v>iang</v>
          </cell>
          <cell r="K22" t="str">
            <v>iak</v>
          </cell>
          <cell r="L22" t="str">
            <v>iang</v>
          </cell>
          <cell r="M22" t="str">
            <v>iak</v>
          </cell>
          <cell r="N22" t="str">
            <v>ㄧㄤ</v>
          </cell>
          <cell r="O22" t="str">
            <v>ㄧㄚㆻ</v>
          </cell>
          <cell r="P22" t="str">
            <v>ëang</v>
          </cell>
          <cell r="Q22" t="str">
            <v>ëak</v>
          </cell>
        </row>
        <row r="23">
          <cell r="B23">
            <v>19</v>
          </cell>
          <cell r="C23" t="str">
            <v>甘</v>
          </cell>
          <cell r="D23" t="str">
            <v>am</v>
          </cell>
          <cell r="E23" t="str">
            <v>ap</v>
          </cell>
          <cell r="F23" t="str">
            <v>am</v>
          </cell>
          <cell r="G23" t="str">
            <v>ap̚</v>
          </cell>
          <cell r="H23" t="str">
            <v>am</v>
          </cell>
          <cell r="I23" t="str">
            <v>ap</v>
          </cell>
          <cell r="J23" t="str">
            <v>am</v>
          </cell>
          <cell r="K23" t="str">
            <v>ap</v>
          </cell>
          <cell r="L23" t="str">
            <v>am</v>
          </cell>
          <cell r="M23" t="str">
            <v>ap</v>
          </cell>
          <cell r="N23" t="str">
            <v>ㆰ</v>
          </cell>
          <cell r="O23" t="str">
            <v>ㄚㆴ</v>
          </cell>
          <cell r="P23" t="str">
            <v>am</v>
          </cell>
          <cell r="Q23" t="str">
            <v>ap</v>
          </cell>
        </row>
        <row r="24">
          <cell r="B24">
            <v>20</v>
          </cell>
          <cell r="C24" t="str">
            <v>瓜</v>
          </cell>
          <cell r="D24" t="str">
            <v>oa</v>
          </cell>
          <cell r="E24" t="str">
            <v>oah</v>
          </cell>
          <cell r="F24" t="str">
            <v>ua</v>
          </cell>
          <cell r="G24" t="str">
            <v>ua?</v>
          </cell>
          <cell r="H24" t="str">
            <v>oa</v>
          </cell>
          <cell r="I24" t="str">
            <v>oah</v>
          </cell>
          <cell r="J24" t="str">
            <v>ua</v>
          </cell>
          <cell r="K24" t="str">
            <v>uah</v>
          </cell>
          <cell r="L24" t="str">
            <v>ua</v>
          </cell>
          <cell r="M24" t="str">
            <v>uah</v>
          </cell>
          <cell r="N24" t="str">
            <v>ㄨㄚ</v>
          </cell>
          <cell r="O24" t="str">
            <v>ㄨㄚㆷ</v>
          </cell>
          <cell r="P24" t="str">
            <v>wa</v>
          </cell>
          <cell r="Q24" t="str">
            <v>wăh</v>
          </cell>
        </row>
        <row r="25">
          <cell r="B25">
            <v>21</v>
          </cell>
          <cell r="C25" t="str">
            <v>江</v>
          </cell>
          <cell r="D25" t="str">
            <v>ang</v>
          </cell>
          <cell r="E25" t="str">
            <v>ak</v>
          </cell>
          <cell r="F25" t="str">
            <v>aŋ</v>
          </cell>
          <cell r="G25" t="str">
            <v>ak̚</v>
          </cell>
          <cell r="H25" t="str">
            <v>ang</v>
          </cell>
          <cell r="I25" t="str">
            <v>ak</v>
          </cell>
          <cell r="J25" t="str">
            <v>ang</v>
          </cell>
          <cell r="K25" t="str">
            <v>ak</v>
          </cell>
          <cell r="L25" t="str">
            <v>ang</v>
          </cell>
          <cell r="M25" t="str">
            <v>ak</v>
          </cell>
          <cell r="N25" t="str">
            <v>ㄤ</v>
          </cell>
          <cell r="O25" t="str">
            <v>ㄚㆻ</v>
          </cell>
          <cell r="P25" t="str">
            <v>ang</v>
          </cell>
          <cell r="Q25" t="str">
            <v>ak</v>
          </cell>
        </row>
        <row r="26">
          <cell r="B26">
            <v>22</v>
          </cell>
          <cell r="C26" t="str">
            <v>兼</v>
          </cell>
          <cell r="D26" t="str">
            <v>iam</v>
          </cell>
          <cell r="E26" t="str">
            <v>iap</v>
          </cell>
          <cell r="F26" t="str">
            <v>iam</v>
          </cell>
          <cell r="G26" t="str">
            <v>iap̚</v>
          </cell>
          <cell r="H26" t="str">
            <v>iam</v>
          </cell>
          <cell r="I26" t="str">
            <v>iap</v>
          </cell>
          <cell r="J26" t="str">
            <v>iam</v>
          </cell>
          <cell r="K26" t="str">
            <v>iap</v>
          </cell>
          <cell r="L26" t="str">
            <v>iam</v>
          </cell>
          <cell r="M26" t="str">
            <v>iap</v>
          </cell>
          <cell r="N26" t="str">
            <v>ㄧㆰ</v>
          </cell>
          <cell r="O26" t="str">
            <v>ㄧㄚㆴ</v>
          </cell>
          <cell r="P26" t="str">
            <v>ëem</v>
          </cell>
          <cell r="Q26" t="str">
            <v>ëep</v>
          </cell>
        </row>
        <row r="27">
          <cell r="B27">
            <v>23</v>
          </cell>
          <cell r="C27" t="str">
            <v>交</v>
          </cell>
          <cell r="D27" t="str">
            <v>au</v>
          </cell>
          <cell r="E27" t="str">
            <v>auh</v>
          </cell>
          <cell r="F27" t="str">
            <v>aʊ</v>
          </cell>
          <cell r="G27" t="str">
            <v>au?</v>
          </cell>
          <cell r="H27" t="str">
            <v>au</v>
          </cell>
          <cell r="I27" t="str">
            <v>auh</v>
          </cell>
          <cell r="J27" t="str">
            <v>au</v>
          </cell>
          <cell r="K27" t="str">
            <v>auh</v>
          </cell>
          <cell r="L27" t="str">
            <v>ao</v>
          </cell>
          <cell r="M27" t="str">
            <v>aoh</v>
          </cell>
          <cell r="N27" t="str">
            <v>ㄠ</v>
          </cell>
          <cell r="O27" t="str">
            <v>ㄠㆷ</v>
          </cell>
          <cell r="P27" t="str">
            <v>aou</v>
          </cell>
          <cell r="Q27" t="str">
            <v>aoŭh</v>
          </cell>
          <cell r="R27" t="str">
            <v>aʊ</v>
          </cell>
        </row>
        <row r="28">
          <cell r="B28">
            <v>24</v>
          </cell>
          <cell r="C28" t="str">
            <v>迦</v>
          </cell>
          <cell r="D28" t="str">
            <v>ia</v>
          </cell>
          <cell r="E28" t="str">
            <v>iah</v>
          </cell>
          <cell r="F28" t="str">
            <v>ia</v>
          </cell>
          <cell r="G28" t="str">
            <v>ia?</v>
          </cell>
          <cell r="H28" t="str">
            <v>ia</v>
          </cell>
          <cell r="I28" t="str">
            <v>iah</v>
          </cell>
          <cell r="J28" t="str">
            <v>ia</v>
          </cell>
          <cell r="K28" t="str">
            <v>iah</v>
          </cell>
          <cell r="L28" t="str">
            <v>ia</v>
          </cell>
          <cell r="M28" t="str">
            <v>iah</v>
          </cell>
          <cell r="N28" t="str">
            <v>ㄧㄚ</v>
          </cell>
          <cell r="O28" t="str">
            <v>ㄧㄚㆷ</v>
          </cell>
          <cell r="P28" t="str">
            <v>ëa</v>
          </cell>
          <cell r="Q28" t="str">
            <v>ëăh</v>
          </cell>
          <cell r="R28" t="str">
            <v>【若】：梵文譯音用字，僅限翻念外來語特殊用法。例：般若波羅密多。</v>
          </cell>
        </row>
        <row r="29">
          <cell r="B29">
            <v>25</v>
          </cell>
          <cell r="C29" t="str">
            <v>檜</v>
          </cell>
          <cell r="D29" t="str">
            <v>oe</v>
          </cell>
          <cell r="E29" t="str">
            <v>oeh</v>
          </cell>
          <cell r="F29" t="str">
            <v>ue</v>
          </cell>
          <cell r="G29" t="str">
            <v>ue?</v>
          </cell>
          <cell r="H29" t="str">
            <v>oe</v>
          </cell>
          <cell r="I29" t="str">
            <v>oeh</v>
          </cell>
          <cell r="J29" t="str">
            <v>ue</v>
          </cell>
          <cell r="K29" t="str">
            <v>ueh</v>
          </cell>
          <cell r="L29" t="str">
            <v>ue</v>
          </cell>
          <cell r="M29" t="str">
            <v>ueh</v>
          </cell>
          <cell r="N29" t="str">
            <v>ㄨㆤ</v>
          </cell>
          <cell r="O29" t="str">
            <v>ㄨㆤㆷ</v>
          </cell>
          <cell r="P29" t="str">
            <v>öey</v>
          </cell>
          <cell r="Q29" t="str">
            <v>öĕyh</v>
          </cell>
        </row>
        <row r="30">
          <cell r="B30">
            <v>26</v>
          </cell>
          <cell r="C30" t="str">
            <v>監</v>
          </cell>
          <cell r="D30" t="str">
            <v>ann</v>
          </cell>
          <cell r="E30" t="str">
            <v>ahnn</v>
          </cell>
          <cell r="F30" t="str">
            <v>ã</v>
          </cell>
          <cell r="G30" t="str">
            <v>ã?</v>
          </cell>
          <cell r="H30" t="str">
            <v>aⁿ</v>
          </cell>
          <cell r="I30" t="str">
            <v>ahⁿ</v>
          </cell>
          <cell r="J30" t="str">
            <v>ann</v>
          </cell>
          <cell r="K30" t="str">
            <v>annh</v>
          </cell>
          <cell r="L30" t="str">
            <v>na</v>
          </cell>
          <cell r="M30" t="str">
            <v>nah</v>
          </cell>
          <cell r="N30" t="str">
            <v>ㆩ</v>
          </cell>
          <cell r="O30" t="str">
            <v>ㆩㆷ</v>
          </cell>
          <cell r="P30" t="str">
            <v>ⁿa</v>
          </cell>
          <cell r="Q30" t="str">
            <v>ⁿăh</v>
          </cell>
          <cell r="R30" t="str">
            <v>Lann = Na</v>
          </cell>
        </row>
        <row r="31">
          <cell r="B31">
            <v>27</v>
          </cell>
          <cell r="C31" t="str">
            <v>艍</v>
          </cell>
          <cell r="D31" t="str">
            <v>u</v>
          </cell>
          <cell r="E31" t="str">
            <v>uh</v>
          </cell>
          <cell r="F31" t="str">
            <v>u</v>
          </cell>
          <cell r="G31" t="str">
            <v>u?</v>
          </cell>
          <cell r="H31" t="str">
            <v>u</v>
          </cell>
          <cell r="I31" t="str">
            <v>uh</v>
          </cell>
          <cell r="J31" t="str">
            <v>u</v>
          </cell>
          <cell r="K31" t="str">
            <v>uh</v>
          </cell>
          <cell r="L31" t="str">
            <v>u</v>
          </cell>
          <cell r="M31" t="str">
            <v>uh</v>
          </cell>
          <cell r="N31" t="str">
            <v>ㄨ</v>
          </cell>
          <cell r="O31" t="str">
            <v>ㄨㆷ</v>
          </cell>
          <cell r="P31" t="str">
            <v>oo</v>
          </cell>
          <cell r="Q31" t="str">
            <v>oŏh</v>
          </cell>
          <cell r="R31" t="str">
            <v>海腔</v>
          </cell>
        </row>
        <row r="32">
          <cell r="B32">
            <v>28</v>
          </cell>
          <cell r="C32" t="str">
            <v>膠</v>
          </cell>
          <cell r="D32" t="str">
            <v>a</v>
          </cell>
          <cell r="E32" t="str">
            <v>ah</v>
          </cell>
          <cell r="F32" t="str">
            <v>a</v>
          </cell>
          <cell r="G32" t="str">
            <v>a?</v>
          </cell>
          <cell r="H32" t="str">
            <v>a</v>
          </cell>
          <cell r="I32" t="str">
            <v>ah</v>
          </cell>
          <cell r="J32" t="str">
            <v>a</v>
          </cell>
          <cell r="K32" t="str">
            <v>ah</v>
          </cell>
          <cell r="L32" t="str">
            <v>a</v>
          </cell>
          <cell r="M32" t="str">
            <v>ah</v>
          </cell>
          <cell r="N32" t="str">
            <v>ㄚ</v>
          </cell>
          <cell r="O32" t="str">
            <v>ㄚㆷ</v>
          </cell>
          <cell r="P32" t="str">
            <v>a</v>
          </cell>
          <cell r="Q32" t="str">
            <v>ăh</v>
          </cell>
        </row>
        <row r="33">
          <cell r="B33">
            <v>29</v>
          </cell>
          <cell r="C33" t="str">
            <v>居</v>
          </cell>
          <cell r="D33" t="str">
            <v>i</v>
          </cell>
          <cell r="E33" t="str">
            <v>ih</v>
          </cell>
          <cell r="F33" t="str">
            <v>i</v>
          </cell>
          <cell r="G33" t="str">
            <v>i?</v>
          </cell>
          <cell r="H33" t="str">
            <v>i</v>
          </cell>
          <cell r="I33" t="str">
            <v>ih</v>
          </cell>
          <cell r="J33" t="str">
            <v>i</v>
          </cell>
          <cell r="K33" t="str">
            <v>ih</v>
          </cell>
          <cell r="L33" t="str">
            <v>i</v>
          </cell>
          <cell r="M33" t="str">
            <v>ih</v>
          </cell>
          <cell r="N33" t="str">
            <v>ㄧ</v>
          </cell>
          <cell r="O33" t="str">
            <v>ㄧㆷ</v>
          </cell>
          <cell r="P33" t="str">
            <v>e</v>
          </cell>
          <cell r="Q33" t="str">
            <v>eĕh</v>
          </cell>
        </row>
        <row r="34">
          <cell r="B34">
            <v>30</v>
          </cell>
          <cell r="C34" t="str">
            <v>丩</v>
          </cell>
          <cell r="D34" t="str">
            <v>iu</v>
          </cell>
          <cell r="E34" t="str">
            <v>iuh</v>
          </cell>
          <cell r="F34" t="str">
            <v>iu</v>
          </cell>
          <cell r="G34" t="str">
            <v>iu?</v>
          </cell>
          <cell r="H34" t="str">
            <v>iu</v>
          </cell>
          <cell r="I34" t="str">
            <v>iuh</v>
          </cell>
          <cell r="J34" t="str">
            <v>iu</v>
          </cell>
          <cell r="K34" t="str">
            <v>iuh</v>
          </cell>
          <cell r="L34" t="str">
            <v>iu</v>
          </cell>
          <cell r="M34" t="str">
            <v>iuh</v>
          </cell>
          <cell r="N34" t="str">
            <v>ㄧㄨ</v>
          </cell>
          <cell r="O34" t="str">
            <v>ㄧㄨㆷ</v>
          </cell>
          <cell r="P34" t="str">
            <v>ew</v>
          </cell>
        </row>
        <row r="35">
          <cell r="B35">
            <v>31</v>
          </cell>
          <cell r="C35" t="str">
            <v>更</v>
          </cell>
          <cell r="D35" t="str">
            <v>enn</v>
          </cell>
          <cell r="E35" t="str">
            <v>ehnn</v>
          </cell>
          <cell r="F35" t="str">
            <v>ẽ</v>
          </cell>
          <cell r="G35" t="str">
            <v>ẽ?</v>
          </cell>
          <cell r="H35" t="str">
            <v>eⁿ</v>
          </cell>
          <cell r="I35" t="str">
            <v>ehⁿ</v>
          </cell>
          <cell r="J35" t="str">
            <v>enn</v>
          </cell>
          <cell r="K35" t="str">
            <v>ennh</v>
          </cell>
          <cell r="L35" t="str">
            <v>ne</v>
          </cell>
          <cell r="M35" t="str">
            <v>neh</v>
          </cell>
          <cell r="N35" t="str">
            <v>ㆥ</v>
          </cell>
          <cell r="O35" t="str">
            <v>ㆥㆷ</v>
          </cell>
          <cell r="P35" t="str">
            <v>aiⁿᶢ</v>
          </cell>
          <cell r="Q35" t="str">
            <v>aĭⁿᶢh</v>
          </cell>
          <cell r="R35" t="str">
            <v>箏</v>
          </cell>
        </row>
        <row r="36">
          <cell r="B36">
            <v>32</v>
          </cell>
          <cell r="C36" t="str">
            <v>褌</v>
          </cell>
          <cell r="D36" t="str">
            <v>uinn</v>
          </cell>
          <cell r="E36" t="str">
            <v>uinnh</v>
          </cell>
          <cell r="F36" t="str">
            <v>ũĩ</v>
          </cell>
          <cell r="G36" t="str">
            <v>ũĩ?</v>
          </cell>
          <cell r="H36" t="str">
            <v>uiⁿ</v>
          </cell>
          <cell r="I36" t="str">
            <v>uihⁿ</v>
          </cell>
          <cell r="J36" t="str">
            <v>uinn</v>
          </cell>
          <cell r="K36" t="str">
            <v>uinnh</v>
          </cell>
          <cell r="L36" t="str">
            <v>nui</v>
          </cell>
          <cell r="M36" t="str">
            <v>nuih</v>
          </cell>
          <cell r="N36" t="str">
            <v>ㄨㆪ</v>
          </cell>
          <cell r="O36" t="str">
            <v>ㄨㆪㆷ</v>
          </cell>
          <cell r="P36" t="str">
            <v>wuiⁿᶢ</v>
          </cell>
          <cell r="R36" t="str">
            <v>【彙音】褌：-ng</v>
          </cell>
        </row>
        <row r="37">
          <cell r="B37">
            <v>33</v>
          </cell>
          <cell r="C37" t="str">
            <v>茄</v>
          </cell>
          <cell r="D37" t="str">
            <v>io</v>
          </cell>
          <cell r="E37" t="str">
            <v>ioh</v>
          </cell>
          <cell r="F37" t="str">
            <v>io</v>
          </cell>
          <cell r="G37" t="str">
            <v>iə?</v>
          </cell>
          <cell r="H37" t="str">
            <v>io</v>
          </cell>
          <cell r="I37" t="str">
            <v>ioh</v>
          </cell>
          <cell r="J37" t="str">
            <v>io</v>
          </cell>
          <cell r="K37" t="str">
            <v>ioh</v>
          </cell>
          <cell r="L37" t="str">
            <v>io</v>
          </cell>
          <cell r="M37" t="str">
            <v>ioh</v>
          </cell>
          <cell r="N37" t="str">
            <v>ㄧㄜ</v>
          </cell>
          <cell r="O37" t="str">
            <v>ㄧㄜㆷ</v>
          </cell>
          <cell r="P37" t="str">
            <v>ëo</v>
          </cell>
          <cell r="Q37" t="str">
            <v>ëŏh</v>
          </cell>
        </row>
        <row r="38">
          <cell r="B38">
            <v>34</v>
          </cell>
          <cell r="C38" t="str">
            <v>梔</v>
          </cell>
          <cell r="D38" t="str">
            <v>inn</v>
          </cell>
          <cell r="E38" t="str">
            <v>ihnn</v>
          </cell>
          <cell r="F38" t="str">
            <v>ĩ</v>
          </cell>
          <cell r="G38" t="str">
            <v>ĩ?</v>
          </cell>
          <cell r="H38" t="str">
            <v>iⁿ</v>
          </cell>
          <cell r="I38" t="str">
            <v>iⁿh</v>
          </cell>
          <cell r="J38" t="str">
            <v>inn</v>
          </cell>
          <cell r="K38" t="str">
            <v>innh</v>
          </cell>
          <cell r="L38" t="str">
            <v>ni</v>
          </cell>
          <cell r="M38" t="str">
            <v>nih</v>
          </cell>
          <cell r="N38" t="str">
            <v>ㆪ</v>
          </cell>
          <cell r="O38" t="str">
            <v>ㆪ</v>
          </cell>
          <cell r="P38" t="str">
            <v>eeⁿᶢ</v>
          </cell>
          <cell r="Q38" t="str">
            <v>eĕⁿᶢh</v>
          </cell>
        </row>
        <row r="39">
          <cell r="B39">
            <v>35</v>
          </cell>
          <cell r="C39" t="str">
            <v>薑</v>
          </cell>
          <cell r="D39" t="str">
            <v>ionn</v>
          </cell>
          <cell r="E39" t="str">
            <v>ionnh</v>
          </cell>
          <cell r="F39" t="str">
            <v>ĩɔ̃</v>
          </cell>
          <cell r="G39" t="str">
            <v>ĩɔ̃?</v>
          </cell>
          <cell r="H39" t="str">
            <v>ioⁿ</v>
          </cell>
          <cell r="I39" t="str">
            <v>iohⁿ</v>
          </cell>
          <cell r="J39" t="str">
            <v>ionn</v>
          </cell>
          <cell r="K39" t="str">
            <v>ionnh</v>
          </cell>
          <cell r="L39" t="str">
            <v>nioo</v>
          </cell>
          <cell r="M39" t="str">
            <v>niooh</v>
          </cell>
          <cell r="N39" t="str">
            <v>ㄧㆧ</v>
          </cell>
          <cell r="O39" t="str">
            <v>ㄧㆧㆷ</v>
          </cell>
          <cell r="P39" t="str">
            <v>ëoⁿᶢ</v>
          </cell>
          <cell r="R39" t="str">
            <v>彙音的薑轉到牛</v>
          </cell>
        </row>
        <row r="40">
          <cell r="B40">
            <v>36</v>
          </cell>
          <cell r="C40" t="str">
            <v>驚</v>
          </cell>
          <cell r="D40" t="str">
            <v>iann</v>
          </cell>
          <cell r="E40" t="str">
            <v>iannh</v>
          </cell>
          <cell r="F40" t="str">
            <v>ĩã</v>
          </cell>
          <cell r="G40" t="str">
            <v>iãh</v>
          </cell>
          <cell r="H40" t="str">
            <v>iaⁿ</v>
          </cell>
          <cell r="I40" t="str">
            <v>iahⁿ</v>
          </cell>
          <cell r="J40" t="str">
            <v>iann</v>
          </cell>
          <cell r="K40" t="str">
            <v>iannh</v>
          </cell>
          <cell r="L40" t="str">
            <v>nia</v>
          </cell>
          <cell r="M40" t="str">
            <v>niah</v>
          </cell>
          <cell r="N40" t="str">
            <v>ㄧㆩ</v>
          </cell>
          <cell r="O40" t="str">
            <v>ㄧㆩㆷ</v>
          </cell>
          <cell r="P40" t="str">
            <v>ëⁿa</v>
          </cell>
          <cell r="R40" t="str">
            <v>娘： Liann5</v>
          </cell>
        </row>
        <row r="41">
          <cell r="B41">
            <v>37</v>
          </cell>
          <cell r="C41" t="str">
            <v>官</v>
          </cell>
          <cell r="D41" t="str">
            <v>oann</v>
          </cell>
          <cell r="E41" t="str">
            <v>oannh</v>
          </cell>
          <cell r="F41" t="str">
            <v>ũã</v>
          </cell>
          <cell r="G41" t="str">
            <v>ũã?</v>
          </cell>
          <cell r="H41" t="str">
            <v>oaⁿ</v>
          </cell>
          <cell r="I41" t="str">
            <v>oahⁿ</v>
          </cell>
          <cell r="J41" t="str">
            <v>uann</v>
          </cell>
          <cell r="K41" t="str">
            <v>uannh</v>
          </cell>
          <cell r="L41" t="str">
            <v>nua</v>
          </cell>
          <cell r="M41" t="str">
            <v>nuah</v>
          </cell>
          <cell r="N41" t="str">
            <v>ㄨㆩ</v>
          </cell>
          <cell r="O41" t="str">
            <v>ㄨㆩㆷ</v>
          </cell>
          <cell r="P41" t="str">
            <v>wⁿa</v>
          </cell>
        </row>
        <row r="42">
          <cell r="B42">
            <v>38</v>
          </cell>
          <cell r="C42" t="str">
            <v>鋼</v>
          </cell>
          <cell r="D42" t="str">
            <v>ng</v>
          </cell>
          <cell r="E42" t="str">
            <v>ngh</v>
          </cell>
          <cell r="F42" t="str">
            <v>ŋ̍</v>
          </cell>
          <cell r="G42" t="str">
            <v>ŋ̍h</v>
          </cell>
          <cell r="H42" t="str">
            <v>ng</v>
          </cell>
          <cell r="I42" t="str">
            <v>ngh</v>
          </cell>
          <cell r="J42" t="str">
            <v>ng</v>
          </cell>
          <cell r="K42" t="str">
            <v>ngh</v>
          </cell>
          <cell r="L42" t="str">
            <v>ng</v>
          </cell>
          <cell r="M42" t="str">
            <v>ngh</v>
          </cell>
          <cell r="N42" t="str">
            <v>ㆭ</v>
          </cell>
          <cell r="O42" t="str">
            <v>ㆭㆷ</v>
          </cell>
          <cell r="P42" t="str">
            <v>eⁿᶢ</v>
          </cell>
        </row>
        <row r="43">
          <cell r="B43">
            <v>39</v>
          </cell>
          <cell r="C43" t="str">
            <v>伽</v>
          </cell>
          <cell r="D43" t="str">
            <v>e</v>
          </cell>
          <cell r="E43" t="str">
            <v>eh</v>
          </cell>
          <cell r="F43" t="str">
            <v>e</v>
          </cell>
          <cell r="G43" t="str">
            <v>e?</v>
          </cell>
          <cell r="H43" t="str">
            <v>e</v>
          </cell>
          <cell r="I43" t="str">
            <v>eh</v>
          </cell>
          <cell r="J43" t="str">
            <v>e</v>
          </cell>
          <cell r="K43" t="str">
            <v>eh</v>
          </cell>
          <cell r="L43" t="str">
            <v>e</v>
          </cell>
          <cell r="M43" t="str">
            <v>eh</v>
          </cell>
          <cell r="N43" t="str">
            <v>ㆤ</v>
          </cell>
          <cell r="O43" t="str">
            <v>ㆤㆷ</v>
          </cell>
          <cell r="P43" t="str">
            <v>ay</v>
          </cell>
          <cell r="Q43" t="str">
            <v>ăyh</v>
          </cell>
        </row>
        <row r="44">
          <cell r="B44">
            <v>40</v>
          </cell>
          <cell r="C44" t="str">
            <v>閒</v>
          </cell>
          <cell r="D44" t="str">
            <v>ainn</v>
          </cell>
          <cell r="E44" t="str">
            <v>ainnh</v>
          </cell>
          <cell r="F44" t="str">
            <v>ãĩ</v>
          </cell>
          <cell r="G44" t="str">
            <v>ãĩ?</v>
          </cell>
          <cell r="H44" t="str">
            <v>aiⁿ</v>
          </cell>
          <cell r="I44" t="str">
            <v>aihⁿ</v>
          </cell>
          <cell r="J44" t="str">
            <v>ainn</v>
          </cell>
          <cell r="K44" t="str">
            <v>ainnh</v>
          </cell>
          <cell r="L44" t="str">
            <v>nai</v>
          </cell>
          <cell r="M44" t="str">
            <v>naih</v>
          </cell>
          <cell r="N44" t="str">
            <v>ㆮ</v>
          </cell>
          <cell r="O44" t="str">
            <v>ㆮㆷ</v>
          </cell>
          <cell r="P44" t="str">
            <v>aeⁿᶢ</v>
          </cell>
          <cell r="R44" t="str">
            <v>閒：Kainn1，為「同安」音；間：Kainn1</v>
          </cell>
        </row>
        <row r="45">
          <cell r="B45">
            <v>41</v>
          </cell>
          <cell r="C45" t="str">
            <v>姑</v>
          </cell>
          <cell r="D45" t="str">
            <v>onn</v>
          </cell>
          <cell r="E45" t="str">
            <v>onnh</v>
          </cell>
          <cell r="F45" t="str">
            <v>ɔ̃</v>
          </cell>
          <cell r="G45" t="str">
            <v>ɔ̃?</v>
          </cell>
          <cell r="H45" t="str">
            <v>oⁿ</v>
          </cell>
          <cell r="I45" t="str">
            <v>ohⁿ</v>
          </cell>
          <cell r="J45" t="str">
            <v>onn</v>
          </cell>
          <cell r="K45" t="str">
            <v>onnh</v>
          </cell>
          <cell r="L45" t="str">
            <v>noo</v>
          </cell>
          <cell r="M45" t="str">
            <v>nooh</v>
          </cell>
          <cell r="N45" t="str">
            <v>ㆧ</v>
          </cell>
          <cell r="O45" t="str">
            <v>ㆧㆷ</v>
          </cell>
          <cell r="P45" t="str">
            <v>ⁿoe</v>
          </cell>
          <cell r="R45" t="str">
            <v>台羅 oonn = ounn</v>
          </cell>
        </row>
        <row r="46">
          <cell r="B46">
            <v>42</v>
          </cell>
          <cell r="C46" t="str">
            <v>姆</v>
          </cell>
          <cell r="D46" t="str">
            <v>m</v>
          </cell>
          <cell r="E46" t="str">
            <v>mh</v>
          </cell>
          <cell r="F46" t="str">
            <v>m̩</v>
          </cell>
          <cell r="G46" t="str">
            <v>m̩h</v>
          </cell>
          <cell r="H46" t="str">
            <v>m</v>
          </cell>
          <cell r="I46" t="str">
            <v>mh</v>
          </cell>
          <cell r="J46" t="str">
            <v>m</v>
          </cell>
          <cell r="K46" t="str">
            <v>mh</v>
          </cell>
          <cell r="L46" t="str">
            <v>m</v>
          </cell>
          <cell r="M46" t="str">
            <v>mh</v>
          </cell>
          <cell r="N46" t="str">
            <v>ㆬ</v>
          </cell>
          <cell r="O46" t="str">
            <v>ㆬㆷ</v>
          </cell>
          <cell r="P46" t="str">
            <v>uᵐ</v>
          </cell>
        </row>
        <row r="47">
          <cell r="B47">
            <v>43</v>
          </cell>
          <cell r="C47" t="str">
            <v>光</v>
          </cell>
          <cell r="D47" t="str">
            <v>oang</v>
          </cell>
          <cell r="E47" t="str">
            <v>oak</v>
          </cell>
          <cell r="F47" t="str">
            <v>uaŋ</v>
          </cell>
          <cell r="G47" t="str">
            <v>uak̚</v>
          </cell>
          <cell r="H47" t="str">
            <v>oang</v>
          </cell>
          <cell r="I47" t="str">
            <v>oak</v>
          </cell>
          <cell r="J47" t="str">
            <v>uang</v>
          </cell>
          <cell r="K47" t="str">
            <v>uak</v>
          </cell>
          <cell r="L47" t="str">
            <v>uang</v>
          </cell>
          <cell r="M47" t="str">
            <v>uak</v>
          </cell>
          <cell r="N47" t="str">
            <v>ㄨㄤ</v>
          </cell>
          <cell r="O47" t="str">
            <v>ㄨㄚㆻ</v>
          </cell>
          <cell r="P47" t="str">
            <v>wang</v>
          </cell>
          <cell r="Q47" t="str">
            <v>wak</v>
          </cell>
        </row>
        <row r="48">
          <cell r="B48">
            <v>44</v>
          </cell>
          <cell r="C48" t="str">
            <v>閂</v>
          </cell>
          <cell r="D48" t="str">
            <v>oainn</v>
          </cell>
          <cell r="E48" t="str">
            <v>oaihnn</v>
          </cell>
          <cell r="F48" t="str">
            <v>ũãĩ</v>
          </cell>
          <cell r="G48" t="str">
            <v>uãĩ?</v>
          </cell>
          <cell r="H48" t="str">
            <v>oaiⁿ</v>
          </cell>
          <cell r="I48" t="str">
            <v>oaiⁿh</v>
          </cell>
          <cell r="J48" t="str">
            <v>uainn</v>
          </cell>
          <cell r="K48" t="str">
            <v>uainnh</v>
          </cell>
          <cell r="L48" t="str">
            <v>nuai</v>
          </cell>
          <cell r="M48" t="str">
            <v>nuaih</v>
          </cell>
          <cell r="N48" t="str">
            <v>ㄨㆮ</v>
          </cell>
          <cell r="O48" t="str">
            <v>ㄨㆮㆷ</v>
          </cell>
          <cell r="P48" t="str">
            <v>waeⁿᶢ</v>
          </cell>
          <cell r="Q48" t="str">
            <v>waĕⁿᶢh</v>
          </cell>
          <cell r="R48" t="str">
            <v>閂 (Tshuann) : 興事的意思</v>
          </cell>
        </row>
        <row r="49">
          <cell r="B49">
            <v>45</v>
          </cell>
          <cell r="C49" t="str">
            <v>糜</v>
          </cell>
          <cell r="D49" t="str">
            <v>oenn</v>
          </cell>
          <cell r="E49" t="str">
            <v>oennh</v>
          </cell>
          <cell r="F49" t="str">
            <v>ũẽ</v>
          </cell>
          <cell r="G49" t="str">
            <v>ũẽ?</v>
          </cell>
          <cell r="H49" t="str">
            <v>oeⁿ</v>
          </cell>
          <cell r="I49" t="str">
            <v>oehⁿ</v>
          </cell>
          <cell r="J49" t="str">
            <v>uenn</v>
          </cell>
          <cell r="K49" t="str">
            <v>uennh</v>
          </cell>
          <cell r="L49" t="str">
            <v>nue</v>
          </cell>
          <cell r="M49" t="str">
            <v>nueh</v>
          </cell>
          <cell r="N49" t="str">
            <v>ㄨㆥ</v>
          </cell>
          <cell r="O49" t="str">
            <v>ㄨㆥㆷ</v>
          </cell>
          <cell r="P49" t="str">
            <v>ⁿöey</v>
          </cell>
          <cell r="R49" t="str">
            <v>檜、糜：現在漳州各地主要腔口不存在 /i/ 尾，亦爲簡便故，今式羅馬字僅寫ue</v>
          </cell>
        </row>
        <row r="50">
          <cell r="B50">
            <v>46</v>
          </cell>
          <cell r="C50" t="str">
            <v>嘄</v>
          </cell>
          <cell r="D50" t="str">
            <v>iaunn</v>
          </cell>
          <cell r="E50" t="str">
            <v>iauhnn</v>
          </cell>
          <cell r="F50" t="str">
            <v>ĩãũ</v>
          </cell>
          <cell r="G50" t="str">
            <v>ĩãũ?</v>
          </cell>
          <cell r="H50" t="str">
            <v>iauⁿ</v>
          </cell>
          <cell r="I50" t="str">
            <v>iauⁿh</v>
          </cell>
          <cell r="J50" t="str">
            <v>iaunn</v>
          </cell>
          <cell r="K50" t="str">
            <v>iaunnh</v>
          </cell>
          <cell r="L50" t="str">
            <v>niao</v>
          </cell>
          <cell r="M50" t="str">
            <v>niaoh</v>
          </cell>
          <cell r="N50" t="str">
            <v>ㄧㆯ</v>
          </cell>
          <cell r="O50" t="str">
            <v>ㄧㆯㆷ</v>
          </cell>
          <cell r="P50" t="str">
            <v>ⁿeaou</v>
          </cell>
          <cell r="Q50" t="str">
            <v>ⁿeaoŭh</v>
          </cell>
        </row>
        <row r="51">
          <cell r="B51">
            <v>47</v>
          </cell>
          <cell r="C51" t="str">
            <v>箴</v>
          </cell>
          <cell r="D51" t="str">
            <v>om</v>
          </cell>
          <cell r="E51" t="str">
            <v>op</v>
          </cell>
          <cell r="F51" t="str">
            <v>ɔm</v>
          </cell>
          <cell r="G51" t="str">
            <v>ɔp̚</v>
          </cell>
          <cell r="H51" t="str">
            <v>om</v>
          </cell>
          <cell r="I51" t="str">
            <v>op</v>
          </cell>
          <cell r="J51" t="str">
            <v>om</v>
          </cell>
          <cell r="K51" t="str">
            <v>op</v>
          </cell>
          <cell r="L51" t="str">
            <v>om</v>
          </cell>
          <cell r="M51" t="str">
            <v>op</v>
          </cell>
          <cell r="N51" t="str">
            <v>ㆱ</v>
          </cell>
          <cell r="O51" t="str">
            <v>ㆦㆴ</v>
          </cell>
          <cell r="P51" t="str">
            <v>om</v>
          </cell>
          <cell r="Q51" t="str">
            <v>ŏmh</v>
          </cell>
        </row>
        <row r="52">
          <cell r="B52">
            <v>48</v>
          </cell>
          <cell r="C52" t="str">
            <v>爻</v>
          </cell>
          <cell r="D52" t="str">
            <v>aunn</v>
          </cell>
          <cell r="E52" t="str">
            <v>aunnh</v>
          </cell>
          <cell r="F52" t="str">
            <v>ãũ</v>
          </cell>
          <cell r="G52" t="str">
            <v>ãũ?</v>
          </cell>
          <cell r="H52" t="str">
            <v>auⁿ</v>
          </cell>
          <cell r="I52" t="str">
            <v>auhⁿ</v>
          </cell>
          <cell r="J52" t="str">
            <v>aunn</v>
          </cell>
          <cell r="K52" t="str">
            <v>aunnh</v>
          </cell>
          <cell r="L52" t="str">
            <v>nao</v>
          </cell>
          <cell r="M52" t="str">
            <v>naoh</v>
          </cell>
          <cell r="N52" t="str">
            <v>ㆯ</v>
          </cell>
          <cell r="O52" t="str">
            <v>ㆯㆷ</v>
          </cell>
          <cell r="P52" t="str">
            <v>ⁿaou</v>
          </cell>
        </row>
        <row r="53">
          <cell r="B53">
            <v>49</v>
          </cell>
          <cell r="C53" t="str">
            <v>扛</v>
          </cell>
          <cell r="D53" t="str">
            <v>onn</v>
          </cell>
          <cell r="E53" t="str">
            <v>ohnn</v>
          </cell>
          <cell r="F53" t="str">
            <v>õ</v>
          </cell>
          <cell r="G53" t="str">
            <v>õh</v>
          </cell>
          <cell r="H53" t="str">
            <v>oⁿ</v>
          </cell>
          <cell r="I53" t="str">
            <v>ohⁿ</v>
          </cell>
          <cell r="J53" t="str">
            <v>onn</v>
          </cell>
          <cell r="K53" t="str">
            <v>onnh</v>
          </cell>
          <cell r="L53" t="str">
            <v>no</v>
          </cell>
          <cell r="M53" t="str">
            <v>noh</v>
          </cell>
          <cell r="N53" t="str">
            <v>ㆧ</v>
          </cell>
          <cell r="O53" t="str">
            <v>ㆧㆷ</v>
          </cell>
          <cell r="P53" t="str">
            <v>ⁿo</v>
          </cell>
          <cell r="Q53" t="str">
            <v>ⁿŏh</v>
          </cell>
          <cell r="R53" t="str">
            <v>長泰音</v>
          </cell>
        </row>
        <row r="54">
          <cell r="B54">
            <v>50</v>
          </cell>
          <cell r="C54" t="str">
            <v>牛</v>
          </cell>
          <cell r="D54" t="str">
            <v>iunn</v>
          </cell>
          <cell r="E54" t="str">
            <v>iunnh</v>
          </cell>
          <cell r="F54" t="str">
            <v>ĩũ</v>
          </cell>
          <cell r="G54" t="str">
            <v>iũh</v>
          </cell>
          <cell r="H54" t="str">
            <v>iuⁿ</v>
          </cell>
          <cell r="I54" t="str">
            <v>iuhⁿ</v>
          </cell>
          <cell r="J54" t="str">
            <v>iunn</v>
          </cell>
          <cell r="K54" t="str">
            <v>iunnh</v>
          </cell>
          <cell r="L54" t="str">
            <v>niu</v>
          </cell>
          <cell r="M54" t="str">
            <v>niuh</v>
          </cell>
          <cell r="N54" t="str">
            <v>ㄧㆫ</v>
          </cell>
          <cell r="O54" t="str">
            <v>ㄧㆫㆷ</v>
          </cell>
          <cell r="P54" t="str">
            <v>ⁿew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5">
          <cell r="R5" t="str">
            <v>ūn</v>
          </cell>
          <cell r="S5" t="str">
            <v>ún</v>
          </cell>
          <cell r="T5" t="str">
            <v>ǔn</v>
          </cell>
          <cell r="U5" t="str">
            <v>ǔt</v>
          </cell>
          <cell r="V5" t="str">
            <v>ùn</v>
          </cell>
          <cell r="W5" t="str">
            <v>ûn</v>
          </cell>
          <cell r="X5" t="str">
            <v>ūn</v>
          </cell>
          <cell r="Y5" t="str">
            <v>út</v>
          </cell>
        </row>
        <row r="6">
          <cell r="R6" t="str">
            <v>iān</v>
          </cell>
          <cell r="S6" t="str">
            <v>ián</v>
          </cell>
          <cell r="T6" t="str">
            <v>iǎn</v>
          </cell>
          <cell r="U6" t="str">
            <v>iǎt</v>
          </cell>
          <cell r="V6" t="str">
            <v>iàn</v>
          </cell>
          <cell r="W6" t="str">
            <v>iân</v>
          </cell>
          <cell r="X6" t="str">
            <v>iān</v>
          </cell>
          <cell r="Y6" t="str">
            <v>iát</v>
          </cell>
        </row>
        <row r="7">
          <cell r="R7" t="str">
            <v>īm</v>
          </cell>
          <cell r="S7" t="str">
            <v>ím</v>
          </cell>
          <cell r="T7" t="str">
            <v>ǐm</v>
          </cell>
          <cell r="U7" t="str">
            <v>ǐp</v>
          </cell>
          <cell r="V7" t="str">
            <v>ìm</v>
          </cell>
          <cell r="W7" t="str">
            <v>îm</v>
          </cell>
          <cell r="X7" t="str">
            <v>īm</v>
          </cell>
          <cell r="Y7" t="str">
            <v>íp</v>
          </cell>
        </row>
        <row r="8">
          <cell r="R8" t="str">
            <v>ūi</v>
          </cell>
          <cell r="S8" t="str">
            <v>úi</v>
          </cell>
          <cell r="T8" t="str">
            <v>ǔi</v>
          </cell>
          <cell r="U8" t="str">
            <v>ǔih</v>
          </cell>
          <cell r="V8" t="str">
            <v>ùi</v>
          </cell>
          <cell r="W8" t="str">
            <v>ûi</v>
          </cell>
          <cell r="X8" t="str">
            <v>ūi</v>
          </cell>
          <cell r="Y8" t="str">
            <v>úih</v>
          </cell>
        </row>
        <row r="9">
          <cell r="R9" t="str">
            <v>ē</v>
          </cell>
          <cell r="S9" t="str">
            <v>é</v>
          </cell>
          <cell r="T9" t="str">
            <v>ě</v>
          </cell>
          <cell r="U9" t="str">
            <v>ěh</v>
          </cell>
          <cell r="V9" t="str">
            <v>è</v>
          </cell>
          <cell r="W9" t="str">
            <v>ê</v>
          </cell>
          <cell r="X9" t="str">
            <v>ē</v>
          </cell>
          <cell r="Y9" t="str">
            <v>éh</v>
          </cell>
        </row>
        <row r="10">
          <cell r="R10" t="str">
            <v>ān</v>
          </cell>
          <cell r="S10" t="str">
            <v>án</v>
          </cell>
          <cell r="T10" t="str">
            <v>ǎn</v>
          </cell>
          <cell r="U10" t="str">
            <v>ǎt</v>
          </cell>
          <cell r="V10" t="str">
            <v>àn</v>
          </cell>
          <cell r="W10" t="str">
            <v>ân</v>
          </cell>
          <cell r="X10" t="str">
            <v>ān</v>
          </cell>
          <cell r="Y10" t="str">
            <v>át</v>
          </cell>
        </row>
        <row r="11">
          <cell r="R11" t="str">
            <v>ōng</v>
          </cell>
          <cell r="S11" t="str">
            <v>óng</v>
          </cell>
          <cell r="T11" t="str">
            <v>ǒng</v>
          </cell>
          <cell r="U11" t="str">
            <v>ǒk</v>
          </cell>
          <cell r="V11" t="str">
            <v>òng</v>
          </cell>
          <cell r="W11" t="str">
            <v>ông</v>
          </cell>
          <cell r="X11" t="str">
            <v>ōng</v>
          </cell>
          <cell r="Y11" t="str">
            <v>ók</v>
          </cell>
        </row>
        <row r="12">
          <cell r="R12" t="str">
            <v>uāi</v>
          </cell>
          <cell r="S12" t="str">
            <v>uái</v>
          </cell>
          <cell r="T12" t="str">
            <v>uǎi</v>
          </cell>
          <cell r="U12" t="str">
            <v>uǎih</v>
          </cell>
          <cell r="V12" t="str">
            <v>uài</v>
          </cell>
          <cell r="W12" t="str">
            <v>uâi</v>
          </cell>
          <cell r="X12" t="str">
            <v>uāi</v>
          </cell>
          <cell r="Y12" t="str">
            <v>uáih</v>
          </cell>
        </row>
        <row r="13">
          <cell r="R13" t="str">
            <v>īng</v>
          </cell>
          <cell r="S13" t="str">
            <v>íng</v>
          </cell>
          <cell r="T13" t="str">
            <v>ǐng</v>
          </cell>
          <cell r="U13" t="str">
            <v>ǐk</v>
          </cell>
          <cell r="V13" t="str">
            <v>ìng</v>
          </cell>
          <cell r="W13" t="str">
            <v>îng</v>
          </cell>
          <cell r="X13" t="str">
            <v>īng</v>
          </cell>
          <cell r="Y13" t="str">
            <v>ík</v>
          </cell>
        </row>
        <row r="14">
          <cell r="R14" t="str">
            <v>uān</v>
          </cell>
          <cell r="S14" t="str">
            <v>uán</v>
          </cell>
          <cell r="T14" t="str">
            <v>uǎn</v>
          </cell>
          <cell r="U14" t="str">
            <v>uǎt</v>
          </cell>
          <cell r="V14" t="str">
            <v>uàn</v>
          </cell>
          <cell r="W14" t="str">
            <v>uân</v>
          </cell>
          <cell r="X14" t="str">
            <v>uān</v>
          </cell>
          <cell r="Y14" t="str">
            <v>uát</v>
          </cell>
        </row>
        <row r="15">
          <cell r="R15" t="str">
            <v>ōo</v>
          </cell>
          <cell r="S15" t="str">
            <v>óo</v>
          </cell>
          <cell r="T15" t="str">
            <v>ǒo</v>
          </cell>
          <cell r="U15" t="str">
            <v>ǒoh</v>
          </cell>
          <cell r="V15" t="str">
            <v>òo</v>
          </cell>
          <cell r="W15" t="str">
            <v>ôo</v>
          </cell>
          <cell r="X15" t="str">
            <v>ōo</v>
          </cell>
          <cell r="Y15" t="str">
            <v>óoh</v>
          </cell>
        </row>
        <row r="16">
          <cell r="R16" t="str">
            <v>iāo</v>
          </cell>
          <cell r="S16" t="str">
            <v>iáo</v>
          </cell>
          <cell r="T16" t="str">
            <v>iǎo</v>
          </cell>
          <cell r="U16" t="str">
            <v>iǎoh</v>
          </cell>
          <cell r="V16" t="str">
            <v>iào</v>
          </cell>
          <cell r="W16" t="str">
            <v>iâo</v>
          </cell>
          <cell r="X16" t="str">
            <v>iāo</v>
          </cell>
          <cell r="Y16" t="str">
            <v>iáoh</v>
          </cell>
        </row>
        <row r="17">
          <cell r="R17" t="str">
            <v>ē</v>
          </cell>
          <cell r="S17" t="str">
            <v>é</v>
          </cell>
          <cell r="T17" t="str">
            <v>ě</v>
          </cell>
          <cell r="U17" t="str">
            <v>ěh</v>
          </cell>
          <cell r="V17" t="str">
            <v>è</v>
          </cell>
          <cell r="W17" t="str">
            <v>ê</v>
          </cell>
          <cell r="X17" t="str">
            <v>ē</v>
          </cell>
          <cell r="Y17" t="str">
            <v>éh</v>
          </cell>
        </row>
        <row r="18">
          <cell r="R18" t="str">
            <v>iōng</v>
          </cell>
          <cell r="S18" t="str">
            <v>ióng</v>
          </cell>
          <cell r="T18" t="str">
            <v>iǒng</v>
          </cell>
          <cell r="U18" t="str">
            <v>iǒk</v>
          </cell>
          <cell r="V18" t="str">
            <v>iòng</v>
          </cell>
          <cell r="W18" t="str">
            <v>iông</v>
          </cell>
          <cell r="X18" t="str">
            <v>iōng</v>
          </cell>
          <cell r="Y18" t="str">
            <v>iók</v>
          </cell>
        </row>
        <row r="19">
          <cell r="R19" t="str">
            <v>ō</v>
          </cell>
          <cell r="S19" t="str">
            <v>ó</v>
          </cell>
          <cell r="T19" t="str">
            <v>ǒ</v>
          </cell>
          <cell r="U19" t="str">
            <v>ǒh</v>
          </cell>
          <cell r="V19" t="str">
            <v>ò</v>
          </cell>
          <cell r="W19" t="str">
            <v>ô</v>
          </cell>
          <cell r="X19" t="str">
            <v>ō</v>
          </cell>
          <cell r="Y19" t="str">
            <v>óh</v>
          </cell>
        </row>
        <row r="20">
          <cell r="R20" t="str">
            <v>āi</v>
          </cell>
          <cell r="S20" t="str">
            <v>ái</v>
          </cell>
          <cell r="T20" t="str">
            <v>ǎi</v>
          </cell>
          <cell r="U20" t="str">
            <v>ǎih</v>
          </cell>
          <cell r="V20" t="str">
            <v>ài</v>
          </cell>
          <cell r="W20" t="str">
            <v>âi</v>
          </cell>
          <cell r="X20" t="str">
            <v>āi</v>
          </cell>
          <cell r="Y20" t="str">
            <v>áih</v>
          </cell>
        </row>
        <row r="21">
          <cell r="R21" t="str">
            <v>īn</v>
          </cell>
          <cell r="S21" t="str">
            <v>ín</v>
          </cell>
          <cell r="T21" t="str">
            <v>ǐn</v>
          </cell>
          <cell r="U21" t="str">
            <v>ǐt</v>
          </cell>
          <cell r="V21" t="str">
            <v>ìn</v>
          </cell>
          <cell r="W21" t="str">
            <v>în</v>
          </cell>
          <cell r="X21" t="str">
            <v>īn</v>
          </cell>
          <cell r="Y21" t="str">
            <v>ít</v>
          </cell>
        </row>
        <row r="22">
          <cell r="R22" t="str">
            <v>iāng</v>
          </cell>
          <cell r="S22" t="str">
            <v>iáng</v>
          </cell>
          <cell r="T22" t="str">
            <v>iǎng</v>
          </cell>
          <cell r="U22" t="str">
            <v>iǎk</v>
          </cell>
          <cell r="V22" t="str">
            <v>iàng</v>
          </cell>
          <cell r="W22" t="str">
            <v>iâng</v>
          </cell>
          <cell r="X22" t="str">
            <v>iāng</v>
          </cell>
          <cell r="Y22" t="str">
            <v>iák</v>
          </cell>
        </row>
        <row r="23">
          <cell r="R23" t="str">
            <v>ām</v>
          </cell>
          <cell r="S23" t="str">
            <v>ám</v>
          </cell>
          <cell r="T23" t="str">
            <v>ǎm</v>
          </cell>
          <cell r="U23" t="str">
            <v>ǎp</v>
          </cell>
          <cell r="V23" t="str">
            <v>àm</v>
          </cell>
          <cell r="W23" t="str">
            <v>âm</v>
          </cell>
          <cell r="X23" t="str">
            <v>ām</v>
          </cell>
          <cell r="Y23" t="str">
            <v>áp</v>
          </cell>
        </row>
        <row r="24">
          <cell r="R24" t="str">
            <v>ūa</v>
          </cell>
          <cell r="S24" t="str">
            <v>úa</v>
          </cell>
          <cell r="T24" t="str">
            <v>ǔa</v>
          </cell>
          <cell r="U24" t="str">
            <v>ǔah</v>
          </cell>
          <cell r="V24" t="str">
            <v>ùa</v>
          </cell>
          <cell r="W24" t="str">
            <v>ûa</v>
          </cell>
          <cell r="X24" t="str">
            <v>ūa</v>
          </cell>
          <cell r="Y24" t="str">
            <v>úah</v>
          </cell>
        </row>
        <row r="25">
          <cell r="R25" t="str">
            <v>āng</v>
          </cell>
          <cell r="S25" t="str">
            <v>áng</v>
          </cell>
          <cell r="T25" t="str">
            <v>ǎng</v>
          </cell>
          <cell r="U25" t="str">
            <v>ǎk</v>
          </cell>
          <cell r="V25" t="str">
            <v>àng</v>
          </cell>
          <cell r="W25" t="str">
            <v>âng</v>
          </cell>
          <cell r="X25" t="str">
            <v>āng</v>
          </cell>
          <cell r="Y25" t="str">
            <v>ák</v>
          </cell>
        </row>
        <row r="26">
          <cell r="R26" t="str">
            <v>iām</v>
          </cell>
          <cell r="S26" t="str">
            <v>iám</v>
          </cell>
          <cell r="T26" t="str">
            <v>iǎm</v>
          </cell>
          <cell r="U26" t="str">
            <v>iǎp</v>
          </cell>
          <cell r="V26" t="str">
            <v>iàm</v>
          </cell>
          <cell r="W26" t="str">
            <v>iâm</v>
          </cell>
          <cell r="X26" t="str">
            <v>iām</v>
          </cell>
          <cell r="Y26" t="str">
            <v>iáp</v>
          </cell>
        </row>
        <row r="27">
          <cell r="R27" t="str">
            <v>āo</v>
          </cell>
          <cell r="S27" t="str">
            <v>áo</v>
          </cell>
          <cell r="T27" t="str">
            <v>ǎo</v>
          </cell>
          <cell r="U27" t="str">
            <v>ǎoh</v>
          </cell>
          <cell r="V27" t="str">
            <v>ào</v>
          </cell>
          <cell r="W27" t="str">
            <v>âo</v>
          </cell>
          <cell r="X27" t="str">
            <v>āo</v>
          </cell>
          <cell r="Y27" t="str">
            <v>áoh</v>
          </cell>
        </row>
        <row r="28">
          <cell r="R28" t="str">
            <v>iā</v>
          </cell>
          <cell r="S28" t="str">
            <v>iá</v>
          </cell>
          <cell r="T28" t="str">
            <v>iǎ</v>
          </cell>
          <cell r="U28" t="str">
            <v>iǎh</v>
          </cell>
          <cell r="V28" t="str">
            <v>ià</v>
          </cell>
          <cell r="W28" t="str">
            <v>iâ</v>
          </cell>
          <cell r="X28" t="str">
            <v>iā</v>
          </cell>
          <cell r="Y28" t="str">
            <v>iáh</v>
          </cell>
        </row>
        <row r="29">
          <cell r="R29" t="str">
            <v>ūe</v>
          </cell>
          <cell r="S29" t="str">
            <v>úe</v>
          </cell>
          <cell r="T29" t="str">
            <v>ǔe</v>
          </cell>
          <cell r="U29" t="str">
            <v>ǔeh</v>
          </cell>
          <cell r="V29" t="str">
            <v>ùe</v>
          </cell>
          <cell r="W29" t="str">
            <v>ûe</v>
          </cell>
          <cell r="X29" t="str">
            <v>ūe</v>
          </cell>
          <cell r="Y29" t="str">
            <v>úeh</v>
          </cell>
        </row>
        <row r="30">
          <cell r="R30" t="str">
            <v>nā</v>
          </cell>
          <cell r="S30" t="str">
            <v>ná</v>
          </cell>
          <cell r="T30" t="str">
            <v>nǎ</v>
          </cell>
          <cell r="U30" t="str">
            <v>nǎh</v>
          </cell>
          <cell r="V30" t="str">
            <v>nà</v>
          </cell>
          <cell r="W30" t="str">
            <v>nâ</v>
          </cell>
          <cell r="X30" t="str">
            <v>nā</v>
          </cell>
          <cell r="Y30" t="str">
            <v>náh</v>
          </cell>
        </row>
        <row r="31">
          <cell r="R31" t="str">
            <v>ū</v>
          </cell>
          <cell r="S31" t="str">
            <v>ú</v>
          </cell>
          <cell r="T31" t="str">
            <v>ǔ</v>
          </cell>
          <cell r="U31" t="str">
            <v>ǔh</v>
          </cell>
          <cell r="V31" t="str">
            <v>ù</v>
          </cell>
          <cell r="W31" t="str">
            <v>û</v>
          </cell>
          <cell r="X31" t="str">
            <v>ū</v>
          </cell>
          <cell r="Y31" t="str">
            <v>úh</v>
          </cell>
        </row>
        <row r="32">
          <cell r="R32" t="str">
            <v>ā</v>
          </cell>
          <cell r="S32" t="str">
            <v>á</v>
          </cell>
          <cell r="T32" t="str">
            <v>ǎ</v>
          </cell>
          <cell r="U32" t="str">
            <v>ǎh</v>
          </cell>
          <cell r="V32" t="str">
            <v>à</v>
          </cell>
          <cell r="W32" t="str">
            <v>â</v>
          </cell>
          <cell r="X32" t="str">
            <v>ā</v>
          </cell>
          <cell r="Y32" t="str">
            <v>áh</v>
          </cell>
        </row>
        <row r="33">
          <cell r="R33" t="str">
            <v>ī</v>
          </cell>
          <cell r="S33" t="str">
            <v>í</v>
          </cell>
          <cell r="T33" t="str">
            <v>ǐ</v>
          </cell>
          <cell r="U33" t="str">
            <v>ǐh</v>
          </cell>
          <cell r="V33" t="str">
            <v>ì</v>
          </cell>
          <cell r="W33" t="str">
            <v>î</v>
          </cell>
          <cell r="X33" t="str">
            <v>ī</v>
          </cell>
          <cell r="Y33" t="str">
            <v>íh</v>
          </cell>
        </row>
        <row r="34">
          <cell r="R34" t="str">
            <v>iū</v>
          </cell>
          <cell r="S34" t="str">
            <v>iú</v>
          </cell>
          <cell r="T34" t="str">
            <v>iǔ</v>
          </cell>
          <cell r="U34" t="str">
            <v>iǔh</v>
          </cell>
          <cell r="V34" t="str">
            <v>iù</v>
          </cell>
          <cell r="W34" t="str">
            <v>iû</v>
          </cell>
          <cell r="X34" t="str">
            <v>iū</v>
          </cell>
          <cell r="Y34" t="str">
            <v>iúh</v>
          </cell>
        </row>
        <row r="35">
          <cell r="R35" t="str">
            <v>nē</v>
          </cell>
          <cell r="S35" t="str">
            <v>né</v>
          </cell>
          <cell r="T35" t="str">
            <v>ně</v>
          </cell>
          <cell r="U35" t="str">
            <v>něh</v>
          </cell>
          <cell r="V35" t="str">
            <v>nè</v>
          </cell>
          <cell r="W35" t="str">
            <v>nê</v>
          </cell>
          <cell r="X35" t="str">
            <v>nē</v>
          </cell>
          <cell r="Y35" t="str">
            <v>néh</v>
          </cell>
        </row>
        <row r="36">
          <cell r="R36" t="str">
            <v>nūi</v>
          </cell>
          <cell r="S36" t="str">
            <v>núi</v>
          </cell>
          <cell r="T36" t="str">
            <v>nǔi</v>
          </cell>
          <cell r="U36" t="str">
            <v>nǔih</v>
          </cell>
          <cell r="V36" t="str">
            <v>nùi</v>
          </cell>
          <cell r="W36" t="str">
            <v>nûi</v>
          </cell>
          <cell r="X36" t="str">
            <v>nūi</v>
          </cell>
          <cell r="Y36" t="str">
            <v>núih</v>
          </cell>
        </row>
        <row r="37">
          <cell r="R37" t="str">
            <v>iō</v>
          </cell>
          <cell r="S37" t="str">
            <v>ió</v>
          </cell>
          <cell r="T37" t="str">
            <v>iǒ</v>
          </cell>
          <cell r="U37" t="str">
            <v>iǒh</v>
          </cell>
          <cell r="V37" t="str">
            <v>iò</v>
          </cell>
          <cell r="W37" t="str">
            <v>iô</v>
          </cell>
          <cell r="X37" t="str">
            <v>iō</v>
          </cell>
          <cell r="Y37" t="str">
            <v>ióh</v>
          </cell>
        </row>
        <row r="38">
          <cell r="R38" t="str">
            <v>nī</v>
          </cell>
          <cell r="S38" t="str">
            <v>ní</v>
          </cell>
          <cell r="T38" t="str">
            <v>nǐ</v>
          </cell>
          <cell r="U38" t="str">
            <v>nǐh</v>
          </cell>
          <cell r="V38" t="str">
            <v>nì</v>
          </cell>
          <cell r="W38" t="str">
            <v>nî</v>
          </cell>
          <cell r="X38" t="str">
            <v>nī</v>
          </cell>
          <cell r="Y38" t="str">
            <v>níh</v>
          </cell>
        </row>
        <row r="39">
          <cell r="R39" t="str">
            <v>niōō</v>
          </cell>
          <cell r="S39" t="str">
            <v>nióó</v>
          </cell>
          <cell r="T39" t="str">
            <v>niǒǒ</v>
          </cell>
          <cell r="U39" t="str">
            <v>niǒǒh</v>
          </cell>
          <cell r="V39" t="str">
            <v>niòò</v>
          </cell>
          <cell r="W39" t="str">
            <v>niôô</v>
          </cell>
          <cell r="X39" t="str">
            <v>niōō</v>
          </cell>
          <cell r="Y39" t="str">
            <v>nióóh</v>
          </cell>
        </row>
        <row r="40">
          <cell r="R40" t="str">
            <v>niā</v>
          </cell>
          <cell r="S40" t="str">
            <v>niá</v>
          </cell>
          <cell r="T40" t="str">
            <v>niǎ</v>
          </cell>
          <cell r="U40" t="str">
            <v>niǎh</v>
          </cell>
          <cell r="V40" t="str">
            <v>nià</v>
          </cell>
          <cell r="W40" t="str">
            <v>niâ</v>
          </cell>
          <cell r="X40" t="str">
            <v>niā</v>
          </cell>
          <cell r="Y40" t="str">
            <v>niáh</v>
          </cell>
        </row>
        <row r="41">
          <cell r="R41" t="str">
            <v>nūa</v>
          </cell>
          <cell r="S41" t="str">
            <v>núa</v>
          </cell>
          <cell r="T41" t="str">
            <v>nǔa</v>
          </cell>
          <cell r="U41" t="str">
            <v>nǔah</v>
          </cell>
          <cell r="V41" t="str">
            <v>nùa</v>
          </cell>
          <cell r="W41" t="str">
            <v>nûa</v>
          </cell>
          <cell r="X41" t="str">
            <v>nūa</v>
          </cell>
          <cell r="Y41" t="str">
            <v>núah</v>
          </cell>
        </row>
        <row r="42">
          <cell r="R42" t="str">
            <v>n̄g</v>
          </cell>
          <cell r="S42" t="str">
            <v>ńg</v>
          </cell>
          <cell r="T42" t="str">
            <v>ňg</v>
          </cell>
          <cell r="U42" t="str">
            <v>ňh</v>
          </cell>
          <cell r="V42" t="str">
            <v>ǹg</v>
          </cell>
          <cell r="W42" t="str">
            <v>n̂g</v>
          </cell>
          <cell r="X42" t="str">
            <v>n̄g</v>
          </cell>
          <cell r="Y42" t="str">
            <v>ńgh</v>
          </cell>
        </row>
        <row r="43">
          <cell r="R43" t="str">
            <v>ē</v>
          </cell>
          <cell r="S43" t="str">
            <v>é</v>
          </cell>
          <cell r="T43" t="str">
            <v>ě</v>
          </cell>
          <cell r="U43" t="str">
            <v>ěh</v>
          </cell>
          <cell r="V43" t="str">
            <v>è</v>
          </cell>
          <cell r="W43" t="str">
            <v>ê</v>
          </cell>
          <cell r="X43" t="str">
            <v>ē</v>
          </cell>
          <cell r="Y43" t="str">
            <v>éh</v>
          </cell>
        </row>
        <row r="44">
          <cell r="R44" t="str">
            <v>nāi</v>
          </cell>
          <cell r="S44" t="str">
            <v>nái</v>
          </cell>
          <cell r="T44" t="str">
            <v>nǎi</v>
          </cell>
          <cell r="U44" t="str">
            <v>nǎih</v>
          </cell>
          <cell r="V44" t="str">
            <v>nài</v>
          </cell>
          <cell r="W44" t="str">
            <v>nâi</v>
          </cell>
          <cell r="X44" t="str">
            <v>nāi</v>
          </cell>
          <cell r="Y44" t="str">
            <v>náih</v>
          </cell>
        </row>
        <row r="45">
          <cell r="R45" t="str">
            <v>nōō</v>
          </cell>
          <cell r="S45" t="str">
            <v>nóó</v>
          </cell>
          <cell r="T45" t="str">
            <v>nǒǒ</v>
          </cell>
          <cell r="U45" t="str">
            <v>nǒǒh</v>
          </cell>
          <cell r="V45" t="str">
            <v>nòò</v>
          </cell>
          <cell r="W45" t="str">
            <v>nôô</v>
          </cell>
          <cell r="X45" t="str">
            <v>nōō</v>
          </cell>
          <cell r="Y45" t="str">
            <v>nóóh</v>
          </cell>
        </row>
        <row r="46">
          <cell r="R46" t="str">
            <v>m̄</v>
          </cell>
          <cell r="S46" t="str">
            <v>ḿ</v>
          </cell>
          <cell r="T46" t="str">
            <v>m̌</v>
          </cell>
          <cell r="U46" t="str">
            <v>m̌h</v>
          </cell>
          <cell r="V46" t="str">
            <v>m̀</v>
          </cell>
          <cell r="W46" t="str">
            <v>m̂</v>
          </cell>
          <cell r="X46" t="str">
            <v>m̄</v>
          </cell>
          <cell r="Y46" t="str">
            <v>ḿh</v>
          </cell>
        </row>
        <row r="47">
          <cell r="R47" t="str">
            <v>uāng</v>
          </cell>
          <cell r="S47" t="str">
            <v>uáng</v>
          </cell>
          <cell r="T47" t="str">
            <v>uǎng</v>
          </cell>
          <cell r="U47" t="str">
            <v>uǎk</v>
          </cell>
          <cell r="V47" t="str">
            <v>uàng</v>
          </cell>
          <cell r="W47" t="str">
            <v>uâng</v>
          </cell>
          <cell r="X47" t="str">
            <v>uāng</v>
          </cell>
          <cell r="Y47" t="str">
            <v>uák</v>
          </cell>
        </row>
        <row r="48">
          <cell r="R48" t="str">
            <v>nuāi</v>
          </cell>
          <cell r="S48" t="str">
            <v>nuái</v>
          </cell>
          <cell r="T48" t="str">
            <v>nuǎi</v>
          </cell>
          <cell r="U48" t="str">
            <v>nuǎih</v>
          </cell>
          <cell r="V48" t="str">
            <v>nuài</v>
          </cell>
          <cell r="W48" t="str">
            <v>nuâi</v>
          </cell>
          <cell r="X48" t="str">
            <v>nuāi</v>
          </cell>
          <cell r="Y48" t="str">
            <v>nuáih</v>
          </cell>
        </row>
        <row r="49">
          <cell r="R49" t="str">
            <v>nūe</v>
          </cell>
          <cell r="S49" t="str">
            <v>núe</v>
          </cell>
          <cell r="T49" t="str">
            <v>nǔe</v>
          </cell>
          <cell r="U49" t="str">
            <v>nǔeh</v>
          </cell>
          <cell r="V49" t="str">
            <v>nùe</v>
          </cell>
          <cell r="W49" t="str">
            <v>nûe</v>
          </cell>
          <cell r="X49" t="str">
            <v>nūe</v>
          </cell>
          <cell r="Y49" t="str">
            <v>núeh</v>
          </cell>
        </row>
        <row r="50">
          <cell r="R50" t="str">
            <v>niāo</v>
          </cell>
          <cell r="S50" t="str">
            <v>niáo</v>
          </cell>
          <cell r="T50" t="str">
            <v>niǎo</v>
          </cell>
          <cell r="U50" t="str">
            <v>niǎoh</v>
          </cell>
          <cell r="V50" t="str">
            <v>niào</v>
          </cell>
          <cell r="W50" t="str">
            <v>niâo</v>
          </cell>
          <cell r="X50" t="str">
            <v>niāo</v>
          </cell>
          <cell r="Y50" t="str">
            <v>niáoh</v>
          </cell>
        </row>
        <row r="51">
          <cell r="R51" t="str">
            <v>ōm</v>
          </cell>
          <cell r="S51" t="str">
            <v>óm</v>
          </cell>
          <cell r="T51" t="str">
            <v>ǒm</v>
          </cell>
          <cell r="U51" t="str">
            <v>ǒp</v>
          </cell>
          <cell r="V51" t="str">
            <v>òm</v>
          </cell>
          <cell r="W51" t="str">
            <v>ôm</v>
          </cell>
          <cell r="X51" t="str">
            <v>ōm</v>
          </cell>
          <cell r="Y51" t="str">
            <v>óp</v>
          </cell>
        </row>
        <row r="52">
          <cell r="R52" t="str">
            <v>nāo</v>
          </cell>
          <cell r="S52" t="str">
            <v>náo</v>
          </cell>
          <cell r="T52" t="str">
            <v>nǎo</v>
          </cell>
          <cell r="U52" t="str">
            <v>nǎoh</v>
          </cell>
          <cell r="V52" t="str">
            <v>nào</v>
          </cell>
          <cell r="W52" t="str">
            <v>nâo</v>
          </cell>
          <cell r="X52" t="str">
            <v>nāo</v>
          </cell>
          <cell r="Y52" t="str">
            <v>náoh</v>
          </cell>
        </row>
        <row r="53">
          <cell r="R53" t="str">
            <v>nō</v>
          </cell>
          <cell r="S53" t="str">
            <v>nó</v>
          </cell>
          <cell r="T53" t="str">
            <v>nǒ</v>
          </cell>
          <cell r="U53" t="str">
            <v>nǒh</v>
          </cell>
          <cell r="V53" t="str">
            <v>nò</v>
          </cell>
          <cell r="W53" t="str">
            <v>nô</v>
          </cell>
          <cell r="X53" t="str">
            <v>nō</v>
          </cell>
          <cell r="Y53" t="str">
            <v>nóh</v>
          </cell>
        </row>
        <row r="54">
          <cell r="R54" t="str">
            <v>niū</v>
          </cell>
          <cell r="S54" t="str">
            <v>niú</v>
          </cell>
          <cell r="T54" t="str">
            <v>niǔ</v>
          </cell>
          <cell r="U54" t="str">
            <v>niǔh</v>
          </cell>
          <cell r="V54" t="str">
            <v>niù</v>
          </cell>
          <cell r="W54" t="str">
            <v>niû</v>
          </cell>
          <cell r="X54" t="str">
            <v>niū</v>
          </cell>
          <cell r="Y54" t="str">
            <v>niúh</v>
          </cell>
        </row>
      </sheetData>
      <sheetData sheetId="30" refreshError="1"/>
      <sheetData sheetId="31" refreshError="1"/>
      <sheetData sheetId="32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at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a̍t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oai</v>
          </cell>
          <cell r="S12" t="str">
            <v>oái</v>
          </cell>
          <cell r="T12" t="str">
            <v>oài</v>
          </cell>
          <cell r="U12" t="str">
            <v>oaih</v>
          </cell>
          <cell r="V12" t="str">
            <v>oâi</v>
          </cell>
          <cell r="W12" t="str">
            <v>oài</v>
          </cell>
          <cell r="X12" t="str">
            <v>oāi</v>
          </cell>
          <cell r="Y12" t="str">
            <v>oa̍ih</v>
          </cell>
        </row>
        <row r="13">
          <cell r="R13" t="str">
            <v>eng</v>
          </cell>
          <cell r="S13" t="str">
            <v>éng</v>
          </cell>
          <cell r="T13" t="str">
            <v>èng</v>
          </cell>
          <cell r="U13" t="str">
            <v>ek</v>
          </cell>
          <cell r="V13" t="str">
            <v>êng</v>
          </cell>
          <cell r="W13" t="str">
            <v>èng</v>
          </cell>
          <cell r="X13" t="str">
            <v>ēng</v>
          </cell>
          <cell r="Y13" t="str">
            <v>e̍k</v>
          </cell>
        </row>
        <row r="14">
          <cell r="R14" t="str">
            <v>oan</v>
          </cell>
          <cell r="S14" t="str">
            <v>oán</v>
          </cell>
          <cell r="T14" t="str">
            <v>oàn</v>
          </cell>
          <cell r="U14" t="str">
            <v>oat</v>
          </cell>
          <cell r="V14" t="str">
            <v>oân</v>
          </cell>
          <cell r="W14" t="str">
            <v>oàn</v>
          </cell>
          <cell r="X14" t="str">
            <v>oān</v>
          </cell>
          <cell r="Y14" t="str">
            <v>oa̍t</v>
          </cell>
        </row>
        <row r="15">
          <cell r="R15" t="str">
            <v>o͘</v>
          </cell>
          <cell r="S15" t="str">
            <v>ó͘</v>
          </cell>
          <cell r="T15" t="str">
            <v>ò͘</v>
          </cell>
          <cell r="U15" t="str">
            <v>o͘h</v>
          </cell>
          <cell r="V15" t="str">
            <v>ô͘</v>
          </cell>
          <cell r="W15" t="str">
            <v xml:space="preserve"> ò͘</v>
          </cell>
          <cell r="X15" t="str">
            <v>ō͘</v>
          </cell>
          <cell r="Y15" t="str">
            <v>o̍͘h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ei</v>
          </cell>
          <cell r="S17" t="str">
            <v>éi</v>
          </cell>
          <cell r="T17" t="str">
            <v>èi</v>
          </cell>
          <cell r="U17" t="str">
            <v>eih</v>
          </cell>
          <cell r="V17" t="str">
            <v>êi</v>
          </cell>
          <cell r="W17" t="str">
            <v>èi</v>
          </cell>
          <cell r="X17" t="str">
            <v>ēi</v>
          </cell>
          <cell r="Y17" t="str">
            <v>e̍ih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oa</v>
          </cell>
          <cell r="S24" t="str">
            <v>óa</v>
          </cell>
          <cell r="T24" t="str">
            <v>òa</v>
          </cell>
          <cell r="U24" t="str">
            <v>oah</v>
          </cell>
          <cell r="V24" t="str">
            <v>ôa</v>
          </cell>
          <cell r="W24" t="str">
            <v>òa</v>
          </cell>
          <cell r="X24" t="str">
            <v>ōa</v>
          </cell>
          <cell r="Y24" t="str">
            <v>o̍ah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oe</v>
          </cell>
          <cell r="S29" t="str">
            <v>óe</v>
          </cell>
          <cell r="T29" t="str">
            <v>òe</v>
          </cell>
          <cell r="U29" t="str">
            <v>oeh</v>
          </cell>
          <cell r="V29" t="str">
            <v>ôe</v>
          </cell>
          <cell r="W29" t="str">
            <v>òe</v>
          </cell>
          <cell r="X29" t="str">
            <v>ōe</v>
          </cell>
          <cell r="Y29" t="str">
            <v>o̍eh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ahnn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a̍hnn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ehnn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e̍hnn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ihnn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i̍hnn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oann</v>
          </cell>
          <cell r="S41" t="str">
            <v>óann</v>
          </cell>
          <cell r="T41" t="str">
            <v>òann</v>
          </cell>
          <cell r="U41" t="str">
            <v>oannh</v>
          </cell>
          <cell r="V41" t="str">
            <v>ôann</v>
          </cell>
          <cell r="W41" t="str">
            <v>òann</v>
          </cell>
          <cell r="X41" t="str">
            <v>ōann</v>
          </cell>
          <cell r="Y41" t="str">
            <v>o̍annh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m̍hh</v>
          </cell>
        </row>
        <row r="47">
          <cell r="R47" t="str">
            <v>oang</v>
          </cell>
          <cell r="S47" t="str">
            <v>oáng</v>
          </cell>
          <cell r="T47" t="str">
            <v>oàng</v>
          </cell>
          <cell r="U47" t="str">
            <v>oak</v>
          </cell>
          <cell r="V47" t="str">
            <v>oâng</v>
          </cell>
          <cell r="W47" t="str">
            <v>oàng</v>
          </cell>
          <cell r="X47" t="str">
            <v>oāng</v>
          </cell>
          <cell r="Y47" t="str">
            <v>oa̍k</v>
          </cell>
        </row>
        <row r="48">
          <cell r="R48" t="str">
            <v>oainn</v>
          </cell>
          <cell r="S48" t="str">
            <v>oáinn</v>
          </cell>
          <cell r="T48" t="str">
            <v>oàinn</v>
          </cell>
          <cell r="U48" t="str">
            <v>oaihnn</v>
          </cell>
          <cell r="V48" t="str">
            <v>oâinn</v>
          </cell>
          <cell r="W48" t="str">
            <v>oàinn</v>
          </cell>
          <cell r="X48" t="str">
            <v>oāinn</v>
          </cell>
          <cell r="Y48" t="str">
            <v>oa̍ihnn</v>
          </cell>
        </row>
        <row r="49">
          <cell r="R49" t="str">
            <v>oenn</v>
          </cell>
          <cell r="S49" t="str">
            <v>óenn</v>
          </cell>
          <cell r="T49" t="str">
            <v>òenn</v>
          </cell>
          <cell r="U49" t="str">
            <v>oennh</v>
          </cell>
          <cell r="V49" t="str">
            <v>ôenn</v>
          </cell>
          <cell r="W49" t="str">
            <v>òenn</v>
          </cell>
          <cell r="X49" t="str">
            <v>ōenn</v>
          </cell>
          <cell r="Y49" t="str">
            <v>o̍ennh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iauhnn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ia̍uhnn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ohnn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o̍hnn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3" refreshError="1"/>
      <sheetData sheetId="34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ap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a̍p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uai</v>
          </cell>
          <cell r="S12" t="str">
            <v>uái</v>
          </cell>
          <cell r="T12" t="str">
            <v>uài</v>
          </cell>
          <cell r="U12" t="str">
            <v>uaih</v>
          </cell>
          <cell r="V12" t="str">
            <v>uâi</v>
          </cell>
          <cell r="W12" t="str">
            <v>uài</v>
          </cell>
          <cell r="X12" t="str">
            <v>uāi</v>
          </cell>
          <cell r="Y12" t="str">
            <v>ua̍ih</v>
          </cell>
        </row>
        <row r="13">
          <cell r="R13" t="str">
            <v>ing</v>
          </cell>
          <cell r="S13" t="str">
            <v>íng</v>
          </cell>
          <cell r="T13" t="str">
            <v>ìng</v>
          </cell>
          <cell r="U13" t="str">
            <v>ik</v>
          </cell>
          <cell r="V13" t="str">
            <v>îng</v>
          </cell>
          <cell r="W13" t="str">
            <v>ìng</v>
          </cell>
          <cell r="X13" t="str">
            <v>īng</v>
          </cell>
          <cell r="Y13" t="str">
            <v>i̍k</v>
          </cell>
        </row>
        <row r="14">
          <cell r="R14" t="str">
            <v>uan</v>
          </cell>
          <cell r="S14" t="str">
            <v>uán</v>
          </cell>
          <cell r="T14" t="str">
            <v>uàn</v>
          </cell>
          <cell r="U14" t="str">
            <v>uat</v>
          </cell>
          <cell r="V14" t="str">
            <v>uân</v>
          </cell>
          <cell r="W14" t="str">
            <v>uàn</v>
          </cell>
          <cell r="X14" t="str">
            <v>uān</v>
          </cell>
          <cell r="Y14" t="str">
            <v>ua̍t</v>
          </cell>
        </row>
        <row r="15">
          <cell r="R15" t="str">
            <v>oo</v>
          </cell>
          <cell r="S15" t="str">
            <v>óo</v>
          </cell>
          <cell r="T15" t="str">
            <v>òo</v>
          </cell>
          <cell r="U15" t="str">
            <v>ooh</v>
          </cell>
          <cell r="V15" t="str">
            <v>ôo</v>
          </cell>
          <cell r="W15" t="str">
            <v>0</v>
          </cell>
          <cell r="X15" t="str">
            <v>ōo</v>
          </cell>
          <cell r="Y15" t="str">
            <v>o̍oh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</v>
          </cell>
          <cell r="S17" t="str">
            <v>é</v>
          </cell>
          <cell r="T17" t="str">
            <v>è</v>
          </cell>
          <cell r="U17" t="str">
            <v>eh</v>
          </cell>
          <cell r="V17" t="str">
            <v>ê</v>
          </cell>
          <cell r="W17" t="str">
            <v>è</v>
          </cell>
          <cell r="X17" t="str">
            <v>ē</v>
          </cell>
          <cell r="Y17" t="str">
            <v>e̍h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ua</v>
          </cell>
          <cell r="S24" t="str">
            <v>úa</v>
          </cell>
          <cell r="T24" t="str">
            <v>ùa</v>
          </cell>
          <cell r="U24" t="str">
            <v>uah</v>
          </cell>
          <cell r="V24" t="str">
            <v>ûa</v>
          </cell>
          <cell r="W24" t="str">
            <v>ùa</v>
          </cell>
          <cell r="X24" t="str">
            <v>ūa</v>
          </cell>
          <cell r="Y24" t="str">
            <v>u̍ah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ue</v>
          </cell>
          <cell r="S29" t="str">
            <v>úe</v>
          </cell>
          <cell r="T29" t="str">
            <v>ùe</v>
          </cell>
          <cell r="U29" t="str">
            <v>ueh</v>
          </cell>
          <cell r="V29" t="str">
            <v>ûe</v>
          </cell>
          <cell r="W29" t="str">
            <v>ùe</v>
          </cell>
          <cell r="X29" t="str">
            <v>ūe</v>
          </cell>
          <cell r="Y29" t="str">
            <v>u̍eh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annh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a̍nnh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ennh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e̍nnh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innh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i̍nnh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uann</v>
          </cell>
          <cell r="S41" t="str">
            <v>úann</v>
          </cell>
          <cell r="T41" t="str">
            <v>ùann</v>
          </cell>
          <cell r="U41" t="str">
            <v>uannh</v>
          </cell>
          <cell r="V41" t="str">
            <v>ûann</v>
          </cell>
          <cell r="W41" t="str">
            <v>ùann</v>
          </cell>
          <cell r="X41" t="str">
            <v>ūann</v>
          </cell>
          <cell r="Y41" t="str">
            <v>u̍annh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n̂gh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</v>
          </cell>
        </row>
        <row r="47">
          <cell r="R47" t="str">
            <v>uang</v>
          </cell>
          <cell r="S47" t="str">
            <v>uáng</v>
          </cell>
          <cell r="T47" t="str">
            <v>uàng</v>
          </cell>
          <cell r="U47" t="str">
            <v>uak</v>
          </cell>
          <cell r="V47" t="str">
            <v>uâng</v>
          </cell>
          <cell r="W47" t="str">
            <v>uàng</v>
          </cell>
          <cell r="X47" t="str">
            <v>uāng</v>
          </cell>
          <cell r="Y47" t="str">
            <v>ua̍k</v>
          </cell>
        </row>
        <row r="48">
          <cell r="R48" t="str">
            <v>uainn</v>
          </cell>
          <cell r="S48" t="str">
            <v>uáinn</v>
          </cell>
          <cell r="T48" t="str">
            <v>uàinn</v>
          </cell>
          <cell r="U48" t="str">
            <v>uainnh</v>
          </cell>
          <cell r="V48" t="str">
            <v>uâinn</v>
          </cell>
          <cell r="W48" t="str">
            <v>uàinn</v>
          </cell>
          <cell r="X48" t="str">
            <v>uāinn</v>
          </cell>
          <cell r="Y48" t="str">
            <v>ua̍innh</v>
          </cell>
        </row>
        <row r="49">
          <cell r="R49" t="str">
            <v>uenn</v>
          </cell>
          <cell r="S49" t="str">
            <v>úenn</v>
          </cell>
          <cell r="T49" t="str">
            <v>ùenn</v>
          </cell>
          <cell r="U49" t="str">
            <v>uennh</v>
          </cell>
          <cell r="V49" t="str">
            <v>ûenn</v>
          </cell>
          <cell r="W49" t="str">
            <v>ùenn</v>
          </cell>
          <cell r="X49" t="str">
            <v>ūenn</v>
          </cell>
          <cell r="Y49" t="str">
            <v>u̍ennh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iaunnh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ia̍unnh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onnh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o̍nnh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v"/>
      <sheetName val="人工標音字庫"/>
      <sheetName val="標音字庫 ( before a210)"/>
      <sheetName val="標音字庫"/>
      <sheetName val="缺字表"/>
      <sheetName val="漢字注音"/>
      <sheetName val="漢字注音 (白話音)"/>
      <sheetName val="漢字注音 (2)"/>
      <sheetName val="人工標音字庫 (2)"/>
      <sheetName val="漢字注音 (範例)"/>
      <sheetName val="缺字表 (範例)"/>
      <sheetName val="標音字庫 (範例)"/>
    </sheetNames>
    <sheetDataSet>
      <sheetData sheetId="0">
        <row r="10">
          <cell r="C10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6CB2EB7-B2EC-48EA-B531-1F9C61CA7A4C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1FD2E8E-AF3A-4B4D-A368-A363DC4D3ED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fece23-b455-4bf7-80b3-57cfbba5c92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zi-hi.com/sp/uni/01D2" TargetMode="External"/><Relationship Id="rId21" Type="http://schemas.openxmlformats.org/officeDocument/2006/relationships/hyperlink" Target="https://zi-hi.com/sp/uni/01D0" TargetMode="External"/><Relationship Id="rId42" Type="http://schemas.openxmlformats.org/officeDocument/2006/relationships/hyperlink" Target="https://zi-hi.com/sp/uni/01CD" TargetMode="External"/><Relationship Id="rId47" Type="http://schemas.openxmlformats.org/officeDocument/2006/relationships/hyperlink" Target="https://zi-hi.com/sp/uni/011A" TargetMode="External"/><Relationship Id="rId63" Type="http://schemas.openxmlformats.org/officeDocument/2006/relationships/hyperlink" Target="https://zi-hi.com/sp/uni/01D3" TargetMode="External"/><Relationship Id="rId68" Type="http://schemas.openxmlformats.org/officeDocument/2006/relationships/hyperlink" Target="https://zi-hi.com/sp/uni/01F8" TargetMode="External"/><Relationship Id="rId16" Type="http://schemas.openxmlformats.org/officeDocument/2006/relationships/hyperlink" Target="https://zi-hi.com/sp/uni/011B" TargetMode="External"/><Relationship Id="rId11" Type="http://schemas.openxmlformats.org/officeDocument/2006/relationships/hyperlink" Target="https://zi-hi.com/sp/uni/01CE" TargetMode="External"/><Relationship Id="rId24" Type="http://schemas.openxmlformats.org/officeDocument/2006/relationships/hyperlink" Target="https://zi-hi.com/sp/uni/00F2" TargetMode="External"/><Relationship Id="rId32" Type="http://schemas.openxmlformats.org/officeDocument/2006/relationships/hyperlink" Target="https://zi-hi.com/sp/uni/01D4" TargetMode="External"/><Relationship Id="rId37" Type="http://schemas.openxmlformats.org/officeDocument/2006/relationships/hyperlink" Target="https://zi-hi.com/sp/uni/01F9" TargetMode="External"/><Relationship Id="rId40" Type="http://schemas.openxmlformats.org/officeDocument/2006/relationships/hyperlink" Target="https://zi-hi.com/sp/uni/00C0" TargetMode="External"/><Relationship Id="rId45" Type="http://schemas.openxmlformats.org/officeDocument/2006/relationships/hyperlink" Target="https://zi-hi.com/sp/uni/00C8" TargetMode="External"/><Relationship Id="rId53" Type="http://schemas.openxmlformats.org/officeDocument/2006/relationships/hyperlink" Target="https://zi-hi.com/sp/uni/012A" TargetMode="External"/><Relationship Id="rId58" Type="http://schemas.openxmlformats.org/officeDocument/2006/relationships/hyperlink" Target="https://zi-hi.com/sp/uni/014C" TargetMode="External"/><Relationship Id="rId66" Type="http://schemas.openxmlformats.org/officeDocument/2006/relationships/hyperlink" Target="https://zi-hi.com/sp/uni/1E3E" TargetMode="External"/><Relationship Id="rId74" Type="http://schemas.openxmlformats.org/officeDocument/2006/relationships/hyperlink" Target="https://zi-hi.com/sp/uni/030C" TargetMode="External"/><Relationship Id="rId5" Type="http://schemas.openxmlformats.org/officeDocument/2006/relationships/hyperlink" Target="https://zi-hi.com/sp/uni/0304" TargetMode="External"/><Relationship Id="rId61" Type="http://schemas.openxmlformats.org/officeDocument/2006/relationships/hyperlink" Target="https://zi-hi.com/sp/uni/00D9" TargetMode="External"/><Relationship Id="rId19" Type="http://schemas.openxmlformats.org/officeDocument/2006/relationships/hyperlink" Target="https://zi-hi.com/sp/uni/00EC" TargetMode="External"/><Relationship Id="rId14" Type="http://schemas.openxmlformats.org/officeDocument/2006/relationships/hyperlink" Target="https://zi-hi.com/sp/uni/00E8" TargetMode="External"/><Relationship Id="rId22" Type="http://schemas.openxmlformats.org/officeDocument/2006/relationships/hyperlink" Target="https://zi-hi.com/sp/uni/012B" TargetMode="External"/><Relationship Id="rId27" Type="http://schemas.openxmlformats.org/officeDocument/2006/relationships/hyperlink" Target="https://zi-hi.com/sp/uni/014D" TargetMode="External"/><Relationship Id="rId30" Type="http://schemas.openxmlformats.org/officeDocument/2006/relationships/hyperlink" Target="https://zi-hi.com/sp/uni/00F9" TargetMode="External"/><Relationship Id="rId35" Type="http://schemas.openxmlformats.org/officeDocument/2006/relationships/hyperlink" Target="https://zi-hi.com/sp/uni/1E3F" TargetMode="External"/><Relationship Id="rId43" Type="http://schemas.openxmlformats.org/officeDocument/2006/relationships/hyperlink" Target="https://zi-hi.com/sp/uni/0100" TargetMode="External"/><Relationship Id="rId48" Type="http://schemas.openxmlformats.org/officeDocument/2006/relationships/hyperlink" Target="https://zi-hi.com/sp/uni/0112" TargetMode="External"/><Relationship Id="rId56" Type="http://schemas.openxmlformats.org/officeDocument/2006/relationships/hyperlink" Target="https://zi-hi.com/sp/uni/00D4" TargetMode="External"/><Relationship Id="rId64" Type="http://schemas.openxmlformats.org/officeDocument/2006/relationships/hyperlink" Target="https://zi-hi.com/sp/uni/016A" TargetMode="External"/><Relationship Id="rId69" Type="http://schemas.openxmlformats.org/officeDocument/2006/relationships/hyperlink" Target="https://zi-hi.com/sp/uni/0147" TargetMode="External"/><Relationship Id="rId77" Type="http://schemas.openxmlformats.org/officeDocument/2006/relationships/hyperlink" Target="https://zi-hi.com/sp/uni/030B" TargetMode="External"/><Relationship Id="rId8" Type="http://schemas.openxmlformats.org/officeDocument/2006/relationships/hyperlink" Target="https://zi-hi.com/sp/uni/00E1" TargetMode="External"/><Relationship Id="rId51" Type="http://schemas.openxmlformats.org/officeDocument/2006/relationships/hyperlink" Target="https://zi-hi.com/sp/uni/00CE" TargetMode="External"/><Relationship Id="rId72" Type="http://schemas.openxmlformats.org/officeDocument/2006/relationships/hyperlink" Target="https://zi-hi.com/sp/uni/0300" TargetMode="External"/><Relationship Id="rId3" Type="http://schemas.openxmlformats.org/officeDocument/2006/relationships/hyperlink" Target="https://zi-hi.com/sp/uni/0302" TargetMode="External"/><Relationship Id="rId12" Type="http://schemas.openxmlformats.org/officeDocument/2006/relationships/hyperlink" Target="https://zi-hi.com/sp/uni/0101" TargetMode="External"/><Relationship Id="rId17" Type="http://schemas.openxmlformats.org/officeDocument/2006/relationships/hyperlink" Target="https://zi-hi.com/sp/uni/0113" TargetMode="External"/><Relationship Id="rId25" Type="http://schemas.openxmlformats.org/officeDocument/2006/relationships/hyperlink" Target="https://zi-hi.com/sp/uni/00F4" TargetMode="External"/><Relationship Id="rId33" Type="http://schemas.openxmlformats.org/officeDocument/2006/relationships/hyperlink" Target="https://zi-hi.com/sp/uni/016B" TargetMode="External"/><Relationship Id="rId38" Type="http://schemas.openxmlformats.org/officeDocument/2006/relationships/hyperlink" Target="https://zi-hi.com/sp/uni/0148" TargetMode="External"/><Relationship Id="rId46" Type="http://schemas.openxmlformats.org/officeDocument/2006/relationships/hyperlink" Target="https://zi-hi.com/sp/uni/00CA" TargetMode="External"/><Relationship Id="rId59" Type="http://schemas.openxmlformats.org/officeDocument/2006/relationships/hyperlink" Target="https://zi-hi.com/sp/uni/0150" TargetMode="External"/><Relationship Id="rId67" Type="http://schemas.openxmlformats.org/officeDocument/2006/relationships/hyperlink" Target="https://zi-hi.com/sp/uni/0143" TargetMode="External"/><Relationship Id="rId20" Type="http://schemas.openxmlformats.org/officeDocument/2006/relationships/hyperlink" Target="https://zi-hi.com/sp/uni/00EE" TargetMode="External"/><Relationship Id="rId41" Type="http://schemas.openxmlformats.org/officeDocument/2006/relationships/hyperlink" Target="https://zi-hi.com/sp/uni/00C2" TargetMode="External"/><Relationship Id="rId54" Type="http://schemas.openxmlformats.org/officeDocument/2006/relationships/hyperlink" Target="https://zi-hi.com/sp/uni/00D3" TargetMode="External"/><Relationship Id="rId62" Type="http://schemas.openxmlformats.org/officeDocument/2006/relationships/hyperlink" Target="https://zi-hi.com/sp/uni/00DB" TargetMode="External"/><Relationship Id="rId70" Type="http://schemas.openxmlformats.org/officeDocument/2006/relationships/hyperlink" Target="https://zi-hi.com/%E7%99%BD%E8%A9%B1%E5%AD%97" TargetMode="External"/><Relationship Id="rId75" Type="http://schemas.openxmlformats.org/officeDocument/2006/relationships/hyperlink" Target="https://zi-hi.com/sp/uni/0304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D" TargetMode="External"/><Relationship Id="rId15" Type="http://schemas.openxmlformats.org/officeDocument/2006/relationships/hyperlink" Target="https://zi-hi.com/sp/uni/00EA" TargetMode="External"/><Relationship Id="rId23" Type="http://schemas.openxmlformats.org/officeDocument/2006/relationships/hyperlink" Target="https://zi-hi.com/sp/uni/00F3" TargetMode="External"/><Relationship Id="rId28" Type="http://schemas.openxmlformats.org/officeDocument/2006/relationships/hyperlink" Target="https://zi-hi.com/sp/uni/0151" TargetMode="External"/><Relationship Id="rId36" Type="http://schemas.openxmlformats.org/officeDocument/2006/relationships/hyperlink" Target="https://zi-hi.com/sp/uni/0144" TargetMode="External"/><Relationship Id="rId49" Type="http://schemas.openxmlformats.org/officeDocument/2006/relationships/hyperlink" Target="https://zi-hi.com/sp/uni/00CD" TargetMode="External"/><Relationship Id="rId57" Type="http://schemas.openxmlformats.org/officeDocument/2006/relationships/hyperlink" Target="https://zi-hi.com/sp/uni/01D1" TargetMode="External"/><Relationship Id="rId10" Type="http://schemas.openxmlformats.org/officeDocument/2006/relationships/hyperlink" Target="https://zi-hi.com/sp/uni/00E2" TargetMode="External"/><Relationship Id="rId31" Type="http://schemas.openxmlformats.org/officeDocument/2006/relationships/hyperlink" Target="https://zi-hi.com/sp/uni/00FB" TargetMode="External"/><Relationship Id="rId44" Type="http://schemas.openxmlformats.org/officeDocument/2006/relationships/hyperlink" Target="https://zi-hi.com/sp/uni/00C9" TargetMode="External"/><Relationship Id="rId52" Type="http://schemas.openxmlformats.org/officeDocument/2006/relationships/hyperlink" Target="https://zi-hi.com/sp/uni/01CF" TargetMode="External"/><Relationship Id="rId60" Type="http://schemas.openxmlformats.org/officeDocument/2006/relationships/hyperlink" Target="https://zi-hi.com/sp/uni/00DA" TargetMode="External"/><Relationship Id="rId65" Type="http://schemas.openxmlformats.org/officeDocument/2006/relationships/hyperlink" Target="https://zi-hi.com/sp/uni/0170" TargetMode="External"/><Relationship Id="rId73" Type="http://schemas.openxmlformats.org/officeDocument/2006/relationships/hyperlink" Target="https://zi-hi.com/sp/uni/0302" TargetMode="External"/><Relationship Id="rId4" Type="http://schemas.openxmlformats.org/officeDocument/2006/relationships/hyperlink" Target="https://zi-hi.com/sp/uni/030C" TargetMode="External"/><Relationship Id="rId9" Type="http://schemas.openxmlformats.org/officeDocument/2006/relationships/hyperlink" Target="https://zi-hi.com/sp/uni/00E0" TargetMode="External"/><Relationship Id="rId13" Type="http://schemas.openxmlformats.org/officeDocument/2006/relationships/hyperlink" Target="https://zi-hi.com/sp/uni/00E9" TargetMode="External"/><Relationship Id="rId18" Type="http://schemas.openxmlformats.org/officeDocument/2006/relationships/hyperlink" Target="https://zi-hi.com/sp/uni/00ED" TargetMode="External"/><Relationship Id="rId39" Type="http://schemas.openxmlformats.org/officeDocument/2006/relationships/hyperlink" Target="https://zi-hi.com/sp/uni/00C1" TargetMode="External"/><Relationship Id="rId34" Type="http://schemas.openxmlformats.org/officeDocument/2006/relationships/hyperlink" Target="https://zi-hi.com/sp/uni/0171" TargetMode="External"/><Relationship Id="rId50" Type="http://schemas.openxmlformats.org/officeDocument/2006/relationships/hyperlink" Target="https://zi-hi.com/sp/uni/00CC" TargetMode="External"/><Relationship Id="rId55" Type="http://schemas.openxmlformats.org/officeDocument/2006/relationships/hyperlink" Target="https://zi-hi.com/sp/uni/00D2" TargetMode="External"/><Relationship Id="rId76" Type="http://schemas.openxmlformats.org/officeDocument/2006/relationships/hyperlink" Target="https://zi-hi.com/sp/uni/030D" TargetMode="External"/><Relationship Id="rId7" Type="http://schemas.openxmlformats.org/officeDocument/2006/relationships/hyperlink" Target="https://zi-hi.com/sp/uni/030B" TargetMode="External"/><Relationship Id="rId71" Type="http://schemas.openxmlformats.org/officeDocument/2006/relationships/hyperlink" Target="https://zi-hi.com/sp/uni/0301" TargetMode="External"/><Relationship Id="rId2" Type="http://schemas.openxmlformats.org/officeDocument/2006/relationships/hyperlink" Target="https://zi-hi.com/sp/uni/0300" TargetMode="External"/><Relationship Id="rId29" Type="http://schemas.openxmlformats.org/officeDocument/2006/relationships/hyperlink" Target="https://zi-hi.com/sp/uni/00F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zi-hi.com/sp/uni/01D3" TargetMode="External"/><Relationship Id="rId13" Type="http://schemas.openxmlformats.org/officeDocument/2006/relationships/hyperlink" Target="https://zi-hi.com/sp/uni/014C" TargetMode="External"/><Relationship Id="rId18" Type="http://schemas.openxmlformats.org/officeDocument/2006/relationships/hyperlink" Target="https://zi-hi.com/sp/uni/012A" TargetMode="External"/><Relationship Id="rId26" Type="http://schemas.openxmlformats.org/officeDocument/2006/relationships/hyperlink" Target="https://zi-hi.com/sp/uni/00C8" TargetMode="External"/><Relationship Id="rId3" Type="http://schemas.openxmlformats.org/officeDocument/2006/relationships/hyperlink" Target="https://zi-hi.com/sp/uni/01F8" TargetMode="External"/><Relationship Id="rId21" Type="http://schemas.openxmlformats.org/officeDocument/2006/relationships/hyperlink" Target="https://zi-hi.com/sp/uni/00CC" TargetMode="External"/><Relationship Id="rId7" Type="http://schemas.openxmlformats.org/officeDocument/2006/relationships/hyperlink" Target="https://zi-hi.com/sp/uni/016A" TargetMode="External"/><Relationship Id="rId12" Type="http://schemas.openxmlformats.org/officeDocument/2006/relationships/hyperlink" Target="https://zi-hi.com/sp/uni/0150" TargetMode="External"/><Relationship Id="rId17" Type="http://schemas.openxmlformats.org/officeDocument/2006/relationships/hyperlink" Target="https://zi-hi.com/sp/uni/00D3" TargetMode="External"/><Relationship Id="rId25" Type="http://schemas.openxmlformats.org/officeDocument/2006/relationships/hyperlink" Target="https://zi-hi.com/sp/uni/00CA" TargetMode="External"/><Relationship Id="rId2" Type="http://schemas.openxmlformats.org/officeDocument/2006/relationships/hyperlink" Target="https://zi-hi.com/sp/uni/0147" TargetMode="External"/><Relationship Id="rId16" Type="http://schemas.openxmlformats.org/officeDocument/2006/relationships/hyperlink" Target="https://zi-hi.com/sp/uni/00D2" TargetMode="External"/><Relationship Id="rId20" Type="http://schemas.openxmlformats.org/officeDocument/2006/relationships/hyperlink" Target="https://zi-hi.com/sp/uni/00CE" TargetMode="External"/><Relationship Id="rId29" Type="http://schemas.openxmlformats.org/officeDocument/2006/relationships/hyperlink" Target="https://zi-hi.com/sp/uni/01CD" TargetMode="External"/><Relationship Id="rId1" Type="http://schemas.openxmlformats.org/officeDocument/2006/relationships/hyperlink" Target="https://zi-hi.com/%E7%99%BD%E8%A9%B1%E5%AD%97" TargetMode="External"/><Relationship Id="rId6" Type="http://schemas.openxmlformats.org/officeDocument/2006/relationships/hyperlink" Target="https://zi-hi.com/sp/uni/0170" TargetMode="External"/><Relationship Id="rId11" Type="http://schemas.openxmlformats.org/officeDocument/2006/relationships/hyperlink" Target="https://zi-hi.com/sp/uni/00DA" TargetMode="External"/><Relationship Id="rId24" Type="http://schemas.openxmlformats.org/officeDocument/2006/relationships/hyperlink" Target="https://zi-hi.com/sp/uni/011A" TargetMode="External"/><Relationship Id="rId32" Type="http://schemas.openxmlformats.org/officeDocument/2006/relationships/hyperlink" Target="https://zi-hi.com/sp/uni/00C1" TargetMode="External"/><Relationship Id="rId5" Type="http://schemas.openxmlformats.org/officeDocument/2006/relationships/hyperlink" Target="https://zi-hi.com/sp/uni/1E3E" TargetMode="External"/><Relationship Id="rId15" Type="http://schemas.openxmlformats.org/officeDocument/2006/relationships/hyperlink" Target="https://zi-hi.com/sp/uni/00D4" TargetMode="External"/><Relationship Id="rId23" Type="http://schemas.openxmlformats.org/officeDocument/2006/relationships/hyperlink" Target="https://zi-hi.com/sp/uni/0112" TargetMode="External"/><Relationship Id="rId28" Type="http://schemas.openxmlformats.org/officeDocument/2006/relationships/hyperlink" Target="https://zi-hi.com/sp/uni/0100" TargetMode="External"/><Relationship Id="rId10" Type="http://schemas.openxmlformats.org/officeDocument/2006/relationships/hyperlink" Target="https://zi-hi.com/sp/uni/00D9" TargetMode="External"/><Relationship Id="rId19" Type="http://schemas.openxmlformats.org/officeDocument/2006/relationships/hyperlink" Target="https://zi-hi.com/sp/uni/01CF" TargetMode="External"/><Relationship Id="rId31" Type="http://schemas.openxmlformats.org/officeDocument/2006/relationships/hyperlink" Target="https://zi-hi.com/sp/uni/00C0" TargetMode="External"/><Relationship Id="rId4" Type="http://schemas.openxmlformats.org/officeDocument/2006/relationships/hyperlink" Target="https://zi-hi.com/sp/uni/0143" TargetMode="External"/><Relationship Id="rId9" Type="http://schemas.openxmlformats.org/officeDocument/2006/relationships/hyperlink" Target="https://zi-hi.com/sp/uni/00DB" TargetMode="External"/><Relationship Id="rId14" Type="http://schemas.openxmlformats.org/officeDocument/2006/relationships/hyperlink" Target="https://zi-hi.com/sp/uni/01D1" TargetMode="External"/><Relationship Id="rId22" Type="http://schemas.openxmlformats.org/officeDocument/2006/relationships/hyperlink" Target="https://zi-hi.com/sp/uni/00CD" TargetMode="External"/><Relationship Id="rId27" Type="http://schemas.openxmlformats.org/officeDocument/2006/relationships/hyperlink" Target="https://zi-hi.com/sp/uni/00C9" TargetMode="External"/><Relationship Id="rId30" Type="http://schemas.openxmlformats.org/officeDocument/2006/relationships/hyperlink" Target="https://zi-hi.com/sp/uni/00C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zi-hi.com/sp/uni/0302" TargetMode="External"/><Relationship Id="rId7" Type="http://schemas.openxmlformats.org/officeDocument/2006/relationships/hyperlink" Target="https://zi-hi.com/sp/uni/030B" TargetMode="External"/><Relationship Id="rId2" Type="http://schemas.openxmlformats.org/officeDocument/2006/relationships/hyperlink" Target="https://zi-hi.com/sp/uni/0300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D" TargetMode="External"/><Relationship Id="rId5" Type="http://schemas.openxmlformats.org/officeDocument/2006/relationships/hyperlink" Target="https://zi-hi.com/sp/uni/0304" TargetMode="External"/><Relationship Id="rId4" Type="http://schemas.openxmlformats.org/officeDocument/2006/relationships/hyperlink" Target="https://zi-hi.com/sp/uni/030C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zi-hi.com/sp/uni/0302" TargetMode="External"/><Relationship Id="rId7" Type="http://schemas.openxmlformats.org/officeDocument/2006/relationships/hyperlink" Target="https://zi-hi.com/sp/uni/030B" TargetMode="External"/><Relationship Id="rId2" Type="http://schemas.openxmlformats.org/officeDocument/2006/relationships/hyperlink" Target="https://zi-hi.com/sp/uni/0300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D" TargetMode="External"/><Relationship Id="rId5" Type="http://schemas.openxmlformats.org/officeDocument/2006/relationships/hyperlink" Target="https://zi-hi.com/sp/uni/0304" TargetMode="External"/><Relationship Id="rId4" Type="http://schemas.openxmlformats.org/officeDocument/2006/relationships/hyperlink" Target="https://zi-hi.com/sp/uni/030C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zi-hi.com/sp/uni/0302" TargetMode="External"/><Relationship Id="rId7" Type="http://schemas.openxmlformats.org/officeDocument/2006/relationships/hyperlink" Target="https://zi-hi.com/sp/uni/030B" TargetMode="External"/><Relationship Id="rId2" Type="http://schemas.openxmlformats.org/officeDocument/2006/relationships/hyperlink" Target="https://zi-hi.com/sp/uni/0300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D" TargetMode="External"/><Relationship Id="rId5" Type="http://schemas.openxmlformats.org/officeDocument/2006/relationships/hyperlink" Target="https://zi-hi.com/sp/uni/0304" TargetMode="External"/><Relationship Id="rId4" Type="http://schemas.openxmlformats.org/officeDocument/2006/relationships/hyperlink" Target="https://zi-hi.com/sp/uni/030C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zi-hi.com/sp/uni/0302" TargetMode="External"/><Relationship Id="rId7" Type="http://schemas.openxmlformats.org/officeDocument/2006/relationships/hyperlink" Target="https://zi-hi.com/sp/uni/030B" TargetMode="External"/><Relationship Id="rId2" Type="http://schemas.openxmlformats.org/officeDocument/2006/relationships/hyperlink" Target="https://zi-hi.com/sp/uni/0300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D" TargetMode="External"/><Relationship Id="rId5" Type="http://schemas.openxmlformats.org/officeDocument/2006/relationships/hyperlink" Target="https://zi-hi.com/sp/uni/0304" TargetMode="External"/><Relationship Id="rId4" Type="http://schemas.openxmlformats.org/officeDocument/2006/relationships/hyperlink" Target="https://zi-hi.com/sp/uni/030C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zi-hi.com/sp/uni/0302" TargetMode="External"/><Relationship Id="rId7" Type="http://schemas.openxmlformats.org/officeDocument/2006/relationships/hyperlink" Target="https://zi-hi.com/sp/uni/030B" TargetMode="External"/><Relationship Id="rId2" Type="http://schemas.openxmlformats.org/officeDocument/2006/relationships/hyperlink" Target="https://zi-hi.com/sp/uni/0300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D" TargetMode="External"/><Relationship Id="rId5" Type="http://schemas.openxmlformats.org/officeDocument/2006/relationships/hyperlink" Target="https://zi-hi.com/sp/uni/0304" TargetMode="External"/><Relationship Id="rId4" Type="http://schemas.openxmlformats.org/officeDocument/2006/relationships/hyperlink" Target="https://zi-hi.com/sp/uni/03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B7F8-EC6F-425C-A778-2C680D504D26}">
  <dimension ref="B2:AF30"/>
  <sheetViews>
    <sheetView showOutlineSymbols="0" workbookViewId="0"/>
  </sheetViews>
  <sheetFormatPr defaultRowHeight="16.5" outlineLevelCol="1"/>
  <cols>
    <col min="1" max="1" width="4.125" customWidth="1"/>
    <col min="2" max="3" width="14" customWidth="1"/>
    <col min="4" max="5" width="15.375" customWidth="1"/>
    <col min="6" max="6" width="10.5" bestFit="1" customWidth="1"/>
    <col min="7" max="7" width="14.75" customWidth="1"/>
    <col min="8" max="8" width="15.25" customWidth="1"/>
    <col min="9" max="9" width="20" bestFit="1" customWidth="1"/>
    <col min="10" max="10" width="20" customWidth="1"/>
    <col min="11" max="11" width="20" bestFit="1" customWidth="1"/>
    <col min="12" max="14" width="15.25" customWidth="1"/>
    <col min="15" max="15" width="20" bestFit="1" customWidth="1"/>
    <col min="16" max="19" width="20" customWidth="1"/>
    <col min="21" max="21" width="13.5" style="74" customWidth="1"/>
    <col min="22" max="23" width="17.875" style="74" customWidth="1"/>
    <col min="24" max="24" width="17.875" style="74" hidden="1" customWidth="1" outlineLevel="1"/>
    <col min="25" max="25" width="0" hidden="1" customWidth="1" outlineLevel="1"/>
    <col min="26" max="26" width="18.125" style="74" customWidth="1" collapsed="1"/>
    <col min="27" max="27" width="12.125" style="74" customWidth="1"/>
    <col min="28" max="29" width="20.5" customWidth="1"/>
    <col min="30" max="30" width="17.875" style="74" customWidth="1"/>
    <col min="32" max="32" width="85.75" customWidth="1"/>
  </cols>
  <sheetData>
    <row r="2" spans="2:32" ht="34.5" customHeight="1">
      <c r="B2" s="13" t="s">
        <v>199</v>
      </c>
      <c r="C2" s="13" t="s">
        <v>382</v>
      </c>
      <c r="D2" s="14" t="s">
        <v>32</v>
      </c>
      <c r="E2" s="14" t="s">
        <v>31</v>
      </c>
      <c r="F2" s="13" t="s">
        <v>30</v>
      </c>
      <c r="G2" s="13" t="s">
        <v>202</v>
      </c>
      <c r="H2" s="86" t="s">
        <v>379</v>
      </c>
      <c r="I2" s="13" t="s">
        <v>348</v>
      </c>
      <c r="J2" s="13" t="s">
        <v>351</v>
      </c>
      <c r="K2" s="13" t="s">
        <v>370</v>
      </c>
      <c r="L2" s="86" t="s">
        <v>203</v>
      </c>
      <c r="M2" s="87" t="s">
        <v>350</v>
      </c>
      <c r="N2" s="14" t="s">
        <v>204</v>
      </c>
      <c r="O2" s="13" t="s">
        <v>349</v>
      </c>
      <c r="P2" s="13" t="s">
        <v>364</v>
      </c>
      <c r="Q2" s="13" t="s">
        <v>371</v>
      </c>
      <c r="R2" s="13" t="s">
        <v>352</v>
      </c>
      <c r="S2" s="13" t="s">
        <v>353</v>
      </c>
      <c r="U2" s="13" t="s">
        <v>202</v>
      </c>
      <c r="V2" s="86" t="s">
        <v>379</v>
      </c>
      <c r="W2" s="86" t="s">
        <v>203</v>
      </c>
      <c r="X2" s="86" t="s">
        <v>387</v>
      </c>
      <c r="Y2" s="86" t="s">
        <v>326</v>
      </c>
      <c r="Z2" s="86" t="s">
        <v>383</v>
      </c>
      <c r="AA2" s="86" t="s">
        <v>385</v>
      </c>
      <c r="AB2" s="86" t="s">
        <v>347</v>
      </c>
      <c r="AC2" s="86" t="s">
        <v>386</v>
      </c>
      <c r="AD2" s="86" t="s">
        <v>350</v>
      </c>
    </row>
    <row r="3" spans="2:32" ht="56.25" customHeight="1">
      <c r="B3" s="42">
        <v>0</v>
      </c>
      <c r="C3" s="42">
        <v>9</v>
      </c>
      <c r="D3" s="39" t="s">
        <v>207</v>
      </c>
      <c r="E3" s="39" t="s">
        <v>208</v>
      </c>
      <c r="F3" s="117">
        <v>20</v>
      </c>
      <c r="G3" s="129" t="s">
        <v>209</v>
      </c>
      <c r="H3" s="131" t="s">
        <v>211</v>
      </c>
      <c r="I3" s="127" t="s">
        <v>316</v>
      </c>
      <c r="J3" s="123" t="str">
        <f xml:space="preserve"> IFERROR( _xlfn.CONCAT("a", _xlfn.UNICHAR(HEX2DEC(RIGHT(I3,4)))), "")</f>
        <v>å</v>
      </c>
      <c r="K3" s="124">
        <v>7</v>
      </c>
      <c r="L3" s="119" t="str">
        <f xml:space="preserve"> _xlfn.CONCAT("ah", B3)</f>
        <v>ah0</v>
      </c>
      <c r="M3" s="120" t="str">
        <f xml:space="preserve"> IFERROR( _xlfn.CONCAT("a", "h", _xlfn.UNICHAR(HEX2DEC(RIGHT(I3,4)))), "")</f>
        <v>ah̊</v>
      </c>
      <c r="N3" s="119" t="str">
        <f xml:space="preserve"> _xlfn.CONCAT("ah", K3)</f>
        <v>ah7</v>
      </c>
      <c r="O3" s="133" t="s">
        <v>346</v>
      </c>
      <c r="P3" s="134" t="str">
        <f xml:space="preserve"> _xlfn.CONCAT("ㄚ", "ㆷ", _xlfn.UNICHAR(HEX2DEC(RIGHT("U+02D9",4))))</f>
        <v>ㄚㆷ˙</v>
      </c>
      <c r="Q3" s="133" t="s">
        <v>376</v>
      </c>
      <c r="R3" s="133" t="s">
        <v>355</v>
      </c>
      <c r="S3" s="133" t="s">
        <v>363</v>
      </c>
      <c r="U3" s="130" t="s">
        <v>15</v>
      </c>
      <c r="V3" s="139" t="s">
        <v>298</v>
      </c>
      <c r="W3" s="139" t="s">
        <v>400</v>
      </c>
      <c r="X3" s="137" t="str">
        <f t="shared" ref="X3:X11" si="0" xml:space="preserve"> LEFT(W3, LEN(W3)-1)</f>
        <v>dong</v>
      </c>
      <c r="Y3" s="137" t="str">
        <f t="shared" ref="Y3:Y11" si="1" xml:space="preserve"> RIGHT(W3)</f>
        <v>2</v>
      </c>
      <c r="Z3" s="137" t="s">
        <v>384</v>
      </c>
      <c r="AA3" s="137">
        <f xml:space="preserve"> SEARCH(Z3,W3)</f>
        <v>2</v>
      </c>
      <c r="AB3" s="137" t="str">
        <f t="shared" ref="AB3:AB11" si="2" xml:space="preserve"> _xlfn.XLOOKUP(VALUE(Y3),$B$3:$B$11,$I$3:$I$11,"N/A",0)</f>
        <v>U+0301</v>
      </c>
      <c r="AC3" s="137" t="str">
        <f t="shared" ref="AC3:AC11" si="3" xml:space="preserve"> _xlfn.CONCAT(Z3, _xlfn.UNICHAR(HEX2DEC(RIGHT(AB3,4))))</f>
        <v>ó</v>
      </c>
      <c r="AD3" s="139" t="str">
        <f t="shared" ref="AD3:AD11" si="4" xml:space="preserve"> REPLACE(X3,AA3,1,AC3)</f>
        <v>dóng</v>
      </c>
      <c r="AF3" s="138" t="str">
        <f>_xlfn.CONCAT("(""",U3,""", """,V3,""", """,W3,""", """,AD3,"""), ")</f>
        <v xml:space="preserve">("同", "tong5", "dong2", "dóng"), </v>
      </c>
    </row>
    <row r="4" spans="2:32" ht="56.25" customHeight="1">
      <c r="B4" s="42">
        <v>1</v>
      </c>
      <c r="C4" s="42">
        <v>1</v>
      </c>
      <c r="D4" s="39" t="s">
        <v>25</v>
      </c>
      <c r="E4" s="39" t="s">
        <v>24</v>
      </c>
      <c r="F4" s="117">
        <v>44</v>
      </c>
      <c r="G4" s="129" t="s">
        <v>26</v>
      </c>
      <c r="H4" s="131" t="s">
        <v>46</v>
      </c>
      <c r="I4" s="127" t="s">
        <v>334</v>
      </c>
      <c r="J4" s="123" t="str">
        <f xml:space="preserve"> IFERROR( _xlfn.CONCAT("a", _xlfn.UNICHAR(HEX2DEC(RIGHT(I4,4)))), "")</f>
        <v>ā</v>
      </c>
      <c r="K4" s="124" t="s">
        <v>38</v>
      </c>
      <c r="L4" s="119" t="str">
        <f xml:space="preserve"> _xlfn.CONCAT("dong", B4)</f>
        <v>dong1</v>
      </c>
      <c r="M4" s="120" t="str">
        <f t="shared" ref="M4:M9" si="5" xml:space="preserve"> IFERROR( _xlfn.CONCAT("d", "o", _xlfn.UNICHAR(HEX2DEC(RIGHT(I4,4))), "ng"), "")</f>
        <v>dōng</v>
      </c>
      <c r="N4" s="119" t="str">
        <f xml:space="preserve"> _xlfn.CONCAT("dong", K4)</f>
        <v>dong;</v>
      </c>
      <c r="O4" s="133"/>
      <c r="P4" s="134" t="str">
        <f xml:space="preserve"> _xlfn.CONCAT("ㄚ",)</f>
        <v>ㄚ</v>
      </c>
      <c r="Q4" s="133" t="s">
        <v>372</v>
      </c>
      <c r="R4" s="133" t="s">
        <v>214</v>
      </c>
      <c r="S4" s="133" t="s">
        <v>356</v>
      </c>
      <c r="U4" s="130" t="s">
        <v>304</v>
      </c>
      <c r="V4" s="139" t="s">
        <v>401</v>
      </c>
      <c r="W4" s="139" t="s">
        <v>388</v>
      </c>
      <c r="X4" s="137" t="str">
        <f t="shared" si="0"/>
        <v>gun</v>
      </c>
      <c r="Y4" s="137" t="str">
        <f t="shared" si="1"/>
        <v>3</v>
      </c>
      <c r="Z4" s="137" t="s">
        <v>390</v>
      </c>
      <c r="AA4" s="137">
        <f t="shared" ref="AA4:AA11" si="6" xml:space="preserve"> SEARCH(Z4,W4)</f>
        <v>2</v>
      </c>
      <c r="AB4" s="137" t="str">
        <f t="shared" si="2"/>
        <v>U+030C</v>
      </c>
      <c r="AC4" s="137" t="str">
        <f t="shared" si="3"/>
        <v>ǔ</v>
      </c>
      <c r="AD4" s="139" t="str">
        <f t="shared" si="4"/>
        <v>gǔn</v>
      </c>
      <c r="AF4" s="138" t="str">
        <f t="shared" ref="AF4:AF30" si="7">_xlfn.CONCAT("(""",U4,""", """,V4,""", """,W4,""", """,AD4,"""), ")</f>
        <v xml:space="preserve">("滾", "kun2", "gun3", "gǔn"), </v>
      </c>
    </row>
    <row r="5" spans="2:32" ht="56.25" customHeight="1">
      <c r="B5" s="46">
        <v>2</v>
      </c>
      <c r="C5" s="46">
        <v>5</v>
      </c>
      <c r="D5" s="48" t="s">
        <v>14</v>
      </c>
      <c r="E5" s="48" t="s">
        <v>13</v>
      </c>
      <c r="F5" s="118">
        <v>13</v>
      </c>
      <c r="G5" s="130" t="s">
        <v>15</v>
      </c>
      <c r="H5" s="132" t="s">
        <v>298</v>
      </c>
      <c r="I5" s="128" t="s">
        <v>335</v>
      </c>
      <c r="J5" s="125" t="str">
        <f xml:space="preserve"> IFERROR( _xlfn.CONCAT("a", _xlfn.UNICHAR(HEX2DEC(RIGHT(I5,4)))), "")</f>
        <v>á</v>
      </c>
      <c r="K5" s="126" t="s">
        <v>42</v>
      </c>
      <c r="L5" s="121" t="str">
        <f xml:space="preserve"> _xlfn.CONCAT("dong", B5)</f>
        <v>dong2</v>
      </c>
      <c r="M5" s="122" t="str">
        <f t="shared" si="5"/>
        <v>dóng</v>
      </c>
      <c r="N5" s="121" t="str">
        <f xml:space="preserve"> _xlfn.CONCAT("dong", K5)</f>
        <v>dong/</v>
      </c>
      <c r="O5" s="135" t="s">
        <v>335</v>
      </c>
      <c r="P5" s="136" t="str">
        <f xml:space="preserve"> _xlfn.CONCAT("ㄚ ",_xlfn.UNICHAR(HEX2DEC(RIGHT(O5,4))))</f>
        <v>ㄚ ́</v>
      </c>
      <c r="Q5" s="135" t="s">
        <v>377</v>
      </c>
      <c r="R5" s="135" t="s">
        <v>218</v>
      </c>
      <c r="S5" s="135" t="s">
        <v>357</v>
      </c>
      <c r="U5" s="130" t="s">
        <v>389</v>
      </c>
      <c r="V5" s="139" t="s">
        <v>402</v>
      </c>
      <c r="W5" s="139" t="s">
        <v>403</v>
      </c>
      <c r="X5" s="137" t="str">
        <f t="shared" si="0"/>
        <v>yao</v>
      </c>
      <c r="Y5" s="137" t="str">
        <f t="shared" si="1"/>
        <v>1</v>
      </c>
      <c r="Z5" s="137" t="s">
        <v>391</v>
      </c>
      <c r="AA5" s="137">
        <f t="shared" si="6"/>
        <v>2</v>
      </c>
      <c r="AB5" s="137" t="str">
        <f t="shared" si="2"/>
        <v>U+0304</v>
      </c>
      <c r="AC5" s="137" t="str">
        <f t="shared" si="3"/>
        <v>ā</v>
      </c>
      <c r="AD5" s="139" t="str">
        <f t="shared" si="4"/>
        <v>yāo</v>
      </c>
      <c r="AF5" s="138" t="str">
        <f t="shared" si="7"/>
        <v xml:space="preserve">("腰", "iau1", "yao1", "yāo"), </v>
      </c>
    </row>
    <row r="6" spans="2:32" ht="56.25" customHeight="1">
      <c r="B6" s="42">
        <v>3</v>
      </c>
      <c r="C6" s="42">
        <v>4</v>
      </c>
      <c r="D6" s="39" t="s">
        <v>36</v>
      </c>
      <c r="E6" s="39" t="s">
        <v>11</v>
      </c>
      <c r="F6" s="117">
        <v>53</v>
      </c>
      <c r="G6" s="129" t="s">
        <v>9</v>
      </c>
      <c r="H6" s="131" t="s">
        <v>296</v>
      </c>
      <c r="I6" s="127" t="s">
        <v>336</v>
      </c>
      <c r="J6" s="123" t="str">
        <f xml:space="preserve"> IFERROR( _xlfn.CONCAT("a", _xlfn.UNICHAR(HEX2DEC(RIGHT(I6,4)))), "")</f>
        <v>ǎ</v>
      </c>
      <c r="K6" s="124" t="s">
        <v>41</v>
      </c>
      <c r="L6" s="119" t="str">
        <f xml:space="preserve"> _xlfn.CONCAT("dong", B6)</f>
        <v>dong3</v>
      </c>
      <c r="M6" s="120" t="str">
        <f t="shared" si="5"/>
        <v>dǒng</v>
      </c>
      <c r="N6" s="119" t="str">
        <f xml:space="preserve"> _xlfn.CONCAT("dong", K6)</f>
        <v>dong\</v>
      </c>
      <c r="O6" s="133" t="s">
        <v>337</v>
      </c>
      <c r="P6" s="134" t="str">
        <f xml:space="preserve"> _xlfn.CONCAT("ㄚ ",_xlfn.UNICHAR(HEX2DEC(RIGHT(O6,4))))</f>
        <v>ㄚ ̀</v>
      </c>
      <c r="Q6" s="133" t="s">
        <v>373</v>
      </c>
      <c r="R6" s="133" t="s">
        <v>215</v>
      </c>
      <c r="S6" s="133" t="s">
        <v>358</v>
      </c>
      <c r="U6" s="130" t="s">
        <v>394</v>
      </c>
      <c r="V6" s="139" t="s">
        <v>392</v>
      </c>
      <c r="W6" s="139" t="s">
        <v>399</v>
      </c>
      <c r="X6" s="137" t="str">
        <f t="shared" si="0"/>
        <v>yi</v>
      </c>
      <c r="Y6" s="137" t="str">
        <f t="shared" si="1"/>
        <v>1</v>
      </c>
      <c r="Z6" s="137" t="s">
        <v>393</v>
      </c>
      <c r="AA6" s="137">
        <f t="shared" si="6"/>
        <v>2</v>
      </c>
      <c r="AB6" s="137" t="str">
        <f t="shared" si="2"/>
        <v>U+0304</v>
      </c>
      <c r="AC6" s="137" t="str">
        <f t="shared" si="3"/>
        <v>ī</v>
      </c>
      <c r="AD6" s="139" t="str">
        <f t="shared" si="4"/>
        <v>yī</v>
      </c>
      <c r="AF6" s="138" t="str">
        <f t="shared" si="7"/>
        <v xml:space="preserve">("伊", "i1", "yi1", "yī"), </v>
      </c>
    </row>
    <row r="7" spans="2:32" ht="56.25" customHeight="1">
      <c r="B7" s="46">
        <v>4</v>
      </c>
      <c r="C7" s="46">
        <v>99</v>
      </c>
      <c r="D7" s="48" t="s">
        <v>295</v>
      </c>
      <c r="E7" s="48"/>
      <c r="F7" s="118"/>
      <c r="G7" s="130"/>
      <c r="H7" s="132"/>
      <c r="I7" s="128"/>
      <c r="J7" s="125"/>
      <c r="K7" s="126"/>
      <c r="L7" s="121"/>
      <c r="M7" s="122" t="str">
        <f t="shared" si="5"/>
        <v/>
      </c>
      <c r="N7" s="121"/>
      <c r="O7" s="135"/>
      <c r="P7" s="136"/>
      <c r="Q7" s="135" t="s">
        <v>4</v>
      </c>
      <c r="R7" s="135"/>
      <c r="S7" s="135"/>
      <c r="U7" s="130" t="s">
        <v>395</v>
      </c>
      <c r="V7" s="139" t="s">
        <v>396</v>
      </c>
      <c r="W7" s="139" t="s">
        <v>398</v>
      </c>
      <c r="X7" s="137" t="str">
        <f t="shared" si="0"/>
        <v>yim</v>
      </c>
      <c r="Y7" s="137" t="str">
        <f t="shared" si="1"/>
        <v>1</v>
      </c>
      <c r="Z7" s="137" t="s">
        <v>393</v>
      </c>
      <c r="AA7" s="137">
        <f t="shared" si="6"/>
        <v>2</v>
      </c>
      <c r="AB7" s="137" t="str">
        <f t="shared" si="2"/>
        <v>U+0304</v>
      </c>
      <c r="AC7" s="137" t="str">
        <f t="shared" si="3"/>
        <v>ī</v>
      </c>
      <c r="AD7" s="139" t="str">
        <f t="shared" si="4"/>
        <v>yīm</v>
      </c>
      <c r="AF7" s="138" t="str">
        <f t="shared" si="7"/>
        <v xml:space="preserve">("音", "im1", "yim1", "yīm"), </v>
      </c>
    </row>
    <row r="8" spans="2:32" ht="56.25" customHeight="1">
      <c r="B8" s="42">
        <v>5</v>
      </c>
      <c r="C8" s="42">
        <v>3</v>
      </c>
      <c r="D8" s="39" t="s">
        <v>18</v>
      </c>
      <c r="E8" s="39" t="s">
        <v>17</v>
      </c>
      <c r="F8" s="117">
        <v>21</v>
      </c>
      <c r="G8" s="129" t="s">
        <v>19</v>
      </c>
      <c r="H8" s="131" t="s">
        <v>297</v>
      </c>
      <c r="I8" s="127" t="s">
        <v>337</v>
      </c>
      <c r="J8" s="123" t="str">
        <f xml:space="preserve"> IFERROR( _xlfn.CONCAT("a", _xlfn.UNICHAR(HEX2DEC(RIGHT(I8,4)))), "")</f>
        <v>à</v>
      </c>
      <c r="K8" s="124" t="s">
        <v>40</v>
      </c>
      <c r="L8" s="119" t="str">
        <f xml:space="preserve"> _xlfn.CONCAT("dong", B8)</f>
        <v>dong5</v>
      </c>
      <c r="M8" s="120" t="str">
        <f t="shared" si="5"/>
        <v>dòng</v>
      </c>
      <c r="N8" s="119" t="str">
        <f xml:space="preserve"> _xlfn.CONCAT("dong", K8)</f>
        <v>dong_</v>
      </c>
      <c r="O8" s="133" t="s">
        <v>368</v>
      </c>
      <c r="P8" s="134" t="str">
        <f xml:space="preserve"> _xlfn.CONCAT("ㄚ",_xlfn.UNICHAR(HEX2DEC(RIGHT(O8,4))))</f>
        <v>ㄚ˪</v>
      </c>
      <c r="Q8" s="133" t="s">
        <v>374</v>
      </c>
      <c r="R8" s="133" t="s">
        <v>216</v>
      </c>
      <c r="S8" s="133" t="s">
        <v>359</v>
      </c>
      <c r="U8" s="130" t="s">
        <v>397</v>
      </c>
      <c r="V8" s="139" t="s">
        <v>404</v>
      </c>
      <c r="W8" s="139" t="s">
        <v>464</v>
      </c>
      <c r="X8" s="137" t="str">
        <f t="shared" si="0"/>
        <v>yu</v>
      </c>
      <c r="Y8" s="137" t="str">
        <f t="shared" si="1"/>
        <v>2</v>
      </c>
      <c r="Z8" s="137" t="s">
        <v>390</v>
      </c>
      <c r="AA8" s="137">
        <f t="shared" si="6"/>
        <v>2</v>
      </c>
      <c r="AB8" s="137" t="str">
        <f t="shared" si="2"/>
        <v>U+0301</v>
      </c>
      <c r="AC8" s="137" t="str">
        <f t="shared" si="3"/>
        <v>ú</v>
      </c>
      <c r="AD8" s="139" t="str">
        <f t="shared" si="4"/>
        <v>yú</v>
      </c>
      <c r="AF8" s="138" t="str">
        <f t="shared" si="7"/>
        <v xml:space="preserve">("油", "iu5", "yu2", "yú"), </v>
      </c>
    </row>
    <row r="9" spans="2:32" ht="56.25" customHeight="1">
      <c r="B9" s="46">
        <v>6</v>
      </c>
      <c r="C9" s="46">
        <v>2</v>
      </c>
      <c r="D9" s="48" t="s">
        <v>22</v>
      </c>
      <c r="E9" s="48" t="s">
        <v>21</v>
      </c>
      <c r="F9" s="118">
        <v>22</v>
      </c>
      <c r="G9" s="130" t="s">
        <v>23</v>
      </c>
      <c r="H9" s="132" t="s">
        <v>380</v>
      </c>
      <c r="I9" s="128" t="s">
        <v>314</v>
      </c>
      <c r="J9" s="125" t="str">
        <f xml:space="preserve"> IFERROR( _xlfn.CONCAT("a", _xlfn.UNICHAR(HEX2DEC(RIGHT(I9,4)))), "")</f>
        <v>â</v>
      </c>
      <c r="K9" s="126" t="s">
        <v>39</v>
      </c>
      <c r="L9" s="121" t="str">
        <f xml:space="preserve"> _xlfn.CONCAT("dong", B9)</f>
        <v>dong6</v>
      </c>
      <c r="M9" s="122" t="str">
        <f t="shared" si="5"/>
        <v>dông</v>
      </c>
      <c r="N9" s="121" t="str">
        <f xml:space="preserve"> _xlfn.CONCAT("dong", K9)</f>
        <v>dong-</v>
      </c>
      <c r="O9" s="135" t="s">
        <v>369</v>
      </c>
      <c r="P9" s="136" t="str">
        <f xml:space="preserve"> _xlfn.CONCAT("ㄚ",_xlfn.UNICHAR(HEX2DEC(RIGHT(O9,4))))</f>
        <v>ㄚ˫</v>
      </c>
      <c r="Q9" s="135" t="s">
        <v>378</v>
      </c>
      <c r="R9" s="135" t="s">
        <v>219</v>
      </c>
      <c r="S9" s="135" t="s">
        <v>360</v>
      </c>
      <c r="U9" s="130" t="s">
        <v>406</v>
      </c>
      <c r="V9" s="139" t="s">
        <v>405</v>
      </c>
      <c r="W9" s="139" t="s">
        <v>465</v>
      </c>
      <c r="X9" s="137" t="str">
        <f t="shared" si="0"/>
        <v>wun</v>
      </c>
      <c r="Y9" s="137" t="str">
        <f t="shared" si="1"/>
        <v>1</v>
      </c>
      <c r="Z9" s="137" t="s">
        <v>390</v>
      </c>
      <c r="AA9" s="137">
        <f t="shared" si="6"/>
        <v>2</v>
      </c>
      <c r="AB9" s="137" t="str">
        <f t="shared" si="2"/>
        <v>U+0304</v>
      </c>
      <c r="AC9" s="137" t="str">
        <f t="shared" si="3"/>
        <v>ū</v>
      </c>
      <c r="AD9" s="139" t="str">
        <f t="shared" si="4"/>
        <v>wūn</v>
      </c>
      <c r="AF9" s="138" t="str">
        <f t="shared" si="7"/>
        <v xml:space="preserve">("溫", "un1", "wun1", "wūn"), </v>
      </c>
    </row>
    <row r="10" spans="2:32" ht="56.25" customHeight="1">
      <c r="B10" s="42">
        <v>7</v>
      </c>
      <c r="C10" s="42">
        <v>7</v>
      </c>
      <c r="D10" s="39" t="s">
        <v>6</v>
      </c>
      <c r="E10" s="39" t="s">
        <v>5</v>
      </c>
      <c r="F10" s="117">
        <v>32</v>
      </c>
      <c r="G10" s="129" t="s">
        <v>7</v>
      </c>
      <c r="H10" s="131" t="s">
        <v>34</v>
      </c>
      <c r="I10" s="127" t="s">
        <v>334</v>
      </c>
      <c r="J10" s="123" t="str">
        <f xml:space="preserve"> IFERROR( _xlfn.CONCAT("a", _xlfn.UNICHAR(HEX2DEC(RIGHT(I10,4))), "h"), "")</f>
        <v>āh</v>
      </c>
      <c r="K10" s="124" t="s">
        <v>43</v>
      </c>
      <c r="L10" s="119" t="str">
        <f xml:space="preserve"> _xlfn.CONCAT("dok", B10)</f>
        <v>dok7</v>
      </c>
      <c r="M10" s="120" t="str">
        <f xml:space="preserve"> IFERROR( _xlfn.CONCAT("d", "o", _xlfn.UNICHAR(HEX2DEC(RIGHT(I10,4))), "k"), "")</f>
        <v>dōk</v>
      </c>
      <c r="N10" s="119" t="str">
        <f xml:space="preserve"> _xlfn.CONCAT("dok", K10)</f>
        <v>dok[</v>
      </c>
      <c r="O10" s="133"/>
      <c r="P10" s="134" t="str">
        <f xml:space="preserve"> _xlfn.CONCAT("ㄚ", "ㆷ")</f>
        <v>ㄚㆷ</v>
      </c>
      <c r="Q10" s="133" t="s">
        <v>375</v>
      </c>
      <c r="R10" s="133" t="s">
        <v>354</v>
      </c>
      <c r="S10" s="133" t="s">
        <v>361</v>
      </c>
      <c r="U10" s="130" t="s">
        <v>407</v>
      </c>
      <c r="V10" s="139" t="s">
        <v>409</v>
      </c>
      <c r="W10" s="139" t="s">
        <v>408</v>
      </c>
      <c r="X10" s="137" t="str">
        <f t="shared" si="0"/>
        <v>yong</v>
      </c>
      <c r="Y10" s="137" t="str">
        <f t="shared" si="1"/>
        <v>1</v>
      </c>
      <c r="Z10" s="137" t="s">
        <v>384</v>
      </c>
      <c r="AA10" s="137">
        <f t="shared" si="6"/>
        <v>2</v>
      </c>
      <c r="AB10" s="137" t="str">
        <f t="shared" si="2"/>
        <v>U+0304</v>
      </c>
      <c r="AC10" s="137" t="str">
        <f t="shared" si="3"/>
        <v>ō</v>
      </c>
      <c r="AD10" s="139" t="str">
        <f t="shared" si="4"/>
        <v>yōng</v>
      </c>
      <c r="AF10" s="138" t="str">
        <f t="shared" si="7"/>
        <v xml:space="preserve">("央", "iong1", "yong1", "yōng"), </v>
      </c>
    </row>
    <row r="11" spans="2:32" ht="56.25" customHeight="1">
      <c r="B11" s="46">
        <v>8</v>
      </c>
      <c r="C11" s="46">
        <v>8</v>
      </c>
      <c r="D11" s="48" t="s">
        <v>2</v>
      </c>
      <c r="E11" s="48" t="s">
        <v>1</v>
      </c>
      <c r="F11" s="118">
        <v>121</v>
      </c>
      <c r="G11" s="130" t="s">
        <v>3</v>
      </c>
      <c r="H11" s="132" t="s">
        <v>35</v>
      </c>
      <c r="I11" s="128" t="s">
        <v>335</v>
      </c>
      <c r="J11" s="125" t="str">
        <f xml:space="preserve"> IFERROR( _xlfn.CONCAT("a", _xlfn.UNICHAR(HEX2DEC(RIGHT(I11,4))), "h"), "")</f>
        <v>áh</v>
      </c>
      <c r="K11" s="126" t="s">
        <v>44</v>
      </c>
      <c r="L11" s="121" t="str">
        <f xml:space="preserve"> _xlfn.CONCAT("dok", B11)</f>
        <v>dok8</v>
      </c>
      <c r="M11" s="122" t="str">
        <f xml:space="preserve"> IFERROR( _xlfn.CONCAT("d", "o", _xlfn.UNICHAR(HEX2DEC(RIGHT(I11,4))), "k"), "")</f>
        <v>dók</v>
      </c>
      <c r="N11" s="121" t="str">
        <f xml:space="preserve"> _xlfn.CONCAT("dok", K11)</f>
        <v>dok]</v>
      </c>
      <c r="O11" s="135" t="s">
        <v>365</v>
      </c>
      <c r="P11" s="136" t="str">
        <f xml:space="preserve"> _xlfn.CONCAT("ㄚ", "ㆷ", _xlfn.UNICHAR(HEX2DEC(RIGHT(O11,4))))</f>
        <v>ㄚㆷ˙</v>
      </c>
      <c r="Q11" s="135" t="s">
        <v>44</v>
      </c>
      <c r="R11" s="135" t="s">
        <v>381</v>
      </c>
      <c r="S11" s="135" t="s">
        <v>362</v>
      </c>
      <c r="U11" s="130" t="s">
        <v>410</v>
      </c>
      <c r="V11" s="139" t="s">
        <v>411</v>
      </c>
      <c r="W11" s="139" t="s">
        <v>412</v>
      </c>
      <c r="X11" s="137" t="str">
        <f t="shared" si="0"/>
        <v>wan</v>
      </c>
      <c r="Y11" s="137" t="str">
        <f t="shared" si="1"/>
        <v>1</v>
      </c>
      <c r="Z11" s="137" t="s">
        <v>391</v>
      </c>
      <c r="AA11" s="137">
        <f t="shared" si="6"/>
        <v>2</v>
      </c>
      <c r="AB11" s="137" t="str">
        <f t="shared" si="2"/>
        <v>U+0304</v>
      </c>
      <c r="AC11" s="137" t="str">
        <f t="shared" si="3"/>
        <v>ā</v>
      </c>
      <c r="AD11" s="139" t="str">
        <f t="shared" si="4"/>
        <v>wān</v>
      </c>
      <c r="AF11" s="138" t="str">
        <f t="shared" si="7"/>
        <v xml:space="preserve">("彎", "uan1", "wan1", "wān"), </v>
      </c>
    </row>
    <row r="12" spans="2:32" ht="56.25" customHeight="1">
      <c r="U12" s="130" t="s">
        <v>413</v>
      </c>
      <c r="V12" s="139" t="s">
        <v>466</v>
      </c>
      <c r="W12" s="139" t="s">
        <v>432</v>
      </c>
      <c r="X12" s="137" t="str">
        <f t="shared" ref="X12:X30" si="8" xml:space="preserve"> LEFT(W12, LEN(W12)-1)</f>
        <v>cun</v>
      </c>
      <c r="Y12" s="137" t="str">
        <f t="shared" ref="Y12:Y23" si="9" xml:space="preserve"> RIGHT(W12)</f>
        <v>1</v>
      </c>
      <c r="Z12" s="137" t="s">
        <v>390</v>
      </c>
      <c r="AA12" s="137">
        <f t="shared" ref="AA12:AA23" si="10" xml:space="preserve"> SEARCH(Z12,W12)</f>
        <v>2</v>
      </c>
      <c r="AB12" s="137" t="str">
        <f t="shared" ref="AB12:AB23" si="11" xml:space="preserve"> _xlfn.XLOOKUP(VALUE(Y12),$B$3:$B$11,$I$3:$I$11,"N/A",0)</f>
        <v>U+0304</v>
      </c>
      <c r="AC12" s="137" t="str">
        <f t="shared" ref="AC12:AC23" si="12" xml:space="preserve"> _xlfn.CONCAT(Z12, _xlfn.UNICHAR(HEX2DEC(RIGHT(AB12,4))))</f>
        <v>ū</v>
      </c>
      <c r="AD12" s="139" t="str">
        <f t="shared" ref="AD12:AD23" si="13" xml:space="preserve"> REPLACE(X12,AA12,1,AC12)</f>
        <v>cūn</v>
      </c>
      <c r="AF12" s="138" t="str">
        <f t="shared" si="7"/>
        <v xml:space="preserve">("春", "tshun1", "cun1", "cūn"), </v>
      </c>
    </row>
    <row r="13" spans="2:32" ht="56.25" customHeight="1">
      <c r="U13" s="130" t="s">
        <v>414</v>
      </c>
      <c r="V13" s="139" t="s">
        <v>451</v>
      </c>
      <c r="W13" s="139" t="s">
        <v>433</v>
      </c>
      <c r="X13" s="137" t="str">
        <f t="shared" si="8"/>
        <v>bbian</v>
      </c>
      <c r="Y13" s="137" t="str">
        <f t="shared" si="9"/>
        <v>2</v>
      </c>
      <c r="Z13" s="137" t="s">
        <v>391</v>
      </c>
      <c r="AA13" s="137">
        <f t="shared" si="10"/>
        <v>4</v>
      </c>
      <c r="AB13" s="137" t="str">
        <f t="shared" si="11"/>
        <v>U+0301</v>
      </c>
      <c r="AC13" s="137" t="str">
        <f t="shared" si="12"/>
        <v>á</v>
      </c>
      <c r="AD13" s="139" t="str">
        <f t="shared" si="13"/>
        <v>bbián</v>
      </c>
      <c r="AF13" s="138" t="str">
        <f t="shared" si="7"/>
        <v xml:space="preserve">("眠", "bian5", "bbian2", "bbián"), </v>
      </c>
    </row>
    <row r="14" spans="2:32" ht="56.25" customHeight="1">
      <c r="U14" s="130" t="s">
        <v>415</v>
      </c>
      <c r="V14" s="139" t="s">
        <v>452</v>
      </c>
      <c r="W14" s="139" t="s">
        <v>434</v>
      </c>
      <c r="X14" s="137" t="str">
        <f t="shared" si="8"/>
        <v>but</v>
      </c>
      <c r="Y14" s="137" t="str">
        <f t="shared" si="9"/>
        <v>7</v>
      </c>
      <c r="Z14" s="137" t="s">
        <v>390</v>
      </c>
      <c r="AA14" s="137">
        <f t="shared" si="10"/>
        <v>2</v>
      </c>
      <c r="AB14" s="137" t="str">
        <f t="shared" si="11"/>
        <v>U+0304</v>
      </c>
      <c r="AC14" s="137" t="str">
        <f t="shared" si="12"/>
        <v>ū</v>
      </c>
      <c r="AD14" s="139" t="str">
        <f t="shared" si="13"/>
        <v>būt</v>
      </c>
      <c r="AF14" s="138" t="str">
        <f t="shared" si="7"/>
        <v xml:space="preserve">("不", "put4", "but7", "būt"), </v>
      </c>
    </row>
    <row r="15" spans="2:32" ht="56.25" customHeight="1">
      <c r="U15" s="130" t="s">
        <v>416</v>
      </c>
      <c r="V15" s="139" t="s">
        <v>453</v>
      </c>
      <c r="W15" s="139" t="s">
        <v>435</v>
      </c>
      <c r="X15" s="137" t="str">
        <f t="shared" si="8"/>
        <v>gak</v>
      </c>
      <c r="Y15" s="137" t="str">
        <f t="shared" si="9"/>
        <v>7</v>
      </c>
      <c r="Z15" s="137" t="s">
        <v>391</v>
      </c>
      <c r="AA15" s="137">
        <f t="shared" si="10"/>
        <v>2</v>
      </c>
      <c r="AB15" s="137" t="str">
        <f t="shared" si="11"/>
        <v>U+0304</v>
      </c>
      <c r="AC15" s="137" t="str">
        <f t="shared" si="12"/>
        <v>ā</v>
      </c>
      <c r="AD15" s="139" t="str">
        <f t="shared" si="13"/>
        <v>gāk</v>
      </c>
      <c r="AF15" s="138" t="str">
        <f t="shared" si="7"/>
        <v xml:space="preserve">("覺", "kak4", "gak7", "gāk"), </v>
      </c>
    </row>
    <row r="16" spans="2:32" ht="56.25" customHeight="1">
      <c r="U16" s="130" t="s">
        <v>417</v>
      </c>
      <c r="V16" s="139" t="s">
        <v>454</v>
      </c>
      <c r="W16" s="139" t="s">
        <v>436</v>
      </c>
      <c r="X16" s="137" t="str">
        <f t="shared" si="8"/>
        <v>hiao</v>
      </c>
      <c r="Y16" s="137" t="str">
        <f t="shared" si="9"/>
        <v>3</v>
      </c>
      <c r="Z16" s="137" t="s">
        <v>391</v>
      </c>
      <c r="AA16" s="137">
        <f t="shared" si="10"/>
        <v>3</v>
      </c>
      <c r="AB16" s="137" t="str">
        <f t="shared" si="11"/>
        <v>U+030C</v>
      </c>
      <c r="AC16" s="137" t="str">
        <f t="shared" si="12"/>
        <v>ǎ</v>
      </c>
      <c r="AD16" s="139" t="str">
        <f t="shared" si="13"/>
        <v>hiǎo</v>
      </c>
      <c r="AF16" s="138" t="str">
        <f t="shared" si="7"/>
        <v xml:space="preserve">("曉", "hiau2", "hiao3", "hiǎo"), </v>
      </c>
    </row>
    <row r="17" spans="21:32" ht="56.25" customHeight="1">
      <c r="U17" s="130" t="s">
        <v>418</v>
      </c>
      <c r="V17" s="139" t="s">
        <v>467</v>
      </c>
      <c r="W17" s="139" t="s">
        <v>437</v>
      </c>
      <c r="X17" s="137" t="str">
        <f t="shared" si="8"/>
        <v>cu</v>
      </c>
      <c r="Y17" s="137" t="str">
        <f t="shared" si="9"/>
        <v>3</v>
      </c>
      <c r="Z17" s="137" t="s">
        <v>390</v>
      </c>
      <c r="AA17" s="137">
        <f t="shared" si="10"/>
        <v>2</v>
      </c>
      <c r="AB17" s="137" t="str">
        <f t="shared" si="11"/>
        <v>U+030C</v>
      </c>
      <c r="AC17" s="137" t="str">
        <f t="shared" si="12"/>
        <v>ǔ</v>
      </c>
      <c r="AD17" s="139" t="str">
        <f t="shared" si="13"/>
        <v>cǔ</v>
      </c>
      <c r="AF17" s="138" t="str">
        <f t="shared" si="7"/>
        <v xml:space="preserve">("處", "tshu2", "cu3", "cǔ"), </v>
      </c>
    </row>
    <row r="18" spans="21:32" ht="56.25" customHeight="1">
      <c r="U18" s="130" t="s">
        <v>419</v>
      </c>
      <c r="V18" s="139" t="s">
        <v>455</v>
      </c>
      <c r="W18" s="139" t="s">
        <v>438</v>
      </c>
      <c r="X18" s="137" t="str">
        <f t="shared" si="8"/>
        <v>bbun</v>
      </c>
      <c r="Y18" s="137" t="str">
        <f t="shared" si="9"/>
        <v>2</v>
      </c>
      <c r="Z18" s="137" t="s">
        <v>390</v>
      </c>
      <c r="AA18" s="137">
        <f t="shared" si="10"/>
        <v>3</v>
      </c>
      <c r="AB18" s="137" t="str">
        <f t="shared" si="11"/>
        <v>U+0301</v>
      </c>
      <c r="AC18" s="137" t="str">
        <f t="shared" si="12"/>
        <v>ú</v>
      </c>
      <c r="AD18" s="139" t="str">
        <f t="shared" si="13"/>
        <v>bbún</v>
      </c>
      <c r="AF18" s="138" t="str">
        <f t="shared" si="7"/>
        <v xml:space="preserve">("聞", "bun5", "bbun2", "bbún"), </v>
      </c>
    </row>
    <row r="19" spans="21:32" ht="56.25" customHeight="1">
      <c r="U19" s="130" t="s">
        <v>420</v>
      </c>
      <c r="V19" s="139" t="s">
        <v>456</v>
      </c>
      <c r="W19" s="139" t="s">
        <v>439</v>
      </c>
      <c r="X19" s="137" t="str">
        <f t="shared" si="8"/>
        <v>ti</v>
      </c>
      <c r="Y19" s="137" t="str">
        <f t="shared" si="9"/>
        <v>2</v>
      </c>
      <c r="Z19" s="137" t="s">
        <v>393</v>
      </c>
      <c r="AA19" s="137">
        <f t="shared" si="10"/>
        <v>2</v>
      </c>
      <c r="AB19" s="137" t="str">
        <f t="shared" si="11"/>
        <v>U+0301</v>
      </c>
      <c r="AC19" s="137" t="str">
        <f t="shared" si="12"/>
        <v>í</v>
      </c>
      <c r="AD19" s="139" t="str">
        <f t="shared" si="13"/>
        <v>tí</v>
      </c>
      <c r="AF19" s="138" t="str">
        <f t="shared" si="7"/>
        <v xml:space="preserve">("啼", "thi5", "ti2", "tí"), </v>
      </c>
    </row>
    <row r="20" spans="21:32" ht="56.25" customHeight="1">
      <c r="U20" s="130" t="s">
        <v>421</v>
      </c>
      <c r="V20" s="139" t="s">
        <v>463</v>
      </c>
      <c r="W20" s="139" t="s">
        <v>440</v>
      </c>
      <c r="X20" s="137" t="str">
        <f t="shared" si="8"/>
        <v>lniao</v>
      </c>
      <c r="Y20" s="137" t="str">
        <f t="shared" si="9"/>
        <v>3</v>
      </c>
      <c r="Z20" s="137" t="s">
        <v>391</v>
      </c>
      <c r="AA20" s="137">
        <f t="shared" si="10"/>
        <v>4</v>
      </c>
      <c r="AB20" s="137" t="str">
        <f t="shared" si="11"/>
        <v>U+030C</v>
      </c>
      <c r="AC20" s="137" t="str">
        <f t="shared" si="12"/>
        <v>ǎ</v>
      </c>
      <c r="AD20" s="139" t="str">
        <f t="shared" si="13"/>
        <v>lniǎo</v>
      </c>
      <c r="AF20" s="138" t="str">
        <f t="shared" si="7"/>
        <v xml:space="preserve">("鳥", "niau2", "lniao3", "lniǎo"), </v>
      </c>
    </row>
    <row r="21" spans="21:32" ht="56.25" customHeight="1">
      <c r="U21" s="130" t="s">
        <v>422</v>
      </c>
      <c r="V21" s="139" t="s">
        <v>457</v>
      </c>
      <c r="W21" s="139" t="s">
        <v>441</v>
      </c>
      <c r="X21" s="137" t="str">
        <f t="shared" si="8"/>
        <v>ya</v>
      </c>
      <c r="Y21" s="137" t="str">
        <f t="shared" si="9"/>
        <v>3</v>
      </c>
      <c r="Z21" s="137" t="s">
        <v>391</v>
      </c>
      <c r="AA21" s="137">
        <f t="shared" si="10"/>
        <v>2</v>
      </c>
      <c r="AB21" s="137" t="str">
        <f t="shared" si="11"/>
        <v>U+030C</v>
      </c>
      <c r="AC21" s="137" t="str">
        <f t="shared" si="12"/>
        <v>ǎ</v>
      </c>
      <c r="AD21" s="139" t="str">
        <f t="shared" si="13"/>
        <v>yǎ</v>
      </c>
      <c r="AF21" s="138" t="str">
        <f t="shared" si="7"/>
        <v xml:space="preserve">("夜", "ia2", "ya3", "yǎ"), </v>
      </c>
    </row>
    <row r="22" spans="21:32" ht="56.25" customHeight="1">
      <c r="U22" s="130" t="s">
        <v>423</v>
      </c>
      <c r="V22" s="139" t="s">
        <v>458</v>
      </c>
      <c r="W22" s="139" t="s">
        <v>442</v>
      </c>
      <c r="X22" s="137" t="str">
        <f t="shared" si="8"/>
        <v>lai</v>
      </c>
      <c r="Y22" s="137" t="str">
        <f t="shared" si="9"/>
        <v>2</v>
      </c>
      <c r="Z22" s="137" t="s">
        <v>391</v>
      </c>
      <c r="AA22" s="137">
        <f t="shared" si="10"/>
        <v>2</v>
      </c>
      <c r="AB22" s="137" t="str">
        <f t="shared" si="11"/>
        <v>U+0301</v>
      </c>
      <c r="AC22" s="137" t="str">
        <f t="shared" si="12"/>
        <v>á</v>
      </c>
      <c r="AD22" s="139" t="str">
        <f t="shared" si="13"/>
        <v>lái</v>
      </c>
      <c r="AF22" s="138" t="str">
        <f t="shared" si="7"/>
        <v xml:space="preserve">("來", "lai5", "lai2", "lái"), </v>
      </c>
    </row>
    <row r="23" spans="21:32" ht="56.25" customHeight="1">
      <c r="U23" s="130" t="s">
        <v>424</v>
      </c>
      <c r="V23" s="139" t="s">
        <v>443</v>
      </c>
      <c r="W23" s="139" t="s">
        <v>443</v>
      </c>
      <c r="X23" s="137" t="str">
        <f t="shared" si="8"/>
        <v>hong</v>
      </c>
      <c r="Y23" s="137" t="str">
        <f t="shared" si="9"/>
        <v>1</v>
      </c>
      <c r="Z23" s="137" t="s">
        <v>384</v>
      </c>
      <c r="AA23" s="137">
        <f t="shared" si="10"/>
        <v>2</v>
      </c>
      <c r="AB23" s="137" t="str">
        <f t="shared" si="11"/>
        <v>U+0304</v>
      </c>
      <c r="AC23" s="137" t="str">
        <f t="shared" si="12"/>
        <v>ō</v>
      </c>
      <c r="AD23" s="139" t="str">
        <f t="shared" si="13"/>
        <v>hōng</v>
      </c>
      <c r="AF23" s="138" t="str">
        <f t="shared" si="7"/>
        <v xml:space="preserve">("風", "hong1", "hong1", "hōng"), </v>
      </c>
    </row>
    <row r="24" spans="21:32" ht="57.75">
      <c r="U24" s="130" t="s">
        <v>425</v>
      </c>
      <c r="V24" s="139" t="s">
        <v>459</v>
      </c>
      <c r="W24" s="139" t="s">
        <v>444</v>
      </c>
      <c r="X24" s="137" t="str">
        <f t="shared" si="8"/>
        <v>wu</v>
      </c>
      <c r="Y24" s="137" t="str">
        <f t="shared" ref="Y24:Y30" si="14" xml:space="preserve"> RIGHT(W24)</f>
        <v>3</v>
      </c>
      <c r="Z24" s="137" t="s">
        <v>390</v>
      </c>
      <c r="AA24" s="137">
        <f t="shared" ref="AA24:AA30" si="15" xml:space="preserve"> SEARCH(Z24,W24)</f>
        <v>2</v>
      </c>
      <c r="AB24" s="137" t="str">
        <f t="shared" ref="AB24:AB30" si="16" xml:space="preserve"> _xlfn.XLOOKUP(VALUE(Y24),$B$3:$B$11,$I$3:$I$11,"N/A",0)</f>
        <v>U+030C</v>
      </c>
      <c r="AC24" s="137" t="str">
        <f t="shared" ref="AC24:AC30" si="17" xml:space="preserve"> _xlfn.CONCAT(Z24, _xlfn.UNICHAR(HEX2DEC(RIGHT(AB24,4))))</f>
        <v>ǔ</v>
      </c>
      <c r="AD24" s="139" t="str">
        <f t="shared" ref="AD24:AD30" si="18" xml:space="preserve"> REPLACE(X24,AA24,1,AC24)</f>
        <v>wǔ</v>
      </c>
      <c r="AF24" s="138" t="str">
        <f t="shared" si="7"/>
        <v xml:space="preserve">("雨", "u2", "wu3", "wǔ"), </v>
      </c>
    </row>
    <row r="25" spans="21:32" ht="57.75">
      <c r="U25" s="130" t="s">
        <v>426</v>
      </c>
      <c r="V25" s="139" t="s">
        <v>445</v>
      </c>
      <c r="W25" s="139" t="s">
        <v>445</v>
      </c>
      <c r="X25" s="137" t="str">
        <f t="shared" si="8"/>
        <v>sing</v>
      </c>
      <c r="Y25" s="137" t="str">
        <f t="shared" si="14"/>
        <v>1</v>
      </c>
      <c r="Z25" s="137" t="s">
        <v>393</v>
      </c>
      <c r="AA25" s="137">
        <f t="shared" si="15"/>
        <v>2</v>
      </c>
      <c r="AB25" s="137" t="str">
        <f t="shared" si="16"/>
        <v>U+0304</v>
      </c>
      <c r="AC25" s="137" t="str">
        <f t="shared" si="17"/>
        <v>ī</v>
      </c>
      <c r="AD25" s="139" t="str">
        <f t="shared" si="18"/>
        <v>sīng</v>
      </c>
      <c r="AF25" s="138" t="str">
        <f t="shared" si="7"/>
        <v xml:space="preserve">("聲", "sing1", "sing1", "sīng"), </v>
      </c>
    </row>
    <row r="26" spans="21:32" ht="57.75">
      <c r="U26" s="130" t="s">
        <v>427</v>
      </c>
      <c r="V26" s="139" t="s">
        <v>446</v>
      </c>
      <c r="W26" s="139" t="s">
        <v>446</v>
      </c>
      <c r="X26" s="137" t="str">
        <f t="shared" si="8"/>
        <v>hua</v>
      </c>
      <c r="Y26" s="137" t="str">
        <f t="shared" si="14"/>
        <v>1</v>
      </c>
      <c r="Z26" s="137" t="s">
        <v>391</v>
      </c>
      <c r="AA26" s="137">
        <f t="shared" si="15"/>
        <v>3</v>
      </c>
      <c r="AB26" s="137" t="str">
        <f t="shared" si="16"/>
        <v>U+0304</v>
      </c>
      <c r="AC26" s="137" t="str">
        <f t="shared" si="17"/>
        <v>ā</v>
      </c>
      <c r="AD26" s="139" t="str">
        <f t="shared" si="18"/>
        <v>huā</v>
      </c>
      <c r="AF26" s="138" t="str">
        <f t="shared" si="7"/>
        <v xml:space="preserve">("花", "hua1", "hua1", "huā"), </v>
      </c>
    </row>
    <row r="27" spans="21:32" ht="57.75">
      <c r="U27" s="130" t="s">
        <v>428</v>
      </c>
      <c r="V27" s="139" t="s">
        <v>447</v>
      </c>
      <c r="W27" s="139" t="s">
        <v>447</v>
      </c>
      <c r="X27" s="137" t="str">
        <f t="shared" si="8"/>
        <v>lok</v>
      </c>
      <c r="Y27" s="137" t="str">
        <f t="shared" si="14"/>
        <v>8</v>
      </c>
      <c r="Z27" s="137" t="s">
        <v>384</v>
      </c>
      <c r="AA27" s="137">
        <f t="shared" si="15"/>
        <v>2</v>
      </c>
      <c r="AB27" s="137" t="str">
        <f t="shared" si="16"/>
        <v>U+0301</v>
      </c>
      <c r="AC27" s="137" t="str">
        <f t="shared" si="17"/>
        <v>ó</v>
      </c>
      <c r="AD27" s="139" t="str">
        <f t="shared" si="18"/>
        <v>lók</v>
      </c>
      <c r="AF27" s="138" t="str">
        <f t="shared" si="7"/>
        <v xml:space="preserve">("落", "lok8", "lok8", "lók"), </v>
      </c>
    </row>
    <row r="28" spans="21:32" ht="57.75">
      <c r="U28" s="130" t="s">
        <v>429</v>
      </c>
      <c r="V28" s="139" t="s">
        <v>460</v>
      </c>
      <c r="W28" s="139" t="s">
        <v>448</v>
      </c>
      <c r="X28" s="137" t="str">
        <f t="shared" si="8"/>
        <v>di</v>
      </c>
      <c r="Y28" s="137" t="str">
        <f t="shared" si="14"/>
        <v>1</v>
      </c>
      <c r="Z28" s="137" t="s">
        <v>393</v>
      </c>
      <c r="AA28" s="137">
        <f t="shared" si="15"/>
        <v>2</v>
      </c>
      <c r="AB28" s="137" t="str">
        <f t="shared" si="16"/>
        <v>U+0304</v>
      </c>
      <c r="AC28" s="137" t="str">
        <f t="shared" si="17"/>
        <v>ī</v>
      </c>
      <c r="AD28" s="139" t="str">
        <f t="shared" si="18"/>
        <v>dī</v>
      </c>
      <c r="AF28" s="138" t="str">
        <f t="shared" si="7"/>
        <v xml:space="preserve">("知", "ti1", "di1", "dī"), </v>
      </c>
    </row>
    <row r="29" spans="21:32" ht="57.75">
      <c r="U29" s="130" t="s">
        <v>430</v>
      </c>
      <c r="V29" s="139" t="s">
        <v>461</v>
      </c>
      <c r="W29" s="139" t="s">
        <v>449</v>
      </c>
      <c r="X29" s="137" t="str">
        <f t="shared" si="8"/>
        <v>do</v>
      </c>
      <c r="Y29" s="137" t="str">
        <f t="shared" si="14"/>
        <v>1</v>
      </c>
      <c r="Z29" s="137" t="s">
        <v>384</v>
      </c>
      <c r="AA29" s="137">
        <f t="shared" si="15"/>
        <v>2</v>
      </c>
      <c r="AB29" s="137" t="str">
        <f t="shared" si="16"/>
        <v>U+0304</v>
      </c>
      <c r="AC29" s="137" t="str">
        <f t="shared" si="17"/>
        <v>ō</v>
      </c>
      <c r="AD29" s="139" t="str">
        <f t="shared" si="18"/>
        <v>dō</v>
      </c>
      <c r="AF29" s="138" t="str">
        <f t="shared" si="7"/>
        <v xml:space="preserve">("多", "to1", "do1", "dō"), </v>
      </c>
    </row>
    <row r="30" spans="21:32" ht="57.75">
      <c r="U30" s="130" t="s">
        <v>431</v>
      </c>
      <c r="V30" s="139" t="s">
        <v>462</v>
      </c>
      <c r="W30" s="139" t="s">
        <v>450</v>
      </c>
      <c r="X30" s="137" t="str">
        <f t="shared" si="8"/>
        <v>siao</v>
      </c>
      <c r="Y30" s="137" t="str">
        <f t="shared" si="14"/>
        <v>5</v>
      </c>
      <c r="Z30" s="137" t="s">
        <v>391</v>
      </c>
      <c r="AA30" s="137">
        <f t="shared" si="15"/>
        <v>3</v>
      </c>
      <c r="AB30" s="137" t="str">
        <f t="shared" si="16"/>
        <v>U+0300</v>
      </c>
      <c r="AC30" s="137" t="str">
        <f t="shared" si="17"/>
        <v>à</v>
      </c>
      <c r="AD30" s="139" t="str">
        <f t="shared" si="18"/>
        <v>siào</v>
      </c>
      <c r="AF30" s="138" t="str">
        <f t="shared" si="7"/>
        <v xml:space="preserve">("少", "siau3", "siao5", "siào"), </v>
      </c>
    </row>
  </sheetData>
  <sortState xmlns:xlrd2="http://schemas.microsoft.com/office/spreadsheetml/2017/richdata2" ref="B3:S11">
    <sortCondition ref="B3:B1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B3E1-D1E0-449D-ACB7-CFE9630C3C54}">
  <dimension ref="B1:S23"/>
  <sheetViews>
    <sheetView showOutlineSymbols="0" workbookViewId="0"/>
  </sheetViews>
  <sheetFormatPr defaultRowHeight="30"/>
  <cols>
    <col min="1" max="1" width="9" style="91"/>
    <col min="2" max="2" width="13.125" style="91" customWidth="1"/>
    <col min="3" max="10" width="13" style="91" customWidth="1"/>
    <col min="11" max="12" width="9" style="91"/>
    <col min="13" max="13" width="9" style="92"/>
    <col min="14" max="15" width="9" style="91"/>
    <col min="16" max="16" width="9.125" style="91" customWidth="1"/>
    <col min="17" max="19" width="13.375" style="93" customWidth="1"/>
    <col min="20" max="16384" width="9" style="91"/>
  </cols>
  <sheetData>
    <row r="1" spans="2:19">
      <c r="B1" s="90"/>
      <c r="C1" s="90"/>
      <c r="D1" s="90"/>
      <c r="E1" s="90"/>
      <c r="F1" s="90"/>
      <c r="G1" s="90"/>
      <c r="H1" s="90"/>
      <c r="I1" s="90"/>
      <c r="J1" s="90"/>
    </row>
    <row r="2" spans="2:19">
      <c r="B2" s="94" t="s">
        <v>51</v>
      </c>
      <c r="C2" s="94">
        <v>2</v>
      </c>
      <c r="D2" s="94">
        <v>3</v>
      </c>
      <c r="E2" s="94">
        <v>4</v>
      </c>
      <c r="F2" s="94">
        <v>5</v>
      </c>
      <c r="G2" s="94">
        <v>6</v>
      </c>
      <c r="H2" s="94">
        <v>7</v>
      </c>
      <c r="I2" s="94">
        <v>8</v>
      </c>
      <c r="J2" s="94">
        <v>9</v>
      </c>
    </row>
    <row r="3" spans="2:19" ht="42">
      <c r="B3" s="94" t="s">
        <v>52</v>
      </c>
      <c r="C3" s="95" t="s">
        <v>185</v>
      </c>
      <c r="D3" s="95" t="s">
        <v>186</v>
      </c>
      <c r="E3" s="96" t="s">
        <v>53</v>
      </c>
      <c r="F3" s="95" t="s">
        <v>120</v>
      </c>
      <c r="G3" s="95" t="s">
        <v>177</v>
      </c>
      <c r="H3" s="95" t="s">
        <v>178</v>
      </c>
      <c r="I3" s="95" t="s">
        <v>121</v>
      </c>
      <c r="J3" s="95" t="s">
        <v>122</v>
      </c>
      <c r="P3" s="95" t="s">
        <v>185</v>
      </c>
      <c r="Q3" s="92">
        <f xml:space="preserve"> IFERROR( HEX2DEC(RIGHT(P3,4)), "")</f>
        <v>769</v>
      </c>
      <c r="R3" s="92" t="str">
        <f xml:space="preserve"> IFERROR( _xlfn.CONCAT("o", _xlfn.UNICHAR(HEX2DEC(RIGHT(P3,4)))), "")</f>
        <v>ó</v>
      </c>
      <c r="S3" s="92" t="str">
        <f xml:space="preserve"> IFERROR( _xlfn.CONCAT("t", "o", _xlfn.UNICHAR(HEX2DEC(RIGHT($P3,4))), "ng"), "")</f>
        <v>tóng</v>
      </c>
    </row>
    <row r="4" spans="2:19" ht="42">
      <c r="B4" s="140" t="s">
        <v>54</v>
      </c>
      <c r="C4" s="141"/>
      <c r="D4" s="141"/>
      <c r="E4" s="141"/>
      <c r="F4" s="141"/>
      <c r="G4" s="141"/>
      <c r="H4" s="141"/>
      <c r="I4" s="141"/>
      <c r="J4" s="142"/>
      <c r="P4" s="95" t="s">
        <v>186</v>
      </c>
      <c r="Q4" s="92">
        <f t="shared" ref="Q4:Q10" si="0" xml:space="preserve"> IFERROR( HEX2DEC(RIGHT(P4,4)), "")</f>
        <v>768</v>
      </c>
      <c r="R4" s="92" t="str">
        <f t="shared" ref="R4:R10" si="1" xml:space="preserve"> IFERROR( _xlfn.CONCAT("o", _xlfn.UNICHAR(HEX2DEC(RIGHT(P4,4)))), "")</f>
        <v>ò</v>
      </c>
      <c r="S4" s="92" t="str">
        <f t="shared" ref="S4:S10" si="2" xml:space="preserve"> IFERROR( _xlfn.CONCAT("t", "o", _xlfn.UNICHAR(HEX2DEC(RIGHT($P4,4))), "ng"), "")</f>
        <v>tòng</v>
      </c>
    </row>
    <row r="5" spans="2:19">
      <c r="B5" s="94" t="s">
        <v>55</v>
      </c>
      <c r="C5" s="95" t="s">
        <v>123</v>
      </c>
      <c r="D5" s="95" t="s">
        <v>124</v>
      </c>
      <c r="E5" s="96" t="s">
        <v>56</v>
      </c>
      <c r="F5" s="95" t="s">
        <v>125</v>
      </c>
      <c r="G5" s="95" t="s">
        <v>179</v>
      </c>
      <c r="H5" s="95" t="s">
        <v>126</v>
      </c>
      <c r="I5" s="96" t="s">
        <v>57</v>
      </c>
      <c r="J5" s="96" t="s">
        <v>58</v>
      </c>
      <c r="L5" s="91" t="s">
        <v>190</v>
      </c>
      <c r="M5" s="92">
        <f xml:space="preserve"> HEX2DEC(RIGHT(C3,4))</f>
        <v>769</v>
      </c>
      <c r="P5" s="96" t="s">
        <v>53</v>
      </c>
      <c r="Q5" s="92" t="str">
        <f t="shared" si="0"/>
        <v/>
      </c>
      <c r="R5" s="92" t="str">
        <f t="shared" si="1"/>
        <v/>
      </c>
      <c r="S5" s="92" t="str">
        <f t="shared" si="2"/>
        <v/>
      </c>
    </row>
    <row r="6" spans="2:19" ht="42">
      <c r="B6" s="94" t="s">
        <v>59</v>
      </c>
      <c r="C6" s="95" t="s">
        <v>127</v>
      </c>
      <c r="D6" s="95" t="s">
        <v>128</v>
      </c>
      <c r="E6" s="96" t="s">
        <v>60</v>
      </c>
      <c r="F6" s="95" t="s">
        <v>129</v>
      </c>
      <c r="G6" s="95" t="s">
        <v>130</v>
      </c>
      <c r="H6" s="95" t="s">
        <v>131</v>
      </c>
      <c r="I6" s="96" t="s">
        <v>61</v>
      </c>
      <c r="J6" s="96" t="s">
        <v>62</v>
      </c>
      <c r="L6" s="91" t="s">
        <v>191</v>
      </c>
      <c r="M6" s="92" t="str">
        <f xml:space="preserve"> _xlfn.CONCAT("a", _xlfn.UNICHAR(M5))</f>
        <v>á</v>
      </c>
      <c r="P6" s="95" t="s">
        <v>120</v>
      </c>
      <c r="Q6" s="92">
        <f t="shared" si="0"/>
        <v>770</v>
      </c>
      <c r="R6" s="92" t="str">
        <f t="shared" si="1"/>
        <v>ô</v>
      </c>
      <c r="S6" s="92" t="str">
        <f t="shared" si="2"/>
        <v>tông</v>
      </c>
    </row>
    <row r="7" spans="2:19" ht="42">
      <c r="B7" s="94" t="s">
        <v>63</v>
      </c>
      <c r="C7" s="95" t="s">
        <v>132</v>
      </c>
      <c r="D7" s="95" t="s">
        <v>133</v>
      </c>
      <c r="E7" s="96" t="s">
        <v>64</v>
      </c>
      <c r="F7" s="95" t="s">
        <v>134</v>
      </c>
      <c r="G7" s="95" t="s">
        <v>180</v>
      </c>
      <c r="H7" s="95" t="s">
        <v>135</v>
      </c>
      <c r="I7" s="96" t="s">
        <v>65</v>
      </c>
      <c r="J7" s="96" t="s">
        <v>66</v>
      </c>
      <c r="P7" s="95" t="s">
        <v>177</v>
      </c>
      <c r="Q7" s="92">
        <f t="shared" si="0"/>
        <v>780</v>
      </c>
      <c r="R7" s="92" t="str">
        <f t="shared" si="1"/>
        <v>ǒ</v>
      </c>
      <c r="S7" s="92" t="str">
        <f t="shared" si="2"/>
        <v>tǒng</v>
      </c>
    </row>
    <row r="8" spans="2:19" ht="42">
      <c r="B8" s="94" t="s">
        <v>67</v>
      </c>
      <c r="C8" s="95" t="s">
        <v>136</v>
      </c>
      <c r="D8" s="95" t="s">
        <v>137</v>
      </c>
      <c r="E8" s="96" t="s">
        <v>68</v>
      </c>
      <c r="F8" s="95" t="s">
        <v>138</v>
      </c>
      <c r="G8" s="95" t="s">
        <v>181</v>
      </c>
      <c r="H8" s="95" t="s">
        <v>139</v>
      </c>
      <c r="I8" s="96" t="s">
        <v>69</v>
      </c>
      <c r="J8" s="95" t="s">
        <v>140</v>
      </c>
      <c r="M8" s="92" t="str">
        <f xml:space="preserve"> _xlfn.CONCAT("t", "o", _xlfn.UNICHAR(M5), "ng")</f>
        <v>tóng</v>
      </c>
      <c r="P8" s="95" t="s">
        <v>178</v>
      </c>
      <c r="Q8" s="92">
        <f t="shared" si="0"/>
        <v>772</v>
      </c>
      <c r="R8" s="92" t="str">
        <f t="shared" si="1"/>
        <v>ō</v>
      </c>
      <c r="S8" s="92" t="str">
        <f t="shared" si="2"/>
        <v>tōng</v>
      </c>
    </row>
    <row r="9" spans="2:19" ht="42">
      <c r="B9" s="94" t="s">
        <v>70</v>
      </c>
      <c r="C9" s="95" t="s">
        <v>141</v>
      </c>
      <c r="D9" s="95" t="s">
        <v>142</v>
      </c>
      <c r="E9" s="96" t="s">
        <v>71</v>
      </c>
      <c r="F9" s="95" t="s">
        <v>143</v>
      </c>
      <c r="G9" s="95" t="s">
        <v>182</v>
      </c>
      <c r="H9" s="95" t="s">
        <v>144</v>
      </c>
      <c r="I9" s="96" t="s">
        <v>72</v>
      </c>
      <c r="J9" s="95" t="s">
        <v>145</v>
      </c>
      <c r="P9" s="95" t="s">
        <v>121</v>
      </c>
      <c r="Q9" s="92">
        <f t="shared" si="0"/>
        <v>781</v>
      </c>
      <c r="R9" s="92" t="str">
        <f t="shared" si="1"/>
        <v>o̍</v>
      </c>
      <c r="S9" s="92" t="str">
        <f t="shared" si="2"/>
        <v>to̍ng</v>
      </c>
    </row>
    <row r="10" spans="2:19" ht="42">
      <c r="B10" s="94" t="s">
        <v>73</v>
      </c>
      <c r="C10" s="95" t="s">
        <v>146</v>
      </c>
      <c r="D10" s="96" t="s">
        <v>74</v>
      </c>
      <c r="E10" s="96" t="s">
        <v>75</v>
      </c>
      <c r="F10" s="96" t="s">
        <v>76</v>
      </c>
      <c r="G10" s="96" t="s">
        <v>77</v>
      </c>
      <c r="H10" s="96" t="s">
        <v>78</v>
      </c>
      <c r="I10" s="96" t="s">
        <v>79</v>
      </c>
      <c r="J10" s="96" t="s">
        <v>80</v>
      </c>
      <c r="P10" s="95" t="s">
        <v>122</v>
      </c>
      <c r="Q10" s="92">
        <f t="shared" si="0"/>
        <v>779</v>
      </c>
      <c r="R10" s="92" t="str">
        <f t="shared" si="1"/>
        <v>ő</v>
      </c>
      <c r="S10" s="92" t="str">
        <f t="shared" si="2"/>
        <v>tőng</v>
      </c>
    </row>
    <row r="11" spans="2:19">
      <c r="B11" s="94" t="s">
        <v>81</v>
      </c>
      <c r="C11" s="95" t="s">
        <v>147</v>
      </c>
      <c r="D11" s="95" t="s">
        <v>148</v>
      </c>
      <c r="E11" s="96" t="s">
        <v>82</v>
      </c>
      <c r="F11" s="96" t="s">
        <v>83</v>
      </c>
      <c r="G11" s="95" t="s">
        <v>149</v>
      </c>
      <c r="H11" s="96" t="s">
        <v>84</v>
      </c>
      <c r="I11" s="96" t="s">
        <v>85</v>
      </c>
      <c r="J11" s="96" t="s">
        <v>86</v>
      </c>
    </row>
    <row r="12" spans="2:19">
      <c r="B12" s="140" t="s">
        <v>87</v>
      </c>
      <c r="C12" s="141"/>
      <c r="D12" s="141"/>
      <c r="E12" s="141"/>
      <c r="F12" s="141"/>
      <c r="G12" s="141"/>
      <c r="H12" s="141"/>
      <c r="I12" s="141"/>
      <c r="J12" s="142"/>
    </row>
    <row r="13" spans="2:19">
      <c r="B13" s="94" t="s">
        <v>88</v>
      </c>
      <c r="C13" s="95" t="s">
        <v>150</v>
      </c>
      <c r="D13" s="95" t="s">
        <v>151</v>
      </c>
      <c r="E13" s="96" t="s">
        <v>89</v>
      </c>
      <c r="F13" s="95" t="s">
        <v>152</v>
      </c>
      <c r="G13" s="95" t="s">
        <v>183</v>
      </c>
      <c r="H13" s="95" t="s">
        <v>153</v>
      </c>
      <c r="I13" s="96" t="s">
        <v>90</v>
      </c>
      <c r="J13" s="96" t="s">
        <v>91</v>
      </c>
    </row>
    <row r="14" spans="2:19">
      <c r="B14" s="94" t="s">
        <v>92</v>
      </c>
      <c r="C14" s="95" t="s">
        <v>154</v>
      </c>
      <c r="D14" s="95" t="s">
        <v>155</v>
      </c>
      <c r="E14" s="96" t="s">
        <v>93</v>
      </c>
      <c r="F14" s="95" t="s">
        <v>156</v>
      </c>
      <c r="G14" s="95" t="s">
        <v>157</v>
      </c>
      <c r="H14" s="95" t="s">
        <v>158</v>
      </c>
      <c r="I14" s="96" t="s">
        <v>94</v>
      </c>
      <c r="J14" s="96" t="s">
        <v>95</v>
      </c>
    </row>
    <row r="15" spans="2:19">
      <c r="B15" s="94" t="s">
        <v>96</v>
      </c>
      <c r="C15" s="95" t="s">
        <v>159</v>
      </c>
      <c r="D15" s="95" t="s">
        <v>160</v>
      </c>
      <c r="E15" s="96" t="s">
        <v>97</v>
      </c>
      <c r="F15" s="95" t="s">
        <v>161</v>
      </c>
      <c r="G15" s="95" t="s">
        <v>162</v>
      </c>
      <c r="H15" s="95" t="s">
        <v>187</v>
      </c>
      <c r="I15" s="96" t="s">
        <v>98</v>
      </c>
      <c r="J15" s="96" t="s">
        <v>99</v>
      </c>
    </row>
    <row r="16" spans="2:19">
      <c r="B16" s="94" t="s">
        <v>100</v>
      </c>
      <c r="C16" s="95" t="s">
        <v>163</v>
      </c>
      <c r="D16" s="95" t="s">
        <v>164</v>
      </c>
      <c r="E16" s="96" t="s">
        <v>101</v>
      </c>
      <c r="F16" s="95" t="s">
        <v>165</v>
      </c>
      <c r="G16" s="95" t="s">
        <v>184</v>
      </c>
      <c r="H16" s="95" t="s">
        <v>166</v>
      </c>
      <c r="I16" s="96" t="s">
        <v>102</v>
      </c>
      <c r="J16" s="95" t="s">
        <v>167</v>
      </c>
    </row>
    <row r="17" spans="2:10">
      <c r="B17" s="94" t="s">
        <v>103</v>
      </c>
      <c r="C17" s="95" t="s">
        <v>168</v>
      </c>
      <c r="D17" s="95" t="s">
        <v>169</v>
      </c>
      <c r="E17" s="96" t="s">
        <v>104</v>
      </c>
      <c r="F17" s="95" t="s">
        <v>170</v>
      </c>
      <c r="G17" s="95" t="s">
        <v>171</v>
      </c>
      <c r="H17" s="95" t="s">
        <v>188</v>
      </c>
      <c r="I17" s="96" t="s">
        <v>105</v>
      </c>
      <c r="J17" s="95" t="s">
        <v>172</v>
      </c>
    </row>
    <row r="18" spans="2:10">
      <c r="B18" s="94" t="s">
        <v>106</v>
      </c>
      <c r="C18" s="95" t="s">
        <v>173</v>
      </c>
      <c r="D18" s="96" t="s">
        <v>107</v>
      </c>
      <c r="E18" s="96" t="s">
        <v>108</v>
      </c>
      <c r="F18" s="96" t="s">
        <v>109</v>
      </c>
      <c r="G18" s="96" t="s">
        <v>110</v>
      </c>
      <c r="H18" s="96" t="s">
        <v>111</v>
      </c>
      <c r="I18" s="96" t="s">
        <v>112</v>
      </c>
      <c r="J18" s="96" t="s">
        <v>113</v>
      </c>
    </row>
    <row r="19" spans="2:10">
      <c r="B19" s="94" t="s">
        <v>114</v>
      </c>
      <c r="C19" s="95" t="s">
        <v>174</v>
      </c>
      <c r="D19" s="95" t="s">
        <v>175</v>
      </c>
      <c r="E19" s="96" t="s">
        <v>115</v>
      </c>
      <c r="F19" s="96" t="s">
        <v>116</v>
      </c>
      <c r="G19" s="95" t="s">
        <v>176</v>
      </c>
      <c r="H19" s="96" t="s">
        <v>117</v>
      </c>
      <c r="I19" s="96" t="s">
        <v>118</v>
      </c>
      <c r="J19" s="96" t="s">
        <v>119</v>
      </c>
    </row>
    <row r="20" spans="2:10">
      <c r="B20" s="90"/>
      <c r="C20" s="90"/>
      <c r="D20" s="90"/>
      <c r="E20" s="90"/>
      <c r="F20" s="90"/>
      <c r="G20" s="90"/>
      <c r="H20" s="90"/>
      <c r="I20" s="90"/>
      <c r="J20" s="90"/>
    </row>
    <row r="21" spans="2:10">
      <c r="B21" s="90"/>
      <c r="C21" s="90"/>
      <c r="D21" s="90"/>
      <c r="E21" s="90"/>
      <c r="F21" s="90"/>
      <c r="G21" s="90"/>
      <c r="H21" s="90"/>
      <c r="I21" s="90"/>
      <c r="J21" s="90"/>
    </row>
    <row r="22" spans="2:10">
      <c r="B22" s="143" t="s">
        <v>189</v>
      </c>
      <c r="C22" s="143"/>
      <c r="D22" s="143"/>
      <c r="E22" s="143"/>
      <c r="F22" s="143"/>
      <c r="G22" s="143"/>
      <c r="H22" s="143"/>
      <c r="I22" s="143"/>
      <c r="J22" s="143"/>
    </row>
    <row r="23" spans="2:10">
      <c r="B23" s="90"/>
      <c r="C23" s="90"/>
      <c r="D23" s="90"/>
      <c r="E23" s="90"/>
      <c r="F23" s="90"/>
      <c r="G23" s="90"/>
      <c r="H23" s="90"/>
      <c r="I23" s="90"/>
      <c r="J23" s="90"/>
    </row>
  </sheetData>
  <mergeCells count="3">
    <mergeCell ref="B4:J4"/>
    <mergeCell ref="B12:J12"/>
    <mergeCell ref="B22:J22"/>
  </mergeCells>
  <phoneticPr fontId="1" type="noConversion"/>
  <hyperlinks>
    <hyperlink ref="C3" r:id="rId1" display="https://zi-hi.com/sp/uni/0301" xr:uid="{86954058-97C4-48A4-8447-9E7FDC259259}"/>
    <hyperlink ref="D3" r:id="rId2" display="https://zi-hi.com/sp/uni/0300" xr:uid="{4A7A5F0D-BB9C-491C-A425-2DBAE58E548A}"/>
    <hyperlink ref="F3" r:id="rId3" display="https://zi-hi.com/sp/uni/0302" xr:uid="{A2BB2A17-ABA1-4C49-BDA3-0F77E6105D46}"/>
    <hyperlink ref="G3" r:id="rId4" display="https://zi-hi.com/sp/uni/030C" xr:uid="{8719D9A7-34E3-4007-B91B-196788A49253}"/>
    <hyperlink ref="H3" r:id="rId5" display="https://zi-hi.com/sp/uni/0304" xr:uid="{3E64C67F-016B-4A5D-ABBA-145845EFBEAF}"/>
    <hyperlink ref="I3" r:id="rId6" display="https://zi-hi.com/sp/uni/030D" xr:uid="{4DA49773-886B-43A4-84FC-30CAF7B9C274}"/>
    <hyperlink ref="J3" r:id="rId7" display="https://zi-hi.com/sp/uni/030B" xr:uid="{898C7532-2DD5-4E08-AF67-4A9466424955}"/>
    <hyperlink ref="C5" r:id="rId8" display="https://zi-hi.com/sp/uni/00E1" xr:uid="{2F9614BC-FE6C-46DF-9260-FDC3B0C0DF12}"/>
    <hyperlink ref="D5" r:id="rId9" display="https://zi-hi.com/sp/uni/00E0" xr:uid="{EDAF804E-C7D5-4753-A67D-0ECB5E871CE1}"/>
    <hyperlink ref="F5" r:id="rId10" display="https://zi-hi.com/sp/uni/00E2" xr:uid="{18C7C986-A73D-4EFC-8BB5-11BCFDA9B0CA}"/>
    <hyperlink ref="G5" r:id="rId11" display="https://zi-hi.com/sp/uni/01CE" xr:uid="{28B52863-614A-4836-9D19-036B93815E31}"/>
    <hyperlink ref="H5" r:id="rId12" display="https://zi-hi.com/sp/uni/0101" xr:uid="{07F7F0BA-CC13-4215-B6BE-06845CE7801B}"/>
    <hyperlink ref="C6" r:id="rId13" display="https://zi-hi.com/sp/uni/00E9" xr:uid="{76CA98B4-C42E-462C-B206-39333AE1D224}"/>
    <hyperlink ref="D6" r:id="rId14" display="https://zi-hi.com/sp/uni/00E8" xr:uid="{A667CCEB-35A1-4060-A84D-3B42BE009C74}"/>
    <hyperlink ref="F6" r:id="rId15" display="https://zi-hi.com/sp/uni/00EA" xr:uid="{211E86AD-C59A-4951-B48C-11379C5ECA69}"/>
    <hyperlink ref="G6" r:id="rId16" display="https://zi-hi.com/sp/uni/011B" xr:uid="{240CE63D-947E-4D42-A2E4-9E4648EEC1AA}"/>
    <hyperlink ref="H6" r:id="rId17" display="https://zi-hi.com/sp/uni/0113" xr:uid="{E25B0590-C3A9-4940-9BDC-AE50B6C18736}"/>
    <hyperlink ref="C7" r:id="rId18" display="https://zi-hi.com/sp/uni/00ED" xr:uid="{AA2A5FBB-7107-4AB6-A3E8-1E5539FEC42B}"/>
    <hyperlink ref="D7" r:id="rId19" display="https://zi-hi.com/sp/uni/00EC" xr:uid="{C98C8B10-C662-41D9-87D9-80AEB2204E8B}"/>
    <hyperlink ref="F7" r:id="rId20" display="https://zi-hi.com/sp/uni/00EE" xr:uid="{7974942F-CB5E-484D-BE26-78A4F397E9FF}"/>
    <hyperlink ref="G7" r:id="rId21" display="https://zi-hi.com/sp/uni/01D0" xr:uid="{ADEACEC6-43FE-4B0F-95D4-1DED071636F5}"/>
    <hyperlink ref="H7" r:id="rId22" display="https://zi-hi.com/sp/uni/012B" xr:uid="{A627AA5B-8E72-4D3B-9955-4969F263BACC}"/>
    <hyperlink ref="C8" r:id="rId23" display="https://zi-hi.com/sp/uni/00F3" xr:uid="{EA3063B7-5820-464D-B37A-8FD57E0BBF8C}"/>
    <hyperlink ref="D8" r:id="rId24" display="https://zi-hi.com/sp/uni/00F2" xr:uid="{62DA8C11-C44F-459A-95F3-4B14A7C1D687}"/>
    <hyperlink ref="F8" r:id="rId25" display="https://zi-hi.com/sp/uni/00F4" xr:uid="{87976B1E-A3D7-4CD5-8C5F-4066EB019FE4}"/>
    <hyperlink ref="G8" r:id="rId26" display="https://zi-hi.com/sp/uni/01D2" xr:uid="{812D50CC-3688-45A2-A919-F5AF3F7BCC43}"/>
    <hyperlink ref="H8" r:id="rId27" display="https://zi-hi.com/sp/uni/014D" xr:uid="{4B40E8E2-611A-4C1C-8648-6603C2F6B486}"/>
    <hyperlink ref="J8" r:id="rId28" display="https://zi-hi.com/sp/uni/0151" xr:uid="{8EB7FB44-834C-4085-8A34-793BFA7E8136}"/>
    <hyperlink ref="C9" r:id="rId29" display="https://zi-hi.com/sp/uni/00FA" xr:uid="{D5E83346-AAD3-4A09-AF30-F87D9257C22F}"/>
    <hyperlink ref="D9" r:id="rId30" display="https://zi-hi.com/sp/uni/00F9" xr:uid="{DB4DD197-7D5A-4F98-9236-ECBA65B6E473}"/>
    <hyperlink ref="F9" r:id="rId31" display="https://zi-hi.com/sp/uni/00FB" xr:uid="{3A3F6B90-9971-4F85-B7D6-0E2A11C0EF46}"/>
    <hyperlink ref="G9" r:id="rId32" display="https://zi-hi.com/sp/uni/01D4" xr:uid="{6A866531-6801-492F-95D2-8C52738D8AEE}"/>
    <hyperlink ref="H9" r:id="rId33" display="https://zi-hi.com/sp/uni/016B" xr:uid="{E642D038-893C-4B44-A46C-12B7B33796D7}"/>
    <hyperlink ref="J9" r:id="rId34" display="https://zi-hi.com/sp/uni/0171" xr:uid="{2AA7A8BF-1195-4A42-BDF6-A032971EA14B}"/>
    <hyperlink ref="C10" r:id="rId35" display="https://zi-hi.com/sp/uni/1E3F" xr:uid="{53C2F032-7E6B-4D27-BD19-30731A0E7347}"/>
    <hyperlink ref="C11" r:id="rId36" display="https://zi-hi.com/sp/uni/0144" xr:uid="{22885F22-67DA-426F-9FE6-38BD61100253}"/>
    <hyperlink ref="D11" r:id="rId37" display="https://zi-hi.com/sp/uni/01F9" xr:uid="{E1F52F4A-E5EC-4F20-A019-23EB605C9464}"/>
    <hyperlink ref="G11" r:id="rId38" display="https://zi-hi.com/sp/uni/0148" xr:uid="{FE80D35B-7DA0-4B46-8E71-FF1EE86AB3D4}"/>
    <hyperlink ref="C13" r:id="rId39" display="https://zi-hi.com/sp/uni/00C1" xr:uid="{52220AC4-DB91-4C78-9432-0868C1641B1D}"/>
    <hyperlink ref="D13" r:id="rId40" display="https://zi-hi.com/sp/uni/00C0" xr:uid="{CDF15638-CF47-4842-8E52-25F410F126BD}"/>
    <hyperlink ref="F13" r:id="rId41" display="https://zi-hi.com/sp/uni/00C2" xr:uid="{51DF564C-32C4-4967-BC60-6382995B26A1}"/>
    <hyperlink ref="G13" r:id="rId42" display="https://zi-hi.com/sp/uni/01CD" xr:uid="{3BDB2240-4435-4A78-BF8E-CAAEB1CF5CBF}"/>
    <hyperlink ref="H13" r:id="rId43" display="https://zi-hi.com/sp/uni/0100" xr:uid="{FA9212CF-DBFB-4666-9652-6F5431CE2D0D}"/>
    <hyperlink ref="C14" r:id="rId44" display="https://zi-hi.com/sp/uni/00C9" xr:uid="{7CE612DC-5F09-48DD-A04C-0FAC46CC5165}"/>
    <hyperlink ref="D14" r:id="rId45" display="https://zi-hi.com/sp/uni/00C8" xr:uid="{B3C3AB4C-CBDB-4D88-B5E0-678DB38D2D3E}"/>
    <hyperlink ref="F14" r:id="rId46" display="https://zi-hi.com/sp/uni/00CA" xr:uid="{9FB23691-1351-4093-BCDF-E354C30D67DD}"/>
    <hyperlink ref="G14" r:id="rId47" display="https://zi-hi.com/sp/uni/011A" xr:uid="{B2C79576-DE8A-43D9-9C2D-D276C6A8F045}"/>
    <hyperlink ref="H14" r:id="rId48" display="https://zi-hi.com/sp/uni/0112" xr:uid="{D58B0CFD-51DB-4EB9-BB91-9EA128BBF2F4}"/>
    <hyperlink ref="C15" r:id="rId49" display="https://zi-hi.com/sp/uni/00CD" xr:uid="{75E57CE4-3D71-4B27-AA89-418543CF06F1}"/>
    <hyperlink ref="D15" r:id="rId50" display="https://zi-hi.com/sp/uni/00CC" xr:uid="{DA51180C-F276-4467-8522-EC0BD7A4B7A7}"/>
    <hyperlink ref="F15" r:id="rId51" display="https://zi-hi.com/sp/uni/00CE" xr:uid="{DA790CBC-4238-437E-92A6-393360391168}"/>
    <hyperlink ref="G15" r:id="rId52" display="https://zi-hi.com/sp/uni/01CF" xr:uid="{C95643BD-B4ED-445B-83F5-7AAB10CE14D5}"/>
    <hyperlink ref="H15" r:id="rId53" display="https://zi-hi.com/sp/uni/012A" xr:uid="{2BCEA985-4C66-498A-BEB6-35822E06CB24}"/>
    <hyperlink ref="C16" r:id="rId54" display="https://zi-hi.com/sp/uni/00D3" xr:uid="{697A2393-0570-4DDA-AA0E-0A6B3D766B70}"/>
    <hyperlink ref="D16" r:id="rId55" display="https://zi-hi.com/sp/uni/00D2" xr:uid="{4FCF3C22-019E-4986-ADCB-0445C2FEB45A}"/>
    <hyperlink ref="F16" r:id="rId56" display="https://zi-hi.com/sp/uni/00D4" xr:uid="{1BB8A185-779D-4396-966B-0390FBCA164C}"/>
    <hyperlink ref="G16" r:id="rId57" display="https://zi-hi.com/sp/uni/01D1" xr:uid="{8F67BA7F-DC79-448D-881D-3FF1D36AF67B}"/>
    <hyperlink ref="H16" r:id="rId58" display="https://zi-hi.com/sp/uni/014C" xr:uid="{7C12A4E2-4282-4887-83A4-8277DBE9278E}"/>
    <hyperlink ref="J16" r:id="rId59" display="https://zi-hi.com/sp/uni/0150" xr:uid="{3C7353F2-C0A4-460E-A2B2-E08BA03BF333}"/>
    <hyperlink ref="C17" r:id="rId60" display="https://zi-hi.com/sp/uni/00DA" xr:uid="{166EDA42-ABDF-4187-8176-398BC72C5233}"/>
    <hyperlink ref="D17" r:id="rId61" display="https://zi-hi.com/sp/uni/00D9" xr:uid="{B7F46CEC-6BC7-4A40-A8AC-781AE6CC569E}"/>
    <hyperlink ref="F17" r:id="rId62" display="https://zi-hi.com/sp/uni/00DB" xr:uid="{1BEA4527-0982-455D-A057-880A2DB25837}"/>
    <hyperlink ref="G17" r:id="rId63" display="https://zi-hi.com/sp/uni/01D3" xr:uid="{BF48416B-7A98-4AE6-8F89-4A2B9AB77E0D}"/>
    <hyperlink ref="H17" r:id="rId64" display="https://zi-hi.com/sp/uni/016A" xr:uid="{493F35C5-A241-4B45-83DA-8CF0974D5193}"/>
    <hyperlink ref="J17" r:id="rId65" display="https://zi-hi.com/sp/uni/0170" xr:uid="{07EDCF84-3C66-4935-B333-00F12C38D035}"/>
    <hyperlink ref="C18" r:id="rId66" display="https://zi-hi.com/sp/uni/1E3E" xr:uid="{36A4CD31-4369-4FB2-8037-B9D6E866EC01}"/>
    <hyperlink ref="C19" r:id="rId67" display="https://zi-hi.com/sp/uni/0143" xr:uid="{4F54B04C-F9D0-45B3-97B1-CA656D8399AA}"/>
    <hyperlink ref="D19" r:id="rId68" display="https://zi-hi.com/sp/uni/01F8" xr:uid="{E0516E1F-8151-4498-A1F9-97260F373A32}"/>
    <hyperlink ref="G19" r:id="rId69" display="https://zi-hi.com/sp/uni/0147" xr:uid="{82342D49-D267-4E83-975D-3D4ADBD80DAA}"/>
    <hyperlink ref="B22" r:id="rId70" display="https://zi-hi.com/%E7%99%BD%E8%A9%B1%E5%AD%97" xr:uid="{78CECC24-F433-481F-A8FB-399760AC631E}"/>
    <hyperlink ref="P3" r:id="rId71" display="https://zi-hi.com/sp/uni/0301" xr:uid="{E47A0E05-357D-44D6-BB23-4CDC41BD7DB8}"/>
    <hyperlink ref="P4" r:id="rId72" display="https://zi-hi.com/sp/uni/0300" xr:uid="{F0D09F54-8A7F-47BA-BC87-DD6707A2DE9F}"/>
    <hyperlink ref="P6" r:id="rId73" display="https://zi-hi.com/sp/uni/0302" xr:uid="{80F6250B-9C41-4922-9E61-6680CCEEBDD8}"/>
    <hyperlink ref="P7" r:id="rId74" display="https://zi-hi.com/sp/uni/030C" xr:uid="{113B28A3-D0EC-4451-BEE8-D08F40096D03}"/>
    <hyperlink ref="P8" r:id="rId75" display="https://zi-hi.com/sp/uni/0304" xr:uid="{8EA79A44-5B90-467C-8AF6-87FC3C3F7773}"/>
    <hyperlink ref="P9" r:id="rId76" display="https://zi-hi.com/sp/uni/030D" xr:uid="{4B0433FA-3BF4-49EB-A367-85280B364D57}"/>
    <hyperlink ref="P10" r:id="rId77" display="https://zi-hi.com/sp/uni/030B" xr:uid="{23C739AA-0ED0-41C4-8B78-D8A15DEBD5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1283-7809-422D-9F36-44CD3A5C1A4A}">
  <dimension ref="B1:W32"/>
  <sheetViews>
    <sheetView showOutlineSymbols="0" zoomScale="50" zoomScaleNormal="50" workbookViewId="0"/>
  </sheetViews>
  <sheetFormatPr defaultRowHeight="30"/>
  <cols>
    <col min="1" max="1" width="9" style="91"/>
    <col min="2" max="2" width="13.125" style="91" customWidth="1"/>
    <col min="3" max="12" width="25.125" style="91" customWidth="1"/>
    <col min="13" max="13" width="9" style="91"/>
    <col min="14" max="14" width="195.5" style="91" bestFit="1" customWidth="1"/>
    <col min="15" max="15" width="9" style="91"/>
    <col min="16" max="16" width="13.375" style="91" bestFit="1" customWidth="1"/>
    <col min="17" max="18" width="10.5" style="91" customWidth="1"/>
    <col min="19" max="19" width="15.375" style="91" bestFit="1" customWidth="1"/>
    <col min="20" max="20" width="12.5" style="91" bestFit="1" customWidth="1"/>
    <col min="21" max="21" width="9" style="35"/>
    <col min="22" max="16384" width="9" style="91"/>
  </cols>
  <sheetData>
    <row r="1" spans="2:23"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2:23">
      <c r="B2" s="104" t="s">
        <v>51</v>
      </c>
      <c r="C2" s="105">
        <v>0</v>
      </c>
      <c r="D2" s="105">
        <v>1</v>
      </c>
      <c r="E2" s="105">
        <v>2</v>
      </c>
      <c r="F2" s="105">
        <v>3</v>
      </c>
      <c r="G2" s="105">
        <v>4</v>
      </c>
      <c r="H2" s="105">
        <v>5</v>
      </c>
      <c r="I2" s="105">
        <v>6</v>
      </c>
      <c r="J2" s="105">
        <v>7</v>
      </c>
      <c r="K2" s="105">
        <v>8</v>
      </c>
      <c r="L2" s="105">
        <v>9</v>
      </c>
    </row>
    <row r="3" spans="2:23">
      <c r="B3" s="104" t="s">
        <v>333</v>
      </c>
      <c r="C3" s="114" t="s">
        <v>316</v>
      </c>
      <c r="D3" s="114" t="s">
        <v>309</v>
      </c>
      <c r="E3" s="114" t="s">
        <v>308</v>
      </c>
      <c r="F3" s="114" t="s">
        <v>310</v>
      </c>
      <c r="G3" s="100"/>
      <c r="H3" s="114" t="s">
        <v>311</v>
      </c>
      <c r="I3" s="114" t="s">
        <v>314</v>
      </c>
      <c r="J3" s="114" t="s">
        <v>309</v>
      </c>
      <c r="K3" s="114" t="s">
        <v>308</v>
      </c>
      <c r="L3" s="114" t="s">
        <v>332</v>
      </c>
    </row>
    <row r="4" spans="2:23" ht="45" customHeight="1">
      <c r="P4" s="13" t="s">
        <v>330</v>
      </c>
      <c r="Q4" s="144" t="s">
        <v>331</v>
      </c>
      <c r="R4" s="144"/>
      <c r="S4" s="13" t="s">
        <v>329</v>
      </c>
      <c r="T4" s="13" t="s">
        <v>328</v>
      </c>
      <c r="U4" s="13" t="s">
        <v>327</v>
      </c>
      <c r="V4" s="13" t="s">
        <v>326</v>
      </c>
      <c r="W4" s="13" t="s">
        <v>202</v>
      </c>
    </row>
    <row r="5" spans="2:23" ht="45" customHeight="1">
      <c r="B5" s="103" t="s">
        <v>55</v>
      </c>
      <c r="C5" s="110" t="str">
        <f xml:space="preserve"> IFERROR( _xlfn.CONCAT($B5, _xlfn.UNICHAR(HEX2DEC(RIGHT(C$3,4)))), "")</f>
        <v>å</v>
      </c>
      <c r="D5" s="110" t="str">
        <f xml:space="preserve"> IFERROR( _xlfn.CONCAT($B5, _xlfn.UNICHAR(HEX2DEC(RIGHT(D$3,4)))), "")</f>
        <v>ā</v>
      </c>
      <c r="E5" s="111" t="str">
        <f t="shared" ref="E5:L11" si="0" xml:space="preserve"> IFERROR( _xlfn.CONCAT($B5, _xlfn.UNICHAR(HEX2DEC(RIGHT(E$3,4)))), "")</f>
        <v>á</v>
      </c>
      <c r="F5" s="111" t="str">
        <f t="shared" si="0"/>
        <v>ǎ</v>
      </c>
      <c r="G5" s="112"/>
      <c r="H5" s="111" t="str">
        <f t="shared" si="0"/>
        <v>à</v>
      </c>
      <c r="I5" s="111" t="str">
        <f t="shared" si="0"/>
        <v>â</v>
      </c>
      <c r="J5" s="111" t="str">
        <f xml:space="preserve"> IFERROR( _xlfn.CONCAT($B5, _xlfn.UNICHAR(HEX2DEC(RIGHT(J$3,4))), "h"), "")</f>
        <v>āh</v>
      </c>
      <c r="K5" s="111" t="str">
        <f xml:space="preserve"> IFERROR( _xlfn.CONCAT($B5, _xlfn.UNICHAR(HEX2DEC(RIGHT(K$3,4))), "h"), "")</f>
        <v>áh</v>
      </c>
      <c r="L5" s="113" t="str">
        <f t="shared" si="0"/>
        <v>a̋</v>
      </c>
      <c r="P5" s="97" t="s">
        <v>309</v>
      </c>
      <c r="Q5" s="98" t="str">
        <f xml:space="preserve"> _xlfn.CONCAT("◌", _xlfn.UNICHAR(HEX2DEC(RIGHT($P5,4))))</f>
        <v>◌̄</v>
      </c>
      <c r="R5" s="98" t="str">
        <f xml:space="preserve"> _xlfn.CONCAT(" ", _xlfn.UNICHAR(HEX2DEC(RIGHT($P5,4))))</f>
        <v xml:space="preserve"> ̄</v>
      </c>
      <c r="S5" s="99" t="str">
        <f xml:space="preserve"> IFERROR( _xlfn.CONCAT("o", _xlfn.UNICHAR(HEX2DEC(RIGHT(P5,4)))), "")</f>
        <v>ō</v>
      </c>
      <c r="T5" s="99" t="str">
        <f xml:space="preserve"> IFERROR( _xlfn.CONCAT("d", "o", _xlfn.UNICHAR(HEX2DEC(RIGHT(P5,4))), "ng"), "")</f>
        <v>dōng</v>
      </c>
      <c r="U5" s="99" t="s">
        <v>319</v>
      </c>
      <c r="V5" s="99">
        <v>1</v>
      </c>
      <c r="W5" s="101" t="s">
        <v>26</v>
      </c>
    </row>
    <row r="6" spans="2:23" ht="45" customHeight="1">
      <c r="B6" s="103" t="s">
        <v>59</v>
      </c>
      <c r="C6" s="110" t="str">
        <f t="shared" ref="C6:D11" si="1" xml:space="preserve"> IFERROR( _xlfn.CONCAT($B6, _xlfn.UNICHAR(HEX2DEC(RIGHT(C$3,4)))), "")</f>
        <v>e̊</v>
      </c>
      <c r="D6" s="110" t="str">
        <f t="shared" si="1"/>
        <v>ē</v>
      </c>
      <c r="E6" s="111" t="str">
        <f t="shared" si="0"/>
        <v>é</v>
      </c>
      <c r="F6" s="111" t="str">
        <f t="shared" si="0"/>
        <v>ě</v>
      </c>
      <c r="G6" s="112"/>
      <c r="H6" s="111" t="str">
        <f t="shared" si="0"/>
        <v>è</v>
      </c>
      <c r="I6" s="111" t="str">
        <f t="shared" si="0"/>
        <v>ê</v>
      </c>
      <c r="J6" s="111" t="str">
        <f t="shared" ref="J6:K11" si="2" xml:space="preserve"> IFERROR( _xlfn.CONCAT($B6, _xlfn.UNICHAR(HEX2DEC(RIGHT(J$3,4))), "h"), "")</f>
        <v>ēh</v>
      </c>
      <c r="K6" s="111" t="str">
        <f t="shared" si="2"/>
        <v>éh</v>
      </c>
      <c r="L6" s="113" t="str">
        <f t="shared" si="0"/>
        <v>e̋</v>
      </c>
      <c r="P6" s="97" t="s">
        <v>314</v>
      </c>
      <c r="Q6" s="98" t="str">
        <f t="shared" ref="Q6:Q20" si="3" xml:space="preserve"> _xlfn.CONCAT("◌", _xlfn.UNICHAR(HEX2DEC(RIGHT($P6,4))))</f>
        <v>◌̂</v>
      </c>
      <c r="R6" s="98" t="str">
        <f t="shared" ref="R6:R20" si="4" xml:space="preserve"> _xlfn.CONCAT(" ", _xlfn.UNICHAR(HEX2DEC(RIGHT($P6,4))))</f>
        <v xml:space="preserve"> ̂</v>
      </c>
      <c r="S6" s="99" t="str">
        <f xml:space="preserve"> IFERROR( _xlfn.CONCAT("o", _xlfn.UNICHAR(HEX2DEC(RIGHT(P6,4)))), "")</f>
        <v>ô</v>
      </c>
      <c r="T6" s="99" t="str">
        <f xml:space="preserve"> IFERROR( _xlfn.CONCAT("d", "o", _xlfn.UNICHAR(HEX2DEC(RIGHT(P6,4))), "ng"), "")</f>
        <v>dông</v>
      </c>
      <c r="U6" s="99" t="s">
        <v>322</v>
      </c>
      <c r="V6" s="99">
        <v>6</v>
      </c>
      <c r="W6" s="102" t="s">
        <v>23</v>
      </c>
    </row>
    <row r="7" spans="2:23" ht="45" customHeight="1">
      <c r="B7" s="103" t="s">
        <v>63</v>
      </c>
      <c r="C7" s="110" t="str">
        <f t="shared" si="1"/>
        <v>i̊</v>
      </c>
      <c r="D7" s="110" t="str">
        <f t="shared" si="1"/>
        <v>ī</v>
      </c>
      <c r="E7" s="111" t="str">
        <f t="shared" si="0"/>
        <v>í</v>
      </c>
      <c r="F7" s="111" t="str">
        <f t="shared" si="0"/>
        <v>ǐ</v>
      </c>
      <c r="G7" s="112"/>
      <c r="H7" s="111" t="str">
        <f t="shared" si="0"/>
        <v>ì</v>
      </c>
      <c r="I7" s="111" t="str">
        <f t="shared" si="0"/>
        <v>î</v>
      </c>
      <c r="J7" s="111" t="str">
        <f t="shared" si="2"/>
        <v>īh</v>
      </c>
      <c r="K7" s="111" t="str">
        <f t="shared" si="2"/>
        <v>íh</v>
      </c>
      <c r="L7" s="113" t="str">
        <f t="shared" si="0"/>
        <v>i̋</v>
      </c>
      <c r="P7" s="97" t="s">
        <v>311</v>
      </c>
      <c r="Q7" s="98" t="str">
        <f t="shared" si="3"/>
        <v>◌̀</v>
      </c>
      <c r="R7" s="98" t="str">
        <f t="shared" si="4"/>
        <v xml:space="preserve"> ̀</v>
      </c>
      <c r="S7" s="99" t="str">
        <f xml:space="preserve"> IFERROR( _xlfn.CONCAT("o", _xlfn.UNICHAR(HEX2DEC(RIGHT(P7,4)))), "")</f>
        <v>ò</v>
      </c>
      <c r="T7" s="99" t="str">
        <f xml:space="preserve"> IFERROR( _xlfn.CONCAT("d", "o", _xlfn.UNICHAR(HEX2DEC(RIGHT(P7,4))), "ng"), "")</f>
        <v>dòng</v>
      </c>
      <c r="U7" s="99" t="s">
        <v>323</v>
      </c>
      <c r="V7" s="99">
        <v>5</v>
      </c>
      <c r="W7" s="101" t="s">
        <v>19</v>
      </c>
    </row>
    <row r="8" spans="2:23" ht="45" customHeight="1">
      <c r="B8" s="103" t="s">
        <v>67</v>
      </c>
      <c r="C8" s="110" t="str">
        <f t="shared" si="1"/>
        <v>o̊</v>
      </c>
      <c r="D8" s="110" t="str">
        <f t="shared" si="1"/>
        <v>ō</v>
      </c>
      <c r="E8" s="111" t="str">
        <f t="shared" si="0"/>
        <v>ó</v>
      </c>
      <c r="F8" s="111" t="str">
        <f t="shared" si="0"/>
        <v>ǒ</v>
      </c>
      <c r="G8" s="112"/>
      <c r="H8" s="111" t="str">
        <f t="shared" si="0"/>
        <v>ò</v>
      </c>
      <c r="I8" s="111" t="str">
        <f t="shared" si="0"/>
        <v>ô</v>
      </c>
      <c r="J8" s="111" t="str">
        <f t="shared" si="2"/>
        <v>ōh</v>
      </c>
      <c r="K8" s="111" t="str">
        <f t="shared" si="2"/>
        <v>óh</v>
      </c>
      <c r="L8" s="113" t="str">
        <f t="shared" si="0"/>
        <v>ő</v>
      </c>
      <c r="P8" s="97" t="s">
        <v>310</v>
      </c>
      <c r="Q8" s="98" t="str">
        <f t="shared" si="3"/>
        <v>◌̌</v>
      </c>
      <c r="R8" s="98" t="str">
        <f t="shared" si="4"/>
        <v xml:space="preserve"> ̌</v>
      </c>
      <c r="S8" s="99" t="str">
        <f xml:space="preserve"> IFERROR( _xlfn.CONCAT("o", _xlfn.UNICHAR(HEX2DEC(RIGHT(P8,4)))), "")</f>
        <v>ǒ</v>
      </c>
      <c r="T8" s="99" t="str">
        <f xml:space="preserve"> IFERROR( _xlfn.CONCAT("d", "o", _xlfn.UNICHAR(HEX2DEC(RIGHT(P8,4))), "ng"), "")</f>
        <v>dǒng</v>
      </c>
      <c r="U8" s="99" t="s">
        <v>324</v>
      </c>
      <c r="V8" s="99">
        <v>3</v>
      </c>
      <c r="W8" s="101" t="s">
        <v>9</v>
      </c>
    </row>
    <row r="9" spans="2:23" ht="45" customHeight="1">
      <c r="B9" s="103" t="s">
        <v>70</v>
      </c>
      <c r="C9" s="110" t="str">
        <f t="shared" si="1"/>
        <v>ů</v>
      </c>
      <c r="D9" s="110" t="str">
        <f t="shared" si="1"/>
        <v>ū</v>
      </c>
      <c r="E9" s="111" t="str">
        <f t="shared" si="0"/>
        <v>ú</v>
      </c>
      <c r="F9" s="111" t="str">
        <f t="shared" si="0"/>
        <v>ǔ</v>
      </c>
      <c r="G9" s="112"/>
      <c r="H9" s="111" t="str">
        <f t="shared" si="0"/>
        <v>ù</v>
      </c>
      <c r="I9" s="111" t="str">
        <f t="shared" si="0"/>
        <v>û</v>
      </c>
      <c r="J9" s="111" t="str">
        <f t="shared" si="2"/>
        <v>ūh</v>
      </c>
      <c r="K9" s="111" t="str">
        <f t="shared" si="2"/>
        <v>úh</v>
      </c>
      <c r="L9" s="113" t="str">
        <f t="shared" si="0"/>
        <v>ű</v>
      </c>
      <c r="P9" s="97" t="s">
        <v>308</v>
      </c>
      <c r="Q9" s="98" t="str">
        <f t="shared" si="3"/>
        <v>◌́</v>
      </c>
      <c r="R9" s="98" t="str">
        <f t="shared" si="4"/>
        <v xml:space="preserve"> ́</v>
      </c>
      <c r="S9" s="99" t="str">
        <f xml:space="preserve"> IFERROR( _xlfn.CONCAT("o", _xlfn.UNICHAR(HEX2DEC(RIGHT(P9,4)))), "")</f>
        <v>ó</v>
      </c>
      <c r="T9" s="99" t="str">
        <f xml:space="preserve"> IFERROR( _xlfn.CONCAT("d", "o", _xlfn.UNICHAR(HEX2DEC(RIGHT(P9,4))), "ng"), "")</f>
        <v>dóng</v>
      </c>
      <c r="U9" s="99" t="s">
        <v>325</v>
      </c>
      <c r="V9" s="99">
        <v>2</v>
      </c>
      <c r="W9" s="102" t="s">
        <v>15</v>
      </c>
    </row>
    <row r="10" spans="2:23" ht="45" customHeight="1">
      <c r="B10" s="103" t="s">
        <v>73</v>
      </c>
      <c r="C10" s="110" t="str">
        <f t="shared" si="1"/>
        <v>m̊</v>
      </c>
      <c r="D10" s="110" t="str">
        <f t="shared" si="1"/>
        <v>m̄</v>
      </c>
      <c r="E10" s="111" t="str">
        <f t="shared" si="0"/>
        <v>ḿ</v>
      </c>
      <c r="F10" s="111" t="str">
        <f t="shared" si="0"/>
        <v>m̌</v>
      </c>
      <c r="G10" s="112"/>
      <c r="H10" s="111" t="str">
        <f t="shared" si="0"/>
        <v>m̀</v>
      </c>
      <c r="I10" s="111" t="str">
        <f t="shared" si="0"/>
        <v>m̂</v>
      </c>
      <c r="J10" s="111" t="str">
        <f t="shared" si="2"/>
        <v>m̄h</v>
      </c>
      <c r="K10" s="111" t="str">
        <f t="shared" si="2"/>
        <v>ḿh</v>
      </c>
      <c r="L10" s="113" t="str">
        <f t="shared" si="0"/>
        <v>m̋</v>
      </c>
      <c r="P10" s="97" t="s">
        <v>309</v>
      </c>
      <c r="Q10" s="98" t="str">
        <f t="shared" si="3"/>
        <v>◌̄</v>
      </c>
      <c r="R10" s="98" t="str">
        <f t="shared" si="4"/>
        <v xml:space="preserve"> ̄</v>
      </c>
      <c r="S10" s="99" t="str">
        <f t="shared" ref="S10" si="5" xml:space="preserve"> IFERROR( _xlfn.CONCAT("o", _xlfn.UNICHAR(HEX2DEC(RIGHT(P10,4)))), "")</f>
        <v>ō</v>
      </c>
      <c r="T10" s="99" t="str">
        <f xml:space="preserve"> IFERROR( _xlfn.CONCAT("d", "o", _xlfn.UNICHAR(HEX2DEC(RIGHT(P10,4))), "k"), "")</f>
        <v>dōk</v>
      </c>
      <c r="U10" s="99" t="s">
        <v>320</v>
      </c>
      <c r="V10" s="99">
        <v>7</v>
      </c>
      <c r="W10" s="101" t="s">
        <v>7</v>
      </c>
    </row>
    <row r="11" spans="2:23" ht="45" customHeight="1">
      <c r="B11" s="103" t="s">
        <v>81</v>
      </c>
      <c r="C11" s="110" t="str">
        <f t="shared" si="1"/>
        <v>n̊</v>
      </c>
      <c r="D11" s="110" t="str">
        <f t="shared" si="1"/>
        <v>n̄</v>
      </c>
      <c r="E11" s="111" t="str">
        <f t="shared" si="0"/>
        <v>ń</v>
      </c>
      <c r="F11" s="111" t="str">
        <f t="shared" si="0"/>
        <v>ň</v>
      </c>
      <c r="G11" s="112"/>
      <c r="H11" s="111" t="str">
        <f t="shared" si="0"/>
        <v>ǹ</v>
      </c>
      <c r="I11" s="111" t="str">
        <f t="shared" si="0"/>
        <v>n̂</v>
      </c>
      <c r="J11" s="111" t="str">
        <f t="shared" si="2"/>
        <v>n̄h</v>
      </c>
      <c r="K11" s="111" t="str">
        <f t="shared" si="2"/>
        <v>ńh</v>
      </c>
      <c r="L11" s="113" t="str">
        <f t="shared" si="0"/>
        <v>n̋</v>
      </c>
      <c r="P11" s="97" t="s">
        <v>308</v>
      </c>
      <c r="Q11" s="98" t="str">
        <f t="shared" si="3"/>
        <v>◌́</v>
      </c>
      <c r="R11" s="98" t="str">
        <f t="shared" si="4"/>
        <v xml:space="preserve"> ́</v>
      </c>
      <c r="S11" s="99" t="str">
        <f xml:space="preserve"> IFERROR( _xlfn.CONCAT("o", _xlfn.UNICHAR(HEX2DEC(RIGHT(P11,4)))), "")</f>
        <v>ó</v>
      </c>
      <c r="T11" s="99" t="str">
        <f xml:space="preserve"> IFERROR( _xlfn.CONCAT("d", "o", _xlfn.UNICHAR(HEX2DEC(RIGHT(P11,4))), "k"), "")</f>
        <v>dók</v>
      </c>
      <c r="U11" s="99" t="s">
        <v>321</v>
      </c>
      <c r="V11" s="99">
        <v>8</v>
      </c>
      <c r="W11" s="102" t="s">
        <v>3</v>
      </c>
    </row>
    <row r="12" spans="2:23" ht="45" customHeight="1">
      <c r="P12" s="13" t="s">
        <v>330</v>
      </c>
      <c r="Q12" s="144" t="s">
        <v>331</v>
      </c>
      <c r="R12" s="144"/>
      <c r="S12" s="13" t="s">
        <v>329</v>
      </c>
      <c r="T12" s="13" t="s">
        <v>328</v>
      </c>
      <c r="U12" s="13" t="s">
        <v>327</v>
      </c>
      <c r="V12" s="13" t="s">
        <v>326</v>
      </c>
      <c r="W12" s="13" t="s">
        <v>202</v>
      </c>
    </row>
    <row r="13" spans="2:23" ht="45" customHeight="1">
      <c r="B13" s="103" t="s">
        <v>55</v>
      </c>
      <c r="C13" s="106" t="str">
        <f>_xlfn.CONCAT("""",C5,""": (""",$B13,""",""",C$2,""")")</f>
        <v>"å": ("a","0")</v>
      </c>
      <c r="D13" s="106" t="str">
        <f t="shared" ref="D13:L13" si="6">_xlfn.CONCAT("""",D5,""": (""",$B13,""",""",D$2,""")")</f>
        <v>"ā": ("a","1")</v>
      </c>
      <c r="E13" s="107" t="str">
        <f t="shared" si="6"/>
        <v>"á": ("a","2")</v>
      </c>
      <c r="F13" s="107" t="str">
        <f t="shared" si="6"/>
        <v>"ǎ": ("a","3")</v>
      </c>
      <c r="G13" s="108"/>
      <c r="H13" s="107" t="str">
        <f t="shared" si="6"/>
        <v>"à": ("a","5")</v>
      </c>
      <c r="I13" s="107" t="str">
        <f t="shared" si="6"/>
        <v>"â": ("a","6")</v>
      </c>
      <c r="J13" s="107" t="str">
        <f t="shared" si="6"/>
        <v>"āh": ("a","7")</v>
      </c>
      <c r="K13" s="107" t="str">
        <f t="shared" si="6"/>
        <v>"áh": ("a","8")</v>
      </c>
      <c r="L13" s="109" t="str">
        <f t="shared" si="6"/>
        <v>"a̋": ("a","9")</v>
      </c>
      <c r="N13" s="115" t="str">
        <f xml:space="preserve"> _xlfn.CONCAT(_xlfn.TEXTJOIN(", ",TRUE, C13:L13), ", ")</f>
        <v xml:space="preserve">"å": ("a","0"), "ā": ("a","1"), "á": ("a","2"), "ǎ": ("a","3"), "à": ("a","5"), "â": ("a","6"), "āh": ("a","7"), "áh": ("a","8"), "a̋": ("a","9"), </v>
      </c>
      <c r="P13" s="97" t="s">
        <v>309</v>
      </c>
      <c r="Q13" s="98" t="str">
        <f xml:space="preserve"> _xlfn.CONCAT("◌", _xlfn.UNICHAR(HEX2DEC(RIGHT($P13,4))))</f>
        <v>◌̄</v>
      </c>
      <c r="R13" s="98" t="str">
        <f xml:space="preserve"> _xlfn.CONCAT(" ", _xlfn.UNICHAR(HEX2DEC(RIGHT($P13,4))))</f>
        <v xml:space="preserve"> ̄</v>
      </c>
      <c r="S13" s="99" t="str">
        <f xml:space="preserve"> IFERROR( _xlfn.CONCAT("o", _xlfn.UNICHAR(HEX2DEC(RIGHT(P13,4)))), "")</f>
        <v>ō</v>
      </c>
      <c r="T13" s="99" t="str">
        <f xml:space="preserve"> IFERROR( _xlfn.CONCAT("d", "o", _xlfn.UNICHAR(HEX2DEC(RIGHT(P13,4))), "ng"), "")</f>
        <v>dōng</v>
      </c>
      <c r="U13" s="99" t="s">
        <v>319</v>
      </c>
      <c r="V13" s="99">
        <v>1</v>
      </c>
      <c r="W13" s="101" t="s">
        <v>26</v>
      </c>
    </row>
    <row r="14" spans="2:23" ht="45" customHeight="1">
      <c r="B14" s="103" t="s">
        <v>59</v>
      </c>
      <c r="C14" s="106" t="str">
        <f t="shared" ref="C14:F14" si="7">_xlfn.CONCAT("""",C6,""": (""",$B14,""",""",C$2,""")")</f>
        <v>"e̊": ("e","0")</v>
      </c>
      <c r="D14" s="106" t="str">
        <f t="shared" si="7"/>
        <v>"ē": ("e","1")</v>
      </c>
      <c r="E14" s="107" t="str">
        <f t="shared" si="7"/>
        <v>"é": ("e","2")</v>
      </c>
      <c r="F14" s="107" t="str">
        <f t="shared" si="7"/>
        <v>"ě": ("e","3")</v>
      </c>
      <c r="G14" s="108"/>
      <c r="H14" s="107" t="str">
        <f t="shared" ref="H14:L14" si="8">_xlfn.CONCAT("""",H6,""": (""",$B14,""",""",H$2,""")")</f>
        <v>"è": ("e","5")</v>
      </c>
      <c r="I14" s="107" t="str">
        <f t="shared" si="8"/>
        <v>"ê": ("e","6")</v>
      </c>
      <c r="J14" s="107" t="str">
        <f t="shared" si="8"/>
        <v>"ēh": ("e","7")</v>
      </c>
      <c r="K14" s="107" t="str">
        <f t="shared" si="8"/>
        <v>"éh": ("e","8")</v>
      </c>
      <c r="L14" s="109" t="str">
        <f t="shared" si="8"/>
        <v>"e̋": ("e","9")</v>
      </c>
      <c r="N14" s="115" t="str">
        <f t="shared" ref="N14:N19" si="9" xml:space="preserve"> _xlfn.CONCAT(_xlfn.TEXTJOIN(", ",TRUE, C14:L14), ", ")</f>
        <v xml:space="preserve">"e̊": ("e","0"), "ē": ("e","1"), "é": ("e","2"), "ě": ("e","3"), "è": ("e","5"), "ê": ("e","6"), "ēh": ("e","7"), "éh": ("e","8"), "e̋": ("e","9"), </v>
      </c>
      <c r="P14" s="97" t="s">
        <v>314</v>
      </c>
      <c r="Q14" s="98" t="str">
        <f t="shared" si="3"/>
        <v>◌̂</v>
      </c>
      <c r="R14" s="98" t="str">
        <f t="shared" si="4"/>
        <v xml:space="preserve"> ̂</v>
      </c>
      <c r="S14" s="99" t="str">
        <f xml:space="preserve"> IFERROR( _xlfn.CONCAT("o", _xlfn.UNICHAR(HEX2DEC(RIGHT(P14,4)))), "")</f>
        <v>ô</v>
      </c>
      <c r="T14" s="99" t="str">
        <f xml:space="preserve"> IFERROR( _xlfn.CONCAT("d", "o", _xlfn.UNICHAR(HEX2DEC(RIGHT(P14,4))), "ng"), "")</f>
        <v>dông</v>
      </c>
      <c r="U14" s="99" t="s">
        <v>322</v>
      </c>
      <c r="V14" s="99">
        <v>6</v>
      </c>
      <c r="W14" s="102" t="s">
        <v>23</v>
      </c>
    </row>
    <row r="15" spans="2:23" ht="45" customHeight="1">
      <c r="B15" s="103" t="s">
        <v>63</v>
      </c>
      <c r="C15" s="106" t="str">
        <f t="shared" ref="C15:F15" si="10">_xlfn.CONCAT("""",C7,""": (""",$B15,""",""",C$2,""")")</f>
        <v>"i̊": ("i","0")</v>
      </c>
      <c r="D15" s="106" t="str">
        <f t="shared" si="10"/>
        <v>"ī": ("i","1")</v>
      </c>
      <c r="E15" s="107" t="str">
        <f t="shared" si="10"/>
        <v>"í": ("i","2")</v>
      </c>
      <c r="F15" s="107" t="str">
        <f t="shared" si="10"/>
        <v>"ǐ": ("i","3")</v>
      </c>
      <c r="G15" s="108"/>
      <c r="H15" s="107" t="str">
        <f t="shared" ref="H15:L15" si="11">_xlfn.CONCAT("""",H7,""": (""",$B15,""",""",H$2,""")")</f>
        <v>"ì": ("i","5")</v>
      </c>
      <c r="I15" s="107" t="str">
        <f t="shared" si="11"/>
        <v>"î": ("i","6")</v>
      </c>
      <c r="J15" s="107" t="str">
        <f t="shared" si="11"/>
        <v>"īh": ("i","7")</v>
      </c>
      <c r="K15" s="107" t="str">
        <f t="shared" si="11"/>
        <v>"íh": ("i","8")</v>
      </c>
      <c r="L15" s="109" t="str">
        <f t="shared" si="11"/>
        <v>"i̋": ("i","9")</v>
      </c>
      <c r="N15" s="115" t="str">
        <f t="shared" si="9"/>
        <v xml:space="preserve">"i̊": ("i","0"), "ī": ("i","1"), "í": ("i","2"), "ǐ": ("i","3"), "ì": ("i","5"), "î": ("i","6"), "īh": ("i","7"), "íh": ("i","8"), "i̋": ("i","9"), </v>
      </c>
      <c r="P15" s="97" t="s">
        <v>311</v>
      </c>
      <c r="Q15" s="98" t="str">
        <f t="shared" si="3"/>
        <v>◌̀</v>
      </c>
      <c r="R15" s="98" t="str">
        <f t="shared" si="4"/>
        <v xml:space="preserve"> ̀</v>
      </c>
      <c r="S15" s="99" t="str">
        <f xml:space="preserve"> IFERROR( _xlfn.CONCAT("o", _xlfn.UNICHAR(HEX2DEC(RIGHT(P15,4)))), "")</f>
        <v>ò</v>
      </c>
      <c r="T15" s="99" t="str">
        <f xml:space="preserve"> IFERROR( _xlfn.CONCAT("d", "o", _xlfn.UNICHAR(HEX2DEC(RIGHT(P15,4))), "ng"), "")</f>
        <v>dòng</v>
      </c>
      <c r="U15" s="99" t="s">
        <v>323</v>
      </c>
      <c r="V15" s="99">
        <v>5</v>
      </c>
      <c r="W15" s="101" t="s">
        <v>19</v>
      </c>
    </row>
    <row r="16" spans="2:23" ht="45" customHeight="1">
      <c r="B16" s="103" t="s">
        <v>67</v>
      </c>
      <c r="C16" s="106" t="str">
        <f t="shared" ref="C16:F16" si="12">_xlfn.CONCAT("""",C8,""": (""",$B16,""",""",C$2,""")")</f>
        <v>"o̊": ("o","0")</v>
      </c>
      <c r="D16" s="106" t="str">
        <f t="shared" si="12"/>
        <v>"ō": ("o","1")</v>
      </c>
      <c r="E16" s="107" t="str">
        <f t="shared" si="12"/>
        <v>"ó": ("o","2")</v>
      </c>
      <c r="F16" s="107" t="str">
        <f t="shared" si="12"/>
        <v>"ǒ": ("o","3")</v>
      </c>
      <c r="G16" s="108"/>
      <c r="H16" s="107" t="str">
        <f t="shared" ref="H16:L16" si="13">_xlfn.CONCAT("""",H8,""": (""",$B16,""",""",H$2,""")")</f>
        <v>"ò": ("o","5")</v>
      </c>
      <c r="I16" s="107" t="str">
        <f t="shared" si="13"/>
        <v>"ô": ("o","6")</v>
      </c>
      <c r="J16" s="107" t="str">
        <f t="shared" si="13"/>
        <v>"ōh": ("o","7")</v>
      </c>
      <c r="K16" s="107" t="str">
        <f t="shared" si="13"/>
        <v>"óh": ("o","8")</v>
      </c>
      <c r="L16" s="109" t="str">
        <f t="shared" si="13"/>
        <v>"ő": ("o","9")</v>
      </c>
      <c r="N16" s="115" t="str">
        <f t="shared" si="9"/>
        <v xml:space="preserve">"o̊": ("o","0"), "ō": ("o","1"), "ó": ("o","2"), "ǒ": ("o","3"), "ò": ("o","5"), "ô": ("o","6"), "ōh": ("o","7"), "óh": ("o","8"), "ő": ("o","9"), </v>
      </c>
      <c r="P16" s="97" t="s">
        <v>310</v>
      </c>
      <c r="Q16" s="98" t="str">
        <f t="shared" si="3"/>
        <v>◌̌</v>
      </c>
      <c r="R16" s="98" t="str">
        <f t="shared" si="4"/>
        <v xml:space="preserve"> ̌</v>
      </c>
      <c r="S16" s="99" t="str">
        <f xml:space="preserve"> IFERROR( _xlfn.CONCAT("o", _xlfn.UNICHAR(HEX2DEC(RIGHT(P16,4)))), "")</f>
        <v>ǒ</v>
      </c>
      <c r="T16" s="99" t="str">
        <f xml:space="preserve"> IFERROR( _xlfn.CONCAT("d", "o", _xlfn.UNICHAR(HEX2DEC(RIGHT(P16,4))), "ng"), "")</f>
        <v>dǒng</v>
      </c>
      <c r="U16" s="99" t="s">
        <v>324</v>
      </c>
      <c r="V16" s="99">
        <v>3</v>
      </c>
      <c r="W16" s="101" t="s">
        <v>9</v>
      </c>
    </row>
    <row r="17" spans="2:23" ht="45" customHeight="1">
      <c r="B17" s="103" t="s">
        <v>70</v>
      </c>
      <c r="C17" s="106" t="str">
        <f t="shared" ref="C17:F17" si="14">_xlfn.CONCAT("""",C9,""": (""",$B17,""",""",C$2,""")")</f>
        <v>"ů": ("u","0")</v>
      </c>
      <c r="D17" s="106" t="str">
        <f t="shared" si="14"/>
        <v>"ū": ("u","1")</v>
      </c>
      <c r="E17" s="107" t="str">
        <f t="shared" si="14"/>
        <v>"ú": ("u","2")</v>
      </c>
      <c r="F17" s="107" t="str">
        <f t="shared" si="14"/>
        <v>"ǔ": ("u","3")</v>
      </c>
      <c r="G17" s="108"/>
      <c r="H17" s="107" t="str">
        <f t="shared" ref="H17:L17" si="15">_xlfn.CONCAT("""",H9,""": (""",$B17,""",""",H$2,""")")</f>
        <v>"ù": ("u","5")</v>
      </c>
      <c r="I17" s="107" t="str">
        <f t="shared" si="15"/>
        <v>"û": ("u","6")</v>
      </c>
      <c r="J17" s="107" t="str">
        <f t="shared" si="15"/>
        <v>"ūh": ("u","7")</v>
      </c>
      <c r="K17" s="107" t="str">
        <f t="shared" si="15"/>
        <v>"úh": ("u","8")</v>
      </c>
      <c r="L17" s="109" t="str">
        <f t="shared" si="15"/>
        <v>"ű": ("u","9")</v>
      </c>
      <c r="N17" s="115" t="str">
        <f t="shared" si="9"/>
        <v xml:space="preserve">"ů": ("u","0"), "ū": ("u","1"), "ú": ("u","2"), "ǔ": ("u","3"), "ù": ("u","5"), "û": ("u","6"), "ūh": ("u","7"), "úh": ("u","8"), "ű": ("u","9"), </v>
      </c>
      <c r="P17" s="97" t="s">
        <v>308</v>
      </c>
      <c r="Q17" s="98" t="str">
        <f t="shared" si="3"/>
        <v>◌́</v>
      </c>
      <c r="R17" s="98" t="str">
        <f t="shared" si="4"/>
        <v xml:space="preserve"> ́</v>
      </c>
      <c r="S17" s="99" t="str">
        <f xml:space="preserve"> IFERROR( _xlfn.CONCAT("o", _xlfn.UNICHAR(HEX2DEC(RIGHT(P17,4)))), "")</f>
        <v>ó</v>
      </c>
      <c r="T17" s="99" t="str">
        <f xml:space="preserve"> IFERROR( _xlfn.CONCAT("d", "o", _xlfn.UNICHAR(HEX2DEC(RIGHT(P17,4))), "ng"), "")</f>
        <v>dóng</v>
      </c>
      <c r="U17" s="99" t="s">
        <v>325</v>
      </c>
      <c r="V17" s="99">
        <v>2</v>
      </c>
      <c r="W17" s="102" t="s">
        <v>15</v>
      </c>
    </row>
    <row r="18" spans="2:23" ht="45" customHeight="1">
      <c r="B18" s="103" t="s">
        <v>73</v>
      </c>
      <c r="C18" s="106" t="str">
        <f t="shared" ref="C18:F18" si="16">_xlfn.CONCAT("""",C10,""": (""",$B18,""",""",C$2,""")")</f>
        <v>"m̊": ("m","0")</v>
      </c>
      <c r="D18" s="106" t="str">
        <f t="shared" si="16"/>
        <v>"m̄": ("m","1")</v>
      </c>
      <c r="E18" s="107" t="str">
        <f t="shared" si="16"/>
        <v>"ḿ": ("m","2")</v>
      </c>
      <c r="F18" s="107" t="str">
        <f t="shared" si="16"/>
        <v>"m̌": ("m","3")</v>
      </c>
      <c r="G18" s="108"/>
      <c r="H18" s="107" t="str">
        <f t="shared" ref="H18:L18" si="17">_xlfn.CONCAT("""",H10,""": (""",$B18,""",""",H$2,""")")</f>
        <v>"m̀": ("m","5")</v>
      </c>
      <c r="I18" s="107" t="str">
        <f t="shared" si="17"/>
        <v>"m̂": ("m","6")</v>
      </c>
      <c r="J18" s="107" t="str">
        <f t="shared" si="17"/>
        <v>"m̄h": ("m","7")</v>
      </c>
      <c r="K18" s="107" t="str">
        <f t="shared" si="17"/>
        <v>"ḿh": ("m","8")</v>
      </c>
      <c r="L18" s="109" t="str">
        <f t="shared" si="17"/>
        <v>"m̋": ("m","9")</v>
      </c>
      <c r="N18" s="115" t="str">
        <f t="shared" si="9"/>
        <v xml:space="preserve">"m̊": ("m","0"), "m̄": ("m","1"), "ḿ": ("m","2"), "m̌": ("m","3"), "m̀": ("m","5"), "m̂": ("m","6"), "m̄h": ("m","7"), "ḿh": ("m","8"), "m̋": ("m","9"), </v>
      </c>
      <c r="P18" s="97" t="s">
        <v>309</v>
      </c>
      <c r="Q18" s="98" t="str">
        <f t="shared" si="3"/>
        <v>◌̄</v>
      </c>
      <c r="R18" s="98" t="str">
        <f t="shared" si="4"/>
        <v xml:space="preserve"> ̄</v>
      </c>
      <c r="S18" s="99" t="str">
        <f t="shared" ref="S18" si="18" xml:space="preserve"> IFERROR( _xlfn.CONCAT("o", _xlfn.UNICHAR(HEX2DEC(RIGHT(P18,4)))), "")</f>
        <v>ō</v>
      </c>
      <c r="T18" s="99" t="str">
        <f xml:space="preserve"> IFERROR( _xlfn.CONCAT("d", "o", _xlfn.UNICHAR(HEX2DEC(RIGHT(P18,4))), "k"), "")</f>
        <v>dōk</v>
      </c>
      <c r="U18" s="99" t="s">
        <v>320</v>
      </c>
      <c r="V18" s="99">
        <v>7</v>
      </c>
      <c r="W18" s="101" t="s">
        <v>7</v>
      </c>
    </row>
    <row r="19" spans="2:23" ht="45" customHeight="1">
      <c r="B19" s="103" t="s">
        <v>81</v>
      </c>
      <c r="C19" s="106" t="str">
        <f t="shared" ref="C19:F19" si="19">_xlfn.CONCAT("""",C11,""": (""",$B19,""",""",C$2,""")")</f>
        <v>"n̊": ("n","0")</v>
      </c>
      <c r="D19" s="106" t="str">
        <f t="shared" si="19"/>
        <v>"n̄": ("n","1")</v>
      </c>
      <c r="E19" s="107" t="str">
        <f t="shared" si="19"/>
        <v>"ń": ("n","2")</v>
      </c>
      <c r="F19" s="107" t="str">
        <f t="shared" si="19"/>
        <v>"ň": ("n","3")</v>
      </c>
      <c r="G19" s="108"/>
      <c r="H19" s="107" t="str">
        <f t="shared" ref="H19:L19" si="20">_xlfn.CONCAT("""",H11,""": (""",$B19,""",""",H$2,""")")</f>
        <v>"ǹ": ("n","5")</v>
      </c>
      <c r="I19" s="107" t="str">
        <f t="shared" si="20"/>
        <v>"n̂": ("n","6")</v>
      </c>
      <c r="J19" s="107" t="str">
        <f t="shared" si="20"/>
        <v>"n̄h": ("n","7")</v>
      </c>
      <c r="K19" s="107" t="str">
        <f t="shared" si="20"/>
        <v>"ńh": ("n","8")</v>
      </c>
      <c r="L19" s="109" t="str">
        <f t="shared" si="20"/>
        <v>"n̋": ("n","9")</v>
      </c>
      <c r="N19" s="115" t="str">
        <f t="shared" si="9"/>
        <v xml:space="preserve">"n̊": ("n","0"), "n̄": ("n","1"), "ń": ("n","2"), "ň": ("n","3"), "ǹ": ("n","5"), "n̂": ("n","6"), "n̄h": ("n","7"), "ńh": ("n","8"), "n̋": ("n","9"), </v>
      </c>
      <c r="P19" s="97" t="s">
        <v>308</v>
      </c>
      <c r="Q19" s="98" t="str">
        <f t="shared" si="3"/>
        <v>◌́</v>
      </c>
      <c r="R19" s="98" t="str">
        <f t="shared" si="4"/>
        <v xml:space="preserve"> ́</v>
      </c>
      <c r="S19" s="99" t="str">
        <f xml:space="preserve"> IFERROR( _xlfn.CONCAT("o", _xlfn.UNICHAR(HEX2DEC(RIGHT(P19,4)))), "")</f>
        <v>ó</v>
      </c>
      <c r="T19" s="99" t="str">
        <f xml:space="preserve"> IFERROR( _xlfn.CONCAT("d", "o", _xlfn.UNICHAR(HEX2DEC(RIGHT(P19,4))), "k"), "")</f>
        <v>dók</v>
      </c>
      <c r="U19" s="99" t="s">
        <v>321</v>
      </c>
      <c r="V19" s="99">
        <v>8</v>
      </c>
      <c r="W19" s="102" t="s">
        <v>3</v>
      </c>
    </row>
    <row r="20" spans="2:23" ht="45" customHeight="1">
      <c r="P20" s="97" t="s">
        <v>316</v>
      </c>
      <c r="Q20" s="98" t="str">
        <f t="shared" si="3"/>
        <v>◌̊</v>
      </c>
      <c r="R20" s="98" t="str">
        <f t="shared" si="4"/>
        <v xml:space="preserve"> ̊</v>
      </c>
      <c r="S20" s="99" t="str">
        <f xml:space="preserve"> IFERROR( _xlfn.CONCAT("o", _xlfn.UNICHAR(HEX2DEC(RIGHT(P20,4)))), "")</f>
        <v>o̊</v>
      </c>
      <c r="T20" s="99" t="str">
        <f xml:space="preserve"> IFERROR( _xlfn.CONCAT("a", _xlfn.UNICHAR(HEX2DEC(RIGHT(P20,4))), "h"), "")</f>
        <v>åh</v>
      </c>
      <c r="U20" s="99" t="s">
        <v>207</v>
      </c>
      <c r="V20" s="99">
        <v>0</v>
      </c>
      <c r="W20" s="101" t="s">
        <v>209</v>
      </c>
    </row>
    <row r="21" spans="2:23">
      <c r="B21" s="140" t="s">
        <v>87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2"/>
    </row>
    <row r="22" spans="2:23">
      <c r="B22" s="94" t="s">
        <v>88</v>
      </c>
      <c r="C22" s="94"/>
      <c r="D22" s="94"/>
      <c r="E22" s="95" t="s">
        <v>150</v>
      </c>
      <c r="F22" s="95" t="s">
        <v>151</v>
      </c>
      <c r="G22" s="96" t="s">
        <v>89</v>
      </c>
      <c r="H22" s="95" t="s">
        <v>152</v>
      </c>
      <c r="I22" s="95" t="s">
        <v>183</v>
      </c>
      <c r="J22" s="95" t="s">
        <v>153</v>
      </c>
      <c r="K22" s="96" t="s">
        <v>90</v>
      </c>
      <c r="L22" s="96" t="s">
        <v>91</v>
      </c>
    </row>
    <row r="23" spans="2:23">
      <c r="B23" s="94" t="s">
        <v>92</v>
      </c>
      <c r="C23" s="94"/>
      <c r="D23" s="94"/>
      <c r="E23" s="95" t="s">
        <v>154</v>
      </c>
      <c r="F23" s="95" t="s">
        <v>155</v>
      </c>
      <c r="G23" s="96" t="s">
        <v>93</v>
      </c>
      <c r="H23" s="95" t="s">
        <v>156</v>
      </c>
      <c r="I23" s="95" t="s">
        <v>157</v>
      </c>
      <c r="J23" s="95" t="s">
        <v>158</v>
      </c>
      <c r="K23" s="96" t="s">
        <v>94</v>
      </c>
      <c r="L23" s="96" t="s">
        <v>95</v>
      </c>
    </row>
    <row r="24" spans="2:23">
      <c r="B24" s="94" t="s">
        <v>96</v>
      </c>
      <c r="C24" s="94"/>
      <c r="D24" s="94"/>
      <c r="E24" s="95" t="s">
        <v>159</v>
      </c>
      <c r="F24" s="95" t="s">
        <v>160</v>
      </c>
      <c r="G24" s="96" t="s">
        <v>97</v>
      </c>
      <c r="H24" s="95" t="s">
        <v>161</v>
      </c>
      <c r="I24" s="95" t="s">
        <v>162</v>
      </c>
      <c r="J24" s="95" t="s">
        <v>187</v>
      </c>
      <c r="K24" s="96" t="s">
        <v>98</v>
      </c>
      <c r="L24" s="96" t="s">
        <v>99</v>
      </c>
    </row>
    <row r="25" spans="2:23">
      <c r="B25" s="94" t="s">
        <v>100</v>
      </c>
      <c r="C25" s="94"/>
      <c r="D25" s="94"/>
      <c r="E25" s="95" t="s">
        <v>163</v>
      </c>
      <c r="F25" s="95" t="s">
        <v>164</v>
      </c>
      <c r="G25" s="96" t="s">
        <v>101</v>
      </c>
      <c r="H25" s="95" t="s">
        <v>165</v>
      </c>
      <c r="I25" s="95" t="s">
        <v>184</v>
      </c>
      <c r="J25" s="95" t="s">
        <v>166</v>
      </c>
      <c r="K25" s="96" t="s">
        <v>102</v>
      </c>
      <c r="L25" s="95" t="s">
        <v>167</v>
      </c>
    </row>
    <row r="26" spans="2:23">
      <c r="B26" s="94" t="s">
        <v>103</v>
      </c>
      <c r="C26" s="94"/>
      <c r="D26" s="94"/>
      <c r="E26" s="95" t="s">
        <v>168</v>
      </c>
      <c r="F26" s="95" t="s">
        <v>169</v>
      </c>
      <c r="G26" s="96" t="s">
        <v>104</v>
      </c>
      <c r="H26" s="95" t="s">
        <v>170</v>
      </c>
      <c r="I26" s="95" t="s">
        <v>171</v>
      </c>
      <c r="J26" s="95" t="s">
        <v>188</v>
      </c>
      <c r="K26" s="96" t="s">
        <v>105</v>
      </c>
      <c r="L26" s="95" t="s">
        <v>172</v>
      </c>
    </row>
    <row r="27" spans="2:23">
      <c r="B27" s="94" t="s">
        <v>106</v>
      </c>
      <c r="C27" s="94"/>
      <c r="D27" s="94"/>
      <c r="E27" s="95" t="s">
        <v>173</v>
      </c>
      <c r="F27" s="96" t="s">
        <v>107</v>
      </c>
      <c r="G27" s="96" t="s">
        <v>108</v>
      </c>
      <c r="H27" s="96" t="s">
        <v>109</v>
      </c>
      <c r="I27" s="96" t="s">
        <v>110</v>
      </c>
      <c r="J27" s="96" t="s">
        <v>111</v>
      </c>
      <c r="K27" s="96" t="s">
        <v>112</v>
      </c>
      <c r="L27" s="96" t="s">
        <v>113</v>
      </c>
    </row>
    <row r="28" spans="2:23">
      <c r="B28" s="94" t="s">
        <v>114</v>
      </c>
      <c r="C28" s="94"/>
      <c r="D28" s="94"/>
      <c r="E28" s="95" t="s">
        <v>174</v>
      </c>
      <c r="F28" s="95" t="s">
        <v>175</v>
      </c>
      <c r="G28" s="96" t="s">
        <v>115</v>
      </c>
      <c r="H28" s="96" t="s">
        <v>116</v>
      </c>
      <c r="I28" s="95" t="s">
        <v>176</v>
      </c>
      <c r="J28" s="96" t="s">
        <v>117</v>
      </c>
      <c r="K28" s="96" t="s">
        <v>118</v>
      </c>
      <c r="L28" s="96" t="s">
        <v>119</v>
      </c>
    </row>
    <row r="29" spans="2:23"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</row>
    <row r="30" spans="2:23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</row>
    <row r="31" spans="2:23">
      <c r="B31" s="143" t="s">
        <v>189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</row>
    <row r="32" spans="2:23"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</row>
  </sheetData>
  <mergeCells count="4">
    <mergeCell ref="B21:L21"/>
    <mergeCell ref="B31:L31"/>
    <mergeCell ref="Q4:R4"/>
    <mergeCell ref="Q12:R12"/>
  </mergeCells>
  <phoneticPr fontId="1" type="noConversion"/>
  <hyperlinks>
    <hyperlink ref="B31" r:id="rId1" display="https://zi-hi.com/%E7%99%BD%E8%A9%B1%E5%AD%97" xr:uid="{28459C55-D8A5-4674-A1D8-FCE41D56BAC9}"/>
    <hyperlink ref="I28" r:id="rId2" display="https://zi-hi.com/sp/uni/0147" xr:uid="{81861A2F-6222-4AE4-A390-AB79E28651A2}"/>
    <hyperlink ref="F28" r:id="rId3" display="https://zi-hi.com/sp/uni/01F8" xr:uid="{B8D9329F-08B9-4569-A290-5445F6EA7602}"/>
    <hyperlink ref="E28" r:id="rId4" display="https://zi-hi.com/sp/uni/0143" xr:uid="{F8C3E53E-30C8-4235-8A77-627180EC489C}"/>
    <hyperlink ref="E27" r:id="rId5" display="https://zi-hi.com/sp/uni/1E3E" xr:uid="{4F9ECD8C-3100-4702-A638-08C1667C140E}"/>
    <hyperlink ref="L26" r:id="rId6" display="https://zi-hi.com/sp/uni/0170" xr:uid="{A8092475-85DD-47F8-9E06-661A376CAFF6}"/>
    <hyperlink ref="J26" r:id="rId7" display="https://zi-hi.com/sp/uni/016A" xr:uid="{30A95D8E-FE93-4BA6-8473-77FBD356C7A7}"/>
    <hyperlink ref="I26" r:id="rId8" display="https://zi-hi.com/sp/uni/01D3" xr:uid="{A4A3F577-C2FF-4D76-9468-868076DC1521}"/>
    <hyperlink ref="H26" r:id="rId9" display="https://zi-hi.com/sp/uni/00DB" xr:uid="{6FEDAE72-ED1A-492A-BBE7-32974050B10C}"/>
    <hyperlink ref="F26" r:id="rId10" display="https://zi-hi.com/sp/uni/00D9" xr:uid="{6F47DF64-E95A-465E-96F8-BFBBA2DF4252}"/>
    <hyperlink ref="E26" r:id="rId11" display="https://zi-hi.com/sp/uni/00DA" xr:uid="{82368CFA-1F3E-47BC-BD62-6D8A8E802C80}"/>
    <hyperlink ref="L25" r:id="rId12" display="https://zi-hi.com/sp/uni/0150" xr:uid="{53BE88E5-A2D0-4A4F-B29A-125679C207E4}"/>
    <hyperlink ref="J25" r:id="rId13" display="https://zi-hi.com/sp/uni/014C" xr:uid="{B9934287-EA03-4529-9E7A-93F88BC672C2}"/>
    <hyperlink ref="I25" r:id="rId14" display="https://zi-hi.com/sp/uni/01D1" xr:uid="{98996427-AE03-4267-9BA1-9ECFACA4DC5D}"/>
    <hyperlink ref="H25" r:id="rId15" display="https://zi-hi.com/sp/uni/00D4" xr:uid="{631960CF-6AED-46D2-8CFA-3CBFC7D7771F}"/>
    <hyperlink ref="F25" r:id="rId16" display="https://zi-hi.com/sp/uni/00D2" xr:uid="{678BEDB5-CC38-47F7-996F-E9C2E31628A8}"/>
    <hyperlink ref="E25" r:id="rId17" display="https://zi-hi.com/sp/uni/00D3" xr:uid="{8F71905C-ACC1-4067-B503-86AD2E930E6A}"/>
    <hyperlink ref="J24" r:id="rId18" display="https://zi-hi.com/sp/uni/012A" xr:uid="{086AD641-C1A2-4B31-BD89-DEFD5AB298BC}"/>
    <hyperlink ref="I24" r:id="rId19" display="https://zi-hi.com/sp/uni/01CF" xr:uid="{C8272854-DC1A-4810-BCB3-65D023A9DB20}"/>
    <hyperlink ref="H24" r:id="rId20" display="https://zi-hi.com/sp/uni/00CE" xr:uid="{5EDAAF7E-91D4-4D21-AE9E-0849C6D88697}"/>
    <hyperlink ref="F24" r:id="rId21" display="https://zi-hi.com/sp/uni/00CC" xr:uid="{C0556078-F35A-456F-A427-B2EA96E951B6}"/>
    <hyperlink ref="E24" r:id="rId22" display="https://zi-hi.com/sp/uni/00CD" xr:uid="{96C318CF-AD3B-4E6D-AC54-FEEC2AED89A4}"/>
    <hyperlink ref="J23" r:id="rId23" display="https://zi-hi.com/sp/uni/0112" xr:uid="{5B3D49A8-22E1-42E8-92E6-8196B7D91640}"/>
    <hyperlink ref="I23" r:id="rId24" display="https://zi-hi.com/sp/uni/011A" xr:uid="{F6C68302-E981-4726-9B80-41B7EF636D5C}"/>
    <hyperlink ref="H23" r:id="rId25" display="https://zi-hi.com/sp/uni/00CA" xr:uid="{C6A5B079-0A5C-4621-9958-0E77A91AF7C0}"/>
    <hyperlink ref="F23" r:id="rId26" display="https://zi-hi.com/sp/uni/00C8" xr:uid="{0314F45D-6364-4BFC-9B82-F5E80EA2C55F}"/>
    <hyperlink ref="E23" r:id="rId27" display="https://zi-hi.com/sp/uni/00C9" xr:uid="{7FF15DED-1072-438F-9C78-6F88FC188859}"/>
    <hyperlink ref="J22" r:id="rId28" display="https://zi-hi.com/sp/uni/0100" xr:uid="{0DF37370-6F35-4038-9A11-FEF3CF6024A4}"/>
    <hyperlink ref="I22" r:id="rId29" display="https://zi-hi.com/sp/uni/01CD" xr:uid="{4E3E382A-4A21-4881-AD8F-85AFCB61A94F}"/>
    <hyperlink ref="H22" r:id="rId30" display="https://zi-hi.com/sp/uni/00C2" xr:uid="{3E1B2218-3EB6-4DEC-966F-D63C825F5FE5}"/>
    <hyperlink ref="F22" r:id="rId31" display="https://zi-hi.com/sp/uni/00C0" xr:uid="{0E02D52F-44EB-4FBE-B397-69FB3BFD83C6}"/>
    <hyperlink ref="E22" r:id="rId32" display="https://zi-hi.com/sp/uni/00C1" xr:uid="{2458810B-0D86-4299-91DE-EC9FDFA585C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02ED-9A65-4E94-A488-809467BC273C}">
  <dimension ref="B2:U11"/>
  <sheetViews>
    <sheetView showOutlineSymbols="0" workbookViewId="0"/>
  </sheetViews>
  <sheetFormatPr defaultRowHeight="16.5"/>
  <cols>
    <col min="1" max="1" width="5.5" customWidth="1"/>
    <col min="2" max="2" width="13.5" customWidth="1"/>
    <col min="3" max="4" width="16.25" customWidth="1"/>
    <col min="5" max="5" width="11.5" customWidth="1"/>
    <col min="6" max="6" width="12.5" bestFit="1" customWidth="1"/>
    <col min="7" max="10" width="18" customWidth="1"/>
    <col min="19" max="19" width="27" customWidth="1"/>
  </cols>
  <sheetData>
    <row r="2" spans="2:21" ht="25.5">
      <c r="B2" s="14" t="s">
        <v>285</v>
      </c>
      <c r="C2" s="14" t="s">
        <v>222</v>
      </c>
      <c r="D2" s="14" t="s">
        <v>286</v>
      </c>
      <c r="E2" s="14" t="s">
        <v>30</v>
      </c>
      <c r="F2" s="13" t="s">
        <v>201</v>
      </c>
      <c r="G2" s="13" t="s">
        <v>202</v>
      </c>
      <c r="H2" s="13" t="s">
        <v>282</v>
      </c>
      <c r="I2" s="14" t="s">
        <v>259</v>
      </c>
      <c r="J2" s="14" t="s">
        <v>204</v>
      </c>
    </row>
    <row r="3" spans="2:21" ht="45">
      <c r="B3" s="12">
        <v>1</v>
      </c>
      <c r="C3" s="62" t="s">
        <v>273</v>
      </c>
      <c r="D3" s="62" t="s">
        <v>287</v>
      </c>
      <c r="E3" s="63">
        <v>44</v>
      </c>
      <c r="F3" s="63" t="s">
        <v>283</v>
      </c>
      <c r="G3" s="53" t="s">
        <v>26</v>
      </c>
      <c r="H3" s="57" t="s">
        <v>45</v>
      </c>
      <c r="I3" s="58" t="s">
        <v>214</v>
      </c>
      <c r="J3" s="58" t="str">
        <f xml:space="preserve"> _xlfn.CONCAT(I3, F3)</f>
        <v>ㄊㆲ:</v>
      </c>
      <c r="L3" s="62" t="str">
        <f xml:space="preserve"> _xlfn.CONCAT("ㄚ",_xlfn.UNICHAR(HEX2DEC(RIGHT("U+0304",4))))</f>
        <v>ㄚ̄</v>
      </c>
      <c r="N3" s="33" t="s">
        <v>185</v>
      </c>
      <c r="O3" s="35">
        <f xml:space="preserve"> IFERROR( HEX2DEC(RIGHT(N3,4)), "")</f>
        <v>769</v>
      </c>
      <c r="P3" s="35" t="str">
        <f xml:space="preserve"> IFERROR( _xlfn.CONCAT("o", _xlfn.UNICHAR(HEX2DEC(RIGHT(N3,4)))), "")</f>
        <v>ó</v>
      </c>
      <c r="Q3" s="35" t="str">
        <f xml:space="preserve"> IFERROR( _xlfn.CONCAT("t", "o", _xlfn.UNICHAR(HEX2DEC(RIGHT(N3,4))), "ng"), "")</f>
        <v>tóng</v>
      </c>
      <c r="S3" s="62" t="str">
        <f xml:space="preserve"> _xlfn.CONCAT( LEFT(C3,2), " ", L3,)</f>
        <v>陰平 ㄚ̄</v>
      </c>
      <c r="U3" t="s">
        <v>264</v>
      </c>
    </row>
    <row r="4" spans="2:21" ht="45">
      <c r="B4" s="4">
        <v>2</v>
      </c>
      <c r="C4" s="65" t="s">
        <v>274</v>
      </c>
      <c r="D4" s="65" t="s">
        <v>288</v>
      </c>
      <c r="E4" s="66">
        <v>13</v>
      </c>
      <c r="F4" s="66">
        <v>6</v>
      </c>
      <c r="G4" s="54" t="s">
        <v>15</v>
      </c>
      <c r="H4" s="59" t="s">
        <v>296</v>
      </c>
      <c r="I4" s="60" t="s">
        <v>218</v>
      </c>
      <c r="J4" s="60" t="str">
        <f xml:space="preserve"> _xlfn.CONCAT( LEFT( I4, LEN(I4)-1), F4)</f>
        <v>ㄊㆲ6</v>
      </c>
      <c r="L4" s="62" t="str">
        <f xml:space="preserve"> _xlfn.CONCAT("ㄚ",_xlfn.UNICHAR(HEX2DEC(RIGHT("U+0301",4))))</f>
        <v>ㄚ́</v>
      </c>
      <c r="N4" s="33" t="s">
        <v>186</v>
      </c>
      <c r="O4" s="35">
        <f t="shared" ref="O4:O10" si="0" xml:space="preserve"> IFERROR( HEX2DEC(RIGHT(N4,4)), "")</f>
        <v>768</v>
      </c>
      <c r="P4" s="35" t="str">
        <f t="shared" ref="P4:P10" si="1" xml:space="preserve"> IFERROR( _xlfn.CONCAT("o", _xlfn.UNICHAR(HEX2DEC(RIGHT(N4,4)))), "")</f>
        <v>ò</v>
      </c>
      <c r="Q4" s="35" t="str">
        <f t="shared" ref="Q4:Q10" si="2" xml:space="preserve"> IFERROR( _xlfn.CONCAT("t", "o", _xlfn.UNICHAR(HEX2DEC(RIGHT(N4,4))), "ng"), "")</f>
        <v>tòng</v>
      </c>
      <c r="S4" s="62" t="str">
        <f t="shared" ref="S4:S11" si="3" xml:space="preserve"> _xlfn.CONCAT( LEFT(C4,2), " ", L4,)</f>
        <v>陽平 ㄚ́</v>
      </c>
      <c r="U4" t="s">
        <v>265</v>
      </c>
    </row>
    <row r="5" spans="2:21" ht="45">
      <c r="B5" s="12">
        <v>3</v>
      </c>
      <c r="C5" s="62" t="s">
        <v>275</v>
      </c>
      <c r="D5" s="62" t="s">
        <v>289</v>
      </c>
      <c r="E5" s="63">
        <v>53</v>
      </c>
      <c r="F5" s="63">
        <v>4</v>
      </c>
      <c r="G5" s="53" t="s">
        <v>226</v>
      </c>
      <c r="H5" s="57" t="s">
        <v>297</v>
      </c>
      <c r="I5" s="61" t="s">
        <v>215</v>
      </c>
      <c r="J5" s="61" t="str">
        <f xml:space="preserve"> _xlfn.CONCAT( LEFT( I5, LEN(I5)-1), F5)</f>
        <v>ㄊㆲ4</v>
      </c>
      <c r="L5" s="62" t="str">
        <f xml:space="preserve"> _xlfn.CONCAT("ㄚ",_xlfn.UNICHAR(HEX2DEC(RIGHT("U+030C",4))))</f>
        <v>ㄚ̌</v>
      </c>
      <c r="N5" s="34" t="s">
        <v>121</v>
      </c>
      <c r="O5" s="35">
        <f t="shared" si="0"/>
        <v>781</v>
      </c>
      <c r="P5" s="35" t="str">
        <f t="shared" si="1"/>
        <v>o̍</v>
      </c>
      <c r="Q5" s="35" t="str">
        <f t="shared" si="2"/>
        <v>to̍ng</v>
      </c>
      <c r="S5" s="62" t="str">
        <f t="shared" si="3"/>
        <v>陰上 ㄚ̌</v>
      </c>
      <c r="U5" t="s">
        <v>266</v>
      </c>
    </row>
    <row r="6" spans="2:21" ht="42">
      <c r="B6" s="4">
        <v>4</v>
      </c>
      <c r="C6" s="65" t="s">
        <v>276</v>
      </c>
      <c r="D6" s="70"/>
      <c r="E6" s="70"/>
      <c r="F6" s="70"/>
      <c r="G6" s="70"/>
      <c r="H6" s="70"/>
      <c r="I6" s="70"/>
      <c r="J6" s="70"/>
      <c r="L6" s="62" t="str">
        <f t="shared" ref="L6" si="4" xml:space="preserve"> _xlfn.CONCAT("ㄚ",_xlfn.UNICHAR(HEX2DEC(RIGHT("U+0304",4))))</f>
        <v>ㄚ̄</v>
      </c>
      <c r="N6" s="33" t="s">
        <v>120</v>
      </c>
      <c r="O6" s="35">
        <f t="shared" si="0"/>
        <v>770</v>
      </c>
      <c r="P6" s="35" t="str">
        <f t="shared" si="1"/>
        <v>ô</v>
      </c>
      <c r="Q6" s="35" t="str">
        <f t="shared" si="2"/>
        <v>tông</v>
      </c>
      <c r="S6" s="62" t="str">
        <f t="shared" si="3"/>
        <v>陽上 ㄚ̄</v>
      </c>
      <c r="U6" t="s">
        <v>267</v>
      </c>
    </row>
    <row r="7" spans="2:21" ht="45">
      <c r="B7" s="12">
        <v>5</v>
      </c>
      <c r="C7" s="62" t="s">
        <v>277</v>
      </c>
      <c r="D7" s="62" t="s">
        <v>290</v>
      </c>
      <c r="E7" s="63">
        <v>21</v>
      </c>
      <c r="F7" s="63">
        <v>3</v>
      </c>
      <c r="G7" s="56" t="s">
        <v>19</v>
      </c>
      <c r="H7" s="57" t="s">
        <v>298</v>
      </c>
      <c r="I7" s="61" t="s">
        <v>216</v>
      </c>
      <c r="J7" s="61" t="str">
        <f t="shared" ref="J7:J10" si="5" xml:space="preserve"> _xlfn.CONCAT( LEFT( I7, LEN(I7)-1), F7)</f>
        <v>ㄊㆲ3</v>
      </c>
      <c r="L7" s="62" t="str">
        <f xml:space="preserve"> _xlfn.CONCAT("ㄚ",_xlfn.UNICHAR(HEX2DEC(RIGHT("U+0300",4))))</f>
        <v>ㄚ̀</v>
      </c>
      <c r="N7" s="33" t="s">
        <v>177</v>
      </c>
      <c r="O7" s="35">
        <f t="shared" si="0"/>
        <v>780</v>
      </c>
      <c r="P7" s="35" t="str">
        <f t="shared" si="1"/>
        <v>ǒ</v>
      </c>
      <c r="Q7" s="35" t="str">
        <f t="shared" si="2"/>
        <v>tǒng</v>
      </c>
      <c r="S7" s="62" t="str">
        <f t="shared" si="3"/>
        <v>陰去 ㄚ̀</v>
      </c>
      <c r="U7" t="s">
        <v>268</v>
      </c>
    </row>
    <row r="8" spans="2:21" ht="45">
      <c r="B8" s="4">
        <v>6</v>
      </c>
      <c r="C8" s="65" t="s">
        <v>278</v>
      </c>
      <c r="D8" s="65" t="s">
        <v>291</v>
      </c>
      <c r="E8" s="66">
        <v>22</v>
      </c>
      <c r="F8" s="66">
        <v>5</v>
      </c>
      <c r="G8" s="55" t="s">
        <v>231</v>
      </c>
      <c r="H8" s="59" t="s">
        <v>299</v>
      </c>
      <c r="I8" s="60" t="s">
        <v>219</v>
      </c>
      <c r="J8" s="60" t="str">
        <f t="shared" si="5"/>
        <v>ㄊㆲ5</v>
      </c>
      <c r="L8" s="62" t="str">
        <f xml:space="preserve"> _xlfn.CONCAT("ㄚ",_xlfn.UNICHAR(HEX2DEC(RIGHT("U+0302",4))))</f>
        <v>ㄚ̂</v>
      </c>
      <c r="N8" s="33" t="s">
        <v>178</v>
      </c>
      <c r="O8" s="35">
        <f t="shared" si="0"/>
        <v>772</v>
      </c>
      <c r="P8" s="35" t="str">
        <f t="shared" si="1"/>
        <v>ō</v>
      </c>
      <c r="Q8" s="35" t="str">
        <f xml:space="preserve"> IFERROR( _xlfn.CONCAT("t", "o", _xlfn.UNICHAR(HEX2DEC(RIGHT("U+0304",4))), "ng"), "")</f>
        <v>tōng</v>
      </c>
      <c r="S8" s="62" t="str">
        <f t="shared" si="3"/>
        <v>陽去 ㄚ̂</v>
      </c>
      <c r="U8" t="s">
        <v>269</v>
      </c>
    </row>
    <row r="9" spans="2:21" ht="45">
      <c r="B9" s="12">
        <v>7</v>
      </c>
      <c r="C9" s="62" t="s">
        <v>279</v>
      </c>
      <c r="D9" s="62" t="s">
        <v>292</v>
      </c>
      <c r="E9" s="63">
        <v>32</v>
      </c>
      <c r="F9" s="63" t="s">
        <v>43</v>
      </c>
      <c r="G9" s="56" t="s">
        <v>7</v>
      </c>
      <c r="H9" s="57" t="s">
        <v>300</v>
      </c>
      <c r="I9" s="61" t="s">
        <v>261</v>
      </c>
      <c r="J9" s="61" t="str">
        <f xml:space="preserve"> _xlfn.CONCAT( LEFT( I9, LEN(I9)), F9)</f>
        <v>ㄊㆦㆻ[</v>
      </c>
      <c r="L9" s="62" t="str">
        <f xml:space="preserve"> _xlfn.CONCAT("ㄚ", "ㆷ", _xlfn.UNICHAR(HEX2DEC(RIGHT("U+0304",4))))</f>
        <v>ㄚㆷ̄</v>
      </c>
      <c r="N9" s="33" t="s">
        <v>210</v>
      </c>
      <c r="O9" s="35">
        <f t="shared" si="0"/>
        <v>781</v>
      </c>
      <c r="P9" s="35" t="str">
        <f t="shared" si="1"/>
        <v>o̍</v>
      </c>
      <c r="Q9" s="35" t="str">
        <f t="shared" si="2"/>
        <v>to̍ng</v>
      </c>
      <c r="S9" s="62" t="str">
        <f t="shared" si="3"/>
        <v>陰入 ㄚㆷ̄</v>
      </c>
      <c r="U9" t="s">
        <v>270</v>
      </c>
    </row>
    <row r="10" spans="2:21" ht="45">
      <c r="B10" s="4">
        <v>8</v>
      </c>
      <c r="C10" s="65" t="s">
        <v>280</v>
      </c>
      <c r="D10" s="65" t="s">
        <v>293</v>
      </c>
      <c r="E10" s="66">
        <v>121</v>
      </c>
      <c r="F10" s="66" t="s">
        <v>44</v>
      </c>
      <c r="G10" s="55" t="s">
        <v>232</v>
      </c>
      <c r="H10" s="59" t="s">
        <v>220</v>
      </c>
      <c r="I10" s="60" t="s">
        <v>262</v>
      </c>
      <c r="J10" s="60" t="str">
        <f t="shared" si="5"/>
        <v>ㄊㆦㆻ]</v>
      </c>
      <c r="L10" s="62" t="str">
        <f xml:space="preserve"> _xlfn.CONCAT("ㄚ", "ㆷ", _xlfn.UNICHAR(HEX2DEC(RIGHT("U+0301",4))))</f>
        <v>ㄚㆷ́</v>
      </c>
      <c r="N10" s="33" t="s">
        <v>122</v>
      </c>
      <c r="O10" s="35">
        <f t="shared" si="0"/>
        <v>779</v>
      </c>
      <c r="P10" s="35" t="str">
        <f t="shared" si="1"/>
        <v>ő</v>
      </c>
      <c r="Q10" s="35" t="str">
        <f t="shared" si="2"/>
        <v>tőng</v>
      </c>
      <c r="S10" s="62" t="str">
        <f t="shared" si="3"/>
        <v>陽入 ㄚㆷ́</v>
      </c>
      <c r="U10" t="s">
        <v>271</v>
      </c>
    </row>
    <row r="11" spans="2:21" ht="45">
      <c r="B11" s="12">
        <v>0</v>
      </c>
      <c r="C11" s="62" t="s">
        <v>281</v>
      </c>
      <c r="D11" s="62" t="s">
        <v>284</v>
      </c>
      <c r="E11" s="63">
        <v>20</v>
      </c>
      <c r="F11" s="63">
        <v>7</v>
      </c>
      <c r="G11" s="53" t="s">
        <v>209</v>
      </c>
      <c r="H11" s="57" t="s">
        <v>211</v>
      </c>
      <c r="I11" s="61" t="s">
        <v>260</v>
      </c>
      <c r="J11" s="61" t="str">
        <f t="shared" ref="J11" si="6" xml:space="preserve"> _xlfn.CONCAT( LEFT( I11, LEN(I11)-1), F11)</f>
        <v>ㄚㆷ7</v>
      </c>
      <c r="L11" s="62" t="str">
        <f xml:space="preserve"> _xlfn.CONCAT("ㄚ", "ㆷ", _xlfn.UNICHAR(HEX2DEC(RIGHT("U+02D9",4))))</f>
        <v>ㄚㆷ˙</v>
      </c>
      <c r="S11" s="62" t="str">
        <f t="shared" si="3"/>
        <v>輕聲 ㄚㆷ˙</v>
      </c>
      <c r="U11" t="s">
        <v>272</v>
      </c>
    </row>
  </sheetData>
  <phoneticPr fontId="1" type="noConversion"/>
  <hyperlinks>
    <hyperlink ref="N3" r:id="rId1" display="https://zi-hi.com/sp/uni/0301" xr:uid="{09B4369C-09F5-493D-97DE-F2132117D92D}"/>
    <hyperlink ref="N4" r:id="rId2" display="https://zi-hi.com/sp/uni/0300" xr:uid="{C7674C4A-D199-49E9-89AC-4C0FC2F02CEE}"/>
    <hyperlink ref="N6" r:id="rId3" display="https://zi-hi.com/sp/uni/0302" xr:uid="{1FAAC11D-0453-47CE-80B4-CC8B31B5FD55}"/>
    <hyperlink ref="N7" r:id="rId4" display="https://zi-hi.com/sp/uni/030C" xr:uid="{6AFE2CB8-2C9D-44DF-8BC8-63ABD97F88D6}"/>
    <hyperlink ref="N8" r:id="rId5" display="https://zi-hi.com/sp/uni/0304" xr:uid="{65EAC2D0-F4FC-426B-B86A-777DA20CFD70}"/>
    <hyperlink ref="N9" r:id="rId6" display="https://zi-hi.com/sp/uni/030D" xr:uid="{390B647D-29B8-49F1-8F25-9860E0CA47F9}"/>
    <hyperlink ref="N10" r:id="rId7" display="https://zi-hi.com/sp/uni/030B" xr:uid="{B8093843-7A9F-42E9-B983-E082C50B2D1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C4FC-9A57-4FFC-AD4B-7C470E5E34C6}">
  <dimension ref="B2:S31"/>
  <sheetViews>
    <sheetView showOutlineSymbols="0" workbookViewId="0"/>
  </sheetViews>
  <sheetFormatPr defaultRowHeight="16.5" outlineLevelRow="1"/>
  <cols>
    <col min="1" max="1" width="4.125" customWidth="1"/>
    <col min="2" max="2" width="14" customWidth="1"/>
    <col min="3" max="4" width="15.375" customWidth="1"/>
    <col min="5" max="5" width="10.5" bestFit="1" customWidth="1"/>
    <col min="6" max="6" width="15" customWidth="1"/>
    <col min="7" max="7" width="14.75" customWidth="1"/>
    <col min="8" max="10" width="15.25" customWidth="1"/>
    <col min="12" max="12" width="13.75" bestFit="1" customWidth="1"/>
    <col min="13" max="14" width="10.5" customWidth="1"/>
    <col min="15" max="16" width="10.5" style="74" customWidth="1"/>
    <col min="17" max="19" width="12.125" style="74" customWidth="1"/>
  </cols>
  <sheetData>
    <row r="2" spans="2:19" ht="34.5" customHeight="1">
      <c r="B2" s="13" t="s">
        <v>199</v>
      </c>
      <c r="C2" s="14" t="s">
        <v>32</v>
      </c>
      <c r="D2" s="14" t="s">
        <v>31</v>
      </c>
      <c r="E2" s="13" t="s">
        <v>30</v>
      </c>
      <c r="F2" s="13" t="s">
        <v>201</v>
      </c>
      <c r="G2" s="13" t="s">
        <v>202</v>
      </c>
      <c r="H2" s="145" t="s">
        <v>203</v>
      </c>
      <c r="I2" s="146"/>
      <c r="J2" s="14" t="s">
        <v>204</v>
      </c>
      <c r="O2" s="75"/>
      <c r="P2" s="75"/>
    </row>
    <row r="3" spans="2:19" ht="54" customHeight="1">
      <c r="B3" s="42">
        <v>1</v>
      </c>
      <c r="C3" s="39" t="s">
        <v>25</v>
      </c>
      <c r="D3" s="39" t="s">
        <v>24</v>
      </c>
      <c r="E3" s="40">
        <v>44</v>
      </c>
      <c r="F3" s="45" t="s">
        <v>38</v>
      </c>
      <c r="G3" s="38" t="s">
        <v>301</v>
      </c>
      <c r="H3" s="72" t="str">
        <f xml:space="preserve"> _xlfn.CONCAT("gun", B3)</f>
        <v>gun1</v>
      </c>
      <c r="I3" s="44" t="str">
        <f xml:space="preserve"> IFERROR( _xlfn.CONCAT("g", "u", _xlfn.UNICHAR(HEX2DEC(RIGHT("U+0304",4))), "n"), "")</f>
        <v>gūn</v>
      </c>
      <c r="J3" s="72" t="str">
        <f xml:space="preserve"> _xlfn.CONCAT("gun", F3)</f>
        <v>gun;</v>
      </c>
      <c r="O3" s="35" t="str">
        <f xml:space="preserve"> IFERROR( _xlfn.CONCAT("o", _xlfn.UNICHAR(HEX2DEC(RIGHT(#REF!,4)))), "")</f>
        <v/>
      </c>
      <c r="P3" s="35" t="str">
        <f xml:space="preserve"> IFERROR( _xlfn.CONCAT("t", "o", _xlfn.UNICHAR(HEX2DEC(RIGHT(#REF!,4))), "ng"), "")</f>
        <v/>
      </c>
      <c r="Q3"/>
      <c r="R3"/>
      <c r="S3"/>
    </row>
    <row r="4" spans="2:19" ht="54" customHeight="1">
      <c r="B4" s="46">
        <v>2</v>
      </c>
      <c r="C4" s="48" t="s">
        <v>14</v>
      </c>
      <c r="D4" s="48" t="s">
        <v>13</v>
      </c>
      <c r="E4" s="47">
        <v>24</v>
      </c>
      <c r="F4" s="49" t="s">
        <v>42</v>
      </c>
      <c r="G4" s="50" t="s">
        <v>302</v>
      </c>
      <c r="H4" s="73" t="str">
        <f t="shared" ref="H4:H8" si="0" xml:space="preserve"> _xlfn.CONCAT("gun", B4)</f>
        <v>gun2</v>
      </c>
      <c r="I4" s="51" t="str">
        <f xml:space="preserve"> IFERROR( _xlfn.CONCAT("g", "u", _xlfn.UNICHAR(HEX2DEC(RIGHT("U+0301",4))), "n"), "")</f>
        <v>gún</v>
      </c>
      <c r="J4" s="73" t="str">
        <f t="shared" ref="J4:J8" si="1" xml:space="preserve"> _xlfn.CONCAT("gun", F4)</f>
        <v>gun/</v>
      </c>
      <c r="O4" s="35" t="str">
        <f xml:space="preserve"> IFERROR( _xlfn.CONCAT("o", _xlfn.UNICHAR(HEX2DEC(RIGHT(#REF!,4)))), "")</f>
        <v/>
      </c>
      <c r="P4" s="35" t="str">
        <f xml:space="preserve"> IFERROR( _xlfn.CONCAT("t", "o", _xlfn.UNICHAR(HEX2DEC(RIGHT(#REF!,4))), "ng"), "")</f>
        <v/>
      </c>
      <c r="Q4"/>
      <c r="R4"/>
      <c r="S4"/>
    </row>
    <row r="5" spans="2:19" ht="54" customHeight="1">
      <c r="B5" s="42">
        <v>3</v>
      </c>
      <c r="C5" s="39" t="s">
        <v>36</v>
      </c>
      <c r="D5" s="39" t="s">
        <v>11</v>
      </c>
      <c r="E5" s="40">
        <v>53</v>
      </c>
      <c r="F5" s="45" t="s">
        <v>41</v>
      </c>
      <c r="G5" s="38" t="s">
        <v>303</v>
      </c>
      <c r="H5" s="72" t="str">
        <f t="shared" si="0"/>
        <v>gun3</v>
      </c>
      <c r="I5" s="44" t="str">
        <f xml:space="preserve"> IFERROR( _xlfn.CONCAT("g", "u", _xlfn.UNICHAR(HEX2DEC(RIGHT("U+030C",4))), "n"), "")</f>
        <v>gǔn</v>
      </c>
      <c r="J5" s="72" t="str">
        <f t="shared" si="1"/>
        <v>gun\</v>
      </c>
      <c r="O5"/>
      <c r="P5"/>
      <c r="Q5"/>
      <c r="R5"/>
      <c r="S5"/>
    </row>
    <row r="6" spans="2:19" ht="54" customHeight="1">
      <c r="B6" s="46">
        <v>4</v>
      </c>
      <c r="C6" s="48" t="s">
        <v>295</v>
      </c>
      <c r="D6" s="76"/>
      <c r="E6" s="77"/>
      <c r="F6" s="78"/>
      <c r="G6" s="79"/>
      <c r="H6" s="80" t="str">
        <f t="shared" si="0"/>
        <v>gun4</v>
      </c>
      <c r="I6" s="81"/>
      <c r="J6" s="80" t="str">
        <f t="shared" si="1"/>
        <v>gun</v>
      </c>
      <c r="O6" s="35" t="str">
        <f xml:space="preserve"> IFERROR( _xlfn.CONCAT("o", _xlfn.UNICHAR(HEX2DEC(RIGHT(#REF!,4)))), "")</f>
        <v/>
      </c>
      <c r="P6" s="35" t="str">
        <f xml:space="preserve"> IFERROR( _xlfn.CONCAT("t", "o", _xlfn.UNICHAR(HEX2DEC(RIGHT(#REF!,4))), "ng"), "")</f>
        <v/>
      </c>
      <c r="Q6"/>
      <c r="R6"/>
      <c r="S6"/>
    </row>
    <row r="7" spans="2:19" ht="54" customHeight="1">
      <c r="B7" s="42">
        <v>5</v>
      </c>
      <c r="C7" s="39" t="s">
        <v>18</v>
      </c>
      <c r="D7" s="39" t="s">
        <v>17</v>
      </c>
      <c r="E7" s="40">
        <v>21</v>
      </c>
      <c r="F7" s="45" t="s">
        <v>40</v>
      </c>
      <c r="G7" s="38" t="s">
        <v>305</v>
      </c>
      <c r="H7" s="72" t="str">
        <f t="shared" si="0"/>
        <v>gun5</v>
      </c>
      <c r="I7" s="44" t="str">
        <f xml:space="preserve"> IFERROR( _xlfn.CONCAT("g", "u", _xlfn.UNICHAR(HEX2DEC(RIGHT("U+0300",4))), "n"), "")</f>
        <v>gùn</v>
      </c>
      <c r="J7" s="72" t="str">
        <f t="shared" si="1"/>
        <v>gun_</v>
      </c>
      <c r="O7" s="35" t="str">
        <f xml:space="preserve"> IFERROR( _xlfn.CONCAT("o", _xlfn.UNICHAR(HEX2DEC(RIGHT(#REF!,4)))), "")</f>
        <v/>
      </c>
      <c r="P7" s="35" t="str">
        <f xml:space="preserve"> IFERROR( _xlfn.CONCAT("t", "o", _xlfn.UNICHAR(HEX2DEC(RIGHT(#REF!,4))), "ng"), "")</f>
        <v/>
      </c>
      <c r="Q7"/>
      <c r="R7"/>
      <c r="S7"/>
    </row>
    <row r="8" spans="2:19" ht="54" customHeight="1">
      <c r="B8" s="46">
        <v>6</v>
      </c>
      <c r="C8" s="48" t="s">
        <v>22</v>
      </c>
      <c r="D8" s="48" t="s">
        <v>21</v>
      </c>
      <c r="E8" s="47">
        <v>22</v>
      </c>
      <c r="F8" s="49" t="s">
        <v>39</v>
      </c>
      <c r="G8" s="50" t="s">
        <v>302</v>
      </c>
      <c r="H8" s="73" t="str">
        <f t="shared" si="0"/>
        <v>gun6</v>
      </c>
      <c r="I8" s="51" t="str">
        <f xml:space="preserve"> IFERROR( _xlfn.CONCAT("g", "u", _xlfn.UNICHAR(HEX2DEC(RIGHT("U+0302",4))), "n"), "")</f>
        <v>gûn</v>
      </c>
      <c r="J8" s="73" t="str">
        <f t="shared" si="1"/>
        <v>gun-</v>
      </c>
      <c r="O8" s="35" t="str">
        <f xml:space="preserve"> IFERROR( _xlfn.CONCAT("o", _xlfn.UNICHAR(HEX2DEC(RIGHT(#REF!,4)))), "")</f>
        <v/>
      </c>
      <c r="P8" s="35"/>
      <c r="Q8"/>
      <c r="R8"/>
      <c r="S8"/>
    </row>
    <row r="9" spans="2:19" ht="54" customHeight="1">
      <c r="B9" s="42">
        <v>7</v>
      </c>
      <c r="C9" s="39" t="s">
        <v>6</v>
      </c>
      <c r="D9" s="39" t="s">
        <v>5</v>
      </c>
      <c r="E9" s="40">
        <v>30</v>
      </c>
      <c r="F9" s="45" t="s">
        <v>43</v>
      </c>
      <c r="G9" s="38" t="s">
        <v>306</v>
      </c>
      <c r="H9" s="72" t="str">
        <f xml:space="preserve"> _xlfn.CONCAT("gut", B9)</f>
        <v>gut7</v>
      </c>
      <c r="I9" s="44" t="str">
        <f xml:space="preserve"> IFERROR( _xlfn.CONCAT("g", "u", _xlfn.UNICHAR(HEX2DEC(RIGHT("U+0304",4))), "t"), "")</f>
        <v>gūt</v>
      </c>
      <c r="J9" s="72" t="str">
        <f xml:space="preserve"> _xlfn.CONCAT("gut", F9)</f>
        <v>gut[</v>
      </c>
      <c r="O9" s="35" t="str">
        <f xml:space="preserve"> IFERROR( _xlfn.CONCAT("o", _xlfn.UNICHAR(HEX2DEC(RIGHT(#REF!,4)))), "")</f>
        <v/>
      </c>
      <c r="P9" s="35" t="str">
        <f xml:space="preserve"> IFERROR( _xlfn.CONCAT("t", "o", _xlfn.UNICHAR(HEX2DEC(RIGHT(#REF!,4))), "ng"), "")</f>
        <v/>
      </c>
      <c r="Q9"/>
      <c r="R9"/>
      <c r="S9"/>
    </row>
    <row r="10" spans="2:19" ht="54" customHeight="1">
      <c r="B10" s="46">
        <v>8</v>
      </c>
      <c r="C10" s="48" t="s">
        <v>2</v>
      </c>
      <c r="D10" s="48" t="s">
        <v>1</v>
      </c>
      <c r="E10" s="47">
        <v>121</v>
      </c>
      <c r="F10" s="49" t="s">
        <v>44</v>
      </c>
      <c r="G10" s="50" t="s">
        <v>307</v>
      </c>
      <c r="H10" s="73" t="str">
        <f xml:space="preserve"> _xlfn.CONCAT("gut", B10)</f>
        <v>gut8</v>
      </c>
      <c r="I10" s="51" t="str">
        <f xml:space="preserve"> IFERROR( _xlfn.CONCAT("g", "u", _xlfn.UNICHAR(HEX2DEC(RIGHT("U+0301",4))), "t"), "")</f>
        <v>gút</v>
      </c>
      <c r="J10" s="73" t="str">
        <f xml:space="preserve"> _xlfn.CONCAT("gut", F10)</f>
        <v>gut]</v>
      </c>
      <c r="O10" s="35" t="str">
        <f xml:space="preserve"> IFERROR( _xlfn.CONCAT("o", _xlfn.UNICHAR(HEX2DEC(RIGHT(#REF!,4)))), "")</f>
        <v/>
      </c>
      <c r="P10" s="35" t="str">
        <f xml:space="preserve"> IFERROR( _xlfn.CONCAT("t", "o", _xlfn.UNICHAR(HEX2DEC(RIGHT(#REF!,4))), "ng"), "")</f>
        <v/>
      </c>
      <c r="Q10"/>
      <c r="R10"/>
      <c r="S10"/>
    </row>
    <row r="11" spans="2:19" ht="54" customHeight="1">
      <c r="B11" s="42">
        <v>0</v>
      </c>
      <c r="C11" s="39" t="s">
        <v>207</v>
      </c>
      <c r="D11" s="39" t="s">
        <v>208</v>
      </c>
      <c r="E11" s="40">
        <v>20</v>
      </c>
      <c r="F11" s="45">
        <v>7</v>
      </c>
      <c r="G11" s="38" t="s">
        <v>294</v>
      </c>
      <c r="H11" s="72" t="s">
        <v>211</v>
      </c>
      <c r="I11" s="44" t="str">
        <f xml:space="preserve"> IFERROR( _xlfn.CONCAT("ah", "⁰"), "")</f>
        <v>ah⁰</v>
      </c>
      <c r="J11" s="72" t="str">
        <f xml:space="preserve"> _xlfn.CONCAT("ah", F11)</f>
        <v>ah7</v>
      </c>
      <c r="Q11"/>
      <c r="R11"/>
      <c r="S11"/>
    </row>
    <row r="12" spans="2:19">
      <c r="Q12"/>
      <c r="R12"/>
      <c r="S12"/>
    </row>
    <row r="13" spans="2:19">
      <c r="Q13"/>
      <c r="R13"/>
      <c r="S13"/>
    </row>
    <row r="14" spans="2:19" ht="34.5" customHeight="1">
      <c r="B14" s="13" t="s">
        <v>199</v>
      </c>
      <c r="C14" s="14" t="s">
        <v>32</v>
      </c>
      <c r="D14" s="14" t="s">
        <v>31</v>
      </c>
      <c r="E14" s="13" t="s">
        <v>30</v>
      </c>
      <c r="F14" s="13" t="s">
        <v>201</v>
      </c>
      <c r="G14" s="13" t="s">
        <v>202</v>
      </c>
      <c r="H14" s="145" t="s">
        <v>203</v>
      </c>
      <c r="I14" s="146"/>
      <c r="J14" s="14" t="s">
        <v>204</v>
      </c>
      <c r="Q14"/>
      <c r="R14"/>
      <c r="S14"/>
    </row>
    <row r="15" spans="2:19" ht="54" customHeight="1">
      <c r="B15" s="42">
        <v>1</v>
      </c>
      <c r="C15" s="39" t="s">
        <v>25</v>
      </c>
      <c r="D15" s="39" t="s">
        <v>24</v>
      </c>
      <c r="E15" s="40">
        <v>44</v>
      </c>
      <c r="F15" s="45" t="s">
        <v>38</v>
      </c>
      <c r="G15" s="38" t="s">
        <v>301</v>
      </c>
      <c r="H15" s="72" t="s">
        <v>45</v>
      </c>
      <c r="I15" s="44" t="str">
        <f xml:space="preserve"> IFERROR( _xlfn.CONCAT("t", "o", _xlfn.UNICHAR(HEX2DEC(RIGHT("U+0304",4))), "ng"), "")</f>
        <v>tōng</v>
      </c>
      <c r="J15" s="72" t="str">
        <f xml:space="preserve"> _xlfn.CONCAT("tong", F15)</f>
        <v>tong;</v>
      </c>
      <c r="L15" s="88" t="s">
        <v>309</v>
      </c>
      <c r="M15" s="89" t="str">
        <f xml:space="preserve"> _xlfn.CONCAT("◌", _xlfn.UNICHAR(HEX2DEC(RIGHT($L15,4))))</f>
        <v>◌̄</v>
      </c>
      <c r="N15" s="89" t="str">
        <f xml:space="preserve"> _xlfn.CONCAT(" ", _xlfn.UNICHAR(HEX2DEC(RIGHT($L15,4))))</f>
        <v xml:space="preserve"> ̄</v>
      </c>
      <c r="O15" s="35" t="str">
        <f xml:space="preserve"> IFERROR( _xlfn.CONCAT("o", _xlfn.UNICHAR(HEX2DEC(RIGHT(L15,4)))), "")</f>
        <v>ō</v>
      </c>
      <c r="P15" s="35" t="str">
        <f xml:space="preserve"> IFERROR( _xlfn.CONCAT("t", "o", _xlfn.UNICHAR(HEX2DEC(RIGHT(L15,4))), "ng"), "")</f>
        <v>tōng</v>
      </c>
      <c r="Q15"/>
      <c r="R15"/>
      <c r="S15"/>
    </row>
    <row r="16" spans="2:19" ht="54" customHeight="1">
      <c r="B16" s="46">
        <v>6</v>
      </c>
      <c r="C16" s="48" t="s">
        <v>22</v>
      </c>
      <c r="D16" s="48" t="s">
        <v>21</v>
      </c>
      <c r="E16" s="47">
        <v>22</v>
      </c>
      <c r="F16" s="49" t="s">
        <v>39</v>
      </c>
      <c r="G16" s="50" t="s">
        <v>302</v>
      </c>
      <c r="H16" s="73" t="s">
        <v>205</v>
      </c>
      <c r="I16" s="51" t="str">
        <f xml:space="preserve"> IFERROR( _xlfn.CONCAT("t", "o", _xlfn.UNICHAR(HEX2DEC(RIGHT("U+0302",4))), "ng"), "")</f>
        <v>tông</v>
      </c>
      <c r="J16" s="73" t="str">
        <f xml:space="preserve"> _xlfn.CONCAT("tong", F16)</f>
        <v>tong-</v>
      </c>
      <c r="L16" s="88" t="s">
        <v>314</v>
      </c>
      <c r="M16" s="89" t="str">
        <f t="shared" ref="M16:M22" si="2" xml:space="preserve"> _xlfn.CONCAT("◌", _xlfn.UNICHAR(HEX2DEC(RIGHT($L16,4))))</f>
        <v>◌̂</v>
      </c>
      <c r="N16" s="89" t="str">
        <f t="shared" ref="N16:N22" si="3" xml:space="preserve"> _xlfn.CONCAT(" ", _xlfn.UNICHAR(HEX2DEC(RIGHT($L16,4))))</f>
        <v xml:space="preserve"> ̂</v>
      </c>
      <c r="O16" s="35" t="str">
        <f xml:space="preserve"> IFERROR( _xlfn.CONCAT("o", _xlfn.UNICHAR(HEX2DEC(RIGHT(L16,4)))), "")</f>
        <v>ô</v>
      </c>
      <c r="P16" s="35" t="str">
        <f xml:space="preserve"> IFERROR( _xlfn.CONCAT("t", "o", _xlfn.UNICHAR(HEX2DEC(RIGHT(L16,4))), "ng"), "")</f>
        <v>tông</v>
      </c>
      <c r="Q16"/>
      <c r="R16"/>
      <c r="S16"/>
    </row>
    <row r="17" spans="2:19" ht="54" customHeight="1">
      <c r="B17" s="42">
        <v>5</v>
      </c>
      <c r="C17" s="39" t="s">
        <v>18</v>
      </c>
      <c r="D17" s="39" t="s">
        <v>17</v>
      </c>
      <c r="E17" s="40">
        <v>21</v>
      </c>
      <c r="F17" s="45" t="s">
        <v>40</v>
      </c>
      <c r="G17" s="38" t="s">
        <v>305</v>
      </c>
      <c r="H17" s="72" t="s">
        <v>50</v>
      </c>
      <c r="I17" s="44" t="str">
        <f xml:space="preserve"> IFERROR( _xlfn.CONCAT("t", "o", _xlfn.UNICHAR(HEX2DEC(RIGHT("U+0300",4))), "ng"), "")</f>
        <v>tòng</v>
      </c>
      <c r="J17" s="72" t="str">
        <f t="shared" ref="J17" si="4" xml:space="preserve"> _xlfn.CONCAT("tong", F17)</f>
        <v>tong_</v>
      </c>
      <c r="L17" s="88" t="s">
        <v>311</v>
      </c>
      <c r="M17" s="89" t="str">
        <f t="shared" si="2"/>
        <v>◌̀</v>
      </c>
      <c r="N17" s="89" t="str">
        <f t="shared" si="3"/>
        <v xml:space="preserve"> ̀</v>
      </c>
      <c r="O17" s="35" t="str">
        <f xml:space="preserve"> IFERROR( _xlfn.CONCAT("o", _xlfn.UNICHAR(HEX2DEC(RIGHT(L17,4)))), "")</f>
        <v>ò</v>
      </c>
      <c r="P17" s="35" t="str">
        <f xml:space="preserve"> IFERROR( _xlfn.CONCAT("t", "o", _xlfn.UNICHAR(HEX2DEC(RIGHT(L17,4))), "ng"), "")</f>
        <v>tòng</v>
      </c>
      <c r="Q17"/>
      <c r="R17"/>
      <c r="S17"/>
    </row>
    <row r="18" spans="2:19" ht="54" customHeight="1">
      <c r="B18" s="46">
        <v>3</v>
      </c>
      <c r="C18" s="48" t="s">
        <v>36</v>
      </c>
      <c r="D18" s="48" t="s">
        <v>11</v>
      </c>
      <c r="E18" s="47">
        <v>53</v>
      </c>
      <c r="F18" s="49" t="s">
        <v>41</v>
      </c>
      <c r="G18" s="50" t="s">
        <v>303</v>
      </c>
      <c r="H18" s="73" t="s">
        <v>48</v>
      </c>
      <c r="I18" s="51" t="str">
        <f xml:space="preserve"> IFERROR( _xlfn.CONCAT("t", "o", _xlfn.UNICHAR(HEX2DEC(RIGHT("U+030C",4))), "ng"), "")</f>
        <v>tǒng</v>
      </c>
      <c r="J18" s="73" t="str">
        <f xml:space="preserve"> _xlfn.CONCAT("tong", F18)</f>
        <v>tong\</v>
      </c>
      <c r="L18" s="88" t="s">
        <v>310</v>
      </c>
      <c r="M18" s="89" t="str">
        <f t="shared" si="2"/>
        <v>◌̌</v>
      </c>
      <c r="N18" s="89" t="str">
        <f t="shared" si="3"/>
        <v xml:space="preserve"> ̌</v>
      </c>
      <c r="O18" s="35" t="str">
        <f xml:space="preserve"> IFERROR( _xlfn.CONCAT("o", _xlfn.UNICHAR(HEX2DEC(RIGHT(L18,4)))), "")</f>
        <v>ǒ</v>
      </c>
      <c r="P18" s="35" t="str">
        <f xml:space="preserve"> IFERROR( _xlfn.CONCAT("t", "o", _xlfn.UNICHAR(HEX2DEC(RIGHT(L18,4))), "ng"), "")</f>
        <v>tǒng</v>
      </c>
      <c r="Q18"/>
      <c r="R18"/>
      <c r="S18"/>
    </row>
    <row r="19" spans="2:19" ht="54" customHeight="1">
      <c r="B19" s="42">
        <v>2</v>
      </c>
      <c r="C19" s="39" t="s">
        <v>14</v>
      </c>
      <c r="D19" s="39" t="s">
        <v>13</v>
      </c>
      <c r="E19" s="40">
        <v>24</v>
      </c>
      <c r="F19" s="45" t="s">
        <v>42</v>
      </c>
      <c r="G19" s="38" t="s">
        <v>302</v>
      </c>
      <c r="H19" s="72" t="s">
        <v>49</v>
      </c>
      <c r="I19" s="44" t="str">
        <f xml:space="preserve"> IFERROR( _xlfn.CONCAT("t", "o", _xlfn.UNICHAR(HEX2DEC(RIGHT("U+0301",4))), "ng"), "")</f>
        <v>tóng</v>
      </c>
      <c r="J19" s="72" t="str">
        <f t="shared" ref="J19" si="5" xml:space="preserve"> _xlfn.CONCAT("tong", F19)</f>
        <v>tong/</v>
      </c>
      <c r="L19" s="88" t="s">
        <v>308</v>
      </c>
      <c r="M19" s="89" t="str">
        <f t="shared" si="2"/>
        <v>◌́</v>
      </c>
      <c r="N19" s="89" t="str">
        <f t="shared" si="3"/>
        <v xml:space="preserve"> ́</v>
      </c>
      <c r="O19" s="35" t="str">
        <f xml:space="preserve"> IFERROR( _xlfn.CONCAT("o", _xlfn.UNICHAR(HEX2DEC(RIGHT(L19,4)))), "")</f>
        <v>ó</v>
      </c>
      <c r="P19" s="35" t="str">
        <f xml:space="preserve"> IFERROR( _xlfn.CONCAT("t", "o", _xlfn.UNICHAR(HEX2DEC(RIGHT(L19,4))), "ng"), "")</f>
        <v>tóng</v>
      </c>
      <c r="Q19"/>
      <c r="R19"/>
      <c r="S19"/>
    </row>
    <row r="20" spans="2:19" ht="54" customHeight="1">
      <c r="B20" s="46">
        <v>7</v>
      </c>
      <c r="C20" s="48" t="s">
        <v>6</v>
      </c>
      <c r="D20" s="48" t="s">
        <v>5</v>
      </c>
      <c r="E20" s="47">
        <v>30</v>
      </c>
      <c r="F20" s="49" t="s">
        <v>43</v>
      </c>
      <c r="G20" s="50" t="s">
        <v>306</v>
      </c>
      <c r="H20" s="73" t="s">
        <v>300</v>
      </c>
      <c r="I20" s="51" t="str">
        <f xml:space="preserve"> IFERROR( _xlfn.CONCAT("t", "o", _xlfn.UNICHAR(HEX2DEC(RIGHT("U+0304",4))), "k"), "")</f>
        <v>tōk</v>
      </c>
      <c r="J20" s="73" t="str">
        <f xml:space="preserve"> _xlfn.CONCAT("tok", F20)</f>
        <v>tok[</v>
      </c>
      <c r="L20" s="88" t="s">
        <v>309</v>
      </c>
      <c r="M20" s="89" t="str">
        <f t="shared" si="2"/>
        <v>◌̄</v>
      </c>
      <c r="N20" s="89" t="str">
        <f t="shared" si="3"/>
        <v xml:space="preserve"> ̄</v>
      </c>
      <c r="O20" s="35" t="str">
        <f t="shared" ref="O20" si="6" xml:space="preserve"> IFERROR( _xlfn.CONCAT("o", _xlfn.UNICHAR(HEX2DEC(RIGHT(L20,4)))), "")</f>
        <v>ō</v>
      </c>
      <c r="P20" s="35" t="str">
        <f xml:space="preserve"> IFERROR( _xlfn.CONCAT("t", "o", _xlfn.UNICHAR(HEX2DEC(RIGHT(L20,4))), "k"), "")</f>
        <v>tōk</v>
      </c>
      <c r="Q20"/>
      <c r="R20"/>
      <c r="S20"/>
    </row>
    <row r="21" spans="2:19" ht="54" customHeight="1">
      <c r="B21" s="42">
        <v>8</v>
      </c>
      <c r="C21" s="39" t="s">
        <v>2</v>
      </c>
      <c r="D21" s="39" t="s">
        <v>1</v>
      </c>
      <c r="E21" s="40">
        <v>121</v>
      </c>
      <c r="F21" s="45" t="s">
        <v>44</v>
      </c>
      <c r="G21" s="38" t="s">
        <v>307</v>
      </c>
      <c r="H21" s="72" t="s">
        <v>35</v>
      </c>
      <c r="I21" s="44" t="str">
        <f xml:space="preserve"> IFERROR( _xlfn.CONCAT("t", "o", _xlfn.UNICHAR(HEX2DEC(RIGHT("U+0301",4))), "k"), "")</f>
        <v>tók</v>
      </c>
      <c r="J21" s="72" t="str">
        <f xml:space="preserve"> _xlfn.CONCAT("tok", F21)</f>
        <v>tok]</v>
      </c>
      <c r="L21" s="88" t="s">
        <v>308</v>
      </c>
      <c r="M21" s="89" t="str">
        <f t="shared" si="2"/>
        <v>◌́</v>
      </c>
      <c r="N21" s="89" t="str">
        <f t="shared" si="3"/>
        <v xml:space="preserve"> ́</v>
      </c>
      <c r="O21" s="35" t="str">
        <f xml:space="preserve"> IFERROR( _xlfn.CONCAT("o", _xlfn.UNICHAR(HEX2DEC(RIGHT(L21,4)))), "")</f>
        <v>ó</v>
      </c>
      <c r="P21" s="35" t="str">
        <f xml:space="preserve"> IFERROR( _xlfn.CONCAT("t", "o", _xlfn.UNICHAR(HEX2DEC(RIGHT(L21,4))), "k"), "")</f>
        <v>tók</v>
      </c>
      <c r="Q21"/>
      <c r="R21"/>
      <c r="S21"/>
    </row>
    <row r="22" spans="2:19" ht="54" customHeight="1">
      <c r="B22" s="46">
        <v>0</v>
      </c>
      <c r="C22" s="48" t="s">
        <v>207</v>
      </c>
      <c r="D22" s="48" t="s">
        <v>208</v>
      </c>
      <c r="E22" s="47">
        <v>20</v>
      </c>
      <c r="F22" s="49">
        <v>7</v>
      </c>
      <c r="G22" s="50" t="s">
        <v>294</v>
      </c>
      <c r="H22" s="73" t="s">
        <v>211</v>
      </c>
      <c r="I22" s="51" t="str">
        <f xml:space="preserve"> IFERROR( _xlfn.CONCAT("ah", "⁰"), "")</f>
        <v>ah⁰</v>
      </c>
      <c r="J22" s="73" t="str">
        <f xml:space="preserve"> _xlfn.CONCAT("ah", F22)</f>
        <v>ah7</v>
      </c>
      <c r="L22" s="88" t="s">
        <v>316</v>
      </c>
      <c r="M22" s="89" t="str">
        <f t="shared" si="2"/>
        <v>◌̊</v>
      </c>
      <c r="N22" s="89" t="str">
        <f t="shared" si="3"/>
        <v xml:space="preserve"> ̊</v>
      </c>
      <c r="O22" s="35" t="str">
        <f xml:space="preserve"> IFERROR( _xlfn.CONCAT("o", _xlfn.UNICHAR(HEX2DEC(RIGHT(L22,4)))), "")</f>
        <v>o̊</v>
      </c>
      <c r="P22" s="35" t="str">
        <f xml:space="preserve"> IFERROR( _xlfn.CONCAT("a", _xlfn.UNICHAR(HEX2DEC(RIGHT(L22,4))), "h"), "")</f>
        <v>åh</v>
      </c>
    </row>
    <row r="25" spans="2:19" ht="57.75">
      <c r="B25" s="9">
        <v>4</v>
      </c>
      <c r="C25" s="11" t="s">
        <v>8</v>
      </c>
      <c r="D25" s="11"/>
      <c r="E25" s="10">
        <v>53</v>
      </c>
      <c r="F25" s="10"/>
      <c r="G25" s="15" t="s">
        <v>9</v>
      </c>
      <c r="H25" s="15"/>
      <c r="I25" s="11" t="str">
        <f xml:space="preserve"> "dong" &amp; J25</f>
        <v>dong6</v>
      </c>
      <c r="J25" s="10">
        <v>6</v>
      </c>
    </row>
    <row r="27" spans="2:19" ht="30">
      <c r="L27" s="88" t="s">
        <v>315</v>
      </c>
      <c r="M27" s="89" t="str">
        <f t="shared" ref="M27:M31" si="7" xml:space="preserve"> _xlfn.CONCAT("◌", _xlfn.UNICHAR(HEX2DEC(RIGHT($L27,4))))</f>
        <v>◌̇</v>
      </c>
      <c r="N27" s="89"/>
      <c r="O27" s="35" t="str">
        <f xml:space="preserve"> IFERROR( _xlfn.CONCAT("o", _xlfn.UNICHAR(HEX2DEC(RIGHT(L27,4)))), "")</f>
        <v>ȯ</v>
      </c>
      <c r="P27" s="35" t="str">
        <f xml:space="preserve"> IFERROR( _xlfn.CONCAT("t", "o", _xlfn.UNICHAR(HEX2DEC(RIGHT(L27,4))), "ng"), "")</f>
        <v>tȯng</v>
      </c>
    </row>
    <row r="28" spans="2:19" ht="30" outlineLevel="1">
      <c r="L28" s="88" t="s">
        <v>312</v>
      </c>
      <c r="M28" s="89" t="str">
        <f t="shared" si="7"/>
        <v>◌̍</v>
      </c>
      <c r="N28" s="89"/>
      <c r="O28" s="35" t="str">
        <f xml:space="preserve"> IFERROR( _xlfn.CONCAT("o", _xlfn.UNICHAR(HEX2DEC(RIGHT(L28,4)))), "")</f>
        <v>o̍</v>
      </c>
      <c r="P28" s="35" t="str">
        <f xml:space="preserve"> IFERROR( _xlfn.CONCAT("t", "o", _xlfn.UNICHAR(HEX2DEC(RIGHT(L28,4))), "ng"), "")</f>
        <v>to̍ng</v>
      </c>
    </row>
    <row r="29" spans="2:19" ht="30">
      <c r="L29" s="88" t="s">
        <v>313</v>
      </c>
      <c r="M29" s="89" t="str">
        <f t="shared" si="7"/>
        <v>◌̋</v>
      </c>
      <c r="N29" s="89"/>
      <c r="O29" s="35" t="str">
        <f xml:space="preserve"> IFERROR( _xlfn.CONCAT("o", _xlfn.UNICHAR(HEX2DEC(RIGHT(L29,4)))), "")</f>
        <v>ő</v>
      </c>
      <c r="P29" s="35" t="str">
        <f xml:space="preserve"> IFERROR( _xlfn.CONCAT("t", "o", _xlfn.UNICHAR(HEX2DEC(RIGHT(L29,4))), "ng"), "")</f>
        <v>tőng</v>
      </c>
    </row>
    <row r="30" spans="2:19" ht="30">
      <c r="L30" s="88" t="s">
        <v>317</v>
      </c>
      <c r="M30" s="89" t="str">
        <f t="shared" si="7"/>
        <v>◌̥</v>
      </c>
      <c r="N30" s="89"/>
      <c r="O30" s="35" t="str">
        <f t="shared" ref="O30:O31" si="8" xml:space="preserve"> IFERROR( _xlfn.CONCAT("o", _xlfn.UNICHAR(HEX2DEC(RIGHT(L30,4)))), "")</f>
        <v>o̥</v>
      </c>
      <c r="P30" s="35" t="str">
        <f t="shared" ref="P30:P31" si="9" xml:space="preserve"> IFERROR( _xlfn.CONCAT("t", "o", _xlfn.UNICHAR(HEX2DEC(RIGHT(L30,4))), "ng"), "")</f>
        <v>to̥ng</v>
      </c>
    </row>
    <row r="31" spans="2:19" ht="30">
      <c r="L31" s="88" t="s">
        <v>318</v>
      </c>
      <c r="M31" s="89" t="str">
        <f t="shared" si="7"/>
        <v>◌̰</v>
      </c>
      <c r="N31" s="89"/>
      <c r="O31" s="35" t="str">
        <f t="shared" si="8"/>
        <v>o̰</v>
      </c>
      <c r="P31" s="35" t="str">
        <f t="shared" si="9"/>
        <v>to̰ng</v>
      </c>
    </row>
  </sheetData>
  <mergeCells count="2">
    <mergeCell ref="H2:I2"/>
    <mergeCell ref="H14:I1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A212-BC76-4FB3-9AC0-2C14DAF4E84E}">
  <dimension ref="B2:U11"/>
  <sheetViews>
    <sheetView showOutlineSymbols="0" workbookViewId="0"/>
  </sheetViews>
  <sheetFormatPr defaultRowHeight="16.5"/>
  <cols>
    <col min="1" max="1" width="5.5" customWidth="1"/>
    <col min="2" max="2" width="13.5" customWidth="1"/>
    <col min="3" max="4" width="16.25" customWidth="1"/>
    <col min="5" max="5" width="11.5" customWidth="1"/>
    <col min="6" max="6" width="12.5" bestFit="1" customWidth="1"/>
    <col min="7" max="10" width="18" customWidth="1"/>
    <col min="19" max="19" width="27" customWidth="1"/>
  </cols>
  <sheetData>
    <row r="2" spans="2:21" ht="25.5">
      <c r="B2" s="14" t="s">
        <v>285</v>
      </c>
      <c r="C2" s="14" t="s">
        <v>222</v>
      </c>
      <c r="D2" s="14" t="s">
        <v>286</v>
      </c>
      <c r="E2" s="14" t="s">
        <v>30</v>
      </c>
      <c r="F2" s="13" t="s">
        <v>201</v>
      </c>
      <c r="G2" s="13" t="s">
        <v>202</v>
      </c>
      <c r="H2" s="13" t="s">
        <v>282</v>
      </c>
      <c r="I2" s="14" t="s">
        <v>259</v>
      </c>
      <c r="J2" s="14" t="s">
        <v>204</v>
      </c>
    </row>
    <row r="3" spans="2:21" ht="57.75">
      <c r="B3" s="12">
        <v>1</v>
      </c>
      <c r="C3" s="62" t="s">
        <v>273</v>
      </c>
      <c r="D3" s="62" t="s">
        <v>287</v>
      </c>
      <c r="E3" s="63">
        <v>44</v>
      </c>
      <c r="F3" s="63" t="s">
        <v>283</v>
      </c>
      <c r="G3" s="82" t="s">
        <v>338</v>
      </c>
      <c r="H3" s="57" t="s">
        <v>45</v>
      </c>
      <c r="I3" s="58" t="s">
        <v>214</v>
      </c>
      <c r="J3" s="58" t="str">
        <f xml:space="preserve"> _xlfn.CONCAT(I3, F3)</f>
        <v>ㄊㆲ:</v>
      </c>
      <c r="L3" s="62" t="str">
        <f xml:space="preserve"> _xlfn.CONCAT("ㄚ",_xlfn.UNICHAR(HEX2DEC(RIGHT("U+0304",4))))</f>
        <v>ㄚ̄</v>
      </c>
      <c r="N3" s="33" t="s">
        <v>185</v>
      </c>
      <c r="O3" s="35">
        <f xml:space="preserve"> IFERROR( HEX2DEC(RIGHT(N3,4)), "")</f>
        <v>769</v>
      </c>
      <c r="P3" s="35" t="str">
        <f xml:space="preserve"> IFERROR( _xlfn.CONCAT("o", _xlfn.UNICHAR(HEX2DEC(RIGHT(N3,4)))), "")</f>
        <v>ó</v>
      </c>
      <c r="Q3" s="35" t="str">
        <f xml:space="preserve"> IFERROR( _xlfn.CONCAT("t", "o", _xlfn.UNICHAR(HEX2DEC(RIGHT(N3,4))), "ng"), "")</f>
        <v>tóng</v>
      </c>
      <c r="S3" s="62" t="str">
        <f xml:space="preserve"> _xlfn.CONCAT( LEFT(C3,2), " ", L3,)</f>
        <v>陰平 ㄚ̄</v>
      </c>
      <c r="U3" t="s">
        <v>264</v>
      </c>
    </row>
    <row r="4" spans="2:21" ht="57.75">
      <c r="B4" s="4">
        <v>2</v>
      </c>
      <c r="C4" s="65" t="s">
        <v>274</v>
      </c>
      <c r="D4" s="65" t="s">
        <v>288</v>
      </c>
      <c r="E4" s="66">
        <v>24</v>
      </c>
      <c r="F4" s="66">
        <v>6</v>
      </c>
      <c r="G4" s="83" t="s">
        <v>339</v>
      </c>
      <c r="H4" s="59" t="s">
        <v>296</v>
      </c>
      <c r="I4" s="60" t="s">
        <v>218</v>
      </c>
      <c r="J4" s="60" t="str">
        <f xml:space="preserve"> _xlfn.CONCAT( LEFT( I4, LEN(I4)-1), F4)</f>
        <v>ㄊㆲ6</v>
      </c>
      <c r="L4" s="62" t="str">
        <f xml:space="preserve"> _xlfn.CONCAT("ㄚ",_xlfn.UNICHAR(HEX2DEC(RIGHT("U+0301",4))))</f>
        <v>ㄚ́</v>
      </c>
      <c r="N4" s="33" t="s">
        <v>186</v>
      </c>
      <c r="O4" s="35">
        <f t="shared" ref="O4:O10" si="0" xml:space="preserve"> IFERROR( HEX2DEC(RIGHT(N4,4)), "")</f>
        <v>768</v>
      </c>
      <c r="P4" s="35" t="str">
        <f t="shared" ref="P4:P10" si="1" xml:space="preserve"> IFERROR( _xlfn.CONCAT("o", _xlfn.UNICHAR(HEX2DEC(RIGHT(N4,4)))), "")</f>
        <v>ò</v>
      </c>
      <c r="Q4" s="35" t="str">
        <f t="shared" ref="Q4:Q10" si="2" xml:space="preserve"> IFERROR( _xlfn.CONCAT("t", "o", _xlfn.UNICHAR(HEX2DEC(RIGHT(N4,4))), "ng"), "")</f>
        <v>tòng</v>
      </c>
      <c r="S4" s="62" t="str">
        <f t="shared" ref="S4:S11" si="3" xml:space="preserve"> _xlfn.CONCAT( LEFT(C4,2), " ", L4,)</f>
        <v>陽平 ㄚ́</v>
      </c>
      <c r="U4" t="s">
        <v>265</v>
      </c>
    </row>
    <row r="5" spans="2:21" ht="57.75">
      <c r="B5" s="12">
        <v>3</v>
      </c>
      <c r="C5" s="62" t="s">
        <v>275</v>
      </c>
      <c r="D5" s="62" t="s">
        <v>289</v>
      </c>
      <c r="E5" s="63">
        <v>53</v>
      </c>
      <c r="F5" s="63">
        <v>4</v>
      </c>
      <c r="G5" s="82" t="s">
        <v>340</v>
      </c>
      <c r="H5" s="57" t="s">
        <v>297</v>
      </c>
      <c r="I5" s="61" t="s">
        <v>215</v>
      </c>
      <c r="J5" s="61" t="str">
        <f xml:space="preserve"> _xlfn.CONCAT( LEFT( I5, LEN(I5)-1), F5)</f>
        <v>ㄊㆲ4</v>
      </c>
      <c r="L5" s="62" t="str">
        <f xml:space="preserve"> _xlfn.CONCAT("ㄚ",_xlfn.UNICHAR(HEX2DEC(RIGHT("U+030C",4))))</f>
        <v>ㄚ̌</v>
      </c>
      <c r="N5" s="34" t="s">
        <v>121</v>
      </c>
      <c r="O5" s="35">
        <f t="shared" si="0"/>
        <v>781</v>
      </c>
      <c r="P5" s="35" t="str">
        <f t="shared" si="1"/>
        <v>o̍</v>
      </c>
      <c r="Q5" s="35" t="str">
        <f t="shared" si="2"/>
        <v>to̍ng</v>
      </c>
      <c r="S5" s="62" t="str">
        <f t="shared" si="3"/>
        <v>陰上 ㄚ̌</v>
      </c>
      <c r="U5" t="s">
        <v>266</v>
      </c>
    </row>
    <row r="6" spans="2:21" ht="57.75">
      <c r="B6" s="4">
        <v>4</v>
      </c>
      <c r="C6" s="65" t="s">
        <v>276</v>
      </c>
      <c r="D6" s="70"/>
      <c r="E6" s="70"/>
      <c r="F6" s="70"/>
      <c r="G6" s="116" t="s">
        <v>341</v>
      </c>
      <c r="H6" s="70"/>
      <c r="I6" s="70"/>
      <c r="J6" s="70"/>
      <c r="L6" s="62" t="str">
        <f t="shared" ref="L6" si="4" xml:space="preserve"> _xlfn.CONCAT("ㄚ",_xlfn.UNICHAR(HEX2DEC(RIGHT("U+0304",4))))</f>
        <v>ㄚ̄</v>
      </c>
      <c r="N6" s="33" t="s">
        <v>120</v>
      </c>
      <c r="O6" s="35">
        <f t="shared" si="0"/>
        <v>770</v>
      </c>
      <c r="P6" s="35" t="str">
        <f t="shared" si="1"/>
        <v>ô</v>
      </c>
      <c r="Q6" s="35" t="str">
        <f t="shared" si="2"/>
        <v>tông</v>
      </c>
      <c r="S6" s="62" t="str">
        <f t="shared" si="3"/>
        <v>陽上 ㄚ̄</v>
      </c>
      <c r="U6" t="s">
        <v>267</v>
      </c>
    </row>
    <row r="7" spans="2:21" ht="57.75">
      <c r="B7" s="12">
        <v>5</v>
      </c>
      <c r="C7" s="62" t="s">
        <v>277</v>
      </c>
      <c r="D7" s="62" t="s">
        <v>290</v>
      </c>
      <c r="E7" s="63">
        <v>21</v>
      </c>
      <c r="F7" s="63">
        <v>3</v>
      </c>
      <c r="G7" s="84" t="s">
        <v>342</v>
      </c>
      <c r="H7" s="57" t="s">
        <v>298</v>
      </c>
      <c r="I7" s="61" t="s">
        <v>366</v>
      </c>
      <c r="J7" s="61" t="str">
        <f t="shared" ref="J7:J11" si="5" xml:space="preserve"> _xlfn.CONCAT( LEFT( I7, LEN(I7)-1), F7)</f>
        <v>ㄊㆲ3</v>
      </c>
      <c r="L7" s="62" t="str">
        <f xml:space="preserve"> _xlfn.CONCAT("ㄚ",_xlfn.UNICHAR(HEX2DEC(RIGHT("U+0300",4))))</f>
        <v>ㄚ̀</v>
      </c>
      <c r="N7" s="33" t="s">
        <v>177</v>
      </c>
      <c r="O7" s="35">
        <f t="shared" si="0"/>
        <v>780</v>
      </c>
      <c r="P7" s="35" t="str">
        <f t="shared" si="1"/>
        <v>ǒ</v>
      </c>
      <c r="Q7" s="35" t="str">
        <f t="shared" si="2"/>
        <v>tǒng</v>
      </c>
      <c r="S7" s="62" t="str">
        <f t="shared" si="3"/>
        <v>陰去 ㄚ̀</v>
      </c>
      <c r="U7" t="s">
        <v>268</v>
      </c>
    </row>
    <row r="8" spans="2:21" ht="57.75">
      <c r="B8" s="4">
        <v>6</v>
      </c>
      <c r="C8" s="65" t="s">
        <v>278</v>
      </c>
      <c r="D8" s="65" t="s">
        <v>291</v>
      </c>
      <c r="E8" s="66">
        <v>22</v>
      </c>
      <c r="F8" s="66">
        <v>5</v>
      </c>
      <c r="G8" s="85" t="s">
        <v>343</v>
      </c>
      <c r="H8" s="59" t="s">
        <v>299</v>
      </c>
      <c r="I8" s="60" t="s">
        <v>367</v>
      </c>
      <c r="J8" s="60" t="str">
        <f t="shared" si="5"/>
        <v>ㄊㆲ5</v>
      </c>
      <c r="L8" s="62" t="str">
        <f xml:space="preserve"> _xlfn.CONCAT("ㄚ",_xlfn.UNICHAR(HEX2DEC(RIGHT("U+0302",4))))</f>
        <v>ㄚ̂</v>
      </c>
      <c r="N8" s="33" t="s">
        <v>178</v>
      </c>
      <c r="O8" s="35">
        <f t="shared" si="0"/>
        <v>772</v>
      </c>
      <c r="P8" s="35" t="str">
        <f t="shared" si="1"/>
        <v>ō</v>
      </c>
      <c r="Q8" s="35" t="str">
        <f xml:space="preserve"> IFERROR( _xlfn.CONCAT("t", "o", _xlfn.UNICHAR(HEX2DEC(RIGHT("U+0304",4))), "ng"), "")</f>
        <v>tōng</v>
      </c>
      <c r="S8" s="62" t="str">
        <f t="shared" si="3"/>
        <v>陽去 ㄚ̂</v>
      </c>
      <c r="U8" t="s">
        <v>269</v>
      </c>
    </row>
    <row r="9" spans="2:21" ht="57.75">
      <c r="B9" s="12">
        <v>7</v>
      </c>
      <c r="C9" s="62" t="s">
        <v>279</v>
      </c>
      <c r="D9" s="62" t="s">
        <v>292</v>
      </c>
      <c r="E9" s="63">
        <v>30</v>
      </c>
      <c r="F9" s="63" t="s">
        <v>43</v>
      </c>
      <c r="G9" s="84" t="s">
        <v>344</v>
      </c>
      <c r="H9" s="57" t="s">
        <v>300</v>
      </c>
      <c r="I9" s="61" t="s">
        <v>261</v>
      </c>
      <c r="J9" s="61" t="str">
        <f xml:space="preserve"> _xlfn.CONCAT( LEFT( I9, LEN(I9)), F9)</f>
        <v>ㄊㆦㆻ[</v>
      </c>
      <c r="L9" s="62" t="str">
        <f xml:space="preserve"> _xlfn.CONCAT("ㄚ", "ㆷ", _xlfn.UNICHAR(HEX2DEC(RIGHT("U+0304",4))))</f>
        <v>ㄚㆷ̄</v>
      </c>
      <c r="N9" s="33" t="s">
        <v>210</v>
      </c>
      <c r="O9" s="35">
        <f t="shared" si="0"/>
        <v>781</v>
      </c>
      <c r="P9" s="35" t="str">
        <f t="shared" si="1"/>
        <v>o̍</v>
      </c>
      <c r="Q9" s="35" t="str">
        <f t="shared" si="2"/>
        <v>to̍ng</v>
      </c>
      <c r="S9" s="62" t="str">
        <f t="shared" si="3"/>
        <v>陰入 ㄚㆷ̄</v>
      </c>
      <c r="U9" t="s">
        <v>270</v>
      </c>
    </row>
    <row r="10" spans="2:21" ht="57.75">
      <c r="B10" s="4">
        <v>8</v>
      </c>
      <c r="C10" s="65" t="s">
        <v>280</v>
      </c>
      <c r="D10" s="65" t="s">
        <v>293</v>
      </c>
      <c r="E10" s="66">
        <v>121</v>
      </c>
      <c r="F10" s="66" t="s">
        <v>44</v>
      </c>
      <c r="G10" s="85" t="s">
        <v>345</v>
      </c>
      <c r="H10" s="59" t="s">
        <v>220</v>
      </c>
      <c r="I10" s="60" t="s">
        <v>262</v>
      </c>
      <c r="J10" s="60" t="str">
        <f t="shared" si="5"/>
        <v>ㄊㆦㆻ]</v>
      </c>
      <c r="L10" s="62" t="str">
        <f xml:space="preserve"> _xlfn.CONCAT("ㄚ", "ㆷ", _xlfn.UNICHAR(HEX2DEC(RIGHT("U+0301",4))))</f>
        <v>ㄚㆷ́</v>
      </c>
      <c r="N10" s="33" t="s">
        <v>122</v>
      </c>
      <c r="O10" s="35">
        <f t="shared" si="0"/>
        <v>779</v>
      </c>
      <c r="P10" s="35" t="str">
        <f t="shared" si="1"/>
        <v>ő</v>
      </c>
      <c r="Q10" s="35" t="str">
        <f t="shared" si="2"/>
        <v>tőng</v>
      </c>
      <c r="S10" s="62" t="str">
        <f t="shared" si="3"/>
        <v>陽入 ㄚㆷ́</v>
      </c>
      <c r="U10" t="s">
        <v>271</v>
      </c>
    </row>
    <row r="11" spans="2:21" ht="57.75">
      <c r="B11" s="12">
        <v>0</v>
      </c>
      <c r="C11" s="62" t="s">
        <v>281</v>
      </c>
      <c r="D11" s="62" t="s">
        <v>284</v>
      </c>
      <c r="E11" s="63">
        <v>20</v>
      </c>
      <c r="F11" s="63">
        <v>7</v>
      </c>
      <c r="G11" s="82" t="s">
        <v>294</v>
      </c>
      <c r="H11" s="57" t="s">
        <v>211</v>
      </c>
      <c r="I11" s="61" t="s">
        <v>260</v>
      </c>
      <c r="J11" s="61" t="str">
        <f t="shared" si="5"/>
        <v>ㄚㆷ7</v>
      </c>
      <c r="L11" s="62" t="str">
        <f xml:space="preserve"> _xlfn.CONCAT("ㄚ", "ㆷ", _xlfn.UNICHAR(HEX2DEC(RIGHT("U+02D9",4))))</f>
        <v>ㄚㆷ˙</v>
      </c>
      <c r="S11" s="62" t="str">
        <f t="shared" si="3"/>
        <v>輕聲 ㄚㆷ˙</v>
      </c>
      <c r="U11" t="s">
        <v>272</v>
      </c>
    </row>
  </sheetData>
  <phoneticPr fontId="1" type="noConversion"/>
  <hyperlinks>
    <hyperlink ref="N3" r:id="rId1" display="https://zi-hi.com/sp/uni/0301" xr:uid="{29557F67-C9E1-4207-ADB3-05F135001A7D}"/>
    <hyperlink ref="N4" r:id="rId2" display="https://zi-hi.com/sp/uni/0300" xr:uid="{584FA487-D384-410F-94AE-997BFBD2F0D8}"/>
    <hyperlink ref="N6" r:id="rId3" display="https://zi-hi.com/sp/uni/0302" xr:uid="{062EA93B-82EA-4958-9DC7-1DBEF3133A6B}"/>
    <hyperlink ref="N7" r:id="rId4" display="https://zi-hi.com/sp/uni/030C" xr:uid="{9A22CE96-0A67-43FA-AD4B-031FFDA6176F}"/>
    <hyperlink ref="N8" r:id="rId5" display="https://zi-hi.com/sp/uni/0304" xr:uid="{70982C0D-2852-40A7-83D2-6FBB84065F85}"/>
    <hyperlink ref="N9" r:id="rId6" display="https://zi-hi.com/sp/uni/030D" xr:uid="{8DB31655-ECC1-4C79-8EDE-6EB6127CF1FA}"/>
    <hyperlink ref="N10" r:id="rId7" display="https://zi-hi.com/sp/uni/030B" xr:uid="{13744238-B778-4891-82A3-79717A6C608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7A80-03F8-423A-8766-B16781C638F3}">
  <dimension ref="B2:V11"/>
  <sheetViews>
    <sheetView showOutlineSymbols="0" workbookViewId="0"/>
  </sheetViews>
  <sheetFormatPr defaultRowHeight="16.5"/>
  <cols>
    <col min="1" max="1" width="5.5" customWidth="1"/>
    <col min="2" max="2" width="7.5" bestFit="1" customWidth="1"/>
    <col min="3" max="3" width="19.625" bestFit="1" customWidth="1"/>
    <col min="4" max="4" width="11.5" customWidth="1"/>
    <col min="5" max="5" width="12.5" bestFit="1" customWidth="1"/>
    <col min="6" max="6" width="18" customWidth="1"/>
    <col min="7" max="7" width="20.375" bestFit="1" customWidth="1"/>
    <col min="8" max="9" width="19.5" customWidth="1"/>
    <col min="19" max="19" width="22.25" customWidth="1"/>
  </cols>
  <sheetData>
    <row r="2" spans="2:22" ht="25.5">
      <c r="B2" s="14" t="s">
        <v>221</v>
      </c>
      <c r="C2" s="14" t="s">
        <v>222</v>
      </c>
      <c r="D2" s="14" t="s">
        <v>30</v>
      </c>
      <c r="E2" s="13" t="s">
        <v>201</v>
      </c>
      <c r="F2" s="13" t="s">
        <v>202</v>
      </c>
      <c r="G2" s="13" t="s">
        <v>223</v>
      </c>
      <c r="H2" s="14" t="s">
        <v>259</v>
      </c>
      <c r="I2" s="14" t="s">
        <v>204</v>
      </c>
    </row>
    <row r="3" spans="2:22" ht="45">
      <c r="B3" s="12">
        <v>1</v>
      </c>
      <c r="C3" s="62" t="s">
        <v>224</v>
      </c>
      <c r="D3" s="63">
        <v>44</v>
      </c>
      <c r="E3" s="69" t="s">
        <v>263</v>
      </c>
      <c r="F3" s="53" t="s">
        <v>26</v>
      </c>
      <c r="G3" s="57" t="s">
        <v>45</v>
      </c>
      <c r="H3" s="58" t="s">
        <v>214</v>
      </c>
      <c r="I3" s="58" t="str">
        <f xml:space="preserve"> _xlfn.CONCAT(H3, E3)</f>
        <v>ㄊㆲ'</v>
      </c>
      <c r="K3" s="62" t="str">
        <f xml:space="preserve"> _xlfn.CONCAT("ㄚ",_xlfn.UNICHAR(HEX2DEC(RIGHT("U+0304",4))))</f>
        <v>ㄚ̄</v>
      </c>
      <c r="M3" s="33" t="s">
        <v>185</v>
      </c>
      <c r="N3" s="35">
        <f xml:space="preserve"> IFERROR( HEX2DEC(RIGHT(M3,4)), "")</f>
        <v>769</v>
      </c>
      <c r="O3" s="35" t="str">
        <f xml:space="preserve"> IFERROR( _xlfn.CONCAT("o", _xlfn.UNICHAR(HEX2DEC(RIGHT(M3,4)))), "")</f>
        <v>ó</v>
      </c>
      <c r="P3" s="35" t="str">
        <f xml:space="preserve"> IFERROR( _xlfn.CONCAT("t", "o", _xlfn.UNICHAR(HEX2DEC(RIGHT(M3,4))), "ng"), "")</f>
        <v>tóng</v>
      </c>
      <c r="S3" s="68" t="s">
        <v>249</v>
      </c>
      <c r="T3" s="68"/>
      <c r="U3" s="62" t="str">
        <f xml:space="preserve"> IFERROR( _xlfn.CONCAT("ㄚ", "ㆷ", _xlfn.UNICHAR(HEX2DEC(RIGHT("U+02D9",4)))), "")</f>
        <v>ㄚㆷ˙</v>
      </c>
      <c r="V3" s="68"/>
    </row>
    <row r="4" spans="2:22" ht="45">
      <c r="B4" s="4">
        <v>2</v>
      </c>
      <c r="C4" s="65" t="s">
        <v>225</v>
      </c>
      <c r="D4" s="66">
        <v>24</v>
      </c>
      <c r="E4" s="67">
        <v>4</v>
      </c>
      <c r="F4" s="54" t="s">
        <v>226</v>
      </c>
      <c r="G4" s="59" t="s">
        <v>49</v>
      </c>
      <c r="H4" s="60" t="s">
        <v>215</v>
      </c>
      <c r="I4" s="60" t="str">
        <f xml:space="preserve"> _xlfn.CONCAT( LEFT( H4, LEN(H4)-1), E4)</f>
        <v>ㄊㆲ4</v>
      </c>
      <c r="M4" s="33" t="s">
        <v>186</v>
      </c>
      <c r="N4" s="35">
        <f t="shared" ref="N4:N10" si="0" xml:space="preserve"> IFERROR( HEX2DEC(RIGHT(M4,4)), "")</f>
        <v>768</v>
      </c>
      <c r="O4" s="35" t="str">
        <f t="shared" ref="O4:O10" si="1" xml:space="preserve"> IFERROR( _xlfn.CONCAT("o", _xlfn.UNICHAR(HEX2DEC(RIGHT(M4,4)))), "")</f>
        <v>ò</v>
      </c>
      <c r="P4" s="35" t="str">
        <f t="shared" ref="P4:P10" si="2" xml:space="preserve"> IFERROR( _xlfn.CONCAT("t", "o", _xlfn.UNICHAR(HEX2DEC(RIGHT(M4,4))), "ng"), "")</f>
        <v>tòng</v>
      </c>
      <c r="S4" s="68" t="s">
        <v>235</v>
      </c>
      <c r="T4" s="68" t="s">
        <v>250</v>
      </c>
      <c r="U4" s="68" t="s">
        <v>236</v>
      </c>
      <c r="V4" s="68" t="s">
        <v>237</v>
      </c>
    </row>
    <row r="5" spans="2:22" ht="45">
      <c r="B5" s="12">
        <v>3</v>
      </c>
      <c r="C5" s="62" t="s">
        <v>227</v>
      </c>
      <c r="D5" s="63">
        <v>53</v>
      </c>
      <c r="E5" s="64">
        <v>3</v>
      </c>
      <c r="F5" s="53" t="s">
        <v>19</v>
      </c>
      <c r="G5" s="57" t="s">
        <v>48</v>
      </c>
      <c r="H5" s="61" t="s">
        <v>216</v>
      </c>
      <c r="I5" s="61" t="str">
        <f xml:space="preserve"> _xlfn.CONCAT( LEFT( H5, LEN(H5)-1), E5)</f>
        <v>ㄊㆲ3</v>
      </c>
      <c r="M5" s="34" t="s">
        <v>121</v>
      </c>
      <c r="N5" s="35">
        <f t="shared" si="0"/>
        <v>781</v>
      </c>
      <c r="O5" s="35" t="str">
        <f t="shared" si="1"/>
        <v>o̍</v>
      </c>
      <c r="P5" s="35" t="str">
        <f t="shared" si="2"/>
        <v>to̍ng</v>
      </c>
      <c r="S5" s="68" t="s">
        <v>238</v>
      </c>
      <c r="T5" s="68" t="s">
        <v>251</v>
      </c>
      <c r="U5" s="68" t="s">
        <v>239</v>
      </c>
      <c r="V5" s="68" t="s">
        <v>252</v>
      </c>
    </row>
    <row r="6" spans="2:22" ht="45">
      <c r="B6" s="4">
        <v>4</v>
      </c>
      <c r="C6" s="65" t="s">
        <v>233</v>
      </c>
      <c r="D6" s="66"/>
      <c r="E6" s="67" t="s">
        <v>43</v>
      </c>
      <c r="F6" s="55" t="s">
        <v>7</v>
      </c>
      <c r="G6" s="59" t="s">
        <v>217</v>
      </c>
      <c r="H6" s="60" t="s">
        <v>261</v>
      </c>
      <c r="I6" s="60" t="str">
        <f xml:space="preserve"> _xlfn.CONCAT(H6, E6)</f>
        <v>ㄊㆦㆻ[</v>
      </c>
      <c r="M6" s="33" t="s">
        <v>120</v>
      </c>
      <c r="N6" s="35">
        <f t="shared" si="0"/>
        <v>770</v>
      </c>
      <c r="O6" s="35" t="str">
        <f t="shared" si="1"/>
        <v>ô</v>
      </c>
      <c r="P6" s="35" t="str">
        <f t="shared" si="2"/>
        <v>tông</v>
      </c>
      <c r="S6" s="68" t="s">
        <v>240</v>
      </c>
      <c r="T6" s="68" t="s">
        <v>253</v>
      </c>
      <c r="U6" s="68" t="s">
        <v>241</v>
      </c>
      <c r="V6" s="68" t="s">
        <v>242</v>
      </c>
    </row>
    <row r="7" spans="2:22" ht="45">
      <c r="B7" s="12">
        <v>5</v>
      </c>
      <c r="C7" s="62" t="s">
        <v>228</v>
      </c>
      <c r="D7" s="63">
        <v>21</v>
      </c>
      <c r="E7" s="64">
        <v>6</v>
      </c>
      <c r="F7" s="56" t="s">
        <v>15</v>
      </c>
      <c r="G7" s="57" t="s">
        <v>50</v>
      </c>
      <c r="H7" s="61" t="s">
        <v>218</v>
      </c>
      <c r="I7" s="61" t="str">
        <f t="shared" ref="I7:I11" si="3" xml:space="preserve"> _xlfn.CONCAT( LEFT( H7, LEN(H7)-1), E7)</f>
        <v>ㄊㆲ6</v>
      </c>
      <c r="M7" s="33" t="s">
        <v>177</v>
      </c>
      <c r="N7" s="35">
        <f t="shared" si="0"/>
        <v>780</v>
      </c>
      <c r="O7" s="35" t="str">
        <f t="shared" si="1"/>
        <v>ǒ</v>
      </c>
      <c r="P7" s="35" t="str">
        <f t="shared" si="2"/>
        <v>tǒng</v>
      </c>
      <c r="S7" s="68" t="s">
        <v>10</v>
      </c>
      <c r="T7" s="68" t="s">
        <v>254</v>
      </c>
      <c r="U7" s="68" t="s">
        <v>243</v>
      </c>
      <c r="V7" s="68"/>
    </row>
    <row r="8" spans="2:22" ht="45">
      <c r="B8" s="4">
        <v>6</v>
      </c>
      <c r="C8" s="65" t="s">
        <v>229</v>
      </c>
      <c r="D8" s="70">
        <v>22</v>
      </c>
      <c r="E8" s="71"/>
      <c r="F8" s="55" t="s">
        <v>23</v>
      </c>
      <c r="G8" s="59" t="s">
        <v>205</v>
      </c>
      <c r="H8" s="60" t="s">
        <v>215</v>
      </c>
      <c r="I8" s="60" t="str">
        <f t="shared" si="3"/>
        <v>ㄊㆲ</v>
      </c>
      <c r="M8" s="33" t="s">
        <v>178</v>
      </c>
      <c r="N8" s="35">
        <f t="shared" si="0"/>
        <v>772</v>
      </c>
      <c r="O8" s="35" t="str">
        <f t="shared" si="1"/>
        <v>ō</v>
      </c>
      <c r="P8" s="35" t="str">
        <f xml:space="preserve"> IFERROR( _xlfn.CONCAT("t", "o", _xlfn.UNICHAR(HEX2DEC(RIGHT("U+0304",4))), "ng"), "")</f>
        <v>tōng</v>
      </c>
      <c r="S8" s="68" t="s">
        <v>16</v>
      </c>
      <c r="T8" s="68" t="s">
        <v>255</v>
      </c>
      <c r="U8" s="68" t="s">
        <v>244</v>
      </c>
      <c r="V8" s="68"/>
    </row>
    <row r="9" spans="2:22" ht="45">
      <c r="B9" s="12">
        <v>7</v>
      </c>
      <c r="C9" s="62" t="s">
        <v>230</v>
      </c>
      <c r="D9" s="63">
        <v>30</v>
      </c>
      <c r="E9" s="64">
        <v>5</v>
      </c>
      <c r="F9" s="53" t="s">
        <v>231</v>
      </c>
      <c r="G9" s="57" t="s">
        <v>47</v>
      </c>
      <c r="H9" s="61" t="s">
        <v>219</v>
      </c>
      <c r="I9" s="61" t="str">
        <f t="shared" si="3"/>
        <v>ㄊㆲ5</v>
      </c>
      <c r="M9" s="33" t="s">
        <v>210</v>
      </c>
      <c r="N9" s="35">
        <f t="shared" si="0"/>
        <v>781</v>
      </c>
      <c r="O9" s="35" t="str">
        <f t="shared" si="1"/>
        <v>o̍</v>
      </c>
      <c r="P9" s="35" t="str">
        <f t="shared" si="2"/>
        <v>to̍ng</v>
      </c>
      <c r="S9" s="68" t="s">
        <v>12</v>
      </c>
      <c r="T9" s="68" t="s">
        <v>256</v>
      </c>
      <c r="U9" s="68" t="s">
        <v>245</v>
      </c>
      <c r="V9" s="68"/>
    </row>
    <row r="10" spans="2:22" ht="45">
      <c r="B10" s="4">
        <v>8</v>
      </c>
      <c r="C10" s="65" t="s">
        <v>234</v>
      </c>
      <c r="D10" s="66">
        <v>121</v>
      </c>
      <c r="E10" s="67" t="s">
        <v>44</v>
      </c>
      <c r="F10" s="55" t="s">
        <v>232</v>
      </c>
      <c r="G10" s="59" t="s">
        <v>220</v>
      </c>
      <c r="H10" s="60" t="s">
        <v>262</v>
      </c>
      <c r="I10" s="60" t="str">
        <f t="shared" si="3"/>
        <v>ㄊㆦㆻ]</v>
      </c>
      <c r="M10" s="33" t="s">
        <v>122</v>
      </c>
      <c r="N10" s="35">
        <f t="shared" si="0"/>
        <v>779</v>
      </c>
      <c r="O10" s="35" t="str">
        <f t="shared" si="1"/>
        <v>ő</v>
      </c>
      <c r="P10" s="35" t="str">
        <f t="shared" si="2"/>
        <v>tőng</v>
      </c>
      <c r="S10" s="68" t="s">
        <v>20</v>
      </c>
      <c r="T10" s="68" t="s">
        <v>257</v>
      </c>
      <c r="U10" s="68" t="s">
        <v>246</v>
      </c>
      <c r="V10" s="68"/>
    </row>
    <row r="11" spans="2:22" ht="45">
      <c r="B11" s="12">
        <v>0</v>
      </c>
      <c r="C11" s="62" t="s">
        <v>258</v>
      </c>
      <c r="D11" s="63">
        <v>20</v>
      </c>
      <c r="E11" s="64">
        <v>7</v>
      </c>
      <c r="F11" s="53" t="s">
        <v>209</v>
      </c>
      <c r="G11" s="57" t="s">
        <v>211</v>
      </c>
      <c r="H11" s="61" t="s">
        <v>260</v>
      </c>
      <c r="I11" s="61" t="str">
        <f t="shared" si="3"/>
        <v>ㄚㆷ7</v>
      </c>
      <c r="K11" s="62" t="str">
        <f xml:space="preserve"> _xlfn.CONCAT("ㄚ", "ㆷ", _xlfn.UNICHAR(HEX2DEC(RIGHT("U+02D9",4))))</f>
        <v>ㄚㆷ˙</v>
      </c>
      <c r="S11" s="68" t="s">
        <v>0</v>
      </c>
      <c r="T11" s="68" t="s">
        <v>253</v>
      </c>
      <c r="U11" s="68" t="s">
        <v>247</v>
      </c>
      <c r="V11" s="68" t="s">
        <v>248</v>
      </c>
    </row>
  </sheetData>
  <phoneticPr fontId="1" type="noConversion"/>
  <hyperlinks>
    <hyperlink ref="M3" r:id="rId1" display="https://zi-hi.com/sp/uni/0301" xr:uid="{E53FE4A9-8C98-4EB7-BECA-CF85F7E6DF6C}"/>
    <hyperlink ref="M4" r:id="rId2" display="https://zi-hi.com/sp/uni/0300" xr:uid="{58B59806-333F-404D-A1FE-98BF5ABD1B1E}"/>
    <hyperlink ref="M6" r:id="rId3" display="https://zi-hi.com/sp/uni/0302" xr:uid="{DA11F8A5-DB21-4F7F-9B9F-8F27CFD4CE3D}"/>
    <hyperlink ref="M7" r:id="rId4" display="https://zi-hi.com/sp/uni/030C" xr:uid="{01C08107-E3D2-4641-82A0-A309B28467F5}"/>
    <hyperlink ref="M8" r:id="rId5" display="https://zi-hi.com/sp/uni/0304" xr:uid="{A30785C5-610F-4AA6-9A6B-A9A8D94B1583}"/>
    <hyperlink ref="M9" r:id="rId6" display="https://zi-hi.com/sp/uni/030D" xr:uid="{02DFC5FA-25F8-44B6-8ED6-11E3747FE64A}"/>
    <hyperlink ref="M10" r:id="rId7" display="https://zi-hi.com/sp/uni/030B" xr:uid="{D016CECA-BC79-4266-BA30-B2C800ABD3F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180E-22C7-41E3-9B1C-02C96E708532}">
  <dimension ref="B2:P18"/>
  <sheetViews>
    <sheetView tabSelected="1" showOutlineSymbols="0" workbookViewId="0">
      <selection activeCell="H5" sqref="H5"/>
    </sheetView>
  </sheetViews>
  <sheetFormatPr defaultRowHeight="16.5" outlineLevelRow="1"/>
  <cols>
    <col min="1" max="1" width="4.125" customWidth="1"/>
    <col min="2" max="2" width="14" customWidth="1"/>
    <col min="3" max="3" width="10.5" bestFit="1" customWidth="1"/>
    <col min="4" max="5" width="15.375" customWidth="1"/>
    <col min="6" max="6" width="15" customWidth="1"/>
    <col min="7" max="8" width="14.75" customWidth="1"/>
    <col min="9" max="9" width="15.375" customWidth="1"/>
    <col min="10" max="10" width="15" customWidth="1"/>
    <col min="12" max="12" width="13.625" bestFit="1" customWidth="1"/>
  </cols>
  <sheetData>
    <row r="2" spans="2:16" ht="25.5">
      <c r="B2" s="13" t="s">
        <v>199</v>
      </c>
      <c r="C2" s="13" t="s">
        <v>30</v>
      </c>
      <c r="D2" s="14" t="s">
        <v>32</v>
      </c>
      <c r="E2" s="14" t="s">
        <v>31</v>
      </c>
      <c r="F2" s="13" t="s">
        <v>201</v>
      </c>
      <c r="G2" s="13" t="s">
        <v>202</v>
      </c>
      <c r="H2" s="145" t="s">
        <v>203</v>
      </c>
      <c r="I2" s="146"/>
      <c r="J2" s="14" t="s">
        <v>204</v>
      </c>
    </row>
    <row r="3" spans="2:16" ht="57.75">
      <c r="B3" s="42">
        <v>0</v>
      </c>
      <c r="C3" s="40">
        <v>2</v>
      </c>
      <c r="D3" s="39" t="s">
        <v>207</v>
      </c>
      <c r="E3" s="39" t="s">
        <v>208</v>
      </c>
      <c r="F3" s="45">
        <v>7</v>
      </c>
      <c r="G3" s="38" t="s">
        <v>209</v>
      </c>
      <c r="H3" s="44" t="s">
        <v>211</v>
      </c>
      <c r="I3" s="44" t="str">
        <f xml:space="preserve"> IFERROR( _xlfn.CONCAT("a", _xlfn.UNICHAR(HEX2DEC(RIGHT("U+030A",4))), "h"), "")</f>
        <v>åh</v>
      </c>
      <c r="J3" s="44" t="str">
        <f xml:space="preserve"> _xlfn.CONCAT("a", F3)</f>
        <v>a7</v>
      </c>
      <c r="L3" s="99" t="str">
        <f xml:space="preserve"> RIGHT(M3,6)</f>
        <v>U+0301</v>
      </c>
      <c r="M3" s="150" t="s">
        <v>185</v>
      </c>
      <c r="N3" s="99">
        <f xml:space="preserve"> IFERROR( HEX2DEC(RIGHT(M3,4)), "")</f>
        <v>769</v>
      </c>
      <c r="O3" s="99" t="str">
        <f xml:space="preserve"> IFERROR( _xlfn.CONCAT("o", _xlfn.UNICHAR(HEX2DEC(RIGHT(M3,4)))), "")</f>
        <v>ó</v>
      </c>
      <c r="P3" s="99" t="str">
        <f xml:space="preserve"> IFERROR( _xlfn.CONCAT("t", "o", _xlfn.UNICHAR(HEX2DEC(RIGHT(M3,4))), "ng"), "")</f>
        <v>tóng</v>
      </c>
    </row>
    <row r="4" spans="2:16" ht="57.75">
      <c r="B4" s="42">
        <v>1</v>
      </c>
      <c r="C4" s="40">
        <v>44</v>
      </c>
      <c r="D4" s="39" t="s">
        <v>25</v>
      </c>
      <c r="E4" s="39" t="s">
        <v>24</v>
      </c>
      <c r="F4" s="45" t="s">
        <v>38</v>
      </c>
      <c r="G4" s="38" t="s">
        <v>26</v>
      </c>
      <c r="H4" s="44" t="s">
        <v>45</v>
      </c>
      <c r="I4" s="44" t="str">
        <f xml:space="preserve"> IFERROR( _xlfn.CONCAT("t", "o", "ng"), "")</f>
        <v>tong</v>
      </c>
      <c r="J4" s="44" t="str">
        <f xml:space="preserve"> _xlfn.CONCAT("tong", F4)</f>
        <v>tong;</v>
      </c>
      <c r="L4" s="99" t="str">
        <f t="shared" ref="L4:L10" si="0" xml:space="preserve"> RIGHT(M4,6)</f>
        <v>U+0300</v>
      </c>
      <c r="M4" s="150" t="s">
        <v>186</v>
      </c>
      <c r="N4" s="99">
        <f t="shared" ref="N4:N10" si="1" xml:space="preserve"> IFERROR( HEX2DEC(RIGHT(M4,4)), "")</f>
        <v>768</v>
      </c>
      <c r="O4" s="99" t="str">
        <f t="shared" ref="O4:O10" si="2" xml:space="preserve"> IFERROR( _xlfn.CONCAT("o", _xlfn.UNICHAR(HEX2DEC(RIGHT(M4,4)))), "")</f>
        <v>ò</v>
      </c>
      <c r="P4" s="99" t="str">
        <f t="shared" ref="P4:P10" si="3" xml:space="preserve"> IFERROR( _xlfn.CONCAT("t", "o", _xlfn.UNICHAR(HEX2DEC(RIGHT(M4,4))), "ng"), "")</f>
        <v>tòng</v>
      </c>
    </row>
    <row r="5" spans="2:16" ht="57.75">
      <c r="B5" s="42">
        <v>2</v>
      </c>
      <c r="C5" s="40">
        <v>53</v>
      </c>
      <c r="D5" s="43" t="s">
        <v>36</v>
      </c>
      <c r="E5" s="43" t="s">
        <v>11</v>
      </c>
      <c r="F5" s="45" t="s">
        <v>41</v>
      </c>
      <c r="G5" s="38" t="s">
        <v>9</v>
      </c>
      <c r="H5" s="44" t="s">
        <v>48</v>
      </c>
      <c r="I5" s="44" t="str">
        <f xml:space="preserve"> IFERROR( _xlfn.CONCAT("t", "o", _xlfn.UNICHAR(HEX2DEC(RIGHT("U+0301",4))), "ng"), "")</f>
        <v>tóng</v>
      </c>
      <c r="J5" s="44" t="str">
        <f xml:space="preserve"> _xlfn.CONCAT("tong", F5)</f>
        <v>tong\</v>
      </c>
      <c r="L5" s="99" t="str">
        <f t="shared" si="0"/>
        <v>U+030D</v>
      </c>
      <c r="M5" s="151" t="s">
        <v>121</v>
      </c>
      <c r="N5" s="99">
        <f t="shared" si="1"/>
        <v>781</v>
      </c>
      <c r="O5" s="99" t="str">
        <f t="shared" si="2"/>
        <v>o̍</v>
      </c>
      <c r="P5" s="99" t="str">
        <f t="shared" si="3"/>
        <v>to̍ng</v>
      </c>
    </row>
    <row r="6" spans="2:16" ht="57.75">
      <c r="B6" s="42">
        <v>3</v>
      </c>
      <c r="C6" s="40">
        <v>21</v>
      </c>
      <c r="D6" s="39" t="s">
        <v>18</v>
      </c>
      <c r="E6" s="39" t="s">
        <v>17</v>
      </c>
      <c r="F6" s="45" t="s">
        <v>40</v>
      </c>
      <c r="G6" s="38" t="s">
        <v>19</v>
      </c>
      <c r="H6" s="44" t="s">
        <v>50</v>
      </c>
      <c r="I6" s="44" t="str">
        <f xml:space="preserve"> IFERROR( _xlfn.CONCAT("t", "o", _xlfn.UNICHAR(HEX2DEC(RIGHT("U+0300",4))), "ng"), "")</f>
        <v>tòng</v>
      </c>
      <c r="J6" s="44" t="str">
        <f xml:space="preserve"> _xlfn.CONCAT("tong", F6)</f>
        <v>tong_</v>
      </c>
      <c r="L6" s="99" t="str">
        <f t="shared" si="0"/>
        <v>U+0302</v>
      </c>
      <c r="M6" s="150" t="s">
        <v>120</v>
      </c>
      <c r="N6" s="99">
        <f t="shared" si="1"/>
        <v>770</v>
      </c>
      <c r="O6" s="99" t="str">
        <f t="shared" si="2"/>
        <v>ô</v>
      </c>
      <c r="P6" s="99" t="str">
        <f t="shared" si="3"/>
        <v>tông</v>
      </c>
    </row>
    <row r="7" spans="2:16" ht="57.75">
      <c r="B7" s="42">
        <v>4</v>
      </c>
      <c r="C7" s="40">
        <v>32</v>
      </c>
      <c r="D7" s="39" t="s">
        <v>6</v>
      </c>
      <c r="E7" s="39" t="s">
        <v>5</v>
      </c>
      <c r="F7" s="45" t="s">
        <v>43</v>
      </c>
      <c r="G7" s="38" t="s">
        <v>7</v>
      </c>
      <c r="H7" s="44" t="s">
        <v>47</v>
      </c>
      <c r="I7" s="44" t="str">
        <f xml:space="preserve"> IFERROR( _xlfn.CONCAT("t", "o", "k"), "")</f>
        <v>tok</v>
      </c>
      <c r="J7" s="44" t="str">
        <f xml:space="preserve"> _xlfn.CONCAT("tok", F7)</f>
        <v>tok[</v>
      </c>
      <c r="L7" s="99" t="str">
        <f t="shared" si="0"/>
        <v>U+030C</v>
      </c>
      <c r="M7" s="150" t="s">
        <v>177</v>
      </c>
      <c r="N7" s="99">
        <f t="shared" si="1"/>
        <v>780</v>
      </c>
      <c r="O7" s="99" t="str">
        <f t="shared" si="2"/>
        <v>ǒ</v>
      </c>
      <c r="P7" s="99" t="str">
        <f t="shared" si="3"/>
        <v>tǒng</v>
      </c>
    </row>
    <row r="8" spans="2:16" ht="57.75">
      <c r="B8" s="42">
        <v>5</v>
      </c>
      <c r="C8" s="40">
        <v>13</v>
      </c>
      <c r="D8" s="39" t="s">
        <v>14</v>
      </c>
      <c r="E8" s="39" t="s">
        <v>13</v>
      </c>
      <c r="F8" s="45" t="s">
        <v>42</v>
      </c>
      <c r="G8" s="38" t="s">
        <v>15</v>
      </c>
      <c r="H8" s="44" t="s">
        <v>49</v>
      </c>
      <c r="I8" s="44" t="str">
        <f xml:space="preserve"> IFERROR( _xlfn.CONCAT("t", "o", _xlfn.UNICHAR(HEX2DEC(RIGHT("U+0302",4))), "ng"), "")</f>
        <v>tông</v>
      </c>
      <c r="J8" s="44" t="str">
        <f xml:space="preserve"> _xlfn.CONCAT("tong", F8)</f>
        <v>tong/</v>
      </c>
      <c r="L8" s="99" t="str">
        <f t="shared" si="0"/>
        <v>U+0304</v>
      </c>
      <c r="M8" s="150" t="s">
        <v>178</v>
      </c>
      <c r="N8" s="99">
        <f t="shared" si="1"/>
        <v>772</v>
      </c>
      <c r="O8" s="99" t="str">
        <f t="shared" si="2"/>
        <v>ō</v>
      </c>
      <c r="P8" s="99" t="str">
        <f xml:space="preserve"> IFERROR( _xlfn.CONCAT("t", "o", _xlfn.UNICHAR(HEX2DEC(RIGHT("U+0304",4))), "ng"), "")</f>
        <v>tōng</v>
      </c>
    </row>
    <row r="9" spans="2:16" ht="57.75">
      <c r="B9" s="42">
        <v>7</v>
      </c>
      <c r="C9" s="40">
        <v>22</v>
      </c>
      <c r="D9" s="43" t="s">
        <v>22</v>
      </c>
      <c r="E9" s="43" t="s">
        <v>21</v>
      </c>
      <c r="F9" s="45" t="s">
        <v>39</v>
      </c>
      <c r="G9" s="38" t="s">
        <v>23</v>
      </c>
      <c r="H9" s="44" t="s">
        <v>205</v>
      </c>
      <c r="I9" s="44" t="str">
        <f xml:space="preserve"> IFERROR( _xlfn.CONCAT("t", "o", _xlfn.UNICHAR(HEX2DEC(RIGHT("U+0304",4))), "ng"), "")</f>
        <v>tōng</v>
      </c>
      <c r="J9" s="44" t="str">
        <f xml:space="preserve"> _xlfn.CONCAT("tong", F9)</f>
        <v>tong-</v>
      </c>
      <c r="L9" s="99" t="str">
        <f t="shared" si="0"/>
        <v>U+030D</v>
      </c>
      <c r="M9" s="150" t="s">
        <v>210</v>
      </c>
      <c r="N9" s="99">
        <f t="shared" si="1"/>
        <v>781</v>
      </c>
      <c r="O9" s="99" t="str">
        <f t="shared" si="2"/>
        <v>o̍</v>
      </c>
      <c r="P9" s="99" t="str">
        <f t="shared" si="3"/>
        <v>to̍ng</v>
      </c>
    </row>
    <row r="10" spans="2:16" ht="57.75">
      <c r="B10" s="42">
        <v>8</v>
      </c>
      <c r="C10" s="40">
        <v>121</v>
      </c>
      <c r="D10" s="39" t="s">
        <v>2</v>
      </c>
      <c r="E10" s="39" t="s">
        <v>1</v>
      </c>
      <c r="F10" s="45" t="s">
        <v>44</v>
      </c>
      <c r="G10" s="38" t="s">
        <v>3</v>
      </c>
      <c r="H10" s="44" t="s">
        <v>206</v>
      </c>
      <c r="I10" s="44" t="str">
        <f xml:space="preserve"> IFERROR( _xlfn.CONCAT("t", "o", _xlfn.UNICHAR(HEX2DEC(RIGHT("U+030D",4))), "k"), "")</f>
        <v>to̍k</v>
      </c>
      <c r="J10" s="44" t="str">
        <f xml:space="preserve"> _xlfn.CONCAT("tok", F10)</f>
        <v>tok]</v>
      </c>
      <c r="L10" s="99" t="str">
        <f t="shared" si="0"/>
        <v>U+030B</v>
      </c>
      <c r="M10" s="150" t="s">
        <v>122</v>
      </c>
      <c r="N10" s="99">
        <f t="shared" si="1"/>
        <v>779</v>
      </c>
      <c r="O10" s="99" t="str">
        <f t="shared" si="2"/>
        <v>ő</v>
      </c>
      <c r="P10" s="99" t="str">
        <f t="shared" si="3"/>
        <v>tőng</v>
      </c>
    </row>
    <row r="14" spans="2:16" ht="57.75">
      <c r="B14" s="42">
        <v>6</v>
      </c>
      <c r="C14" s="40"/>
      <c r="D14" s="39" t="s">
        <v>212</v>
      </c>
      <c r="E14" s="39"/>
      <c r="F14" s="45"/>
      <c r="G14" s="38" t="s">
        <v>23</v>
      </c>
      <c r="H14" s="44"/>
      <c r="I14" s="44" t="str">
        <f xml:space="preserve"> IFERROR( _xlfn.CONCAT("t", "o", _xlfn.UNICHAR(HEX2DEC(RIGHT("U+030C",4))), "ng"), "")</f>
        <v>tǒng</v>
      </c>
      <c r="J14" s="44"/>
    </row>
    <row r="15" spans="2:16" ht="57.75">
      <c r="B15" s="42">
        <v>9</v>
      </c>
      <c r="C15" s="40"/>
      <c r="D15" s="52" t="s">
        <v>213</v>
      </c>
      <c r="E15" s="39"/>
      <c r="F15" s="45"/>
      <c r="G15" s="38"/>
      <c r="H15" s="44"/>
      <c r="I15" s="44" t="str">
        <f xml:space="preserve"> IFERROR( _xlfn.CONCAT("t", "o", _xlfn.UNICHAR(HEX2DEC(RIGHT("U+030B",4))), "ng"), "")</f>
        <v>tőng</v>
      </c>
      <c r="J15" s="44"/>
    </row>
    <row r="18" spans="2:10" ht="57.75" outlineLevel="1">
      <c r="B18" s="9">
        <v>4</v>
      </c>
      <c r="C18" s="10">
        <v>53</v>
      </c>
      <c r="D18" s="11" t="s">
        <v>8</v>
      </c>
      <c r="E18" s="11"/>
      <c r="F18" s="10"/>
      <c r="G18" s="15" t="s">
        <v>9</v>
      </c>
      <c r="H18" s="15"/>
      <c r="I18" s="11" t="str">
        <f xml:space="preserve"> "dong" &amp; J18</f>
        <v>dong6</v>
      </c>
      <c r="J18" s="10">
        <v>6</v>
      </c>
    </row>
  </sheetData>
  <sortState xmlns:xlrd2="http://schemas.microsoft.com/office/spreadsheetml/2017/richdata2" ref="B3:J10">
    <sortCondition ref="B10"/>
  </sortState>
  <mergeCells count="1">
    <mergeCell ref="H2:I2"/>
  </mergeCells>
  <phoneticPr fontId="1" type="noConversion"/>
  <hyperlinks>
    <hyperlink ref="M3" r:id="rId1" display="https://zi-hi.com/sp/uni/0301" xr:uid="{0A4706D1-84DC-4182-A96A-35027C3F443C}"/>
    <hyperlink ref="M4" r:id="rId2" display="https://zi-hi.com/sp/uni/0300" xr:uid="{CA7CE6B9-ACB2-4BD4-8CCD-9F323F16DB19}"/>
    <hyperlink ref="M6" r:id="rId3" display="https://zi-hi.com/sp/uni/0302" xr:uid="{F51ED1B0-F464-4664-949A-2BF6E8D92207}"/>
    <hyperlink ref="M7" r:id="rId4" display="https://zi-hi.com/sp/uni/030C" xr:uid="{A13388BA-C8A0-49CD-AD7D-92E78949E725}"/>
    <hyperlink ref="M8" r:id="rId5" display="https://zi-hi.com/sp/uni/0304" xr:uid="{7DCF3A33-F3D8-4D15-8566-6580CE02AB86}"/>
    <hyperlink ref="M9" r:id="rId6" display="https://zi-hi.com/sp/uni/030D" xr:uid="{89C45CD8-4919-45C7-BEF4-7CAB5797EF54}"/>
    <hyperlink ref="M10" r:id="rId7" display="https://zi-hi.com/sp/uni/030B" xr:uid="{EC0523CB-79C1-4D03-88B1-0D58C6FCDA18}"/>
  </hyperlinks>
  <pageMargins left="0.7" right="0.7" top="0.75" bottom="0.75" header="0.3" footer="0.3"/>
  <pageSetup paperSize="9" orientation="portrait" horizontalDpi="200" verticalDpi="200" r:id="rId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4A8B-8D3F-4AFC-B56E-E3C6E782C4A4}">
  <dimension ref="B2:L18"/>
  <sheetViews>
    <sheetView showOutlineSymbols="0" workbookViewId="0"/>
  </sheetViews>
  <sheetFormatPr defaultRowHeight="16.5" outlineLevelRow="1"/>
  <cols>
    <col min="1" max="1" width="4.125" customWidth="1"/>
    <col min="2" max="3" width="14.75" customWidth="1"/>
    <col min="4" max="6" width="15.375" customWidth="1"/>
    <col min="7" max="7" width="10.5" bestFit="1" customWidth="1"/>
    <col min="8" max="10" width="14.375" customWidth="1"/>
    <col min="12" max="12" width="15.375" customWidth="1"/>
  </cols>
  <sheetData>
    <row r="2" spans="2:12" ht="25.5">
      <c r="B2" s="147" t="s">
        <v>33</v>
      </c>
      <c r="C2" s="148"/>
      <c r="D2" s="149"/>
      <c r="E2" s="14" t="s">
        <v>32</v>
      </c>
      <c r="F2" s="14" t="s">
        <v>31</v>
      </c>
      <c r="G2" s="13" t="s">
        <v>30</v>
      </c>
      <c r="H2" s="13" t="s">
        <v>27</v>
      </c>
      <c r="I2" s="14" t="s">
        <v>29</v>
      </c>
      <c r="J2" s="13" t="s">
        <v>28</v>
      </c>
    </row>
    <row r="3" spans="2:12" ht="57.75">
      <c r="B3" s="36" t="s">
        <v>26</v>
      </c>
      <c r="C3" s="18" t="s">
        <v>46</v>
      </c>
      <c r="D3" s="16" t="str">
        <f xml:space="preserve"> "tong" &amp; I3</f>
        <v>tong1</v>
      </c>
      <c r="E3" s="12" t="s">
        <v>25</v>
      </c>
      <c r="F3" s="12" t="s">
        <v>24</v>
      </c>
      <c r="G3" s="7">
        <v>44</v>
      </c>
      <c r="H3" s="5" t="s">
        <v>4</v>
      </c>
      <c r="I3" s="7">
        <v>1</v>
      </c>
      <c r="J3" s="6">
        <v>1</v>
      </c>
      <c r="L3" s="16" t="s">
        <v>192</v>
      </c>
    </row>
    <row r="4" spans="2:12" ht="57.75">
      <c r="B4" s="37" t="s">
        <v>23</v>
      </c>
      <c r="C4" s="19"/>
      <c r="D4" s="17" t="str">
        <f t="shared" ref="D4:D7" si="0" xml:space="preserve"> "tong" &amp; I4</f>
        <v>tong7</v>
      </c>
      <c r="E4" s="4" t="s">
        <v>22</v>
      </c>
      <c r="F4" s="4" t="s">
        <v>21</v>
      </c>
      <c r="G4" s="3">
        <v>22</v>
      </c>
      <c r="H4" s="1" t="s">
        <v>20</v>
      </c>
      <c r="I4" s="3">
        <v>7</v>
      </c>
      <c r="J4" s="2">
        <v>6</v>
      </c>
      <c r="L4" s="17" t="s">
        <v>193</v>
      </c>
    </row>
    <row r="5" spans="2:12" ht="57.75">
      <c r="B5" s="36" t="s">
        <v>19</v>
      </c>
      <c r="C5" s="18"/>
      <c r="D5" s="16" t="str">
        <f t="shared" si="0"/>
        <v>tong3</v>
      </c>
      <c r="E5" s="12" t="s">
        <v>18</v>
      </c>
      <c r="F5" s="12" t="s">
        <v>17</v>
      </c>
      <c r="G5" s="7">
        <v>21</v>
      </c>
      <c r="H5" s="5" t="s">
        <v>16</v>
      </c>
      <c r="I5" s="7">
        <v>3</v>
      </c>
      <c r="J5" s="6">
        <v>5</v>
      </c>
      <c r="L5" s="16" t="s">
        <v>4</v>
      </c>
    </row>
    <row r="6" spans="2:12" ht="57.75">
      <c r="B6" s="37" t="s">
        <v>9</v>
      </c>
      <c r="C6" s="19"/>
      <c r="D6" s="17" t="str">
        <f xml:space="preserve"> "tong" &amp; I6</f>
        <v>tong2</v>
      </c>
      <c r="E6" s="4" t="s">
        <v>36</v>
      </c>
      <c r="F6" s="4" t="s">
        <v>11</v>
      </c>
      <c r="G6" s="3">
        <v>53</v>
      </c>
      <c r="H6" s="1" t="s">
        <v>10</v>
      </c>
      <c r="I6" s="3">
        <v>2</v>
      </c>
      <c r="J6" s="2">
        <v>3</v>
      </c>
      <c r="L6" s="17" t="s">
        <v>194</v>
      </c>
    </row>
    <row r="7" spans="2:12" ht="57.75">
      <c r="B7" s="36" t="s">
        <v>15</v>
      </c>
      <c r="C7" s="18"/>
      <c r="D7" s="16" t="str">
        <f t="shared" si="0"/>
        <v>tong5</v>
      </c>
      <c r="E7" s="12" t="s">
        <v>14</v>
      </c>
      <c r="F7" s="12" t="s">
        <v>13</v>
      </c>
      <c r="G7" s="7">
        <v>13</v>
      </c>
      <c r="H7" s="5" t="s">
        <v>12</v>
      </c>
      <c r="I7" s="7">
        <v>5</v>
      </c>
      <c r="J7" s="6">
        <v>2</v>
      </c>
      <c r="L7" s="16" t="s">
        <v>195</v>
      </c>
    </row>
    <row r="8" spans="2:12" ht="57.75">
      <c r="B8" s="37" t="s">
        <v>7</v>
      </c>
      <c r="C8" s="19"/>
      <c r="D8" s="17" t="s">
        <v>34</v>
      </c>
      <c r="E8" s="4" t="s">
        <v>6</v>
      </c>
      <c r="F8" s="4" t="s">
        <v>5</v>
      </c>
      <c r="G8" s="3">
        <v>32</v>
      </c>
      <c r="H8" s="1" t="s">
        <v>4</v>
      </c>
      <c r="I8" s="3">
        <v>4</v>
      </c>
      <c r="J8" s="2">
        <v>7</v>
      </c>
      <c r="L8" s="17" t="s">
        <v>196</v>
      </c>
    </row>
    <row r="9" spans="2:12" ht="57.75">
      <c r="B9" s="36" t="s">
        <v>3</v>
      </c>
      <c r="C9" s="18"/>
      <c r="D9" s="16" t="s">
        <v>35</v>
      </c>
      <c r="E9" s="12" t="s">
        <v>2</v>
      </c>
      <c r="F9" s="12" t="s">
        <v>1</v>
      </c>
      <c r="G9" s="7">
        <v>121</v>
      </c>
      <c r="H9" s="5" t="s">
        <v>0</v>
      </c>
      <c r="I9" s="7">
        <v>8</v>
      </c>
      <c r="J9" s="6">
        <v>8</v>
      </c>
      <c r="L9" s="16" t="s">
        <v>197</v>
      </c>
    </row>
    <row r="10" spans="2:12">
      <c r="L10" t="s">
        <v>198</v>
      </c>
    </row>
    <row r="18" spans="2:12" ht="57.75" outlineLevel="1">
      <c r="B18" s="15" t="s">
        <v>9</v>
      </c>
      <c r="C18" s="15"/>
      <c r="D18" s="11" t="str">
        <f xml:space="preserve"> "dong" &amp; I18</f>
        <v>dong6</v>
      </c>
      <c r="E18" s="11" t="s">
        <v>8</v>
      </c>
      <c r="F18" s="11"/>
      <c r="G18" s="10">
        <v>53</v>
      </c>
      <c r="H18" s="8" t="s">
        <v>4</v>
      </c>
      <c r="I18" s="10">
        <v>6</v>
      </c>
      <c r="J18" s="9">
        <v>4</v>
      </c>
      <c r="L18" s="11"/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23BE-64D2-4E8C-B115-C260854DB41D}">
  <dimension ref="B2:R18"/>
  <sheetViews>
    <sheetView showOutlineSymbols="0" workbookViewId="0"/>
  </sheetViews>
  <sheetFormatPr defaultRowHeight="16.5" outlineLevelRow="1"/>
  <cols>
    <col min="1" max="1" width="4.125" customWidth="1"/>
    <col min="2" max="3" width="14.75" customWidth="1"/>
    <col min="4" max="6" width="15.375" customWidth="1"/>
    <col min="7" max="7" width="10.5" bestFit="1" customWidth="1"/>
    <col min="8" max="11" width="15" customWidth="1"/>
    <col min="13" max="13" width="15.375" customWidth="1"/>
  </cols>
  <sheetData>
    <row r="2" spans="2:18" ht="25.5">
      <c r="B2" s="147" t="s">
        <v>33</v>
      </c>
      <c r="C2" s="148"/>
      <c r="D2" s="149"/>
      <c r="E2" s="14" t="s">
        <v>32</v>
      </c>
      <c r="F2" s="14" t="s">
        <v>31</v>
      </c>
      <c r="G2" s="13" t="s">
        <v>30</v>
      </c>
      <c r="H2" s="13" t="s">
        <v>37</v>
      </c>
      <c r="I2" s="13" t="s">
        <v>199</v>
      </c>
      <c r="J2" s="14" t="s">
        <v>29</v>
      </c>
      <c r="K2" s="13" t="s">
        <v>27</v>
      </c>
    </row>
    <row r="3" spans="2:18" ht="57.75">
      <c r="B3" s="38" t="s">
        <v>26</v>
      </c>
      <c r="C3" s="44" t="str">
        <f xml:space="preserve"> IFERROR( _xlfn.CONCAT("t", "o", _xlfn.UNICHAR(HEX2DEC(RIGHT("U+0304",4))), "ng"), "")</f>
        <v>tōng</v>
      </c>
      <c r="D3" s="44" t="str">
        <f t="shared" ref="D3:D9" si="0" xml:space="preserve"> "tong" &amp; I3</f>
        <v>tong1</v>
      </c>
      <c r="E3" s="39" t="s">
        <v>25</v>
      </c>
      <c r="F3" s="39" t="s">
        <v>24</v>
      </c>
      <c r="G3" s="40">
        <v>44</v>
      </c>
      <c r="H3" s="45" t="s">
        <v>200</v>
      </c>
      <c r="I3" s="42">
        <v>1</v>
      </c>
      <c r="J3" s="40">
        <v>1</v>
      </c>
      <c r="K3" s="41" t="s">
        <v>4</v>
      </c>
      <c r="M3" s="16" t="s">
        <v>192</v>
      </c>
      <c r="O3" s="33" t="s">
        <v>185</v>
      </c>
      <c r="P3" s="35">
        <f xml:space="preserve"> IFERROR( HEX2DEC(RIGHT(O3,4)), "")</f>
        <v>769</v>
      </c>
      <c r="Q3" s="35" t="str">
        <f xml:space="preserve"> IFERROR( _xlfn.CONCAT("o", _xlfn.UNICHAR(HEX2DEC(RIGHT(O3,4)))), "")</f>
        <v>ó</v>
      </c>
      <c r="R3" s="35" t="str">
        <f xml:space="preserve"> IFERROR( _xlfn.CONCAT("t", "o", _xlfn.UNICHAR(HEX2DEC(RIGHT(O3,4))), "ng"), "")</f>
        <v>tóng</v>
      </c>
    </row>
    <row r="4" spans="2:18" ht="57.75">
      <c r="B4" s="38" t="s">
        <v>15</v>
      </c>
      <c r="C4" s="44" t="str">
        <f xml:space="preserve"> IFERROR( _xlfn.CONCAT("t", "o", _xlfn.UNICHAR(HEX2DEC(RIGHT("U+0301",4))), "ng"), "")</f>
        <v>tóng</v>
      </c>
      <c r="D4" s="44" t="str">
        <f t="shared" si="0"/>
        <v>tong2</v>
      </c>
      <c r="E4" s="39" t="s">
        <v>14</v>
      </c>
      <c r="F4" s="39" t="s">
        <v>13</v>
      </c>
      <c r="G4" s="40">
        <v>13</v>
      </c>
      <c r="H4" s="45" t="s">
        <v>42</v>
      </c>
      <c r="I4" s="42">
        <v>2</v>
      </c>
      <c r="J4" s="40">
        <v>5</v>
      </c>
      <c r="K4" s="41" t="s">
        <v>12</v>
      </c>
      <c r="M4" s="17" t="s">
        <v>193</v>
      </c>
      <c r="O4" s="33" t="s">
        <v>186</v>
      </c>
      <c r="P4" s="35">
        <f t="shared" ref="P4:P10" si="1" xml:space="preserve"> IFERROR( HEX2DEC(RIGHT(O4,4)), "")</f>
        <v>768</v>
      </c>
      <c r="Q4" s="35" t="str">
        <f t="shared" ref="Q4:Q10" si="2" xml:space="preserve"> IFERROR( _xlfn.CONCAT("o", _xlfn.UNICHAR(HEX2DEC(RIGHT(O4,4)))), "")</f>
        <v>ò</v>
      </c>
      <c r="R4" s="35" t="str">
        <f t="shared" ref="R4:R10" si="3" xml:space="preserve"> IFERROR( _xlfn.CONCAT("t", "o", _xlfn.UNICHAR(HEX2DEC(RIGHT(O4,4))), "ng"), "")</f>
        <v>tòng</v>
      </c>
    </row>
    <row r="5" spans="2:18" ht="57.75">
      <c r="B5" s="38" t="s">
        <v>9</v>
      </c>
      <c r="C5" s="44" t="str">
        <f xml:space="preserve"> IFERROR( _xlfn.CONCAT("t", "o", _xlfn.UNICHAR(HEX2DEC(RIGHT("U+030C",4))), "ng"), "")</f>
        <v>tǒng</v>
      </c>
      <c r="D5" s="44" t="str">
        <f t="shared" si="0"/>
        <v>tong3</v>
      </c>
      <c r="E5" s="43" t="s">
        <v>36</v>
      </c>
      <c r="F5" s="43" t="s">
        <v>11</v>
      </c>
      <c r="G5" s="40">
        <v>53</v>
      </c>
      <c r="H5" s="45" t="s">
        <v>41</v>
      </c>
      <c r="I5" s="42">
        <v>3</v>
      </c>
      <c r="J5" s="40">
        <v>2</v>
      </c>
      <c r="K5" s="41" t="s">
        <v>10</v>
      </c>
      <c r="M5" s="16" t="s">
        <v>4</v>
      </c>
      <c r="O5" s="34" t="s">
        <v>53</v>
      </c>
      <c r="P5" s="35" t="str">
        <f t="shared" si="1"/>
        <v/>
      </c>
      <c r="Q5" s="35" t="str">
        <f t="shared" si="2"/>
        <v/>
      </c>
      <c r="R5" s="35" t="str">
        <f t="shared" si="3"/>
        <v/>
      </c>
    </row>
    <row r="6" spans="2:18" ht="57.75">
      <c r="B6" s="38" t="s">
        <v>19</v>
      </c>
      <c r="C6" s="44" t="str">
        <f xml:space="preserve"> IFERROR( _xlfn.CONCAT("t", "o", _xlfn.UNICHAR(HEX2DEC(RIGHT("U+0300",4))), "ng"), "")</f>
        <v>tòng</v>
      </c>
      <c r="D6" s="44" t="str">
        <f t="shared" si="0"/>
        <v>tong5</v>
      </c>
      <c r="E6" s="39" t="s">
        <v>18</v>
      </c>
      <c r="F6" s="39" t="s">
        <v>17</v>
      </c>
      <c r="G6" s="40">
        <v>21</v>
      </c>
      <c r="H6" s="45" t="s">
        <v>40</v>
      </c>
      <c r="I6" s="42">
        <v>5</v>
      </c>
      <c r="J6" s="40">
        <v>3</v>
      </c>
      <c r="K6" s="41" t="s">
        <v>16</v>
      </c>
      <c r="M6" s="17" t="s">
        <v>194</v>
      </c>
      <c r="O6" s="33" t="s">
        <v>120</v>
      </c>
      <c r="P6" s="35">
        <f t="shared" si="1"/>
        <v>770</v>
      </c>
      <c r="Q6" s="35" t="str">
        <f t="shared" si="2"/>
        <v>ô</v>
      </c>
      <c r="R6" s="35" t="str">
        <f t="shared" si="3"/>
        <v>tông</v>
      </c>
    </row>
    <row r="7" spans="2:18" ht="57.75">
      <c r="B7" s="38" t="s">
        <v>23</v>
      </c>
      <c r="C7" s="44" t="str">
        <f xml:space="preserve"> IFERROR( _xlfn.CONCAT("t", "o", _xlfn.UNICHAR(HEX2DEC(RIGHT("U+0302",4))), "ng"), "")</f>
        <v>tông</v>
      </c>
      <c r="D7" s="44" t="str">
        <f t="shared" si="0"/>
        <v>tong6</v>
      </c>
      <c r="E7" s="43" t="s">
        <v>22</v>
      </c>
      <c r="F7" s="43" t="s">
        <v>21</v>
      </c>
      <c r="G7" s="40">
        <v>22</v>
      </c>
      <c r="H7" s="45" t="s">
        <v>39</v>
      </c>
      <c r="I7" s="42">
        <v>6</v>
      </c>
      <c r="J7" s="40">
        <v>7</v>
      </c>
      <c r="K7" s="41" t="s">
        <v>20</v>
      </c>
      <c r="M7" s="16" t="s">
        <v>195</v>
      </c>
      <c r="O7" s="33" t="s">
        <v>177</v>
      </c>
      <c r="P7" s="35">
        <f t="shared" si="1"/>
        <v>780</v>
      </c>
      <c r="Q7" s="35" t="str">
        <f t="shared" si="2"/>
        <v>ǒ</v>
      </c>
      <c r="R7" s="35" t="str">
        <f t="shared" si="3"/>
        <v>tǒng</v>
      </c>
    </row>
    <row r="8" spans="2:18" ht="57.75">
      <c r="B8" s="38" t="s">
        <v>7</v>
      </c>
      <c r="C8" s="44" t="str">
        <f xml:space="preserve"> IFERROR( _xlfn.CONCAT("t", "o", _xlfn.UNICHAR(HEX2DEC(RIGHT("U+0304",4))), "k"), "")</f>
        <v>tōk</v>
      </c>
      <c r="D8" s="44" t="str">
        <f t="shared" si="0"/>
        <v>tong7</v>
      </c>
      <c r="E8" s="43" t="s">
        <v>6</v>
      </c>
      <c r="F8" s="43" t="s">
        <v>5</v>
      </c>
      <c r="G8" s="40">
        <v>32</v>
      </c>
      <c r="H8" s="45" t="s">
        <v>43</v>
      </c>
      <c r="I8" s="42">
        <v>7</v>
      </c>
      <c r="J8" s="40">
        <v>4</v>
      </c>
      <c r="K8" s="41" t="s">
        <v>4</v>
      </c>
      <c r="M8" s="17" t="s">
        <v>196</v>
      </c>
      <c r="O8" s="33" t="s">
        <v>178</v>
      </c>
      <c r="P8" s="35">
        <f t="shared" si="1"/>
        <v>772</v>
      </c>
      <c r="Q8" s="35" t="str">
        <f t="shared" si="2"/>
        <v>ō</v>
      </c>
      <c r="R8" s="35" t="str">
        <f xml:space="preserve"> IFERROR( _xlfn.CONCAT("t", "o", _xlfn.UNICHAR(HEX2DEC(RIGHT("U+0304",4))), "ng"), "")</f>
        <v>tōng</v>
      </c>
    </row>
    <row r="9" spans="2:18" ht="57.75">
      <c r="B9" s="38" t="s">
        <v>3</v>
      </c>
      <c r="C9" s="44" t="str">
        <f xml:space="preserve"> IFERROR( _xlfn.CONCAT("t", "o", _xlfn.UNICHAR(HEX2DEC(RIGHT("U+0301",4))), "k"), "")</f>
        <v>tók</v>
      </c>
      <c r="D9" s="44" t="str">
        <f t="shared" si="0"/>
        <v>tong8</v>
      </c>
      <c r="E9" s="39" t="s">
        <v>2</v>
      </c>
      <c r="F9" s="39" t="s">
        <v>1</v>
      </c>
      <c r="G9" s="40">
        <v>121</v>
      </c>
      <c r="H9" s="45" t="s">
        <v>44</v>
      </c>
      <c r="I9" s="42">
        <v>8</v>
      </c>
      <c r="J9" s="40">
        <v>8</v>
      </c>
      <c r="K9" s="41" t="s">
        <v>0</v>
      </c>
      <c r="M9" s="16" t="s">
        <v>197</v>
      </c>
      <c r="O9" s="33" t="s">
        <v>121</v>
      </c>
      <c r="P9" s="35">
        <f t="shared" si="1"/>
        <v>781</v>
      </c>
      <c r="Q9" s="35" t="str">
        <f t="shared" si="2"/>
        <v>o̍</v>
      </c>
      <c r="R9" s="35" t="str">
        <f t="shared" si="3"/>
        <v>to̍ng</v>
      </c>
    </row>
    <row r="10" spans="2:18" ht="42">
      <c r="M10" t="s">
        <v>198</v>
      </c>
      <c r="O10" s="33" t="s">
        <v>122</v>
      </c>
      <c r="P10" s="35">
        <f t="shared" si="1"/>
        <v>779</v>
      </c>
      <c r="Q10" s="35" t="str">
        <f t="shared" si="2"/>
        <v>ő</v>
      </c>
      <c r="R10" s="35" t="str">
        <f t="shared" si="3"/>
        <v>tőng</v>
      </c>
    </row>
    <row r="18" spans="2:13" ht="57.75" outlineLevel="1">
      <c r="B18" s="15" t="s">
        <v>9</v>
      </c>
      <c r="C18" s="15"/>
      <c r="D18" s="11" t="str">
        <f xml:space="preserve"> "dong" &amp; J18</f>
        <v>dong6</v>
      </c>
      <c r="E18" s="11" t="s">
        <v>8</v>
      </c>
      <c r="F18" s="11"/>
      <c r="G18" s="10">
        <v>53</v>
      </c>
      <c r="H18" s="10"/>
      <c r="I18" s="9">
        <v>4</v>
      </c>
      <c r="J18" s="10">
        <v>6</v>
      </c>
      <c r="K18" s="8" t="s">
        <v>4</v>
      </c>
      <c r="M18" s="11"/>
    </row>
  </sheetData>
  <mergeCells count="1">
    <mergeCell ref="B2:D2"/>
  </mergeCells>
  <phoneticPr fontId="1" type="noConversion"/>
  <hyperlinks>
    <hyperlink ref="O3" r:id="rId1" display="https://zi-hi.com/sp/uni/0301" xr:uid="{F092E75C-C8D0-48B8-A292-3DC2F44B85AC}"/>
    <hyperlink ref="O4" r:id="rId2" display="https://zi-hi.com/sp/uni/0300" xr:uid="{E1710BC5-4279-4535-9126-EE2877167999}"/>
    <hyperlink ref="O6" r:id="rId3" display="https://zi-hi.com/sp/uni/0302" xr:uid="{B66FC17B-A908-40F7-9A0F-4BA79BCD69B1}"/>
    <hyperlink ref="O7" r:id="rId4" display="https://zi-hi.com/sp/uni/030C" xr:uid="{D42FA3A9-247B-464A-9466-62E1F31ACDF2}"/>
    <hyperlink ref="O8" r:id="rId5" display="https://zi-hi.com/sp/uni/0304" xr:uid="{AE4AB8CC-8DD7-4CAE-8E5E-7B1A59D6EBBB}"/>
    <hyperlink ref="O9" r:id="rId6" display="https://zi-hi.com/sp/uni/030D" xr:uid="{93783542-812A-404B-A549-F62CA5246808}"/>
    <hyperlink ref="O10" r:id="rId7" display="https://zi-hi.com/sp/uni/030B" xr:uid="{1BB8526F-4E34-4DCA-B783-A0AA70BDD52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0C03-4A49-40F3-8140-C9DAF6B05C63}">
  <dimension ref="B2:I18"/>
  <sheetViews>
    <sheetView showOutlineSymbols="0" workbookViewId="0"/>
  </sheetViews>
  <sheetFormatPr defaultRowHeight="16.5" outlineLevelRow="1"/>
  <cols>
    <col min="1" max="1" width="4.125" customWidth="1"/>
    <col min="2" max="2" width="14.75" customWidth="1"/>
    <col min="3" max="5" width="15.375" customWidth="1"/>
    <col min="6" max="6" width="10.5" bestFit="1" customWidth="1"/>
    <col min="7" max="9" width="14.375" customWidth="1"/>
  </cols>
  <sheetData>
    <row r="2" spans="2:9" ht="25.5">
      <c r="B2" s="147" t="s">
        <v>33</v>
      </c>
      <c r="C2" s="149"/>
      <c r="D2" s="14" t="s">
        <v>32</v>
      </c>
      <c r="E2" s="14" t="s">
        <v>31</v>
      </c>
      <c r="F2" s="13" t="s">
        <v>30</v>
      </c>
      <c r="G2" s="13" t="s">
        <v>27</v>
      </c>
      <c r="H2" s="14" t="s">
        <v>29</v>
      </c>
      <c r="I2" s="13" t="s">
        <v>28</v>
      </c>
    </row>
    <row r="3" spans="2:9" ht="50.25">
      <c r="B3" s="18" t="s">
        <v>26</v>
      </c>
      <c r="C3" s="16" t="str">
        <f xml:space="preserve"> "tong" &amp; H3</f>
        <v>tong1</v>
      </c>
      <c r="D3" s="12" t="s">
        <v>25</v>
      </c>
      <c r="E3" s="12" t="s">
        <v>24</v>
      </c>
      <c r="F3" s="7">
        <v>44</v>
      </c>
      <c r="G3" s="5" t="s">
        <v>4</v>
      </c>
      <c r="H3" s="7">
        <v>1</v>
      </c>
      <c r="I3" s="6">
        <v>1</v>
      </c>
    </row>
    <row r="4" spans="2:9" ht="50.25">
      <c r="B4" s="19" t="s">
        <v>23</v>
      </c>
      <c r="C4" s="17" t="str">
        <f t="shared" ref="C4:C7" si="0" xml:space="preserve"> "tong" &amp; H4</f>
        <v>tong7</v>
      </c>
      <c r="D4" s="4" t="s">
        <v>22</v>
      </c>
      <c r="E4" s="4" t="s">
        <v>21</v>
      </c>
      <c r="F4" s="3">
        <v>22</v>
      </c>
      <c r="G4" s="1" t="s">
        <v>20</v>
      </c>
      <c r="H4" s="3">
        <v>7</v>
      </c>
      <c r="I4" s="2">
        <v>6</v>
      </c>
    </row>
    <row r="5" spans="2:9" ht="50.25">
      <c r="B5" s="18" t="s">
        <v>19</v>
      </c>
      <c r="C5" s="16" t="str">
        <f t="shared" si="0"/>
        <v>tong3</v>
      </c>
      <c r="D5" s="12" t="s">
        <v>18</v>
      </c>
      <c r="E5" s="12" t="s">
        <v>17</v>
      </c>
      <c r="F5" s="7">
        <v>21</v>
      </c>
      <c r="G5" s="5" t="s">
        <v>16</v>
      </c>
      <c r="H5" s="7">
        <v>3</v>
      </c>
      <c r="I5" s="6">
        <v>5</v>
      </c>
    </row>
    <row r="6" spans="2:9" ht="50.25">
      <c r="B6" s="19" t="s">
        <v>9</v>
      </c>
      <c r="C6" s="17" t="str">
        <f xml:space="preserve"> "tong" &amp; H6</f>
        <v>tong2</v>
      </c>
      <c r="D6" s="4" t="s">
        <v>36</v>
      </c>
      <c r="E6" s="4" t="s">
        <v>11</v>
      </c>
      <c r="F6" s="3">
        <v>53</v>
      </c>
      <c r="G6" s="1" t="s">
        <v>10</v>
      </c>
      <c r="H6" s="3">
        <v>2</v>
      </c>
      <c r="I6" s="2">
        <v>3</v>
      </c>
    </row>
    <row r="7" spans="2:9" ht="50.25">
      <c r="B7" s="18" t="s">
        <v>15</v>
      </c>
      <c r="C7" s="16" t="str">
        <f t="shared" si="0"/>
        <v>tong5</v>
      </c>
      <c r="D7" s="12" t="s">
        <v>14</v>
      </c>
      <c r="E7" s="12" t="s">
        <v>13</v>
      </c>
      <c r="F7" s="7">
        <v>13</v>
      </c>
      <c r="G7" s="5" t="s">
        <v>12</v>
      </c>
      <c r="H7" s="7">
        <v>5</v>
      </c>
      <c r="I7" s="6">
        <v>2</v>
      </c>
    </row>
    <row r="8" spans="2:9" ht="50.25">
      <c r="B8" s="19" t="s">
        <v>7</v>
      </c>
      <c r="C8" s="17" t="s">
        <v>34</v>
      </c>
      <c r="D8" s="4" t="s">
        <v>6</v>
      </c>
      <c r="E8" s="4" t="s">
        <v>5</v>
      </c>
      <c r="F8" s="3">
        <v>32</v>
      </c>
      <c r="G8" s="1" t="s">
        <v>4</v>
      </c>
      <c r="H8" s="3">
        <v>4</v>
      </c>
      <c r="I8" s="2">
        <v>7</v>
      </c>
    </row>
    <row r="9" spans="2:9" ht="50.25">
      <c r="B9" s="18" t="s">
        <v>3</v>
      </c>
      <c r="C9" s="16" t="s">
        <v>35</v>
      </c>
      <c r="D9" s="12" t="s">
        <v>2</v>
      </c>
      <c r="E9" s="12" t="s">
        <v>1</v>
      </c>
      <c r="F9" s="7">
        <v>121</v>
      </c>
      <c r="G9" s="5" t="s">
        <v>0</v>
      </c>
      <c r="H9" s="7">
        <v>8</v>
      </c>
      <c r="I9" s="6">
        <v>8</v>
      </c>
    </row>
    <row r="18" spans="2:9" ht="57.75" outlineLevel="1">
      <c r="B18" s="15" t="s">
        <v>9</v>
      </c>
      <c r="C18" s="11" t="str">
        <f xml:space="preserve"> "dong" &amp; H18</f>
        <v>dong6</v>
      </c>
      <c r="D18" s="11" t="s">
        <v>8</v>
      </c>
      <c r="E18" s="11"/>
      <c r="F18" s="10">
        <v>53</v>
      </c>
      <c r="G18" s="8" t="s">
        <v>4</v>
      </c>
      <c r="H18" s="10">
        <v>6</v>
      </c>
      <c r="I18" s="9">
        <v>4</v>
      </c>
    </row>
  </sheetData>
  <mergeCells count="1">
    <mergeCell ref="B2:C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D659-7E1D-42E7-9495-78EC72F6C0D2}">
  <dimension ref="B2:J18"/>
  <sheetViews>
    <sheetView showOutlineSymbols="0" workbookViewId="0"/>
  </sheetViews>
  <sheetFormatPr defaultRowHeight="16.5" outlineLevelRow="1"/>
  <cols>
    <col min="1" max="1" width="4.125" customWidth="1"/>
    <col min="2" max="2" width="12.875" customWidth="1"/>
    <col min="3" max="3" width="13" customWidth="1"/>
    <col min="4" max="5" width="15.375" customWidth="1"/>
    <col min="6" max="6" width="10.5" bestFit="1" customWidth="1"/>
    <col min="7" max="10" width="14.625" customWidth="1"/>
  </cols>
  <sheetData>
    <row r="2" spans="2:10" ht="25.5">
      <c r="B2" s="147" t="s">
        <v>33</v>
      </c>
      <c r="C2" s="149"/>
      <c r="D2" s="14" t="s">
        <v>32</v>
      </c>
      <c r="E2" s="14" t="s">
        <v>31</v>
      </c>
      <c r="F2" s="13" t="s">
        <v>30</v>
      </c>
      <c r="G2" s="13" t="s">
        <v>37</v>
      </c>
      <c r="H2" s="13" t="s">
        <v>27</v>
      </c>
      <c r="I2" s="14" t="s">
        <v>29</v>
      </c>
      <c r="J2" s="13" t="s">
        <v>28</v>
      </c>
    </row>
    <row r="3" spans="2:10" ht="59.25">
      <c r="B3" s="18" t="s">
        <v>26</v>
      </c>
      <c r="C3" s="29" t="str">
        <f xml:space="preserve"> "tong" &amp; I3</f>
        <v>tong1</v>
      </c>
      <c r="D3" s="12" t="s">
        <v>25</v>
      </c>
      <c r="E3" s="12" t="s">
        <v>24</v>
      </c>
      <c r="F3" s="31">
        <v>44</v>
      </c>
      <c r="G3" s="20" t="s">
        <v>38</v>
      </c>
      <c r="H3" s="26" t="s">
        <v>4</v>
      </c>
      <c r="I3" s="24">
        <v>1</v>
      </c>
      <c r="J3" s="24">
        <v>1</v>
      </c>
    </row>
    <row r="4" spans="2:10" ht="59.25">
      <c r="B4" s="19" t="s">
        <v>23</v>
      </c>
      <c r="C4" s="30" t="str">
        <f t="shared" ref="C4:C7" si="0" xml:space="preserve"> "tong" &amp; I4</f>
        <v>tong7</v>
      </c>
      <c r="D4" s="4" t="s">
        <v>22</v>
      </c>
      <c r="E4" s="4" t="s">
        <v>21</v>
      </c>
      <c r="F4" s="32">
        <v>22</v>
      </c>
      <c r="G4" s="21" t="s">
        <v>39</v>
      </c>
      <c r="H4" s="27" t="s">
        <v>20</v>
      </c>
      <c r="I4" s="25">
        <v>7</v>
      </c>
      <c r="J4" s="25">
        <v>6</v>
      </c>
    </row>
    <row r="5" spans="2:10" ht="59.25">
      <c r="B5" s="18" t="s">
        <v>19</v>
      </c>
      <c r="C5" s="29" t="str">
        <f t="shared" si="0"/>
        <v>tong3</v>
      </c>
      <c r="D5" s="12" t="s">
        <v>18</v>
      </c>
      <c r="E5" s="12" t="s">
        <v>17</v>
      </c>
      <c r="F5" s="31">
        <v>21</v>
      </c>
      <c r="G5" s="20" t="s">
        <v>40</v>
      </c>
      <c r="H5" s="28" t="s">
        <v>16</v>
      </c>
      <c r="I5" s="24">
        <v>3</v>
      </c>
      <c r="J5" s="24">
        <v>5</v>
      </c>
    </row>
    <row r="6" spans="2:10" ht="59.25">
      <c r="B6" s="19" t="s">
        <v>9</v>
      </c>
      <c r="C6" s="30" t="str">
        <f xml:space="preserve"> "tong" &amp; I6</f>
        <v>tong2</v>
      </c>
      <c r="D6" s="4" t="s">
        <v>36</v>
      </c>
      <c r="E6" s="4" t="s">
        <v>11</v>
      </c>
      <c r="F6" s="32">
        <v>53</v>
      </c>
      <c r="G6" s="22" t="s">
        <v>41</v>
      </c>
      <c r="H6" s="27" t="s">
        <v>10</v>
      </c>
      <c r="I6" s="25">
        <v>2</v>
      </c>
      <c r="J6" s="25">
        <v>3</v>
      </c>
    </row>
    <row r="7" spans="2:10" ht="59.25">
      <c r="B7" s="18" t="s">
        <v>15</v>
      </c>
      <c r="C7" s="29" t="str">
        <f t="shared" si="0"/>
        <v>tong5</v>
      </c>
      <c r="D7" s="12" t="s">
        <v>14</v>
      </c>
      <c r="E7" s="12" t="s">
        <v>13</v>
      </c>
      <c r="F7" s="31">
        <v>13</v>
      </c>
      <c r="G7" s="23" t="s">
        <v>42</v>
      </c>
      <c r="H7" s="28" t="s">
        <v>12</v>
      </c>
      <c r="I7" s="24">
        <v>5</v>
      </c>
      <c r="J7" s="24">
        <v>2</v>
      </c>
    </row>
    <row r="8" spans="2:10" ht="59.25">
      <c r="B8" s="19" t="s">
        <v>7</v>
      </c>
      <c r="C8" s="30" t="s">
        <v>34</v>
      </c>
      <c r="D8" s="4" t="s">
        <v>6</v>
      </c>
      <c r="E8" s="4" t="s">
        <v>5</v>
      </c>
      <c r="F8" s="32">
        <v>32</v>
      </c>
      <c r="G8" s="22" t="s">
        <v>43</v>
      </c>
      <c r="H8" s="27" t="s">
        <v>4</v>
      </c>
      <c r="I8" s="25">
        <v>4</v>
      </c>
      <c r="J8" s="25">
        <v>7</v>
      </c>
    </row>
    <row r="9" spans="2:10" ht="59.25">
      <c r="B9" s="18" t="s">
        <v>3</v>
      </c>
      <c r="C9" s="29" t="s">
        <v>35</v>
      </c>
      <c r="D9" s="12" t="s">
        <v>2</v>
      </c>
      <c r="E9" s="12" t="s">
        <v>1</v>
      </c>
      <c r="F9" s="31">
        <v>121</v>
      </c>
      <c r="G9" s="20" t="s">
        <v>44</v>
      </c>
      <c r="H9" s="28" t="s">
        <v>0</v>
      </c>
      <c r="I9" s="24">
        <v>8</v>
      </c>
      <c r="J9" s="24">
        <v>8</v>
      </c>
    </row>
    <row r="18" spans="2:10" ht="57.75" outlineLevel="1">
      <c r="B18" s="15" t="s">
        <v>9</v>
      </c>
      <c r="C18" s="11" t="str">
        <f xml:space="preserve"> "dong" &amp; I18</f>
        <v>dong6</v>
      </c>
      <c r="D18" s="11" t="s">
        <v>8</v>
      </c>
      <c r="E18" s="11"/>
      <c r="F18" s="10">
        <v>53</v>
      </c>
      <c r="G18" s="10"/>
      <c r="H18" s="8" t="s">
        <v>4</v>
      </c>
      <c r="I18" s="10">
        <v>6</v>
      </c>
      <c r="J18" s="9">
        <v>4</v>
      </c>
    </row>
  </sheetData>
  <mergeCells count="1">
    <mergeCell ref="B2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拚音聲調對照表</vt:lpstr>
      <vt:lpstr>聲調符號表</vt:lpstr>
      <vt:lpstr>閩拚聲調符號表</vt:lpstr>
      <vt:lpstr>注音聲調表（閩拚）</vt:lpstr>
      <vt:lpstr>閩拚拚音聲調表【溫韻】</vt:lpstr>
      <vt:lpstr>閩拚注音聲調表【東韻】</vt:lpstr>
      <vt:lpstr>注音聲調表（台語音標）</vt:lpstr>
      <vt:lpstr>聲調對照表（台語音標）</vt:lpstr>
      <vt:lpstr>拚音聲調表 (台語音標)</vt:lpstr>
      <vt:lpstr>聲調對照表（閩拚） (2)</vt:lpstr>
      <vt:lpstr>聲調對照表 (3)</vt:lpstr>
      <vt:lpstr>聲調對照表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2025-10-06T14:55:50Z</dcterms:created>
  <dcterms:modified xsi:type="dcterms:W3CDTF">2026-08-11T03:34:44Z</dcterms:modified>
</cp:coreProperties>
</file>